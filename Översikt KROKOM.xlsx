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45916</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45916</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45916</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45916</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45916</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45916</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45916</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45916</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23434-2024</t>
        </is>
      </c>
      <c r="B21" s="1" t="n">
        <v>45453</v>
      </c>
      <c r="C21" s="1" t="n">
        <v>45916</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30145-2021</t>
        </is>
      </c>
      <c r="B22" s="1" t="n">
        <v>44363</v>
      </c>
      <c r="C22" s="1" t="n">
        <v>45916</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57461-2024</t>
        </is>
      </c>
      <c r="B23" s="1" t="n">
        <v>45630</v>
      </c>
      <c r="C23" s="1" t="n">
        <v>45916</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52647-2023</t>
        </is>
      </c>
      <c r="B24" s="1" t="n">
        <v>45219</v>
      </c>
      <c r="C24" s="1" t="n">
        <v>45916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56633-2024</t>
        </is>
      </c>
      <c r="B25" s="1" t="n">
        <v>45625</v>
      </c>
      <c r="C25" s="1" t="n">
        <v>45916</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45916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394-2025</t>
        </is>
      </c>
      <c r="B27" s="1" t="n">
        <v>45663</v>
      </c>
      <c r="C27" s="1" t="n">
        <v>45916</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34803-2025</t>
        </is>
      </c>
      <c r="B28" s="1" t="n">
        <v>45849</v>
      </c>
      <c r="C28" s="1" t="n">
        <v>45916</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45916</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45916</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60873-2024</t>
        </is>
      </c>
      <c r="B31" s="1" t="n">
        <v>45644</v>
      </c>
      <c r="C31" s="1" t="n">
        <v>45916</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45916</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45596.5093287037</v>
      </c>
      <c r="C33" s="1" t="n">
        <v>45916</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45916</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45916</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23499-2025</t>
        </is>
      </c>
      <c r="B36" s="1" t="n">
        <v>45792</v>
      </c>
      <c r="C36" s="1" t="n">
        <v>45916</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45916</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45916</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22078-2021</t>
        </is>
      </c>
      <c r="B39" s="1" t="n">
        <v>44323</v>
      </c>
      <c r="C39" s="1" t="n">
        <v>45916</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22204-2021</t>
        </is>
      </c>
      <c r="B40" s="1" t="n">
        <v>44326</v>
      </c>
      <c r="C40" s="1" t="n">
        <v>45916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32142-2022</t>
        </is>
      </c>
      <c r="B41" s="1" t="n">
        <v>44780</v>
      </c>
      <c r="C41" s="1" t="n">
        <v>45916</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45916</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45916</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45916</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45916</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45916</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55352-2021</t>
        </is>
      </c>
      <c r="B47" s="1" t="n">
        <v>44475</v>
      </c>
      <c r="C47" s="1" t="n">
        <v>45916</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39503-2024</t>
        </is>
      </c>
      <c r="B48" s="1" t="n">
        <v>45551</v>
      </c>
      <c r="C48" s="1" t="n">
        <v>45916</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36309-2024</t>
        </is>
      </c>
      <c r="B49" s="1" t="n">
        <v>45534</v>
      </c>
      <c r="C49" s="1" t="n">
        <v>45916</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60117-2024</t>
        </is>
      </c>
      <c r="B50" s="1" t="n">
        <v>45639</v>
      </c>
      <c r="C50" s="1" t="n">
        <v>45916</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29997-2024</t>
        </is>
      </c>
      <c r="B51" s="1" t="n">
        <v>45488.56961805555</v>
      </c>
      <c r="C51" s="1" t="n">
        <v>45916</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10051-2025</t>
        </is>
      </c>
      <c r="B52" s="1" t="n">
        <v>45719.52238425926</v>
      </c>
      <c r="C52" s="1" t="n">
        <v>45916</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32351-2024</t>
        </is>
      </c>
      <c r="B53" s="1" t="n">
        <v>45512</v>
      </c>
      <c r="C53" s="1" t="n">
        <v>45916</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18460-2023</t>
        </is>
      </c>
      <c r="B54" s="1" t="n">
        <v>45041</v>
      </c>
      <c r="C54" s="1" t="n">
        <v>45916</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34678-2022</t>
        </is>
      </c>
      <c r="B55" s="1" t="n">
        <v>44795</v>
      </c>
      <c r="C55" s="1" t="n">
        <v>45916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35063-2024</t>
        </is>
      </c>
      <c r="B56" s="1" t="n">
        <v>45527</v>
      </c>
      <c r="C56" s="1" t="n">
        <v>45916</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45916</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60372-2024</t>
        </is>
      </c>
      <c r="B58" s="1" t="n">
        <v>45643</v>
      </c>
      <c r="C58" s="1" t="n">
        <v>45916</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23661-2024</t>
        </is>
      </c>
      <c r="B59" s="1" t="n">
        <v>45454</v>
      </c>
      <c r="C59" s="1" t="n">
        <v>45916</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52574-2020</t>
        </is>
      </c>
      <c r="B60" s="1" t="n">
        <v>44118</v>
      </c>
      <c r="C60" s="1" t="n">
        <v>45916</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45916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46038-2024</t>
        </is>
      </c>
      <c r="B62" s="1" t="n">
        <v>45580</v>
      </c>
      <c r="C62" s="1" t="n">
        <v>45916</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73840-2021</t>
        </is>
      </c>
      <c r="B63" s="1" t="n">
        <v>44552</v>
      </c>
      <c r="C63" s="1" t="n">
        <v>45916</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19014-2021</t>
        </is>
      </c>
      <c r="B64" s="1" t="n">
        <v>44308</v>
      </c>
      <c r="C64" s="1" t="n">
        <v>45916</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45916</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45916</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45916</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45916</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3433-2022</t>
        </is>
      </c>
      <c r="B69" s="1" t="n">
        <v>44585</v>
      </c>
      <c r="C69" s="1" t="n">
        <v>45916</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45916</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3134-2024</t>
        </is>
      </c>
      <c r="B71" s="1" t="n">
        <v>45316</v>
      </c>
      <c r="C71" s="1" t="n">
        <v>45916</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62118-2023</t>
        </is>
      </c>
      <c r="B72" s="1" t="n">
        <v>45267</v>
      </c>
      <c r="C72" s="1" t="n">
        <v>45916</v>
      </c>
      <c r="D72" t="inlineStr">
        <is>
          <t>JÄMTLANDS LÄN</t>
        </is>
      </c>
      <c r="E72" t="inlineStr">
        <is>
          <t>KROKOM</t>
        </is>
      </c>
      <c r="G72" t="n">
        <v>5.3</v>
      </c>
      <c r="H72" t="n">
        <v>4</v>
      </c>
      <c r="I72" t="n">
        <v>1</v>
      </c>
      <c r="J72" t="n">
        <v>4</v>
      </c>
      <c r="K72" t="n">
        <v>2</v>
      </c>
      <c r="L72" t="n">
        <v>0</v>
      </c>
      <c r="M72" t="n">
        <v>0</v>
      </c>
      <c r="N72" t="n">
        <v>0</v>
      </c>
      <c r="O72" t="n">
        <v>6</v>
      </c>
      <c r="P72" t="n">
        <v>2</v>
      </c>
      <c r="Q72" t="n">
        <v>7</v>
      </c>
      <c r="R72" s="2" t="inlineStr">
        <is>
          <t>Doftticka
Knärot
Garnlav
Lunglav
Spillkråka
Talltita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36373-2023</t>
        </is>
      </c>
      <c r="B73" s="1" t="n">
        <v>45149</v>
      </c>
      <c r="C73" s="1" t="n">
        <v>45916</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45916</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32949-2025</t>
        </is>
      </c>
      <c r="B75" s="1" t="n">
        <v>45839.68914351852</v>
      </c>
      <c r="C75" s="1" t="n">
        <v>45916</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61448-2021</t>
        </is>
      </c>
      <c r="B76" s="1" t="n">
        <v>44500</v>
      </c>
      <c r="C76" s="1" t="n">
        <v>45916</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54140-2024</t>
        </is>
      </c>
      <c r="B77" s="1" t="n">
        <v>45616</v>
      </c>
      <c r="C77" s="1" t="n">
        <v>45916</v>
      </c>
      <c r="D77" t="inlineStr">
        <is>
          <t>JÄMTLANDS LÄN</t>
        </is>
      </c>
      <c r="E77" t="inlineStr">
        <is>
          <t>KROKOM</t>
        </is>
      </c>
      <c r="G77" t="n">
        <v>13.4</v>
      </c>
      <c r="H77" t="n">
        <v>0</v>
      </c>
      <c r="I77" t="n">
        <v>1</v>
      </c>
      <c r="J77" t="n">
        <v>6</v>
      </c>
      <c r="K77" t="n">
        <v>0</v>
      </c>
      <c r="L77" t="n">
        <v>0</v>
      </c>
      <c r="M77" t="n">
        <v>0</v>
      </c>
      <c r="N77" t="n">
        <v>0</v>
      </c>
      <c r="O77" t="n">
        <v>6</v>
      </c>
      <c r="P77" t="n">
        <v>0</v>
      </c>
      <c r="Q77" t="n">
        <v>7</v>
      </c>
      <c r="R77" s="2" t="inlineStr">
        <is>
          <t>Garnlav
Granticka
Luddfingersvamp
Rödbrun blekspik
Ullticka
Vitgrynig nållav
Kambräken</t>
        </is>
      </c>
      <c r="S77">
        <f>HYPERLINK("https://klasma.github.io/Logging_2309/artfynd/A 54140-2024 artfynd.xlsx", "A 54140-2024")</f>
        <v/>
      </c>
      <c r="T77">
        <f>HYPERLINK("https://klasma.github.io/Logging_2309/kartor/A 54140-2024 karta.png", "A 54140-2024")</f>
        <v/>
      </c>
      <c r="V77">
        <f>HYPERLINK("https://klasma.github.io/Logging_2309/klagomål/A 54140-2024 FSC-klagomål.docx", "A 54140-2024")</f>
        <v/>
      </c>
      <c r="W77">
        <f>HYPERLINK("https://klasma.github.io/Logging_2309/klagomålsmail/A 54140-2024 FSC-klagomål mail.docx", "A 54140-2024")</f>
        <v/>
      </c>
      <c r="X77">
        <f>HYPERLINK("https://klasma.github.io/Logging_2309/tillsyn/A 54140-2024 tillsynsbegäran.docx", "A 54140-2024")</f>
        <v/>
      </c>
      <c r="Y77">
        <f>HYPERLINK("https://klasma.github.io/Logging_2309/tillsynsmail/A 54140-2024 tillsynsbegäran mail.docx", "A 54140-2024")</f>
        <v/>
      </c>
    </row>
    <row r="78" ht="15" customHeight="1">
      <c r="A78" t="inlineStr">
        <is>
          <t>A 35884-2025</t>
        </is>
      </c>
      <c r="B78" s="1" t="n">
        <v>45862.42901620371</v>
      </c>
      <c r="C78" s="1" t="n">
        <v>45916</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45916</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45916</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45916</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45916</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45916</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43190-2022</t>
        </is>
      </c>
      <c r="B84" s="1" t="n">
        <v>44834</v>
      </c>
      <c r="C84" s="1" t="n">
        <v>45916</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45916</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45916</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46118-2024</t>
        </is>
      </c>
      <c r="B87" s="1" t="n">
        <v>45581</v>
      </c>
      <c r="C87" s="1" t="n">
        <v>45916</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16978-2025</t>
        </is>
      </c>
      <c r="B88" s="1" t="n">
        <v>45755.47527777778</v>
      </c>
      <c r="C88" s="1" t="n">
        <v>45916</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58951-2023</t>
        </is>
      </c>
      <c r="B89" s="1" t="n">
        <v>45252</v>
      </c>
      <c r="C89" s="1" t="n">
        <v>45916</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35883-2025</t>
        </is>
      </c>
      <c r="B90" s="1" t="n">
        <v>45862.4257175926</v>
      </c>
      <c r="C90" s="1" t="n">
        <v>45916</v>
      </c>
      <c r="D90" t="inlineStr">
        <is>
          <t>JÄMTLANDS LÄN</t>
        </is>
      </c>
      <c r="E90" t="inlineStr">
        <is>
          <t>KROKOM</t>
        </is>
      </c>
      <c r="G90" t="n">
        <v>5</v>
      </c>
      <c r="H90" t="n">
        <v>2</v>
      </c>
      <c r="I90" t="n">
        <v>1</v>
      </c>
      <c r="J90" t="n">
        <v>4</v>
      </c>
      <c r="K90" t="n">
        <v>0</v>
      </c>
      <c r="L90" t="n">
        <v>0</v>
      </c>
      <c r="M90" t="n">
        <v>0</v>
      </c>
      <c r="N90" t="n">
        <v>0</v>
      </c>
      <c r="O90" t="n">
        <v>4</v>
      </c>
      <c r="P90" t="n">
        <v>0</v>
      </c>
      <c r="Q90" t="n">
        <v>6</v>
      </c>
      <c r="R90" s="2" t="inlineStr">
        <is>
          <t>Garnlav
Harticka
Talltita
Ullticka
Trådticka
Blåsippa</t>
        </is>
      </c>
      <c r="S90">
        <f>HYPERLINK("https://klasma.github.io/Logging_2309/artfynd/A 35883-2025 artfynd.xlsx", "A 35883-2025")</f>
        <v/>
      </c>
      <c r="T90">
        <f>HYPERLINK("https://klasma.github.io/Logging_2309/kartor/A 35883-2025 karta.png", "A 35883-2025")</f>
        <v/>
      </c>
      <c r="V90">
        <f>HYPERLINK("https://klasma.github.io/Logging_2309/klagomål/A 35883-2025 FSC-klagomål.docx", "A 35883-2025")</f>
        <v/>
      </c>
      <c r="W90">
        <f>HYPERLINK("https://klasma.github.io/Logging_2309/klagomålsmail/A 35883-2025 FSC-klagomål mail.docx", "A 35883-2025")</f>
        <v/>
      </c>
      <c r="X90">
        <f>HYPERLINK("https://klasma.github.io/Logging_2309/tillsyn/A 35883-2025 tillsynsbegäran.docx", "A 35883-2025")</f>
        <v/>
      </c>
      <c r="Y90">
        <f>HYPERLINK("https://klasma.github.io/Logging_2309/tillsynsmail/A 35883-2025 tillsynsbegäran mail.docx", "A 35883-2025")</f>
        <v/>
      </c>
      <c r="Z90">
        <f>HYPERLINK("https://klasma.github.io/Logging_2309/fåglar/A 35883-2025 prioriterade fågelarter.docx", "A 35883-2025")</f>
        <v/>
      </c>
    </row>
    <row r="91" ht="15" customHeight="1">
      <c r="A91" t="inlineStr">
        <is>
          <t>A 30921-2025</t>
        </is>
      </c>
      <c r="B91" s="1" t="n">
        <v>45832.38581018519</v>
      </c>
      <c r="C91" s="1" t="n">
        <v>45916</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35885-2025</t>
        </is>
      </c>
      <c r="B92" s="1" t="n">
        <v>45862.43403935185</v>
      </c>
      <c r="C92" s="1" t="n">
        <v>45916</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56194-2021</t>
        </is>
      </c>
      <c r="B93" s="1" t="n">
        <v>44477</v>
      </c>
      <c r="C93" s="1" t="n">
        <v>45916</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27490-2024</t>
        </is>
      </c>
      <c r="B94" s="1" t="n">
        <v>45474</v>
      </c>
      <c r="C94" s="1" t="n">
        <v>45916</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35158-2022</t>
        </is>
      </c>
      <c r="B95" s="1" t="n">
        <v>44797</v>
      </c>
      <c r="C95" s="1" t="n">
        <v>45916</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68491-2020</t>
        </is>
      </c>
      <c r="B96" s="1" t="n">
        <v>44183</v>
      </c>
      <c r="C96" s="1" t="n">
        <v>45916</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45916</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45916</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71570-2021</t>
        </is>
      </c>
      <c r="B99" s="1" t="n">
        <v>44540</v>
      </c>
      <c r="C99" s="1" t="n">
        <v>45916</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36995-2025</t>
        </is>
      </c>
      <c r="B100" s="1" t="n">
        <v>45874.67765046296</v>
      </c>
      <c r="C100" s="1" t="n">
        <v>45916</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32658-2025</t>
        </is>
      </c>
      <c r="B101" s="1" t="n">
        <v>45838.67858796296</v>
      </c>
      <c r="C101" s="1" t="n">
        <v>45916</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25286-2023</t>
        </is>
      </c>
      <c r="B102" s="1" t="n">
        <v>45079</v>
      </c>
      <c r="C102" s="1" t="n">
        <v>45916</v>
      </c>
      <c r="D102" t="inlineStr">
        <is>
          <t>JÄMTLANDS LÄN</t>
        </is>
      </c>
      <c r="E102" t="inlineStr">
        <is>
          <t>KROKOM</t>
        </is>
      </c>
      <c r="G102" t="n">
        <v>11.4</v>
      </c>
      <c r="H102" t="n">
        <v>1</v>
      </c>
      <c r="I102" t="n">
        <v>2</v>
      </c>
      <c r="J102" t="n">
        <v>3</v>
      </c>
      <c r="K102" t="n">
        <v>0</v>
      </c>
      <c r="L102" t="n">
        <v>0</v>
      </c>
      <c r="M102" t="n">
        <v>0</v>
      </c>
      <c r="N102" t="n">
        <v>0</v>
      </c>
      <c r="O102" t="n">
        <v>3</v>
      </c>
      <c r="P102" t="n">
        <v>0</v>
      </c>
      <c r="Q102" t="n">
        <v>5</v>
      </c>
      <c r="R102" s="2" t="inlineStr">
        <is>
          <t>Garnlav
Gränsticka
Spillkråka
Blodticka
Trådticka</t>
        </is>
      </c>
      <c r="S102">
        <f>HYPERLINK("https://klasma.github.io/Logging_2309/artfynd/A 25286-2023 artfynd.xlsx", "A 25286-2023")</f>
        <v/>
      </c>
      <c r="T102">
        <f>HYPERLINK("https://klasma.github.io/Logging_2309/kartor/A 25286-2023 karta.png", "A 25286-2023")</f>
        <v/>
      </c>
      <c r="V102">
        <f>HYPERLINK("https://klasma.github.io/Logging_2309/klagomål/A 25286-2023 FSC-klagomål.docx", "A 25286-2023")</f>
        <v/>
      </c>
      <c r="W102">
        <f>HYPERLINK("https://klasma.github.io/Logging_2309/klagomålsmail/A 25286-2023 FSC-klagomål mail.docx", "A 25286-2023")</f>
        <v/>
      </c>
      <c r="X102">
        <f>HYPERLINK("https://klasma.github.io/Logging_2309/tillsyn/A 25286-2023 tillsynsbegäran.docx", "A 25286-2023")</f>
        <v/>
      </c>
      <c r="Y102">
        <f>HYPERLINK("https://klasma.github.io/Logging_2309/tillsynsmail/A 25286-2023 tillsynsbegäran mail.docx", "A 25286-2023")</f>
        <v/>
      </c>
      <c r="Z102">
        <f>HYPERLINK("https://klasma.github.io/Logging_2309/fåglar/A 25286-2023 prioriterade fågelarter.docx", "A 25286-2023")</f>
        <v/>
      </c>
    </row>
    <row r="103" ht="15" customHeight="1">
      <c r="A103" t="inlineStr">
        <is>
          <t>A 39118-2025</t>
        </is>
      </c>
      <c r="B103" s="1" t="n">
        <v>45888.55305555555</v>
      </c>
      <c r="C103" s="1" t="n">
        <v>45916</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35749-2024</t>
        </is>
      </c>
      <c r="B104" s="1" t="n">
        <v>45532</v>
      </c>
      <c r="C104" s="1" t="n">
        <v>45916</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39487-2024</t>
        </is>
      </c>
      <c r="B105" s="1" t="n">
        <v>45551</v>
      </c>
      <c r="C105" s="1" t="n">
        <v>45916</v>
      </c>
      <c r="D105" t="inlineStr">
        <is>
          <t>JÄMTLANDS LÄN</t>
        </is>
      </c>
      <c r="E105" t="inlineStr">
        <is>
          <t>KROKOM</t>
        </is>
      </c>
      <c r="G105" t="n">
        <v>8</v>
      </c>
      <c r="H105" t="n">
        <v>2</v>
      </c>
      <c r="I105" t="n">
        <v>0</v>
      </c>
      <c r="J105" t="n">
        <v>4</v>
      </c>
      <c r="K105" t="n">
        <v>1</v>
      </c>
      <c r="L105" t="n">
        <v>0</v>
      </c>
      <c r="M105" t="n">
        <v>0</v>
      </c>
      <c r="N105" t="n">
        <v>0</v>
      </c>
      <c r="O105" t="n">
        <v>5</v>
      </c>
      <c r="P105" t="n">
        <v>1</v>
      </c>
      <c r="Q105" t="n">
        <v>5</v>
      </c>
      <c r="R105" s="2" t="inlineStr">
        <is>
          <t>Knärot
Granticka
Harticka
Tretåig hackspett
Ullticka</t>
        </is>
      </c>
      <c r="S105">
        <f>HYPERLINK("https://klasma.github.io/Logging_2309/artfynd/A 39487-2024 artfynd.xlsx", "A 39487-2024")</f>
        <v/>
      </c>
      <c r="T105">
        <f>HYPERLINK("https://klasma.github.io/Logging_2309/kartor/A 39487-2024 karta.png", "A 39487-2024")</f>
        <v/>
      </c>
      <c r="U105">
        <f>HYPERLINK("https://klasma.github.io/Logging_2309/knärot/A 39487-2024 karta knärot.png", "A 39487-2024")</f>
        <v/>
      </c>
      <c r="V105">
        <f>HYPERLINK("https://klasma.github.io/Logging_2309/klagomål/A 39487-2024 FSC-klagomål.docx", "A 39487-2024")</f>
        <v/>
      </c>
      <c r="W105">
        <f>HYPERLINK("https://klasma.github.io/Logging_2309/klagomålsmail/A 39487-2024 FSC-klagomål mail.docx", "A 39487-2024")</f>
        <v/>
      </c>
      <c r="X105">
        <f>HYPERLINK("https://klasma.github.io/Logging_2309/tillsyn/A 39487-2024 tillsynsbegäran.docx", "A 39487-2024")</f>
        <v/>
      </c>
      <c r="Y105">
        <f>HYPERLINK("https://klasma.github.io/Logging_2309/tillsynsmail/A 39487-2024 tillsynsbegäran mail.docx", "A 39487-2024")</f>
        <v/>
      </c>
      <c r="Z105">
        <f>HYPERLINK("https://klasma.github.io/Logging_2309/fåglar/A 39487-2024 prioriterade fågelarter.docx", "A 39487-2024")</f>
        <v/>
      </c>
    </row>
    <row r="106" ht="15" customHeight="1">
      <c r="A106" t="inlineStr">
        <is>
          <t>A 53815-2024</t>
        </is>
      </c>
      <c r="B106" s="1" t="n">
        <v>45615</v>
      </c>
      <c r="C106" s="1" t="n">
        <v>45916</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48914-2021</t>
        </is>
      </c>
      <c r="B107" s="1" t="n">
        <v>44452</v>
      </c>
      <c r="C107" s="1" t="n">
        <v>45916</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59619-2020</t>
        </is>
      </c>
      <c r="B108" s="1" t="n">
        <v>44150</v>
      </c>
      <c r="C108" s="1" t="n">
        <v>45916</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72538-2021</t>
        </is>
      </c>
      <c r="B109" s="1" t="n">
        <v>44546</v>
      </c>
      <c r="C109" s="1" t="n">
        <v>45916</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11319-2025</t>
        </is>
      </c>
      <c r="B110" s="1" t="n">
        <v>45726.46192129629</v>
      </c>
      <c r="C110" s="1" t="n">
        <v>45916</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59039-2022</t>
        </is>
      </c>
      <c r="B111" s="1" t="n">
        <v>44903</v>
      </c>
      <c r="C111" s="1" t="n">
        <v>45916</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63787-2020</t>
        </is>
      </c>
      <c r="B112" s="1" t="n">
        <v>44162</v>
      </c>
      <c r="C112" s="1" t="n">
        <v>45916</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45916</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45916</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2256-2024</t>
        </is>
      </c>
      <c r="B115" s="1" t="n">
        <v>45310</v>
      </c>
      <c r="C115" s="1" t="n">
        <v>45916</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6682-2023</t>
        </is>
      </c>
      <c r="B116" s="1" t="n">
        <v>44966</v>
      </c>
      <c r="C116" s="1" t="n">
        <v>45916</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40179-2023</t>
        </is>
      </c>
      <c r="B117" s="1" t="n">
        <v>45169</v>
      </c>
      <c r="C117" s="1" t="n">
        <v>45916</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57295-2022</t>
        </is>
      </c>
      <c r="B118" s="1" t="n">
        <v>44895</v>
      </c>
      <c r="C118" s="1" t="n">
        <v>45916</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73935-2021</t>
        </is>
      </c>
      <c r="B119" s="1" t="n">
        <v>44553</v>
      </c>
      <c r="C119" s="1" t="n">
        <v>45916</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56312-2024</t>
        </is>
      </c>
      <c r="B120" s="1" t="n">
        <v>45624</v>
      </c>
      <c r="C120" s="1" t="n">
        <v>45916</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53363-2022</t>
        </is>
      </c>
      <c r="B121" s="1" t="n">
        <v>44879</v>
      </c>
      <c r="C121" s="1" t="n">
        <v>45916</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65901-2020</t>
        </is>
      </c>
      <c r="B122" s="1" t="n">
        <v>44174</v>
      </c>
      <c r="C122" s="1" t="n">
        <v>45916</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45916</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18940-2025</t>
        </is>
      </c>
      <c r="B124" s="1" t="n">
        <v>45764</v>
      </c>
      <c r="C124" s="1" t="n">
        <v>45916</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58205-2024</t>
        </is>
      </c>
      <c r="B125" s="1" t="n">
        <v>45632</v>
      </c>
      <c r="C125" s="1" t="n">
        <v>45916</v>
      </c>
      <c r="D125" t="inlineStr">
        <is>
          <t>JÄMTLANDS LÄN</t>
        </is>
      </c>
      <c r="E125" t="inlineStr">
        <is>
          <t>KROKOM</t>
        </is>
      </c>
      <c r="G125" t="n">
        <v>14</v>
      </c>
      <c r="H125" t="n">
        <v>0</v>
      </c>
      <c r="I125" t="n">
        <v>1</v>
      </c>
      <c r="J125" t="n">
        <v>3</v>
      </c>
      <c r="K125" t="n">
        <v>0</v>
      </c>
      <c r="L125" t="n">
        <v>0</v>
      </c>
      <c r="M125" t="n">
        <v>0</v>
      </c>
      <c r="N125" t="n">
        <v>0</v>
      </c>
      <c r="O125" t="n">
        <v>3</v>
      </c>
      <c r="P125" t="n">
        <v>0</v>
      </c>
      <c r="Q125" t="n">
        <v>4</v>
      </c>
      <c r="R125" s="2" t="inlineStr">
        <is>
          <t>Lunglav
Skrovellav
Ullticka
Vedticka</t>
        </is>
      </c>
      <c r="S125">
        <f>HYPERLINK("https://klasma.github.io/Logging_2309/artfynd/A 58205-2024 artfynd.xlsx", "A 58205-2024")</f>
        <v/>
      </c>
      <c r="T125">
        <f>HYPERLINK("https://klasma.github.io/Logging_2309/kartor/A 58205-2024 karta.png", "A 58205-2024")</f>
        <v/>
      </c>
      <c r="V125">
        <f>HYPERLINK("https://klasma.github.io/Logging_2309/klagomål/A 58205-2024 FSC-klagomål.docx", "A 58205-2024")</f>
        <v/>
      </c>
      <c r="W125">
        <f>HYPERLINK("https://klasma.github.io/Logging_2309/klagomålsmail/A 58205-2024 FSC-klagomål mail.docx", "A 58205-2024")</f>
        <v/>
      </c>
      <c r="X125">
        <f>HYPERLINK("https://klasma.github.io/Logging_2309/tillsyn/A 58205-2024 tillsynsbegäran.docx", "A 58205-2024")</f>
        <v/>
      </c>
      <c r="Y125">
        <f>HYPERLINK("https://klasma.github.io/Logging_2309/tillsynsmail/A 58205-2024 tillsynsbegäran mail.docx", "A 58205-2024")</f>
        <v/>
      </c>
    </row>
    <row r="126" ht="15" customHeight="1">
      <c r="A126" t="inlineStr">
        <is>
          <t>A 35023-2024</t>
        </is>
      </c>
      <c r="B126" s="1" t="n">
        <v>45527</v>
      </c>
      <c r="C126" s="1" t="n">
        <v>45916</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34855-2025</t>
        </is>
      </c>
      <c r="B127" s="1" t="n">
        <v>45849.42818287037</v>
      </c>
      <c r="C127" s="1" t="n">
        <v>45916</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55224-2024</t>
        </is>
      </c>
      <c r="B128" s="1" t="n">
        <v>45621</v>
      </c>
      <c r="C128" s="1" t="n">
        <v>45916</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60566-2022</t>
        </is>
      </c>
      <c r="B129" s="1" t="n">
        <v>44904</v>
      </c>
      <c r="C129" s="1" t="n">
        <v>45916</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54427-2024</t>
        </is>
      </c>
      <c r="B130" s="1" t="n">
        <v>45617</v>
      </c>
      <c r="C130" s="1" t="n">
        <v>45916</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13383-2025</t>
        </is>
      </c>
      <c r="B131" s="1" t="n">
        <v>45735</v>
      </c>
      <c r="C131" s="1" t="n">
        <v>45916</v>
      </c>
      <c r="D131" t="inlineStr">
        <is>
          <t>JÄMTLANDS LÄN</t>
        </is>
      </c>
      <c r="E131" t="inlineStr">
        <is>
          <t>KROKOM</t>
        </is>
      </c>
      <c r="G131" t="n">
        <v>9.699999999999999</v>
      </c>
      <c r="H131" t="n">
        <v>0</v>
      </c>
      <c r="I131" t="n">
        <v>0</v>
      </c>
      <c r="J131" t="n">
        <v>4</v>
      </c>
      <c r="K131" t="n">
        <v>0</v>
      </c>
      <c r="L131" t="n">
        <v>0</v>
      </c>
      <c r="M131" t="n">
        <v>0</v>
      </c>
      <c r="N131" t="n">
        <v>0</v>
      </c>
      <c r="O131" t="n">
        <v>4</v>
      </c>
      <c r="P131" t="n">
        <v>0</v>
      </c>
      <c r="Q131" t="n">
        <v>4</v>
      </c>
      <c r="R131" s="2" t="inlineStr">
        <is>
          <t>Doftskinn
Granticka
Lunglav
Ullticka</t>
        </is>
      </c>
      <c r="S131">
        <f>HYPERLINK("https://klasma.github.io/Logging_2309/artfynd/A 13383-2025 artfynd.xlsx", "A 13383-2025")</f>
        <v/>
      </c>
      <c r="T131">
        <f>HYPERLINK("https://klasma.github.io/Logging_2309/kartor/A 13383-2025 karta.png", "A 13383-2025")</f>
        <v/>
      </c>
      <c r="V131">
        <f>HYPERLINK("https://klasma.github.io/Logging_2309/klagomål/A 13383-2025 FSC-klagomål.docx", "A 13383-2025")</f>
        <v/>
      </c>
      <c r="W131">
        <f>HYPERLINK("https://klasma.github.io/Logging_2309/klagomålsmail/A 13383-2025 FSC-klagomål mail.docx", "A 13383-2025")</f>
        <v/>
      </c>
      <c r="X131">
        <f>HYPERLINK("https://klasma.github.io/Logging_2309/tillsyn/A 13383-2025 tillsynsbegäran.docx", "A 13383-2025")</f>
        <v/>
      </c>
      <c r="Y131">
        <f>HYPERLINK("https://klasma.github.io/Logging_2309/tillsynsmail/A 13383-2025 tillsynsbegäran mail.docx", "A 13383-2025")</f>
        <v/>
      </c>
    </row>
    <row r="132" ht="15" customHeight="1">
      <c r="A132" t="inlineStr">
        <is>
          <t>A 50345-2023</t>
        </is>
      </c>
      <c r="B132" s="1" t="n">
        <v>45216</v>
      </c>
      <c r="C132" s="1" t="n">
        <v>45916</v>
      </c>
      <c r="D132" t="inlineStr">
        <is>
          <t>JÄMTLANDS LÄN</t>
        </is>
      </c>
      <c r="E132" t="inlineStr">
        <is>
          <t>KROKOM</t>
        </is>
      </c>
      <c r="F132" t="inlineStr">
        <is>
          <t>Övriga Aktiebolag</t>
        </is>
      </c>
      <c r="G132" t="n">
        <v>0.6</v>
      </c>
      <c r="H132" t="n">
        <v>2</v>
      </c>
      <c r="I132" t="n">
        <v>0</v>
      </c>
      <c r="J132" t="n">
        <v>3</v>
      </c>
      <c r="K132" t="n">
        <v>0</v>
      </c>
      <c r="L132" t="n">
        <v>0</v>
      </c>
      <c r="M132" t="n">
        <v>0</v>
      </c>
      <c r="N132" t="n">
        <v>0</v>
      </c>
      <c r="O132" t="n">
        <v>3</v>
      </c>
      <c r="P132" t="n">
        <v>0</v>
      </c>
      <c r="Q132" t="n">
        <v>3</v>
      </c>
      <c r="R132" s="2" t="inlineStr">
        <is>
          <t>Garnlav
Järpe
Tretåig hackspett</t>
        </is>
      </c>
      <c r="S132">
        <f>HYPERLINK("https://klasma.github.io/Logging_2309/artfynd/A 50345-2023 artfynd.xlsx", "A 50345-2023")</f>
        <v/>
      </c>
      <c r="T132">
        <f>HYPERLINK("https://klasma.github.io/Logging_2309/kartor/A 50345-2023 karta.png", "A 50345-2023")</f>
        <v/>
      </c>
      <c r="V132">
        <f>HYPERLINK("https://klasma.github.io/Logging_2309/klagomål/A 50345-2023 FSC-klagomål.docx", "A 50345-2023")</f>
        <v/>
      </c>
      <c r="W132">
        <f>HYPERLINK("https://klasma.github.io/Logging_2309/klagomålsmail/A 50345-2023 FSC-klagomål mail.docx", "A 50345-2023")</f>
        <v/>
      </c>
      <c r="X132">
        <f>HYPERLINK("https://klasma.github.io/Logging_2309/tillsyn/A 50345-2023 tillsynsbegäran.docx", "A 50345-2023")</f>
        <v/>
      </c>
      <c r="Y132">
        <f>HYPERLINK("https://klasma.github.io/Logging_2309/tillsynsmail/A 50345-2023 tillsynsbegäran mail.docx", "A 50345-2023")</f>
        <v/>
      </c>
      <c r="Z132">
        <f>HYPERLINK("https://klasma.github.io/Logging_2309/fåglar/A 50345-2023 prioriterade fågelarter.docx", "A 50345-2023")</f>
        <v/>
      </c>
    </row>
    <row r="133" ht="15" customHeight="1">
      <c r="A133" t="inlineStr">
        <is>
          <t>A 44869-2022</t>
        </is>
      </c>
      <c r="B133" s="1" t="n">
        <v>44841</v>
      </c>
      <c r="C133" s="1" t="n">
        <v>45916</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45916</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62731-2023</t>
        </is>
      </c>
      <c r="B135" s="1" t="n">
        <v>45271</v>
      </c>
      <c r="C135" s="1" t="n">
        <v>45916</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30069-2022</t>
        </is>
      </c>
      <c r="B136" s="1" t="n">
        <v>44757</v>
      </c>
      <c r="C136" s="1" t="n">
        <v>45916</v>
      </c>
      <c r="D136" t="inlineStr">
        <is>
          <t>JÄMTLANDS LÄN</t>
        </is>
      </c>
      <c r="E136" t="inlineStr">
        <is>
          <t>KROKOM</t>
        </is>
      </c>
      <c r="G136" t="n">
        <v>0.7</v>
      </c>
      <c r="H136" t="n">
        <v>1</v>
      </c>
      <c r="I136" t="n">
        <v>0</v>
      </c>
      <c r="J136" t="n">
        <v>2</v>
      </c>
      <c r="K136" t="n">
        <v>1</v>
      </c>
      <c r="L136" t="n">
        <v>0</v>
      </c>
      <c r="M136" t="n">
        <v>0</v>
      </c>
      <c r="N136" t="n">
        <v>0</v>
      </c>
      <c r="O136" t="n">
        <v>3</v>
      </c>
      <c r="P136" t="n">
        <v>1</v>
      </c>
      <c r="Q136" t="n">
        <v>3</v>
      </c>
      <c r="R136" s="2" t="inlineStr">
        <is>
          <t>Rynkskinn
Granticka
Tretåig hackspett</t>
        </is>
      </c>
      <c r="S136">
        <f>HYPERLINK("https://klasma.github.io/Logging_2309/artfynd/A 30069-2022 artfynd.xlsx", "A 30069-2022")</f>
        <v/>
      </c>
      <c r="T136">
        <f>HYPERLINK("https://klasma.github.io/Logging_2309/kartor/A 30069-2022 karta.png", "A 30069-2022")</f>
        <v/>
      </c>
      <c r="V136">
        <f>HYPERLINK("https://klasma.github.io/Logging_2309/klagomål/A 30069-2022 FSC-klagomål.docx", "A 30069-2022")</f>
        <v/>
      </c>
      <c r="W136">
        <f>HYPERLINK("https://klasma.github.io/Logging_2309/klagomålsmail/A 30069-2022 FSC-klagomål mail.docx", "A 30069-2022")</f>
        <v/>
      </c>
      <c r="X136">
        <f>HYPERLINK("https://klasma.github.io/Logging_2309/tillsyn/A 30069-2022 tillsynsbegäran.docx", "A 30069-2022")</f>
        <v/>
      </c>
      <c r="Y136">
        <f>HYPERLINK("https://klasma.github.io/Logging_2309/tillsynsmail/A 30069-2022 tillsynsbegäran mail.docx", "A 30069-2022")</f>
        <v/>
      </c>
      <c r="Z136">
        <f>HYPERLINK("https://klasma.github.io/Logging_2309/fåglar/A 30069-2022 prioriterade fågelarter.docx", "A 30069-2022")</f>
        <v/>
      </c>
    </row>
    <row r="137" ht="15" customHeight="1">
      <c r="A137" t="inlineStr">
        <is>
          <t>A 58896-2024</t>
        </is>
      </c>
      <c r="B137" s="1" t="n">
        <v>45636</v>
      </c>
      <c r="C137" s="1" t="n">
        <v>45916</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71573-2021</t>
        </is>
      </c>
      <c r="B138" s="1" t="n">
        <v>44540</v>
      </c>
      <c r="C138" s="1" t="n">
        <v>45916</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45916</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23439-2024</t>
        </is>
      </c>
      <c r="B140" s="1" t="n">
        <v>45453.63133101852</v>
      </c>
      <c r="C140" s="1" t="n">
        <v>45916</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29035-2025</t>
        </is>
      </c>
      <c r="B141" s="1" t="n">
        <v>45821.44299768518</v>
      </c>
      <c r="C141" s="1" t="n">
        <v>45916</v>
      </c>
      <c r="D141" t="inlineStr">
        <is>
          <t>JÄMTLANDS LÄN</t>
        </is>
      </c>
      <c r="E141" t="inlineStr">
        <is>
          <t>KROKOM</t>
        </is>
      </c>
      <c r="G141" t="n">
        <v>45.1</v>
      </c>
      <c r="H141" t="n">
        <v>1</v>
      </c>
      <c r="I141" t="n">
        <v>1</v>
      </c>
      <c r="J141" t="n">
        <v>1</v>
      </c>
      <c r="K141" t="n">
        <v>0</v>
      </c>
      <c r="L141" t="n">
        <v>0</v>
      </c>
      <c r="M141" t="n">
        <v>1</v>
      </c>
      <c r="N141" t="n">
        <v>0</v>
      </c>
      <c r="O141" t="n">
        <v>2</v>
      </c>
      <c r="P141" t="n">
        <v>1</v>
      </c>
      <c r="Q141" t="n">
        <v>3</v>
      </c>
      <c r="R141" s="2" t="inlineStr">
        <is>
          <t>Vedtrådmossa
Lunglav
Ögonpyrola</t>
        </is>
      </c>
      <c r="S141">
        <f>HYPERLINK("https://klasma.github.io/Logging_2309/artfynd/A 29035-2025 artfynd.xlsx", "A 29035-2025")</f>
        <v/>
      </c>
      <c r="T141">
        <f>HYPERLINK("https://klasma.github.io/Logging_2309/kartor/A 29035-2025 karta.png", "A 29035-2025")</f>
        <v/>
      </c>
      <c r="V141">
        <f>HYPERLINK("https://klasma.github.io/Logging_2309/klagomål/A 29035-2025 FSC-klagomål.docx", "A 29035-2025")</f>
        <v/>
      </c>
      <c r="W141">
        <f>HYPERLINK("https://klasma.github.io/Logging_2309/klagomålsmail/A 29035-2025 FSC-klagomål mail.docx", "A 29035-2025")</f>
        <v/>
      </c>
      <c r="X141">
        <f>HYPERLINK("https://klasma.github.io/Logging_2309/tillsyn/A 29035-2025 tillsynsbegäran.docx", "A 29035-2025")</f>
        <v/>
      </c>
      <c r="Y141">
        <f>HYPERLINK("https://klasma.github.io/Logging_2309/tillsynsmail/A 29035-2025 tillsynsbegäran mail.docx", "A 29035-2025")</f>
        <v/>
      </c>
    </row>
    <row r="142" ht="15" customHeight="1">
      <c r="A142" t="inlineStr">
        <is>
          <t>A 11439-2024</t>
        </is>
      </c>
      <c r="B142" s="1" t="n">
        <v>45372</v>
      </c>
      <c r="C142" s="1" t="n">
        <v>45916</v>
      </c>
      <c r="D142" t="inlineStr">
        <is>
          <t>JÄMTLANDS LÄN</t>
        </is>
      </c>
      <c r="E142" t="inlineStr">
        <is>
          <t>KROKOM</t>
        </is>
      </c>
      <c r="G142" t="n">
        <v>33</v>
      </c>
      <c r="H142" t="n">
        <v>1</v>
      </c>
      <c r="I142" t="n">
        <v>0</v>
      </c>
      <c r="J142" t="n">
        <v>2</v>
      </c>
      <c r="K142" t="n">
        <v>1</v>
      </c>
      <c r="L142" t="n">
        <v>0</v>
      </c>
      <c r="M142" t="n">
        <v>0</v>
      </c>
      <c r="N142" t="n">
        <v>0</v>
      </c>
      <c r="O142" t="n">
        <v>3</v>
      </c>
      <c r="P142" t="n">
        <v>1</v>
      </c>
      <c r="Q142" t="n">
        <v>3</v>
      </c>
      <c r="R142" s="2" t="inlineStr">
        <is>
          <t>Tvillingspindling
Lunglav
Tretåig hackspett</t>
        </is>
      </c>
      <c r="S142">
        <f>HYPERLINK("https://klasma.github.io/Logging_2309/artfynd/A 11439-2024 artfynd.xlsx", "A 11439-2024")</f>
        <v/>
      </c>
      <c r="T142">
        <f>HYPERLINK("https://klasma.github.io/Logging_2309/kartor/A 11439-2024 karta.png", "A 11439-2024")</f>
        <v/>
      </c>
      <c r="V142">
        <f>HYPERLINK("https://klasma.github.io/Logging_2309/klagomål/A 11439-2024 FSC-klagomål.docx", "A 11439-2024")</f>
        <v/>
      </c>
      <c r="W142">
        <f>HYPERLINK("https://klasma.github.io/Logging_2309/klagomålsmail/A 11439-2024 FSC-klagomål mail.docx", "A 11439-2024")</f>
        <v/>
      </c>
      <c r="X142">
        <f>HYPERLINK("https://klasma.github.io/Logging_2309/tillsyn/A 11439-2024 tillsynsbegäran.docx", "A 11439-2024")</f>
        <v/>
      </c>
      <c r="Y142">
        <f>HYPERLINK("https://klasma.github.io/Logging_2309/tillsynsmail/A 11439-2024 tillsynsbegäran mail.docx", "A 11439-2024")</f>
        <v/>
      </c>
      <c r="Z142">
        <f>HYPERLINK("https://klasma.github.io/Logging_2309/fåglar/A 11439-2024 prioriterade fågelarter.docx", "A 11439-2024")</f>
        <v/>
      </c>
    </row>
    <row r="143" ht="15" customHeight="1">
      <c r="A143" t="inlineStr">
        <is>
          <t>A 38966-2025</t>
        </is>
      </c>
      <c r="B143" s="1" t="n">
        <v>45887.6989699074</v>
      </c>
      <c r="C143" s="1" t="n">
        <v>45916</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62113-2024</t>
        </is>
      </c>
      <c r="B144" s="1" t="n">
        <v>45656.54600694445</v>
      </c>
      <c r="C144" s="1" t="n">
        <v>45916</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5278-2025</t>
        </is>
      </c>
      <c r="B145" s="1" t="n">
        <v>45692</v>
      </c>
      <c r="C145" s="1" t="n">
        <v>45916</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54494-2023</t>
        </is>
      </c>
      <c r="B146" s="1" t="n">
        <v>45233</v>
      </c>
      <c r="C146" s="1" t="n">
        <v>45916</v>
      </c>
      <c r="D146" t="inlineStr">
        <is>
          <t>JÄMTLANDS LÄN</t>
        </is>
      </c>
      <c r="E146" t="inlineStr">
        <is>
          <t>KROKOM</t>
        </is>
      </c>
      <c r="G146" t="n">
        <v>6.2</v>
      </c>
      <c r="H146" t="n">
        <v>1</v>
      </c>
      <c r="I146" t="n">
        <v>2</v>
      </c>
      <c r="J146" t="n">
        <v>0</v>
      </c>
      <c r="K146" t="n">
        <v>0</v>
      </c>
      <c r="L146" t="n">
        <v>0</v>
      </c>
      <c r="M146" t="n">
        <v>0</v>
      </c>
      <c r="N146" t="n">
        <v>0</v>
      </c>
      <c r="O146" t="n">
        <v>0</v>
      </c>
      <c r="P146" t="n">
        <v>0</v>
      </c>
      <c r="Q146" t="n">
        <v>3</v>
      </c>
      <c r="R146" s="2" t="inlineStr">
        <is>
          <t>Finbräken
Tibast
Blåsippa</t>
        </is>
      </c>
      <c r="S146">
        <f>HYPERLINK("https://klasma.github.io/Logging_2309/artfynd/A 54494-2023 artfynd.xlsx", "A 54494-2023")</f>
        <v/>
      </c>
      <c r="T146">
        <f>HYPERLINK("https://klasma.github.io/Logging_2309/kartor/A 54494-2023 karta.png", "A 54494-2023")</f>
        <v/>
      </c>
      <c r="V146">
        <f>HYPERLINK("https://klasma.github.io/Logging_2309/klagomål/A 54494-2023 FSC-klagomål.docx", "A 54494-2023")</f>
        <v/>
      </c>
      <c r="W146">
        <f>HYPERLINK("https://klasma.github.io/Logging_2309/klagomålsmail/A 54494-2023 FSC-klagomål mail.docx", "A 54494-2023")</f>
        <v/>
      </c>
      <c r="X146">
        <f>HYPERLINK("https://klasma.github.io/Logging_2309/tillsyn/A 54494-2023 tillsynsbegäran.docx", "A 54494-2023")</f>
        <v/>
      </c>
      <c r="Y146">
        <f>HYPERLINK("https://klasma.github.io/Logging_2309/tillsynsmail/A 54494-2023 tillsynsbegäran mail.docx", "A 54494-2023")</f>
        <v/>
      </c>
    </row>
    <row r="147" ht="15" customHeight="1">
      <c r="A147" t="inlineStr">
        <is>
          <t>A 34582-2024</t>
        </is>
      </c>
      <c r="B147" s="1" t="n">
        <v>45526</v>
      </c>
      <c r="C147" s="1" t="n">
        <v>45916</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57468-2024</t>
        </is>
      </c>
      <c r="B148" s="1" t="n">
        <v>45630</v>
      </c>
      <c r="C148" s="1" t="n">
        <v>45916</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36009-2025</t>
        </is>
      </c>
      <c r="B149" s="1" t="n">
        <v>45863.58127314815</v>
      </c>
      <c r="C149" s="1" t="n">
        <v>45916</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2592-2024</t>
        </is>
      </c>
      <c r="B150" s="1" t="n">
        <v>45313</v>
      </c>
      <c r="C150" s="1" t="n">
        <v>45916</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50431-2023</t>
        </is>
      </c>
      <c r="B151" s="1" t="n">
        <v>45216.67748842593</v>
      </c>
      <c r="C151" s="1" t="n">
        <v>45916</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30068-2022</t>
        </is>
      </c>
      <c r="B152" s="1" t="n">
        <v>44757</v>
      </c>
      <c r="C152" s="1" t="n">
        <v>45916</v>
      </c>
      <c r="D152" t="inlineStr">
        <is>
          <t>JÄMTLANDS LÄN</t>
        </is>
      </c>
      <c r="E152" t="inlineStr">
        <is>
          <t>KROKOM</t>
        </is>
      </c>
      <c r="G152" t="n">
        <v>5</v>
      </c>
      <c r="H152" t="n">
        <v>1</v>
      </c>
      <c r="I152" t="n">
        <v>0</v>
      </c>
      <c r="J152" t="n">
        <v>3</v>
      </c>
      <c r="K152" t="n">
        <v>0</v>
      </c>
      <c r="L152" t="n">
        <v>0</v>
      </c>
      <c r="M152" t="n">
        <v>0</v>
      </c>
      <c r="N152" t="n">
        <v>0</v>
      </c>
      <c r="O152" t="n">
        <v>3</v>
      </c>
      <c r="P152" t="n">
        <v>0</v>
      </c>
      <c r="Q152" t="n">
        <v>3</v>
      </c>
      <c r="R152" s="2" t="inlineStr">
        <is>
          <t>Gränsticka
Tretåig hackspett
Ullticka</t>
        </is>
      </c>
      <c r="S152">
        <f>HYPERLINK("https://klasma.github.io/Logging_2309/artfynd/A 30068-2022 artfynd.xlsx", "A 30068-2022")</f>
        <v/>
      </c>
      <c r="T152">
        <f>HYPERLINK("https://klasma.github.io/Logging_2309/kartor/A 30068-2022 karta.png", "A 30068-2022")</f>
        <v/>
      </c>
      <c r="V152">
        <f>HYPERLINK("https://klasma.github.io/Logging_2309/klagomål/A 30068-2022 FSC-klagomål.docx", "A 30068-2022")</f>
        <v/>
      </c>
      <c r="W152">
        <f>HYPERLINK("https://klasma.github.io/Logging_2309/klagomålsmail/A 30068-2022 FSC-klagomål mail.docx", "A 30068-2022")</f>
        <v/>
      </c>
      <c r="X152">
        <f>HYPERLINK("https://klasma.github.io/Logging_2309/tillsyn/A 30068-2022 tillsynsbegäran.docx", "A 30068-2022")</f>
        <v/>
      </c>
      <c r="Y152">
        <f>HYPERLINK("https://klasma.github.io/Logging_2309/tillsynsmail/A 30068-2022 tillsynsbegäran mail.docx", "A 30068-2022")</f>
        <v/>
      </c>
      <c r="Z152">
        <f>HYPERLINK("https://klasma.github.io/Logging_2309/fåglar/A 30068-2022 prioriterade fågelarter.docx", "A 30068-2022")</f>
        <v/>
      </c>
    </row>
    <row r="153" ht="15" customHeight="1">
      <c r="A153" t="inlineStr">
        <is>
          <t>A 32148-2024</t>
        </is>
      </c>
      <c r="B153" s="1" t="n">
        <v>45511.55719907407</v>
      </c>
      <c r="C153" s="1" t="n">
        <v>45916</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28151-2021</t>
        </is>
      </c>
      <c r="B154" s="1" t="n">
        <v>44355</v>
      </c>
      <c r="C154" s="1" t="n">
        <v>45916</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45916</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45916</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45916</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45916</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33874-2021</t>
        </is>
      </c>
      <c r="B159" s="1" t="n">
        <v>44378</v>
      </c>
      <c r="C159" s="1" t="n">
        <v>45916</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30060-2022</t>
        </is>
      </c>
      <c r="B160" s="1" t="n">
        <v>44757</v>
      </c>
      <c r="C160" s="1" t="n">
        <v>45916</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23730-2025</t>
        </is>
      </c>
      <c r="B161" s="1" t="n">
        <v>45793.4189699074</v>
      </c>
      <c r="C161" s="1" t="n">
        <v>45916</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62453-2023</t>
        </is>
      </c>
      <c r="B162" s="1" t="n">
        <v>45268</v>
      </c>
      <c r="C162" s="1" t="n">
        <v>45916</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18032-2022</t>
        </is>
      </c>
      <c r="B163" s="1" t="n">
        <v>44683</v>
      </c>
      <c r="C163" s="1" t="n">
        <v>45916</v>
      </c>
      <c r="D163" t="inlineStr">
        <is>
          <t>JÄMTLANDS LÄN</t>
        </is>
      </c>
      <c r="E163" t="inlineStr">
        <is>
          <t>KROKOM</t>
        </is>
      </c>
      <c r="G163" t="n">
        <v>15.8</v>
      </c>
      <c r="H163" t="n">
        <v>1</v>
      </c>
      <c r="I163" t="n">
        <v>0</v>
      </c>
      <c r="J163" t="n">
        <v>1</v>
      </c>
      <c r="K163" t="n">
        <v>0</v>
      </c>
      <c r="L163" t="n">
        <v>0</v>
      </c>
      <c r="M163" t="n">
        <v>0</v>
      </c>
      <c r="N163" t="n">
        <v>0</v>
      </c>
      <c r="O163" t="n">
        <v>1</v>
      </c>
      <c r="P163" t="n">
        <v>0</v>
      </c>
      <c r="Q163" t="n">
        <v>2</v>
      </c>
      <c r="R163" s="2" t="inlineStr">
        <is>
          <t>Brunklöver
Brudsporre</t>
        </is>
      </c>
      <c r="S163">
        <f>HYPERLINK("https://klasma.github.io/Logging_2309/artfynd/A 18032-2022 artfynd.xlsx", "A 18032-2022")</f>
        <v/>
      </c>
      <c r="T163">
        <f>HYPERLINK("https://klasma.github.io/Logging_2309/kartor/A 18032-2022 karta.png", "A 18032-2022")</f>
        <v/>
      </c>
      <c r="V163">
        <f>HYPERLINK("https://klasma.github.io/Logging_2309/klagomål/A 18032-2022 FSC-klagomål.docx", "A 18032-2022")</f>
        <v/>
      </c>
      <c r="W163">
        <f>HYPERLINK("https://klasma.github.io/Logging_2309/klagomålsmail/A 18032-2022 FSC-klagomål mail.docx", "A 18032-2022")</f>
        <v/>
      </c>
      <c r="X163">
        <f>HYPERLINK("https://klasma.github.io/Logging_2309/tillsyn/A 18032-2022 tillsynsbegäran.docx", "A 18032-2022")</f>
        <v/>
      </c>
      <c r="Y163">
        <f>HYPERLINK("https://klasma.github.io/Logging_2309/tillsynsmail/A 18032-2022 tillsynsbegäran mail.docx", "A 18032-2022")</f>
        <v/>
      </c>
    </row>
    <row r="164" ht="15" customHeight="1">
      <c r="A164" t="inlineStr">
        <is>
          <t>A 7575-2024</t>
        </is>
      </c>
      <c r="B164" s="1" t="n">
        <v>45348</v>
      </c>
      <c r="C164" s="1" t="n">
        <v>45916</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25952-2025</t>
        </is>
      </c>
      <c r="B165" s="1" t="n">
        <v>45804.60005787037</v>
      </c>
      <c r="C165" s="1" t="n">
        <v>45916</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60419-2024</t>
        </is>
      </c>
      <c r="B166" s="1" t="n">
        <v>45643.53393518519</v>
      </c>
      <c r="C166" s="1" t="n">
        <v>45916</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45916</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37509-2025</t>
        </is>
      </c>
      <c r="B168" s="1" t="n">
        <v>45877.67787037037</v>
      </c>
      <c r="C168" s="1" t="n">
        <v>45916</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35891-2025</t>
        </is>
      </c>
      <c r="B169" s="1" t="n">
        <v>45862</v>
      </c>
      <c r="C169" s="1" t="n">
        <v>45916</v>
      </c>
      <c r="D169" t="inlineStr">
        <is>
          <t>JÄMTLANDS LÄN</t>
        </is>
      </c>
      <c r="E169" t="inlineStr">
        <is>
          <t>KROKOM</t>
        </is>
      </c>
      <c r="G169" t="n">
        <v>10.1</v>
      </c>
      <c r="H169" t="n">
        <v>0</v>
      </c>
      <c r="I169" t="n">
        <v>0</v>
      </c>
      <c r="J169" t="n">
        <v>2</v>
      </c>
      <c r="K169" t="n">
        <v>0</v>
      </c>
      <c r="L169" t="n">
        <v>0</v>
      </c>
      <c r="M169" t="n">
        <v>0</v>
      </c>
      <c r="N169" t="n">
        <v>0</v>
      </c>
      <c r="O169" t="n">
        <v>2</v>
      </c>
      <c r="P169" t="n">
        <v>0</v>
      </c>
      <c r="Q169" t="n">
        <v>2</v>
      </c>
      <c r="R169" s="2" t="inlineStr">
        <is>
          <t>Vaddporing
Vedskivlav</t>
        </is>
      </c>
      <c r="S169">
        <f>HYPERLINK("https://klasma.github.io/Logging_2309/artfynd/A 35891-2025 artfynd.xlsx", "A 35891-2025")</f>
        <v/>
      </c>
      <c r="T169">
        <f>HYPERLINK("https://klasma.github.io/Logging_2309/kartor/A 35891-2025 karta.png", "A 35891-2025")</f>
        <v/>
      </c>
      <c r="V169">
        <f>HYPERLINK("https://klasma.github.io/Logging_2309/klagomål/A 35891-2025 FSC-klagomål.docx", "A 35891-2025")</f>
        <v/>
      </c>
      <c r="W169">
        <f>HYPERLINK("https://klasma.github.io/Logging_2309/klagomålsmail/A 35891-2025 FSC-klagomål mail.docx", "A 35891-2025")</f>
        <v/>
      </c>
      <c r="X169">
        <f>HYPERLINK("https://klasma.github.io/Logging_2309/tillsyn/A 35891-2025 tillsynsbegäran.docx", "A 35891-2025")</f>
        <v/>
      </c>
      <c r="Y169">
        <f>HYPERLINK("https://klasma.github.io/Logging_2309/tillsynsmail/A 35891-2025 tillsynsbegäran mail.docx", "A 35891-2025")</f>
        <v/>
      </c>
    </row>
    <row r="170" ht="15" customHeight="1">
      <c r="A170" t="inlineStr">
        <is>
          <t>A 49386-2024</t>
        </is>
      </c>
      <c r="B170" s="1" t="n">
        <v>45595</v>
      </c>
      <c r="C170" s="1" t="n">
        <v>45916</v>
      </c>
      <c r="D170" t="inlineStr">
        <is>
          <t>JÄMTLANDS LÄN</t>
        </is>
      </c>
      <c r="E170" t="inlineStr">
        <is>
          <t>KROKOM</t>
        </is>
      </c>
      <c r="G170" t="n">
        <v>6.8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49386-2024 artfynd.xlsx", "A 49386-2024")</f>
        <v/>
      </c>
      <c r="T170">
        <f>HYPERLINK("https://klasma.github.io/Logging_2309/kartor/A 49386-2024 karta.png", "A 49386-2024")</f>
        <v/>
      </c>
      <c r="V170">
        <f>HYPERLINK("https://klasma.github.io/Logging_2309/klagomål/A 49386-2024 FSC-klagomål.docx", "A 49386-2024")</f>
        <v/>
      </c>
      <c r="W170">
        <f>HYPERLINK("https://klasma.github.io/Logging_2309/klagomålsmail/A 49386-2024 FSC-klagomål mail.docx", "A 49386-2024")</f>
        <v/>
      </c>
      <c r="X170">
        <f>HYPERLINK("https://klasma.github.io/Logging_2309/tillsyn/A 49386-2024 tillsynsbegäran.docx", "A 49386-2024")</f>
        <v/>
      </c>
      <c r="Y170">
        <f>HYPERLINK("https://klasma.github.io/Logging_2309/tillsynsmail/A 49386-2024 tillsynsbegäran mail.docx", "A 49386-2024")</f>
        <v/>
      </c>
      <c r="Z170">
        <f>HYPERLINK("https://klasma.github.io/Logging_2309/fåglar/A 49386-2024 prioriterade fågelarter.docx", "A 49386-2024")</f>
        <v/>
      </c>
    </row>
    <row r="171" ht="15" customHeight="1">
      <c r="A171" t="inlineStr">
        <is>
          <t>A 40508-2025</t>
        </is>
      </c>
      <c r="B171" s="1" t="n">
        <v>45896.34465277778</v>
      </c>
      <c r="C171" s="1" t="n">
        <v>45916</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14589-2021</t>
        </is>
      </c>
      <c r="B172" s="1" t="n">
        <v>44279</v>
      </c>
      <c r="C172" s="1" t="n">
        <v>45916</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36011-2025</t>
        </is>
      </c>
      <c r="B173" s="1" t="n">
        <v>45863.59111111111</v>
      </c>
      <c r="C173" s="1" t="n">
        <v>45916</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52021-2023</t>
        </is>
      </c>
      <c r="B174" s="1" t="n">
        <v>45223</v>
      </c>
      <c r="C174" s="1" t="n">
        <v>45916</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61692-2024</t>
        </is>
      </c>
      <c r="B175" s="1" t="n">
        <v>45647</v>
      </c>
      <c r="C175" s="1" t="n">
        <v>45916</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40236-2024</t>
        </is>
      </c>
      <c r="B176" s="1" t="n">
        <v>45554</v>
      </c>
      <c r="C176" s="1" t="n">
        <v>45916</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36445-2025</t>
        </is>
      </c>
      <c r="B177" s="1" t="n">
        <v>45869</v>
      </c>
      <c r="C177" s="1" t="n">
        <v>45916</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54189-2022</t>
        </is>
      </c>
      <c r="B178" s="1" t="n">
        <v>44879</v>
      </c>
      <c r="C178" s="1" t="n">
        <v>45916</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11984-2024</t>
        </is>
      </c>
      <c r="B179" s="1" t="n">
        <v>45376</v>
      </c>
      <c r="C179" s="1" t="n">
        <v>45916</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1698-2021</t>
        </is>
      </c>
      <c r="B180" s="1" t="n">
        <v>44209</v>
      </c>
      <c r="C180" s="1" t="n">
        <v>45916</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71571-2021</t>
        </is>
      </c>
      <c r="B181" s="1" t="n">
        <v>44540</v>
      </c>
      <c r="C181" s="1" t="n">
        <v>45916</v>
      </c>
      <c r="D181" t="inlineStr">
        <is>
          <t>JÄMTLANDS LÄN</t>
        </is>
      </c>
      <c r="E181" t="inlineStr">
        <is>
          <t>KROKOM</t>
        </is>
      </c>
      <c r="G181" t="n">
        <v>0.7</v>
      </c>
      <c r="H181" t="n">
        <v>0</v>
      </c>
      <c r="I181" t="n">
        <v>1</v>
      </c>
      <c r="J181" t="n">
        <v>1</v>
      </c>
      <c r="K181" t="n">
        <v>0</v>
      </c>
      <c r="L181" t="n">
        <v>0</v>
      </c>
      <c r="M181" t="n">
        <v>0</v>
      </c>
      <c r="N181" t="n">
        <v>0</v>
      </c>
      <c r="O181" t="n">
        <v>1</v>
      </c>
      <c r="P181" t="n">
        <v>0</v>
      </c>
      <c r="Q181" t="n">
        <v>2</v>
      </c>
      <c r="R181" s="2" t="inlineStr">
        <is>
          <t>Skrovellav
Kryddspindling</t>
        </is>
      </c>
      <c r="S181">
        <f>HYPERLINK("https://klasma.github.io/Logging_2309/artfynd/A 71571-2021 artfynd.xlsx", "A 71571-2021")</f>
        <v/>
      </c>
      <c r="T181">
        <f>HYPERLINK("https://klasma.github.io/Logging_2309/kartor/A 71571-2021 karta.png", "A 71571-2021")</f>
        <v/>
      </c>
      <c r="V181">
        <f>HYPERLINK("https://klasma.github.io/Logging_2309/klagomål/A 71571-2021 FSC-klagomål.docx", "A 71571-2021")</f>
        <v/>
      </c>
      <c r="W181">
        <f>HYPERLINK("https://klasma.github.io/Logging_2309/klagomålsmail/A 71571-2021 FSC-klagomål mail.docx", "A 71571-2021")</f>
        <v/>
      </c>
      <c r="X181">
        <f>HYPERLINK("https://klasma.github.io/Logging_2309/tillsyn/A 71571-2021 tillsynsbegäran.docx", "A 71571-2021")</f>
        <v/>
      </c>
      <c r="Y181">
        <f>HYPERLINK("https://klasma.github.io/Logging_2309/tillsynsmail/A 71571-2021 tillsynsbegäran mail.docx", "A 71571-2021")</f>
        <v/>
      </c>
    </row>
    <row r="182" ht="15" customHeight="1">
      <c r="A182" t="inlineStr">
        <is>
          <t>A 48863-2020</t>
        </is>
      </c>
      <c r="B182" s="1" t="n">
        <v>44099</v>
      </c>
      <c r="C182" s="1" t="n">
        <v>45916</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45916</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45626-2020</t>
        </is>
      </c>
      <c r="B184" s="1" t="n">
        <v>44090</v>
      </c>
      <c r="C184" s="1" t="n">
        <v>45916</v>
      </c>
      <c r="D184" t="inlineStr">
        <is>
          <t>JÄMTLANDS LÄN</t>
        </is>
      </c>
      <c r="E184" t="inlineStr">
        <is>
          <t>KROKOM</t>
        </is>
      </c>
      <c r="G184" t="n">
        <v>1</v>
      </c>
      <c r="H184" t="n">
        <v>0</v>
      </c>
      <c r="I184" t="n">
        <v>0</v>
      </c>
      <c r="J184" t="n">
        <v>1</v>
      </c>
      <c r="K184" t="n">
        <v>0</v>
      </c>
      <c r="L184" t="n">
        <v>0</v>
      </c>
      <c r="M184" t="n">
        <v>0</v>
      </c>
      <c r="N184" t="n">
        <v>0</v>
      </c>
      <c r="O184" t="n">
        <v>1</v>
      </c>
      <c r="P184" t="n">
        <v>0</v>
      </c>
      <c r="Q184" t="n">
        <v>1</v>
      </c>
      <c r="R184" s="2" t="inlineStr">
        <is>
          <t>Dofttaggsvamp</t>
        </is>
      </c>
      <c r="S184">
        <f>HYPERLINK("https://klasma.github.io/Logging_2309/artfynd/A 45626-2020 artfynd.xlsx", "A 45626-2020")</f>
        <v/>
      </c>
      <c r="T184">
        <f>HYPERLINK("https://klasma.github.io/Logging_2309/kartor/A 45626-2020 karta.png", "A 45626-2020")</f>
        <v/>
      </c>
      <c r="V184">
        <f>HYPERLINK("https://klasma.github.io/Logging_2309/klagomål/A 45626-2020 FSC-klagomål.docx", "A 45626-2020")</f>
        <v/>
      </c>
      <c r="W184">
        <f>HYPERLINK("https://klasma.github.io/Logging_2309/klagomålsmail/A 45626-2020 FSC-klagomål mail.docx", "A 45626-2020")</f>
        <v/>
      </c>
      <c r="X184">
        <f>HYPERLINK("https://klasma.github.io/Logging_2309/tillsyn/A 45626-2020 tillsynsbegäran.docx", "A 45626-2020")</f>
        <v/>
      </c>
      <c r="Y184">
        <f>HYPERLINK("https://klasma.github.io/Logging_2309/tillsynsmail/A 45626-2020 tillsynsbegäran mail.docx", "A 45626-2020")</f>
        <v/>
      </c>
    </row>
    <row r="185" ht="15" customHeight="1">
      <c r="A185" t="inlineStr">
        <is>
          <t>A 64951-2021</t>
        </is>
      </c>
      <c r="B185" s="1" t="n">
        <v>44512</v>
      </c>
      <c r="C185" s="1" t="n">
        <v>45916</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45916</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45916</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45916</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1112-2021</t>
        </is>
      </c>
      <c r="B189" s="1" t="n">
        <v>44207</v>
      </c>
      <c r="C189" s="1" t="n">
        <v>45916</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45916</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45916</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45916</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25041-2022</t>
        </is>
      </c>
      <c r="B193" s="1" t="n">
        <v>44728</v>
      </c>
      <c r="C193" s="1" t="n">
        <v>45916</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32756-2023</t>
        </is>
      </c>
      <c r="B194" s="1" t="n">
        <v>45123</v>
      </c>
      <c r="C194" s="1" t="n">
        <v>45916</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45916</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27753-2023</t>
        </is>
      </c>
      <c r="B196" s="1" t="n">
        <v>45098</v>
      </c>
      <c r="C196" s="1" t="n">
        <v>45916</v>
      </c>
      <c r="D196" t="inlineStr">
        <is>
          <t>JÄMTLANDS LÄN</t>
        </is>
      </c>
      <c r="E196" t="inlineStr">
        <is>
          <t>KROKOM</t>
        </is>
      </c>
      <c r="F196" t="inlineStr">
        <is>
          <t>Övriga Aktiebolag</t>
        </is>
      </c>
      <c r="G196" t="n">
        <v>20.9</v>
      </c>
      <c r="H196" t="n">
        <v>0</v>
      </c>
      <c r="I196" t="n">
        <v>0</v>
      </c>
      <c r="J196" t="n">
        <v>1</v>
      </c>
      <c r="K196" t="n">
        <v>0</v>
      </c>
      <c r="L196" t="n">
        <v>0</v>
      </c>
      <c r="M196" t="n">
        <v>0</v>
      </c>
      <c r="N196" t="n">
        <v>0</v>
      </c>
      <c r="O196" t="n">
        <v>1</v>
      </c>
      <c r="P196" t="n">
        <v>0</v>
      </c>
      <c r="Q196" t="n">
        <v>1</v>
      </c>
      <c r="R196" s="2" t="inlineStr">
        <is>
          <t>Mörk kolflarnlav</t>
        </is>
      </c>
      <c r="S196">
        <f>HYPERLINK("https://klasma.github.io/Logging_2309/artfynd/A 27753-2023 artfynd.xlsx", "A 27753-2023")</f>
        <v/>
      </c>
      <c r="T196">
        <f>HYPERLINK("https://klasma.github.io/Logging_2309/kartor/A 27753-2023 karta.png", "A 27753-2023")</f>
        <v/>
      </c>
      <c r="V196">
        <f>HYPERLINK("https://klasma.github.io/Logging_2309/klagomål/A 27753-2023 FSC-klagomål.docx", "A 27753-2023")</f>
        <v/>
      </c>
      <c r="W196">
        <f>HYPERLINK("https://klasma.github.io/Logging_2309/klagomålsmail/A 27753-2023 FSC-klagomål mail.docx", "A 27753-2023")</f>
        <v/>
      </c>
      <c r="X196">
        <f>HYPERLINK("https://klasma.github.io/Logging_2309/tillsyn/A 27753-2023 tillsynsbegäran.docx", "A 27753-2023")</f>
        <v/>
      </c>
      <c r="Y196">
        <f>HYPERLINK("https://klasma.github.io/Logging_2309/tillsynsmail/A 27753-2023 tillsynsbegäran mail.docx", "A 27753-2023")</f>
        <v/>
      </c>
    </row>
    <row r="197" ht="15" customHeight="1">
      <c r="A197" t="inlineStr">
        <is>
          <t>A 25285-2023</t>
        </is>
      </c>
      <c r="B197" s="1" t="n">
        <v>45079</v>
      </c>
      <c r="C197" s="1" t="n">
        <v>45916</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804-2022</t>
        </is>
      </c>
      <c r="B198" s="1" t="n">
        <v>44568</v>
      </c>
      <c r="C198" s="1" t="n">
        <v>45916</v>
      </c>
      <c r="D198" t="inlineStr">
        <is>
          <t>JÄMTLANDS LÄN</t>
        </is>
      </c>
      <c r="E198" t="inlineStr">
        <is>
          <t>KROKOM</t>
        </is>
      </c>
      <c r="G198" t="n">
        <v>20</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804-2022 artfynd.xlsx", "A 804-2022")</f>
        <v/>
      </c>
      <c r="T198">
        <f>HYPERLINK("https://klasma.github.io/Logging_2309/kartor/A 804-2022 karta.png", "A 804-2022")</f>
        <v/>
      </c>
      <c r="V198">
        <f>HYPERLINK("https://klasma.github.io/Logging_2309/klagomål/A 804-2022 FSC-klagomål.docx", "A 804-2022")</f>
        <v/>
      </c>
      <c r="W198">
        <f>HYPERLINK("https://klasma.github.io/Logging_2309/klagomålsmail/A 804-2022 FSC-klagomål mail.docx", "A 804-2022")</f>
        <v/>
      </c>
      <c r="X198">
        <f>HYPERLINK("https://klasma.github.io/Logging_2309/tillsyn/A 804-2022 tillsynsbegäran.docx", "A 804-2022")</f>
        <v/>
      </c>
      <c r="Y198">
        <f>HYPERLINK("https://klasma.github.io/Logging_2309/tillsynsmail/A 804-2022 tillsynsbegäran mail.docx", "A 804-2022")</f>
        <v/>
      </c>
      <c r="Z198">
        <f>HYPERLINK("https://klasma.github.io/Logging_2309/fåglar/A 804-2022 prioriterade fågelarter.docx", "A 804-2022")</f>
        <v/>
      </c>
    </row>
    <row r="199" ht="15" customHeight="1">
      <c r="A199" t="inlineStr">
        <is>
          <t>A 62936-2023</t>
        </is>
      </c>
      <c r="B199" s="1" t="n">
        <v>45271</v>
      </c>
      <c r="C199" s="1" t="n">
        <v>45916</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49388-2024</t>
        </is>
      </c>
      <c r="B200" s="1" t="n">
        <v>45595</v>
      </c>
      <c r="C200" s="1" t="n">
        <v>45916</v>
      </c>
      <c r="D200" t="inlineStr">
        <is>
          <t>JÄMTLANDS LÄN</t>
        </is>
      </c>
      <c r="E200" t="inlineStr">
        <is>
          <t>KROKOM</t>
        </is>
      </c>
      <c r="G200" t="n">
        <v>7.4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49388-2024 artfynd.xlsx", "A 49388-2024")</f>
        <v/>
      </c>
      <c r="T200">
        <f>HYPERLINK("https://klasma.github.io/Logging_2309/kartor/A 49388-2024 karta.png", "A 49388-2024")</f>
        <v/>
      </c>
      <c r="V200">
        <f>HYPERLINK("https://klasma.github.io/Logging_2309/klagomål/A 49388-2024 FSC-klagomål.docx", "A 49388-2024")</f>
        <v/>
      </c>
      <c r="W200">
        <f>HYPERLINK("https://klasma.github.io/Logging_2309/klagomålsmail/A 49388-2024 FSC-klagomål mail.docx", "A 49388-2024")</f>
        <v/>
      </c>
      <c r="X200">
        <f>HYPERLINK("https://klasma.github.io/Logging_2309/tillsyn/A 49388-2024 tillsynsbegäran.docx", "A 49388-2024")</f>
        <v/>
      </c>
      <c r="Y200">
        <f>HYPERLINK("https://klasma.github.io/Logging_2309/tillsynsmail/A 49388-2024 tillsynsbegäran mail.docx", "A 49388-2024")</f>
        <v/>
      </c>
      <c r="Z200">
        <f>HYPERLINK("https://klasma.github.io/Logging_2309/fåglar/A 49388-2024 prioriterade fågelarter.docx", "A 49388-2024")</f>
        <v/>
      </c>
    </row>
    <row r="201" ht="15" customHeight="1">
      <c r="A201" t="inlineStr">
        <is>
          <t>A 25268-2025</t>
        </is>
      </c>
      <c r="B201" s="1" t="n">
        <v>45800</v>
      </c>
      <c r="C201" s="1" t="n">
        <v>45916</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814-2022</t>
        </is>
      </c>
      <c r="B202" s="1" t="n">
        <v>44568</v>
      </c>
      <c r="C202" s="1" t="n">
        <v>45916</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58805-2024</t>
        </is>
      </c>
      <c r="B203" s="1" t="n">
        <v>45635</v>
      </c>
      <c r="C203" s="1" t="n">
        <v>45916</v>
      </c>
      <c r="D203" t="inlineStr">
        <is>
          <t>JÄMTLANDS LÄN</t>
        </is>
      </c>
      <c r="E203" t="inlineStr">
        <is>
          <t>KROKOM</t>
        </is>
      </c>
      <c r="G203" t="n">
        <v>4.7</v>
      </c>
      <c r="H203" t="n">
        <v>1</v>
      </c>
      <c r="I203" t="n">
        <v>0</v>
      </c>
      <c r="J203" t="n">
        <v>0</v>
      </c>
      <c r="K203" t="n">
        <v>0</v>
      </c>
      <c r="L203" t="n">
        <v>0</v>
      </c>
      <c r="M203" t="n">
        <v>0</v>
      </c>
      <c r="N203" t="n">
        <v>0</v>
      </c>
      <c r="O203" t="n">
        <v>0</v>
      </c>
      <c r="P203" t="n">
        <v>0</v>
      </c>
      <c r="Q203" t="n">
        <v>1</v>
      </c>
      <c r="R203" s="2" t="inlineStr">
        <is>
          <t>Brudsporre</t>
        </is>
      </c>
      <c r="S203">
        <f>HYPERLINK("https://klasma.github.io/Logging_2309/artfynd/A 58805-2024 artfynd.xlsx", "A 58805-2024")</f>
        <v/>
      </c>
      <c r="T203">
        <f>HYPERLINK("https://klasma.github.io/Logging_2309/kartor/A 58805-2024 karta.png", "A 58805-2024")</f>
        <v/>
      </c>
      <c r="V203">
        <f>HYPERLINK("https://klasma.github.io/Logging_2309/klagomål/A 58805-2024 FSC-klagomål.docx", "A 58805-2024")</f>
        <v/>
      </c>
      <c r="W203">
        <f>HYPERLINK("https://klasma.github.io/Logging_2309/klagomålsmail/A 58805-2024 FSC-klagomål mail.docx", "A 58805-2024")</f>
        <v/>
      </c>
      <c r="X203">
        <f>HYPERLINK("https://klasma.github.io/Logging_2309/tillsyn/A 58805-2024 tillsynsbegäran.docx", "A 58805-2024")</f>
        <v/>
      </c>
      <c r="Y203">
        <f>HYPERLINK("https://klasma.github.io/Logging_2309/tillsynsmail/A 58805-2024 tillsynsbegäran mail.docx", "A 58805-2024")</f>
        <v/>
      </c>
    </row>
    <row r="204" ht="15" customHeight="1">
      <c r="A204" t="inlineStr">
        <is>
          <t>A 61240-2024</t>
        </is>
      </c>
      <c r="B204" s="1" t="n">
        <v>45645.67945601852</v>
      </c>
      <c r="C204" s="1" t="n">
        <v>45916</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806-2022</t>
        </is>
      </c>
      <c r="B205" s="1" t="n">
        <v>44568</v>
      </c>
      <c r="C205" s="1" t="n">
        <v>45916</v>
      </c>
      <c r="D205" t="inlineStr">
        <is>
          <t>JÄMTLANDS LÄN</t>
        </is>
      </c>
      <c r="E205" t="inlineStr">
        <is>
          <t>KROKOM</t>
        </is>
      </c>
      <c r="G205" t="n">
        <v>46.8</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806-2022 artfynd.xlsx", "A 806-2022")</f>
        <v/>
      </c>
      <c r="T205">
        <f>HYPERLINK("https://klasma.github.io/Logging_2309/kartor/A 806-2022 karta.png", "A 806-2022")</f>
        <v/>
      </c>
      <c r="V205">
        <f>HYPERLINK("https://klasma.github.io/Logging_2309/klagomål/A 806-2022 FSC-klagomål.docx", "A 806-2022")</f>
        <v/>
      </c>
      <c r="W205">
        <f>HYPERLINK("https://klasma.github.io/Logging_2309/klagomålsmail/A 806-2022 FSC-klagomål mail.docx", "A 806-2022")</f>
        <v/>
      </c>
      <c r="X205">
        <f>HYPERLINK("https://klasma.github.io/Logging_2309/tillsyn/A 806-2022 tillsynsbegäran.docx", "A 806-2022")</f>
        <v/>
      </c>
      <c r="Y205">
        <f>HYPERLINK("https://klasma.github.io/Logging_2309/tillsynsmail/A 806-2022 tillsynsbegäran mail.docx", "A 806-2022")</f>
        <v/>
      </c>
      <c r="Z205">
        <f>HYPERLINK("https://klasma.github.io/Logging_2309/fåglar/A 806-2022 prioriterade fågelarter.docx", "A 806-2022")</f>
        <v/>
      </c>
    </row>
    <row r="206" ht="15" customHeight="1">
      <c r="A206" t="inlineStr">
        <is>
          <t>A 28660-2025</t>
        </is>
      </c>
      <c r="B206" s="1" t="n">
        <v>45819.65796296296</v>
      </c>
      <c r="C206" s="1" t="n">
        <v>45916</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42258-2023</t>
        </is>
      </c>
      <c r="B207" s="1" t="n">
        <v>45180</v>
      </c>
      <c r="C207" s="1" t="n">
        <v>45916</v>
      </c>
      <c r="D207" t="inlineStr">
        <is>
          <t>JÄMTLANDS LÄN</t>
        </is>
      </c>
      <c r="E207" t="inlineStr">
        <is>
          <t>KROKOM</t>
        </is>
      </c>
      <c r="F207" t="inlineStr">
        <is>
          <t>Övriga Aktiebolag</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42258-2023 artfynd.xlsx", "A 42258-2023")</f>
        <v/>
      </c>
      <c r="T207">
        <f>HYPERLINK("https://klasma.github.io/Logging_2309/kartor/A 42258-2023 karta.png", "A 42258-2023")</f>
        <v/>
      </c>
      <c r="V207">
        <f>HYPERLINK("https://klasma.github.io/Logging_2309/klagomål/A 42258-2023 FSC-klagomål.docx", "A 42258-2023")</f>
        <v/>
      </c>
      <c r="W207">
        <f>HYPERLINK("https://klasma.github.io/Logging_2309/klagomålsmail/A 42258-2023 FSC-klagomål mail.docx", "A 42258-2023")</f>
        <v/>
      </c>
      <c r="X207">
        <f>HYPERLINK("https://klasma.github.io/Logging_2309/tillsyn/A 42258-2023 tillsynsbegäran.docx", "A 42258-2023")</f>
        <v/>
      </c>
      <c r="Y207">
        <f>HYPERLINK("https://klasma.github.io/Logging_2309/tillsynsmail/A 42258-2023 tillsynsbegäran mail.docx", "A 42258-2023")</f>
        <v/>
      </c>
      <c r="Z207">
        <f>HYPERLINK("https://klasma.github.io/Logging_2309/fåglar/A 42258-2023 prioriterade fågelarter.docx", "A 42258-2023")</f>
        <v/>
      </c>
    </row>
    <row r="208" ht="15" customHeight="1">
      <c r="A208" t="inlineStr">
        <is>
          <t>A 29941-2025</t>
        </is>
      </c>
      <c r="B208" s="1" t="n">
        <v>45826.45174768518</v>
      </c>
      <c r="C208" s="1" t="n">
        <v>45916</v>
      </c>
      <c r="D208" t="inlineStr">
        <is>
          <t>JÄMTLANDS LÄN</t>
        </is>
      </c>
      <c r="E208" t="inlineStr">
        <is>
          <t>KROKOM</t>
        </is>
      </c>
      <c r="G208" t="n">
        <v>12.4</v>
      </c>
      <c r="H208" t="n">
        <v>0</v>
      </c>
      <c r="I208" t="n">
        <v>0</v>
      </c>
      <c r="J208" t="n">
        <v>0</v>
      </c>
      <c r="K208" t="n">
        <v>0</v>
      </c>
      <c r="L208" t="n">
        <v>1</v>
      </c>
      <c r="M208" t="n">
        <v>0</v>
      </c>
      <c r="N208" t="n">
        <v>0</v>
      </c>
      <c r="O208" t="n">
        <v>1</v>
      </c>
      <c r="P208" t="n">
        <v>1</v>
      </c>
      <c r="Q208" t="n">
        <v>1</v>
      </c>
      <c r="R208" s="2" t="inlineStr">
        <is>
          <t>Lilafotad fingersvamp</t>
        </is>
      </c>
      <c r="S208">
        <f>HYPERLINK("https://klasma.github.io/Logging_2309/artfynd/A 29941-2025 artfynd.xlsx", "A 29941-2025")</f>
        <v/>
      </c>
      <c r="T208">
        <f>HYPERLINK("https://klasma.github.io/Logging_2309/kartor/A 29941-2025 karta.png", "A 29941-2025")</f>
        <v/>
      </c>
      <c r="V208">
        <f>HYPERLINK("https://klasma.github.io/Logging_2309/klagomål/A 29941-2025 FSC-klagomål.docx", "A 29941-2025")</f>
        <v/>
      </c>
      <c r="W208">
        <f>HYPERLINK("https://klasma.github.io/Logging_2309/klagomålsmail/A 29941-2025 FSC-klagomål mail.docx", "A 29941-2025")</f>
        <v/>
      </c>
      <c r="X208">
        <f>HYPERLINK("https://klasma.github.io/Logging_2309/tillsyn/A 29941-2025 tillsynsbegäran.docx", "A 29941-2025")</f>
        <v/>
      </c>
      <c r="Y208">
        <f>HYPERLINK("https://klasma.github.io/Logging_2309/tillsynsmail/A 29941-2025 tillsynsbegäran mail.docx", "A 29941-2025")</f>
        <v/>
      </c>
    </row>
    <row r="209" ht="15" customHeight="1">
      <c r="A209" t="inlineStr">
        <is>
          <t>A 15430-2023</t>
        </is>
      </c>
      <c r="B209" s="1" t="n">
        <v>45020</v>
      </c>
      <c r="C209" s="1" t="n">
        <v>45916</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52486-2024</t>
        </is>
      </c>
      <c r="B210" s="1" t="n">
        <v>45609</v>
      </c>
      <c r="C210" s="1" t="n">
        <v>45916</v>
      </c>
      <c r="D210" t="inlineStr">
        <is>
          <t>JÄMTLANDS LÄN</t>
        </is>
      </c>
      <c r="E210" t="inlineStr">
        <is>
          <t>KROKOM</t>
        </is>
      </c>
      <c r="G210" t="n">
        <v>20.6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52486-2024 artfynd.xlsx", "A 52486-2024")</f>
        <v/>
      </c>
      <c r="T210">
        <f>HYPERLINK("https://klasma.github.io/Logging_2309/kartor/A 52486-2024 karta.png", "A 52486-2024")</f>
        <v/>
      </c>
      <c r="V210">
        <f>HYPERLINK("https://klasma.github.io/Logging_2309/klagomål/A 52486-2024 FSC-klagomål.docx", "A 52486-2024")</f>
        <v/>
      </c>
      <c r="W210">
        <f>HYPERLINK("https://klasma.github.io/Logging_2309/klagomålsmail/A 52486-2024 FSC-klagomål mail.docx", "A 52486-2024")</f>
        <v/>
      </c>
      <c r="X210">
        <f>HYPERLINK("https://klasma.github.io/Logging_2309/tillsyn/A 52486-2024 tillsynsbegäran.docx", "A 52486-2024")</f>
        <v/>
      </c>
      <c r="Y210">
        <f>HYPERLINK("https://klasma.github.io/Logging_2309/tillsynsmail/A 52486-2024 tillsynsbegäran mail.docx", "A 52486-2024")</f>
        <v/>
      </c>
      <c r="Z210">
        <f>HYPERLINK("https://klasma.github.io/Logging_2309/fåglar/A 52486-2024 prioriterade fågelarter.docx", "A 52486-2024")</f>
        <v/>
      </c>
    </row>
    <row r="211" ht="15" customHeight="1">
      <c r="A211" t="inlineStr">
        <is>
          <t>A 49175-2024</t>
        </is>
      </c>
      <c r="B211" s="1" t="n">
        <v>45595</v>
      </c>
      <c r="C211" s="1" t="n">
        <v>45916</v>
      </c>
      <c r="D211" t="inlineStr">
        <is>
          <t>JÄMTLANDS LÄN</t>
        </is>
      </c>
      <c r="E211" t="inlineStr">
        <is>
          <t>KROKOM</t>
        </is>
      </c>
      <c r="G211" t="n">
        <v>172.9</v>
      </c>
      <c r="H211" t="n">
        <v>0</v>
      </c>
      <c r="I211" t="n">
        <v>0</v>
      </c>
      <c r="J211" t="n">
        <v>1</v>
      </c>
      <c r="K211" t="n">
        <v>0</v>
      </c>
      <c r="L211" t="n">
        <v>0</v>
      </c>
      <c r="M211" t="n">
        <v>0</v>
      </c>
      <c r="N211" t="n">
        <v>0</v>
      </c>
      <c r="O211" t="n">
        <v>1</v>
      </c>
      <c r="P211" t="n">
        <v>0</v>
      </c>
      <c r="Q211" t="n">
        <v>1</v>
      </c>
      <c r="R211" s="2" t="inlineStr">
        <is>
          <t>Granticka</t>
        </is>
      </c>
      <c r="S211">
        <f>HYPERLINK("https://klasma.github.io/Logging_2309/artfynd/A 49175-2024 artfynd.xlsx", "A 49175-2024")</f>
        <v/>
      </c>
      <c r="T211">
        <f>HYPERLINK("https://klasma.github.io/Logging_2309/kartor/A 49175-2024 karta.png", "A 49175-2024")</f>
        <v/>
      </c>
      <c r="V211">
        <f>HYPERLINK("https://klasma.github.io/Logging_2309/klagomål/A 49175-2024 FSC-klagomål.docx", "A 49175-2024")</f>
        <v/>
      </c>
      <c r="W211">
        <f>HYPERLINK("https://klasma.github.io/Logging_2309/klagomålsmail/A 49175-2024 FSC-klagomål mail.docx", "A 49175-2024")</f>
        <v/>
      </c>
      <c r="X211">
        <f>HYPERLINK("https://klasma.github.io/Logging_2309/tillsyn/A 49175-2024 tillsynsbegäran.docx", "A 49175-2024")</f>
        <v/>
      </c>
      <c r="Y211">
        <f>HYPERLINK("https://klasma.github.io/Logging_2309/tillsynsmail/A 49175-2024 tillsynsbegäran mail.docx", "A 49175-2024")</f>
        <v/>
      </c>
    </row>
    <row r="212" ht="15" customHeight="1">
      <c r="A212" t="inlineStr">
        <is>
          <t>A 32888-2025</t>
        </is>
      </c>
      <c r="B212" s="1" t="n">
        <v>45839.60460648148</v>
      </c>
      <c r="C212" s="1" t="n">
        <v>45916</v>
      </c>
      <c r="D212" t="inlineStr">
        <is>
          <t>JÄMTLANDS LÄN</t>
        </is>
      </c>
      <c r="E212" t="inlineStr">
        <is>
          <t>KROKOM</t>
        </is>
      </c>
      <c r="G212" t="n">
        <v>6.3</v>
      </c>
      <c r="H212" t="n">
        <v>1</v>
      </c>
      <c r="I212" t="n">
        <v>0</v>
      </c>
      <c r="J212" t="n">
        <v>0</v>
      </c>
      <c r="K212" t="n">
        <v>0</v>
      </c>
      <c r="L212" t="n">
        <v>0</v>
      </c>
      <c r="M212" t="n">
        <v>0</v>
      </c>
      <c r="N212" t="n">
        <v>0</v>
      </c>
      <c r="O212" t="n">
        <v>0</v>
      </c>
      <c r="P212" t="n">
        <v>0</v>
      </c>
      <c r="Q212" t="n">
        <v>1</v>
      </c>
      <c r="R212" s="2" t="inlineStr">
        <is>
          <t>Revlummer</t>
        </is>
      </c>
      <c r="S212">
        <f>HYPERLINK("https://klasma.github.io/Logging_2309/artfynd/A 32888-2025 artfynd.xlsx", "A 32888-2025")</f>
        <v/>
      </c>
      <c r="T212">
        <f>HYPERLINK("https://klasma.github.io/Logging_2309/kartor/A 32888-2025 karta.png", "A 32888-2025")</f>
        <v/>
      </c>
      <c r="V212">
        <f>HYPERLINK("https://klasma.github.io/Logging_2309/klagomål/A 32888-2025 FSC-klagomål.docx", "A 32888-2025")</f>
        <v/>
      </c>
      <c r="W212">
        <f>HYPERLINK("https://klasma.github.io/Logging_2309/klagomålsmail/A 32888-2025 FSC-klagomål mail.docx", "A 32888-2025")</f>
        <v/>
      </c>
      <c r="X212">
        <f>HYPERLINK("https://klasma.github.io/Logging_2309/tillsyn/A 32888-2025 tillsynsbegäran.docx", "A 32888-2025")</f>
        <v/>
      </c>
      <c r="Y212">
        <f>HYPERLINK("https://klasma.github.io/Logging_2309/tillsynsmail/A 32888-2025 tillsynsbegäran mail.docx", "A 32888-2025")</f>
        <v/>
      </c>
    </row>
    <row r="213" ht="15" customHeight="1">
      <c r="A213" t="inlineStr">
        <is>
          <t>A 32465-2025</t>
        </is>
      </c>
      <c r="B213" s="1" t="n">
        <v>45838</v>
      </c>
      <c r="C213" s="1" t="n">
        <v>45916</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45916</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33513-2025</t>
        </is>
      </c>
      <c r="B215" s="1" t="n">
        <v>45841.52454861111</v>
      </c>
      <c r="C215" s="1" t="n">
        <v>45916</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34520-2025</t>
        </is>
      </c>
      <c r="B216" s="1" t="n">
        <v>45847.46962962963</v>
      </c>
      <c r="C216" s="1" t="n">
        <v>45916</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34534-2025</t>
        </is>
      </c>
      <c r="B217" s="1" t="n">
        <v>45847.51078703703</v>
      </c>
      <c r="C217" s="1" t="n">
        <v>45916</v>
      </c>
      <c r="D217" t="inlineStr">
        <is>
          <t>JÄMTLANDS LÄN</t>
        </is>
      </c>
      <c r="E217" t="inlineStr">
        <is>
          <t>KROKOM</t>
        </is>
      </c>
      <c r="F217" t="inlineStr">
        <is>
          <t>SCA</t>
        </is>
      </c>
      <c r="G217" t="n">
        <v>2.7</v>
      </c>
      <c r="H217" t="n">
        <v>0</v>
      </c>
      <c r="I217" t="n">
        <v>0</v>
      </c>
      <c r="J217" t="n">
        <v>1</v>
      </c>
      <c r="K217" t="n">
        <v>0</v>
      </c>
      <c r="L217" t="n">
        <v>0</v>
      </c>
      <c r="M217" t="n">
        <v>0</v>
      </c>
      <c r="N217" t="n">
        <v>0</v>
      </c>
      <c r="O217" t="n">
        <v>1</v>
      </c>
      <c r="P217" t="n">
        <v>0</v>
      </c>
      <c r="Q217" t="n">
        <v>1</v>
      </c>
      <c r="R217" s="2" t="inlineStr">
        <is>
          <t>Granticka</t>
        </is>
      </c>
      <c r="S217">
        <f>HYPERLINK("https://klasma.github.io/Logging_2309/artfynd/A 34534-2025 artfynd.xlsx", "A 34534-2025")</f>
        <v/>
      </c>
      <c r="T217">
        <f>HYPERLINK("https://klasma.github.io/Logging_2309/kartor/A 34534-2025 karta.png", "A 34534-2025")</f>
        <v/>
      </c>
      <c r="V217">
        <f>HYPERLINK("https://klasma.github.io/Logging_2309/klagomål/A 34534-2025 FSC-klagomål.docx", "A 34534-2025")</f>
        <v/>
      </c>
      <c r="W217">
        <f>HYPERLINK("https://klasma.github.io/Logging_2309/klagomålsmail/A 34534-2025 FSC-klagomål mail.docx", "A 34534-2025")</f>
        <v/>
      </c>
      <c r="X217">
        <f>HYPERLINK("https://klasma.github.io/Logging_2309/tillsyn/A 34534-2025 tillsynsbegäran.docx", "A 34534-2025")</f>
        <v/>
      </c>
      <c r="Y217">
        <f>HYPERLINK("https://klasma.github.io/Logging_2309/tillsynsmail/A 34534-2025 tillsynsbegäran mail.docx", "A 34534-2025")</f>
        <v/>
      </c>
    </row>
    <row r="218" ht="15" customHeight="1">
      <c r="A218" t="inlineStr">
        <is>
          <t>A 4348-2025</t>
        </is>
      </c>
      <c r="B218" s="1" t="n">
        <v>45686.27208333334</v>
      </c>
      <c r="C218" s="1" t="n">
        <v>45916</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71574-2021</t>
        </is>
      </c>
      <c r="B219" s="1" t="n">
        <v>44540</v>
      </c>
      <c r="C219" s="1" t="n">
        <v>45916</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49385-2024</t>
        </is>
      </c>
      <c r="B220" s="1" t="n">
        <v>45595</v>
      </c>
      <c r="C220" s="1" t="n">
        <v>45916</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49387-2024</t>
        </is>
      </c>
      <c r="B221" s="1" t="n">
        <v>45595</v>
      </c>
      <c r="C221" s="1" t="n">
        <v>45916</v>
      </c>
      <c r="D221" t="inlineStr">
        <is>
          <t>JÄMTLANDS LÄN</t>
        </is>
      </c>
      <c r="E221" t="inlineStr">
        <is>
          <t>KROKOM</t>
        </is>
      </c>
      <c r="G221" t="n">
        <v>0.8</v>
      </c>
      <c r="H221" t="n">
        <v>0</v>
      </c>
      <c r="I221" t="n">
        <v>0</v>
      </c>
      <c r="J221" t="n">
        <v>1</v>
      </c>
      <c r="K221" t="n">
        <v>0</v>
      </c>
      <c r="L221" t="n">
        <v>0</v>
      </c>
      <c r="M221" t="n">
        <v>0</v>
      </c>
      <c r="N221" t="n">
        <v>0</v>
      </c>
      <c r="O221" t="n">
        <v>1</v>
      </c>
      <c r="P221" t="n">
        <v>0</v>
      </c>
      <c r="Q221" t="n">
        <v>1</v>
      </c>
      <c r="R221" s="2" t="inlineStr">
        <is>
          <t>Garnlav</t>
        </is>
      </c>
      <c r="S221">
        <f>HYPERLINK("https://klasma.github.io/Logging_2309/artfynd/A 49387-2024 artfynd.xlsx", "A 49387-2024")</f>
        <v/>
      </c>
      <c r="T221">
        <f>HYPERLINK("https://klasma.github.io/Logging_2309/kartor/A 49387-2024 karta.png", "A 49387-2024")</f>
        <v/>
      </c>
      <c r="V221">
        <f>HYPERLINK("https://klasma.github.io/Logging_2309/klagomål/A 49387-2024 FSC-klagomål.docx", "A 49387-2024")</f>
        <v/>
      </c>
      <c r="W221">
        <f>HYPERLINK("https://klasma.github.io/Logging_2309/klagomålsmail/A 49387-2024 FSC-klagomål mail.docx", "A 49387-2024")</f>
        <v/>
      </c>
      <c r="X221">
        <f>HYPERLINK("https://klasma.github.io/Logging_2309/tillsyn/A 49387-2024 tillsynsbegäran.docx", "A 49387-2024")</f>
        <v/>
      </c>
      <c r="Y221">
        <f>HYPERLINK("https://klasma.github.io/Logging_2309/tillsynsmail/A 49387-2024 tillsynsbegäran mail.docx", "A 49387-2024")</f>
        <v/>
      </c>
    </row>
    <row r="222" ht="15" customHeight="1">
      <c r="A222" t="inlineStr">
        <is>
          <t>A 52473-2024</t>
        </is>
      </c>
      <c r="B222" s="1" t="n">
        <v>45609</v>
      </c>
      <c r="C222" s="1" t="n">
        <v>45916</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11413-2022</t>
        </is>
      </c>
      <c r="B223" s="1" t="n">
        <v>44630</v>
      </c>
      <c r="C223" s="1" t="n">
        <v>45916</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26231-2024</t>
        </is>
      </c>
      <c r="B224" s="1" t="n">
        <v>45467</v>
      </c>
      <c r="C224" s="1" t="n">
        <v>45916</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45916</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45916</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45916</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6705-2025</t>
        </is>
      </c>
      <c r="B228" s="1" t="n">
        <v>45700</v>
      </c>
      <c r="C228" s="1" t="n">
        <v>45916</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13485-2025</t>
        </is>
      </c>
      <c r="B229" s="1" t="n">
        <v>45736.42743055556</v>
      </c>
      <c r="C229" s="1" t="n">
        <v>45916</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7208-2025</t>
        </is>
      </c>
      <c r="B230" s="1" t="n">
        <v>45702.47149305556</v>
      </c>
      <c r="C230" s="1" t="n">
        <v>45916</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45916</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45916</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45916</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56628-2023</t>
        </is>
      </c>
      <c r="B234" s="1" t="n">
        <v>45243</v>
      </c>
      <c r="C234" s="1" t="n">
        <v>45916</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55387-2024</t>
        </is>
      </c>
      <c r="B235" s="1" t="n">
        <v>45622</v>
      </c>
      <c r="C235" s="1" t="n">
        <v>45916</v>
      </c>
      <c r="D235" t="inlineStr">
        <is>
          <t>JÄMTLANDS LÄN</t>
        </is>
      </c>
      <c r="E235" t="inlineStr">
        <is>
          <t>KROKOM</t>
        </is>
      </c>
      <c r="G235" t="n">
        <v>8.6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55387-2024 artfynd.xlsx", "A 55387-2024")</f>
        <v/>
      </c>
      <c r="T235">
        <f>HYPERLINK("https://klasma.github.io/Logging_2309/kartor/A 55387-2024 karta.png", "A 55387-2024")</f>
        <v/>
      </c>
      <c r="V235">
        <f>HYPERLINK("https://klasma.github.io/Logging_2309/klagomål/A 55387-2024 FSC-klagomål.docx", "A 55387-2024")</f>
        <v/>
      </c>
      <c r="W235">
        <f>HYPERLINK("https://klasma.github.io/Logging_2309/klagomålsmail/A 55387-2024 FSC-klagomål mail.docx", "A 55387-2024")</f>
        <v/>
      </c>
      <c r="X235">
        <f>HYPERLINK("https://klasma.github.io/Logging_2309/tillsyn/A 55387-2024 tillsynsbegäran.docx", "A 55387-2024")</f>
        <v/>
      </c>
      <c r="Y235">
        <f>HYPERLINK("https://klasma.github.io/Logging_2309/tillsynsmail/A 55387-2024 tillsynsbegäran mail.docx", "A 55387-2024")</f>
        <v/>
      </c>
      <c r="Z235">
        <f>HYPERLINK("https://klasma.github.io/Logging_2309/fåglar/A 55387-2024 prioriterade fågelarter.docx", "A 55387-2024")</f>
        <v/>
      </c>
    </row>
    <row r="236" ht="15" customHeight="1">
      <c r="A236" t="inlineStr">
        <is>
          <t>A 19984-2021</t>
        </is>
      </c>
      <c r="B236" s="1" t="n">
        <v>44313</v>
      </c>
      <c r="C236" s="1" t="n">
        <v>45916</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45916</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45916</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45916</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45916</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45916</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45916</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45916</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45916</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45916</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45916</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45916</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45916</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45916</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45916</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45916</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45916</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45916</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45916</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45916</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45916</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45916</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45916</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45916</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56168-2020</t>
        </is>
      </c>
      <c r="B260" s="1" t="n">
        <v>44133</v>
      </c>
      <c r="C260" s="1" t="n">
        <v>45916</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45916</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45916</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45916</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45916</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45916</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45916</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45916</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45916</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45916</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45602-2020</t>
        </is>
      </c>
      <c r="B270" s="1" t="n">
        <v>44090</v>
      </c>
      <c r="C270" s="1" t="n">
        <v>45916</v>
      </c>
      <c r="D270" t="inlineStr">
        <is>
          <t>JÄMTLANDS LÄN</t>
        </is>
      </c>
      <c r="E270" t="inlineStr">
        <is>
          <t>KROKOM</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58378-2020</t>
        </is>
      </c>
      <c r="B271" s="1" t="n">
        <v>44141</v>
      </c>
      <c r="C271" s="1" t="n">
        <v>45916</v>
      </c>
      <c r="D271" t="inlineStr">
        <is>
          <t>JÄMTLANDS LÄN</t>
        </is>
      </c>
      <c r="E271" t="inlineStr">
        <is>
          <t>KROKOM</t>
        </is>
      </c>
      <c r="G271" t="n">
        <v>14.4</v>
      </c>
      <c r="H271" t="n">
        <v>0</v>
      </c>
      <c r="I271" t="n">
        <v>0</v>
      </c>
      <c r="J271" t="n">
        <v>0</v>
      </c>
      <c r="K271" t="n">
        <v>0</v>
      </c>
      <c r="L271" t="n">
        <v>0</v>
      </c>
      <c r="M271" t="n">
        <v>0</v>
      </c>
      <c r="N271" t="n">
        <v>0</v>
      </c>
      <c r="O271" t="n">
        <v>0</v>
      </c>
      <c r="P271" t="n">
        <v>0</v>
      </c>
      <c r="Q271" t="n">
        <v>0</v>
      </c>
      <c r="R271" s="2" t="inlineStr"/>
    </row>
    <row r="272" ht="15" customHeight="1">
      <c r="A272" t="inlineStr">
        <is>
          <t>A 10008-2021</t>
        </is>
      </c>
      <c r="B272" s="1" t="n">
        <v>44255</v>
      </c>
      <c r="C272" s="1" t="n">
        <v>45916</v>
      </c>
      <c r="D272" t="inlineStr">
        <is>
          <t>JÄMTLANDS LÄN</t>
        </is>
      </c>
      <c r="E272" t="inlineStr">
        <is>
          <t>KROKOM</t>
        </is>
      </c>
      <c r="G272" t="n">
        <v>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45916</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45916</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69949-2021</t>
        </is>
      </c>
      <c r="B275" s="1" t="n">
        <v>44533</v>
      </c>
      <c r="C275" s="1" t="n">
        <v>45916</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28804-2022</t>
        </is>
      </c>
      <c r="B276" s="1" t="n">
        <v>44749</v>
      </c>
      <c r="C276" s="1" t="n">
        <v>45916</v>
      </c>
      <c r="D276" t="inlineStr">
        <is>
          <t>JÄMTLANDS LÄN</t>
        </is>
      </c>
      <c r="E276" t="inlineStr">
        <is>
          <t>KROKOM</t>
        </is>
      </c>
      <c r="G276" t="n">
        <v>0.8</v>
      </c>
      <c r="H276" t="n">
        <v>0</v>
      </c>
      <c r="I276" t="n">
        <v>0</v>
      </c>
      <c r="J276" t="n">
        <v>0</v>
      </c>
      <c r="K276" t="n">
        <v>0</v>
      </c>
      <c r="L276" t="n">
        <v>0</v>
      </c>
      <c r="M276" t="n">
        <v>0</v>
      </c>
      <c r="N276" t="n">
        <v>0</v>
      </c>
      <c r="O276" t="n">
        <v>0</v>
      </c>
      <c r="P276" t="n">
        <v>0</v>
      </c>
      <c r="Q276" t="n">
        <v>0</v>
      </c>
      <c r="R276" s="2" t="inlineStr"/>
    </row>
    <row r="277" ht="15" customHeight="1">
      <c r="A277" t="inlineStr">
        <is>
          <t>A 54582-2020</t>
        </is>
      </c>
      <c r="B277" s="1" t="n">
        <v>44126.94510416667</v>
      </c>
      <c r="C277" s="1" t="n">
        <v>45916</v>
      </c>
      <c r="D277" t="inlineStr">
        <is>
          <t>JÄMTLANDS LÄN</t>
        </is>
      </c>
      <c r="E277" t="inlineStr">
        <is>
          <t>KROKOM</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42360-2022</t>
        </is>
      </c>
      <c r="B278" s="1" t="n">
        <v>44831.37650462963</v>
      </c>
      <c r="C278" s="1" t="n">
        <v>45916</v>
      </c>
      <c r="D278" t="inlineStr">
        <is>
          <t>JÄMTLANDS LÄN</t>
        </is>
      </c>
      <c r="E278" t="inlineStr">
        <is>
          <t>KROKOM</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45916</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327-2021</t>
        </is>
      </c>
      <c r="B280" s="1" t="n">
        <v>44200</v>
      </c>
      <c r="C280" s="1" t="n">
        <v>45916</v>
      </c>
      <c r="D280" t="inlineStr">
        <is>
          <t>JÄMTLANDS LÄN</t>
        </is>
      </c>
      <c r="E280" t="inlineStr">
        <is>
          <t>KROKOM</t>
        </is>
      </c>
      <c r="G280" t="n">
        <v>0.2</v>
      </c>
      <c r="H280" t="n">
        <v>0</v>
      </c>
      <c r="I280" t="n">
        <v>0</v>
      </c>
      <c r="J280" t="n">
        <v>0</v>
      </c>
      <c r="K280" t="n">
        <v>0</v>
      </c>
      <c r="L280" t="n">
        <v>0</v>
      </c>
      <c r="M280" t="n">
        <v>0</v>
      </c>
      <c r="N280" t="n">
        <v>0</v>
      </c>
      <c r="O280" t="n">
        <v>0</v>
      </c>
      <c r="P280" t="n">
        <v>0</v>
      </c>
      <c r="Q280" t="n">
        <v>0</v>
      </c>
      <c r="R280" s="2" t="inlineStr"/>
    </row>
    <row r="281" ht="15" customHeight="1">
      <c r="A281" t="inlineStr">
        <is>
          <t>A 65787-2020</t>
        </is>
      </c>
      <c r="B281" s="1" t="n">
        <v>44172</v>
      </c>
      <c r="C281" s="1" t="n">
        <v>45916</v>
      </c>
      <c r="D281" t="inlineStr">
        <is>
          <t>JÄMTLANDS LÄN</t>
        </is>
      </c>
      <c r="E281" t="inlineStr">
        <is>
          <t>KROKOM</t>
        </is>
      </c>
      <c r="G281" t="n">
        <v>5.8</v>
      </c>
      <c r="H281" t="n">
        <v>0</v>
      </c>
      <c r="I281" t="n">
        <v>0</v>
      </c>
      <c r="J281" t="n">
        <v>0</v>
      </c>
      <c r="K281" t="n">
        <v>0</v>
      </c>
      <c r="L281" t="n">
        <v>0</v>
      </c>
      <c r="M281" t="n">
        <v>0</v>
      </c>
      <c r="N281" t="n">
        <v>0</v>
      </c>
      <c r="O281" t="n">
        <v>0</v>
      </c>
      <c r="P281" t="n">
        <v>0</v>
      </c>
      <c r="Q281" t="n">
        <v>0</v>
      </c>
      <c r="R281" s="2" t="inlineStr"/>
    </row>
    <row r="282" ht="15" customHeight="1">
      <c r="A282" t="inlineStr">
        <is>
          <t>A 31467-2021</t>
        </is>
      </c>
      <c r="B282" s="1" t="n">
        <v>44369.41452546296</v>
      </c>
      <c r="C282" s="1" t="n">
        <v>45916</v>
      </c>
      <c r="D282" t="inlineStr">
        <is>
          <t>JÄMTLANDS LÄN</t>
        </is>
      </c>
      <c r="E282" t="inlineStr">
        <is>
          <t>KROKOM</t>
        </is>
      </c>
      <c r="G282" t="n">
        <v>24.7</v>
      </c>
      <c r="H282" t="n">
        <v>0</v>
      </c>
      <c r="I282" t="n">
        <v>0</v>
      </c>
      <c r="J282" t="n">
        <v>0</v>
      </c>
      <c r="K282" t="n">
        <v>0</v>
      </c>
      <c r="L282" t="n">
        <v>0</v>
      </c>
      <c r="M282" t="n">
        <v>0</v>
      </c>
      <c r="N282" t="n">
        <v>0</v>
      </c>
      <c r="O282" t="n">
        <v>0</v>
      </c>
      <c r="P282" t="n">
        <v>0</v>
      </c>
      <c r="Q282" t="n">
        <v>0</v>
      </c>
      <c r="R282" s="2" t="inlineStr"/>
    </row>
    <row r="283" ht="15" customHeight="1">
      <c r="A283" t="inlineStr">
        <is>
          <t>A 12884-2021</t>
        </is>
      </c>
      <c r="B283" s="1" t="n">
        <v>44271.43831018519</v>
      </c>
      <c r="C283" s="1" t="n">
        <v>45916</v>
      </c>
      <c r="D283" t="inlineStr">
        <is>
          <t>JÄMTLANDS LÄN</t>
        </is>
      </c>
      <c r="E283" t="inlineStr">
        <is>
          <t>KROKOM</t>
        </is>
      </c>
      <c r="G283" t="n">
        <v>5.5</v>
      </c>
      <c r="H283" t="n">
        <v>0</v>
      </c>
      <c r="I283" t="n">
        <v>0</v>
      </c>
      <c r="J283" t="n">
        <v>0</v>
      </c>
      <c r="K283" t="n">
        <v>0</v>
      </c>
      <c r="L283" t="n">
        <v>0</v>
      </c>
      <c r="M283" t="n">
        <v>0</v>
      </c>
      <c r="N283" t="n">
        <v>0</v>
      </c>
      <c r="O283" t="n">
        <v>0</v>
      </c>
      <c r="P283" t="n">
        <v>0</v>
      </c>
      <c r="Q283" t="n">
        <v>0</v>
      </c>
      <c r="R283" s="2" t="inlineStr"/>
    </row>
    <row r="284" ht="15" customHeight="1">
      <c r="A284" t="inlineStr">
        <is>
          <t>A 20405-2021</t>
        </is>
      </c>
      <c r="B284" s="1" t="n">
        <v>44312</v>
      </c>
      <c r="C284" s="1" t="n">
        <v>45916</v>
      </c>
      <c r="D284" t="inlineStr">
        <is>
          <t>JÄMTLANDS LÄN</t>
        </is>
      </c>
      <c r="E284" t="inlineStr">
        <is>
          <t>KROKOM</t>
        </is>
      </c>
      <c r="G284" t="n">
        <v>7.1</v>
      </c>
      <c r="H284" t="n">
        <v>0</v>
      </c>
      <c r="I284" t="n">
        <v>0</v>
      </c>
      <c r="J284" t="n">
        <v>0</v>
      </c>
      <c r="K284" t="n">
        <v>0</v>
      </c>
      <c r="L284" t="n">
        <v>0</v>
      </c>
      <c r="M284" t="n">
        <v>0</v>
      </c>
      <c r="N284" t="n">
        <v>0</v>
      </c>
      <c r="O284" t="n">
        <v>0</v>
      </c>
      <c r="P284" t="n">
        <v>0</v>
      </c>
      <c r="Q284" t="n">
        <v>0</v>
      </c>
      <c r="R284" s="2" t="inlineStr"/>
    </row>
    <row r="285" ht="15" customHeight="1">
      <c r="A285" t="inlineStr">
        <is>
          <t>A 18544-2021</t>
        </is>
      </c>
      <c r="B285" s="1" t="n">
        <v>44306</v>
      </c>
      <c r="C285" s="1" t="n">
        <v>45916</v>
      </c>
      <c r="D285" t="inlineStr">
        <is>
          <t>JÄMTLANDS LÄN</t>
        </is>
      </c>
      <c r="E285" t="inlineStr">
        <is>
          <t>KROKOM</t>
        </is>
      </c>
      <c r="G285" t="n">
        <v>4.1</v>
      </c>
      <c r="H285" t="n">
        <v>0</v>
      </c>
      <c r="I285" t="n">
        <v>0</v>
      </c>
      <c r="J285" t="n">
        <v>0</v>
      </c>
      <c r="K285" t="n">
        <v>0</v>
      </c>
      <c r="L285" t="n">
        <v>0</v>
      </c>
      <c r="M285" t="n">
        <v>0</v>
      </c>
      <c r="N285" t="n">
        <v>0</v>
      </c>
      <c r="O285" t="n">
        <v>0</v>
      </c>
      <c r="P285" t="n">
        <v>0</v>
      </c>
      <c r="Q285" t="n">
        <v>0</v>
      </c>
      <c r="R285" s="2" t="inlineStr"/>
    </row>
    <row r="286" ht="15" customHeight="1">
      <c r="A286" t="inlineStr">
        <is>
          <t>A 62206-2021</t>
        </is>
      </c>
      <c r="B286" s="1" t="n">
        <v>44502.94153935185</v>
      </c>
      <c r="C286" s="1" t="n">
        <v>45916</v>
      </c>
      <c r="D286" t="inlineStr">
        <is>
          <t>JÄMTLANDS LÄN</t>
        </is>
      </c>
      <c r="E286" t="inlineStr">
        <is>
          <t>KROKOM</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45916</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62201-2021</t>
        </is>
      </c>
      <c r="B288" s="1" t="n">
        <v>44502</v>
      </c>
      <c r="C288" s="1" t="n">
        <v>45916</v>
      </c>
      <c r="D288" t="inlineStr">
        <is>
          <t>JÄMTLANDS LÄN</t>
        </is>
      </c>
      <c r="E288" t="inlineStr">
        <is>
          <t>KROKOM</t>
        </is>
      </c>
      <c r="G288" t="n">
        <v>1.8</v>
      </c>
      <c r="H288" t="n">
        <v>0</v>
      </c>
      <c r="I288" t="n">
        <v>0</v>
      </c>
      <c r="J288" t="n">
        <v>0</v>
      </c>
      <c r="K288" t="n">
        <v>0</v>
      </c>
      <c r="L288" t="n">
        <v>0</v>
      </c>
      <c r="M288" t="n">
        <v>0</v>
      </c>
      <c r="N288" t="n">
        <v>0</v>
      </c>
      <c r="O288" t="n">
        <v>0</v>
      </c>
      <c r="P288" t="n">
        <v>0</v>
      </c>
      <c r="Q288" t="n">
        <v>0</v>
      </c>
      <c r="R288" s="2" t="inlineStr"/>
    </row>
    <row r="289" ht="15" customHeight="1">
      <c r="A289" t="inlineStr">
        <is>
          <t>A 915-2021</t>
        </is>
      </c>
      <c r="B289" s="1" t="n">
        <v>44207</v>
      </c>
      <c r="C289" s="1" t="n">
        <v>45916</v>
      </c>
      <c r="D289" t="inlineStr">
        <is>
          <t>JÄMTLANDS LÄN</t>
        </is>
      </c>
      <c r="E289" t="inlineStr">
        <is>
          <t>KROKOM</t>
        </is>
      </c>
      <c r="F289" t="inlineStr">
        <is>
          <t>Övriga Aktiebolag</t>
        </is>
      </c>
      <c r="G289" t="n">
        <v>107.9</v>
      </c>
      <c r="H289" t="n">
        <v>0</v>
      </c>
      <c r="I289" t="n">
        <v>0</v>
      </c>
      <c r="J289" t="n">
        <v>0</v>
      </c>
      <c r="K289" t="n">
        <v>0</v>
      </c>
      <c r="L289" t="n">
        <v>0</v>
      </c>
      <c r="M289" t="n">
        <v>0</v>
      </c>
      <c r="N289" t="n">
        <v>0</v>
      </c>
      <c r="O289" t="n">
        <v>0</v>
      </c>
      <c r="P289" t="n">
        <v>0</v>
      </c>
      <c r="Q289" t="n">
        <v>0</v>
      </c>
      <c r="R289" s="2" t="inlineStr"/>
    </row>
    <row r="290" ht="15" customHeight="1">
      <c r="A290" t="inlineStr">
        <is>
          <t>A 46825-2022</t>
        </is>
      </c>
      <c r="B290" s="1" t="n">
        <v>44851.57131944445</v>
      </c>
      <c r="C290" s="1" t="n">
        <v>45916</v>
      </c>
      <c r="D290" t="inlineStr">
        <is>
          <t>JÄMTLANDS LÄN</t>
        </is>
      </c>
      <c r="E290" t="inlineStr">
        <is>
          <t>KROKOM</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1718-2021</t>
        </is>
      </c>
      <c r="B291" s="1" t="n">
        <v>44209</v>
      </c>
      <c r="C291" s="1" t="n">
        <v>45916</v>
      </c>
      <c r="D291" t="inlineStr">
        <is>
          <t>JÄMTLANDS LÄN</t>
        </is>
      </c>
      <c r="E291" t="inlineStr">
        <is>
          <t>KROKOM</t>
        </is>
      </c>
      <c r="G291" t="n">
        <v>8</v>
      </c>
      <c r="H291" t="n">
        <v>0</v>
      </c>
      <c r="I291" t="n">
        <v>0</v>
      </c>
      <c r="J291" t="n">
        <v>0</v>
      </c>
      <c r="K291" t="n">
        <v>0</v>
      </c>
      <c r="L291" t="n">
        <v>0</v>
      </c>
      <c r="M291" t="n">
        <v>0</v>
      </c>
      <c r="N291" t="n">
        <v>0</v>
      </c>
      <c r="O291" t="n">
        <v>0</v>
      </c>
      <c r="P291" t="n">
        <v>0</v>
      </c>
      <c r="Q291" t="n">
        <v>0</v>
      </c>
      <c r="R291" s="2" t="inlineStr"/>
    </row>
    <row r="292" ht="15" customHeight="1">
      <c r="A292" t="inlineStr">
        <is>
          <t>A 1753-2021</t>
        </is>
      </c>
      <c r="B292" s="1" t="n">
        <v>44209</v>
      </c>
      <c r="C292" s="1" t="n">
        <v>45916</v>
      </c>
      <c r="D292" t="inlineStr">
        <is>
          <t>JÄMTLANDS LÄN</t>
        </is>
      </c>
      <c r="E292" t="inlineStr">
        <is>
          <t>KROKOM</t>
        </is>
      </c>
      <c r="G292" t="n">
        <v>17.2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45916</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54497-2021</t>
        </is>
      </c>
      <c r="B294" s="1" t="n">
        <v>44473</v>
      </c>
      <c r="C294" s="1" t="n">
        <v>45916</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49697-2020</t>
        </is>
      </c>
      <c r="B295" s="1" t="n">
        <v>44106</v>
      </c>
      <c r="C295" s="1" t="n">
        <v>45916</v>
      </c>
      <c r="D295" t="inlineStr">
        <is>
          <t>JÄMTLANDS LÄN</t>
        </is>
      </c>
      <c r="E295" t="inlineStr">
        <is>
          <t>KROKOM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52557-2021</t>
        </is>
      </c>
      <c r="B296" s="1" t="n">
        <v>44466.53040509259</v>
      </c>
      <c r="C296" s="1" t="n">
        <v>45916</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45916</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71246-2021</t>
        </is>
      </c>
      <c r="B298" s="1" t="n">
        <v>44539</v>
      </c>
      <c r="C298" s="1" t="n">
        <v>45916</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60348-2021</t>
        </is>
      </c>
      <c r="B299" s="1" t="n">
        <v>44495</v>
      </c>
      <c r="C299" s="1" t="n">
        <v>45916</v>
      </c>
      <c r="D299" t="inlineStr">
        <is>
          <t>JÄMTLANDS LÄN</t>
        </is>
      </c>
      <c r="E299" t="inlineStr">
        <is>
          <t>KROKOM</t>
        </is>
      </c>
      <c r="G299" t="n">
        <v>11.2</v>
      </c>
      <c r="H299" t="n">
        <v>0</v>
      </c>
      <c r="I299" t="n">
        <v>0</v>
      </c>
      <c r="J299" t="n">
        <v>0</v>
      </c>
      <c r="K299" t="n">
        <v>0</v>
      </c>
      <c r="L299" t="n">
        <v>0</v>
      </c>
      <c r="M299" t="n">
        <v>0</v>
      </c>
      <c r="N299" t="n">
        <v>0</v>
      </c>
      <c r="O299" t="n">
        <v>0</v>
      </c>
      <c r="P299" t="n">
        <v>0</v>
      </c>
      <c r="Q299" t="n">
        <v>0</v>
      </c>
      <c r="R299" s="2" t="inlineStr"/>
    </row>
    <row r="300" ht="15" customHeight="1">
      <c r="A300" t="inlineStr">
        <is>
          <t>A 60351-2021</t>
        </is>
      </c>
      <c r="B300" s="1" t="n">
        <v>44495</v>
      </c>
      <c r="C300" s="1" t="n">
        <v>45916</v>
      </c>
      <c r="D300" t="inlineStr">
        <is>
          <t>JÄMTLANDS LÄN</t>
        </is>
      </c>
      <c r="E300" t="inlineStr">
        <is>
          <t>KROKOM</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13989-2021</t>
        </is>
      </c>
      <c r="B301" s="1" t="n">
        <v>44277.59521990741</v>
      </c>
      <c r="C301" s="1" t="n">
        <v>45916</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64966-2021</t>
        </is>
      </c>
      <c r="B302" s="1" t="n">
        <v>44512</v>
      </c>
      <c r="C302" s="1" t="n">
        <v>45916</v>
      </c>
      <c r="D302" t="inlineStr">
        <is>
          <t>JÄMTLANDS LÄN</t>
        </is>
      </c>
      <c r="E302" t="inlineStr">
        <is>
          <t>KROKOM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65783-2020</t>
        </is>
      </c>
      <c r="B303" s="1" t="n">
        <v>44172</v>
      </c>
      <c r="C303" s="1" t="n">
        <v>45916</v>
      </c>
      <c r="D303" t="inlineStr">
        <is>
          <t>JÄMTLANDS LÄN</t>
        </is>
      </c>
      <c r="E303" t="inlineStr">
        <is>
          <t>KROKOM</t>
        </is>
      </c>
      <c r="G303" t="n">
        <v>3.8</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45916</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2451-2021</t>
        </is>
      </c>
      <c r="B305" s="1" t="n">
        <v>44214</v>
      </c>
      <c r="C305" s="1" t="n">
        <v>45916</v>
      </c>
      <c r="D305" t="inlineStr">
        <is>
          <t>JÄMTLANDS LÄN</t>
        </is>
      </c>
      <c r="E305" t="inlineStr">
        <is>
          <t>KROKOM</t>
        </is>
      </c>
      <c r="G305" t="n">
        <v>29.5</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45916</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45916</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45916</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45916</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67488-2021</t>
        </is>
      </c>
      <c r="B310" s="1" t="n">
        <v>44524</v>
      </c>
      <c r="C310" s="1" t="n">
        <v>45916</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45916</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54516-2021</t>
        </is>
      </c>
      <c r="B312" s="1" t="n">
        <v>44473.53013888889</v>
      </c>
      <c r="C312" s="1" t="n">
        <v>45916</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50476-2021</t>
        </is>
      </c>
      <c r="B313" s="1" t="n">
        <v>44459</v>
      </c>
      <c r="C313" s="1" t="n">
        <v>45916</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53501-2020</t>
        </is>
      </c>
      <c r="B314" s="1" t="n">
        <v>44123</v>
      </c>
      <c r="C314" s="1" t="n">
        <v>45916</v>
      </c>
      <c r="D314" t="inlineStr">
        <is>
          <t>JÄMTLANDS LÄN</t>
        </is>
      </c>
      <c r="E314" t="inlineStr">
        <is>
          <t>KROKOM</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8569-2022</t>
        </is>
      </c>
      <c r="B315" s="1" t="n">
        <v>44610</v>
      </c>
      <c r="C315" s="1" t="n">
        <v>45916</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24436-2021</t>
        </is>
      </c>
      <c r="B316" s="1" t="n">
        <v>44337</v>
      </c>
      <c r="C316" s="1" t="n">
        <v>45916</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53241-2020</t>
        </is>
      </c>
      <c r="B317" s="1" t="n">
        <v>44123</v>
      </c>
      <c r="C317" s="1" t="n">
        <v>45916</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20074-2022</t>
        </is>
      </c>
      <c r="B318" s="1" t="n">
        <v>44697.94231481481</v>
      </c>
      <c r="C318" s="1" t="n">
        <v>45916</v>
      </c>
      <c r="D318" t="inlineStr">
        <is>
          <t>JÄMTLANDS LÄN</t>
        </is>
      </c>
      <c r="E318" t="inlineStr">
        <is>
          <t>KROKOM</t>
        </is>
      </c>
      <c r="G318" t="n">
        <v>3</v>
      </c>
      <c r="H318" t="n">
        <v>0</v>
      </c>
      <c r="I318" t="n">
        <v>0</v>
      </c>
      <c r="J318" t="n">
        <v>0</v>
      </c>
      <c r="K318" t="n">
        <v>0</v>
      </c>
      <c r="L318" t="n">
        <v>0</v>
      </c>
      <c r="M318" t="n">
        <v>0</v>
      </c>
      <c r="N318" t="n">
        <v>0</v>
      </c>
      <c r="O318" t="n">
        <v>0</v>
      </c>
      <c r="P318" t="n">
        <v>0</v>
      </c>
      <c r="Q318" t="n">
        <v>0</v>
      </c>
      <c r="R318" s="2" t="inlineStr"/>
    </row>
    <row r="319" ht="15" customHeight="1">
      <c r="A319" t="inlineStr">
        <is>
          <t>A 66683-2021</t>
        </is>
      </c>
      <c r="B319" s="1" t="n">
        <v>44519.63436342592</v>
      </c>
      <c r="C319" s="1" t="n">
        <v>45916</v>
      </c>
      <c r="D319" t="inlineStr">
        <is>
          <t>JÄMTLANDS LÄN</t>
        </is>
      </c>
      <c r="E319" t="inlineStr">
        <is>
          <t>KROKOM</t>
        </is>
      </c>
      <c r="G319" t="n">
        <v>5.4</v>
      </c>
      <c r="H319" t="n">
        <v>0</v>
      </c>
      <c r="I319" t="n">
        <v>0</v>
      </c>
      <c r="J319" t="n">
        <v>0</v>
      </c>
      <c r="K319" t="n">
        <v>0</v>
      </c>
      <c r="L319" t="n">
        <v>0</v>
      </c>
      <c r="M319" t="n">
        <v>0</v>
      </c>
      <c r="N319" t="n">
        <v>0</v>
      </c>
      <c r="O319" t="n">
        <v>0</v>
      </c>
      <c r="P319" t="n">
        <v>0</v>
      </c>
      <c r="Q319" t="n">
        <v>0</v>
      </c>
      <c r="R319" s="2" t="inlineStr"/>
    </row>
    <row r="320" ht="15" customHeight="1">
      <c r="A320" t="inlineStr">
        <is>
          <t>A 51717-2020</t>
        </is>
      </c>
      <c r="B320" s="1" t="n">
        <v>44113</v>
      </c>
      <c r="C320" s="1" t="n">
        <v>45916</v>
      </c>
      <c r="D320" t="inlineStr">
        <is>
          <t>JÄMTLANDS LÄN</t>
        </is>
      </c>
      <c r="E320" t="inlineStr">
        <is>
          <t>KROKOM</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53500-2020</t>
        </is>
      </c>
      <c r="B321" s="1" t="n">
        <v>44123</v>
      </c>
      <c r="C321" s="1" t="n">
        <v>45916</v>
      </c>
      <c r="D321" t="inlineStr">
        <is>
          <t>JÄMTLANDS LÄN</t>
        </is>
      </c>
      <c r="E321" t="inlineStr">
        <is>
          <t>KROKOM</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46507-2022</t>
        </is>
      </c>
      <c r="B322" s="1" t="n">
        <v>44848</v>
      </c>
      <c r="C322" s="1" t="n">
        <v>45916</v>
      </c>
      <c r="D322" t="inlineStr">
        <is>
          <t>JÄMTLANDS LÄN</t>
        </is>
      </c>
      <c r="E322" t="inlineStr">
        <is>
          <t>KROKOM</t>
        </is>
      </c>
      <c r="G322" t="n">
        <v>0.4</v>
      </c>
      <c r="H322" t="n">
        <v>0</v>
      </c>
      <c r="I322" t="n">
        <v>0</v>
      </c>
      <c r="J322" t="n">
        <v>0</v>
      </c>
      <c r="K322" t="n">
        <v>0</v>
      </c>
      <c r="L322" t="n">
        <v>0</v>
      </c>
      <c r="M322" t="n">
        <v>0</v>
      </c>
      <c r="N322" t="n">
        <v>0</v>
      </c>
      <c r="O322" t="n">
        <v>0</v>
      </c>
      <c r="P322" t="n">
        <v>0</v>
      </c>
      <c r="Q322" t="n">
        <v>0</v>
      </c>
      <c r="R322" s="2" t="inlineStr"/>
    </row>
    <row r="323" ht="15" customHeight="1">
      <c r="A323" t="inlineStr">
        <is>
          <t>A 2356-2021</t>
        </is>
      </c>
      <c r="B323" s="1" t="n">
        <v>44214</v>
      </c>
      <c r="C323" s="1" t="n">
        <v>45916</v>
      </c>
      <c r="D323" t="inlineStr">
        <is>
          <t>JÄMTLANDS LÄN</t>
        </is>
      </c>
      <c r="E323" t="inlineStr">
        <is>
          <t>KROKOM</t>
        </is>
      </c>
      <c r="G323" t="n">
        <v>22.6</v>
      </c>
      <c r="H323" t="n">
        <v>0</v>
      </c>
      <c r="I323" t="n">
        <v>0</v>
      </c>
      <c r="J323" t="n">
        <v>0</v>
      </c>
      <c r="K323" t="n">
        <v>0</v>
      </c>
      <c r="L323" t="n">
        <v>0</v>
      </c>
      <c r="M323" t="n">
        <v>0</v>
      </c>
      <c r="N323" t="n">
        <v>0</v>
      </c>
      <c r="O323" t="n">
        <v>0</v>
      </c>
      <c r="P323" t="n">
        <v>0</v>
      </c>
      <c r="Q323" t="n">
        <v>0</v>
      </c>
      <c r="R323" s="2" t="inlineStr"/>
    </row>
    <row r="324" ht="15" customHeight="1">
      <c r="A324" t="inlineStr">
        <is>
          <t>A 65433-2020</t>
        </is>
      </c>
      <c r="B324" s="1" t="n">
        <v>44169</v>
      </c>
      <c r="C324" s="1" t="n">
        <v>45916</v>
      </c>
      <c r="D324" t="inlineStr">
        <is>
          <t>JÄMTLANDS LÄN</t>
        </is>
      </c>
      <c r="E324" t="inlineStr">
        <is>
          <t>KROKOM</t>
        </is>
      </c>
      <c r="G324" t="n">
        <v>0.3</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45916</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14598-2021</t>
        </is>
      </c>
      <c r="B326" s="1" t="n">
        <v>44279</v>
      </c>
      <c r="C326" s="1" t="n">
        <v>45916</v>
      </c>
      <c r="D326" t="inlineStr">
        <is>
          <t>JÄMTLANDS LÄN</t>
        </is>
      </c>
      <c r="E326" t="inlineStr">
        <is>
          <t>KROKOM</t>
        </is>
      </c>
      <c r="G326" t="n">
        <v>25.4</v>
      </c>
      <c r="H326" t="n">
        <v>0</v>
      </c>
      <c r="I326" t="n">
        <v>0</v>
      </c>
      <c r="J326" t="n">
        <v>0</v>
      </c>
      <c r="K326" t="n">
        <v>0</v>
      </c>
      <c r="L326" t="n">
        <v>0</v>
      </c>
      <c r="M326" t="n">
        <v>0</v>
      </c>
      <c r="N326" t="n">
        <v>0</v>
      </c>
      <c r="O326" t="n">
        <v>0</v>
      </c>
      <c r="P326" t="n">
        <v>0</v>
      </c>
      <c r="Q326" t="n">
        <v>0</v>
      </c>
      <c r="R326" s="2" t="inlineStr"/>
    </row>
    <row r="327" ht="15" customHeight="1">
      <c r="A327" t="inlineStr">
        <is>
          <t>A 1756-2021</t>
        </is>
      </c>
      <c r="B327" s="1" t="n">
        <v>44209</v>
      </c>
      <c r="C327" s="1" t="n">
        <v>45916</v>
      </c>
      <c r="D327" t="inlineStr">
        <is>
          <t>JÄMTLANDS LÄN</t>
        </is>
      </c>
      <c r="E327" t="inlineStr">
        <is>
          <t>KROKOM</t>
        </is>
      </c>
      <c r="G327" t="n">
        <v>7.4</v>
      </c>
      <c r="H327" t="n">
        <v>0</v>
      </c>
      <c r="I327" t="n">
        <v>0</v>
      </c>
      <c r="J327" t="n">
        <v>0</v>
      </c>
      <c r="K327" t="n">
        <v>0</v>
      </c>
      <c r="L327" t="n">
        <v>0</v>
      </c>
      <c r="M327" t="n">
        <v>0</v>
      </c>
      <c r="N327" t="n">
        <v>0</v>
      </c>
      <c r="O327" t="n">
        <v>0</v>
      </c>
      <c r="P327" t="n">
        <v>0</v>
      </c>
      <c r="Q327" t="n">
        <v>0</v>
      </c>
      <c r="R327" s="2" t="inlineStr"/>
    </row>
    <row r="328" ht="15" customHeight="1">
      <c r="A328" t="inlineStr">
        <is>
          <t>A 21301-2022</t>
        </is>
      </c>
      <c r="B328" s="1" t="n">
        <v>44705</v>
      </c>
      <c r="C328" s="1" t="n">
        <v>45916</v>
      </c>
      <c r="D328" t="inlineStr">
        <is>
          <t>JÄMTLANDS LÄN</t>
        </is>
      </c>
      <c r="E328" t="inlineStr">
        <is>
          <t>KROKOM</t>
        </is>
      </c>
      <c r="G328" t="n">
        <v>2.5</v>
      </c>
      <c r="H328" t="n">
        <v>0</v>
      </c>
      <c r="I328" t="n">
        <v>0</v>
      </c>
      <c r="J328" t="n">
        <v>0</v>
      </c>
      <c r="K328" t="n">
        <v>0</v>
      </c>
      <c r="L328" t="n">
        <v>0</v>
      </c>
      <c r="M328" t="n">
        <v>0</v>
      </c>
      <c r="N328" t="n">
        <v>0</v>
      </c>
      <c r="O328" t="n">
        <v>0</v>
      </c>
      <c r="P328" t="n">
        <v>0</v>
      </c>
      <c r="Q328" t="n">
        <v>0</v>
      </c>
      <c r="R328" s="2" t="inlineStr"/>
    </row>
    <row r="329" ht="15" customHeight="1">
      <c r="A329" t="inlineStr">
        <is>
          <t>A 15425-2021</t>
        </is>
      </c>
      <c r="B329" s="1" t="n">
        <v>44284</v>
      </c>
      <c r="C329" s="1" t="n">
        <v>45916</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18731-2021</t>
        </is>
      </c>
      <c r="B330" s="1" t="n">
        <v>44307.42378472222</v>
      </c>
      <c r="C330" s="1" t="n">
        <v>45916</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24612-2022</t>
        </is>
      </c>
      <c r="B331" s="1" t="n">
        <v>44727</v>
      </c>
      <c r="C331" s="1" t="n">
        <v>45916</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45916</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45916</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54037-2021</t>
        </is>
      </c>
      <c r="B334" s="1" t="n">
        <v>44470</v>
      </c>
      <c r="C334" s="1" t="n">
        <v>45916</v>
      </c>
      <c r="D334" t="inlineStr">
        <is>
          <t>JÄMTLANDS LÄN</t>
        </is>
      </c>
      <c r="E334" t="inlineStr">
        <is>
          <t>KROKOM</t>
        </is>
      </c>
      <c r="G334" t="n">
        <v>6.3</v>
      </c>
      <c r="H334" t="n">
        <v>0</v>
      </c>
      <c r="I334" t="n">
        <v>0</v>
      </c>
      <c r="J334" t="n">
        <v>0</v>
      </c>
      <c r="K334" t="n">
        <v>0</v>
      </c>
      <c r="L334" t="n">
        <v>0</v>
      </c>
      <c r="M334" t="n">
        <v>0</v>
      </c>
      <c r="N334" t="n">
        <v>0</v>
      </c>
      <c r="O334" t="n">
        <v>0</v>
      </c>
      <c r="P334" t="n">
        <v>0</v>
      </c>
      <c r="Q334" t="n">
        <v>0</v>
      </c>
      <c r="R334" s="2" t="inlineStr"/>
    </row>
    <row r="335" ht="15" customHeight="1">
      <c r="A335" t="inlineStr">
        <is>
          <t>A 54039-2021</t>
        </is>
      </c>
      <c r="B335" s="1" t="n">
        <v>44470.39989583333</v>
      </c>
      <c r="C335" s="1" t="n">
        <v>45916</v>
      </c>
      <c r="D335" t="inlineStr">
        <is>
          <t>JÄMTLANDS LÄN</t>
        </is>
      </c>
      <c r="E335" t="inlineStr">
        <is>
          <t>KROKOM</t>
        </is>
      </c>
      <c r="G335" t="n">
        <v>9.9</v>
      </c>
      <c r="H335" t="n">
        <v>0</v>
      </c>
      <c r="I335" t="n">
        <v>0</v>
      </c>
      <c r="J335" t="n">
        <v>0</v>
      </c>
      <c r="K335" t="n">
        <v>0</v>
      </c>
      <c r="L335" t="n">
        <v>0</v>
      </c>
      <c r="M335" t="n">
        <v>0</v>
      </c>
      <c r="N335" t="n">
        <v>0</v>
      </c>
      <c r="O335" t="n">
        <v>0</v>
      </c>
      <c r="P335" t="n">
        <v>0</v>
      </c>
      <c r="Q335" t="n">
        <v>0</v>
      </c>
      <c r="R335" s="2" t="inlineStr"/>
    </row>
    <row r="336" ht="15" customHeight="1">
      <c r="A336" t="inlineStr">
        <is>
          <t>A 57375-2020</t>
        </is>
      </c>
      <c r="B336" s="1" t="n">
        <v>44139</v>
      </c>
      <c r="C336" s="1" t="n">
        <v>45916</v>
      </c>
      <c r="D336" t="inlineStr">
        <is>
          <t>JÄMTLANDS LÄN</t>
        </is>
      </c>
      <c r="E336" t="inlineStr">
        <is>
          <t>KROKOM</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11386-2025</t>
        </is>
      </c>
      <c r="B337" s="1" t="n">
        <v>45726.56341435185</v>
      </c>
      <c r="C337" s="1" t="n">
        <v>45916</v>
      </c>
      <c r="D337" t="inlineStr">
        <is>
          <t>JÄMTLANDS LÄN</t>
        </is>
      </c>
      <c r="E337" t="inlineStr">
        <is>
          <t>KROKOM</t>
        </is>
      </c>
      <c r="F337" t="inlineStr">
        <is>
          <t>Övriga Aktiebolag</t>
        </is>
      </c>
      <c r="G337" t="n">
        <v>42.4</v>
      </c>
      <c r="H337" t="n">
        <v>0</v>
      </c>
      <c r="I337" t="n">
        <v>0</v>
      </c>
      <c r="J337" t="n">
        <v>0</v>
      </c>
      <c r="K337" t="n">
        <v>0</v>
      </c>
      <c r="L337" t="n">
        <v>0</v>
      </c>
      <c r="M337" t="n">
        <v>0</v>
      </c>
      <c r="N337" t="n">
        <v>0</v>
      </c>
      <c r="O337" t="n">
        <v>0</v>
      </c>
      <c r="P337" t="n">
        <v>0</v>
      </c>
      <c r="Q337" t="n">
        <v>0</v>
      </c>
      <c r="R337" s="2" t="inlineStr"/>
    </row>
    <row r="338" ht="15" customHeight="1">
      <c r="A338" t="inlineStr">
        <is>
          <t>A 52626-2020</t>
        </is>
      </c>
      <c r="B338" s="1" t="n">
        <v>44118.98730324074</v>
      </c>
      <c r="C338" s="1" t="n">
        <v>45916</v>
      </c>
      <c r="D338" t="inlineStr">
        <is>
          <t>JÄMTLANDS LÄN</t>
        </is>
      </c>
      <c r="E338" t="inlineStr">
        <is>
          <t>KROKOM</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22611-2022</t>
        </is>
      </c>
      <c r="B339" s="1" t="n">
        <v>44714</v>
      </c>
      <c r="C339" s="1" t="n">
        <v>45916</v>
      </c>
      <c r="D339" t="inlineStr">
        <is>
          <t>JÄMTLANDS LÄN</t>
        </is>
      </c>
      <c r="E339" t="inlineStr">
        <is>
          <t>KROKOM</t>
        </is>
      </c>
      <c r="G339" t="n">
        <v>2.6</v>
      </c>
      <c r="H339" t="n">
        <v>0</v>
      </c>
      <c r="I339" t="n">
        <v>0</v>
      </c>
      <c r="J339" t="n">
        <v>0</v>
      </c>
      <c r="K339" t="n">
        <v>0</v>
      </c>
      <c r="L339" t="n">
        <v>0</v>
      </c>
      <c r="M339" t="n">
        <v>0</v>
      </c>
      <c r="N339" t="n">
        <v>0</v>
      </c>
      <c r="O339" t="n">
        <v>0</v>
      </c>
      <c r="P339" t="n">
        <v>0</v>
      </c>
      <c r="Q339" t="n">
        <v>0</v>
      </c>
      <c r="R339" s="2" t="inlineStr"/>
    </row>
    <row r="340" ht="15" customHeight="1">
      <c r="A340" t="inlineStr">
        <is>
          <t>A 24559-2024</t>
        </is>
      </c>
      <c r="B340" s="1" t="n">
        <v>45460.44076388889</v>
      </c>
      <c r="C340" s="1" t="n">
        <v>45916</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45916</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54152-2021</t>
        </is>
      </c>
      <c r="B342" s="1" t="n">
        <v>44470</v>
      </c>
      <c r="C342" s="1" t="n">
        <v>45916</v>
      </c>
      <c r="D342" t="inlineStr">
        <is>
          <t>JÄMTLANDS LÄN</t>
        </is>
      </c>
      <c r="E342" t="inlineStr">
        <is>
          <t>KROKOM</t>
        </is>
      </c>
      <c r="G342" t="n">
        <v>0.5</v>
      </c>
      <c r="H342" t="n">
        <v>0</v>
      </c>
      <c r="I342" t="n">
        <v>0</v>
      </c>
      <c r="J342" t="n">
        <v>0</v>
      </c>
      <c r="K342" t="n">
        <v>0</v>
      </c>
      <c r="L342" t="n">
        <v>0</v>
      </c>
      <c r="M342" t="n">
        <v>0</v>
      </c>
      <c r="N342" t="n">
        <v>0</v>
      </c>
      <c r="O342" t="n">
        <v>0</v>
      </c>
      <c r="P342" t="n">
        <v>0</v>
      </c>
      <c r="Q342" t="n">
        <v>0</v>
      </c>
      <c r="R342" s="2" t="inlineStr"/>
    </row>
    <row r="343" ht="15" customHeight="1">
      <c r="A343" t="inlineStr">
        <is>
          <t>A 61091-2020</t>
        </is>
      </c>
      <c r="B343" s="1" t="n">
        <v>44153</v>
      </c>
      <c r="C343" s="1" t="n">
        <v>45916</v>
      </c>
      <c r="D343" t="inlineStr">
        <is>
          <t>JÄMTLANDS LÄN</t>
        </is>
      </c>
      <c r="E343" t="inlineStr">
        <is>
          <t>KROKOM</t>
        </is>
      </c>
      <c r="G343" t="n">
        <v>1.4</v>
      </c>
      <c r="H343" t="n">
        <v>0</v>
      </c>
      <c r="I343" t="n">
        <v>0</v>
      </c>
      <c r="J343" t="n">
        <v>0</v>
      </c>
      <c r="K343" t="n">
        <v>0</v>
      </c>
      <c r="L343" t="n">
        <v>0</v>
      </c>
      <c r="M343" t="n">
        <v>0</v>
      </c>
      <c r="N343" t="n">
        <v>0</v>
      </c>
      <c r="O343" t="n">
        <v>0</v>
      </c>
      <c r="P343" t="n">
        <v>0</v>
      </c>
      <c r="Q343" t="n">
        <v>0</v>
      </c>
      <c r="R343" s="2" t="inlineStr"/>
    </row>
    <row r="344" ht="15" customHeight="1">
      <c r="A344" t="inlineStr">
        <is>
          <t>A 33333-2021</t>
        </is>
      </c>
      <c r="B344" s="1" t="n">
        <v>44377</v>
      </c>
      <c r="C344" s="1" t="n">
        <v>45916</v>
      </c>
      <c r="D344" t="inlineStr">
        <is>
          <t>JÄMTLANDS LÄN</t>
        </is>
      </c>
      <c r="E344" t="inlineStr">
        <is>
          <t>KROKOM</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11403-2025</t>
        </is>
      </c>
      <c r="B345" s="1" t="n">
        <v>45726.5827199074</v>
      </c>
      <c r="C345" s="1" t="n">
        <v>45916</v>
      </c>
      <c r="D345" t="inlineStr">
        <is>
          <t>JÄMTLANDS LÄN</t>
        </is>
      </c>
      <c r="E345" t="inlineStr">
        <is>
          <t>KROKOM</t>
        </is>
      </c>
      <c r="G345" t="n">
        <v>4.4</v>
      </c>
      <c r="H345" t="n">
        <v>0</v>
      </c>
      <c r="I345" t="n">
        <v>0</v>
      </c>
      <c r="J345" t="n">
        <v>0</v>
      </c>
      <c r="K345" t="n">
        <v>0</v>
      </c>
      <c r="L345" t="n">
        <v>0</v>
      </c>
      <c r="M345" t="n">
        <v>0</v>
      </c>
      <c r="N345" t="n">
        <v>0</v>
      </c>
      <c r="O345" t="n">
        <v>0</v>
      </c>
      <c r="P345" t="n">
        <v>0</v>
      </c>
      <c r="Q345" t="n">
        <v>0</v>
      </c>
      <c r="R345" s="2" t="inlineStr"/>
    </row>
    <row r="346" ht="15" customHeight="1">
      <c r="A346" t="inlineStr">
        <is>
          <t>A 16343-2025</t>
        </is>
      </c>
      <c r="B346" s="1" t="n">
        <v>45751.37320601852</v>
      </c>
      <c r="C346" s="1" t="n">
        <v>45916</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59718-2020</t>
        </is>
      </c>
      <c r="B347" s="1" t="n">
        <v>44151</v>
      </c>
      <c r="C347" s="1" t="n">
        <v>45916</v>
      </c>
      <c r="D347" t="inlineStr">
        <is>
          <t>JÄMTLANDS LÄN</t>
        </is>
      </c>
      <c r="E347" t="inlineStr">
        <is>
          <t>KROKOM</t>
        </is>
      </c>
      <c r="G347" t="n">
        <v>3.7</v>
      </c>
      <c r="H347" t="n">
        <v>0</v>
      </c>
      <c r="I347" t="n">
        <v>0</v>
      </c>
      <c r="J347" t="n">
        <v>0</v>
      </c>
      <c r="K347" t="n">
        <v>0</v>
      </c>
      <c r="L347" t="n">
        <v>0</v>
      </c>
      <c r="M347" t="n">
        <v>0</v>
      </c>
      <c r="N347" t="n">
        <v>0</v>
      </c>
      <c r="O347" t="n">
        <v>0</v>
      </c>
      <c r="P347" t="n">
        <v>0</v>
      </c>
      <c r="Q347" t="n">
        <v>0</v>
      </c>
      <c r="R347" s="2" t="inlineStr"/>
    </row>
    <row r="348" ht="15" customHeight="1">
      <c r="A348" t="inlineStr">
        <is>
          <t>A 7724-2025</t>
        </is>
      </c>
      <c r="B348" s="1" t="n">
        <v>45706</v>
      </c>
      <c r="C348" s="1" t="n">
        <v>45916</v>
      </c>
      <c r="D348" t="inlineStr">
        <is>
          <t>JÄMTLANDS LÄN</t>
        </is>
      </c>
      <c r="E348" t="inlineStr">
        <is>
          <t>KROKOM</t>
        </is>
      </c>
      <c r="G348" t="n">
        <v>1.8</v>
      </c>
      <c r="H348" t="n">
        <v>0</v>
      </c>
      <c r="I348" t="n">
        <v>0</v>
      </c>
      <c r="J348" t="n">
        <v>0</v>
      </c>
      <c r="K348" t="n">
        <v>0</v>
      </c>
      <c r="L348" t="n">
        <v>0</v>
      </c>
      <c r="M348" t="n">
        <v>0</v>
      </c>
      <c r="N348" t="n">
        <v>0</v>
      </c>
      <c r="O348" t="n">
        <v>0</v>
      </c>
      <c r="P348" t="n">
        <v>0</v>
      </c>
      <c r="Q348" t="n">
        <v>0</v>
      </c>
      <c r="R348" s="2" t="inlineStr"/>
    </row>
    <row r="349" ht="15" customHeight="1">
      <c r="A349" t="inlineStr">
        <is>
          <t>A 25031-2022</t>
        </is>
      </c>
      <c r="B349" s="1" t="n">
        <v>44728.94420138889</v>
      </c>
      <c r="C349" s="1" t="n">
        <v>45916</v>
      </c>
      <c r="D349" t="inlineStr">
        <is>
          <t>JÄMTLANDS LÄN</t>
        </is>
      </c>
      <c r="E349" t="inlineStr">
        <is>
          <t>KROKOM</t>
        </is>
      </c>
      <c r="F349" t="inlineStr">
        <is>
          <t>SCA</t>
        </is>
      </c>
      <c r="G349" t="n">
        <v>5.3</v>
      </c>
      <c r="H349" t="n">
        <v>0</v>
      </c>
      <c r="I349" t="n">
        <v>0</v>
      </c>
      <c r="J349" t="n">
        <v>0</v>
      </c>
      <c r="K349" t="n">
        <v>0</v>
      </c>
      <c r="L349" t="n">
        <v>0</v>
      </c>
      <c r="M349" t="n">
        <v>0</v>
      </c>
      <c r="N349" t="n">
        <v>0</v>
      </c>
      <c r="O349" t="n">
        <v>0</v>
      </c>
      <c r="P349" t="n">
        <v>0</v>
      </c>
      <c r="Q349" t="n">
        <v>0</v>
      </c>
      <c r="R349" s="2" t="inlineStr"/>
    </row>
    <row r="350" ht="15" customHeight="1">
      <c r="A350" t="inlineStr">
        <is>
          <t>A 24252-2024</t>
        </is>
      </c>
      <c r="B350" s="1" t="n">
        <v>45457.38799768518</v>
      </c>
      <c r="C350" s="1" t="n">
        <v>45916</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15455-2021</t>
        </is>
      </c>
      <c r="B351" s="1" t="n">
        <v>44285</v>
      </c>
      <c r="C351" s="1" t="n">
        <v>45916</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58563-2023</t>
        </is>
      </c>
      <c r="B352" s="1" t="n">
        <v>45246</v>
      </c>
      <c r="C352" s="1" t="n">
        <v>45916</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52268-2022</t>
        </is>
      </c>
      <c r="B353" s="1" t="n">
        <v>44873</v>
      </c>
      <c r="C353" s="1" t="n">
        <v>45916</v>
      </c>
      <c r="D353" t="inlineStr">
        <is>
          <t>JÄMTLANDS LÄN</t>
        </is>
      </c>
      <c r="E353" t="inlineStr">
        <is>
          <t>KROKOM</t>
        </is>
      </c>
      <c r="G353" t="n">
        <v>0.7</v>
      </c>
      <c r="H353" t="n">
        <v>0</v>
      </c>
      <c r="I353" t="n">
        <v>0</v>
      </c>
      <c r="J353" t="n">
        <v>0</v>
      </c>
      <c r="K353" t="n">
        <v>0</v>
      </c>
      <c r="L353" t="n">
        <v>0</v>
      </c>
      <c r="M353" t="n">
        <v>0</v>
      </c>
      <c r="N353" t="n">
        <v>0</v>
      </c>
      <c r="O353" t="n">
        <v>0</v>
      </c>
      <c r="P353" t="n">
        <v>0</v>
      </c>
      <c r="Q353" t="n">
        <v>0</v>
      </c>
      <c r="R353" s="2" t="inlineStr"/>
      <c r="U353">
        <f>HYPERLINK("https://klasma.github.io/Logging_2309/knärot/A 52268-2022 karta knärot.png", "A 52268-2022")</f>
        <v/>
      </c>
      <c r="V353">
        <f>HYPERLINK("https://klasma.github.io/Logging_2309/klagomål/A 52268-2022 FSC-klagomål.docx", "A 52268-2022")</f>
        <v/>
      </c>
      <c r="W353">
        <f>HYPERLINK("https://klasma.github.io/Logging_2309/klagomålsmail/A 52268-2022 FSC-klagomål mail.docx", "A 52268-2022")</f>
        <v/>
      </c>
      <c r="X353">
        <f>HYPERLINK("https://klasma.github.io/Logging_2309/tillsyn/A 52268-2022 tillsynsbegäran.docx", "A 52268-2022")</f>
        <v/>
      </c>
      <c r="Y353">
        <f>HYPERLINK("https://klasma.github.io/Logging_2309/tillsynsmail/A 52268-2022 tillsynsbegäran mail.docx", "A 52268-2022")</f>
        <v/>
      </c>
    </row>
    <row r="354" ht="15" customHeight="1">
      <c r="A354" t="inlineStr">
        <is>
          <t>A 52258-2022</t>
        </is>
      </c>
      <c r="B354" s="1" t="n">
        <v>44873</v>
      </c>
      <c r="C354" s="1" t="n">
        <v>45916</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53771-2022</t>
        </is>
      </c>
      <c r="B355" s="1" t="n">
        <v>44875</v>
      </c>
      <c r="C355" s="1" t="n">
        <v>45916</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68686-2021</t>
        </is>
      </c>
      <c r="B356" s="1" t="n">
        <v>44526</v>
      </c>
      <c r="C356" s="1" t="n">
        <v>45916</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2427-2021</t>
        </is>
      </c>
      <c r="B357" s="1" t="n">
        <v>44214</v>
      </c>
      <c r="C357" s="1" t="n">
        <v>45916</v>
      </c>
      <c r="D357" t="inlineStr">
        <is>
          <t>JÄMTLANDS LÄN</t>
        </is>
      </c>
      <c r="E357" t="inlineStr">
        <is>
          <t>KROKOM</t>
        </is>
      </c>
      <c r="G357" t="n">
        <v>20.5</v>
      </c>
      <c r="H357" t="n">
        <v>0</v>
      </c>
      <c r="I357" t="n">
        <v>0</v>
      </c>
      <c r="J357" t="n">
        <v>0</v>
      </c>
      <c r="K357" t="n">
        <v>0</v>
      </c>
      <c r="L357" t="n">
        <v>0</v>
      </c>
      <c r="M357" t="n">
        <v>0</v>
      </c>
      <c r="N357" t="n">
        <v>0</v>
      </c>
      <c r="O357" t="n">
        <v>0</v>
      </c>
      <c r="P357" t="n">
        <v>0</v>
      </c>
      <c r="Q357" t="n">
        <v>0</v>
      </c>
      <c r="R357" s="2" t="inlineStr"/>
    </row>
    <row r="358" ht="15" customHeight="1">
      <c r="A358" t="inlineStr">
        <is>
          <t>A 46506-2022</t>
        </is>
      </c>
      <c r="B358" s="1" t="n">
        <v>44848</v>
      </c>
      <c r="C358" s="1" t="n">
        <v>45916</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37641-2021</t>
        </is>
      </c>
      <c r="B359" s="1" t="n">
        <v>44400.37204861111</v>
      </c>
      <c r="C359" s="1" t="n">
        <v>45916</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26693-2023</t>
        </is>
      </c>
      <c r="B360" s="1" t="n">
        <v>45090</v>
      </c>
      <c r="C360" s="1" t="n">
        <v>45916</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54828-2024</t>
        </is>
      </c>
      <c r="B361" s="1" t="n">
        <v>45618.54398148148</v>
      </c>
      <c r="C361" s="1" t="n">
        <v>45916</v>
      </c>
      <c r="D361" t="inlineStr">
        <is>
          <t>JÄMTLANDS LÄN</t>
        </is>
      </c>
      <c r="E361" t="inlineStr">
        <is>
          <t>KROKOM</t>
        </is>
      </c>
      <c r="G361" t="n">
        <v>8.1</v>
      </c>
      <c r="H361" t="n">
        <v>0</v>
      </c>
      <c r="I361" t="n">
        <v>0</v>
      </c>
      <c r="J361" t="n">
        <v>0</v>
      </c>
      <c r="K361" t="n">
        <v>0</v>
      </c>
      <c r="L361" t="n">
        <v>0</v>
      </c>
      <c r="M361" t="n">
        <v>0</v>
      </c>
      <c r="N361" t="n">
        <v>0</v>
      </c>
      <c r="O361" t="n">
        <v>0</v>
      </c>
      <c r="P361" t="n">
        <v>0</v>
      </c>
      <c r="Q361" t="n">
        <v>0</v>
      </c>
      <c r="R361" s="2" t="inlineStr"/>
    </row>
    <row r="362" ht="15" customHeight="1">
      <c r="A362" t="inlineStr">
        <is>
          <t>A 15885-2023</t>
        </is>
      </c>
      <c r="B362" s="1" t="n">
        <v>45022</v>
      </c>
      <c r="C362" s="1" t="n">
        <v>45916</v>
      </c>
      <c r="D362" t="inlineStr">
        <is>
          <t>JÄMTLANDS LÄN</t>
        </is>
      </c>
      <c r="E362" t="inlineStr">
        <is>
          <t>KROKOM</t>
        </is>
      </c>
      <c r="G362" t="n">
        <v>2.3</v>
      </c>
      <c r="H362" t="n">
        <v>0</v>
      </c>
      <c r="I362" t="n">
        <v>0</v>
      </c>
      <c r="J362" t="n">
        <v>0</v>
      </c>
      <c r="K362" t="n">
        <v>0</v>
      </c>
      <c r="L362" t="n">
        <v>0</v>
      </c>
      <c r="M362" t="n">
        <v>0</v>
      </c>
      <c r="N362" t="n">
        <v>0</v>
      </c>
      <c r="O362" t="n">
        <v>0</v>
      </c>
      <c r="P362" t="n">
        <v>0</v>
      </c>
      <c r="Q362" t="n">
        <v>0</v>
      </c>
      <c r="R362" s="2" t="inlineStr"/>
    </row>
    <row r="363" ht="15" customHeight="1">
      <c r="A363" t="inlineStr">
        <is>
          <t>A 17510-2025</t>
        </is>
      </c>
      <c r="B363" s="1" t="n">
        <v>45757.56491898148</v>
      </c>
      <c r="C363" s="1" t="n">
        <v>45916</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826-2025</t>
        </is>
      </c>
      <c r="B364" s="1" t="n">
        <v>45665.57373842593</v>
      </c>
      <c r="C364" s="1" t="n">
        <v>45916</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5356-2025</t>
        </is>
      </c>
      <c r="B365" s="1" t="n">
        <v>45692</v>
      </c>
      <c r="C365" s="1" t="n">
        <v>45916</v>
      </c>
      <c r="D365" t="inlineStr">
        <is>
          <t>JÄMTLANDS LÄN</t>
        </is>
      </c>
      <c r="E365" t="inlineStr">
        <is>
          <t>KROKOM</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46046-2023</t>
        </is>
      </c>
      <c r="B366" s="1" t="n">
        <v>45190</v>
      </c>
      <c r="C366" s="1" t="n">
        <v>45916</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50417-2024</t>
        </is>
      </c>
      <c r="B367" s="1" t="n">
        <v>45601.38071759259</v>
      </c>
      <c r="C367" s="1" t="n">
        <v>45916</v>
      </c>
      <c r="D367" t="inlineStr">
        <is>
          <t>JÄMTLANDS LÄN</t>
        </is>
      </c>
      <c r="E367" t="inlineStr">
        <is>
          <t>KROKOM</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55455-2022</t>
        </is>
      </c>
      <c r="B368" s="1" t="n">
        <v>44887</v>
      </c>
      <c r="C368" s="1" t="n">
        <v>45916</v>
      </c>
      <c r="D368" t="inlineStr">
        <is>
          <t>JÄMTLANDS LÄN</t>
        </is>
      </c>
      <c r="E368" t="inlineStr">
        <is>
          <t>KROKOM</t>
        </is>
      </c>
      <c r="F368" t="inlineStr">
        <is>
          <t>Övriga Aktiebolag</t>
        </is>
      </c>
      <c r="G368" t="n">
        <v>5.2</v>
      </c>
      <c r="H368" t="n">
        <v>0</v>
      </c>
      <c r="I368" t="n">
        <v>0</v>
      </c>
      <c r="J368" t="n">
        <v>0</v>
      </c>
      <c r="K368" t="n">
        <v>0</v>
      </c>
      <c r="L368" t="n">
        <v>0</v>
      </c>
      <c r="M368" t="n">
        <v>0</v>
      </c>
      <c r="N368" t="n">
        <v>0</v>
      </c>
      <c r="O368" t="n">
        <v>0</v>
      </c>
      <c r="P368" t="n">
        <v>0</v>
      </c>
      <c r="Q368" t="n">
        <v>0</v>
      </c>
      <c r="R368" s="2" t="inlineStr"/>
    </row>
    <row r="369" ht="15" customHeight="1">
      <c r="A369" t="inlineStr">
        <is>
          <t>A 10279-2025</t>
        </is>
      </c>
      <c r="B369" s="1" t="n">
        <v>45720.40268518519</v>
      </c>
      <c r="C369" s="1" t="n">
        <v>45916</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18406-2025</t>
        </is>
      </c>
      <c r="B370" s="1" t="n">
        <v>45762.60907407408</v>
      </c>
      <c r="C370" s="1" t="n">
        <v>45916</v>
      </c>
      <c r="D370" t="inlineStr">
        <is>
          <t>JÄMTLANDS LÄN</t>
        </is>
      </c>
      <c r="E370" t="inlineStr">
        <is>
          <t>KROKOM</t>
        </is>
      </c>
      <c r="F370" t="inlineStr">
        <is>
          <t>Övriga Aktiebolag</t>
        </is>
      </c>
      <c r="G370" t="n">
        <v>34.3</v>
      </c>
      <c r="H370" t="n">
        <v>0</v>
      </c>
      <c r="I370" t="n">
        <v>0</v>
      </c>
      <c r="J370" t="n">
        <v>0</v>
      </c>
      <c r="K370" t="n">
        <v>0</v>
      </c>
      <c r="L370" t="n">
        <v>0</v>
      </c>
      <c r="M370" t="n">
        <v>0</v>
      </c>
      <c r="N370" t="n">
        <v>0</v>
      </c>
      <c r="O370" t="n">
        <v>0</v>
      </c>
      <c r="P370" t="n">
        <v>0</v>
      </c>
      <c r="Q370" t="n">
        <v>0</v>
      </c>
      <c r="R370" s="2" t="inlineStr"/>
    </row>
    <row r="371" ht="15" customHeight="1">
      <c r="A371" t="inlineStr">
        <is>
          <t>A 42816-2023</t>
        </is>
      </c>
      <c r="B371" s="1" t="n">
        <v>45182</v>
      </c>
      <c r="C371" s="1" t="n">
        <v>45916</v>
      </c>
      <c r="D371" t="inlineStr">
        <is>
          <t>JÄMTLANDS LÄN</t>
        </is>
      </c>
      <c r="E371" t="inlineStr">
        <is>
          <t>KROKOM</t>
        </is>
      </c>
      <c r="G371" t="n">
        <v>3.9</v>
      </c>
      <c r="H371" t="n">
        <v>0</v>
      </c>
      <c r="I371" t="n">
        <v>0</v>
      </c>
      <c r="J371" t="n">
        <v>0</v>
      </c>
      <c r="K371" t="n">
        <v>0</v>
      </c>
      <c r="L371" t="n">
        <v>0</v>
      </c>
      <c r="M371" t="n">
        <v>0</v>
      </c>
      <c r="N371" t="n">
        <v>0</v>
      </c>
      <c r="O371" t="n">
        <v>0</v>
      </c>
      <c r="P371" t="n">
        <v>0</v>
      </c>
      <c r="Q371" t="n">
        <v>0</v>
      </c>
      <c r="R371" s="2" t="inlineStr"/>
    </row>
    <row r="372" ht="15" customHeight="1">
      <c r="A372" t="inlineStr">
        <is>
          <t>A 48334-2022</t>
        </is>
      </c>
      <c r="B372" s="1" t="n">
        <v>44858</v>
      </c>
      <c r="C372" s="1" t="n">
        <v>45916</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73174-2021</t>
        </is>
      </c>
      <c r="B373" s="1" t="n">
        <v>44550</v>
      </c>
      <c r="C373" s="1" t="n">
        <v>45916</v>
      </c>
      <c r="D373" t="inlineStr">
        <is>
          <t>JÄMTLANDS LÄN</t>
        </is>
      </c>
      <c r="E373" t="inlineStr">
        <is>
          <t>KROKOM</t>
        </is>
      </c>
      <c r="G373" t="n">
        <v>152.9</v>
      </c>
      <c r="H373" t="n">
        <v>0</v>
      </c>
      <c r="I373" t="n">
        <v>0</v>
      </c>
      <c r="J373" t="n">
        <v>0</v>
      </c>
      <c r="K373" t="n">
        <v>0</v>
      </c>
      <c r="L373" t="n">
        <v>0</v>
      </c>
      <c r="M373" t="n">
        <v>0</v>
      </c>
      <c r="N373" t="n">
        <v>0</v>
      </c>
      <c r="O373" t="n">
        <v>0</v>
      </c>
      <c r="P373" t="n">
        <v>0</v>
      </c>
      <c r="Q373" t="n">
        <v>0</v>
      </c>
      <c r="R373" s="2" t="inlineStr"/>
    </row>
    <row r="374" ht="15" customHeight="1">
      <c r="A374" t="inlineStr">
        <is>
          <t>A 14184-2024</t>
        </is>
      </c>
      <c r="B374" s="1" t="n">
        <v>45393</v>
      </c>
      <c r="C374" s="1" t="n">
        <v>45916</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29936-2023</t>
        </is>
      </c>
      <c r="B375" s="1" t="n">
        <v>45107</v>
      </c>
      <c r="C375" s="1" t="n">
        <v>45916</v>
      </c>
      <c r="D375" t="inlineStr">
        <is>
          <t>JÄMTLANDS LÄN</t>
        </is>
      </c>
      <c r="E375" t="inlineStr">
        <is>
          <t>KROKOM</t>
        </is>
      </c>
      <c r="G375" t="n">
        <v>77.40000000000001</v>
      </c>
      <c r="H375" t="n">
        <v>0</v>
      </c>
      <c r="I375" t="n">
        <v>0</v>
      </c>
      <c r="J375" t="n">
        <v>0</v>
      </c>
      <c r="K375" t="n">
        <v>0</v>
      </c>
      <c r="L375" t="n">
        <v>0</v>
      </c>
      <c r="M375" t="n">
        <v>0</v>
      </c>
      <c r="N375" t="n">
        <v>0</v>
      </c>
      <c r="O375" t="n">
        <v>0</v>
      </c>
      <c r="P375" t="n">
        <v>0</v>
      </c>
      <c r="Q375" t="n">
        <v>0</v>
      </c>
      <c r="R375" s="2" t="inlineStr"/>
    </row>
    <row r="376" ht="15" customHeight="1">
      <c r="A376" t="inlineStr">
        <is>
          <t>A 57728-2020</t>
        </is>
      </c>
      <c r="B376" s="1" t="n">
        <v>44140</v>
      </c>
      <c r="C376" s="1" t="n">
        <v>45916</v>
      </c>
      <c r="D376" t="inlineStr">
        <is>
          <t>JÄMTLANDS LÄN</t>
        </is>
      </c>
      <c r="E376" t="inlineStr">
        <is>
          <t>KROKOM</t>
        </is>
      </c>
      <c r="G376" t="n">
        <v>5</v>
      </c>
      <c r="H376" t="n">
        <v>0</v>
      </c>
      <c r="I376" t="n">
        <v>0</v>
      </c>
      <c r="J376" t="n">
        <v>0</v>
      </c>
      <c r="K376" t="n">
        <v>0</v>
      </c>
      <c r="L376" t="n">
        <v>0</v>
      </c>
      <c r="M376" t="n">
        <v>0</v>
      </c>
      <c r="N376" t="n">
        <v>0</v>
      </c>
      <c r="O376" t="n">
        <v>0</v>
      </c>
      <c r="P376" t="n">
        <v>0</v>
      </c>
      <c r="Q376" t="n">
        <v>0</v>
      </c>
      <c r="R376" s="2" t="inlineStr"/>
    </row>
    <row r="377" ht="15" customHeight="1">
      <c r="A377" t="inlineStr">
        <is>
          <t>A 54160-2023</t>
        </is>
      </c>
      <c r="B377" s="1" t="n">
        <v>45232.46239583333</v>
      </c>
      <c r="C377" s="1" t="n">
        <v>45916</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16874-2024</t>
        </is>
      </c>
      <c r="B378" s="1" t="n">
        <v>45411</v>
      </c>
      <c r="C378" s="1" t="n">
        <v>45916</v>
      </c>
      <c r="D378" t="inlineStr">
        <is>
          <t>JÄMTLANDS LÄN</t>
        </is>
      </c>
      <c r="E378" t="inlineStr">
        <is>
          <t>KROKOM</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30383-2024</t>
        </is>
      </c>
      <c r="B379" s="1" t="n">
        <v>45491.44971064815</v>
      </c>
      <c r="C379" s="1" t="n">
        <v>45916</v>
      </c>
      <c r="D379" t="inlineStr">
        <is>
          <t>JÄMTLANDS LÄN</t>
        </is>
      </c>
      <c r="E379" t="inlineStr">
        <is>
          <t>KROKOM</t>
        </is>
      </c>
      <c r="G379" t="n">
        <v>22.9</v>
      </c>
      <c r="H379" t="n">
        <v>0</v>
      </c>
      <c r="I379" t="n">
        <v>0</v>
      </c>
      <c r="J379" t="n">
        <v>0</v>
      </c>
      <c r="K379" t="n">
        <v>0</v>
      </c>
      <c r="L379" t="n">
        <v>0</v>
      </c>
      <c r="M379" t="n">
        <v>0</v>
      </c>
      <c r="N379" t="n">
        <v>0</v>
      </c>
      <c r="O379" t="n">
        <v>0</v>
      </c>
      <c r="P379" t="n">
        <v>0</v>
      </c>
      <c r="Q379" t="n">
        <v>0</v>
      </c>
      <c r="R379" s="2" t="inlineStr"/>
    </row>
    <row r="380" ht="15" customHeight="1">
      <c r="A380" t="inlineStr">
        <is>
          <t>A 1877-2023</t>
        </is>
      </c>
      <c r="B380" s="1" t="n">
        <v>44938.93989583333</v>
      </c>
      <c r="C380" s="1" t="n">
        <v>45916</v>
      </c>
      <c r="D380" t="inlineStr">
        <is>
          <t>JÄMTLANDS LÄN</t>
        </is>
      </c>
      <c r="E380" t="inlineStr">
        <is>
          <t>KROKOM</t>
        </is>
      </c>
      <c r="G380" t="n">
        <v>11.1</v>
      </c>
      <c r="H380" t="n">
        <v>0</v>
      </c>
      <c r="I380" t="n">
        <v>0</v>
      </c>
      <c r="J380" t="n">
        <v>0</v>
      </c>
      <c r="K380" t="n">
        <v>0</v>
      </c>
      <c r="L380" t="n">
        <v>0</v>
      </c>
      <c r="M380" t="n">
        <v>0</v>
      </c>
      <c r="N380" t="n">
        <v>0</v>
      </c>
      <c r="O380" t="n">
        <v>0</v>
      </c>
      <c r="P380" t="n">
        <v>0</v>
      </c>
      <c r="Q380" t="n">
        <v>0</v>
      </c>
      <c r="R380" s="2" t="inlineStr"/>
    </row>
    <row r="381" ht="15" customHeight="1">
      <c r="A381" t="inlineStr">
        <is>
          <t>A 34769-2021</t>
        </is>
      </c>
      <c r="B381" s="1" t="n">
        <v>44382.92065972222</v>
      </c>
      <c r="C381" s="1" t="n">
        <v>45916</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47850-2023</t>
        </is>
      </c>
      <c r="B382" s="1" t="n">
        <v>45204.40770833333</v>
      </c>
      <c r="C382" s="1" t="n">
        <v>45916</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46597-2020</t>
        </is>
      </c>
      <c r="B383" s="1" t="n">
        <v>44095</v>
      </c>
      <c r="C383" s="1" t="n">
        <v>45916</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35767-2024</t>
        </is>
      </c>
      <c r="B384" s="1" t="n">
        <v>45532.58101851852</v>
      </c>
      <c r="C384" s="1" t="n">
        <v>45916</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29146-2021</t>
        </is>
      </c>
      <c r="B385" s="1" t="n">
        <v>44358.63585648148</v>
      </c>
      <c r="C385" s="1" t="n">
        <v>45916</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61966-2024</t>
        </is>
      </c>
      <c r="B386" s="1" t="n">
        <v>45653.57240740741</v>
      </c>
      <c r="C386" s="1" t="n">
        <v>45916</v>
      </c>
      <c r="D386" t="inlineStr">
        <is>
          <t>JÄMTLANDS LÄN</t>
        </is>
      </c>
      <c r="E386" t="inlineStr">
        <is>
          <t>KROKOM</t>
        </is>
      </c>
      <c r="F386" t="inlineStr">
        <is>
          <t>Övriga Aktiebolag</t>
        </is>
      </c>
      <c r="G386" t="n">
        <v>15.7</v>
      </c>
      <c r="H386" t="n">
        <v>0</v>
      </c>
      <c r="I386" t="n">
        <v>0</v>
      </c>
      <c r="J386" t="n">
        <v>0</v>
      </c>
      <c r="K386" t="n">
        <v>0</v>
      </c>
      <c r="L386" t="n">
        <v>0</v>
      </c>
      <c r="M386" t="n">
        <v>0</v>
      </c>
      <c r="N386" t="n">
        <v>0</v>
      </c>
      <c r="O386" t="n">
        <v>0</v>
      </c>
      <c r="P386" t="n">
        <v>0</v>
      </c>
      <c r="Q386" t="n">
        <v>0</v>
      </c>
      <c r="R386" s="2" t="inlineStr"/>
    </row>
    <row r="387" ht="15" customHeight="1">
      <c r="A387" t="inlineStr">
        <is>
          <t>A 14032-2024</t>
        </is>
      </c>
      <c r="B387" s="1" t="n">
        <v>45392</v>
      </c>
      <c r="C387" s="1" t="n">
        <v>45916</v>
      </c>
      <c r="D387" t="inlineStr">
        <is>
          <t>JÄMTLANDS LÄN</t>
        </is>
      </c>
      <c r="E387" t="inlineStr">
        <is>
          <t>KROKOM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39127-2023</t>
        </is>
      </c>
      <c r="B388" s="1" t="n">
        <v>45165.70483796296</v>
      </c>
      <c r="C388" s="1" t="n">
        <v>45916</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29238-2022</t>
        </is>
      </c>
      <c r="B389" s="1" t="n">
        <v>44750</v>
      </c>
      <c r="C389" s="1" t="n">
        <v>45916</v>
      </c>
      <c r="D389" t="inlineStr">
        <is>
          <t>JÄMTLANDS LÄN</t>
        </is>
      </c>
      <c r="E389" t="inlineStr">
        <is>
          <t>KROKOM</t>
        </is>
      </c>
      <c r="G389" t="n">
        <v>1.5</v>
      </c>
      <c r="H389" t="n">
        <v>0</v>
      </c>
      <c r="I389" t="n">
        <v>0</v>
      </c>
      <c r="J389" t="n">
        <v>0</v>
      </c>
      <c r="K389" t="n">
        <v>0</v>
      </c>
      <c r="L389" t="n">
        <v>0</v>
      </c>
      <c r="M389" t="n">
        <v>0</v>
      </c>
      <c r="N389" t="n">
        <v>0</v>
      </c>
      <c r="O389" t="n">
        <v>0</v>
      </c>
      <c r="P389" t="n">
        <v>0</v>
      </c>
      <c r="Q389" t="n">
        <v>0</v>
      </c>
      <c r="R389" s="2" t="inlineStr"/>
    </row>
    <row r="390" ht="15" customHeight="1">
      <c r="A390" t="inlineStr">
        <is>
          <t>A 61675-2022</t>
        </is>
      </c>
      <c r="B390" s="1" t="n">
        <v>44911</v>
      </c>
      <c r="C390" s="1" t="n">
        <v>45916</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26207-2024</t>
        </is>
      </c>
      <c r="B391" s="1" t="n">
        <v>45467</v>
      </c>
      <c r="C391" s="1" t="n">
        <v>45916</v>
      </c>
      <c r="D391" t="inlineStr">
        <is>
          <t>JÄMTLANDS LÄN</t>
        </is>
      </c>
      <c r="E391" t="inlineStr">
        <is>
          <t>KROKOM</t>
        </is>
      </c>
      <c r="G391" t="n">
        <v>14.4</v>
      </c>
      <c r="H391" t="n">
        <v>0</v>
      </c>
      <c r="I391" t="n">
        <v>0</v>
      </c>
      <c r="J391" t="n">
        <v>0</v>
      </c>
      <c r="K391" t="n">
        <v>0</v>
      </c>
      <c r="L391" t="n">
        <v>0</v>
      </c>
      <c r="M391" t="n">
        <v>0</v>
      </c>
      <c r="N391" t="n">
        <v>0</v>
      </c>
      <c r="O391" t="n">
        <v>0</v>
      </c>
      <c r="P391" t="n">
        <v>0</v>
      </c>
      <c r="Q391" t="n">
        <v>0</v>
      </c>
      <c r="R391" s="2" t="inlineStr"/>
    </row>
    <row r="392" ht="15" customHeight="1">
      <c r="A392" t="inlineStr">
        <is>
          <t>A 59076-2022</t>
        </is>
      </c>
      <c r="B392" s="1" t="n">
        <v>44904</v>
      </c>
      <c r="C392" s="1" t="n">
        <v>45916</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31988-2024</t>
        </is>
      </c>
      <c r="B393" s="1" t="n">
        <v>45510.58033564815</v>
      </c>
      <c r="C393" s="1" t="n">
        <v>45916</v>
      </c>
      <c r="D393" t="inlineStr">
        <is>
          <t>JÄMTLANDS LÄN</t>
        </is>
      </c>
      <c r="E393" t="inlineStr">
        <is>
          <t>KROKOM</t>
        </is>
      </c>
      <c r="F393" t="inlineStr">
        <is>
          <t>Övriga Aktiebolag</t>
        </is>
      </c>
      <c r="G393" t="n">
        <v>4.8</v>
      </c>
      <c r="H393" t="n">
        <v>0</v>
      </c>
      <c r="I393" t="n">
        <v>0</v>
      </c>
      <c r="J393" t="n">
        <v>0</v>
      </c>
      <c r="K393" t="n">
        <v>0</v>
      </c>
      <c r="L393" t="n">
        <v>0</v>
      </c>
      <c r="M393" t="n">
        <v>0</v>
      </c>
      <c r="N393" t="n">
        <v>0</v>
      </c>
      <c r="O393" t="n">
        <v>0</v>
      </c>
      <c r="P393" t="n">
        <v>0</v>
      </c>
      <c r="Q393" t="n">
        <v>0</v>
      </c>
      <c r="R393" s="2" t="inlineStr"/>
    </row>
    <row r="394" ht="15" customHeight="1">
      <c r="A394" t="inlineStr">
        <is>
          <t>A 31655-2025</t>
        </is>
      </c>
      <c r="B394" s="1" t="n">
        <v>45834.34737268519</v>
      </c>
      <c r="C394" s="1" t="n">
        <v>45916</v>
      </c>
      <c r="D394" t="inlineStr">
        <is>
          <t>JÄMTLANDS LÄN</t>
        </is>
      </c>
      <c r="E394" t="inlineStr">
        <is>
          <t>KROKOM</t>
        </is>
      </c>
      <c r="F394" t="inlineStr">
        <is>
          <t>SCA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5533-2025</t>
        </is>
      </c>
      <c r="B395" s="1" t="n">
        <v>45693</v>
      </c>
      <c r="C395" s="1" t="n">
        <v>45916</v>
      </c>
      <c r="D395" t="inlineStr">
        <is>
          <t>JÄMTLANDS LÄN</t>
        </is>
      </c>
      <c r="E395" t="inlineStr">
        <is>
          <t>KROKOM</t>
        </is>
      </c>
      <c r="G395" t="n">
        <v>109</v>
      </c>
      <c r="H395" t="n">
        <v>0</v>
      </c>
      <c r="I395" t="n">
        <v>0</v>
      </c>
      <c r="J395" t="n">
        <v>0</v>
      </c>
      <c r="K395" t="n">
        <v>0</v>
      </c>
      <c r="L395" t="n">
        <v>0</v>
      </c>
      <c r="M395" t="n">
        <v>0</v>
      </c>
      <c r="N395" t="n">
        <v>0</v>
      </c>
      <c r="O395" t="n">
        <v>0</v>
      </c>
      <c r="P395" t="n">
        <v>0</v>
      </c>
      <c r="Q395" t="n">
        <v>0</v>
      </c>
      <c r="R395" s="2" t="inlineStr"/>
    </row>
    <row r="396" ht="15" customHeight="1">
      <c r="A396" t="inlineStr">
        <is>
          <t>A 53765-2022</t>
        </is>
      </c>
      <c r="B396" s="1" t="n">
        <v>44875</v>
      </c>
      <c r="C396" s="1" t="n">
        <v>45916</v>
      </c>
      <c r="D396" t="inlineStr">
        <is>
          <t>JÄMTLANDS LÄN</t>
        </is>
      </c>
      <c r="E396" t="inlineStr">
        <is>
          <t>KROKOM</t>
        </is>
      </c>
      <c r="G396" t="n">
        <v>6.4</v>
      </c>
      <c r="H396" t="n">
        <v>0</v>
      </c>
      <c r="I396" t="n">
        <v>0</v>
      </c>
      <c r="J396" t="n">
        <v>0</v>
      </c>
      <c r="K396" t="n">
        <v>0</v>
      </c>
      <c r="L396" t="n">
        <v>0</v>
      </c>
      <c r="M396" t="n">
        <v>0</v>
      </c>
      <c r="N396" t="n">
        <v>0</v>
      </c>
      <c r="O396" t="n">
        <v>0</v>
      </c>
      <c r="P396" t="n">
        <v>0</v>
      </c>
      <c r="Q396" t="n">
        <v>0</v>
      </c>
      <c r="R396" s="2" t="inlineStr"/>
    </row>
    <row r="397" ht="15" customHeight="1">
      <c r="A397" t="inlineStr">
        <is>
          <t>A 60172-2024</t>
        </is>
      </c>
      <c r="B397" s="1" t="n">
        <v>45642.6366087963</v>
      </c>
      <c r="C397" s="1" t="n">
        <v>45916</v>
      </c>
      <c r="D397" t="inlineStr">
        <is>
          <t>JÄMTLANDS LÄN</t>
        </is>
      </c>
      <c r="E397" t="inlineStr">
        <is>
          <t>KROKOM</t>
        </is>
      </c>
      <c r="G397" t="n">
        <v>1.4</v>
      </c>
      <c r="H397" t="n">
        <v>0</v>
      </c>
      <c r="I397" t="n">
        <v>0</v>
      </c>
      <c r="J397" t="n">
        <v>0</v>
      </c>
      <c r="K397" t="n">
        <v>0</v>
      </c>
      <c r="L397" t="n">
        <v>0</v>
      </c>
      <c r="M397" t="n">
        <v>0</v>
      </c>
      <c r="N397" t="n">
        <v>0</v>
      </c>
      <c r="O397" t="n">
        <v>0</v>
      </c>
      <c r="P397" t="n">
        <v>0</v>
      </c>
      <c r="Q397" t="n">
        <v>0</v>
      </c>
      <c r="R397" s="2" t="inlineStr"/>
    </row>
    <row r="398" ht="15" customHeight="1">
      <c r="A398" t="inlineStr">
        <is>
          <t>A 6042-2025</t>
        </is>
      </c>
      <c r="B398" s="1" t="n">
        <v>45695</v>
      </c>
      <c r="C398" s="1" t="n">
        <v>45916</v>
      </c>
      <c r="D398" t="inlineStr">
        <is>
          <t>JÄMTLANDS LÄN</t>
        </is>
      </c>
      <c r="E398" t="inlineStr">
        <is>
          <t>KROKOM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24234-2024</t>
        </is>
      </c>
      <c r="B399" s="1" t="n">
        <v>45457.35388888889</v>
      </c>
      <c r="C399" s="1" t="n">
        <v>45916</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7013-2025</t>
        </is>
      </c>
      <c r="B400" s="1" t="n">
        <v>45701.60901620371</v>
      </c>
      <c r="C400" s="1" t="n">
        <v>45916</v>
      </c>
      <c r="D400" t="inlineStr">
        <is>
          <t>JÄMTLANDS LÄN</t>
        </is>
      </c>
      <c r="E400" t="inlineStr">
        <is>
          <t>KROKOM</t>
        </is>
      </c>
      <c r="G400" t="n">
        <v>4.3</v>
      </c>
      <c r="H400" t="n">
        <v>0</v>
      </c>
      <c r="I400" t="n">
        <v>0</v>
      </c>
      <c r="J400" t="n">
        <v>0</v>
      </c>
      <c r="K400" t="n">
        <v>0</v>
      </c>
      <c r="L400" t="n">
        <v>0</v>
      </c>
      <c r="M400" t="n">
        <v>0</v>
      </c>
      <c r="N400" t="n">
        <v>0</v>
      </c>
      <c r="O400" t="n">
        <v>0</v>
      </c>
      <c r="P400" t="n">
        <v>0</v>
      </c>
      <c r="Q400" t="n">
        <v>0</v>
      </c>
      <c r="R400" s="2" t="inlineStr"/>
    </row>
    <row r="401" ht="15" customHeight="1">
      <c r="A401" t="inlineStr">
        <is>
          <t>A 23751-2025</t>
        </is>
      </c>
      <c r="B401" s="1" t="n">
        <v>45793.45204861111</v>
      </c>
      <c r="C401" s="1" t="n">
        <v>45916</v>
      </c>
      <c r="D401" t="inlineStr">
        <is>
          <t>JÄMTLANDS LÄN</t>
        </is>
      </c>
      <c r="E401" t="inlineStr">
        <is>
          <t>KROKOM</t>
        </is>
      </c>
      <c r="G401" t="n">
        <v>7.2</v>
      </c>
      <c r="H401" t="n">
        <v>0</v>
      </c>
      <c r="I401" t="n">
        <v>0</v>
      </c>
      <c r="J401" t="n">
        <v>0</v>
      </c>
      <c r="K401" t="n">
        <v>0</v>
      </c>
      <c r="L401" t="n">
        <v>0</v>
      </c>
      <c r="M401" t="n">
        <v>0</v>
      </c>
      <c r="N401" t="n">
        <v>0</v>
      </c>
      <c r="O401" t="n">
        <v>0</v>
      </c>
      <c r="P401" t="n">
        <v>0</v>
      </c>
      <c r="Q401" t="n">
        <v>0</v>
      </c>
      <c r="R401" s="2" t="inlineStr"/>
    </row>
    <row r="402" ht="15" customHeight="1">
      <c r="A402" t="inlineStr">
        <is>
          <t>A 62413-2023</t>
        </is>
      </c>
      <c r="B402" s="1" t="n">
        <v>45266</v>
      </c>
      <c r="C402" s="1" t="n">
        <v>45916</v>
      </c>
      <c r="D402" t="inlineStr">
        <is>
          <t>JÄMTLANDS LÄN</t>
        </is>
      </c>
      <c r="E402" t="inlineStr">
        <is>
          <t>KROKOM</t>
        </is>
      </c>
      <c r="G402" t="n">
        <v>12.8</v>
      </c>
      <c r="H402" t="n">
        <v>0</v>
      </c>
      <c r="I402" t="n">
        <v>0</v>
      </c>
      <c r="J402" t="n">
        <v>0</v>
      </c>
      <c r="K402" t="n">
        <v>0</v>
      </c>
      <c r="L402" t="n">
        <v>0</v>
      </c>
      <c r="M402" t="n">
        <v>0</v>
      </c>
      <c r="N402" t="n">
        <v>0</v>
      </c>
      <c r="O402" t="n">
        <v>0</v>
      </c>
      <c r="P402" t="n">
        <v>0</v>
      </c>
      <c r="Q402" t="n">
        <v>0</v>
      </c>
      <c r="R402" s="2" t="inlineStr"/>
    </row>
    <row r="403" ht="15" customHeight="1">
      <c r="A403" t="inlineStr">
        <is>
          <t>A 48769-2022</t>
        </is>
      </c>
      <c r="B403" s="1" t="n">
        <v>44855</v>
      </c>
      <c r="C403" s="1" t="n">
        <v>45916</v>
      </c>
      <c r="D403" t="inlineStr">
        <is>
          <t>JÄMTLANDS LÄN</t>
        </is>
      </c>
      <c r="E403" t="inlineStr">
        <is>
          <t>KROKOM</t>
        </is>
      </c>
      <c r="G403" t="n">
        <v>7.5</v>
      </c>
      <c r="H403" t="n">
        <v>0</v>
      </c>
      <c r="I403" t="n">
        <v>0</v>
      </c>
      <c r="J403" t="n">
        <v>0</v>
      </c>
      <c r="K403" t="n">
        <v>0</v>
      </c>
      <c r="L403" t="n">
        <v>0</v>
      </c>
      <c r="M403" t="n">
        <v>0</v>
      </c>
      <c r="N403" t="n">
        <v>0</v>
      </c>
      <c r="O403" t="n">
        <v>0</v>
      </c>
      <c r="P403" t="n">
        <v>0</v>
      </c>
      <c r="Q403" t="n">
        <v>0</v>
      </c>
      <c r="R403" s="2" t="inlineStr"/>
    </row>
    <row r="404" ht="15" customHeight="1">
      <c r="A404" t="inlineStr">
        <is>
          <t>A 48777-2022</t>
        </is>
      </c>
      <c r="B404" s="1" t="n">
        <v>44855</v>
      </c>
      <c r="C404" s="1" t="n">
        <v>45916</v>
      </c>
      <c r="D404" t="inlineStr">
        <is>
          <t>JÄMTLANDS LÄN</t>
        </is>
      </c>
      <c r="E404" t="inlineStr">
        <is>
          <t>KROKOM</t>
        </is>
      </c>
      <c r="G404" t="n">
        <v>5.3</v>
      </c>
      <c r="H404" t="n">
        <v>0</v>
      </c>
      <c r="I404" t="n">
        <v>0</v>
      </c>
      <c r="J404" t="n">
        <v>0</v>
      </c>
      <c r="K404" t="n">
        <v>0</v>
      </c>
      <c r="L404" t="n">
        <v>0</v>
      </c>
      <c r="M404" t="n">
        <v>0</v>
      </c>
      <c r="N404" t="n">
        <v>0</v>
      </c>
      <c r="O404" t="n">
        <v>0</v>
      </c>
      <c r="P404" t="n">
        <v>0</v>
      </c>
      <c r="Q404" t="n">
        <v>0</v>
      </c>
      <c r="R404" s="2" t="inlineStr"/>
    </row>
    <row r="405" ht="15" customHeight="1">
      <c r="A405" t="inlineStr">
        <is>
          <t>A 16349-2024</t>
        </is>
      </c>
      <c r="B405" s="1" t="n">
        <v>45407</v>
      </c>
      <c r="C405" s="1" t="n">
        <v>45916</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47838-2023</t>
        </is>
      </c>
      <c r="B406" s="1" t="n">
        <v>45204</v>
      </c>
      <c r="C406" s="1" t="n">
        <v>45916</v>
      </c>
      <c r="D406" t="inlineStr">
        <is>
          <t>JÄMTLANDS LÄN</t>
        </is>
      </c>
      <c r="E406" t="inlineStr">
        <is>
          <t>KROKOM</t>
        </is>
      </c>
      <c r="G406" t="n">
        <v>11.8</v>
      </c>
      <c r="H406" t="n">
        <v>0</v>
      </c>
      <c r="I406" t="n">
        <v>0</v>
      </c>
      <c r="J406" t="n">
        <v>0</v>
      </c>
      <c r="K406" t="n">
        <v>0</v>
      </c>
      <c r="L406" t="n">
        <v>0</v>
      </c>
      <c r="M406" t="n">
        <v>0</v>
      </c>
      <c r="N406" t="n">
        <v>0</v>
      </c>
      <c r="O406" t="n">
        <v>0</v>
      </c>
      <c r="P406" t="n">
        <v>0</v>
      </c>
      <c r="Q406" t="n">
        <v>0</v>
      </c>
      <c r="R406" s="2" t="inlineStr"/>
    </row>
    <row r="407" ht="15" customHeight="1">
      <c r="A407" t="inlineStr">
        <is>
          <t>A 31550-2023</t>
        </is>
      </c>
      <c r="B407" s="1" t="n">
        <v>45117</v>
      </c>
      <c r="C407" s="1" t="n">
        <v>45916</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69120-2020</t>
        </is>
      </c>
      <c r="B408" s="1" t="n">
        <v>44188</v>
      </c>
      <c r="C408" s="1" t="n">
        <v>45916</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48971-2024</t>
        </is>
      </c>
      <c r="B409" s="1" t="n">
        <v>45594.463125</v>
      </c>
      <c r="C409" s="1" t="n">
        <v>45916</v>
      </c>
      <c r="D409" t="inlineStr">
        <is>
          <t>JÄMTLANDS LÄN</t>
        </is>
      </c>
      <c r="E409" t="inlineStr">
        <is>
          <t>KROKOM</t>
        </is>
      </c>
      <c r="G409" t="n">
        <v>11.8</v>
      </c>
      <c r="H409" t="n">
        <v>0</v>
      </c>
      <c r="I409" t="n">
        <v>0</v>
      </c>
      <c r="J409" t="n">
        <v>0</v>
      </c>
      <c r="K409" t="n">
        <v>0</v>
      </c>
      <c r="L409" t="n">
        <v>0</v>
      </c>
      <c r="M409" t="n">
        <v>0</v>
      </c>
      <c r="N409" t="n">
        <v>0</v>
      </c>
      <c r="O409" t="n">
        <v>0</v>
      </c>
      <c r="P409" t="n">
        <v>0</v>
      </c>
      <c r="Q409" t="n">
        <v>0</v>
      </c>
      <c r="R409" s="2" t="inlineStr"/>
    </row>
    <row r="410" ht="15" customHeight="1">
      <c r="A410" t="inlineStr">
        <is>
          <t>A 39368-2024</t>
        </is>
      </c>
      <c r="B410" s="1" t="n">
        <v>45551.47325231481</v>
      </c>
      <c r="C410" s="1" t="n">
        <v>45916</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11193-2024</t>
        </is>
      </c>
      <c r="B411" s="1" t="n">
        <v>45371</v>
      </c>
      <c r="C411" s="1" t="n">
        <v>45916</v>
      </c>
      <c r="D411" t="inlineStr">
        <is>
          <t>JÄMTLANDS LÄN</t>
        </is>
      </c>
      <c r="E411" t="inlineStr">
        <is>
          <t>KROKOM</t>
        </is>
      </c>
      <c r="G411" t="n">
        <v>6.2</v>
      </c>
      <c r="H411" t="n">
        <v>0</v>
      </c>
      <c r="I411" t="n">
        <v>0</v>
      </c>
      <c r="J411" t="n">
        <v>0</v>
      </c>
      <c r="K411" t="n">
        <v>0</v>
      </c>
      <c r="L411" t="n">
        <v>0</v>
      </c>
      <c r="M411" t="n">
        <v>0</v>
      </c>
      <c r="N411" t="n">
        <v>0</v>
      </c>
      <c r="O411" t="n">
        <v>0</v>
      </c>
      <c r="P411" t="n">
        <v>0</v>
      </c>
      <c r="Q411" t="n">
        <v>0</v>
      </c>
      <c r="R411" s="2" t="inlineStr"/>
    </row>
    <row r="412" ht="15" customHeight="1">
      <c r="A412" t="inlineStr">
        <is>
          <t>A 9755-2024</t>
        </is>
      </c>
      <c r="B412" s="1" t="n">
        <v>45362</v>
      </c>
      <c r="C412" s="1" t="n">
        <v>45916</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6148-2025</t>
        </is>
      </c>
      <c r="B413" s="1" t="n">
        <v>45698.40146990741</v>
      </c>
      <c r="C413" s="1" t="n">
        <v>45916</v>
      </c>
      <c r="D413" t="inlineStr">
        <is>
          <t>JÄMTLANDS LÄN</t>
        </is>
      </c>
      <c r="E413" t="inlineStr">
        <is>
          <t>KROKOM</t>
        </is>
      </c>
      <c r="G413" t="n">
        <v>43.6</v>
      </c>
      <c r="H413" t="n">
        <v>0</v>
      </c>
      <c r="I413" t="n">
        <v>0</v>
      </c>
      <c r="J413" t="n">
        <v>0</v>
      </c>
      <c r="K413" t="n">
        <v>0</v>
      </c>
      <c r="L413" t="n">
        <v>0</v>
      </c>
      <c r="M413" t="n">
        <v>0</v>
      </c>
      <c r="N413" t="n">
        <v>0</v>
      </c>
      <c r="O413" t="n">
        <v>0</v>
      </c>
      <c r="P413" t="n">
        <v>0</v>
      </c>
      <c r="Q413" t="n">
        <v>0</v>
      </c>
      <c r="R413" s="2" t="inlineStr"/>
    </row>
    <row r="414" ht="15" customHeight="1">
      <c r="A414" t="inlineStr">
        <is>
          <t>A 68658-2020</t>
        </is>
      </c>
      <c r="B414" s="1" t="n">
        <v>44186</v>
      </c>
      <c r="C414" s="1" t="n">
        <v>45916</v>
      </c>
      <c r="D414" t="inlineStr">
        <is>
          <t>JÄMTLANDS LÄN</t>
        </is>
      </c>
      <c r="E414" t="inlineStr">
        <is>
          <t>KROKOM</t>
        </is>
      </c>
      <c r="G414" t="n">
        <v>1.3</v>
      </c>
      <c r="H414" t="n">
        <v>0</v>
      </c>
      <c r="I414" t="n">
        <v>0</v>
      </c>
      <c r="J414" t="n">
        <v>0</v>
      </c>
      <c r="K414" t="n">
        <v>0</v>
      </c>
      <c r="L414" t="n">
        <v>0</v>
      </c>
      <c r="M414" t="n">
        <v>0</v>
      </c>
      <c r="N414" t="n">
        <v>0</v>
      </c>
      <c r="O414" t="n">
        <v>0</v>
      </c>
      <c r="P414" t="n">
        <v>0</v>
      </c>
      <c r="Q414" t="n">
        <v>0</v>
      </c>
      <c r="R414" s="2" t="inlineStr"/>
    </row>
    <row r="415" ht="15" customHeight="1">
      <c r="A415" t="inlineStr">
        <is>
          <t>A 52086-2024</t>
        </is>
      </c>
      <c r="B415" s="1" t="n">
        <v>45608</v>
      </c>
      <c r="C415" s="1" t="n">
        <v>45916</v>
      </c>
      <c r="D415" t="inlineStr">
        <is>
          <t>JÄMTLANDS LÄN</t>
        </is>
      </c>
      <c r="E415" t="inlineStr">
        <is>
          <t>KROKOM</t>
        </is>
      </c>
      <c r="G415" t="n">
        <v>3.3</v>
      </c>
      <c r="H415" t="n">
        <v>0</v>
      </c>
      <c r="I415" t="n">
        <v>0</v>
      </c>
      <c r="J415" t="n">
        <v>0</v>
      </c>
      <c r="K415" t="n">
        <v>0</v>
      </c>
      <c r="L415" t="n">
        <v>0</v>
      </c>
      <c r="M415" t="n">
        <v>0</v>
      </c>
      <c r="N415" t="n">
        <v>0</v>
      </c>
      <c r="O415" t="n">
        <v>0</v>
      </c>
      <c r="P415" t="n">
        <v>0</v>
      </c>
      <c r="Q415" t="n">
        <v>0</v>
      </c>
      <c r="R415" s="2" t="inlineStr"/>
    </row>
    <row r="416" ht="15" customHeight="1">
      <c r="A416" t="inlineStr">
        <is>
          <t>A 4361-2025</t>
        </is>
      </c>
      <c r="B416" s="1" t="n">
        <v>45686.33310185185</v>
      </c>
      <c r="C416" s="1" t="n">
        <v>45916</v>
      </c>
      <c r="D416" t="inlineStr">
        <is>
          <t>JÄMTLANDS LÄN</t>
        </is>
      </c>
      <c r="E416" t="inlineStr">
        <is>
          <t>KROKOM</t>
        </is>
      </c>
      <c r="F416" t="inlineStr">
        <is>
          <t>SCA</t>
        </is>
      </c>
      <c r="G416" t="n">
        <v>13.7</v>
      </c>
      <c r="H416" t="n">
        <v>0</v>
      </c>
      <c r="I416" t="n">
        <v>0</v>
      </c>
      <c r="J416" t="n">
        <v>0</v>
      </c>
      <c r="K416" t="n">
        <v>0</v>
      </c>
      <c r="L416" t="n">
        <v>0</v>
      </c>
      <c r="M416" t="n">
        <v>0</v>
      </c>
      <c r="N416" t="n">
        <v>0</v>
      </c>
      <c r="O416" t="n">
        <v>0</v>
      </c>
      <c r="P416" t="n">
        <v>0</v>
      </c>
      <c r="Q416" t="n">
        <v>0</v>
      </c>
      <c r="R416" s="2" t="inlineStr"/>
    </row>
    <row r="417" ht="15" customHeight="1">
      <c r="A417" t="inlineStr">
        <is>
          <t>A 5998-2025</t>
        </is>
      </c>
      <c r="B417" s="1" t="n">
        <v>45695.57171296296</v>
      </c>
      <c r="C417" s="1" t="n">
        <v>45916</v>
      </c>
      <c r="D417" t="inlineStr">
        <is>
          <t>JÄMTLANDS LÄN</t>
        </is>
      </c>
      <c r="E417" t="inlineStr">
        <is>
          <t>KROKOM</t>
        </is>
      </c>
      <c r="F417" t="inlineStr">
        <is>
          <t>Övriga Aktiebolag</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59619-2024</t>
        </is>
      </c>
      <c r="B418" s="1" t="n">
        <v>45638.81375</v>
      </c>
      <c r="C418" s="1" t="n">
        <v>45916</v>
      </c>
      <c r="D418" t="inlineStr">
        <is>
          <t>JÄMTLANDS LÄN</t>
        </is>
      </c>
      <c r="E418" t="inlineStr">
        <is>
          <t>KROKOM</t>
        </is>
      </c>
      <c r="G418" t="n">
        <v>0.4</v>
      </c>
      <c r="H418" t="n">
        <v>0</v>
      </c>
      <c r="I418" t="n">
        <v>0</v>
      </c>
      <c r="J418" t="n">
        <v>0</v>
      </c>
      <c r="K418" t="n">
        <v>0</v>
      </c>
      <c r="L418" t="n">
        <v>0</v>
      </c>
      <c r="M418" t="n">
        <v>0</v>
      </c>
      <c r="N418" t="n">
        <v>0</v>
      </c>
      <c r="O418" t="n">
        <v>0</v>
      </c>
      <c r="P418" t="n">
        <v>0</v>
      </c>
      <c r="Q418" t="n">
        <v>0</v>
      </c>
      <c r="R418" s="2" t="inlineStr"/>
    </row>
    <row r="419" ht="15" customHeight="1">
      <c r="A419" t="inlineStr">
        <is>
          <t>A 51929-2023</t>
        </is>
      </c>
      <c r="B419" s="1" t="n">
        <v>45216</v>
      </c>
      <c r="C419" s="1" t="n">
        <v>45916</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50822-2024</t>
        </is>
      </c>
      <c r="B420" s="1" t="n">
        <v>45602.57827546296</v>
      </c>
      <c r="C420" s="1" t="n">
        <v>45916</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785-2024</t>
        </is>
      </c>
      <c r="B421" s="1" t="n">
        <v>45300</v>
      </c>
      <c r="C421" s="1" t="n">
        <v>45916</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33653-2023</t>
        </is>
      </c>
      <c r="B422" s="1" t="n">
        <v>45119</v>
      </c>
      <c r="C422" s="1" t="n">
        <v>45916</v>
      </c>
      <c r="D422" t="inlineStr">
        <is>
          <t>JÄMTLANDS LÄN</t>
        </is>
      </c>
      <c r="E422" t="inlineStr">
        <is>
          <t>KROKOM</t>
        </is>
      </c>
      <c r="G422" t="n">
        <v>0.4</v>
      </c>
      <c r="H422" t="n">
        <v>0</v>
      </c>
      <c r="I422" t="n">
        <v>0</v>
      </c>
      <c r="J422" t="n">
        <v>0</v>
      </c>
      <c r="K422" t="n">
        <v>0</v>
      </c>
      <c r="L422" t="n">
        <v>0</v>
      </c>
      <c r="M422" t="n">
        <v>0</v>
      </c>
      <c r="N422" t="n">
        <v>0</v>
      </c>
      <c r="O422" t="n">
        <v>0</v>
      </c>
      <c r="P422" t="n">
        <v>0</v>
      </c>
      <c r="Q422" t="n">
        <v>0</v>
      </c>
      <c r="R422" s="2" t="inlineStr"/>
    </row>
    <row r="423" ht="15" customHeight="1">
      <c r="A423" t="inlineStr">
        <is>
          <t>A 24484-2024</t>
        </is>
      </c>
      <c r="B423" s="1" t="n">
        <v>45459.55150462963</v>
      </c>
      <c r="C423" s="1" t="n">
        <v>45916</v>
      </c>
      <c r="D423" t="inlineStr">
        <is>
          <t>JÄMTLANDS LÄN</t>
        </is>
      </c>
      <c r="E423" t="inlineStr">
        <is>
          <t>KROKOM</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64163-2023</t>
        </is>
      </c>
      <c r="B424" s="1" t="n">
        <v>45279</v>
      </c>
      <c r="C424" s="1" t="n">
        <v>45916</v>
      </c>
      <c r="D424" t="inlineStr">
        <is>
          <t>JÄMTLANDS LÄN</t>
        </is>
      </c>
      <c r="E424" t="inlineStr">
        <is>
          <t>KROKOM</t>
        </is>
      </c>
      <c r="G424" t="n">
        <v>15.8</v>
      </c>
      <c r="H424" t="n">
        <v>0</v>
      </c>
      <c r="I424" t="n">
        <v>0</v>
      </c>
      <c r="J424" t="n">
        <v>0</v>
      </c>
      <c r="K424" t="n">
        <v>0</v>
      </c>
      <c r="L424" t="n">
        <v>0</v>
      </c>
      <c r="M424" t="n">
        <v>0</v>
      </c>
      <c r="N424" t="n">
        <v>0</v>
      </c>
      <c r="O424" t="n">
        <v>0</v>
      </c>
      <c r="P424" t="n">
        <v>0</v>
      </c>
      <c r="Q424" t="n">
        <v>0</v>
      </c>
      <c r="R424" s="2" t="inlineStr"/>
    </row>
    <row r="425" ht="15" customHeight="1">
      <c r="A425" t="inlineStr">
        <is>
          <t>A 7767-2025</t>
        </is>
      </c>
      <c r="B425" s="1" t="n">
        <v>45706.55993055556</v>
      </c>
      <c r="C425" s="1" t="n">
        <v>45916</v>
      </c>
      <c r="D425" t="inlineStr">
        <is>
          <t>JÄMTLANDS LÄN</t>
        </is>
      </c>
      <c r="E425" t="inlineStr">
        <is>
          <t>KROKOM</t>
        </is>
      </c>
      <c r="G425" t="n">
        <v>2.1</v>
      </c>
      <c r="H425" t="n">
        <v>0</v>
      </c>
      <c r="I425" t="n">
        <v>0</v>
      </c>
      <c r="J425" t="n">
        <v>0</v>
      </c>
      <c r="K425" t="n">
        <v>0</v>
      </c>
      <c r="L425" t="n">
        <v>0</v>
      </c>
      <c r="M425" t="n">
        <v>0</v>
      </c>
      <c r="N425" t="n">
        <v>0</v>
      </c>
      <c r="O425" t="n">
        <v>0</v>
      </c>
      <c r="P425" t="n">
        <v>0</v>
      </c>
      <c r="Q425" t="n">
        <v>0</v>
      </c>
      <c r="R425" s="2" t="inlineStr"/>
    </row>
    <row r="426" ht="15" customHeight="1">
      <c r="A426" t="inlineStr">
        <is>
          <t>A 6991-2025</t>
        </is>
      </c>
      <c r="B426" s="1" t="n">
        <v>45701.57363425926</v>
      </c>
      <c r="C426" s="1" t="n">
        <v>45916</v>
      </c>
      <c r="D426" t="inlineStr">
        <is>
          <t>JÄMTLANDS LÄN</t>
        </is>
      </c>
      <c r="E426" t="inlineStr">
        <is>
          <t>KROKOM</t>
        </is>
      </c>
      <c r="G426" t="n">
        <v>4.9</v>
      </c>
      <c r="H426" t="n">
        <v>0</v>
      </c>
      <c r="I426" t="n">
        <v>0</v>
      </c>
      <c r="J426" t="n">
        <v>0</v>
      </c>
      <c r="K426" t="n">
        <v>0</v>
      </c>
      <c r="L426" t="n">
        <v>0</v>
      </c>
      <c r="M426" t="n">
        <v>0</v>
      </c>
      <c r="N426" t="n">
        <v>0</v>
      </c>
      <c r="O426" t="n">
        <v>0</v>
      </c>
      <c r="P426" t="n">
        <v>0</v>
      </c>
      <c r="Q426" t="n">
        <v>0</v>
      </c>
      <c r="R426" s="2" t="inlineStr"/>
    </row>
    <row r="427" ht="15" customHeight="1">
      <c r="A427" t="inlineStr">
        <is>
          <t>A 34801-2023</t>
        </is>
      </c>
      <c r="B427" s="1" t="n">
        <v>45140</v>
      </c>
      <c r="C427" s="1" t="n">
        <v>45916</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51345-2022</t>
        </is>
      </c>
      <c r="B428" s="1" t="n">
        <v>44866</v>
      </c>
      <c r="C428" s="1" t="n">
        <v>45916</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15876-2025</t>
        </is>
      </c>
      <c r="B429" s="1" t="n">
        <v>45749.38379629629</v>
      </c>
      <c r="C429" s="1" t="n">
        <v>45916</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30065-2024</t>
        </is>
      </c>
      <c r="B430" s="1" t="n">
        <v>45488.94857638889</v>
      </c>
      <c r="C430" s="1" t="n">
        <v>45916</v>
      </c>
      <c r="D430" t="inlineStr">
        <is>
          <t>JÄMTLANDS LÄN</t>
        </is>
      </c>
      <c r="E430" t="inlineStr">
        <is>
          <t>KROKOM</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12412-2024</t>
        </is>
      </c>
      <c r="B431" s="1" t="n">
        <v>45378</v>
      </c>
      <c r="C431" s="1" t="n">
        <v>45916</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6208-2025</t>
        </is>
      </c>
      <c r="B432" s="1" t="n">
        <v>45698.4930787037</v>
      </c>
      <c r="C432" s="1" t="n">
        <v>45916</v>
      </c>
      <c r="D432" t="inlineStr">
        <is>
          <t>JÄMTLANDS LÄN</t>
        </is>
      </c>
      <c r="E432" t="inlineStr">
        <is>
          <t>KROKOM</t>
        </is>
      </c>
      <c r="G432" t="n">
        <v>7.6</v>
      </c>
      <c r="H432" t="n">
        <v>0</v>
      </c>
      <c r="I432" t="n">
        <v>0</v>
      </c>
      <c r="J432" t="n">
        <v>0</v>
      </c>
      <c r="K432" t="n">
        <v>0</v>
      </c>
      <c r="L432" t="n">
        <v>0</v>
      </c>
      <c r="M432" t="n">
        <v>0</v>
      </c>
      <c r="N432" t="n">
        <v>0</v>
      </c>
      <c r="O432" t="n">
        <v>0</v>
      </c>
      <c r="P432" t="n">
        <v>0</v>
      </c>
      <c r="Q432" t="n">
        <v>0</v>
      </c>
      <c r="R432" s="2" t="inlineStr"/>
    </row>
    <row r="433" ht="15" customHeight="1">
      <c r="A433" t="inlineStr">
        <is>
          <t>A 24103-2025</t>
        </is>
      </c>
      <c r="B433" s="1" t="n">
        <v>45796.59857638889</v>
      </c>
      <c r="C433" s="1" t="n">
        <v>45916</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60122-2024</t>
        </is>
      </c>
      <c r="B434" s="1" t="n">
        <v>45639</v>
      </c>
      <c r="C434" s="1" t="n">
        <v>45916</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24062-2025</t>
        </is>
      </c>
      <c r="B435" s="1" t="n">
        <v>45796.52836805556</v>
      </c>
      <c r="C435" s="1" t="n">
        <v>45916</v>
      </c>
      <c r="D435" t="inlineStr">
        <is>
          <t>JÄMTLANDS LÄN</t>
        </is>
      </c>
      <c r="E435" t="inlineStr">
        <is>
          <t>KROKOM</t>
        </is>
      </c>
      <c r="G435" t="n">
        <v>33</v>
      </c>
      <c r="H435" t="n">
        <v>0</v>
      </c>
      <c r="I435" t="n">
        <v>0</v>
      </c>
      <c r="J435" t="n">
        <v>0</v>
      </c>
      <c r="K435" t="n">
        <v>0</v>
      </c>
      <c r="L435" t="n">
        <v>0</v>
      </c>
      <c r="M435" t="n">
        <v>0</v>
      </c>
      <c r="N435" t="n">
        <v>0</v>
      </c>
      <c r="O435" t="n">
        <v>0</v>
      </c>
      <c r="P435" t="n">
        <v>0</v>
      </c>
      <c r="Q435" t="n">
        <v>0</v>
      </c>
      <c r="R435" s="2" t="inlineStr"/>
    </row>
    <row r="436" ht="15" customHeight="1">
      <c r="A436" t="inlineStr">
        <is>
          <t>A 32244-2024</t>
        </is>
      </c>
      <c r="B436" s="1" t="n">
        <v>45511.95109953704</v>
      </c>
      <c r="C436" s="1" t="n">
        <v>45916</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58355-2023</t>
        </is>
      </c>
      <c r="B437" s="1" t="n">
        <v>45250</v>
      </c>
      <c r="C437" s="1" t="n">
        <v>45916</v>
      </c>
      <c r="D437" t="inlineStr">
        <is>
          <t>JÄMTLANDS LÄN</t>
        </is>
      </c>
      <c r="E437" t="inlineStr">
        <is>
          <t>KROKOM</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64764-2023</t>
        </is>
      </c>
      <c r="B438" s="1" t="n">
        <v>45282</v>
      </c>
      <c r="C438" s="1" t="n">
        <v>45916</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3231-2022</t>
        </is>
      </c>
      <c r="B439" s="1" t="n">
        <v>44582</v>
      </c>
      <c r="C439" s="1" t="n">
        <v>45916</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35257-2023</t>
        </is>
      </c>
      <c r="B440" s="1" t="n">
        <v>45145.95255787037</v>
      </c>
      <c r="C440" s="1" t="n">
        <v>45916</v>
      </c>
      <c r="D440" t="inlineStr">
        <is>
          <t>JÄMTLANDS LÄN</t>
        </is>
      </c>
      <c r="E440" t="inlineStr">
        <is>
          <t>KROKOM</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10646-2025</t>
        </is>
      </c>
      <c r="B441" s="1" t="n">
        <v>45721.66456018519</v>
      </c>
      <c r="C441" s="1" t="n">
        <v>45916</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56361-2023</t>
        </is>
      </c>
      <c r="B442" s="1" t="n">
        <v>45243.37567129629</v>
      </c>
      <c r="C442" s="1" t="n">
        <v>45916</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25428-2022</t>
        </is>
      </c>
      <c r="B443" s="1" t="n">
        <v>44732</v>
      </c>
      <c r="C443" s="1" t="n">
        <v>45916</v>
      </c>
      <c r="D443" t="inlineStr">
        <is>
          <t>JÄMTLANDS LÄN</t>
        </is>
      </c>
      <c r="E443" t="inlineStr">
        <is>
          <t>KROKOM</t>
        </is>
      </c>
      <c r="G443" t="n">
        <v>0.6</v>
      </c>
      <c r="H443" t="n">
        <v>0</v>
      </c>
      <c r="I443" t="n">
        <v>0</v>
      </c>
      <c r="J443" t="n">
        <v>0</v>
      </c>
      <c r="K443" t="n">
        <v>0</v>
      </c>
      <c r="L443" t="n">
        <v>0</v>
      </c>
      <c r="M443" t="n">
        <v>0</v>
      </c>
      <c r="N443" t="n">
        <v>0</v>
      </c>
      <c r="O443" t="n">
        <v>0</v>
      </c>
      <c r="P443" t="n">
        <v>0</v>
      </c>
      <c r="Q443" t="n">
        <v>0</v>
      </c>
      <c r="R443" s="2" t="inlineStr"/>
    </row>
    <row r="444" ht="15" customHeight="1">
      <c r="A444" t="inlineStr">
        <is>
          <t>A 46761-2022</t>
        </is>
      </c>
      <c r="B444" s="1" t="n">
        <v>44847</v>
      </c>
      <c r="C444" s="1" t="n">
        <v>45916</v>
      </c>
      <c r="D444" t="inlineStr">
        <is>
          <t>JÄMTLANDS LÄN</t>
        </is>
      </c>
      <c r="E444" t="inlineStr">
        <is>
          <t>KROKOM</t>
        </is>
      </c>
      <c r="G444" t="n">
        <v>0.2</v>
      </c>
      <c r="H444" t="n">
        <v>0</v>
      </c>
      <c r="I444" t="n">
        <v>0</v>
      </c>
      <c r="J444" t="n">
        <v>0</v>
      </c>
      <c r="K444" t="n">
        <v>0</v>
      </c>
      <c r="L444" t="n">
        <v>0</v>
      </c>
      <c r="M444" t="n">
        <v>0</v>
      </c>
      <c r="N444" t="n">
        <v>0</v>
      </c>
      <c r="O444" t="n">
        <v>0</v>
      </c>
      <c r="P444" t="n">
        <v>0</v>
      </c>
      <c r="Q444" t="n">
        <v>0</v>
      </c>
      <c r="R444" s="2" t="inlineStr"/>
    </row>
    <row r="445" ht="15" customHeight="1">
      <c r="A445" t="inlineStr">
        <is>
          <t>A 47625-2023</t>
        </is>
      </c>
      <c r="B445" s="1" t="n">
        <v>45203</v>
      </c>
      <c r="C445" s="1" t="n">
        <v>45916</v>
      </c>
      <c r="D445" t="inlineStr">
        <is>
          <t>JÄMTLANDS LÄN</t>
        </is>
      </c>
      <c r="E445" t="inlineStr">
        <is>
          <t>KROKOM</t>
        </is>
      </c>
      <c r="G445" t="n">
        <v>1.1</v>
      </c>
      <c r="H445" t="n">
        <v>0</v>
      </c>
      <c r="I445" t="n">
        <v>0</v>
      </c>
      <c r="J445" t="n">
        <v>0</v>
      </c>
      <c r="K445" t="n">
        <v>0</v>
      </c>
      <c r="L445" t="n">
        <v>0</v>
      </c>
      <c r="M445" t="n">
        <v>0</v>
      </c>
      <c r="N445" t="n">
        <v>0</v>
      </c>
      <c r="O445" t="n">
        <v>0</v>
      </c>
      <c r="P445" t="n">
        <v>0</v>
      </c>
      <c r="Q445" t="n">
        <v>0</v>
      </c>
      <c r="R445" s="2" t="inlineStr"/>
    </row>
    <row r="446" ht="15" customHeight="1">
      <c r="A446" t="inlineStr">
        <is>
          <t>A 14170-2024</t>
        </is>
      </c>
      <c r="B446" s="1" t="n">
        <v>45392.95844907407</v>
      </c>
      <c r="C446" s="1" t="n">
        <v>45916</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14171-2024</t>
        </is>
      </c>
      <c r="B447" s="1" t="n">
        <v>45392</v>
      </c>
      <c r="C447" s="1" t="n">
        <v>45916</v>
      </c>
      <c r="D447" t="inlineStr">
        <is>
          <t>JÄMTLANDS LÄN</t>
        </is>
      </c>
      <c r="E447" t="inlineStr">
        <is>
          <t>KROKOM</t>
        </is>
      </c>
      <c r="G447" t="n">
        <v>5.9</v>
      </c>
      <c r="H447" t="n">
        <v>0</v>
      </c>
      <c r="I447" t="n">
        <v>0</v>
      </c>
      <c r="J447" t="n">
        <v>0</v>
      </c>
      <c r="K447" t="n">
        <v>0</v>
      </c>
      <c r="L447" t="n">
        <v>0</v>
      </c>
      <c r="M447" t="n">
        <v>0</v>
      </c>
      <c r="N447" t="n">
        <v>0</v>
      </c>
      <c r="O447" t="n">
        <v>0</v>
      </c>
      <c r="P447" t="n">
        <v>0</v>
      </c>
      <c r="Q447" t="n">
        <v>0</v>
      </c>
      <c r="R447" s="2" t="inlineStr"/>
    </row>
    <row r="448" ht="15" customHeight="1">
      <c r="A448" t="inlineStr">
        <is>
          <t>A 62131-2024</t>
        </is>
      </c>
      <c r="B448" s="1" t="n">
        <v>45656</v>
      </c>
      <c r="C448" s="1" t="n">
        <v>45916</v>
      </c>
      <c r="D448" t="inlineStr">
        <is>
          <t>JÄMTLANDS LÄN</t>
        </is>
      </c>
      <c r="E448" t="inlineStr">
        <is>
          <t>KROKOM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60680-2023</t>
        </is>
      </c>
      <c r="B449" s="1" t="n">
        <v>45260</v>
      </c>
      <c r="C449" s="1" t="n">
        <v>45916</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24648-2025</t>
        </is>
      </c>
      <c r="B450" s="1" t="n">
        <v>45798.63596064815</v>
      </c>
      <c r="C450" s="1" t="n">
        <v>45916</v>
      </c>
      <c r="D450" t="inlineStr">
        <is>
          <t>JÄMTLANDS LÄN</t>
        </is>
      </c>
      <c r="E450" t="inlineStr">
        <is>
          <t>KROKOM</t>
        </is>
      </c>
      <c r="F450" t="inlineStr">
        <is>
          <t>SCA</t>
        </is>
      </c>
      <c r="G450" t="n">
        <v>12.5</v>
      </c>
      <c r="H450" t="n">
        <v>0</v>
      </c>
      <c r="I450" t="n">
        <v>0</v>
      </c>
      <c r="J450" t="n">
        <v>0</v>
      </c>
      <c r="K450" t="n">
        <v>0</v>
      </c>
      <c r="L450" t="n">
        <v>0</v>
      </c>
      <c r="M450" t="n">
        <v>0</v>
      </c>
      <c r="N450" t="n">
        <v>0</v>
      </c>
      <c r="O450" t="n">
        <v>0</v>
      </c>
      <c r="P450" t="n">
        <v>0</v>
      </c>
      <c r="Q450" t="n">
        <v>0</v>
      </c>
      <c r="R450" s="2" t="inlineStr"/>
    </row>
    <row r="451" ht="15" customHeight="1">
      <c r="A451" t="inlineStr">
        <is>
          <t>A 23083-2025</t>
        </is>
      </c>
      <c r="B451" s="1" t="n">
        <v>45791</v>
      </c>
      <c r="C451" s="1" t="n">
        <v>45916</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9963-2025</t>
        </is>
      </c>
      <c r="B452" s="1" t="n">
        <v>45719.37307870371</v>
      </c>
      <c r="C452" s="1" t="n">
        <v>45916</v>
      </c>
      <c r="D452" t="inlineStr">
        <is>
          <t>JÄMTLANDS LÄN</t>
        </is>
      </c>
      <c r="E452" t="inlineStr">
        <is>
          <t>KROKOM</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58569-2020</t>
        </is>
      </c>
      <c r="B453" s="1" t="n">
        <v>44141</v>
      </c>
      <c r="C453" s="1" t="n">
        <v>45916</v>
      </c>
      <c r="D453" t="inlineStr">
        <is>
          <t>JÄMTLANDS LÄN</t>
        </is>
      </c>
      <c r="E453" t="inlineStr">
        <is>
          <t>KROKOM</t>
        </is>
      </c>
      <c r="G453" t="n">
        <v>52.8</v>
      </c>
      <c r="H453" t="n">
        <v>0</v>
      </c>
      <c r="I453" t="n">
        <v>0</v>
      </c>
      <c r="J453" t="n">
        <v>0</v>
      </c>
      <c r="K453" t="n">
        <v>0</v>
      </c>
      <c r="L453" t="n">
        <v>0</v>
      </c>
      <c r="M453" t="n">
        <v>0</v>
      </c>
      <c r="N453" t="n">
        <v>0</v>
      </c>
      <c r="O453" t="n">
        <v>0</v>
      </c>
      <c r="P453" t="n">
        <v>0</v>
      </c>
      <c r="Q453" t="n">
        <v>0</v>
      </c>
      <c r="R453" s="2" t="inlineStr"/>
    </row>
    <row r="454" ht="15" customHeight="1">
      <c r="A454" t="inlineStr">
        <is>
          <t>A 10397-2025</t>
        </is>
      </c>
      <c r="B454" s="1" t="n">
        <v>45720.60774305555</v>
      </c>
      <c r="C454" s="1" t="n">
        <v>45916</v>
      </c>
      <c r="D454" t="inlineStr">
        <is>
          <t>JÄMTLANDS LÄN</t>
        </is>
      </c>
      <c r="E454" t="inlineStr">
        <is>
          <t>KROKOM</t>
        </is>
      </c>
      <c r="F454" t="inlineStr">
        <is>
          <t>Övriga Aktiebolag</t>
        </is>
      </c>
      <c r="G454" t="n">
        <v>32.9</v>
      </c>
      <c r="H454" t="n">
        <v>0</v>
      </c>
      <c r="I454" t="n">
        <v>0</v>
      </c>
      <c r="J454" t="n">
        <v>0</v>
      </c>
      <c r="K454" t="n">
        <v>0</v>
      </c>
      <c r="L454" t="n">
        <v>0</v>
      </c>
      <c r="M454" t="n">
        <v>0</v>
      </c>
      <c r="N454" t="n">
        <v>0</v>
      </c>
      <c r="O454" t="n">
        <v>0</v>
      </c>
      <c r="P454" t="n">
        <v>0</v>
      </c>
      <c r="Q454" t="n">
        <v>0</v>
      </c>
      <c r="R454" s="2" t="inlineStr"/>
    </row>
    <row r="455" ht="15" customHeight="1">
      <c r="A455" t="inlineStr">
        <is>
          <t>A 31537-2023</t>
        </is>
      </c>
      <c r="B455" s="1" t="n">
        <v>45117</v>
      </c>
      <c r="C455" s="1" t="n">
        <v>45916</v>
      </c>
      <c r="D455" t="inlineStr">
        <is>
          <t>JÄMTLANDS LÄN</t>
        </is>
      </c>
      <c r="E455" t="inlineStr">
        <is>
          <t>KROKOM</t>
        </is>
      </c>
      <c r="F455" t="inlineStr">
        <is>
          <t>Övriga Aktiebolag</t>
        </is>
      </c>
      <c r="G455" t="n">
        <v>1</v>
      </c>
      <c r="H455" t="n">
        <v>0</v>
      </c>
      <c r="I455" t="n">
        <v>0</v>
      </c>
      <c r="J455" t="n">
        <v>0</v>
      </c>
      <c r="K455" t="n">
        <v>0</v>
      </c>
      <c r="L455" t="n">
        <v>0</v>
      </c>
      <c r="M455" t="n">
        <v>0</v>
      </c>
      <c r="N455" t="n">
        <v>0</v>
      </c>
      <c r="O455" t="n">
        <v>0</v>
      </c>
      <c r="P455" t="n">
        <v>0</v>
      </c>
      <c r="Q455" t="n">
        <v>0</v>
      </c>
      <c r="R455" s="2" t="inlineStr"/>
    </row>
    <row r="456" ht="15" customHeight="1">
      <c r="A456" t="inlineStr">
        <is>
          <t>A 27596-2024</t>
        </is>
      </c>
      <c r="B456" s="1" t="n">
        <v>45474.69074074074</v>
      </c>
      <c r="C456" s="1" t="n">
        <v>45916</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30160-2022</t>
        </is>
      </c>
      <c r="B457" s="1" t="n">
        <v>44757</v>
      </c>
      <c r="C457" s="1" t="n">
        <v>45916</v>
      </c>
      <c r="D457" t="inlineStr">
        <is>
          <t>JÄMTLANDS LÄN</t>
        </is>
      </c>
      <c r="E457" t="inlineStr">
        <is>
          <t>KROKOM</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21990-2022</t>
        </is>
      </c>
      <c r="B458" s="1" t="n">
        <v>44711</v>
      </c>
      <c r="C458" s="1" t="n">
        <v>45916</v>
      </c>
      <c r="D458" t="inlineStr">
        <is>
          <t>JÄMTLANDS LÄN</t>
        </is>
      </c>
      <c r="E458" t="inlineStr">
        <is>
          <t>KROKOM</t>
        </is>
      </c>
      <c r="F458" t="inlineStr">
        <is>
          <t>Övriga Aktiebolag</t>
        </is>
      </c>
      <c r="G458" t="n">
        <v>26.3</v>
      </c>
      <c r="H458" t="n">
        <v>0</v>
      </c>
      <c r="I458" t="n">
        <v>0</v>
      </c>
      <c r="J458" t="n">
        <v>0</v>
      </c>
      <c r="K458" t="n">
        <v>0</v>
      </c>
      <c r="L458" t="n">
        <v>0</v>
      </c>
      <c r="M458" t="n">
        <v>0</v>
      </c>
      <c r="N458" t="n">
        <v>0</v>
      </c>
      <c r="O458" t="n">
        <v>0</v>
      </c>
      <c r="P458" t="n">
        <v>0</v>
      </c>
      <c r="Q458" t="n">
        <v>0</v>
      </c>
      <c r="R458" s="2" t="inlineStr"/>
    </row>
    <row r="459" ht="15" customHeight="1">
      <c r="A459" t="inlineStr">
        <is>
          <t>A 31538-2023</t>
        </is>
      </c>
      <c r="B459" s="1" t="n">
        <v>45117</v>
      </c>
      <c r="C459" s="1" t="n">
        <v>45916</v>
      </c>
      <c r="D459" t="inlineStr">
        <is>
          <t>JÄMTLANDS LÄN</t>
        </is>
      </c>
      <c r="E459" t="inlineStr">
        <is>
          <t>KROKOM</t>
        </is>
      </c>
      <c r="F459" t="inlineStr">
        <is>
          <t>Övriga Aktiebolag</t>
        </is>
      </c>
      <c r="G459" t="n">
        <v>9.9</v>
      </c>
      <c r="H459" t="n">
        <v>0</v>
      </c>
      <c r="I459" t="n">
        <v>0</v>
      </c>
      <c r="J459" t="n">
        <v>0</v>
      </c>
      <c r="K459" t="n">
        <v>0</v>
      </c>
      <c r="L459" t="n">
        <v>0</v>
      </c>
      <c r="M459" t="n">
        <v>0</v>
      </c>
      <c r="N459" t="n">
        <v>0</v>
      </c>
      <c r="O459" t="n">
        <v>0</v>
      </c>
      <c r="P459" t="n">
        <v>0</v>
      </c>
      <c r="Q459" t="n">
        <v>0</v>
      </c>
      <c r="R459" s="2" t="inlineStr"/>
    </row>
    <row r="460" ht="15" customHeight="1">
      <c r="A460" t="inlineStr">
        <is>
          <t>A 57149-2023</t>
        </is>
      </c>
      <c r="B460" s="1" t="n">
        <v>45245</v>
      </c>
      <c r="C460" s="1" t="n">
        <v>45916</v>
      </c>
      <c r="D460" t="inlineStr">
        <is>
          <t>JÄMTLANDS LÄN</t>
        </is>
      </c>
      <c r="E460" t="inlineStr">
        <is>
          <t>KROKOM</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688-2021</t>
        </is>
      </c>
      <c r="B461" s="1" t="n">
        <v>44203</v>
      </c>
      <c r="C461" s="1" t="n">
        <v>45916</v>
      </c>
      <c r="D461" t="inlineStr">
        <is>
          <t>JÄMTLANDS LÄN</t>
        </is>
      </c>
      <c r="E461" t="inlineStr">
        <is>
          <t>KROKOM</t>
        </is>
      </c>
      <c r="G461" t="n">
        <v>7.8</v>
      </c>
      <c r="H461" t="n">
        <v>0</v>
      </c>
      <c r="I461" t="n">
        <v>0</v>
      </c>
      <c r="J461" t="n">
        <v>0</v>
      </c>
      <c r="K461" t="n">
        <v>0</v>
      </c>
      <c r="L461" t="n">
        <v>0</v>
      </c>
      <c r="M461" t="n">
        <v>0</v>
      </c>
      <c r="N461" t="n">
        <v>0</v>
      </c>
      <c r="O461" t="n">
        <v>0</v>
      </c>
      <c r="P461" t="n">
        <v>0</v>
      </c>
      <c r="Q461" t="n">
        <v>0</v>
      </c>
      <c r="R461" s="2" t="inlineStr"/>
    </row>
    <row r="462" ht="15" customHeight="1">
      <c r="A462" t="inlineStr">
        <is>
          <t>A 38043-2023</t>
        </is>
      </c>
      <c r="B462" s="1" t="n">
        <v>45160.66704861111</v>
      </c>
      <c r="C462" s="1" t="n">
        <v>45916</v>
      </c>
      <c r="D462" t="inlineStr">
        <is>
          <t>JÄMTLANDS LÄN</t>
        </is>
      </c>
      <c r="E462" t="inlineStr">
        <is>
          <t>KROKOM</t>
        </is>
      </c>
      <c r="F462" t="inlineStr">
        <is>
          <t>Övriga Aktiebolag</t>
        </is>
      </c>
      <c r="G462" t="n">
        <v>10.4</v>
      </c>
      <c r="H462" t="n">
        <v>0</v>
      </c>
      <c r="I462" t="n">
        <v>0</v>
      </c>
      <c r="J462" t="n">
        <v>0</v>
      </c>
      <c r="K462" t="n">
        <v>0</v>
      </c>
      <c r="L462" t="n">
        <v>0</v>
      </c>
      <c r="M462" t="n">
        <v>0</v>
      </c>
      <c r="N462" t="n">
        <v>0</v>
      </c>
      <c r="O462" t="n">
        <v>0</v>
      </c>
      <c r="P462" t="n">
        <v>0</v>
      </c>
      <c r="Q462" t="n">
        <v>0</v>
      </c>
      <c r="R462" s="2" t="inlineStr"/>
    </row>
    <row r="463" ht="15" customHeight="1">
      <c r="A463" t="inlineStr">
        <is>
          <t>A 44156-2024</t>
        </is>
      </c>
      <c r="B463" s="1" t="n">
        <v>45572</v>
      </c>
      <c r="C463" s="1" t="n">
        <v>45916</v>
      </c>
      <c r="D463" t="inlineStr">
        <is>
          <t>JÄMTLANDS LÄN</t>
        </is>
      </c>
      <c r="E463" t="inlineStr">
        <is>
          <t>KROKOM</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54491-2022</t>
        </is>
      </c>
      <c r="B464" s="1" t="n">
        <v>44880</v>
      </c>
      <c r="C464" s="1" t="n">
        <v>45916</v>
      </c>
      <c r="D464" t="inlineStr">
        <is>
          <t>JÄMTLANDS LÄN</t>
        </is>
      </c>
      <c r="E464" t="inlineStr">
        <is>
          <t>KROKOM</t>
        </is>
      </c>
      <c r="G464" t="n">
        <v>0.2</v>
      </c>
      <c r="H464" t="n">
        <v>0</v>
      </c>
      <c r="I464" t="n">
        <v>0</v>
      </c>
      <c r="J464" t="n">
        <v>0</v>
      </c>
      <c r="K464" t="n">
        <v>0</v>
      </c>
      <c r="L464" t="n">
        <v>0</v>
      </c>
      <c r="M464" t="n">
        <v>0</v>
      </c>
      <c r="N464" t="n">
        <v>0</v>
      </c>
      <c r="O464" t="n">
        <v>0</v>
      </c>
      <c r="P464" t="n">
        <v>0</v>
      </c>
      <c r="Q464" t="n">
        <v>0</v>
      </c>
      <c r="R464" s="2" t="inlineStr"/>
    </row>
    <row r="465" ht="15" customHeight="1">
      <c r="A465" t="inlineStr">
        <is>
          <t>A 24649-2025</t>
        </is>
      </c>
      <c r="B465" s="1" t="n">
        <v>45798.63611111111</v>
      </c>
      <c r="C465" s="1" t="n">
        <v>45916</v>
      </c>
      <c r="D465" t="inlineStr">
        <is>
          <t>JÄMTLANDS LÄN</t>
        </is>
      </c>
      <c r="E465" t="inlineStr">
        <is>
          <t>KROKOM</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59293-2023</t>
        </is>
      </c>
      <c r="B466" s="1" t="n">
        <v>45253</v>
      </c>
      <c r="C466" s="1" t="n">
        <v>45916</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4058-2025</t>
        </is>
      </c>
      <c r="B467" s="1" t="n">
        <v>45684.62510416667</v>
      </c>
      <c r="C467" s="1" t="n">
        <v>45916</v>
      </c>
      <c r="D467" t="inlineStr">
        <is>
          <t>JÄMTLANDS LÄN</t>
        </is>
      </c>
      <c r="E467" t="inlineStr">
        <is>
          <t>KROKOM</t>
        </is>
      </c>
      <c r="F467" t="inlineStr">
        <is>
          <t>Kyrkan</t>
        </is>
      </c>
      <c r="G467" t="n">
        <v>7.8</v>
      </c>
      <c r="H467" t="n">
        <v>0</v>
      </c>
      <c r="I467" t="n">
        <v>0</v>
      </c>
      <c r="J467" t="n">
        <v>0</v>
      </c>
      <c r="K467" t="n">
        <v>0</v>
      </c>
      <c r="L467" t="n">
        <v>0</v>
      </c>
      <c r="M467" t="n">
        <v>0</v>
      </c>
      <c r="N467" t="n">
        <v>0</v>
      </c>
      <c r="O467" t="n">
        <v>0</v>
      </c>
      <c r="P467" t="n">
        <v>0</v>
      </c>
      <c r="Q467" t="n">
        <v>0</v>
      </c>
      <c r="R467" s="2" t="inlineStr"/>
    </row>
    <row r="468" ht="15" customHeight="1">
      <c r="A468" t="inlineStr">
        <is>
          <t>A 15341-2025</t>
        </is>
      </c>
      <c r="B468" s="1" t="n">
        <v>45746</v>
      </c>
      <c r="C468" s="1" t="n">
        <v>45916</v>
      </c>
      <c r="D468" t="inlineStr">
        <is>
          <t>JÄMTLANDS LÄN</t>
        </is>
      </c>
      <c r="E468" t="inlineStr">
        <is>
          <t>KROKOM</t>
        </is>
      </c>
      <c r="F468" t="inlineStr">
        <is>
          <t>SCA</t>
        </is>
      </c>
      <c r="G468" t="n">
        <v>8</v>
      </c>
      <c r="H468" t="n">
        <v>0</v>
      </c>
      <c r="I468" t="n">
        <v>0</v>
      </c>
      <c r="J468" t="n">
        <v>0</v>
      </c>
      <c r="K468" t="n">
        <v>0</v>
      </c>
      <c r="L468" t="n">
        <v>0</v>
      </c>
      <c r="M468" t="n">
        <v>0</v>
      </c>
      <c r="N468" t="n">
        <v>0</v>
      </c>
      <c r="O468" t="n">
        <v>0</v>
      </c>
      <c r="P468" t="n">
        <v>0</v>
      </c>
      <c r="Q468" t="n">
        <v>0</v>
      </c>
      <c r="R468" s="2" t="inlineStr"/>
    </row>
    <row r="469" ht="15" customHeight="1">
      <c r="A469" t="inlineStr">
        <is>
          <t>A 25715-2025</t>
        </is>
      </c>
      <c r="B469" s="1" t="n">
        <v>45803.69828703703</v>
      </c>
      <c r="C469" s="1" t="n">
        <v>45916</v>
      </c>
      <c r="D469" t="inlineStr">
        <is>
          <t>JÄMTLANDS LÄN</t>
        </is>
      </c>
      <c r="E469" t="inlineStr">
        <is>
          <t>KROKOM</t>
        </is>
      </c>
      <c r="G469" t="n">
        <v>8.9</v>
      </c>
      <c r="H469" t="n">
        <v>0</v>
      </c>
      <c r="I469" t="n">
        <v>0</v>
      </c>
      <c r="J469" t="n">
        <v>0</v>
      </c>
      <c r="K469" t="n">
        <v>0</v>
      </c>
      <c r="L469" t="n">
        <v>0</v>
      </c>
      <c r="M469" t="n">
        <v>0</v>
      </c>
      <c r="N469" t="n">
        <v>0</v>
      </c>
      <c r="O469" t="n">
        <v>0</v>
      </c>
      <c r="P469" t="n">
        <v>0</v>
      </c>
      <c r="Q469" t="n">
        <v>0</v>
      </c>
      <c r="R469" s="2" t="inlineStr"/>
    </row>
    <row r="470" ht="15" customHeight="1">
      <c r="A470" t="inlineStr">
        <is>
          <t>A 47635-2023</t>
        </is>
      </c>
      <c r="B470" s="1" t="n">
        <v>45203</v>
      </c>
      <c r="C470" s="1" t="n">
        <v>45916</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56538-2023</t>
        </is>
      </c>
      <c r="B471" s="1" t="n">
        <v>45238</v>
      </c>
      <c r="C471" s="1" t="n">
        <v>45916</v>
      </c>
      <c r="D471" t="inlineStr">
        <is>
          <t>JÄMTLANDS LÄN</t>
        </is>
      </c>
      <c r="E471" t="inlineStr">
        <is>
          <t>KROKOM</t>
        </is>
      </c>
      <c r="G471" t="n">
        <v>17.7</v>
      </c>
      <c r="H471" t="n">
        <v>0</v>
      </c>
      <c r="I471" t="n">
        <v>0</v>
      </c>
      <c r="J471" t="n">
        <v>0</v>
      </c>
      <c r="K471" t="n">
        <v>0</v>
      </c>
      <c r="L471" t="n">
        <v>0</v>
      </c>
      <c r="M471" t="n">
        <v>0</v>
      </c>
      <c r="N471" t="n">
        <v>0</v>
      </c>
      <c r="O471" t="n">
        <v>0</v>
      </c>
      <c r="P471" t="n">
        <v>0</v>
      </c>
      <c r="Q471" t="n">
        <v>0</v>
      </c>
      <c r="R471" s="2" t="inlineStr"/>
    </row>
    <row r="472" ht="15" customHeight="1">
      <c r="A472" t="inlineStr">
        <is>
          <t>A 25386-2025</t>
        </is>
      </c>
      <c r="B472" s="1" t="n">
        <v>45800.64319444444</v>
      </c>
      <c r="C472" s="1" t="n">
        <v>45916</v>
      </c>
      <c r="D472" t="inlineStr">
        <is>
          <t>JÄMTLANDS LÄN</t>
        </is>
      </c>
      <c r="E472" t="inlineStr">
        <is>
          <t>KROKOM</t>
        </is>
      </c>
      <c r="G472" t="n">
        <v>11.9</v>
      </c>
      <c r="H472" t="n">
        <v>0</v>
      </c>
      <c r="I472" t="n">
        <v>0</v>
      </c>
      <c r="J472" t="n">
        <v>0</v>
      </c>
      <c r="K472" t="n">
        <v>0</v>
      </c>
      <c r="L472" t="n">
        <v>0</v>
      </c>
      <c r="M472" t="n">
        <v>0</v>
      </c>
      <c r="N472" t="n">
        <v>0</v>
      </c>
      <c r="O472" t="n">
        <v>0</v>
      </c>
      <c r="P472" t="n">
        <v>0</v>
      </c>
      <c r="Q472" t="n">
        <v>0</v>
      </c>
      <c r="R472" s="2" t="inlineStr"/>
    </row>
    <row r="473" ht="15" customHeight="1">
      <c r="A473" t="inlineStr">
        <is>
          <t>A 25710-2025</t>
        </is>
      </c>
      <c r="B473" s="1" t="n">
        <v>45803.6837962963</v>
      </c>
      <c r="C473" s="1" t="n">
        <v>45916</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25119-2025</t>
        </is>
      </c>
      <c r="B474" s="1" t="n">
        <v>45800.37061342593</v>
      </c>
      <c r="C474" s="1" t="n">
        <v>45916</v>
      </c>
      <c r="D474" t="inlineStr">
        <is>
          <t>JÄMTLANDS LÄN</t>
        </is>
      </c>
      <c r="E474" t="inlineStr">
        <is>
          <t>KROKOM</t>
        </is>
      </c>
      <c r="G474" t="n">
        <v>10.4</v>
      </c>
      <c r="H474" t="n">
        <v>0</v>
      </c>
      <c r="I474" t="n">
        <v>0</v>
      </c>
      <c r="J474" t="n">
        <v>0</v>
      </c>
      <c r="K474" t="n">
        <v>0</v>
      </c>
      <c r="L474" t="n">
        <v>0</v>
      </c>
      <c r="M474" t="n">
        <v>0</v>
      </c>
      <c r="N474" t="n">
        <v>0</v>
      </c>
      <c r="O474" t="n">
        <v>0</v>
      </c>
      <c r="P474" t="n">
        <v>0</v>
      </c>
      <c r="Q474" t="n">
        <v>0</v>
      </c>
      <c r="R474" s="2" t="inlineStr"/>
    </row>
    <row r="475" ht="15" customHeight="1">
      <c r="A475" t="inlineStr">
        <is>
          <t>A 36491-2021</t>
        </is>
      </c>
      <c r="B475" s="1" t="n">
        <v>44390</v>
      </c>
      <c r="C475" s="1" t="n">
        <v>45916</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25398-2025</t>
        </is>
      </c>
      <c r="B476" s="1" t="n">
        <v>45800.65177083333</v>
      </c>
      <c r="C476" s="1" t="n">
        <v>45916</v>
      </c>
      <c r="D476" t="inlineStr">
        <is>
          <t>JÄMTLANDS LÄN</t>
        </is>
      </c>
      <c r="E476" t="inlineStr">
        <is>
          <t>KROKOM</t>
        </is>
      </c>
      <c r="G476" t="n">
        <v>3.4</v>
      </c>
      <c r="H476" t="n">
        <v>0</v>
      </c>
      <c r="I476" t="n">
        <v>0</v>
      </c>
      <c r="J476" t="n">
        <v>0</v>
      </c>
      <c r="K476" t="n">
        <v>0</v>
      </c>
      <c r="L476" t="n">
        <v>0</v>
      </c>
      <c r="M476" t="n">
        <v>0</v>
      </c>
      <c r="N476" t="n">
        <v>0</v>
      </c>
      <c r="O476" t="n">
        <v>0</v>
      </c>
      <c r="P476" t="n">
        <v>0</v>
      </c>
      <c r="Q476" t="n">
        <v>0</v>
      </c>
      <c r="R476" s="2" t="inlineStr"/>
    </row>
    <row r="477" ht="15" customHeight="1">
      <c r="A477" t="inlineStr">
        <is>
          <t>A 25681-2025</t>
        </is>
      </c>
      <c r="B477" s="1" t="n">
        <v>45800</v>
      </c>
      <c r="C477" s="1" t="n">
        <v>45916</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25302-2025</t>
        </is>
      </c>
      <c r="B478" s="1" t="n">
        <v>45800.57129629629</v>
      </c>
      <c r="C478" s="1" t="n">
        <v>45916</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25312-2025</t>
        </is>
      </c>
      <c r="B479" s="1" t="n">
        <v>45800.57461805556</v>
      </c>
      <c r="C479" s="1" t="n">
        <v>45916</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9750-2024</t>
        </is>
      </c>
      <c r="B480" s="1" t="n">
        <v>45362</v>
      </c>
      <c r="C480" s="1" t="n">
        <v>45916</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60487-2024</t>
        </is>
      </c>
      <c r="B481" s="1" t="n">
        <v>45643.64706018518</v>
      </c>
      <c r="C481" s="1" t="n">
        <v>45916</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25295-2025</t>
        </is>
      </c>
      <c r="B482" s="1" t="n">
        <v>45800.56810185185</v>
      </c>
      <c r="C482" s="1" t="n">
        <v>45916</v>
      </c>
      <c r="D482" t="inlineStr">
        <is>
          <t>JÄMTLANDS LÄN</t>
        </is>
      </c>
      <c r="E482" t="inlineStr">
        <is>
          <t>KROKOM</t>
        </is>
      </c>
      <c r="G482" t="n">
        <v>0.9</v>
      </c>
      <c r="H482" t="n">
        <v>0</v>
      </c>
      <c r="I482" t="n">
        <v>0</v>
      </c>
      <c r="J482" t="n">
        <v>0</v>
      </c>
      <c r="K482" t="n">
        <v>0</v>
      </c>
      <c r="L482" t="n">
        <v>0</v>
      </c>
      <c r="M482" t="n">
        <v>0</v>
      </c>
      <c r="N482" t="n">
        <v>0</v>
      </c>
      <c r="O482" t="n">
        <v>0</v>
      </c>
      <c r="P482" t="n">
        <v>0</v>
      </c>
      <c r="Q482" t="n">
        <v>0</v>
      </c>
      <c r="R482" s="2" t="inlineStr"/>
    </row>
    <row r="483" ht="15" customHeight="1">
      <c r="A483" t="inlineStr">
        <is>
          <t>A 34289-2021</t>
        </is>
      </c>
      <c r="B483" s="1" t="n">
        <v>44379.59675925926</v>
      </c>
      <c r="C483" s="1" t="n">
        <v>45916</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29524-2024</t>
        </is>
      </c>
      <c r="B484" s="1" t="n">
        <v>45484</v>
      </c>
      <c r="C484" s="1" t="n">
        <v>45916</v>
      </c>
      <c r="D484" t="inlineStr">
        <is>
          <t>JÄMTLANDS LÄN</t>
        </is>
      </c>
      <c r="E484" t="inlineStr">
        <is>
          <t>KROKOM</t>
        </is>
      </c>
      <c r="F484" t="inlineStr">
        <is>
          <t>Övriga Aktiebolag</t>
        </is>
      </c>
      <c r="G484" t="n">
        <v>10.6</v>
      </c>
      <c r="H484" t="n">
        <v>0</v>
      </c>
      <c r="I484" t="n">
        <v>0</v>
      </c>
      <c r="J484" t="n">
        <v>0</v>
      </c>
      <c r="K484" t="n">
        <v>0</v>
      </c>
      <c r="L484" t="n">
        <v>0</v>
      </c>
      <c r="M484" t="n">
        <v>0</v>
      </c>
      <c r="N484" t="n">
        <v>0</v>
      </c>
      <c r="O484" t="n">
        <v>0</v>
      </c>
      <c r="P484" t="n">
        <v>0</v>
      </c>
      <c r="Q484" t="n">
        <v>0</v>
      </c>
      <c r="R484" s="2" t="inlineStr"/>
    </row>
    <row r="485" ht="15" customHeight="1">
      <c r="A485" t="inlineStr">
        <is>
          <t>A 42439-2023</t>
        </is>
      </c>
      <c r="B485" s="1" t="n">
        <v>45180.6391087963</v>
      </c>
      <c r="C485" s="1" t="n">
        <v>45916</v>
      </c>
      <c r="D485" t="inlineStr">
        <is>
          <t>JÄMTLANDS LÄN</t>
        </is>
      </c>
      <c r="E485" t="inlineStr">
        <is>
          <t>KROKOM</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65236-2023</t>
        </is>
      </c>
      <c r="B486" s="1" t="n">
        <v>45289</v>
      </c>
      <c r="C486" s="1" t="n">
        <v>45916</v>
      </c>
      <c r="D486" t="inlineStr">
        <is>
          <t>JÄMTLANDS LÄN</t>
        </is>
      </c>
      <c r="E486" t="inlineStr">
        <is>
          <t>KROKOM</t>
        </is>
      </c>
      <c r="G486" t="n">
        <v>0.1</v>
      </c>
      <c r="H486" t="n">
        <v>0</v>
      </c>
      <c r="I486" t="n">
        <v>0</v>
      </c>
      <c r="J486" t="n">
        <v>0</v>
      </c>
      <c r="K486" t="n">
        <v>0</v>
      </c>
      <c r="L486" t="n">
        <v>0</v>
      </c>
      <c r="M486" t="n">
        <v>0</v>
      </c>
      <c r="N486" t="n">
        <v>0</v>
      </c>
      <c r="O486" t="n">
        <v>0</v>
      </c>
      <c r="P486" t="n">
        <v>0</v>
      </c>
      <c r="Q486" t="n">
        <v>0</v>
      </c>
      <c r="R486" s="2" t="inlineStr"/>
    </row>
    <row r="487" ht="15" customHeight="1">
      <c r="A487" t="inlineStr">
        <is>
          <t>A 19634-2025</t>
        </is>
      </c>
      <c r="B487" s="1" t="n">
        <v>45770.64677083334</v>
      </c>
      <c r="C487" s="1" t="n">
        <v>45916</v>
      </c>
      <c r="D487" t="inlineStr">
        <is>
          <t>JÄMTLANDS LÄN</t>
        </is>
      </c>
      <c r="E487" t="inlineStr">
        <is>
          <t>KROKOM</t>
        </is>
      </c>
      <c r="G487" t="n">
        <v>1.2</v>
      </c>
      <c r="H487" t="n">
        <v>0</v>
      </c>
      <c r="I487" t="n">
        <v>0</v>
      </c>
      <c r="J487" t="n">
        <v>0</v>
      </c>
      <c r="K487" t="n">
        <v>0</v>
      </c>
      <c r="L487" t="n">
        <v>0</v>
      </c>
      <c r="M487" t="n">
        <v>0</v>
      </c>
      <c r="N487" t="n">
        <v>0</v>
      </c>
      <c r="O487" t="n">
        <v>0</v>
      </c>
      <c r="P487" t="n">
        <v>0</v>
      </c>
      <c r="Q487" t="n">
        <v>0</v>
      </c>
      <c r="R487" s="2" t="inlineStr"/>
    </row>
    <row r="488" ht="15" customHeight="1">
      <c r="A488" t="inlineStr">
        <is>
          <t>A 43932-2024</t>
        </is>
      </c>
      <c r="B488" s="1" t="n">
        <v>45572.45601851852</v>
      </c>
      <c r="C488" s="1" t="n">
        <v>45916</v>
      </c>
      <c r="D488" t="inlineStr">
        <is>
          <t>JÄMTLANDS LÄN</t>
        </is>
      </c>
      <c r="E488" t="inlineStr">
        <is>
          <t>KROKOM</t>
        </is>
      </c>
      <c r="F488" t="inlineStr">
        <is>
          <t>Övriga Aktiebolag</t>
        </is>
      </c>
      <c r="G488" t="n">
        <v>22</v>
      </c>
      <c r="H488" t="n">
        <v>0</v>
      </c>
      <c r="I488" t="n">
        <v>0</v>
      </c>
      <c r="J488" t="n">
        <v>0</v>
      </c>
      <c r="K488" t="n">
        <v>0</v>
      </c>
      <c r="L488" t="n">
        <v>0</v>
      </c>
      <c r="M488" t="n">
        <v>0</v>
      </c>
      <c r="N488" t="n">
        <v>0</v>
      </c>
      <c r="O488" t="n">
        <v>0</v>
      </c>
      <c r="P488" t="n">
        <v>0</v>
      </c>
      <c r="Q488" t="n">
        <v>0</v>
      </c>
      <c r="R488" s="2" t="inlineStr"/>
    </row>
    <row r="489" ht="15" customHeight="1">
      <c r="A489" t="inlineStr">
        <is>
          <t>A 4570-2025</t>
        </is>
      </c>
      <c r="B489" s="1" t="n">
        <v>45687</v>
      </c>
      <c r="C489" s="1" t="n">
        <v>45916</v>
      </c>
      <c r="D489" t="inlineStr">
        <is>
          <t>JÄMTLANDS LÄN</t>
        </is>
      </c>
      <c r="E489" t="inlineStr">
        <is>
          <t>KROKOM</t>
        </is>
      </c>
      <c r="G489" t="n">
        <v>4.6</v>
      </c>
      <c r="H489" t="n">
        <v>0</v>
      </c>
      <c r="I489" t="n">
        <v>0</v>
      </c>
      <c r="J489" t="n">
        <v>0</v>
      </c>
      <c r="K489" t="n">
        <v>0</v>
      </c>
      <c r="L489" t="n">
        <v>0</v>
      </c>
      <c r="M489" t="n">
        <v>0</v>
      </c>
      <c r="N489" t="n">
        <v>0</v>
      </c>
      <c r="O489" t="n">
        <v>0</v>
      </c>
      <c r="P489" t="n">
        <v>0</v>
      </c>
      <c r="Q489" t="n">
        <v>0</v>
      </c>
      <c r="R489" s="2" t="inlineStr"/>
    </row>
    <row r="490" ht="15" customHeight="1">
      <c r="A490" t="inlineStr">
        <is>
          <t>A 67740-2021</t>
        </is>
      </c>
      <c r="B490" s="1" t="n">
        <v>44524</v>
      </c>
      <c r="C490" s="1" t="n">
        <v>45916</v>
      </c>
      <c r="D490" t="inlineStr">
        <is>
          <t>JÄMTLANDS LÄN</t>
        </is>
      </c>
      <c r="E490" t="inlineStr">
        <is>
          <t>KROKOM</t>
        </is>
      </c>
      <c r="G490" t="n">
        <v>12.3</v>
      </c>
      <c r="H490" t="n">
        <v>0</v>
      </c>
      <c r="I490" t="n">
        <v>0</v>
      </c>
      <c r="J490" t="n">
        <v>0</v>
      </c>
      <c r="K490" t="n">
        <v>0</v>
      </c>
      <c r="L490" t="n">
        <v>0</v>
      </c>
      <c r="M490" t="n">
        <v>0</v>
      </c>
      <c r="N490" t="n">
        <v>0</v>
      </c>
      <c r="O490" t="n">
        <v>0</v>
      </c>
      <c r="P490" t="n">
        <v>0</v>
      </c>
      <c r="Q490" t="n">
        <v>0</v>
      </c>
      <c r="R490" s="2" t="inlineStr"/>
    </row>
    <row r="491" ht="15" customHeight="1">
      <c r="A491" t="inlineStr">
        <is>
          <t>A 12813-2023</t>
        </is>
      </c>
      <c r="B491" s="1" t="n">
        <v>45000</v>
      </c>
      <c r="C491" s="1" t="n">
        <v>45916</v>
      </c>
      <c r="D491" t="inlineStr">
        <is>
          <t>JÄMTLANDS LÄN</t>
        </is>
      </c>
      <c r="E491" t="inlineStr">
        <is>
          <t>KROKOM</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5409-2025</t>
        </is>
      </c>
      <c r="B492" s="1" t="n">
        <v>45692</v>
      </c>
      <c r="C492" s="1" t="n">
        <v>45916</v>
      </c>
      <c r="D492" t="inlineStr">
        <is>
          <t>JÄMTLANDS LÄN</t>
        </is>
      </c>
      <c r="E492" t="inlineStr">
        <is>
          <t>KROKOM</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34794-2022</t>
        </is>
      </c>
      <c r="B493" s="1" t="n">
        <v>44795</v>
      </c>
      <c r="C493" s="1" t="n">
        <v>45916</v>
      </c>
      <c r="D493" t="inlineStr">
        <is>
          <t>JÄMTLANDS LÄN</t>
        </is>
      </c>
      <c r="E493" t="inlineStr">
        <is>
          <t>KROKOM</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10498-2025</t>
        </is>
      </c>
      <c r="B494" s="1" t="n">
        <v>45721</v>
      </c>
      <c r="C494" s="1" t="n">
        <v>45916</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1473-2025</t>
        </is>
      </c>
      <c r="B495" s="1" t="n">
        <v>45670</v>
      </c>
      <c r="C495" s="1" t="n">
        <v>45916</v>
      </c>
      <c r="D495" t="inlineStr">
        <is>
          <t>JÄMTLANDS LÄN</t>
        </is>
      </c>
      <c r="E495" t="inlineStr">
        <is>
          <t>KROKOM</t>
        </is>
      </c>
      <c r="G495" t="n">
        <v>7.6</v>
      </c>
      <c r="H495" t="n">
        <v>0</v>
      </c>
      <c r="I495" t="n">
        <v>0</v>
      </c>
      <c r="J495" t="n">
        <v>0</v>
      </c>
      <c r="K495" t="n">
        <v>0</v>
      </c>
      <c r="L495" t="n">
        <v>0</v>
      </c>
      <c r="M495" t="n">
        <v>0</v>
      </c>
      <c r="N495" t="n">
        <v>0</v>
      </c>
      <c r="O495" t="n">
        <v>0</v>
      </c>
      <c r="P495" t="n">
        <v>0</v>
      </c>
      <c r="Q495" t="n">
        <v>0</v>
      </c>
      <c r="R495" s="2" t="inlineStr"/>
    </row>
    <row r="496" ht="15" customHeight="1">
      <c r="A496" t="inlineStr">
        <is>
          <t>A 50919-2024</t>
        </is>
      </c>
      <c r="B496" s="1" t="n">
        <v>45602</v>
      </c>
      <c r="C496" s="1" t="n">
        <v>45916</v>
      </c>
      <c r="D496" t="inlineStr">
        <is>
          <t>JÄMTLANDS LÄN</t>
        </is>
      </c>
      <c r="E496" t="inlineStr">
        <is>
          <t>KROKOM</t>
        </is>
      </c>
      <c r="G496" t="n">
        <v>33.7</v>
      </c>
      <c r="H496" t="n">
        <v>0</v>
      </c>
      <c r="I496" t="n">
        <v>0</v>
      </c>
      <c r="J496" t="n">
        <v>0</v>
      </c>
      <c r="K496" t="n">
        <v>0</v>
      </c>
      <c r="L496" t="n">
        <v>0</v>
      </c>
      <c r="M496" t="n">
        <v>0</v>
      </c>
      <c r="N496" t="n">
        <v>0</v>
      </c>
      <c r="O496" t="n">
        <v>0</v>
      </c>
      <c r="P496" t="n">
        <v>0</v>
      </c>
      <c r="Q496" t="n">
        <v>0</v>
      </c>
      <c r="R496" s="2" t="inlineStr"/>
    </row>
    <row r="497" ht="15" customHeight="1">
      <c r="A497" t="inlineStr">
        <is>
          <t>A 2410-2021</t>
        </is>
      </c>
      <c r="B497" s="1" t="n">
        <v>44214</v>
      </c>
      <c r="C497" s="1" t="n">
        <v>45916</v>
      </c>
      <c r="D497" t="inlineStr">
        <is>
          <t>JÄMTLANDS LÄN</t>
        </is>
      </c>
      <c r="E497" t="inlineStr">
        <is>
          <t>KROKOM</t>
        </is>
      </c>
      <c r="G497" t="n">
        <v>32.7</v>
      </c>
      <c r="H497" t="n">
        <v>0</v>
      </c>
      <c r="I497" t="n">
        <v>0</v>
      </c>
      <c r="J497" t="n">
        <v>0</v>
      </c>
      <c r="K497" t="n">
        <v>0</v>
      </c>
      <c r="L497" t="n">
        <v>0</v>
      </c>
      <c r="M497" t="n">
        <v>0</v>
      </c>
      <c r="N497" t="n">
        <v>0</v>
      </c>
      <c r="O497" t="n">
        <v>0</v>
      </c>
      <c r="P497" t="n">
        <v>0</v>
      </c>
      <c r="Q497" t="n">
        <v>0</v>
      </c>
      <c r="R497" s="2" t="inlineStr"/>
    </row>
    <row r="498" ht="15" customHeight="1">
      <c r="A498" t="inlineStr">
        <is>
          <t>A 53402-2022</t>
        </is>
      </c>
      <c r="B498" s="1" t="n">
        <v>44874</v>
      </c>
      <c r="C498" s="1" t="n">
        <v>45916</v>
      </c>
      <c r="D498" t="inlineStr">
        <is>
          <t>JÄMTLANDS LÄN</t>
        </is>
      </c>
      <c r="E498" t="inlineStr">
        <is>
          <t>KROKOM</t>
        </is>
      </c>
      <c r="G498" t="n">
        <v>36.7</v>
      </c>
      <c r="H498" t="n">
        <v>0</v>
      </c>
      <c r="I498" t="n">
        <v>0</v>
      </c>
      <c r="J498" t="n">
        <v>0</v>
      </c>
      <c r="K498" t="n">
        <v>0</v>
      </c>
      <c r="L498" t="n">
        <v>0</v>
      </c>
      <c r="M498" t="n">
        <v>0</v>
      </c>
      <c r="N498" t="n">
        <v>0</v>
      </c>
      <c r="O498" t="n">
        <v>0</v>
      </c>
      <c r="P498" t="n">
        <v>0</v>
      </c>
      <c r="Q498" t="n">
        <v>0</v>
      </c>
      <c r="R498" s="2" t="inlineStr"/>
    </row>
    <row r="499" ht="15" customHeight="1">
      <c r="A499" t="inlineStr">
        <is>
          <t>A 4608-2025</t>
        </is>
      </c>
      <c r="B499" s="1" t="n">
        <v>45687</v>
      </c>
      <c r="C499" s="1" t="n">
        <v>45916</v>
      </c>
      <c r="D499" t="inlineStr">
        <is>
          <t>JÄMTLANDS LÄN</t>
        </is>
      </c>
      <c r="E499" t="inlineStr">
        <is>
          <t>KROKOM</t>
        </is>
      </c>
      <c r="F499" t="inlineStr">
        <is>
          <t>SCA</t>
        </is>
      </c>
      <c r="G499" t="n">
        <v>16.6</v>
      </c>
      <c r="H499" t="n">
        <v>0</v>
      </c>
      <c r="I499" t="n">
        <v>0</v>
      </c>
      <c r="J499" t="n">
        <v>0</v>
      </c>
      <c r="K499" t="n">
        <v>0</v>
      </c>
      <c r="L499" t="n">
        <v>0</v>
      </c>
      <c r="M499" t="n">
        <v>0</v>
      </c>
      <c r="N499" t="n">
        <v>0</v>
      </c>
      <c r="O499" t="n">
        <v>0</v>
      </c>
      <c r="P499" t="n">
        <v>0</v>
      </c>
      <c r="Q499" t="n">
        <v>0</v>
      </c>
      <c r="R499" s="2" t="inlineStr"/>
    </row>
    <row r="500" ht="15" customHeight="1">
      <c r="A500" t="inlineStr">
        <is>
          <t>A 3329-2025</t>
        </is>
      </c>
      <c r="B500" s="1" t="n">
        <v>45679.70027777777</v>
      </c>
      <c r="C500" s="1" t="n">
        <v>45916</v>
      </c>
      <c r="D500" t="inlineStr">
        <is>
          <t>JÄMTLANDS LÄN</t>
        </is>
      </c>
      <c r="E500" t="inlineStr">
        <is>
          <t>KROKOM</t>
        </is>
      </c>
      <c r="G500" t="n">
        <v>4.8</v>
      </c>
      <c r="H500" t="n">
        <v>0</v>
      </c>
      <c r="I500" t="n">
        <v>0</v>
      </c>
      <c r="J500" t="n">
        <v>0</v>
      </c>
      <c r="K500" t="n">
        <v>0</v>
      </c>
      <c r="L500" t="n">
        <v>0</v>
      </c>
      <c r="M500" t="n">
        <v>0</v>
      </c>
      <c r="N500" t="n">
        <v>0</v>
      </c>
      <c r="O500" t="n">
        <v>0</v>
      </c>
      <c r="P500" t="n">
        <v>0</v>
      </c>
      <c r="Q500" t="n">
        <v>0</v>
      </c>
      <c r="R500" s="2" t="inlineStr"/>
    </row>
    <row r="501" ht="15" customHeight="1">
      <c r="A501" t="inlineStr">
        <is>
          <t>A 6024-2025</t>
        </is>
      </c>
      <c r="B501" s="1" t="n">
        <v>45695.61160879629</v>
      </c>
      <c r="C501" s="1" t="n">
        <v>45916</v>
      </c>
      <c r="D501" t="inlineStr">
        <is>
          <t>JÄMTLANDS LÄN</t>
        </is>
      </c>
      <c r="E501" t="inlineStr">
        <is>
          <t>KROKOM</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26272-2025</t>
        </is>
      </c>
      <c r="B502" s="1" t="n">
        <v>45805</v>
      </c>
      <c r="C502" s="1" t="n">
        <v>45916</v>
      </c>
      <c r="D502" t="inlineStr">
        <is>
          <t>JÄMTLANDS LÄN</t>
        </is>
      </c>
      <c r="E502" t="inlineStr">
        <is>
          <t>KROKOM</t>
        </is>
      </c>
      <c r="G502" t="n">
        <v>22.4</v>
      </c>
      <c r="H502" t="n">
        <v>0</v>
      </c>
      <c r="I502" t="n">
        <v>0</v>
      </c>
      <c r="J502" t="n">
        <v>0</v>
      </c>
      <c r="K502" t="n">
        <v>0</v>
      </c>
      <c r="L502" t="n">
        <v>0</v>
      </c>
      <c r="M502" t="n">
        <v>0</v>
      </c>
      <c r="N502" t="n">
        <v>0</v>
      </c>
      <c r="O502" t="n">
        <v>0</v>
      </c>
      <c r="P502" t="n">
        <v>0</v>
      </c>
      <c r="Q502" t="n">
        <v>0</v>
      </c>
      <c r="R502" s="2" t="inlineStr"/>
    </row>
    <row r="503" ht="15" customHeight="1">
      <c r="A503" t="inlineStr">
        <is>
          <t>A 26212-2025</t>
        </is>
      </c>
      <c r="B503" s="1" t="n">
        <v>45805.54185185185</v>
      </c>
      <c r="C503" s="1" t="n">
        <v>45916</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26544-2025</t>
        </is>
      </c>
      <c r="B504" s="1" t="n">
        <v>45807.58930555556</v>
      </c>
      <c r="C504" s="1" t="n">
        <v>45916</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53916-2023</t>
        </is>
      </c>
      <c r="B505" s="1" t="n">
        <v>45231</v>
      </c>
      <c r="C505" s="1" t="n">
        <v>45916</v>
      </c>
      <c r="D505" t="inlineStr">
        <is>
          <t>JÄMTLANDS LÄN</t>
        </is>
      </c>
      <c r="E505" t="inlineStr">
        <is>
          <t>KROKOM</t>
        </is>
      </c>
      <c r="G505" t="n">
        <v>7.3</v>
      </c>
      <c r="H505" t="n">
        <v>0</v>
      </c>
      <c r="I505" t="n">
        <v>0</v>
      </c>
      <c r="J505" t="n">
        <v>0</v>
      </c>
      <c r="K505" t="n">
        <v>0</v>
      </c>
      <c r="L505" t="n">
        <v>0</v>
      </c>
      <c r="M505" t="n">
        <v>0</v>
      </c>
      <c r="N505" t="n">
        <v>0</v>
      </c>
      <c r="O505" t="n">
        <v>0</v>
      </c>
      <c r="P505" t="n">
        <v>0</v>
      </c>
      <c r="Q505" t="n">
        <v>0</v>
      </c>
      <c r="R505" s="2" t="inlineStr"/>
    </row>
    <row r="506" ht="15" customHeight="1">
      <c r="A506" t="inlineStr">
        <is>
          <t>A 7952-2023</t>
        </is>
      </c>
      <c r="B506" s="1" t="n">
        <v>44970</v>
      </c>
      <c r="C506" s="1" t="n">
        <v>45916</v>
      </c>
      <c r="D506" t="inlineStr">
        <is>
          <t>JÄMTLANDS LÄN</t>
        </is>
      </c>
      <c r="E506" t="inlineStr">
        <is>
          <t>KROKOM</t>
        </is>
      </c>
      <c r="G506" t="n">
        <v>4.8</v>
      </c>
      <c r="H506" t="n">
        <v>0</v>
      </c>
      <c r="I506" t="n">
        <v>0</v>
      </c>
      <c r="J506" t="n">
        <v>0</v>
      </c>
      <c r="K506" t="n">
        <v>0</v>
      </c>
      <c r="L506" t="n">
        <v>0</v>
      </c>
      <c r="M506" t="n">
        <v>0</v>
      </c>
      <c r="N506" t="n">
        <v>0</v>
      </c>
      <c r="O506" t="n">
        <v>0</v>
      </c>
      <c r="P506" t="n">
        <v>0</v>
      </c>
      <c r="Q506" t="n">
        <v>0</v>
      </c>
      <c r="R506" s="2" t="inlineStr"/>
    </row>
    <row r="507" ht="15" customHeight="1">
      <c r="A507" t="inlineStr">
        <is>
          <t>A 50129-2024</t>
        </is>
      </c>
      <c r="B507" s="1" t="n">
        <v>45600.433125</v>
      </c>
      <c r="C507" s="1" t="n">
        <v>45916</v>
      </c>
      <c r="D507" t="inlineStr">
        <is>
          <t>JÄMTLANDS LÄN</t>
        </is>
      </c>
      <c r="E507" t="inlineStr">
        <is>
          <t>KROKOM</t>
        </is>
      </c>
      <c r="F507" t="inlineStr">
        <is>
          <t>Övriga Aktiebolag</t>
        </is>
      </c>
      <c r="G507" t="n">
        <v>4.1</v>
      </c>
      <c r="H507" t="n">
        <v>0</v>
      </c>
      <c r="I507" t="n">
        <v>0</v>
      </c>
      <c r="J507" t="n">
        <v>0</v>
      </c>
      <c r="K507" t="n">
        <v>0</v>
      </c>
      <c r="L507" t="n">
        <v>0</v>
      </c>
      <c r="M507" t="n">
        <v>0</v>
      </c>
      <c r="N507" t="n">
        <v>0</v>
      </c>
      <c r="O507" t="n">
        <v>0</v>
      </c>
      <c r="P507" t="n">
        <v>0</v>
      </c>
      <c r="Q507" t="n">
        <v>0</v>
      </c>
      <c r="R507" s="2" t="inlineStr"/>
    </row>
    <row r="508" ht="15" customHeight="1">
      <c r="A508" t="inlineStr">
        <is>
          <t>A 4369-2025</t>
        </is>
      </c>
      <c r="B508" s="1" t="n">
        <v>45686.35247685185</v>
      </c>
      <c r="C508" s="1" t="n">
        <v>45916</v>
      </c>
      <c r="D508" t="inlineStr">
        <is>
          <t>JÄMTLANDS LÄN</t>
        </is>
      </c>
      <c r="E508" t="inlineStr">
        <is>
          <t>KROKOM</t>
        </is>
      </c>
      <c r="F508" t="inlineStr">
        <is>
          <t>SCA</t>
        </is>
      </c>
      <c r="G508" t="n">
        <v>45.4</v>
      </c>
      <c r="H508" t="n">
        <v>0</v>
      </c>
      <c r="I508" t="n">
        <v>0</v>
      </c>
      <c r="J508" t="n">
        <v>0</v>
      </c>
      <c r="K508" t="n">
        <v>0</v>
      </c>
      <c r="L508" t="n">
        <v>0</v>
      </c>
      <c r="M508" t="n">
        <v>0</v>
      </c>
      <c r="N508" t="n">
        <v>0</v>
      </c>
      <c r="O508" t="n">
        <v>0</v>
      </c>
      <c r="P508" t="n">
        <v>0</v>
      </c>
      <c r="Q508" t="n">
        <v>0</v>
      </c>
      <c r="R508" s="2" t="inlineStr"/>
    </row>
    <row r="509" ht="15" customHeight="1">
      <c r="A509" t="inlineStr">
        <is>
          <t>A 7111-2024</t>
        </is>
      </c>
      <c r="B509" s="1" t="n">
        <v>45343.95162037037</v>
      </c>
      <c r="C509" s="1" t="n">
        <v>45916</v>
      </c>
      <c r="D509" t="inlineStr">
        <is>
          <t>JÄMTLANDS LÄN</t>
        </is>
      </c>
      <c r="E509" t="inlineStr">
        <is>
          <t>KROKOM</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10632-2025</t>
        </is>
      </c>
      <c r="B510" s="1" t="n">
        <v>45721</v>
      </c>
      <c r="C510" s="1" t="n">
        <v>45916</v>
      </c>
      <c r="D510" t="inlineStr">
        <is>
          <t>JÄMTLANDS LÄN</t>
        </is>
      </c>
      <c r="E510" t="inlineStr">
        <is>
          <t>KROKOM</t>
        </is>
      </c>
      <c r="G510" t="n">
        <v>3.2</v>
      </c>
      <c r="H510" t="n">
        <v>0</v>
      </c>
      <c r="I510" t="n">
        <v>0</v>
      </c>
      <c r="J510" t="n">
        <v>0</v>
      </c>
      <c r="K510" t="n">
        <v>0</v>
      </c>
      <c r="L510" t="n">
        <v>0</v>
      </c>
      <c r="M510" t="n">
        <v>0</v>
      </c>
      <c r="N510" t="n">
        <v>0</v>
      </c>
      <c r="O510" t="n">
        <v>0</v>
      </c>
      <c r="P510" t="n">
        <v>0</v>
      </c>
      <c r="Q510" t="n">
        <v>0</v>
      </c>
      <c r="R510" s="2" t="inlineStr"/>
    </row>
    <row r="511" ht="15" customHeight="1">
      <c r="A511" t="inlineStr">
        <is>
          <t>A 16345-2025</t>
        </is>
      </c>
      <c r="B511" s="1" t="n">
        <v>45751.3734837963</v>
      </c>
      <c r="C511" s="1" t="n">
        <v>45916</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16481-2025</t>
        </is>
      </c>
      <c r="B512" s="1" t="n">
        <v>45751.57877314815</v>
      </c>
      <c r="C512" s="1" t="n">
        <v>45916</v>
      </c>
      <c r="D512" t="inlineStr">
        <is>
          <t>JÄMTLANDS LÄN</t>
        </is>
      </c>
      <c r="E512" t="inlineStr">
        <is>
          <t>KROKOM</t>
        </is>
      </c>
      <c r="G512" t="n">
        <v>8.4</v>
      </c>
      <c r="H512" t="n">
        <v>0</v>
      </c>
      <c r="I512" t="n">
        <v>0</v>
      </c>
      <c r="J512" t="n">
        <v>0</v>
      </c>
      <c r="K512" t="n">
        <v>0</v>
      </c>
      <c r="L512" t="n">
        <v>0</v>
      </c>
      <c r="M512" t="n">
        <v>0</v>
      </c>
      <c r="N512" t="n">
        <v>0</v>
      </c>
      <c r="O512" t="n">
        <v>0</v>
      </c>
      <c r="P512" t="n">
        <v>0</v>
      </c>
      <c r="Q512" t="n">
        <v>0</v>
      </c>
      <c r="R512" s="2" t="inlineStr"/>
    </row>
    <row r="513" ht="15" customHeight="1">
      <c r="A513" t="inlineStr">
        <is>
          <t>A 26527-2025</t>
        </is>
      </c>
      <c r="B513" s="1" t="n">
        <v>45807.56728009259</v>
      </c>
      <c r="C513" s="1" t="n">
        <v>45916</v>
      </c>
      <c r="D513" t="inlineStr">
        <is>
          <t>JÄMTLANDS LÄN</t>
        </is>
      </c>
      <c r="E513" t="inlineStr">
        <is>
          <t>KROKOM</t>
        </is>
      </c>
      <c r="G513" t="n">
        <v>13.3</v>
      </c>
      <c r="H513" t="n">
        <v>0</v>
      </c>
      <c r="I513" t="n">
        <v>0</v>
      </c>
      <c r="J513" t="n">
        <v>0</v>
      </c>
      <c r="K513" t="n">
        <v>0</v>
      </c>
      <c r="L513" t="n">
        <v>0</v>
      </c>
      <c r="M513" t="n">
        <v>0</v>
      </c>
      <c r="N513" t="n">
        <v>0</v>
      </c>
      <c r="O513" t="n">
        <v>0</v>
      </c>
      <c r="P513" t="n">
        <v>0</v>
      </c>
      <c r="Q513" t="n">
        <v>0</v>
      </c>
      <c r="R513" s="2" t="inlineStr"/>
    </row>
    <row r="514" ht="15" customHeight="1">
      <c r="A514" t="inlineStr">
        <is>
          <t>A 61078-2023</t>
        </is>
      </c>
      <c r="B514" s="1" t="n">
        <v>45261</v>
      </c>
      <c r="C514" s="1" t="n">
        <v>45916</v>
      </c>
      <c r="D514" t="inlineStr">
        <is>
          <t>JÄMTLANDS LÄN</t>
        </is>
      </c>
      <c r="E514" t="inlineStr">
        <is>
          <t>KROKOM</t>
        </is>
      </c>
      <c r="G514" t="n">
        <v>5.7</v>
      </c>
      <c r="H514" t="n">
        <v>0</v>
      </c>
      <c r="I514" t="n">
        <v>0</v>
      </c>
      <c r="J514" t="n">
        <v>0</v>
      </c>
      <c r="K514" t="n">
        <v>0</v>
      </c>
      <c r="L514" t="n">
        <v>0</v>
      </c>
      <c r="M514" t="n">
        <v>0</v>
      </c>
      <c r="N514" t="n">
        <v>0</v>
      </c>
      <c r="O514" t="n">
        <v>0</v>
      </c>
      <c r="P514" t="n">
        <v>0</v>
      </c>
      <c r="Q514" t="n">
        <v>0</v>
      </c>
      <c r="R514" s="2" t="inlineStr"/>
    </row>
    <row r="515" ht="15" customHeight="1">
      <c r="A515" t="inlineStr">
        <is>
          <t>A 16247-2025</t>
        </is>
      </c>
      <c r="B515" s="1" t="n">
        <v>45749</v>
      </c>
      <c r="C515" s="1" t="n">
        <v>45916</v>
      </c>
      <c r="D515" t="inlineStr">
        <is>
          <t>JÄMTLANDS LÄN</t>
        </is>
      </c>
      <c r="E515" t="inlineStr">
        <is>
          <t>KROKOM</t>
        </is>
      </c>
      <c r="G515" t="n">
        <v>3.9</v>
      </c>
      <c r="H515" t="n">
        <v>0</v>
      </c>
      <c r="I515" t="n">
        <v>0</v>
      </c>
      <c r="J515" t="n">
        <v>0</v>
      </c>
      <c r="K515" t="n">
        <v>0</v>
      </c>
      <c r="L515" t="n">
        <v>0</v>
      </c>
      <c r="M515" t="n">
        <v>0</v>
      </c>
      <c r="N515" t="n">
        <v>0</v>
      </c>
      <c r="O515" t="n">
        <v>0</v>
      </c>
      <c r="P515" t="n">
        <v>0</v>
      </c>
      <c r="Q515" t="n">
        <v>0</v>
      </c>
      <c r="R515" s="2" t="inlineStr"/>
    </row>
    <row r="516" ht="15" customHeight="1">
      <c r="A516" t="inlineStr">
        <is>
          <t>A 61767-2024</t>
        </is>
      </c>
      <c r="B516" s="1" t="n">
        <v>45649.45143518518</v>
      </c>
      <c r="C516" s="1" t="n">
        <v>45916</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55043-2024</t>
        </is>
      </c>
      <c r="B517" s="1" t="n">
        <v>45621</v>
      </c>
      <c r="C517" s="1" t="n">
        <v>45916</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27729-2024</t>
        </is>
      </c>
      <c r="B518" s="1" t="n">
        <v>45475</v>
      </c>
      <c r="C518" s="1" t="n">
        <v>45916</v>
      </c>
      <c r="D518" t="inlineStr">
        <is>
          <t>JÄMTLANDS LÄN</t>
        </is>
      </c>
      <c r="E518" t="inlineStr">
        <is>
          <t>KROKOM</t>
        </is>
      </c>
      <c r="G518" t="n">
        <v>1.5</v>
      </c>
      <c r="H518" t="n">
        <v>0</v>
      </c>
      <c r="I518" t="n">
        <v>0</v>
      </c>
      <c r="J518" t="n">
        <v>0</v>
      </c>
      <c r="K518" t="n">
        <v>0</v>
      </c>
      <c r="L518" t="n">
        <v>0</v>
      </c>
      <c r="M518" t="n">
        <v>0</v>
      </c>
      <c r="N518" t="n">
        <v>0</v>
      </c>
      <c r="O518" t="n">
        <v>0</v>
      </c>
      <c r="P518" t="n">
        <v>0</v>
      </c>
      <c r="Q518" t="n">
        <v>0</v>
      </c>
      <c r="R518" s="2" t="inlineStr"/>
    </row>
    <row r="519" ht="15" customHeight="1">
      <c r="A519" t="inlineStr">
        <is>
          <t>A 12838-2025</t>
        </is>
      </c>
      <c r="B519" s="1" t="n">
        <v>45733</v>
      </c>
      <c r="C519" s="1" t="n">
        <v>45916</v>
      </c>
      <c r="D519" t="inlineStr">
        <is>
          <t>JÄMTLANDS LÄN</t>
        </is>
      </c>
      <c r="E519" t="inlineStr">
        <is>
          <t>KROKOM</t>
        </is>
      </c>
      <c r="G519" t="n">
        <v>59.3</v>
      </c>
      <c r="H519" t="n">
        <v>0</v>
      </c>
      <c r="I519" t="n">
        <v>0</v>
      </c>
      <c r="J519" t="n">
        <v>0</v>
      </c>
      <c r="K519" t="n">
        <v>0</v>
      </c>
      <c r="L519" t="n">
        <v>0</v>
      </c>
      <c r="M519" t="n">
        <v>0</v>
      </c>
      <c r="N519" t="n">
        <v>0</v>
      </c>
      <c r="O519" t="n">
        <v>0</v>
      </c>
      <c r="P519" t="n">
        <v>0</v>
      </c>
      <c r="Q519" t="n">
        <v>0</v>
      </c>
      <c r="R519" s="2" t="inlineStr"/>
    </row>
    <row r="520" ht="15" customHeight="1">
      <c r="A520" t="inlineStr">
        <is>
          <t>A 13722-2025</t>
        </is>
      </c>
      <c r="B520" s="1" t="n">
        <v>45737.36873842592</v>
      </c>
      <c r="C520" s="1" t="n">
        <v>45916</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8369-2023</t>
        </is>
      </c>
      <c r="B521" s="1" t="n">
        <v>44971</v>
      </c>
      <c r="C521" s="1" t="n">
        <v>45916</v>
      </c>
      <c r="D521" t="inlineStr">
        <is>
          <t>JÄMTLANDS LÄN</t>
        </is>
      </c>
      <c r="E521" t="inlineStr">
        <is>
          <t>KROKOM</t>
        </is>
      </c>
      <c r="G521" t="n">
        <v>47.2</v>
      </c>
      <c r="H521" t="n">
        <v>0</v>
      </c>
      <c r="I521" t="n">
        <v>0</v>
      </c>
      <c r="J521" t="n">
        <v>0</v>
      </c>
      <c r="K521" t="n">
        <v>0</v>
      </c>
      <c r="L521" t="n">
        <v>0</v>
      </c>
      <c r="M521" t="n">
        <v>0</v>
      </c>
      <c r="N521" t="n">
        <v>0</v>
      </c>
      <c r="O521" t="n">
        <v>0</v>
      </c>
      <c r="P521" t="n">
        <v>0</v>
      </c>
      <c r="Q521" t="n">
        <v>0</v>
      </c>
      <c r="R521" s="2" t="inlineStr"/>
    </row>
    <row r="522" ht="15" customHeight="1">
      <c r="A522" t="inlineStr">
        <is>
          <t>A 18080-2025</t>
        </is>
      </c>
      <c r="B522" s="1" t="n">
        <v>45761.50909722222</v>
      </c>
      <c r="C522" s="1" t="n">
        <v>45916</v>
      </c>
      <c r="D522" t="inlineStr">
        <is>
          <t>JÄMTLANDS LÄN</t>
        </is>
      </c>
      <c r="E522" t="inlineStr">
        <is>
          <t>KROKOM</t>
        </is>
      </c>
      <c r="G522" t="n">
        <v>21.9</v>
      </c>
      <c r="H522" t="n">
        <v>0</v>
      </c>
      <c r="I522" t="n">
        <v>0</v>
      </c>
      <c r="J522" t="n">
        <v>0</v>
      </c>
      <c r="K522" t="n">
        <v>0</v>
      </c>
      <c r="L522" t="n">
        <v>0</v>
      </c>
      <c r="M522" t="n">
        <v>0</v>
      </c>
      <c r="N522" t="n">
        <v>0</v>
      </c>
      <c r="O522" t="n">
        <v>0</v>
      </c>
      <c r="P522" t="n">
        <v>0</v>
      </c>
      <c r="Q522" t="n">
        <v>0</v>
      </c>
      <c r="R522" s="2" t="inlineStr"/>
    </row>
    <row r="523" ht="15" customHeight="1">
      <c r="A523" t="inlineStr">
        <is>
          <t>A 26619-2025</t>
        </is>
      </c>
      <c r="B523" s="1" t="n">
        <v>45810.31376157407</v>
      </c>
      <c r="C523" s="1" t="n">
        <v>45916</v>
      </c>
      <c r="D523" t="inlineStr">
        <is>
          <t>JÄMTLANDS LÄN</t>
        </is>
      </c>
      <c r="E523" t="inlineStr">
        <is>
          <t>KROKOM</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26621-2025</t>
        </is>
      </c>
      <c r="B524" s="1" t="n">
        <v>45810.32105324074</v>
      </c>
      <c r="C524" s="1" t="n">
        <v>45916</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58347-2022</t>
        </is>
      </c>
      <c r="B525" s="1" t="n">
        <v>44901.59349537037</v>
      </c>
      <c r="C525" s="1" t="n">
        <v>45916</v>
      </c>
      <c r="D525" t="inlineStr">
        <is>
          <t>JÄMTLANDS LÄN</t>
        </is>
      </c>
      <c r="E525" t="inlineStr">
        <is>
          <t>KROKOM</t>
        </is>
      </c>
      <c r="F525" t="inlineStr">
        <is>
          <t>Övriga Aktiebolag</t>
        </is>
      </c>
      <c r="G525" t="n">
        <v>5.6</v>
      </c>
      <c r="H525" t="n">
        <v>0</v>
      </c>
      <c r="I525" t="n">
        <v>0</v>
      </c>
      <c r="J525" t="n">
        <v>0</v>
      </c>
      <c r="K525" t="n">
        <v>0</v>
      </c>
      <c r="L525" t="n">
        <v>0</v>
      </c>
      <c r="M525" t="n">
        <v>0</v>
      </c>
      <c r="N525" t="n">
        <v>0</v>
      </c>
      <c r="O525" t="n">
        <v>0</v>
      </c>
      <c r="P525" t="n">
        <v>0</v>
      </c>
      <c r="Q525" t="n">
        <v>0</v>
      </c>
      <c r="R525" s="2" t="inlineStr"/>
    </row>
    <row r="526" ht="15" customHeight="1">
      <c r="A526" t="inlineStr">
        <is>
          <t>A 1323-2025</t>
        </is>
      </c>
      <c r="B526" s="1" t="n">
        <v>45667.57217592592</v>
      </c>
      <c r="C526" s="1" t="n">
        <v>45916</v>
      </c>
      <c r="D526" t="inlineStr">
        <is>
          <t>JÄMTLANDS LÄN</t>
        </is>
      </c>
      <c r="E526" t="inlineStr">
        <is>
          <t>KROKOM</t>
        </is>
      </c>
      <c r="G526" t="n">
        <v>5.9</v>
      </c>
      <c r="H526" t="n">
        <v>0</v>
      </c>
      <c r="I526" t="n">
        <v>0</v>
      </c>
      <c r="J526" t="n">
        <v>0</v>
      </c>
      <c r="K526" t="n">
        <v>0</v>
      </c>
      <c r="L526" t="n">
        <v>0</v>
      </c>
      <c r="M526" t="n">
        <v>0</v>
      </c>
      <c r="N526" t="n">
        <v>0</v>
      </c>
      <c r="O526" t="n">
        <v>0</v>
      </c>
      <c r="P526" t="n">
        <v>0</v>
      </c>
      <c r="Q526" t="n">
        <v>0</v>
      </c>
      <c r="R526" s="2" t="inlineStr"/>
    </row>
    <row r="527" ht="15" customHeight="1">
      <c r="A527" t="inlineStr">
        <is>
          <t>A 6145-2025</t>
        </is>
      </c>
      <c r="B527" s="1" t="n">
        <v>45698.39486111111</v>
      </c>
      <c r="C527" s="1" t="n">
        <v>45916</v>
      </c>
      <c r="D527" t="inlineStr">
        <is>
          <t>JÄMTLANDS LÄN</t>
        </is>
      </c>
      <c r="E527" t="inlineStr">
        <is>
          <t>KROKOM</t>
        </is>
      </c>
      <c r="G527" t="n">
        <v>3.8</v>
      </c>
      <c r="H527" t="n">
        <v>0</v>
      </c>
      <c r="I527" t="n">
        <v>0</v>
      </c>
      <c r="J527" t="n">
        <v>0</v>
      </c>
      <c r="K527" t="n">
        <v>0</v>
      </c>
      <c r="L527" t="n">
        <v>0</v>
      </c>
      <c r="M527" t="n">
        <v>0</v>
      </c>
      <c r="N527" t="n">
        <v>0</v>
      </c>
      <c r="O527" t="n">
        <v>0</v>
      </c>
      <c r="P527" t="n">
        <v>0</v>
      </c>
      <c r="Q527" t="n">
        <v>0</v>
      </c>
      <c r="R527" s="2" t="inlineStr"/>
    </row>
    <row r="528" ht="15" customHeight="1">
      <c r="A528" t="inlineStr">
        <is>
          <t>A 25775-2024</t>
        </is>
      </c>
      <c r="B528" s="1" t="n">
        <v>45466.62116898148</v>
      </c>
      <c r="C528" s="1" t="n">
        <v>45916</v>
      </c>
      <c r="D528" t="inlineStr">
        <is>
          <t>JÄMTLANDS LÄN</t>
        </is>
      </c>
      <c r="E528" t="inlineStr">
        <is>
          <t>KROKOM</t>
        </is>
      </c>
      <c r="G528" t="n">
        <v>1.7</v>
      </c>
      <c r="H528" t="n">
        <v>0</v>
      </c>
      <c r="I528" t="n">
        <v>0</v>
      </c>
      <c r="J528" t="n">
        <v>0</v>
      </c>
      <c r="K528" t="n">
        <v>0</v>
      </c>
      <c r="L528" t="n">
        <v>0</v>
      </c>
      <c r="M528" t="n">
        <v>0</v>
      </c>
      <c r="N528" t="n">
        <v>0</v>
      </c>
      <c r="O528" t="n">
        <v>0</v>
      </c>
      <c r="P528" t="n">
        <v>0</v>
      </c>
      <c r="Q528" t="n">
        <v>0</v>
      </c>
      <c r="R528" s="2" t="inlineStr"/>
    </row>
    <row r="529" ht="15" customHeight="1">
      <c r="A529" t="inlineStr">
        <is>
          <t>A 15776-2025</t>
        </is>
      </c>
      <c r="B529" s="1" t="n">
        <v>45748.59744212963</v>
      </c>
      <c r="C529" s="1" t="n">
        <v>45916</v>
      </c>
      <c r="D529" t="inlineStr">
        <is>
          <t>JÄMTLANDS LÄN</t>
        </is>
      </c>
      <c r="E529" t="inlineStr">
        <is>
          <t>KROKOM</t>
        </is>
      </c>
      <c r="G529" t="n">
        <v>46.5</v>
      </c>
      <c r="H529" t="n">
        <v>0</v>
      </c>
      <c r="I529" t="n">
        <v>0</v>
      </c>
      <c r="J529" t="n">
        <v>0</v>
      </c>
      <c r="K529" t="n">
        <v>0</v>
      </c>
      <c r="L529" t="n">
        <v>0</v>
      </c>
      <c r="M529" t="n">
        <v>0</v>
      </c>
      <c r="N529" t="n">
        <v>0</v>
      </c>
      <c r="O529" t="n">
        <v>0</v>
      </c>
      <c r="P529" t="n">
        <v>0</v>
      </c>
      <c r="Q529" t="n">
        <v>0</v>
      </c>
      <c r="R529" s="2" t="inlineStr"/>
    </row>
    <row r="530" ht="15" customHeight="1">
      <c r="A530" t="inlineStr">
        <is>
          <t>A 53825-2024</t>
        </is>
      </c>
      <c r="B530" s="1" t="n">
        <v>45615.61121527778</v>
      </c>
      <c r="C530" s="1" t="n">
        <v>45916</v>
      </c>
      <c r="D530" t="inlineStr">
        <is>
          <t>JÄMTLANDS LÄN</t>
        </is>
      </c>
      <c r="E530" t="inlineStr">
        <is>
          <t>KROKOM</t>
        </is>
      </c>
      <c r="F530" t="inlineStr">
        <is>
          <t>Övriga Aktiebolag</t>
        </is>
      </c>
      <c r="G530" t="n">
        <v>3.3</v>
      </c>
      <c r="H530" t="n">
        <v>0</v>
      </c>
      <c r="I530" t="n">
        <v>0</v>
      </c>
      <c r="J530" t="n">
        <v>0</v>
      </c>
      <c r="K530" t="n">
        <v>0</v>
      </c>
      <c r="L530" t="n">
        <v>0</v>
      </c>
      <c r="M530" t="n">
        <v>0</v>
      </c>
      <c r="N530" t="n">
        <v>0</v>
      </c>
      <c r="O530" t="n">
        <v>0</v>
      </c>
      <c r="P530" t="n">
        <v>0</v>
      </c>
      <c r="Q530" t="n">
        <v>0</v>
      </c>
      <c r="R530" s="2" t="inlineStr"/>
    </row>
    <row r="531" ht="15" customHeight="1">
      <c r="A531" t="inlineStr">
        <is>
          <t>A 57514-2023</t>
        </is>
      </c>
      <c r="B531" s="1" t="n">
        <v>45246</v>
      </c>
      <c r="C531" s="1" t="n">
        <v>45916</v>
      </c>
      <c r="D531" t="inlineStr">
        <is>
          <t>JÄMTLANDS LÄN</t>
        </is>
      </c>
      <c r="E531" t="inlineStr">
        <is>
          <t>KROKOM</t>
        </is>
      </c>
      <c r="G531" t="n">
        <v>5.2</v>
      </c>
      <c r="H531" t="n">
        <v>0</v>
      </c>
      <c r="I531" t="n">
        <v>0</v>
      </c>
      <c r="J531" t="n">
        <v>0</v>
      </c>
      <c r="K531" t="n">
        <v>0</v>
      </c>
      <c r="L531" t="n">
        <v>0</v>
      </c>
      <c r="M531" t="n">
        <v>0</v>
      </c>
      <c r="N531" t="n">
        <v>0</v>
      </c>
      <c r="O531" t="n">
        <v>0</v>
      </c>
      <c r="P531" t="n">
        <v>0</v>
      </c>
      <c r="Q531" t="n">
        <v>0</v>
      </c>
      <c r="R531" s="2" t="inlineStr"/>
    </row>
    <row r="532" ht="15" customHeight="1">
      <c r="A532" t="inlineStr">
        <is>
          <t>A 16064-2024</t>
        </is>
      </c>
      <c r="B532" s="1" t="n">
        <v>45406.05033564815</v>
      </c>
      <c r="C532" s="1" t="n">
        <v>45916</v>
      </c>
      <c r="D532" t="inlineStr">
        <is>
          <t>JÄMTLANDS LÄN</t>
        </is>
      </c>
      <c r="E532" t="inlineStr">
        <is>
          <t>KROKOM</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27104-2025</t>
        </is>
      </c>
      <c r="B533" s="1" t="n">
        <v>45811.69912037037</v>
      </c>
      <c r="C533" s="1" t="n">
        <v>45916</v>
      </c>
      <c r="D533" t="inlineStr">
        <is>
          <t>JÄMTLANDS LÄN</t>
        </is>
      </c>
      <c r="E533" t="inlineStr">
        <is>
          <t>KROKOM</t>
        </is>
      </c>
      <c r="G533" t="n">
        <v>14.4</v>
      </c>
      <c r="H533" t="n">
        <v>0</v>
      </c>
      <c r="I533" t="n">
        <v>0</v>
      </c>
      <c r="J533" t="n">
        <v>0</v>
      </c>
      <c r="K533" t="n">
        <v>0</v>
      </c>
      <c r="L533" t="n">
        <v>0</v>
      </c>
      <c r="M533" t="n">
        <v>0</v>
      </c>
      <c r="N533" t="n">
        <v>0</v>
      </c>
      <c r="O533" t="n">
        <v>0</v>
      </c>
      <c r="P533" t="n">
        <v>0</v>
      </c>
      <c r="Q533" t="n">
        <v>0</v>
      </c>
      <c r="R533" s="2" t="inlineStr"/>
    </row>
    <row r="534" ht="15" customHeight="1">
      <c r="A534" t="inlineStr">
        <is>
          <t>A 5680-2025</t>
        </is>
      </c>
      <c r="B534" s="1" t="n">
        <v>45694.34268518518</v>
      </c>
      <c r="C534" s="1" t="n">
        <v>45916</v>
      </c>
      <c r="D534" t="inlineStr">
        <is>
          <t>JÄMTLANDS LÄN</t>
        </is>
      </c>
      <c r="E534" t="inlineStr">
        <is>
          <t>KROKOM</t>
        </is>
      </c>
      <c r="F534" t="inlineStr">
        <is>
          <t>Övriga Aktiebolag</t>
        </is>
      </c>
      <c r="G534" t="n">
        <v>48.4</v>
      </c>
      <c r="H534" t="n">
        <v>0</v>
      </c>
      <c r="I534" t="n">
        <v>0</v>
      </c>
      <c r="J534" t="n">
        <v>0</v>
      </c>
      <c r="K534" t="n">
        <v>0</v>
      </c>
      <c r="L534" t="n">
        <v>0</v>
      </c>
      <c r="M534" t="n">
        <v>0</v>
      </c>
      <c r="N534" t="n">
        <v>0</v>
      </c>
      <c r="O534" t="n">
        <v>0</v>
      </c>
      <c r="P534" t="n">
        <v>0</v>
      </c>
      <c r="Q534" t="n">
        <v>0</v>
      </c>
      <c r="R534" s="2" t="inlineStr"/>
    </row>
    <row r="535" ht="15" customHeight="1">
      <c r="A535" t="inlineStr">
        <is>
          <t>A 27000-2021</t>
        </is>
      </c>
      <c r="B535" s="1" t="n">
        <v>44349</v>
      </c>
      <c r="C535" s="1" t="n">
        <v>45916</v>
      </c>
      <c r="D535" t="inlineStr">
        <is>
          <t>JÄMTLANDS LÄN</t>
        </is>
      </c>
      <c r="E535" t="inlineStr">
        <is>
          <t>KROKOM</t>
        </is>
      </c>
      <c r="F535" t="inlineStr">
        <is>
          <t>Allmännings- och besparingsskogar</t>
        </is>
      </c>
      <c r="G535" t="n">
        <v>2.3</v>
      </c>
      <c r="H535" t="n">
        <v>0</v>
      </c>
      <c r="I535" t="n">
        <v>0</v>
      </c>
      <c r="J535" t="n">
        <v>0</v>
      </c>
      <c r="K535" t="n">
        <v>0</v>
      </c>
      <c r="L535" t="n">
        <v>0</v>
      </c>
      <c r="M535" t="n">
        <v>0</v>
      </c>
      <c r="N535" t="n">
        <v>0</v>
      </c>
      <c r="O535" t="n">
        <v>0</v>
      </c>
      <c r="P535" t="n">
        <v>0</v>
      </c>
      <c r="Q535" t="n">
        <v>0</v>
      </c>
      <c r="R535" s="2" t="inlineStr"/>
    </row>
    <row r="536" ht="15" customHeight="1">
      <c r="A536" t="inlineStr">
        <is>
          <t>A 52213-2024</t>
        </is>
      </c>
      <c r="B536" s="1" t="n">
        <v>45607</v>
      </c>
      <c r="C536" s="1" t="n">
        <v>45916</v>
      </c>
      <c r="D536" t="inlineStr">
        <is>
          <t>JÄMTLANDS LÄN</t>
        </is>
      </c>
      <c r="E536" t="inlineStr">
        <is>
          <t>KROKOM</t>
        </is>
      </c>
      <c r="G536" t="n">
        <v>0.3</v>
      </c>
      <c r="H536" t="n">
        <v>0</v>
      </c>
      <c r="I536" t="n">
        <v>0</v>
      </c>
      <c r="J536" t="n">
        <v>0</v>
      </c>
      <c r="K536" t="n">
        <v>0</v>
      </c>
      <c r="L536" t="n">
        <v>0</v>
      </c>
      <c r="M536" t="n">
        <v>0</v>
      </c>
      <c r="N536" t="n">
        <v>0</v>
      </c>
      <c r="O536" t="n">
        <v>0</v>
      </c>
      <c r="P536" t="n">
        <v>0</v>
      </c>
      <c r="Q536" t="n">
        <v>0</v>
      </c>
      <c r="R536" s="2" t="inlineStr"/>
    </row>
    <row r="537" ht="15" customHeight="1">
      <c r="A537" t="inlineStr">
        <is>
          <t>A 17298-2024</t>
        </is>
      </c>
      <c r="B537" s="1" t="n">
        <v>45414.486875</v>
      </c>
      <c r="C537" s="1" t="n">
        <v>45916</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36567-2021</t>
        </is>
      </c>
      <c r="B538" s="1" t="n">
        <v>44391</v>
      </c>
      <c r="C538" s="1" t="n">
        <v>45916</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31927-2023</t>
        </is>
      </c>
      <c r="B539" s="1" t="n">
        <v>45118.94061342593</v>
      </c>
      <c r="C539" s="1" t="n">
        <v>45916</v>
      </c>
      <c r="D539" t="inlineStr">
        <is>
          <t>JÄMTLANDS LÄN</t>
        </is>
      </c>
      <c r="E539" t="inlineStr">
        <is>
          <t>KROKOM</t>
        </is>
      </c>
      <c r="G539" t="n">
        <v>56.6</v>
      </c>
      <c r="H539" t="n">
        <v>0</v>
      </c>
      <c r="I539" t="n">
        <v>0</v>
      </c>
      <c r="J539" t="n">
        <v>0</v>
      </c>
      <c r="K539" t="n">
        <v>0</v>
      </c>
      <c r="L539" t="n">
        <v>0</v>
      </c>
      <c r="M539" t="n">
        <v>0</v>
      </c>
      <c r="N539" t="n">
        <v>0</v>
      </c>
      <c r="O539" t="n">
        <v>0</v>
      </c>
      <c r="P539" t="n">
        <v>0</v>
      </c>
      <c r="Q539" t="n">
        <v>0</v>
      </c>
      <c r="R539" s="2" t="inlineStr"/>
    </row>
    <row r="540" ht="15" customHeight="1">
      <c r="A540" t="inlineStr">
        <is>
          <t>A 57856-2023</t>
        </is>
      </c>
      <c r="B540" s="1" t="n">
        <v>45247</v>
      </c>
      <c r="C540" s="1" t="n">
        <v>45916</v>
      </c>
      <c r="D540" t="inlineStr">
        <is>
          <t>JÄMTLANDS LÄN</t>
        </is>
      </c>
      <c r="E540" t="inlineStr">
        <is>
          <t>KROKOM</t>
        </is>
      </c>
      <c r="G540" t="n">
        <v>1</v>
      </c>
      <c r="H540" t="n">
        <v>0</v>
      </c>
      <c r="I540" t="n">
        <v>0</v>
      </c>
      <c r="J540" t="n">
        <v>0</v>
      </c>
      <c r="K540" t="n">
        <v>0</v>
      </c>
      <c r="L540" t="n">
        <v>0</v>
      </c>
      <c r="M540" t="n">
        <v>0</v>
      </c>
      <c r="N540" t="n">
        <v>0</v>
      </c>
      <c r="O540" t="n">
        <v>0</v>
      </c>
      <c r="P540" t="n">
        <v>0</v>
      </c>
      <c r="Q540" t="n">
        <v>0</v>
      </c>
      <c r="R540" s="2" t="inlineStr"/>
    </row>
    <row r="541" ht="15" customHeight="1">
      <c r="A541" t="inlineStr">
        <is>
          <t>A 17888-2025</t>
        </is>
      </c>
      <c r="B541" s="1" t="n">
        <v>45758.67065972222</v>
      </c>
      <c r="C541" s="1" t="n">
        <v>45916</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61230-2021</t>
        </is>
      </c>
      <c r="B542" s="1" t="n">
        <v>44498</v>
      </c>
      <c r="C542" s="1" t="n">
        <v>45916</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27431-2024</t>
        </is>
      </c>
      <c r="B543" s="1" t="n">
        <v>45474.3981712963</v>
      </c>
      <c r="C543" s="1" t="n">
        <v>45916</v>
      </c>
      <c r="D543" t="inlineStr">
        <is>
          <t>JÄMTLANDS LÄN</t>
        </is>
      </c>
      <c r="E543" t="inlineStr">
        <is>
          <t>KROKOM</t>
        </is>
      </c>
      <c r="G543" t="n">
        <v>4.2</v>
      </c>
      <c r="H543" t="n">
        <v>0</v>
      </c>
      <c r="I543" t="n">
        <v>0</v>
      </c>
      <c r="J543" t="n">
        <v>0</v>
      </c>
      <c r="K543" t="n">
        <v>0</v>
      </c>
      <c r="L543" t="n">
        <v>0</v>
      </c>
      <c r="M543" t="n">
        <v>0</v>
      </c>
      <c r="N543" t="n">
        <v>0</v>
      </c>
      <c r="O543" t="n">
        <v>0</v>
      </c>
      <c r="P543" t="n">
        <v>0</v>
      </c>
      <c r="Q543" t="n">
        <v>0</v>
      </c>
      <c r="R543" s="2" t="inlineStr"/>
    </row>
    <row r="544" ht="15" customHeight="1">
      <c r="A544" t="inlineStr">
        <is>
          <t>A 27003-2025</t>
        </is>
      </c>
      <c r="B544" s="1" t="n">
        <v>45811.54760416667</v>
      </c>
      <c r="C544" s="1" t="n">
        <v>45916</v>
      </c>
      <c r="D544" t="inlineStr">
        <is>
          <t>JÄMTLANDS LÄN</t>
        </is>
      </c>
      <c r="E544" t="inlineStr">
        <is>
          <t>KROKOM</t>
        </is>
      </c>
      <c r="G544" t="n">
        <v>2.8</v>
      </c>
      <c r="H544" t="n">
        <v>0</v>
      </c>
      <c r="I544" t="n">
        <v>0</v>
      </c>
      <c r="J544" t="n">
        <v>0</v>
      </c>
      <c r="K544" t="n">
        <v>0</v>
      </c>
      <c r="L544" t="n">
        <v>0</v>
      </c>
      <c r="M544" t="n">
        <v>0</v>
      </c>
      <c r="N544" t="n">
        <v>0</v>
      </c>
      <c r="O544" t="n">
        <v>0</v>
      </c>
      <c r="P544" t="n">
        <v>0</v>
      </c>
      <c r="Q544" t="n">
        <v>0</v>
      </c>
      <c r="R544" s="2" t="inlineStr"/>
    </row>
    <row r="545" ht="15" customHeight="1">
      <c r="A545" t="inlineStr">
        <is>
          <t>A 10532-2025</t>
        </is>
      </c>
      <c r="B545" s="1" t="n">
        <v>45721.4546412037</v>
      </c>
      <c r="C545" s="1" t="n">
        <v>45916</v>
      </c>
      <c r="D545" t="inlineStr">
        <is>
          <t>JÄMTLANDS LÄN</t>
        </is>
      </c>
      <c r="E545" t="inlineStr">
        <is>
          <t>KROKOM</t>
        </is>
      </c>
      <c r="G545" t="n">
        <v>1.8</v>
      </c>
      <c r="H545" t="n">
        <v>0</v>
      </c>
      <c r="I545" t="n">
        <v>0</v>
      </c>
      <c r="J545" t="n">
        <v>0</v>
      </c>
      <c r="K545" t="n">
        <v>0</v>
      </c>
      <c r="L545" t="n">
        <v>0</v>
      </c>
      <c r="M545" t="n">
        <v>0</v>
      </c>
      <c r="N545" t="n">
        <v>0</v>
      </c>
      <c r="O545" t="n">
        <v>0</v>
      </c>
      <c r="P545" t="n">
        <v>0</v>
      </c>
      <c r="Q545" t="n">
        <v>0</v>
      </c>
      <c r="R545" s="2" t="inlineStr"/>
    </row>
    <row r="546" ht="15" customHeight="1">
      <c r="A546" t="inlineStr">
        <is>
          <t>A 17417-2024</t>
        </is>
      </c>
      <c r="B546" s="1" t="n">
        <v>45414.96341435185</v>
      </c>
      <c r="C546" s="1" t="n">
        <v>45916</v>
      </c>
      <c r="D546" t="inlineStr">
        <is>
          <t>JÄMTLANDS LÄN</t>
        </is>
      </c>
      <c r="E546" t="inlineStr">
        <is>
          <t>KROKOM</t>
        </is>
      </c>
      <c r="G546" t="n">
        <v>1.7</v>
      </c>
      <c r="H546" t="n">
        <v>0</v>
      </c>
      <c r="I546" t="n">
        <v>0</v>
      </c>
      <c r="J546" t="n">
        <v>0</v>
      </c>
      <c r="K546" t="n">
        <v>0</v>
      </c>
      <c r="L546" t="n">
        <v>0</v>
      </c>
      <c r="M546" t="n">
        <v>0</v>
      </c>
      <c r="N546" t="n">
        <v>0</v>
      </c>
      <c r="O546" t="n">
        <v>0</v>
      </c>
      <c r="P546" t="n">
        <v>0</v>
      </c>
      <c r="Q546" t="n">
        <v>0</v>
      </c>
      <c r="R546" s="2" t="inlineStr"/>
    </row>
    <row r="547" ht="15" customHeight="1">
      <c r="A547" t="inlineStr">
        <is>
          <t>A 48417-2022</t>
        </is>
      </c>
      <c r="B547" s="1" t="n">
        <v>44858</v>
      </c>
      <c r="C547" s="1" t="n">
        <v>45916</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61732-2021</t>
        </is>
      </c>
      <c r="B548" s="1" t="n">
        <v>44498</v>
      </c>
      <c r="C548" s="1" t="n">
        <v>45916</v>
      </c>
      <c r="D548" t="inlineStr">
        <is>
          <t>JÄMTLANDS LÄN</t>
        </is>
      </c>
      <c r="E548" t="inlineStr">
        <is>
          <t>KROKOM</t>
        </is>
      </c>
      <c r="G548" t="n">
        <v>1.3</v>
      </c>
      <c r="H548" t="n">
        <v>0</v>
      </c>
      <c r="I548" t="n">
        <v>0</v>
      </c>
      <c r="J548" t="n">
        <v>0</v>
      </c>
      <c r="K548" t="n">
        <v>0</v>
      </c>
      <c r="L548" t="n">
        <v>0</v>
      </c>
      <c r="M548" t="n">
        <v>0</v>
      </c>
      <c r="N548" t="n">
        <v>0</v>
      </c>
      <c r="O548" t="n">
        <v>0</v>
      </c>
      <c r="P548" t="n">
        <v>0</v>
      </c>
      <c r="Q548" t="n">
        <v>0</v>
      </c>
      <c r="R548" s="2" t="inlineStr"/>
    </row>
    <row r="549" ht="15" customHeight="1">
      <c r="A549" t="inlineStr">
        <is>
          <t>A 22236-2025</t>
        </is>
      </c>
      <c r="B549" s="1" t="n">
        <v>45785.67431712963</v>
      </c>
      <c r="C549" s="1" t="n">
        <v>45916</v>
      </c>
      <c r="D549" t="inlineStr">
        <is>
          <t>JÄMTLANDS LÄN</t>
        </is>
      </c>
      <c r="E549" t="inlineStr">
        <is>
          <t>KROKOM</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8695-2025</t>
        </is>
      </c>
      <c r="B550" s="1" t="n">
        <v>45709</v>
      </c>
      <c r="C550" s="1" t="n">
        <v>45916</v>
      </c>
      <c r="D550" t="inlineStr">
        <is>
          <t>JÄMTLANDS LÄN</t>
        </is>
      </c>
      <c r="E550" t="inlineStr">
        <is>
          <t>KROKOM</t>
        </is>
      </c>
      <c r="G550" t="n">
        <v>21.4</v>
      </c>
      <c r="H550" t="n">
        <v>0</v>
      </c>
      <c r="I550" t="n">
        <v>0</v>
      </c>
      <c r="J550" t="n">
        <v>0</v>
      </c>
      <c r="K550" t="n">
        <v>0</v>
      </c>
      <c r="L550" t="n">
        <v>0</v>
      </c>
      <c r="M550" t="n">
        <v>0</v>
      </c>
      <c r="N550" t="n">
        <v>0</v>
      </c>
      <c r="O550" t="n">
        <v>0</v>
      </c>
      <c r="P550" t="n">
        <v>0</v>
      </c>
      <c r="Q550" t="n">
        <v>0</v>
      </c>
      <c r="R550" s="2" t="inlineStr"/>
    </row>
    <row r="551" ht="15" customHeight="1">
      <c r="A551" t="inlineStr">
        <is>
          <t>A 27522-2025</t>
        </is>
      </c>
      <c r="B551" s="1" t="n">
        <v>45813.44443287037</v>
      </c>
      <c r="C551" s="1" t="n">
        <v>45916</v>
      </c>
      <c r="D551" t="inlineStr">
        <is>
          <t>JÄMTLANDS LÄN</t>
        </is>
      </c>
      <c r="E551" t="inlineStr">
        <is>
          <t>KROKOM</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27547-2025</t>
        </is>
      </c>
      <c r="B552" s="1" t="n">
        <v>45813.46969907408</v>
      </c>
      <c r="C552" s="1" t="n">
        <v>45916</v>
      </c>
      <c r="D552" t="inlineStr">
        <is>
          <t>JÄMTLANDS LÄN</t>
        </is>
      </c>
      <c r="E552" t="inlineStr">
        <is>
          <t>KROKOM</t>
        </is>
      </c>
      <c r="G552" t="n">
        <v>3.1</v>
      </c>
      <c r="H552" t="n">
        <v>0</v>
      </c>
      <c r="I552" t="n">
        <v>0</v>
      </c>
      <c r="J552" t="n">
        <v>0</v>
      </c>
      <c r="K552" t="n">
        <v>0</v>
      </c>
      <c r="L552" t="n">
        <v>0</v>
      </c>
      <c r="M552" t="n">
        <v>0</v>
      </c>
      <c r="N552" t="n">
        <v>0</v>
      </c>
      <c r="O552" t="n">
        <v>0</v>
      </c>
      <c r="P552" t="n">
        <v>0</v>
      </c>
      <c r="Q552" t="n">
        <v>0</v>
      </c>
      <c r="R552" s="2" t="inlineStr"/>
    </row>
    <row r="553" ht="15" customHeight="1">
      <c r="A553" t="inlineStr">
        <is>
          <t>A 58482-2024</t>
        </is>
      </c>
      <c r="B553" s="1" t="n">
        <v>45635</v>
      </c>
      <c r="C553" s="1" t="n">
        <v>45916</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27703-2025</t>
        </is>
      </c>
      <c r="B554" s="1" t="n">
        <v>45813.68361111111</v>
      </c>
      <c r="C554" s="1" t="n">
        <v>45916</v>
      </c>
      <c r="D554" t="inlineStr">
        <is>
          <t>JÄMTLANDS LÄN</t>
        </is>
      </c>
      <c r="E554" t="inlineStr">
        <is>
          <t>KROKOM</t>
        </is>
      </c>
      <c r="G554" t="n">
        <v>7.1</v>
      </c>
      <c r="H554" t="n">
        <v>0</v>
      </c>
      <c r="I554" t="n">
        <v>0</v>
      </c>
      <c r="J554" t="n">
        <v>0</v>
      </c>
      <c r="K554" t="n">
        <v>0</v>
      </c>
      <c r="L554" t="n">
        <v>0</v>
      </c>
      <c r="M554" t="n">
        <v>0</v>
      </c>
      <c r="N554" t="n">
        <v>0</v>
      </c>
      <c r="O554" t="n">
        <v>0</v>
      </c>
      <c r="P554" t="n">
        <v>0</v>
      </c>
      <c r="Q554" t="n">
        <v>0</v>
      </c>
      <c r="R554" s="2" t="inlineStr"/>
    </row>
    <row r="555" ht="15" customHeight="1">
      <c r="A555" t="inlineStr">
        <is>
          <t>A 27153-2025</t>
        </is>
      </c>
      <c r="B555" s="1" t="n">
        <v>45812.32266203704</v>
      </c>
      <c r="C555" s="1" t="n">
        <v>45916</v>
      </c>
      <c r="D555" t="inlineStr">
        <is>
          <t>JÄMTLANDS LÄN</t>
        </is>
      </c>
      <c r="E555" t="inlineStr">
        <is>
          <t>KROKOM</t>
        </is>
      </c>
      <c r="G555" t="n">
        <v>15.8</v>
      </c>
      <c r="H555" t="n">
        <v>0</v>
      </c>
      <c r="I555" t="n">
        <v>0</v>
      </c>
      <c r="J555" t="n">
        <v>0</v>
      </c>
      <c r="K555" t="n">
        <v>0</v>
      </c>
      <c r="L555" t="n">
        <v>0</v>
      </c>
      <c r="M555" t="n">
        <v>0</v>
      </c>
      <c r="N555" t="n">
        <v>0</v>
      </c>
      <c r="O555" t="n">
        <v>0</v>
      </c>
      <c r="P555" t="n">
        <v>0</v>
      </c>
      <c r="Q555" t="n">
        <v>0</v>
      </c>
      <c r="R555" s="2" t="inlineStr"/>
    </row>
    <row r="556" ht="15" customHeight="1">
      <c r="A556" t="inlineStr">
        <is>
          <t>A 52666-2024</t>
        </is>
      </c>
      <c r="B556" s="1" t="n">
        <v>45610.36561342593</v>
      </c>
      <c r="C556" s="1" t="n">
        <v>45916</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27833-2025</t>
        </is>
      </c>
      <c r="B557" s="1" t="n">
        <v>45814</v>
      </c>
      <c r="C557" s="1" t="n">
        <v>45916</v>
      </c>
      <c r="D557" t="inlineStr">
        <is>
          <t>JÄMTLANDS LÄN</t>
        </is>
      </c>
      <c r="E557" t="inlineStr">
        <is>
          <t>KROKOM</t>
        </is>
      </c>
      <c r="G557" t="n">
        <v>1.9</v>
      </c>
      <c r="H557" t="n">
        <v>0</v>
      </c>
      <c r="I557" t="n">
        <v>0</v>
      </c>
      <c r="J557" t="n">
        <v>0</v>
      </c>
      <c r="K557" t="n">
        <v>0</v>
      </c>
      <c r="L557" t="n">
        <v>0</v>
      </c>
      <c r="M557" t="n">
        <v>0</v>
      </c>
      <c r="N557" t="n">
        <v>0</v>
      </c>
      <c r="O557" t="n">
        <v>0</v>
      </c>
      <c r="P557" t="n">
        <v>0</v>
      </c>
      <c r="Q557" t="n">
        <v>0</v>
      </c>
      <c r="R557" s="2" t="inlineStr"/>
    </row>
    <row r="558" ht="15" customHeight="1">
      <c r="A558" t="inlineStr">
        <is>
          <t>A 56557-2021</t>
        </is>
      </c>
      <c r="B558" s="1" t="n">
        <v>44480</v>
      </c>
      <c r="C558" s="1" t="n">
        <v>45916</v>
      </c>
      <c r="D558" t="inlineStr">
        <is>
          <t>JÄMTLANDS LÄN</t>
        </is>
      </c>
      <c r="E558" t="inlineStr">
        <is>
          <t>KROKOM</t>
        </is>
      </c>
      <c r="G558" t="n">
        <v>2.3</v>
      </c>
      <c r="H558" t="n">
        <v>0</v>
      </c>
      <c r="I558" t="n">
        <v>0</v>
      </c>
      <c r="J558" t="n">
        <v>0</v>
      </c>
      <c r="K558" t="n">
        <v>0</v>
      </c>
      <c r="L558" t="n">
        <v>0</v>
      </c>
      <c r="M558" t="n">
        <v>0</v>
      </c>
      <c r="N558" t="n">
        <v>0</v>
      </c>
      <c r="O558" t="n">
        <v>0</v>
      </c>
      <c r="P558" t="n">
        <v>0</v>
      </c>
      <c r="Q558" t="n">
        <v>0</v>
      </c>
      <c r="R558" s="2" t="inlineStr"/>
    </row>
    <row r="559" ht="15" customHeight="1">
      <c r="A559" t="inlineStr">
        <is>
          <t>A 11436-2025</t>
        </is>
      </c>
      <c r="B559" s="1" t="n">
        <v>45726.61520833334</v>
      </c>
      <c r="C559" s="1" t="n">
        <v>45916</v>
      </c>
      <c r="D559" t="inlineStr">
        <is>
          <t>JÄMTLANDS LÄN</t>
        </is>
      </c>
      <c r="E559" t="inlineStr">
        <is>
          <t>KROKOM</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27851-2025</t>
        </is>
      </c>
      <c r="B560" s="1" t="n">
        <v>45814</v>
      </c>
      <c r="C560" s="1" t="n">
        <v>45916</v>
      </c>
      <c r="D560" t="inlineStr">
        <is>
          <t>JÄMTLANDS LÄN</t>
        </is>
      </c>
      <c r="E560" t="inlineStr">
        <is>
          <t>KROKOM</t>
        </is>
      </c>
      <c r="G560" t="n">
        <v>13.9</v>
      </c>
      <c r="H560" t="n">
        <v>0</v>
      </c>
      <c r="I560" t="n">
        <v>0</v>
      </c>
      <c r="J560" t="n">
        <v>0</v>
      </c>
      <c r="K560" t="n">
        <v>0</v>
      </c>
      <c r="L560" t="n">
        <v>0</v>
      </c>
      <c r="M560" t="n">
        <v>0</v>
      </c>
      <c r="N560" t="n">
        <v>0</v>
      </c>
      <c r="O560" t="n">
        <v>0</v>
      </c>
      <c r="P560" t="n">
        <v>0</v>
      </c>
      <c r="Q560" t="n">
        <v>0</v>
      </c>
      <c r="R560" s="2" t="inlineStr"/>
    </row>
    <row r="561" ht="15" customHeight="1">
      <c r="A561" t="inlineStr">
        <is>
          <t>A 41971-2024</t>
        </is>
      </c>
      <c r="B561" s="1" t="n">
        <v>45561.61509259259</v>
      </c>
      <c r="C561" s="1" t="n">
        <v>45916</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31601-2023</t>
        </is>
      </c>
      <c r="B562" s="1" t="n">
        <v>45117</v>
      </c>
      <c r="C562" s="1" t="n">
        <v>45916</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27973-2025</t>
        </is>
      </c>
      <c r="B563" s="1" t="n">
        <v>45817.56761574074</v>
      </c>
      <c r="C563" s="1" t="n">
        <v>45916</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27740-2025</t>
        </is>
      </c>
      <c r="B564" s="1" t="n">
        <v>45815.50844907408</v>
      </c>
      <c r="C564" s="1" t="n">
        <v>45916</v>
      </c>
      <c r="D564" t="inlineStr">
        <is>
          <t>JÄMTLANDS LÄN</t>
        </is>
      </c>
      <c r="E564" t="inlineStr">
        <is>
          <t>KROKOM</t>
        </is>
      </c>
      <c r="G564" t="n">
        <v>9.1</v>
      </c>
      <c r="H564" t="n">
        <v>0</v>
      </c>
      <c r="I564" t="n">
        <v>0</v>
      </c>
      <c r="J564" t="n">
        <v>0</v>
      </c>
      <c r="K564" t="n">
        <v>0</v>
      </c>
      <c r="L564" t="n">
        <v>0</v>
      </c>
      <c r="M564" t="n">
        <v>0</v>
      </c>
      <c r="N564" t="n">
        <v>0</v>
      </c>
      <c r="O564" t="n">
        <v>0</v>
      </c>
      <c r="P564" t="n">
        <v>0</v>
      </c>
      <c r="Q564" t="n">
        <v>0</v>
      </c>
      <c r="R564" s="2" t="inlineStr"/>
    </row>
    <row r="565" ht="15" customHeight="1">
      <c r="A565" t="inlineStr">
        <is>
          <t>A 1477-2025</t>
        </is>
      </c>
      <c r="B565" s="1" t="n">
        <v>45670</v>
      </c>
      <c r="C565" s="1" t="n">
        <v>45916</v>
      </c>
      <c r="D565" t="inlineStr">
        <is>
          <t>JÄMTLANDS LÄN</t>
        </is>
      </c>
      <c r="E565" t="inlineStr">
        <is>
          <t>KROKOM</t>
        </is>
      </c>
      <c r="G565" t="n">
        <v>7.3</v>
      </c>
      <c r="H565" t="n">
        <v>0</v>
      </c>
      <c r="I565" t="n">
        <v>0</v>
      </c>
      <c r="J565" t="n">
        <v>0</v>
      </c>
      <c r="K565" t="n">
        <v>0</v>
      </c>
      <c r="L565" t="n">
        <v>0</v>
      </c>
      <c r="M565" t="n">
        <v>0</v>
      </c>
      <c r="N565" t="n">
        <v>0</v>
      </c>
      <c r="O565" t="n">
        <v>0</v>
      </c>
      <c r="P565" t="n">
        <v>0</v>
      </c>
      <c r="Q565" t="n">
        <v>0</v>
      </c>
      <c r="R565" s="2" t="inlineStr"/>
    </row>
    <row r="566" ht="15" customHeight="1">
      <c r="A566" t="inlineStr">
        <is>
          <t>A 42369-2021</t>
        </is>
      </c>
      <c r="B566" s="1" t="n">
        <v>44427</v>
      </c>
      <c r="C566" s="1" t="n">
        <v>45916</v>
      </c>
      <c r="D566" t="inlineStr">
        <is>
          <t>JÄMTLANDS LÄN</t>
        </is>
      </c>
      <c r="E566" t="inlineStr">
        <is>
          <t>KROKOM</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55831-2024</t>
        </is>
      </c>
      <c r="B567" s="1" t="n">
        <v>45623.48571759259</v>
      </c>
      <c r="C567" s="1" t="n">
        <v>45916</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28130-2025</t>
        </is>
      </c>
      <c r="B568" s="1" t="n">
        <v>45818.3293287037</v>
      </c>
      <c r="C568" s="1" t="n">
        <v>45916</v>
      </c>
      <c r="D568" t="inlineStr">
        <is>
          <t>JÄMTLANDS LÄN</t>
        </is>
      </c>
      <c r="E568" t="inlineStr">
        <is>
          <t>KROKOM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28132-2025</t>
        </is>
      </c>
      <c r="B569" s="1" t="n">
        <v>45818.33532407408</v>
      </c>
      <c r="C569" s="1" t="n">
        <v>45916</v>
      </c>
      <c r="D569" t="inlineStr">
        <is>
          <t>JÄMTLANDS LÄN</t>
        </is>
      </c>
      <c r="E569" t="inlineStr">
        <is>
          <t>KROKOM</t>
        </is>
      </c>
      <c r="F569" t="inlineStr">
        <is>
          <t>Kyrkan</t>
        </is>
      </c>
      <c r="G569" t="n">
        <v>4.5</v>
      </c>
      <c r="H569" t="n">
        <v>0</v>
      </c>
      <c r="I569" t="n">
        <v>0</v>
      </c>
      <c r="J569" t="n">
        <v>0</v>
      </c>
      <c r="K569" t="n">
        <v>0</v>
      </c>
      <c r="L569" t="n">
        <v>0</v>
      </c>
      <c r="M569" t="n">
        <v>0</v>
      </c>
      <c r="N569" t="n">
        <v>0</v>
      </c>
      <c r="O569" t="n">
        <v>0</v>
      </c>
      <c r="P569" t="n">
        <v>0</v>
      </c>
      <c r="Q569" t="n">
        <v>0</v>
      </c>
      <c r="R569" s="2" t="inlineStr"/>
    </row>
    <row r="570" ht="15" customHeight="1">
      <c r="A570" t="inlineStr">
        <is>
          <t>A 28147-2025</t>
        </is>
      </c>
      <c r="B570" s="1" t="n">
        <v>45818.34833333334</v>
      </c>
      <c r="C570" s="1" t="n">
        <v>45916</v>
      </c>
      <c r="D570" t="inlineStr">
        <is>
          <t>JÄMTLANDS LÄN</t>
        </is>
      </c>
      <c r="E570" t="inlineStr">
        <is>
          <t>KROKOM</t>
        </is>
      </c>
      <c r="F570" t="inlineStr">
        <is>
          <t>Kyrkan</t>
        </is>
      </c>
      <c r="G570" t="n">
        <v>10.8</v>
      </c>
      <c r="H570" t="n">
        <v>0</v>
      </c>
      <c r="I570" t="n">
        <v>0</v>
      </c>
      <c r="J570" t="n">
        <v>0</v>
      </c>
      <c r="K570" t="n">
        <v>0</v>
      </c>
      <c r="L570" t="n">
        <v>0</v>
      </c>
      <c r="M570" t="n">
        <v>0</v>
      </c>
      <c r="N570" t="n">
        <v>0</v>
      </c>
      <c r="O570" t="n">
        <v>0</v>
      </c>
      <c r="P570" t="n">
        <v>0</v>
      </c>
      <c r="Q570" t="n">
        <v>0</v>
      </c>
      <c r="R570" s="2" t="inlineStr"/>
    </row>
    <row r="571" ht="15" customHeight="1">
      <c r="A571" t="inlineStr">
        <is>
          <t>A 63532-2023</t>
        </is>
      </c>
      <c r="B571" s="1" t="n">
        <v>45274</v>
      </c>
      <c r="C571" s="1" t="n">
        <v>45916</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60102-2023</t>
        </is>
      </c>
      <c r="B572" s="1" t="n">
        <v>45257</v>
      </c>
      <c r="C572" s="1" t="n">
        <v>45916</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50302-2022</t>
        </is>
      </c>
      <c r="B573" s="1" t="n">
        <v>44865</v>
      </c>
      <c r="C573" s="1" t="n">
        <v>45916</v>
      </c>
      <c r="D573" t="inlineStr">
        <is>
          <t>JÄMTLANDS LÄN</t>
        </is>
      </c>
      <c r="E573" t="inlineStr">
        <is>
          <t>KROKOM</t>
        </is>
      </c>
      <c r="G573" t="n">
        <v>3.4</v>
      </c>
      <c r="H573" t="n">
        <v>0</v>
      </c>
      <c r="I573" t="n">
        <v>0</v>
      </c>
      <c r="J573" t="n">
        <v>0</v>
      </c>
      <c r="K573" t="n">
        <v>0</v>
      </c>
      <c r="L573" t="n">
        <v>0</v>
      </c>
      <c r="M573" t="n">
        <v>0</v>
      </c>
      <c r="N573" t="n">
        <v>0</v>
      </c>
      <c r="O573" t="n">
        <v>0</v>
      </c>
      <c r="P573" t="n">
        <v>0</v>
      </c>
      <c r="Q573" t="n">
        <v>0</v>
      </c>
      <c r="R573" s="2" t="inlineStr"/>
    </row>
    <row r="574" ht="15" customHeight="1">
      <c r="A574" t="inlineStr">
        <is>
          <t>A 39753-2024</t>
        </is>
      </c>
      <c r="B574" s="1" t="n">
        <v>45552.67611111111</v>
      </c>
      <c r="C574" s="1" t="n">
        <v>45916</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7072-2025</t>
        </is>
      </c>
      <c r="B575" s="1" t="n">
        <v>45701</v>
      </c>
      <c r="C575" s="1" t="n">
        <v>45916</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28136-2025</t>
        </is>
      </c>
      <c r="B576" s="1" t="n">
        <v>45818.34473379629</v>
      </c>
      <c r="C576" s="1" t="n">
        <v>45916</v>
      </c>
      <c r="D576" t="inlineStr">
        <is>
          <t>JÄMTLANDS LÄN</t>
        </is>
      </c>
      <c r="E576" t="inlineStr">
        <is>
          <t>KROKOM</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28155-2025</t>
        </is>
      </c>
      <c r="B577" s="1" t="n">
        <v>45818.36246527778</v>
      </c>
      <c r="C577" s="1" t="n">
        <v>45916</v>
      </c>
      <c r="D577" t="inlineStr">
        <is>
          <t>JÄMTLANDS LÄN</t>
        </is>
      </c>
      <c r="E577" t="inlineStr">
        <is>
          <t>KROKOM</t>
        </is>
      </c>
      <c r="F577" t="inlineStr">
        <is>
          <t>Kyrkan</t>
        </is>
      </c>
      <c r="G577" t="n">
        <v>6.1</v>
      </c>
      <c r="H577" t="n">
        <v>0</v>
      </c>
      <c r="I577" t="n">
        <v>0</v>
      </c>
      <c r="J577" t="n">
        <v>0</v>
      </c>
      <c r="K577" t="n">
        <v>0</v>
      </c>
      <c r="L577" t="n">
        <v>0</v>
      </c>
      <c r="M577" t="n">
        <v>0</v>
      </c>
      <c r="N577" t="n">
        <v>0</v>
      </c>
      <c r="O577" t="n">
        <v>0</v>
      </c>
      <c r="P577" t="n">
        <v>0</v>
      </c>
      <c r="Q577" t="n">
        <v>0</v>
      </c>
      <c r="R577" s="2" t="inlineStr"/>
    </row>
    <row r="578" ht="15" customHeight="1">
      <c r="A578" t="inlineStr">
        <is>
          <t>A 27178-2022</t>
        </is>
      </c>
      <c r="B578" s="1" t="n">
        <v>44741</v>
      </c>
      <c r="C578" s="1" t="n">
        <v>45916</v>
      </c>
      <c r="D578" t="inlineStr">
        <is>
          <t>JÄMTLANDS LÄN</t>
        </is>
      </c>
      <c r="E578" t="inlineStr">
        <is>
          <t>KROKOM</t>
        </is>
      </c>
      <c r="G578" t="n">
        <v>1.5</v>
      </c>
      <c r="H578" t="n">
        <v>0</v>
      </c>
      <c r="I578" t="n">
        <v>0</v>
      </c>
      <c r="J578" t="n">
        <v>0</v>
      </c>
      <c r="K578" t="n">
        <v>0</v>
      </c>
      <c r="L578" t="n">
        <v>0</v>
      </c>
      <c r="M578" t="n">
        <v>0</v>
      </c>
      <c r="N578" t="n">
        <v>0</v>
      </c>
      <c r="O578" t="n">
        <v>0</v>
      </c>
      <c r="P578" t="n">
        <v>0</v>
      </c>
      <c r="Q578" t="n">
        <v>0</v>
      </c>
      <c r="R578" s="2" t="inlineStr"/>
    </row>
    <row r="579" ht="15" customHeight="1">
      <c r="A579" t="inlineStr">
        <is>
          <t>A 15231-2022</t>
        </is>
      </c>
      <c r="B579" s="1" t="n">
        <v>44658</v>
      </c>
      <c r="C579" s="1" t="n">
        <v>45916</v>
      </c>
      <c r="D579" t="inlineStr">
        <is>
          <t>JÄMTLANDS LÄN</t>
        </is>
      </c>
      <c r="E579" t="inlineStr">
        <is>
          <t>KROKOM</t>
        </is>
      </c>
      <c r="G579" t="n">
        <v>5.7</v>
      </c>
      <c r="H579" t="n">
        <v>0</v>
      </c>
      <c r="I579" t="n">
        <v>0</v>
      </c>
      <c r="J579" t="n">
        <v>0</v>
      </c>
      <c r="K579" t="n">
        <v>0</v>
      </c>
      <c r="L579" t="n">
        <v>0</v>
      </c>
      <c r="M579" t="n">
        <v>0</v>
      </c>
      <c r="N579" t="n">
        <v>0</v>
      </c>
      <c r="O579" t="n">
        <v>0</v>
      </c>
      <c r="P579" t="n">
        <v>0</v>
      </c>
      <c r="Q579" t="n">
        <v>0</v>
      </c>
      <c r="R579" s="2" t="inlineStr"/>
    </row>
    <row r="580" ht="15" customHeight="1">
      <c r="A580" t="inlineStr">
        <is>
          <t>A 18556-2025</t>
        </is>
      </c>
      <c r="B580" s="1" t="n">
        <v>45763.44112268519</v>
      </c>
      <c r="C580" s="1" t="n">
        <v>45916</v>
      </c>
      <c r="D580" t="inlineStr">
        <is>
          <t>JÄMTLANDS LÄN</t>
        </is>
      </c>
      <c r="E580" t="inlineStr">
        <is>
          <t>KROKOM</t>
        </is>
      </c>
      <c r="G580" t="n">
        <v>7.8</v>
      </c>
      <c r="H580" t="n">
        <v>0</v>
      </c>
      <c r="I580" t="n">
        <v>0</v>
      </c>
      <c r="J580" t="n">
        <v>0</v>
      </c>
      <c r="K580" t="n">
        <v>0</v>
      </c>
      <c r="L580" t="n">
        <v>0</v>
      </c>
      <c r="M580" t="n">
        <v>0</v>
      </c>
      <c r="N580" t="n">
        <v>0</v>
      </c>
      <c r="O580" t="n">
        <v>0</v>
      </c>
      <c r="P580" t="n">
        <v>0</v>
      </c>
      <c r="Q580" t="n">
        <v>0</v>
      </c>
      <c r="R580" s="2" t="inlineStr"/>
    </row>
    <row r="581" ht="15" customHeight="1">
      <c r="A581" t="inlineStr">
        <is>
          <t>A 53827-2024</t>
        </is>
      </c>
      <c r="B581" s="1" t="n">
        <v>45615.61302083333</v>
      </c>
      <c r="C581" s="1" t="n">
        <v>45916</v>
      </c>
      <c r="D581" t="inlineStr">
        <is>
          <t>JÄMTLANDS LÄN</t>
        </is>
      </c>
      <c r="E581" t="inlineStr">
        <is>
          <t>KROKOM</t>
        </is>
      </c>
      <c r="F581" t="inlineStr">
        <is>
          <t>Övriga Aktiebolag</t>
        </is>
      </c>
      <c r="G581" t="n">
        <v>14.2</v>
      </c>
      <c r="H581" t="n">
        <v>0</v>
      </c>
      <c r="I581" t="n">
        <v>0</v>
      </c>
      <c r="J581" t="n">
        <v>0</v>
      </c>
      <c r="K581" t="n">
        <v>0</v>
      </c>
      <c r="L581" t="n">
        <v>0</v>
      </c>
      <c r="M581" t="n">
        <v>0</v>
      </c>
      <c r="N581" t="n">
        <v>0</v>
      </c>
      <c r="O581" t="n">
        <v>0</v>
      </c>
      <c r="P581" t="n">
        <v>0</v>
      </c>
      <c r="Q581" t="n">
        <v>0</v>
      </c>
      <c r="R581" s="2" t="inlineStr"/>
    </row>
    <row r="582" ht="15" customHeight="1">
      <c r="A582" t="inlineStr">
        <is>
          <t>A 28137-2025</t>
        </is>
      </c>
      <c r="B582" s="1" t="n">
        <v>45818.34474537037</v>
      </c>
      <c r="C582" s="1" t="n">
        <v>45916</v>
      </c>
      <c r="D582" t="inlineStr">
        <is>
          <t>JÄMTLANDS LÄN</t>
        </is>
      </c>
      <c r="E582" t="inlineStr">
        <is>
          <t>KROKOM</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28162-2025</t>
        </is>
      </c>
      <c r="B583" s="1" t="n">
        <v>45818.37056712963</v>
      </c>
      <c r="C583" s="1" t="n">
        <v>45916</v>
      </c>
      <c r="D583" t="inlineStr">
        <is>
          <t>JÄMTLANDS LÄN</t>
        </is>
      </c>
      <c r="E583" t="inlineStr">
        <is>
          <t>KROKOM</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71572-2021</t>
        </is>
      </c>
      <c r="B584" s="1" t="n">
        <v>44540</v>
      </c>
      <c r="C584" s="1" t="n">
        <v>45916</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11243-2025</t>
        </is>
      </c>
      <c r="B585" s="1" t="n">
        <v>45726.37850694444</v>
      </c>
      <c r="C585" s="1" t="n">
        <v>45916</v>
      </c>
      <c r="D585" t="inlineStr">
        <is>
          <t>JÄMTLANDS LÄN</t>
        </is>
      </c>
      <c r="E585" t="inlineStr">
        <is>
          <t>KROKOM</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32676-2023</t>
        </is>
      </c>
      <c r="B586" s="1" t="n">
        <v>45121</v>
      </c>
      <c r="C586" s="1" t="n">
        <v>45916</v>
      </c>
      <c r="D586" t="inlineStr">
        <is>
          <t>JÄMTLANDS LÄN</t>
        </is>
      </c>
      <c r="E586" t="inlineStr">
        <is>
          <t>KROKOM</t>
        </is>
      </c>
      <c r="F586" t="inlineStr">
        <is>
          <t>Övriga Aktiebolag</t>
        </is>
      </c>
      <c r="G586" t="n">
        <v>7.1</v>
      </c>
      <c r="H586" t="n">
        <v>0</v>
      </c>
      <c r="I586" t="n">
        <v>0</v>
      </c>
      <c r="J586" t="n">
        <v>0</v>
      </c>
      <c r="K586" t="n">
        <v>0</v>
      </c>
      <c r="L586" t="n">
        <v>0</v>
      </c>
      <c r="M586" t="n">
        <v>0</v>
      </c>
      <c r="N586" t="n">
        <v>0</v>
      </c>
      <c r="O586" t="n">
        <v>0</v>
      </c>
      <c r="P586" t="n">
        <v>0</v>
      </c>
      <c r="Q586" t="n">
        <v>0</v>
      </c>
      <c r="R586" s="2" t="inlineStr"/>
    </row>
    <row r="587" ht="15" customHeight="1">
      <c r="A587" t="inlineStr">
        <is>
          <t>A 30709-2024</t>
        </is>
      </c>
      <c r="B587" s="1" t="n">
        <v>45496.41289351852</v>
      </c>
      <c r="C587" s="1" t="n">
        <v>45916</v>
      </c>
      <c r="D587" t="inlineStr">
        <is>
          <t>JÄMTLANDS LÄN</t>
        </is>
      </c>
      <c r="E587" t="inlineStr">
        <is>
          <t>KROKOM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28843-2025</t>
        </is>
      </c>
      <c r="B588" s="1" t="n">
        <v>45820</v>
      </c>
      <c r="C588" s="1" t="n">
        <v>45916</v>
      </c>
      <c r="D588" t="inlineStr">
        <is>
          <t>JÄMTLANDS LÄN</t>
        </is>
      </c>
      <c r="E588" t="inlineStr">
        <is>
          <t>KROKOM</t>
        </is>
      </c>
      <c r="G588" t="n">
        <v>1.2</v>
      </c>
      <c r="H588" t="n">
        <v>0</v>
      </c>
      <c r="I588" t="n">
        <v>0</v>
      </c>
      <c r="J588" t="n">
        <v>0</v>
      </c>
      <c r="K588" t="n">
        <v>0</v>
      </c>
      <c r="L588" t="n">
        <v>0</v>
      </c>
      <c r="M588" t="n">
        <v>0</v>
      </c>
      <c r="N588" t="n">
        <v>0</v>
      </c>
      <c r="O588" t="n">
        <v>0</v>
      </c>
      <c r="P588" t="n">
        <v>0</v>
      </c>
      <c r="Q588" t="n">
        <v>0</v>
      </c>
      <c r="R588" s="2" t="inlineStr"/>
    </row>
    <row r="589" ht="15" customHeight="1">
      <c r="A589" t="inlineStr">
        <is>
          <t>A 28848-2025</t>
        </is>
      </c>
      <c r="B589" s="1" t="n">
        <v>45820</v>
      </c>
      <c r="C589" s="1" t="n">
        <v>45916</v>
      </c>
      <c r="D589" t="inlineStr">
        <is>
          <t>JÄMTLANDS LÄN</t>
        </is>
      </c>
      <c r="E589" t="inlineStr">
        <is>
          <t>KROKOM</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28729-2025</t>
        </is>
      </c>
      <c r="B590" s="1" t="n">
        <v>45820.36512731481</v>
      </c>
      <c r="C590" s="1" t="n">
        <v>45916</v>
      </c>
      <c r="D590" t="inlineStr">
        <is>
          <t>JÄMTLANDS LÄN</t>
        </is>
      </c>
      <c r="E590" t="inlineStr">
        <is>
          <t>KROKOM</t>
        </is>
      </c>
      <c r="G590" t="n">
        <v>3.6</v>
      </c>
      <c r="H590" t="n">
        <v>0</v>
      </c>
      <c r="I590" t="n">
        <v>0</v>
      </c>
      <c r="J590" t="n">
        <v>0</v>
      </c>
      <c r="K590" t="n">
        <v>0</v>
      </c>
      <c r="L590" t="n">
        <v>0</v>
      </c>
      <c r="M590" t="n">
        <v>0</v>
      </c>
      <c r="N590" t="n">
        <v>0</v>
      </c>
      <c r="O590" t="n">
        <v>0</v>
      </c>
      <c r="P590" t="n">
        <v>0</v>
      </c>
      <c r="Q590" t="n">
        <v>0</v>
      </c>
      <c r="R590" s="2" t="inlineStr"/>
    </row>
    <row r="591" ht="15" customHeight="1">
      <c r="A591" t="inlineStr">
        <is>
          <t>A 28752-2025</t>
        </is>
      </c>
      <c r="B591" s="1" t="n">
        <v>45820</v>
      </c>
      <c r="C591" s="1" t="n">
        <v>45916</v>
      </c>
      <c r="D591" t="inlineStr">
        <is>
          <t>JÄMTLANDS LÄN</t>
        </is>
      </c>
      <c r="E591" t="inlineStr">
        <is>
          <t>KROKOM</t>
        </is>
      </c>
      <c r="G591" t="n">
        <v>0.5</v>
      </c>
      <c r="H591" t="n">
        <v>0</v>
      </c>
      <c r="I591" t="n">
        <v>0</v>
      </c>
      <c r="J591" t="n">
        <v>0</v>
      </c>
      <c r="K591" t="n">
        <v>0</v>
      </c>
      <c r="L591" t="n">
        <v>0</v>
      </c>
      <c r="M591" t="n">
        <v>0</v>
      </c>
      <c r="N591" t="n">
        <v>0</v>
      </c>
      <c r="O591" t="n">
        <v>0</v>
      </c>
      <c r="P591" t="n">
        <v>0</v>
      </c>
      <c r="Q591" t="n">
        <v>0</v>
      </c>
      <c r="R591" s="2" t="inlineStr"/>
    </row>
    <row r="592" ht="15" customHeight="1">
      <c r="A592" t="inlineStr">
        <is>
          <t>A 16548-2025</t>
        </is>
      </c>
      <c r="B592" s="1" t="n">
        <v>45751.6877662037</v>
      </c>
      <c r="C592" s="1" t="n">
        <v>45916</v>
      </c>
      <c r="D592" t="inlineStr">
        <is>
          <t>JÄMTLANDS LÄN</t>
        </is>
      </c>
      <c r="E592" t="inlineStr">
        <is>
          <t>KROKOM</t>
        </is>
      </c>
      <c r="F592" t="inlineStr">
        <is>
          <t>Övriga Aktiebolag</t>
        </is>
      </c>
      <c r="G592" t="n">
        <v>10.9</v>
      </c>
      <c r="H592" t="n">
        <v>0</v>
      </c>
      <c r="I592" t="n">
        <v>0</v>
      </c>
      <c r="J592" t="n">
        <v>0</v>
      </c>
      <c r="K592" t="n">
        <v>0</v>
      </c>
      <c r="L592" t="n">
        <v>0</v>
      </c>
      <c r="M592" t="n">
        <v>0</v>
      </c>
      <c r="N592" t="n">
        <v>0</v>
      </c>
      <c r="O592" t="n">
        <v>0</v>
      </c>
      <c r="P592" t="n">
        <v>0</v>
      </c>
      <c r="Q592" t="n">
        <v>0</v>
      </c>
      <c r="R592" s="2" t="inlineStr"/>
    </row>
    <row r="593" ht="15" customHeight="1">
      <c r="A593" t="inlineStr">
        <is>
          <t>A 16545-2024</t>
        </is>
      </c>
      <c r="B593" s="1" t="n">
        <v>45408</v>
      </c>
      <c r="C593" s="1" t="n">
        <v>45916</v>
      </c>
      <c r="D593" t="inlineStr">
        <is>
          <t>JÄMTLANDS LÄN</t>
        </is>
      </c>
      <c r="E593" t="inlineStr">
        <is>
          <t>KROKOM</t>
        </is>
      </c>
      <c r="G593" t="n">
        <v>46.1</v>
      </c>
      <c r="H593" t="n">
        <v>0</v>
      </c>
      <c r="I593" t="n">
        <v>0</v>
      </c>
      <c r="J593" t="n">
        <v>0</v>
      </c>
      <c r="K593" t="n">
        <v>0</v>
      </c>
      <c r="L593" t="n">
        <v>0</v>
      </c>
      <c r="M593" t="n">
        <v>0</v>
      </c>
      <c r="N593" t="n">
        <v>0</v>
      </c>
      <c r="O593" t="n">
        <v>0</v>
      </c>
      <c r="P593" t="n">
        <v>0</v>
      </c>
      <c r="Q593" t="n">
        <v>0</v>
      </c>
      <c r="R593" s="2" t="inlineStr"/>
    </row>
    <row r="594" ht="15" customHeight="1">
      <c r="A594" t="inlineStr">
        <is>
          <t>A 51939-2024</t>
        </is>
      </c>
      <c r="B594" s="1" t="n">
        <v>45607.63211805555</v>
      </c>
      <c r="C594" s="1" t="n">
        <v>45916</v>
      </c>
      <c r="D594" t="inlineStr">
        <is>
          <t>JÄMTLANDS LÄN</t>
        </is>
      </c>
      <c r="E594" t="inlineStr">
        <is>
          <t>KROKOM</t>
        </is>
      </c>
      <c r="G594" t="n">
        <v>2.6</v>
      </c>
      <c r="H594" t="n">
        <v>0</v>
      </c>
      <c r="I594" t="n">
        <v>0</v>
      </c>
      <c r="J594" t="n">
        <v>0</v>
      </c>
      <c r="K594" t="n">
        <v>0</v>
      </c>
      <c r="L594" t="n">
        <v>0</v>
      </c>
      <c r="M594" t="n">
        <v>0</v>
      </c>
      <c r="N594" t="n">
        <v>0</v>
      </c>
      <c r="O594" t="n">
        <v>0</v>
      </c>
      <c r="P594" t="n">
        <v>0</v>
      </c>
      <c r="Q594" t="n">
        <v>0</v>
      </c>
      <c r="R594" s="2" t="inlineStr"/>
    </row>
    <row r="595" ht="15" customHeight="1">
      <c r="A595" t="inlineStr">
        <is>
          <t>A 19635-2024</t>
        </is>
      </c>
      <c r="B595" s="1" t="n">
        <v>45432.36971064815</v>
      </c>
      <c r="C595" s="1" t="n">
        <v>45916</v>
      </c>
      <c r="D595" t="inlineStr">
        <is>
          <t>JÄMTLANDS LÄN</t>
        </is>
      </c>
      <c r="E595" t="inlineStr">
        <is>
          <t>KROKOM</t>
        </is>
      </c>
      <c r="G595" t="n">
        <v>14.5</v>
      </c>
      <c r="H595" t="n">
        <v>0</v>
      </c>
      <c r="I595" t="n">
        <v>0</v>
      </c>
      <c r="J595" t="n">
        <v>0</v>
      </c>
      <c r="K595" t="n">
        <v>0</v>
      </c>
      <c r="L595" t="n">
        <v>0</v>
      </c>
      <c r="M595" t="n">
        <v>0</v>
      </c>
      <c r="N595" t="n">
        <v>0</v>
      </c>
      <c r="O595" t="n">
        <v>0</v>
      </c>
      <c r="P595" t="n">
        <v>0</v>
      </c>
      <c r="Q595" t="n">
        <v>0</v>
      </c>
      <c r="R595" s="2" t="inlineStr"/>
    </row>
    <row r="596" ht="15" customHeight="1">
      <c r="A596" t="inlineStr">
        <is>
          <t>A 28727-2025</t>
        </is>
      </c>
      <c r="B596" s="1" t="n">
        <v>45820.36498842593</v>
      </c>
      <c r="C596" s="1" t="n">
        <v>45916</v>
      </c>
      <c r="D596" t="inlineStr">
        <is>
          <t>JÄMTLANDS LÄN</t>
        </is>
      </c>
      <c r="E596" t="inlineStr">
        <is>
          <t>KROKOM</t>
        </is>
      </c>
      <c r="G596" t="n">
        <v>3.8</v>
      </c>
      <c r="H596" t="n">
        <v>0</v>
      </c>
      <c r="I596" t="n">
        <v>0</v>
      </c>
      <c r="J596" t="n">
        <v>0</v>
      </c>
      <c r="K596" t="n">
        <v>0</v>
      </c>
      <c r="L596" t="n">
        <v>0</v>
      </c>
      <c r="M596" t="n">
        <v>0</v>
      </c>
      <c r="N596" t="n">
        <v>0</v>
      </c>
      <c r="O596" t="n">
        <v>0</v>
      </c>
      <c r="P596" t="n">
        <v>0</v>
      </c>
      <c r="Q596" t="n">
        <v>0</v>
      </c>
      <c r="R596" s="2" t="inlineStr"/>
    </row>
    <row r="597" ht="15" customHeight="1">
      <c r="A597" t="inlineStr">
        <is>
          <t>A 28728-2025</t>
        </is>
      </c>
      <c r="B597" s="1" t="n">
        <v>45820.36506944444</v>
      </c>
      <c r="C597" s="1" t="n">
        <v>45916</v>
      </c>
      <c r="D597" t="inlineStr">
        <is>
          <t>JÄMTLANDS LÄN</t>
        </is>
      </c>
      <c r="E597" t="inlineStr">
        <is>
          <t>KROKOM</t>
        </is>
      </c>
      <c r="G597" t="n">
        <v>1.4</v>
      </c>
      <c r="H597" t="n">
        <v>0</v>
      </c>
      <c r="I597" t="n">
        <v>0</v>
      </c>
      <c r="J597" t="n">
        <v>0</v>
      </c>
      <c r="K597" t="n">
        <v>0</v>
      </c>
      <c r="L597" t="n">
        <v>0</v>
      </c>
      <c r="M597" t="n">
        <v>0</v>
      </c>
      <c r="N597" t="n">
        <v>0</v>
      </c>
      <c r="O597" t="n">
        <v>0</v>
      </c>
      <c r="P597" t="n">
        <v>0</v>
      </c>
      <c r="Q597" t="n">
        <v>0</v>
      </c>
      <c r="R597" s="2" t="inlineStr"/>
    </row>
    <row r="598" ht="15" customHeight="1">
      <c r="A598" t="inlineStr">
        <is>
          <t>A 54043-2023</t>
        </is>
      </c>
      <c r="B598" s="1" t="n">
        <v>45231</v>
      </c>
      <c r="C598" s="1" t="n">
        <v>45916</v>
      </c>
      <c r="D598" t="inlineStr">
        <is>
          <t>JÄMTLANDS LÄN</t>
        </is>
      </c>
      <c r="E598" t="inlineStr">
        <is>
          <t>KROKOM</t>
        </is>
      </c>
      <c r="F598" t="inlineStr">
        <is>
          <t>SCA</t>
        </is>
      </c>
      <c r="G598" t="n">
        <v>6.5</v>
      </c>
      <c r="H598" t="n">
        <v>0</v>
      </c>
      <c r="I598" t="n">
        <v>0</v>
      </c>
      <c r="J598" t="n">
        <v>0</v>
      </c>
      <c r="K598" t="n">
        <v>0</v>
      </c>
      <c r="L598" t="n">
        <v>0</v>
      </c>
      <c r="M598" t="n">
        <v>0</v>
      </c>
      <c r="N598" t="n">
        <v>0</v>
      </c>
      <c r="O598" t="n">
        <v>0</v>
      </c>
      <c r="P598" t="n">
        <v>0</v>
      </c>
      <c r="Q598" t="n">
        <v>0</v>
      </c>
      <c r="R598" s="2" t="inlineStr"/>
    </row>
    <row r="599" ht="15" customHeight="1">
      <c r="A599" t="inlineStr">
        <is>
          <t>A 29001-2025</t>
        </is>
      </c>
      <c r="B599" s="1" t="n">
        <v>45821.39026620371</v>
      </c>
      <c r="C599" s="1" t="n">
        <v>45916</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28789-2025</t>
        </is>
      </c>
      <c r="B600" s="1" t="n">
        <v>45820.47200231482</v>
      </c>
      <c r="C600" s="1" t="n">
        <v>45916</v>
      </c>
      <c r="D600" t="inlineStr">
        <is>
          <t>JÄMTLANDS LÄN</t>
        </is>
      </c>
      <c r="E600" t="inlineStr">
        <is>
          <t>KROKOM</t>
        </is>
      </c>
      <c r="F600" t="inlineStr">
        <is>
          <t>Kyrkan</t>
        </is>
      </c>
      <c r="G600" t="n">
        <v>28.4</v>
      </c>
      <c r="H600" t="n">
        <v>0</v>
      </c>
      <c r="I600" t="n">
        <v>0</v>
      </c>
      <c r="J600" t="n">
        <v>0</v>
      </c>
      <c r="K600" t="n">
        <v>0</v>
      </c>
      <c r="L600" t="n">
        <v>0</v>
      </c>
      <c r="M600" t="n">
        <v>0</v>
      </c>
      <c r="N600" t="n">
        <v>0</v>
      </c>
      <c r="O600" t="n">
        <v>0</v>
      </c>
      <c r="P600" t="n">
        <v>0</v>
      </c>
      <c r="Q600" t="n">
        <v>0</v>
      </c>
      <c r="R600" s="2" t="inlineStr"/>
    </row>
    <row r="601" ht="15" customHeight="1">
      <c r="A601" t="inlineStr">
        <is>
          <t>A 27597-2024</t>
        </is>
      </c>
      <c r="B601" s="1" t="n">
        <v>45474.69155092593</v>
      </c>
      <c r="C601" s="1" t="n">
        <v>45916</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9043-2025</t>
        </is>
      </c>
      <c r="B602" s="1" t="n">
        <v>45713</v>
      </c>
      <c r="C602" s="1" t="n">
        <v>45916</v>
      </c>
      <c r="D602" t="inlineStr">
        <is>
          <t>JÄMTLANDS LÄN</t>
        </is>
      </c>
      <c r="E602" t="inlineStr">
        <is>
          <t>KROKOM</t>
        </is>
      </c>
      <c r="F602" t="inlineStr">
        <is>
          <t>Övriga Aktiebolag</t>
        </is>
      </c>
      <c r="G602" t="n">
        <v>43.6</v>
      </c>
      <c r="H602" t="n">
        <v>0</v>
      </c>
      <c r="I602" t="n">
        <v>0</v>
      </c>
      <c r="J602" t="n">
        <v>0</v>
      </c>
      <c r="K602" t="n">
        <v>0</v>
      </c>
      <c r="L602" t="n">
        <v>0</v>
      </c>
      <c r="M602" t="n">
        <v>0</v>
      </c>
      <c r="N602" t="n">
        <v>0</v>
      </c>
      <c r="O602" t="n">
        <v>0</v>
      </c>
      <c r="P602" t="n">
        <v>0</v>
      </c>
      <c r="Q602" t="n">
        <v>0</v>
      </c>
      <c r="R602" s="2" t="inlineStr"/>
    </row>
    <row r="603" ht="15" customHeight="1">
      <c r="A603" t="inlineStr">
        <is>
          <t>A 41142-2023</t>
        </is>
      </c>
      <c r="B603" s="1" t="n">
        <v>45173</v>
      </c>
      <c r="C603" s="1" t="n">
        <v>45916</v>
      </c>
      <c r="D603" t="inlineStr">
        <is>
          <t>JÄMTLANDS LÄN</t>
        </is>
      </c>
      <c r="E603" t="inlineStr">
        <is>
          <t>KROKOM</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10581-2025</t>
        </is>
      </c>
      <c r="B604" s="1" t="n">
        <v>45721.54896990741</v>
      </c>
      <c r="C604" s="1" t="n">
        <v>45916</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57259-2023</t>
        </is>
      </c>
      <c r="B605" s="1" t="n">
        <v>45245</v>
      </c>
      <c r="C605" s="1" t="n">
        <v>45916</v>
      </c>
      <c r="D605" t="inlineStr">
        <is>
          <t>JÄMTLANDS LÄN</t>
        </is>
      </c>
      <c r="E605" t="inlineStr">
        <is>
          <t>KROKOM</t>
        </is>
      </c>
      <c r="G605" t="n">
        <v>9.6</v>
      </c>
      <c r="H605" t="n">
        <v>0</v>
      </c>
      <c r="I605" t="n">
        <v>0</v>
      </c>
      <c r="J605" t="n">
        <v>0</v>
      </c>
      <c r="K605" t="n">
        <v>0</v>
      </c>
      <c r="L605" t="n">
        <v>0</v>
      </c>
      <c r="M605" t="n">
        <v>0</v>
      </c>
      <c r="N605" t="n">
        <v>0</v>
      </c>
      <c r="O605" t="n">
        <v>0</v>
      </c>
      <c r="P605" t="n">
        <v>0</v>
      </c>
      <c r="Q605" t="n">
        <v>0</v>
      </c>
      <c r="R605" s="2" t="inlineStr"/>
    </row>
    <row r="606" ht="15" customHeight="1">
      <c r="A606" t="inlineStr">
        <is>
          <t>A 41439-2024</t>
        </is>
      </c>
      <c r="B606" s="1" t="n">
        <v>45560.38056712963</v>
      </c>
      <c r="C606" s="1" t="n">
        <v>45916</v>
      </c>
      <c r="D606" t="inlineStr">
        <is>
          <t>JÄMTLANDS LÄN</t>
        </is>
      </c>
      <c r="E606" t="inlineStr">
        <is>
          <t>KROKOM</t>
        </is>
      </c>
      <c r="F606" t="inlineStr">
        <is>
          <t>Övriga Aktiebolag</t>
        </is>
      </c>
      <c r="G606" t="n">
        <v>9.1</v>
      </c>
      <c r="H606" t="n">
        <v>0</v>
      </c>
      <c r="I606" t="n">
        <v>0</v>
      </c>
      <c r="J606" t="n">
        <v>0</v>
      </c>
      <c r="K606" t="n">
        <v>0</v>
      </c>
      <c r="L606" t="n">
        <v>0</v>
      </c>
      <c r="M606" t="n">
        <v>0</v>
      </c>
      <c r="N606" t="n">
        <v>0</v>
      </c>
      <c r="O606" t="n">
        <v>0</v>
      </c>
      <c r="P606" t="n">
        <v>0</v>
      </c>
      <c r="Q606" t="n">
        <v>0</v>
      </c>
      <c r="R606" s="2" t="inlineStr"/>
    </row>
    <row r="607" ht="15" customHeight="1">
      <c r="A607" t="inlineStr">
        <is>
          <t>A 1852-2025</t>
        </is>
      </c>
      <c r="B607" s="1" t="n">
        <v>45671.59114583334</v>
      </c>
      <c r="C607" s="1" t="n">
        <v>45916</v>
      </c>
      <c r="D607" t="inlineStr">
        <is>
          <t>JÄMTLANDS LÄN</t>
        </is>
      </c>
      <c r="E607" t="inlineStr">
        <is>
          <t>KROKOM</t>
        </is>
      </c>
      <c r="G607" t="n">
        <v>6.8</v>
      </c>
      <c r="H607" t="n">
        <v>0</v>
      </c>
      <c r="I607" t="n">
        <v>0</v>
      </c>
      <c r="J607" t="n">
        <v>0</v>
      </c>
      <c r="K607" t="n">
        <v>0</v>
      </c>
      <c r="L607" t="n">
        <v>0</v>
      </c>
      <c r="M607" t="n">
        <v>0</v>
      </c>
      <c r="N607" t="n">
        <v>0</v>
      </c>
      <c r="O607" t="n">
        <v>0</v>
      </c>
      <c r="P607" t="n">
        <v>0</v>
      </c>
      <c r="Q607" t="n">
        <v>0</v>
      </c>
      <c r="R607" s="2" t="inlineStr"/>
    </row>
    <row r="608" ht="15" customHeight="1">
      <c r="A608" t="inlineStr">
        <is>
          <t>A 42372-2023</t>
        </is>
      </c>
      <c r="B608" s="1" t="n">
        <v>45180</v>
      </c>
      <c r="C608" s="1" t="n">
        <v>45916</v>
      </c>
      <c r="D608" t="inlineStr">
        <is>
          <t>JÄMTLANDS LÄN</t>
        </is>
      </c>
      <c r="E608" t="inlineStr">
        <is>
          <t>KROKOM</t>
        </is>
      </c>
      <c r="F608" t="inlineStr">
        <is>
          <t>Övriga Aktiebolag</t>
        </is>
      </c>
      <c r="G608" t="n">
        <v>0.2</v>
      </c>
      <c r="H608" t="n">
        <v>0</v>
      </c>
      <c r="I608" t="n">
        <v>0</v>
      </c>
      <c r="J608" t="n">
        <v>0</v>
      </c>
      <c r="K608" t="n">
        <v>0</v>
      </c>
      <c r="L608" t="n">
        <v>0</v>
      </c>
      <c r="M608" t="n">
        <v>0</v>
      </c>
      <c r="N608" t="n">
        <v>0</v>
      </c>
      <c r="O608" t="n">
        <v>0</v>
      </c>
      <c r="P608" t="n">
        <v>0</v>
      </c>
      <c r="Q608" t="n">
        <v>0</v>
      </c>
      <c r="R608" s="2" t="inlineStr"/>
    </row>
    <row r="609" ht="15" customHeight="1">
      <c r="A609" t="inlineStr">
        <is>
          <t>A 6524-2025</t>
        </is>
      </c>
      <c r="B609" s="1" t="n">
        <v>45699.66576388889</v>
      </c>
      <c r="C609" s="1" t="n">
        <v>45916</v>
      </c>
      <c r="D609" t="inlineStr">
        <is>
          <t>JÄMTLANDS LÄN</t>
        </is>
      </c>
      <c r="E609" t="inlineStr">
        <is>
          <t>KROKOM</t>
        </is>
      </c>
      <c r="F609" t="inlineStr">
        <is>
          <t>Övriga Aktiebolag</t>
        </is>
      </c>
      <c r="G609" t="n">
        <v>51.6</v>
      </c>
      <c r="H609" t="n">
        <v>0</v>
      </c>
      <c r="I609" t="n">
        <v>0</v>
      </c>
      <c r="J609" t="n">
        <v>0</v>
      </c>
      <c r="K609" t="n">
        <v>0</v>
      </c>
      <c r="L609" t="n">
        <v>0</v>
      </c>
      <c r="M609" t="n">
        <v>0</v>
      </c>
      <c r="N609" t="n">
        <v>0</v>
      </c>
      <c r="O609" t="n">
        <v>0</v>
      </c>
      <c r="P609" t="n">
        <v>0</v>
      </c>
      <c r="Q609" t="n">
        <v>0</v>
      </c>
      <c r="R609" s="2" t="inlineStr"/>
    </row>
    <row r="610" ht="15" customHeight="1">
      <c r="A610" t="inlineStr">
        <is>
          <t>A 6590-2025</t>
        </is>
      </c>
      <c r="B610" s="1" t="n">
        <v>45700.30092592593</v>
      </c>
      <c r="C610" s="1" t="n">
        <v>45916</v>
      </c>
      <c r="D610" t="inlineStr">
        <is>
          <t>JÄMTLANDS LÄN</t>
        </is>
      </c>
      <c r="E610" t="inlineStr">
        <is>
          <t>KROKOM</t>
        </is>
      </c>
      <c r="F610" t="inlineStr">
        <is>
          <t>Övriga Aktiebolag</t>
        </is>
      </c>
      <c r="G610" t="n">
        <v>51.6</v>
      </c>
      <c r="H610" t="n">
        <v>0</v>
      </c>
      <c r="I610" t="n">
        <v>0</v>
      </c>
      <c r="J610" t="n">
        <v>0</v>
      </c>
      <c r="K610" t="n">
        <v>0</v>
      </c>
      <c r="L610" t="n">
        <v>0</v>
      </c>
      <c r="M610" t="n">
        <v>0</v>
      </c>
      <c r="N610" t="n">
        <v>0</v>
      </c>
      <c r="O610" t="n">
        <v>0</v>
      </c>
      <c r="P610" t="n">
        <v>0</v>
      </c>
      <c r="Q610" t="n">
        <v>0</v>
      </c>
      <c r="R610" s="2" t="inlineStr"/>
    </row>
    <row r="611" ht="15" customHeight="1">
      <c r="A611" t="inlineStr">
        <is>
          <t>A 29956-2025</t>
        </is>
      </c>
      <c r="B611" s="1" t="n">
        <v>45826.4705787037</v>
      </c>
      <c r="C611" s="1" t="n">
        <v>45916</v>
      </c>
      <c r="D611" t="inlineStr">
        <is>
          <t>JÄMTLANDS LÄN</t>
        </is>
      </c>
      <c r="E611" t="inlineStr">
        <is>
          <t>KROKOM</t>
        </is>
      </c>
      <c r="F611" t="inlineStr">
        <is>
          <t>SCA</t>
        </is>
      </c>
      <c r="G611" t="n">
        <v>16.1</v>
      </c>
      <c r="H611" t="n">
        <v>0</v>
      </c>
      <c r="I611" t="n">
        <v>0</v>
      </c>
      <c r="J611" t="n">
        <v>0</v>
      </c>
      <c r="K611" t="n">
        <v>0</v>
      </c>
      <c r="L611" t="n">
        <v>0</v>
      </c>
      <c r="M611" t="n">
        <v>0</v>
      </c>
      <c r="N611" t="n">
        <v>0</v>
      </c>
      <c r="O611" t="n">
        <v>0</v>
      </c>
      <c r="P611" t="n">
        <v>0</v>
      </c>
      <c r="Q611" t="n">
        <v>0</v>
      </c>
      <c r="R611" s="2" t="inlineStr"/>
    </row>
    <row r="612" ht="15" customHeight="1">
      <c r="A612" t="inlineStr">
        <is>
          <t>A 53541-2024</t>
        </is>
      </c>
      <c r="B612" s="1" t="n">
        <v>45614.63606481482</v>
      </c>
      <c r="C612" s="1" t="n">
        <v>45916</v>
      </c>
      <c r="D612" t="inlineStr">
        <is>
          <t>JÄMTLANDS LÄN</t>
        </is>
      </c>
      <c r="E612" t="inlineStr">
        <is>
          <t>KROKOM</t>
        </is>
      </c>
      <c r="G612" t="n">
        <v>0.5</v>
      </c>
      <c r="H612" t="n">
        <v>0</v>
      </c>
      <c r="I612" t="n">
        <v>0</v>
      </c>
      <c r="J612" t="n">
        <v>0</v>
      </c>
      <c r="K612" t="n">
        <v>0</v>
      </c>
      <c r="L612" t="n">
        <v>0</v>
      </c>
      <c r="M612" t="n">
        <v>0</v>
      </c>
      <c r="N612" t="n">
        <v>0</v>
      </c>
      <c r="O612" t="n">
        <v>0</v>
      </c>
      <c r="P612" t="n">
        <v>0</v>
      </c>
      <c r="Q612" t="n">
        <v>0</v>
      </c>
      <c r="R612" s="2" t="inlineStr"/>
    </row>
    <row r="613" ht="15" customHeight="1">
      <c r="A613" t="inlineStr">
        <is>
          <t>A 53544-2024</t>
        </is>
      </c>
      <c r="B613" s="1" t="n">
        <v>45614.63701388889</v>
      </c>
      <c r="C613" s="1" t="n">
        <v>45916</v>
      </c>
      <c r="D613" t="inlineStr">
        <is>
          <t>JÄMTLANDS LÄN</t>
        </is>
      </c>
      <c r="E613" t="inlineStr">
        <is>
          <t>KROKOM</t>
        </is>
      </c>
      <c r="G613" t="n">
        <v>0.4</v>
      </c>
      <c r="H613" t="n">
        <v>0</v>
      </c>
      <c r="I613" t="n">
        <v>0</v>
      </c>
      <c r="J613" t="n">
        <v>0</v>
      </c>
      <c r="K613" t="n">
        <v>0</v>
      </c>
      <c r="L613" t="n">
        <v>0</v>
      </c>
      <c r="M613" t="n">
        <v>0</v>
      </c>
      <c r="N613" t="n">
        <v>0</v>
      </c>
      <c r="O613" t="n">
        <v>0</v>
      </c>
      <c r="P613" t="n">
        <v>0</v>
      </c>
      <c r="Q613" t="n">
        <v>0</v>
      </c>
      <c r="R613" s="2" t="inlineStr"/>
    </row>
    <row r="614" ht="15" customHeight="1">
      <c r="A614" t="inlineStr">
        <is>
          <t>A 20953-2023</t>
        </is>
      </c>
      <c r="B614" s="1" t="n">
        <v>45056</v>
      </c>
      <c r="C614" s="1" t="n">
        <v>45916</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23665-2024</t>
        </is>
      </c>
      <c r="B615" s="1" t="n">
        <v>45454.57899305555</v>
      </c>
      <c r="C615" s="1" t="n">
        <v>45916</v>
      </c>
      <c r="D615" t="inlineStr">
        <is>
          <t>JÄMTLANDS LÄN</t>
        </is>
      </c>
      <c r="E615" t="inlineStr">
        <is>
          <t>KROKOM</t>
        </is>
      </c>
      <c r="G615" t="n">
        <v>1.1</v>
      </c>
      <c r="H615" t="n">
        <v>0</v>
      </c>
      <c r="I615" t="n">
        <v>0</v>
      </c>
      <c r="J615" t="n">
        <v>0</v>
      </c>
      <c r="K615" t="n">
        <v>0</v>
      </c>
      <c r="L615" t="n">
        <v>0</v>
      </c>
      <c r="M615" t="n">
        <v>0</v>
      </c>
      <c r="N615" t="n">
        <v>0</v>
      </c>
      <c r="O615" t="n">
        <v>0</v>
      </c>
      <c r="P615" t="n">
        <v>0</v>
      </c>
      <c r="Q615" t="n">
        <v>0</v>
      </c>
      <c r="R615" s="2" t="inlineStr"/>
    </row>
    <row r="616" ht="15" customHeight="1">
      <c r="A616" t="inlineStr">
        <is>
          <t>A 67730-2020</t>
        </is>
      </c>
      <c r="B616" s="1" t="n">
        <v>44179</v>
      </c>
      <c r="C616" s="1" t="n">
        <v>45916</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30175-2025</t>
        </is>
      </c>
      <c r="B617" s="1" t="n">
        <v>45827.34488425926</v>
      </c>
      <c r="C617" s="1" t="n">
        <v>45916</v>
      </c>
      <c r="D617" t="inlineStr">
        <is>
          <t>JÄMTLANDS LÄN</t>
        </is>
      </c>
      <c r="E617" t="inlineStr">
        <is>
          <t>KROKOM</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36588-2025</t>
        </is>
      </c>
      <c r="B618" s="1" t="n">
        <v>45870</v>
      </c>
      <c r="C618" s="1" t="n">
        <v>45916</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30979-2024</t>
        </is>
      </c>
      <c r="B619" s="1" t="n">
        <v>45499.48672453704</v>
      </c>
      <c r="C619" s="1" t="n">
        <v>45916</v>
      </c>
      <c r="D619" t="inlineStr">
        <is>
          <t>JÄMTLANDS LÄN</t>
        </is>
      </c>
      <c r="E619" t="inlineStr">
        <is>
          <t>KROKOM</t>
        </is>
      </c>
      <c r="G619" t="n">
        <v>18.2</v>
      </c>
      <c r="H619" t="n">
        <v>0</v>
      </c>
      <c r="I619" t="n">
        <v>0</v>
      </c>
      <c r="J619" t="n">
        <v>0</v>
      </c>
      <c r="K619" t="n">
        <v>0</v>
      </c>
      <c r="L619" t="n">
        <v>0</v>
      </c>
      <c r="M619" t="n">
        <v>0</v>
      </c>
      <c r="N619" t="n">
        <v>0</v>
      </c>
      <c r="O619" t="n">
        <v>0</v>
      </c>
      <c r="P619" t="n">
        <v>0</v>
      </c>
      <c r="Q619" t="n">
        <v>0</v>
      </c>
      <c r="R619" s="2" t="inlineStr"/>
    </row>
    <row r="620" ht="15" customHeight="1">
      <c r="A620" t="inlineStr">
        <is>
          <t>A 50391-2024</t>
        </is>
      </c>
      <c r="B620" s="1" t="n">
        <v>45601.33743055556</v>
      </c>
      <c r="C620" s="1" t="n">
        <v>45916</v>
      </c>
      <c r="D620" t="inlineStr">
        <is>
          <t>JÄMTLANDS LÄN</t>
        </is>
      </c>
      <c r="E620" t="inlineStr">
        <is>
          <t>KROKOM</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55914-2023</t>
        </is>
      </c>
      <c r="B621" s="1" t="n">
        <v>45239.9681712963</v>
      </c>
      <c r="C621" s="1" t="n">
        <v>45916</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41784-2023</t>
        </is>
      </c>
      <c r="B622" s="1" t="n">
        <v>45176</v>
      </c>
      <c r="C622" s="1" t="n">
        <v>45916</v>
      </c>
      <c r="D622" t="inlineStr">
        <is>
          <t>JÄMTLANDS LÄN</t>
        </is>
      </c>
      <c r="E622" t="inlineStr">
        <is>
          <t>KROKOM</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36439-2023</t>
        </is>
      </c>
      <c r="B623" s="1" t="n">
        <v>45152</v>
      </c>
      <c r="C623" s="1" t="n">
        <v>45916</v>
      </c>
      <c r="D623" t="inlineStr">
        <is>
          <t>JÄMTLANDS LÄN</t>
        </is>
      </c>
      <c r="E623" t="inlineStr">
        <is>
          <t>KROKOM</t>
        </is>
      </c>
      <c r="F623" t="inlineStr">
        <is>
          <t>Övriga Aktiebolag</t>
        </is>
      </c>
      <c r="G623" t="n">
        <v>7.4</v>
      </c>
      <c r="H623" t="n">
        <v>0</v>
      </c>
      <c r="I623" t="n">
        <v>0</v>
      </c>
      <c r="J623" t="n">
        <v>0</v>
      </c>
      <c r="K623" t="n">
        <v>0</v>
      </c>
      <c r="L623" t="n">
        <v>0</v>
      </c>
      <c r="M623" t="n">
        <v>0</v>
      </c>
      <c r="N623" t="n">
        <v>0</v>
      </c>
      <c r="O623" t="n">
        <v>0</v>
      </c>
      <c r="P623" t="n">
        <v>0</v>
      </c>
      <c r="Q623" t="n">
        <v>0</v>
      </c>
      <c r="R623" s="2" t="inlineStr"/>
    </row>
    <row r="624" ht="15" customHeight="1">
      <c r="A624" t="inlineStr">
        <is>
          <t>A 23601-2021</t>
        </is>
      </c>
      <c r="B624" s="1" t="n">
        <v>44334</v>
      </c>
      <c r="C624" s="1" t="n">
        <v>45916</v>
      </c>
      <c r="D624" t="inlineStr">
        <is>
          <t>JÄMTLANDS LÄN</t>
        </is>
      </c>
      <c r="E624" t="inlineStr">
        <is>
          <t>KROKOM</t>
        </is>
      </c>
      <c r="G624" t="n">
        <v>1.7</v>
      </c>
      <c r="H624" t="n">
        <v>0</v>
      </c>
      <c r="I624" t="n">
        <v>0</v>
      </c>
      <c r="J624" t="n">
        <v>0</v>
      </c>
      <c r="K624" t="n">
        <v>0</v>
      </c>
      <c r="L624" t="n">
        <v>0</v>
      </c>
      <c r="M624" t="n">
        <v>0</v>
      </c>
      <c r="N624" t="n">
        <v>0</v>
      </c>
      <c r="O624" t="n">
        <v>0</v>
      </c>
      <c r="P624" t="n">
        <v>0</v>
      </c>
      <c r="Q624" t="n">
        <v>0</v>
      </c>
      <c r="R624" s="2" t="inlineStr"/>
    </row>
    <row r="625" ht="15" customHeight="1">
      <c r="A625" t="inlineStr">
        <is>
          <t>A 46061-2023</t>
        </is>
      </c>
      <c r="B625" s="1" t="n">
        <v>45190</v>
      </c>
      <c r="C625" s="1" t="n">
        <v>45916</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42369-2023</t>
        </is>
      </c>
      <c r="B626" s="1" t="n">
        <v>45180</v>
      </c>
      <c r="C626" s="1" t="n">
        <v>45916</v>
      </c>
      <c r="D626" t="inlineStr">
        <is>
          <t>JÄMTLANDS LÄN</t>
        </is>
      </c>
      <c r="E626" t="inlineStr">
        <is>
          <t>KROKOM</t>
        </is>
      </c>
      <c r="F626" t="inlineStr">
        <is>
          <t>Övriga Aktiebolag</t>
        </is>
      </c>
      <c r="G626" t="n">
        <v>0.2</v>
      </c>
      <c r="H626" t="n">
        <v>0</v>
      </c>
      <c r="I626" t="n">
        <v>0</v>
      </c>
      <c r="J626" t="n">
        <v>0</v>
      </c>
      <c r="K626" t="n">
        <v>0</v>
      </c>
      <c r="L626" t="n">
        <v>0</v>
      </c>
      <c r="M626" t="n">
        <v>0</v>
      </c>
      <c r="N626" t="n">
        <v>0</v>
      </c>
      <c r="O626" t="n">
        <v>0</v>
      </c>
      <c r="P626" t="n">
        <v>0</v>
      </c>
      <c r="Q626" t="n">
        <v>0</v>
      </c>
      <c r="R626" s="2" t="inlineStr"/>
    </row>
    <row r="627" ht="15" customHeight="1">
      <c r="A627" t="inlineStr">
        <is>
          <t>A 50433-2024</t>
        </is>
      </c>
      <c r="B627" s="1" t="n">
        <v>45601</v>
      </c>
      <c r="C627" s="1" t="n">
        <v>45916</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37111-2025</t>
        </is>
      </c>
      <c r="B628" s="1" t="n">
        <v>45875.51046296296</v>
      </c>
      <c r="C628" s="1" t="n">
        <v>45916</v>
      </c>
      <c r="D628" t="inlineStr">
        <is>
          <t>JÄMTLANDS LÄN</t>
        </is>
      </c>
      <c r="E628" t="inlineStr">
        <is>
          <t>KROKOM</t>
        </is>
      </c>
      <c r="G628" t="n">
        <v>8.1</v>
      </c>
      <c r="H628" t="n">
        <v>0</v>
      </c>
      <c r="I628" t="n">
        <v>0</v>
      </c>
      <c r="J628" t="n">
        <v>0</v>
      </c>
      <c r="K628" t="n">
        <v>0</v>
      </c>
      <c r="L628" t="n">
        <v>0</v>
      </c>
      <c r="M628" t="n">
        <v>0</v>
      </c>
      <c r="N628" t="n">
        <v>0</v>
      </c>
      <c r="O628" t="n">
        <v>0</v>
      </c>
      <c r="P628" t="n">
        <v>0</v>
      </c>
      <c r="Q628" t="n">
        <v>0</v>
      </c>
      <c r="R628" s="2" t="inlineStr"/>
    </row>
    <row r="629" ht="15" customHeight="1">
      <c r="A629" t="inlineStr">
        <is>
          <t>A 2051-2025</t>
        </is>
      </c>
      <c r="B629" s="1" t="n">
        <v>45672.53806712963</v>
      </c>
      <c r="C629" s="1" t="n">
        <v>45916</v>
      </c>
      <c r="D629" t="inlineStr">
        <is>
          <t>JÄMTLANDS LÄN</t>
        </is>
      </c>
      <c r="E629" t="inlineStr">
        <is>
          <t>KROKOM</t>
        </is>
      </c>
      <c r="F629" t="inlineStr">
        <is>
          <t>Kyrkan</t>
        </is>
      </c>
      <c r="G629" t="n">
        <v>87.90000000000001</v>
      </c>
      <c r="H629" t="n">
        <v>0</v>
      </c>
      <c r="I629" t="n">
        <v>0</v>
      </c>
      <c r="J629" t="n">
        <v>0</v>
      </c>
      <c r="K629" t="n">
        <v>0</v>
      </c>
      <c r="L629" t="n">
        <v>0</v>
      </c>
      <c r="M629" t="n">
        <v>0</v>
      </c>
      <c r="N629" t="n">
        <v>0</v>
      </c>
      <c r="O629" t="n">
        <v>0</v>
      </c>
      <c r="P629" t="n">
        <v>0</v>
      </c>
      <c r="Q629" t="n">
        <v>0</v>
      </c>
      <c r="R629" s="2" t="inlineStr"/>
    </row>
    <row r="630" ht="15" customHeight="1">
      <c r="A630" t="inlineStr">
        <is>
          <t>A 2480-2025</t>
        </is>
      </c>
      <c r="B630" s="1" t="n">
        <v>45674</v>
      </c>
      <c r="C630" s="1" t="n">
        <v>45916</v>
      </c>
      <c r="D630" t="inlineStr">
        <is>
          <t>JÄMTLANDS LÄN</t>
        </is>
      </c>
      <c r="E630" t="inlineStr">
        <is>
          <t>KROKOM</t>
        </is>
      </c>
      <c r="G630" t="n">
        <v>4</v>
      </c>
      <c r="H630" t="n">
        <v>0</v>
      </c>
      <c r="I630" t="n">
        <v>0</v>
      </c>
      <c r="J630" t="n">
        <v>0</v>
      </c>
      <c r="K630" t="n">
        <v>0</v>
      </c>
      <c r="L630" t="n">
        <v>0</v>
      </c>
      <c r="M630" t="n">
        <v>0</v>
      </c>
      <c r="N630" t="n">
        <v>0</v>
      </c>
      <c r="O630" t="n">
        <v>0</v>
      </c>
      <c r="P630" t="n">
        <v>0</v>
      </c>
      <c r="Q630" t="n">
        <v>0</v>
      </c>
      <c r="R630" s="2" t="inlineStr"/>
    </row>
    <row r="631" ht="15" customHeight="1">
      <c r="A631" t="inlineStr">
        <is>
          <t>A 30158-2022</t>
        </is>
      </c>
      <c r="B631" s="1" t="n">
        <v>44757</v>
      </c>
      <c r="C631" s="1" t="n">
        <v>45916</v>
      </c>
      <c r="D631" t="inlineStr">
        <is>
          <t>JÄMTLANDS LÄN</t>
        </is>
      </c>
      <c r="E631" t="inlineStr">
        <is>
          <t>KROKOM</t>
        </is>
      </c>
      <c r="F631" t="inlineStr">
        <is>
          <t>SCA</t>
        </is>
      </c>
      <c r="G631" t="n">
        <v>9.6</v>
      </c>
      <c r="H631" t="n">
        <v>0</v>
      </c>
      <c r="I631" t="n">
        <v>0</v>
      </c>
      <c r="J631" t="n">
        <v>0</v>
      </c>
      <c r="K631" t="n">
        <v>0</v>
      </c>
      <c r="L631" t="n">
        <v>0</v>
      </c>
      <c r="M631" t="n">
        <v>0</v>
      </c>
      <c r="N631" t="n">
        <v>0</v>
      </c>
      <c r="O631" t="n">
        <v>0</v>
      </c>
      <c r="P631" t="n">
        <v>0</v>
      </c>
      <c r="Q631" t="n">
        <v>0</v>
      </c>
      <c r="R631" s="2" t="inlineStr"/>
    </row>
    <row r="632" ht="15" customHeight="1">
      <c r="A632" t="inlineStr">
        <is>
          <t>A 27224-2024</t>
        </is>
      </c>
      <c r="B632" s="1" t="n">
        <v>45471.63390046296</v>
      </c>
      <c r="C632" s="1" t="n">
        <v>45916</v>
      </c>
      <c r="D632" t="inlineStr">
        <is>
          <t>JÄMTLANDS LÄN</t>
        </is>
      </c>
      <c r="E632" t="inlineStr">
        <is>
          <t>KROKOM</t>
        </is>
      </c>
      <c r="G632" t="n">
        <v>5.4</v>
      </c>
      <c r="H632" t="n">
        <v>0</v>
      </c>
      <c r="I632" t="n">
        <v>0</v>
      </c>
      <c r="J632" t="n">
        <v>0</v>
      </c>
      <c r="K632" t="n">
        <v>0</v>
      </c>
      <c r="L632" t="n">
        <v>0</v>
      </c>
      <c r="M632" t="n">
        <v>0</v>
      </c>
      <c r="N632" t="n">
        <v>0</v>
      </c>
      <c r="O632" t="n">
        <v>0</v>
      </c>
      <c r="P632" t="n">
        <v>0</v>
      </c>
      <c r="Q632" t="n">
        <v>0</v>
      </c>
      <c r="R632" s="2" t="inlineStr"/>
    </row>
    <row r="633" ht="15" customHeight="1">
      <c r="A633" t="inlineStr">
        <is>
          <t>A 49875-2024</t>
        </is>
      </c>
      <c r="B633" s="1" t="n">
        <v>45597.49638888889</v>
      </c>
      <c r="C633" s="1" t="n">
        <v>45916</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30890-2025</t>
        </is>
      </c>
      <c r="B634" s="1" t="n">
        <v>45832.34630787037</v>
      </c>
      <c r="C634" s="1" t="n">
        <v>45916</v>
      </c>
      <c r="D634" t="inlineStr">
        <is>
          <t>JÄMTLANDS LÄN</t>
        </is>
      </c>
      <c r="E634" t="inlineStr">
        <is>
          <t>KROKOM</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31027-2025</t>
        </is>
      </c>
      <c r="B635" s="1" t="n">
        <v>45832.53225694445</v>
      </c>
      <c r="C635" s="1" t="n">
        <v>45916</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57239-2023</t>
        </is>
      </c>
      <c r="B636" s="1" t="n">
        <v>45245.5478125</v>
      </c>
      <c r="C636" s="1" t="n">
        <v>45916</v>
      </c>
      <c r="D636" t="inlineStr">
        <is>
          <t>JÄMTLANDS LÄN</t>
        </is>
      </c>
      <c r="E636" t="inlineStr">
        <is>
          <t>KROKOM</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31026-2025</t>
        </is>
      </c>
      <c r="B637" s="1" t="n">
        <v>45832</v>
      </c>
      <c r="C637" s="1" t="n">
        <v>45916</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31277-2025</t>
        </is>
      </c>
      <c r="B638" s="1" t="n">
        <v>45833.34490740741</v>
      </c>
      <c r="C638" s="1" t="n">
        <v>45916</v>
      </c>
      <c r="D638" t="inlineStr">
        <is>
          <t>JÄMTLANDS LÄN</t>
        </is>
      </c>
      <c r="E638" t="inlineStr">
        <is>
          <t>KROKOM</t>
        </is>
      </c>
      <c r="F638" t="inlineStr">
        <is>
          <t>SCA</t>
        </is>
      </c>
      <c r="G638" t="n">
        <v>9</v>
      </c>
      <c r="H638" t="n">
        <v>0</v>
      </c>
      <c r="I638" t="n">
        <v>0</v>
      </c>
      <c r="J638" t="n">
        <v>0</v>
      </c>
      <c r="K638" t="n">
        <v>0</v>
      </c>
      <c r="L638" t="n">
        <v>0</v>
      </c>
      <c r="M638" t="n">
        <v>0</v>
      </c>
      <c r="N638" t="n">
        <v>0</v>
      </c>
      <c r="O638" t="n">
        <v>0</v>
      </c>
      <c r="P638" t="n">
        <v>0</v>
      </c>
      <c r="Q638" t="n">
        <v>0</v>
      </c>
      <c r="R638" s="2" t="inlineStr"/>
    </row>
    <row r="639" ht="15" customHeight="1">
      <c r="A639" t="inlineStr">
        <is>
          <t>A 23139-2021</t>
        </is>
      </c>
      <c r="B639" s="1" t="n">
        <v>44331</v>
      </c>
      <c r="C639" s="1" t="n">
        <v>45916</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34720-2023</t>
        </is>
      </c>
      <c r="B640" s="1" t="n">
        <v>45139</v>
      </c>
      <c r="C640" s="1" t="n">
        <v>45916</v>
      </c>
      <c r="D640" t="inlineStr">
        <is>
          <t>JÄMTLANDS LÄN</t>
        </is>
      </c>
      <c r="E640" t="inlineStr">
        <is>
          <t>KROKOM</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31290-2025</t>
        </is>
      </c>
      <c r="B641" s="1" t="n">
        <v>45833.36050925926</v>
      </c>
      <c r="C641" s="1" t="n">
        <v>45916</v>
      </c>
      <c r="D641" t="inlineStr">
        <is>
          <t>JÄMTLANDS LÄN</t>
        </is>
      </c>
      <c r="E641" t="inlineStr">
        <is>
          <t>KROKOM</t>
        </is>
      </c>
      <c r="G641" t="n">
        <v>0.7</v>
      </c>
      <c r="H641" t="n">
        <v>0</v>
      </c>
      <c r="I641" t="n">
        <v>0</v>
      </c>
      <c r="J641" t="n">
        <v>0</v>
      </c>
      <c r="K641" t="n">
        <v>0</v>
      </c>
      <c r="L641" t="n">
        <v>0</v>
      </c>
      <c r="M641" t="n">
        <v>0</v>
      </c>
      <c r="N641" t="n">
        <v>0</v>
      </c>
      <c r="O641" t="n">
        <v>0</v>
      </c>
      <c r="P641" t="n">
        <v>0</v>
      </c>
      <c r="Q641" t="n">
        <v>0</v>
      </c>
      <c r="R641" s="2" t="inlineStr"/>
    </row>
    <row r="642" ht="15" customHeight="1">
      <c r="A642" t="inlineStr">
        <is>
          <t>A 31291-2025</t>
        </is>
      </c>
      <c r="B642" s="1" t="n">
        <v>45833.36083333333</v>
      </c>
      <c r="C642" s="1" t="n">
        <v>45916</v>
      </c>
      <c r="D642" t="inlineStr">
        <is>
          <t>JÄMTLANDS LÄN</t>
        </is>
      </c>
      <c r="E642" t="inlineStr">
        <is>
          <t>KROKOM</t>
        </is>
      </c>
      <c r="G642" t="n">
        <v>4.5</v>
      </c>
      <c r="H642" t="n">
        <v>0</v>
      </c>
      <c r="I642" t="n">
        <v>0</v>
      </c>
      <c r="J642" t="n">
        <v>0</v>
      </c>
      <c r="K642" t="n">
        <v>0</v>
      </c>
      <c r="L642" t="n">
        <v>0</v>
      </c>
      <c r="M642" t="n">
        <v>0</v>
      </c>
      <c r="N642" t="n">
        <v>0</v>
      </c>
      <c r="O642" t="n">
        <v>0</v>
      </c>
      <c r="P642" t="n">
        <v>0</v>
      </c>
      <c r="Q642" t="n">
        <v>0</v>
      </c>
      <c r="R642" s="2" t="inlineStr"/>
    </row>
    <row r="643" ht="15" customHeight="1">
      <c r="A643" t="inlineStr">
        <is>
          <t>A 31032-2025</t>
        </is>
      </c>
      <c r="B643" s="1" t="n">
        <v>45832.53935185185</v>
      </c>
      <c r="C643" s="1" t="n">
        <v>45916</v>
      </c>
      <c r="D643" t="inlineStr">
        <is>
          <t>JÄMTLANDS LÄN</t>
        </is>
      </c>
      <c r="E643" t="inlineStr">
        <is>
          <t>KROKOM</t>
        </is>
      </c>
      <c r="F643" t="inlineStr">
        <is>
          <t>Övriga Aktiebolag</t>
        </is>
      </c>
      <c r="G643" t="n">
        <v>1.6</v>
      </c>
      <c r="H643" t="n">
        <v>0</v>
      </c>
      <c r="I643" t="n">
        <v>0</v>
      </c>
      <c r="J643" t="n">
        <v>0</v>
      </c>
      <c r="K643" t="n">
        <v>0</v>
      </c>
      <c r="L643" t="n">
        <v>0</v>
      </c>
      <c r="M643" t="n">
        <v>0</v>
      </c>
      <c r="N643" t="n">
        <v>0</v>
      </c>
      <c r="O643" t="n">
        <v>0</v>
      </c>
      <c r="P643" t="n">
        <v>0</v>
      </c>
      <c r="Q643" t="n">
        <v>0</v>
      </c>
      <c r="R643" s="2" t="inlineStr"/>
    </row>
    <row r="644" ht="15" customHeight="1">
      <c r="A644" t="inlineStr">
        <is>
          <t>A 31292-2025</t>
        </is>
      </c>
      <c r="B644" s="1" t="n">
        <v>45833.36111111111</v>
      </c>
      <c r="C644" s="1" t="n">
        <v>45916</v>
      </c>
      <c r="D644" t="inlineStr">
        <is>
          <t>JÄMTLANDS LÄN</t>
        </is>
      </c>
      <c r="E644" t="inlineStr">
        <is>
          <t>KROKOM</t>
        </is>
      </c>
      <c r="G644" t="n">
        <v>3.3</v>
      </c>
      <c r="H644" t="n">
        <v>0</v>
      </c>
      <c r="I644" t="n">
        <v>0</v>
      </c>
      <c r="J644" t="n">
        <v>0</v>
      </c>
      <c r="K644" t="n">
        <v>0</v>
      </c>
      <c r="L644" t="n">
        <v>0</v>
      </c>
      <c r="M644" t="n">
        <v>0</v>
      </c>
      <c r="N644" t="n">
        <v>0</v>
      </c>
      <c r="O644" t="n">
        <v>0</v>
      </c>
      <c r="P644" t="n">
        <v>0</v>
      </c>
      <c r="Q644" t="n">
        <v>0</v>
      </c>
      <c r="R644" s="2" t="inlineStr"/>
    </row>
    <row r="645" ht="15" customHeight="1">
      <c r="A645" t="inlineStr">
        <is>
          <t>A 31852-2025</t>
        </is>
      </c>
      <c r="B645" s="1" t="n">
        <v>45834.61517361111</v>
      </c>
      <c r="C645" s="1" t="n">
        <v>45916</v>
      </c>
      <c r="D645" t="inlineStr">
        <is>
          <t>JÄMTLANDS LÄN</t>
        </is>
      </c>
      <c r="E645" t="inlineStr">
        <is>
          <t>KROKOM</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58052-2022</t>
        </is>
      </c>
      <c r="B646" s="1" t="n">
        <v>44893</v>
      </c>
      <c r="C646" s="1" t="n">
        <v>45916</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5785-2025</t>
        </is>
      </c>
      <c r="B647" s="1" t="n">
        <v>45694.64416666667</v>
      </c>
      <c r="C647" s="1" t="n">
        <v>45916</v>
      </c>
      <c r="D647" t="inlineStr">
        <is>
          <t>JÄMTLANDS LÄN</t>
        </is>
      </c>
      <c r="E647" t="inlineStr">
        <is>
          <t>KROKOM</t>
        </is>
      </c>
      <c r="F647" t="inlineStr">
        <is>
          <t>Övriga Aktiebolag</t>
        </is>
      </c>
      <c r="G647" t="n">
        <v>4.2</v>
      </c>
      <c r="H647" t="n">
        <v>0</v>
      </c>
      <c r="I647" t="n">
        <v>0</v>
      </c>
      <c r="J647" t="n">
        <v>0</v>
      </c>
      <c r="K647" t="n">
        <v>0</v>
      </c>
      <c r="L647" t="n">
        <v>0</v>
      </c>
      <c r="M647" t="n">
        <v>0</v>
      </c>
      <c r="N647" t="n">
        <v>0</v>
      </c>
      <c r="O647" t="n">
        <v>0</v>
      </c>
      <c r="P647" t="n">
        <v>0</v>
      </c>
      <c r="Q647" t="n">
        <v>0</v>
      </c>
      <c r="R647" s="2" t="inlineStr"/>
    </row>
    <row r="648" ht="15" customHeight="1">
      <c r="A648" t="inlineStr">
        <is>
          <t>A 32038-2025</t>
        </is>
      </c>
      <c r="B648" s="1" t="n">
        <v>45835.42712962963</v>
      </c>
      <c r="C648" s="1" t="n">
        <v>45916</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37408-2025</t>
        </is>
      </c>
      <c r="B649" s="1" t="n">
        <v>45877.46555555556</v>
      </c>
      <c r="C649" s="1" t="n">
        <v>45916</v>
      </c>
      <c r="D649" t="inlineStr">
        <is>
          <t>JÄMTLANDS LÄN</t>
        </is>
      </c>
      <c r="E649" t="inlineStr">
        <is>
          <t>KROKOM</t>
        </is>
      </c>
      <c r="G649" t="n">
        <v>7.3</v>
      </c>
      <c r="H649" t="n">
        <v>0</v>
      </c>
      <c r="I649" t="n">
        <v>0</v>
      </c>
      <c r="J649" t="n">
        <v>0</v>
      </c>
      <c r="K649" t="n">
        <v>0</v>
      </c>
      <c r="L649" t="n">
        <v>0</v>
      </c>
      <c r="M649" t="n">
        <v>0</v>
      </c>
      <c r="N649" t="n">
        <v>0</v>
      </c>
      <c r="O649" t="n">
        <v>0</v>
      </c>
      <c r="P649" t="n">
        <v>0</v>
      </c>
      <c r="Q649" t="n">
        <v>0</v>
      </c>
      <c r="R649" s="2" t="inlineStr"/>
    </row>
    <row r="650" ht="15" customHeight="1">
      <c r="A650" t="inlineStr">
        <is>
          <t>A 18841-2025</t>
        </is>
      </c>
      <c r="B650" s="1" t="n">
        <v>45764.40834490741</v>
      </c>
      <c r="C650" s="1" t="n">
        <v>45916</v>
      </c>
      <c r="D650" t="inlineStr">
        <is>
          <t>JÄMTLANDS LÄN</t>
        </is>
      </c>
      <c r="E650" t="inlineStr">
        <is>
          <t>KROKOM</t>
        </is>
      </c>
      <c r="G650" t="n">
        <v>2.9</v>
      </c>
      <c r="H650" t="n">
        <v>0</v>
      </c>
      <c r="I650" t="n">
        <v>0</v>
      </c>
      <c r="J650" t="n">
        <v>0</v>
      </c>
      <c r="K650" t="n">
        <v>0</v>
      </c>
      <c r="L650" t="n">
        <v>0</v>
      </c>
      <c r="M650" t="n">
        <v>0</v>
      </c>
      <c r="N650" t="n">
        <v>0</v>
      </c>
      <c r="O650" t="n">
        <v>0</v>
      </c>
      <c r="P650" t="n">
        <v>0</v>
      </c>
      <c r="Q650" t="n">
        <v>0</v>
      </c>
      <c r="R650" s="2" t="inlineStr"/>
    </row>
    <row r="651" ht="15" customHeight="1">
      <c r="A651" t="inlineStr">
        <is>
          <t>A 37349-2025</t>
        </is>
      </c>
      <c r="B651" s="1" t="n">
        <v>45876</v>
      </c>
      <c r="C651" s="1" t="n">
        <v>45916</v>
      </c>
      <c r="D651" t="inlineStr">
        <is>
          <t>JÄMTLANDS LÄN</t>
        </is>
      </c>
      <c r="E651" t="inlineStr">
        <is>
          <t>KROKOM</t>
        </is>
      </c>
      <c r="G651" t="n">
        <v>7.9</v>
      </c>
      <c r="H651" t="n">
        <v>0</v>
      </c>
      <c r="I651" t="n">
        <v>0</v>
      </c>
      <c r="J651" t="n">
        <v>0</v>
      </c>
      <c r="K651" t="n">
        <v>0</v>
      </c>
      <c r="L651" t="n">
        <v>0</v>
      </c>
      <c r="M651" t="n">
        <v>0</v>
      </c>
      <c r="N651" t="n">
        <v>0</v>
      </c>
      <c r="O651" t="n">
        <v>0</v>
      </c>
      <c r="P651" t="n">
        <v>0</v>
      </c>
      <c r="Q651" t="n">
        <v>0</v>
      </c>
      <c r="R651" s="2" t="inlineStr"/>
    </row>
    <row r="652" ht="15" customHeight="1">
      <c r="A652" t="inlineStr">
        <is>
          <t>A 37350-2025</t>
        </is>
      </c>
      <c r="B652" s="1" t="n">
        <v>45876</v>
      </c>
      <c r="C652" s="1" t="n">
        <v>45916</v>
      </c>
      <c r="D652" t="inlineStr">
        <is>
          <t>JÄMTLANDS LÄN</t>
        </is>
      </c>
      <c r="E652" t="inlineStr">
        <is>
          <t>KROKOM</t>
        </is>
      </c>
      <c r="G652" t="n">
        <v>29.9</v>
      </c>
      <c r="H652" t="n">
        <v>0</v>
      </c>
      <c r="I652" t="n">
        <v>0</v>
      </c>
      <c r="J652" t="n">
        <v>0</v>
      </c>
      <c r="K652" t="n">
        <v>0</v>
      </c>
      <c r="L652" t="n">
        <v>0</v>
      </c>
      <c r="M652" t="n">
        <v>0</v>
      </c>
      <c r="N652" t="n">
        <v>0</v>
      </c>
      <c r="O652" t="n">
        <v>0</v>
      </c>
      <c r="P652" t="n">
        <v>0</v>
      </c>
      <c r="Q652" t="n">
        <v>0</v>
      </c>
      <c r="R652" s="2" t="inlineStr"/>
    </row>
    <row r="653" ht="15" customHeight="1">
      <c r="A653" t="inlineStr">
        <is>
          <t>A 31654-2025</t>
        </is>
      </c>
      <c r="B653" s="1" t="n">
        <v>45834.34726851852</v>
      </c>
      <c r="C653" s="1" t="n">
        <v>45916</v>
      </c>
      <c r="D653" t="inlineStr">
        <is>
          <t>JÄMTLANDS LÄN</t>
        </is>
      </c>
      <c r="E653" t="inlineStr">
        <is>
          <t>KROKOM</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30728-2022</t>
        </is>
      </c>
      <c r="B654" s="1" t="n">
        <v>44764</v>
      </c>
      <c r="C654" s="1" t="n">
        <v>45916</v>
      </c>
      <c r="D654" t="inlineStr">
        <is>
          <t>JÄMTLANDS LÄN</t>
        </is>
      </c>
      <c r="E654" t="inlineStr">
        <is>
          <t>KROKOM</t>
        </is>
      </c>
      <c r="G654" t="n">
        <v>6.4</v>
      </c>
      <c r="H654" t="n">
        <v>0</v>
      </c>
      <c r="I654" t="n">
        <v>0</v>
      </c>
      <c r="J654" t="n">
        <v>0</v>
      </c>
      <c r="K654" t="n">
        <v>0</v>
      </c>
      <c r="L654" t="n">
        <v>0</v>
      </c>
      <c r="M654" t="n">
        <v>0</v>
      </c>
      <c r="N654" t="n">
        <v>0</v>
      </c>
      <c r="O654" t="n">
        <v>0</v>
      </c>
      <c r="P654" t="n">
        <v>0</v>
      </c>
      <c r="Q654" t="n">
        <v>0</v>
      </c>
      <c r="R654" s="2" t="inlineStr"/>
    </row>
    <row r="655" ht="15" customHeight="1">
      <c r="A655" t="inlineStr">
        <is>
          <t>A 30729-2022</t>
        </is>
      </c>
      <c r="B655" s="1" t="n">
        <v>44764</v>
      </c>
      <c r="C655" s="1" t="n">
        <v>45916</v>
      </c>
      <c r="D655" t="inlineStr">
        <is>
          <t>JÄMTLANDS LÄN</t>
        </is>
      </c>
      <c r="E655" t="inlineStr">
        <is>
          <t>KROKOM</t>
        </is>
      </c>
      <c r="G655" t="n">
        <v>2.5</v>
      </c>
      <c r="H655" t="n">
        <v>0</v>
      </c>
      <c r="I655" t="n">
        <v>0</v>
      </c>
      <c r="J655" t="n">
        <v>0</v>
      </c>
      <c r="K655" t="n">
        <v>0</v>
      </c>
      <c r="L655" t="n">
        <v>0</v>
      </c>
      <c r="M655" t="n">
        <v>0</v>
      </c>
      <c r="N655" t="n">
        <v>0</v>
      </c>
      <c r="O655" t="n">
        <v>0</v>
      </c>
      <c r="P655" t="n">
        <v>0</v>
      </c>
      <c r="Q655" t="n">
        <v>0</v>
      </c>
      <c r="R655" s="2" t="inlineStr"/>
    </row>
    <row r="656" ht="15" customHeight="1">
      <c r="A656" t="inlineStr">
        <is>
          <t>A 58313-2022</t>
        </is>
      </c>
      <c r="B656" s="1" t="n">
        <v>44901.54615740741</v>
      </c>
      <c r="C656" s="1" t="n">
        <v>45916</v>
      </c>
      <c r="D656" t="inlineStr">
        <is>
          <t>JÄMTLANDS LÄN</t>
        </is>
      </c>
      <c r="E656" t="inlineStr">
        <is>
          <t>KROKOM</t>
        </is>
      </c>
      <c r="F656" t="inlineStr">
        <is>
          <t>Övriga Aktiebolag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28067-2023</t>
        </is>
      </c>
      <c r="B657" s="1" t="n">
        <v>45099.37211805556</v>
      </c>
      <c r="C657" s="1" t="n">
        <v>45916</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29986-2023</t>
        </is>
      </c>
      <c r="B658" s="1" t="n">
        <v>45109.44534722222</v>
      </c>
      <c r="C658" s="1" t="n">
        <v>45916</v>
      </c>
      <c r="D658" t="inlineStr">
        <is>
          <t>JÄMTLANDS LÄN</t>
        </is>
      </c>
      <c r="E658" t="inlineStr">
        <is>
          <t>KROKOM</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53807-2024</t>
        </is>
      </c>
      <c r="B659" s="1" t="n">
        <v>45615.59521990741</v>
      </c>
      <c r="C659" s="1" t="n">
        <v>45916</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43426-2022</t>
        </is>
      </c>
      <c r="B660" s="1" t="n">
        <v>44834.95019675926</v>
      </c>
      <c r="C660" s="1" t="n">
        <v>45916</v>
      </c>
      <c r="D660" t="inlineStr">
        <is>
          <t>JÄMTLANDS LÄN</t>
        </is>
      </c>
      <c r="E660" t="inlineStr">
        <is>
          <t>KROKOM</t>
        </is>
      </c>
      <c r="F660" t="inlineStr">
        <is>
          <t>SCA</t>
        </is>
      </c>
      <c r="G660" t="n">
        <v>34.4</v>
      </c>
      <c r="H660" t="n">
        <v>0</v>
      </c>
      <c r="I660" t="n">
        <v>0</v>
      </c>
      <c r="J660" t="n">
        <v>0</v>
      </c>
      <c r="K660" t="n">
        <v>0</v>
      </c>
      <c r="L660" t="n">
        <v>0</v>
      </c>
      <c r="M660" t="n">
        <v>0</v>
      </c>
      <c r="N660" t="n">
        <v>0</v>
      </c>
      <c r="O660" t="n">
        <v>0</v>
      </c>
      <c r="P660" t="n">
        <v>0</v>
      </c>
      <c r="Q660" t="n">
        <v>0</v>
      </c>
      <c r="R660" s="2" t="inlineStr"/>
    </row>
    <row r="661" ht="15" customHeight="1">
      <c r="A661" t="inlineStr">
        <is>
          <t>A 15310-2025</t>
        </is>
      </c>
      <c r="B661" s="1" t="n">
        <v>45746.79134259259</v>
      </c>
      <c r="C661" s="1" t="n">
        <v>45916</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61609-2020</t>
        </is>
      </c>
      <c r="B662" s="1" t="n">
        <v>44154</v>
      </c>
      <c r="C662" s="1" t="n">
        <v>45916</v>
      </c>
      <c r="D662" t="inlineStr">
        <is>
          <t>JÄMTLANDS LÄN</t>
        </is>
      </c>
      <c r="E662" t="inlineStr">
        <is>
          <t>KROKOM</t>
        </is>
      </c>
      <c r="G662" t="n">
        <v>6.4</v>
      </c>
      <c r="H662" t="n">
        <v>0</v>
      </c>
      <c r="I662" t="n">
        <v>0</v>
      </c>
      <c r="J662" t="n">
        <v>0</v>
      </c>
      <c r="K662" t="n">
        <v>0</v>
      </c>
      <c r="L662" t="n">
        <v>0</v>
      </c>
      <c r="M662" t="n">
        <v>0</v>
      </c>
      <c r="N662" t="n">
        <v>0</v>
      </c>
      <c r="O662" t="n">
        <v>0</v>
      </c>
      <c r="P662" t="n">
        <v>0</v>
      </c>
      <c r="Q662" t="n">
        <v>0</v>
      </c>
      <c r="R662" s="2" t="inlineStr"/>
    </row>
    <row r="663" ht="15" customHeight="1">
      <c r="A663" t="inlineStr">
        <is>
          <t>A 37465-2025</t>
        </is>
      </c>
      <c r="B663" s="1" t="n">
        <v>45877.57403935185</v>
      </c>
      <c r="C663" s="1" t="n">
        <v>45916</v>
      </c>
      <c r="D663" t="inlineStr">
        <is>
          <t>JÄMTLANDS LÄN</t>
        </is>
      </c>
      <c r="E663" t="inlineStr">
        <is>
          <t>KROKOM</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22890-2024</t>
        </is>
      </c>
      <c r="B664" s="1" t="n">
        <v>45448.67574074074</v>
      </c>
      <c r="C664" s="1" t="n">
        <v>45916</v>
      </c>
      <c r="D664" t="inlineStr">
        <is>
          <t>JÄMTLANDS LÄN</t>
        </is>
      </c>
      <c r="E664" t="inlineStr">
        <is>
          <t>KROKOM</t>
        </is>
      </c>
      <c r="F664" t="inlineStr">
        <is>
          <t>Övriga Aktiebolag</t>
        </is>
      </c>
      <c r="G664" t="n">
        <v>3</v>
      </c>
      <c r="H664" t="n">
        <v>0</v>
      </c>
      <c r="I664" t="n">
        <v>0</v>
      </c>
      <c r="J664" t="n">
        <v>0</v>
      </c>
      <c r="K664" t="n">
        <v>0</v>
      </c>
      <c r="L664" t="n">
        <v>0</v>
      </c>
      <c r="M664" t="n">
        <v>0</v>
      </c>
      <c r="N664" t="n">
        <v>0</v>
      </c>
      <c r="O664" t="n">
        <v>0</v>
      </c>
      <c r="P664" t="n">
        <v>0</v>
      </c>
      <c r="Q664" t="n">
        <v>0</v>
      </c>
      <c r="R664" s="2" t="inlineStr"/>
    </row>
    <row r="665" ht="15" customHeight="1">
      <c r="A665" t="inlineStr">
        <is>
          <t>A 5907-2025</t>
        </is>
      </c>
      <c r="B665" s="1" t="n">
        <v>45695.4046875</v>
      </c>
      <c r="C665" s="1" t="n">
        <v>45916</v>
      </c>
      <c r="D665" t="inlineStr">
        <is>
          <t>JÄMTLANDS LÄN</t>
        </is>
      </c>
      <c r="E665" t="inlineStr">
        <is>
          <t>KROKOM</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32896-2025</t>
        </is>
      </c>
      <c r="B666" s="1" t="n">
        <v>45839.61541666667</v>
      </c>
      <c r="C666" s="1" t="n">
        <v>45916</v>
      </c>
      <c r="D666" t="inlineStr">
        <is>
          <t>JÄMTLANDS LÄN</t>
        </is>
      </c>
      <c r="E666" t="inlineStr">
        <is>
          <t>KROKOM</t>
        </is>
      </c>
      <c r="F666" t="inlineStr">
        <is>
          <t>SCA</t>
        </is>
      </c>
      <c r="G666" t="n">
        <v>17.9</v>
      </c>
      <c r="H666" t="n">
        <v>0</v>
      </c>
      <c r="I666" t="n">
        <v>0</v>
      </c>
      <c r="J666" t="n">
        <v>0</v>
      </c>
      <c r="K666" t="n">
        <v>0</v>
      </c>
      <c r="L666" t="n">
        <v>0</v>
      </c>
      <c r="M666" t="n">
        <v>0</v>
      </c>
      <c r="N666" t="n">
        <v>0</v>
      </c>
      <c r="O666" t="n">
        <v>0</v>
      </c>
      <c r="P666" t="n">
        <v>0</v>
      </c>
      <c r="Q666" t="n">
        <v>0</v>
      </c>
      <c r="R666" s="2" t="inlineStr"/>
    </row>
    <row r="667" ht="15" customHeight="1">
      <c r="A667" t="inlineStr">
        <is>
          <t>A 7763-2024</t>
        </is>
      </c>
      <c r="B667" s="1" t="n">
        <v>45348</v>
      </c>
      <c r="C667" s="1" t="n">
        <v>45916</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11092-2024</t>
        </is>
      </c>
      <c r="B668" s="1" t="n">
        <v>45370.94969907407</v>
      </c>
      <c r="C668" s="1" t="n">
        <v>45916</v>
      </c>
      <c r="D668" t="inlineStr">
        <is>
          <t>JÄMTLANDS LÄN</t>
        </is>
      </c>
      <c r="E668" t="inlineStr">
        <is>
          <t>KROKOM</t>
        </is>
      </c>
      <c r="F668" t="inlineStr">
        <is>
          <t>SCA</t>
        </is>
      </c>
      <c r="G668" t="n">
        <v>27.2</v>
      </c>
      <c r="H668" t="n">
        <v>0</v>
      </c>
      <c r="I668" t="n">
        <v>0</v>
      </c>
      <c r="J668" t="n">
        <v>0</v>
      </c>
      <c r="K668" t="n">
        <v>0</v>
      </c>
      <c r="L668" t="n">
        <v>0</v>
      </c>
      <c r="M668" t="n">
        <v>0</v>
      </c>
      <c r="N668" t="n">
        <v>0</v>
      </c>
      <c r="O668" t="n">
        <v>0</v>
      </c>
      <c r="P668" t="n">
        <v>0</v>
      </c>
      <c r="Q668" t="n">
        <v>0</v>
      </c>
      <c r="R668" s="2" t="inlineStr"/>
    </row>
    <row r="669" ht="15" customHeight="1">
      <c r="A669" t="inlineStr">
        <is>
          <t>A 9948-2025</t>
        </is>
      </c>
      <c r="B669" s="1" t="n">
        <v>45719.32584490741</v>
      </c>
      <c r="C669" s="1" t="n">
        <v>45916</v>
      </c>
      <c r="D669" t="inlineStr">
        <is>
          <t>JÄMTLANDS LÄN</t>
        </is>
      </c>
      <c r="E669" t="inlineStr">
        <is>
          <t>KROKOM</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37615-2025</t>
        </is>
      </c>
      <c r="B670" s="1" t="n">
        <v>45880</v>
      </c>
      <c r="C670" s="1" t="n">
        <v>45916</v>
      </c>
      <c r="D670" t="inlineStr">
        <is>
          <t>JÄMTLANDS LÄN</t>
        </is>
      </c>
      <c r="E670" t="inlineStr">
        <is>
          <t>KROKOM</t>
        </is>
      </c>
      <c r="G670" t="n">
        <v>33.6</v>
      </c>
      <c r="H670" t="n">
        <v>0</v>
      </c>
      <c r="I670" t="n">
        <v>0</v>
      </c>
      <c r="J670" t="n">
        <v>0</v>
      </c>
      <c r="K670" t="n">
        <v>0</v>
      </c>
      <c r="L670" t="n">
        <v>0</v>
      </c>
      <c r="M670" t="n">
        <v>0</v>
      </c>
      <c r="N670" t="n">
        <v>0</v>
      </c>
      <c r="O670" t="n">
        <v>0</v>
      </c>
      <c r="P670" t="n">
        <v>0</v>
      </c>
      <c r="Q670" t="n">
        <v>0</v>
      </c>
      <c r="R670" s="2" t="inlineStr"/>
    </row>
    <row r="671" ht="15" customHeight="1">
      <c r="A671" t="inlineStr">
        <is>
          <t>A 32899-2025</t>
        </is>
      </c>
      <c r="B671" s="1" t="n">
        <v>45839.61594907408</v>
      </c>
      <c r="C671" s="1" t="n">
        <v>45916</v>
      </c>
      <c r="D671" t="inlineStr">
        <is>
          <t>JÄMTLANDS LÄN</t>
        </is>
      </c>
      <c r="E671" t="inlineStr">
        <is>
          <t>KROKOM</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10133-2025</t>
        </is>
      </c>
      <c r="B672" s="1" t="n">
        <v>45719</v>
      </c>
      <c r="C672" s="1" t="n">
        <v>45916</v>
      </c>
      <c r="D672" t="inlineStr">
        <is>
          <t>JÄMTLANDS LÄN</t>
        </is>
      </c>
      <c r="E672" t="inlineStr">
        <is>
          <t>KROKOM</t>
        </is>
      </c>
      <c r="G672" t="n">
        <v>3.2</v>
      </c>
      <c r="H672" t="n">
        <v>0</v>
      </c>
      <c r="I672" t="n">
        <v>0</v>
      </c>
      <c r="J672" t="n">
        <v>0</v>
      </c>
      <c r="K672" t="n">
        <v>0</v>
      </c>
      <c r="L672" t="n">
        <v>0</v>
      </c>
      <c r="M672" t="n">
        <v>0</v>
      </c>
      <c r="N672" t="n">
        <v>0</v>
      </c>
      <c r="O672" t="n">
        <v>0</v>
      </c>
      <c r="P672" t="n">
        <v>0</v>
      </c>
      <c r="Q672" t="n">
        <v>0</v>
      </c>
      <c r="R672" s="2" t="inlineStr"/>
    </row>
    <row r="673" ht="15" customHeight="1">
      <c r="A673" t="inlineStr">
        <is>
          <t>A 18942-2025</t>
        </is>
      </c>
      <c r="B673" s="1" t="n">
        <v>45764</v>
      </c>
      <c r="C673" s="1" t="n">
        <v>45916</v>
      </c>
      <c r="D673" t="inlineStr">
        <is>
          <t>JÄMTLANDS LÄN</t>
        </is>
      </c>
      <c r="E673" t="inlineStr">
        <is>
          <t>KROKOM</t>
        </is>
      </c>
      <c r="G673" t="n">
        <v>8.9</v>
      </c>
      <c r="H673" t="n">
        <v>0</v>
      </c>
      <c r="I673" t="n">
        <v>0</v>
      </c>
      <c r="J673" t="n">
        <v>0</v>
      </c>
      <c r="K673" t="n">
        <v>0</v>
      </c>
      <c r="L673" t="n">
        <v>0</v>
      </c>
      <c r="M673" t="n">
        <v>0</v>
      </c>
      <c r="N673" t="n">
        <v>0</v>
      </c>
      <c r="O673" t="n">
        <v>0</v>
      </c>
      <c r="P673" t="n">
        <v>0</v>
      </c>
      <c r="Q673" t="n">
        <v>0</v>
      </c>
      <c r="R673" s="2" t="inlineStr"/>
    </row>
    <row r="674" ht="15" customHeight="1">
      <c r="A674" t="inlineStr">
        <is>
          <t>A 32966-2025</t>
        </is>
      </c>
      <c r="B674" s="1" t="n">
        <v>45839.72320601852</v>
      </c>
      <c r="C674" s="1" t="n">
        <v>45916</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11639-2024</t>
        </is>
      </c>
      <c r="B675" s="1" t="n">
        <v>45373</v>
      </c>
      <c r="C675" s="1" t="n">
        <v>45916</v>
      </c>
      <c r="D675" t="inlineStr">
        <is>
          <t>JÄMTLANDS LÄN</t>
        </is>
      </c>
      <c r="E675" t="inlineStr">
        <is>
          <t>KROKOM</t>
        </is>
      </c>
      <c r="G675" t="n">
        <v>22.2</v>
      </c>
      <c r="H675" t="n">
        <v>0</v>
      </c>
      <c r="I675" t="n">
        <v>0</v>
      </c>
      <c r="J675" t="n">
        <v>0</v>
      </c>
      <c r="K675" t="n">
        <v>0</v>
      </c>
      <c r="L675" t="n">
        <v>0</v>
      </c>
      <c r="M675" t="n">
        <v>0</v>
      </c>
      <c r="N675" t="n">
        <v>0</v>
      </c>
      <c r="O675" t="n">
        <v>0</v>
      </c>
      <c r="P675" t="n">
        <v>0</v>
      </c>
      <c r="Q675" t="n">
        <v>0</v>
      </c>
      <c r="R675" s="2" t="inlineStr"/>
    </row>
    <row r="676" ht="15" customHeight="1">
      <c r="A676" t="inlineStr">
        <is>
          <t>A 37820-2025</t>
        </is>
      </c>
      <c r="B676" s="1" t="n">
        <v>45881.39909722222</v>
      </c>
      <c r="C676" s="1" t="n">
        <v>45916</v>
      </c>
      <c r="D676" t="inlineStr">
        <is>
          <t>JÄMTLANDS LÄN</t>
        </is>
      </c>
      <c r="E676" t="inlineStr">
        <is>
          <t>KROKOM</t>
        </is>
      </c>
      <c r="G676" t="n">
        <v>2.1</v>
      </c>
      <c r="H676" t="n">
        <v>0</v>
      </c>
      <c r="I676" t="n">
        <v>0</v>
      </c>
      <c r="J676" t="n">
        <v>0</v>
      </c>
      <c r="K676" t="n">
        <v>0</v>
      </c>
      <c r="L676" t="n">
        <v>0</v>
      </c>
      <c r="M676" t="n">
        <v>0</v>
      </c>
      <c r="N676" t="n">
        <v>0</v>
      </c>
      <c r="O676" t="n">
        <v>0</v>
      </c>
      <c r="P676" t="n">
        <v>0</v>
      </c>
      <c r="Q676" t="n">
        <v>0</v>
      </c>
      <c r="R676" s="2" t="inlineStr"/>
    </row>
    <row r="677" ht="15" customHeight="1">
      <c r="A677" t="inlineStr">
        <is>
          <t>A 64174-2023</t>
        </is>
      </c>
      <c r="B677" s="1" t="n">
        <v>45279</v>
      </c>
      <c r="C677" s="1" t="n">
        <v>45916</v>
      </c>
      <c r="D677" t="inlineStr">
        <is>
          <t>JÄMTLANDS LÄN</t>
        </is>
      </c>
      <c r="E677" t="inlineStr">
        <is>
          <t>KROKOM</t>
        </is>
      </c>
      <c r="G677" t="n">
        <v>1.9</v>
      </c>
      <c r="H677" t="n">
        <v>0</v>
      </c>
      <c r="I677" t="n">
        <v>0</v>
      </c>
      <c r="J677" t="n">
        <v>0</v>
      </c>
      <c r="K677" t="n">
        <v>0</v>
      </c>
      <c r="L677" t="n">
        <v>0</v>
      </c>
      <c r="M677" t="n">
        <v>0</v>
      </c>
      <c r="N677" t="n">
        <v>0</v>
      </c>
      <c r="O677" t="n">
        <v>0</v>
      </c>
      <c r="P677" t="n">
        <v>0</v>
      </c>
      <c r="Q677" t="n">
        <v>0</v>
      </c>
      <c r="R677" s="2" t="inlineStr"/>
    </row>
    <row r="678" ht="15" customHeight="1">
      <c r="A678" t="inlineStr">
        <is>
          <t>A 32318-2025</t>
        </is>
      </c>
      <c r="B678" s="1" t="n">
        <v>45836.34413194445</v>
      </c>
      <c r="C678" s="1" t="n">
        <v>45916</v>
      </c>
      <c r="D678" t="inlineStr">
        <is>
          <t>JÄMTLANDS LÄN</t>
        </is>
      </c>
      <c r="E678" t="inlineStr">
        <is>
          <t>KROKOM</t>
        </is>
      </c>
      <c r="F678" t="inlineStr">
        <is>
          <t>SCA</t>
        </is>
      </c>
      <c r="G678" t="n">
        <v>13.8</v>
      </c>
      <c r="H678" t="n">
        <v>0</v>
      </c>
      <c r="I678" t="n">
        <v>0</v>
      </c>
      <c r="J678" t="n">
        <v>0</v>
      </c>
      <c r="K678" t="n">
        <v>0</v>
      </c>
      <c r="L678" t="n">
        <v>0</v>
      </c>
      <c r="M678" t="n">
        <v>0</v>
      </c>
      <c r="N678" t="n">
        <v>0</v>
      </c>
      <c r="O678" t="n">
        <v>0</v>
      </c>
      <c r="P678" t="n">
        <v>0</v>
      </c>
      <c r="Q678" t="n">
        <v>0</v>
      </c>
      <c r="R678" s="2" t="inlineStr"/>
    </row>
    <row r="679" ht="15" customHeight="1">
      <c r="A679" t="inlineStr">
        <is>
          <t>A 6711-2025</t>
        </is>
      </c>
      <c r="B679" s="1" t="n">
        <v>45700.56194444445</v>
      </c>
      <c r="C679" s="1" t="n">
        <v>45916</v>
      </c>
      <c r="D679" t="inlineStr">
        <is>
          <t>JÄMTLANDS LÄN</t>
        </is>
      </c>
      <c r="E679" t="inlineStr">
        <is>
          <t>KROKOM</t>
        </is>
      </c>
      <c r="F679" t="inlineStr">
        <is>
          <t>Övriga Aktiebolag</t>
        </is>
      </c>
      <c r="G679" t="n">
        <v>37.6</v>
      </c>
      <c r="H679" t="n">
        <v>0</v>
      </c>
      <c r="I679" t="n">
        <v>0</v>
      </c>
      <c r="J679" t="n">
        <v>0</v>
      </c>
      <c r="K679" t="n">
        <v>0</v>
      </c>
      <c r="L679" t="n">
        <v>0</v>
      </c>
      <c r="M679" t="n">
        <v>0</v>
      </c>
      <c r="N679" t="n">
        <v>0</v>
      </c>
      <c r="O679" t="n">
        <v>0</v>
      </c>
      <c r="P679" t="n">
        <v>0</v>
      </c>
      <c r="Q679" t="n">
        <v>0</v>
      </c>
      <c r="R679" s="2" t="inlineStr"/>
    </row>
    <row r="680" ht="15" customHeight="1">
      <c r="A680" t="inlineStr">
        <is>
          <t>A 37821-2025</t>
        </is>
      </c>
      <c r="B680" s="1" t="n">
        <v>45881.40521990741</v>
      </c>
      <c r="C680" s="1" t="n">
        <v>45916</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37886-2025</t>
        </is>
      </c>
      <c r="B681" s="1" t="n">
        <v>45881.51081018519</v>
      </c>
      <c r="C681" s="1" t="n">
        <v>45916</v>
      </c>
      <c r="D681" t="inlineStr">
        <is>
          <t>JÄMTLANDS LÄN</t>
        </is>
      </c>
      <c r="E681" t="inlineStr">
        <is>
          <t>KROKOM</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44519-2024</t>
        </is>
      </c>
      <c r="B682" s="1" t="n">
        <v>45574.43403935185</v>
      </c>
      <c r="C682" s="1" t="n">
        <v>45916</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32898-2025</t>
        </is>
      </c>
      <c r="B683" s="1" t="n">
        <v>45839.61582175926</v>
      </c>
      <c r="C683" s="1" t="n">
        <v>45916</v>
      </c>
      <c r="D683" t="inlineStr">
        <is>
          <t>JÄMTLANDS LÄN</t>
        </is>
      </c>
      <c r="E683" t="inlineStr">
        <is>
          <t>KROKOM</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32897-2025</t>
        </is>
      </c>
      <c r="B684" s="1" t="n">
        <v>45839.61563657408</v>
      </c>
      <c r="C684" s="1" t="n">
        <v>45916</v>
      </c>
      <c r="D684" t="inlineStr">
        <is>
          <t>JÄMTLANDS LÄN</t>
        </is>
      </c>
      <c r="E684" t="inlineStr">
        <is>
          <t>KROKOM</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28137-2023</t>
        </is>
      </c>
      <c r="B685" s="1" t="n">
        <v>45096</v>
      </c>
      <c r="C685" s="1" t="n">
        <v>45916</v>
      </c>
      <c r="D685" t="inlineStr">
        <is>
          <t>JÄMTLANDS LÄN</t>
        </is>
      </c>
      <c r="E685" t="inlineStr">
        <is>
          <t>KROKOM</t>
        </is>
      </c>
      <c r="G685" t="n">
        <v>1</v>
      </c>
      <c r="H685" t="n">
        <v>0</v>
      </c>
      <c r="I685" t="n">
        <v>0</v>
      </c>
      <c r="J685" t="n">
        <v>0</v>
      </c>
      <c r="K685" t="n">
        <v>0</v>
      </c>
      <c r="L685" t="n">
        <v>0</v>
      </c>
      <c r="M685" t="n">
        <v>0</v>
      </c>
      <c r="N685" t="n">
        <v>0</v>
      </c>
      <c r="O685" t="n">
        <v>0</v>
      </c>
      <c r="P685" t="n">
        <v>0</v>
      </c>
      <c r="Q685" t="n">
        <v>0</v>
      </c>
      <c r="R685" s="2" t="inlineStr"/>
    </row>
    <row r="686" ht="15" customHeight="1">
      <c r="A686" t="inlineStr">
        <is>
          <t>A 37530-2025</t>
        </is>
      </c>
      <c r="B686" s="1" t="n">
        <v>45878</v>
      </c>
      <c r="C686" s="1" t="n">
        <v>45916</v>
      </c>
      <c r="D686" t="inlineStr">
        <is>
          <t>JÄMTLANDS LÄN</t>
        </is>
      </c>
      <c r="E686" t="inlineStr">
        <is>
          <t>KROKOM</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38024-2025</t>
        </is>
      </c>
      <c r="B687" s="1" t="n">
        <v>45882.34510416666</v>
      </c>
      <c r="C687" s="1" t="n">
        <v>45916</v>
      </c>
      <c r="D687" t="inlineStr">
        <is>
          <t>JÄMTLANDS LÄN</t>
        </is>
      </c>
      <c r="E687" t="inlineStr">
        <is>
          <t>KROKOM</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38416-2025</t>
        </is>
      </c>
      <c r="B688" s="1" t="n">
        <v>45883.61028935185</v>
      </c>
      <c r="C688" s="1" t="n">
        <v>45916</v>
      </c>
      <c r="D688" t="inlineStr">
        <is>
          <t>JÄMTLANDS LÄN</t>
        </is>
      </c>
      <c r="E688" t="inlineStr">
        <is>
          <t>KROKOM</t>
        </is>
      </c>
      <c r="G688" t="n">
        <v>1.6</v>
      </c>
      <c r="H688" t="n">
        <v>0</v>
      </c>
      <c r="I688" t="n">
        <v>0</v>
      </c>
      <c r="J688" t="n">
        <v>0</v>
      </c>
      <c r="K688" t="n">
        <v>0</v>
      </c>
      <c r="L688" t="n">
        <v>0</v>
      </c>
      <c r="M688" t="n">
        <v>0</v>
      </c>
      <c r="N688" t="n">
        <v>0</v>
      </c>
      <c r="O688" t="n">
        <v>0</v>
      </c>
      <c r="P688" t="n">
        <v>0</v>
      </c>
      <c r="Q688" t="n">
        <v>0</v>
      </c>
      <c r="R688" s="2" t="inlineStr"/>
    </row>
    <row r="689" ht="15" customHeight="1">
      <c r="A689" t="inlineStr">
        <is>
          <t>A 41497-2024</t>
        </is>
      </c>
      <c r="B689" s="1" t="n">
        <v>45560.45841435185</v>
      </c>
      <c r="C689" s="1" t="n">
        <v>45916</v>
      </c>
      <c r="D689" t="inlineStr">
        <is>
          <t>JÄMTLANDS LÄN</t>
        </is>
      </c>
      <c r="E689" t="inlineStr">
        <is>
          <t>KROKOM</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2236-2024</t>
        </is>
      </c>
      <c r="B690" s="1" t="n">
        <v>45309.94650462963</v>
      </c>
      <c r="C690" s="1" t="n">
        <v>45916</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33451-2025</t>
        </is>
      </c>
      <c r="B691" s="1" t="n">
        <v>45841.46925925926</v>
      </c>
      <c r="C691" s="1" t="n">
        <v>45916</v>
      </c>
      <c r="D691" t="inlineStr">
        <is>
          <t>JÄMTLANDS LÄN</t>
        </is>
      </c>
      <c r="E691" t="inlineStr">
        <is>
          <t>KROKOM</t>
        </is>
      </c>
      <c r="F691" t="inlineStr">
        <is>
          <t>SCA</t>
        </is>
      </c>
      <c r="G691" t="n">
        <v>17.5</v>
      </c>
      <c r="H691" t="n">
        <v>0</v>
      </c>
      <c r="I691" t="n">
        <v>0</v>
      </c>
      <c r="J691" t="n">
        <v>0</v>
      </c>
      <c r="K691" t="n">
        <v>0</v>
      </c>
      <c r="L691" t="n">
        <v>0</v>
      </c>
      <c r="M691" t="n">
        <v>0</v>
      </c>
      <c r="N691" t="n">
        <v>0</v>
      </c>
      <c r="O691" t="n">
        <v>0</v>
      </c>
      <c r="P691" t="n">
        <v>0</v>
      </c>
      <c r="Q691" t="n">
        <v>0</v>
      </c>
      <c r="R691" s="2" t="inlineStr"/>
    </row>
    <row r="692" ht="15" customHeight="1">
      <c r="A692" t="inlineStr">
        <is>
          <t>A 773-2024</t>
        </is>
      </c>
      <c r="B692" s="1" t="n">
        <v>45300</v>
      </c>
      <c r="C692" s="1" t="n">
        <v>45916</v>
      </c>
      <c r="D692" t="inlineStr">
        <is>
          <t>JÄMTLANDS LÄN</t>
        </is>
      </c>
      <c r="E692" t="inlineStr">
        <is>
          <t>KROKOM</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27616-2023</t>
        </is>
      </c>
      <c r="B693" s="1" t="n">
        <v>45097</v>
      </c>
      <c r="C693" s="1" t="n">
        <v>45916</v>
      </c>
      <c r="D693" t="inlineStr">
        <is>
          <t>JÄMTLANDS LÄN</t>
        </is>
      </c>
      <c r="E693" t="inlineStr">
        <is>
          <t>KROKOM</t>
        </is>
      </c>
      <c r="F693" t="inlineStr">
        <is>
          <t>Övriga Aktiebolag</t>
        </is>
      </c>
      <c r="G693" t="n">
        <v>13.3</v>
      </c>
      <c r="H693" t="n">
        <v>0</v>
      </c>
      <c r="I693" t="n">
        <v>0</v>
      </c>
      <c r="J693" t="n">
        <v>0</v>
      </c>
      <c r="K693" t="n">
        <v>0</v>
      </c>
      <c r="L693" t="n">
        <v>0</v>
      </c>
      <c r="M693" t="n">
        <v>0</v>
      </c>
      <c r="N693" t="n">
        <v>0</v>
      </c>
      <c r="O693" t="n">
        <v>0</v>
      </c>
      <c r="P693" t="n">
        <v>0</v>
      </c>
      <c r="Q693" t="n">
        <v>0</v>
      </c>
      <c r="R693" s="2" t="inlineStr"/>
    </row>
    <row r="694" ht="15" customHeight="1">
      <c r="A694" t="inlineStr">
        <is>
          <t>A 33418-2025</t>
        </is>
      </c>
      <c r="B694" s="1" t="n">
        <v>45841.43987268519</v>
      </c>
      <c r="C694" s="1" t="n">
        <v>45916</v>
      </c>
      <c r="D694" t="inlineStr">
        <is>
          <t>JÄMTLANDS LÄN</t>
        </is>
      </c>
      <c r="E694" t="inlineStr">
        <is>
          <t>KROKOM</t>
        </is>
      </c>
      <c r="G694" t="n">
        <v>3.9</v>
      </c>
      <c r="H694" t="n">
        <v>0</v>
      </c>
      <c r="I694" t="n">
        <v>0</v>
      </c>
      <c r="J694" t="n">
        <v>0</v>
      </c>
      <c r="K694" t="n">
        <v>0</v>
      </c>
      <c r="L694" t="n">
        <v>0</v>
      </c>
      <c r="M694" t="n">
        <v>0</v>
      </c>
      <c r="N694" t="n">
        <v>0</v>
      </c>
      <c r="O694" t="n">
        <v>0</v>
      </c>
      <c r="P694" t="n">
        <v>0</v>
      </c>
      <c r="Q694" t="n">
        <v>0</v>
      </c>
      <c r="R694" s="2" t="inlineStr"/>
    </row>
    <row r="695" ht="15" customHeight="1">
      <c r="A695" t="inlineStr">
        <is>
          <t>A 38205-2025</t>
        </is>
      </c>
      <c r="B695" s="1" t="n">
        <v>45882.69851851852</v>
      </c>
      <c r="C695" s="1" t="n">
        <v>45916</v>
      </c>
      <c r="D695" t="inlineStr">
        <is>
          <t>JÄMTLANDS LÄN</t>
        </is>
      </c>
      <c r="E695" t="inlineStr">
        <is>
          <t>KROKOM</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33677-2025</t>
        </is>
      </c>
      <c r="B696" s="1" t="n">
        <v>45841.67834490741</v>
      </c>
      <c r="C696" s="1" t="n">
        <v>45916</v>
      </c>
      <c r="D696" t="inlineStr">
        <is>
          <t>JÄMTLANDS LÄN</t>
        </is>
      </c>
      <c r="E696" t="inlineStr">
        <is>
          <t>KROKOM</t>
        </is>
      </c>
      <c r="F696" t="inlineStr">
        <is>
          <t>SCA</t>
        </is>
      </c>
      <c r="G696" t="n">
        <v>13.7</v>
      </c>
      <c r="H696" t="n">
        <v>0</v>
      </c>
      <c r="I696" t="n">
        <v>0</v>
      </c>
      <c r="J696" t="n">
        <v>0</v>
      </c>
      <c r="K696" t="n">
        <v>0</v>
      </c>
      <c r="L696" t="n">
        <v>0</v>
      </c>
      <c r="M696" t="n">
        <v>0</v>
      </c>
      <c r="N696" t="n">
        <v>0</v>
      </c>
      <c r="O696" t="n">
        <v>0</v>
      </c>
      <c r="P696" t="n">
        <v>0</v>
      </c>
      <c r="Q696" t="n">
        <v>0</v>
      </c>
      <c r="R696" s="2" t="inlineStr"/>
    </row>
    <row r="697" ht="15" customHeight="1">
      <c r="A697" t="inlineStr">
        <is>
          <t>A 58734-2024</t>
        </is>
      </c>
      <c r="B697" s="1" t="n">
        <v>45635.67949074074</v>
      </c>
      <c r="C697" s="1" t="n">
        <v>45916</v>
      </c>
      <c r="D697" t="inlineStr">
        <is>
          <t>JÄMTLANDS LÄN</t>
        </is>
      </c>
      <c r="E697" t="inlineStr">
        <is>
          <t>KROKOM</t>
        </is>
      </c>
      <c r="G697" t="n">
        <v>3.4</v>
      </c>
      <c r="H697" t="n">
        <v>0</v>
      </c>
      <c r="I697" t="n">
        <v>0</v>
      </c>
      <c r="J697" t="n">
        <v>0</v>
      </c>
      <c r="K697" t="n">
        <v>0</v>
      </c>
      <c r="L697" t="n">
        <v>0</v>
      </c>
      <c r="M697" t="n">
        <v>0</v>
      </c>
      <c r="N697" t="n">
        <v>0</v>
      </c>
      <c r="O697" t="n">
        <v>0</v>
      </c>
      <c r="P697" t="n">
        <v>0</v>
      </c>
      <c r="Q697" t="n">
        <v>0</v>
      </c>
      <c r="R697" s="2" t="inlineStr"/>
    </row>
    <row r="698" ht="15" customHeight="1">
      <c r="A698" t="inlineStr">
        <is>
          <t>A 53055-2023</t>
        </is>
      </c>
      <c r="B698" s="1" t="n">
        <v>45226</v>
      </c>
      <c r="C698" s="1" t="n">
        <v>45916</v>
      </c>
      <c r="D698" t="inlineStr">
        <is>
          <t>JÄMTLANDS LÄN</t>
        </is>
      </c>
      <c r="E698" t="inlineStr">
        <is>
          <t>KROKOM</t>
        </is>
      </c>
      <c r="G698" t="n">
        <v>3.4</v>
      </c>
      <c r="H698" t="n">
        <v>0</v>
      </c>
      <c r="I698" t="n">
        <v>0</v>
      </c>
      <c r="J698" t="n">
        <v>0</v>
      </c>
      <c r="K698" t="n">
        <v>0</v>
      </c>
      <c r="L698" t="n">
        <v>0</v>
      </c>
      <c r="M698" t="n">
        <v>0</v>
      </c>
      <c r="N698" t="n">
        <v>0</v>
      </c>
      <c r="O698" t="n">
        <v>0</v>
      </c>
      <c r="P698" t="n">
        <v>0</v>
      </c>
      <c r="Q698" t="n">
        <v>0</v>
      </c>
      <c r="R698" s="2" t="inlineStr"/>
    </row>
    <row r="699" ht="15" customHeight="1">
      <c r="A699" t="inlineStr">
        <is>
          <t>A 33045-2025</t>
        </is>
      </c>
      <c r="B699" s="1" t="n">
        <v>45840.40717592592</v>
      </c>
      <c r="C699" s="1" t="n">
        <v>45916</v>
      </c>
      <c r="D699" t="inlineStr">
        <is>
          <t>JÄMTLANDS LÄN</t>
        </is>
      </c>
      <c r="E699" t="inlineStr">
        <is>
          <t>KROKOM</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8167-2025</t>
        </is>
      </c>
      <c r="B700" s="1" t="n">
        <v>45708</v>
      </c>
      <c r="C700" s="1" t="n">
        <v>45916</v>
      </c>
      <c r="D700" t="inlineStr">
        <is>
          <t>JÄMTLANDS LÄN</t>
        </is>
      </c>
      <c r="E700" t="inlineStr">
        <is>
          <t>KROKOM</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38253-2025</t>
        </is>
      </c>
      <c r="B701" s="1" t="n">
        <v>45883.37883101852</v>
      </c>
      <c r="C701" s="1" t="n">
        <v>45916</v>
      </c>
      <c r="D701" t="inlineStr">
        <is>
          <t>JÄMTLANDS LÄN</t>
        </is>
      </c>
      <c r="E701" t="inlineStr">
        <is>
          <t>KROKOM</t>
        </is>
      </c>
      <c r="G701" t="n">
        <v>5.8</v>
      </c>
      <c r="H701" t="n">
        <v>0</v>
      </c>
      <c r="I701" t="n">
        <v>0</v>
      </c>
      <c r="J701" t="n">
        <v>0</v>
      </c>
      <c r="K701" t="n">
        <v>0</v>
      </c>
      <c r="L701" t="n">
        <v>0</v>
      </c>
      <c r="M701" t="n">
        <v>0</v>
      </c>
      <c r="N701" t="n">
        <v>0</v>
      </c>
      <c r="O701" t="n">
        <v>0</v>
      </c>
      <c r="P701" t="n">
        <v>0</v>
      </c>
      <c r="Q701" t="n">
        <v>0</v>
      </c>
      <c r="R701" s="2" t="inlineStr"/>
    </row>
    <row r="702" ht="15" customHeight="1">
      <c r="A702" t="inlineStr">
        <is>
          <t>A 42393-2024</t>
        </is>
      </c>
      <c r="B702" s="1" t="n">
        <v>45565.32449074074</v>
      </c>
      <c r="C702" s="1" t="n">
        <v>45916</v>
      </c>
      <c r="D702" t="inlineStr">
        <is>
          <t>JÄMTLANDS LÄN</t>
        </is>
      </c>
      <c r="E702" t="inlineStr">
        <is>
          <t>KROKOM</t>
        </is>
      </c>
      <c r="G702" t="n">
        <v>1.2</v>
      </c>
      <c r="H702" t="n">
        <v>0</v>
      </c>
      <c r="I702" t="n">
        <v>0</v>
      </c>
      <c r="J702" t="n">
        <v>0</v>
      </c>
      <c r="K702" t="n">
        <v>0</v>
      </c>
      <c r="L702" t="n">
        <v>0</v>
      </c>
      <c r="M702" t="n">
        <v>0</v>
      </c>
      <c r="N702" t="n">
        <v>0</v>
      </c>
      <c r="O702" t="n">
        <v>0</v>
      </c>
      <c r="P702" t="n">
        <v>0</v>
      </c>
      <c r="Q702" t="n">
        <v>0</v>
      </c>
      <c r="R702" s="2" t="inlineStr"/>
    </row>
    <row r="703" ht="15" customHeight="1">
      <c r="A703" t="inlineStr">
        <is>
          <t>A 33925-2025</t>
        </is>
      </c>
      <c r="B703" s="1" t="n">
        <v>45842</v>
      </c>
      <c r="C703" s="1" t="n">
        <v>45916</v>
      </c>
      <c r="D703" t="inlineStr">
        <is>
          <t>JÄMTLANDS LÄN</t>
        </is>
      </c>
      <c r="E703" t="inlineStr">
        <is>
          <t>KROKOM</t>
        </is>
      </c>
      <c r="G703" t="n">
        <v>1.2</v>
      </c>
      <c r="H703" t="n">
        <v>0</v>
      </c>
      <c r="I703" t="n">
        <v>0</v>
      </c>
      <c r="J703" t="n">
        <v>0</v>
      </c>
      <c r="K703" t="n">
        <v>0</v>
      </c>
      <c r="L703" t="n">
        <v>0</v>
      </c>
      <c r="M703" t="n">
        <v>0</v>
      </c>
      <c r="N703" t="n">
        <v>0</v>
      </c>
      <c r="O703" t="n">
        <v>0</v>
      </c>
      <c r="P703" t="n">
        <v>0</v>
      </c>
      <c r="Q703" t="n">
        <v>0</v>
      </c>
      <c r="R703" s="2" t="inlineStr"/>
    </row>
    <row r="704" ht="15" customHeight="1">
      <c r="A704" t="inlineStr">
        <is>
          <t>A 38789-2025</t>
        </is>
      </c>
      <c r="B704" s="1" t="n">
        <v>45887.44883101852</v>
      </c>
      <c r="C704" s="1" t="n">
        <v>45916</v>
      </c>
      <c r="D704" t="inlineStr">
        <is>
          <t>JÄMTLANDS LÄN</t>
        </is>
      </c>
      <c r="E704" t="inlineStr">
        <is>
          <t>KROKOM</t>
        </is>
      </c>
      <c r="G704" t="n">
        <v>3.7</v>
      </c>
      <c r="H704" t="n">
        <v>0</v>
      </c>
      <c r="I704" t="n">
        <v>0</v>
      </c>
      <c r="J704" t="n">
        <v>0</v>
      </c>
      <c r="K704" t="n">
        <v>0</v>
      </c>
      <c r="L704" t="n">
        <v>0</v>
      </c>
      <c r="M704" t="n">
        <v>0</v>
      </c>
      <c r="N704" t="n">
        <v>0</v>
      </c>
      <c r="O704" t="n">
        <v>0</v>
      </c>
      <c r="P704" t="n">
        <v>0</v>
      </c>
      <c r="Q704" t="n">
        <v>0</v>
      </c>
      <c r="R704" s="2" t="inlineStr"/>
    </row>
    <row r="705" ht="15" customHeight="1">
      <c r="A705" t="inlineStr">
        <is>
          <t>A 38850-2025</t>
        </is>
      </c>
      <c r="B705" s="1" t="n">
        <v>45887.55252314815</v>
      </c>
      <c r="C705" s="1" t="n">
        <v>45916</v>
      </c>
      <c r="D705" t="inlineStr">
        <is>
          <t>JÄMTLANDS LÄN</t>
        </is>
      </c>
      <c r="E705" t="inlineStr">
        <is>
          <t>KROKOM</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33915-2025</t>
        </is>
      </c>
      <c r="B706" s="1" t="n">
        <v>45842.6099537037</v>
      </c>
      <c r="C706" s="1" t="n">
        <v>45916</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33945-2025</t>
        </is>
      </c>
      <c r="B707" s="1" t="n">
        <v>45842</v>
      </c>
      <c r="C707" s="1" t="n">
        <v>45916</v>
      </c>
      <c r="D707" t="inlineStr">
        <is>
          <t>JÄMTLANDS LÄN</t>
        </is>
      </c>
      <c r="E707" t="inlineStr">
        <is>
          <t>KROKOM</t>
        </is>
      </c>
      <c r="G707" t="n">
        <v>7</v>
      </c>
      <c r="H707" t="n">
        <v>0</v>
      </c>
      <c r="I707" t="n">
        <v>0</v>
      </c>
      <c r="J707" t="n">
        <v>0</v>
      </c>
      <c r="K707" t="n">
        <v>0</v>
      </c>
      <c r="L707" t="n">
        <v>0</v>
      </c>
      <c r="M707" t="n">
        <v>0</v>
      </c>
      <c r="N707" t="n">
        <v>0</v>
      </c>
      <c r="O707" t="n">
        <v>0</v>
      </c>
      <c r="P707" t="n">
        <v>0</v>
      </c>
      <c r="Q707" t="n">
        <v>0</v>
      </c>
      <c r="R707" s="2" t="inlineStr"/>
    </row>
    <row r="708" ht="15" customHeight="1">
      <c r="A708" t="inlineStr">
        <is>
          <t>A 38885-2025</t>
        </is>
      </c>
      <c r="B708" s="1" t="n">
        <v>45887.58372685185</v>
      </c>
      <c r="C708" s="1" t="n">
        <v>45916</v>
      </c>
      <c r="D708" t="inlineStr">
        <is>
          <t>JÄMTLANDS LÄN</t>
        </is>
      </c>
      <c r="E708" t="inlineStr">
        <is>
          <t>KROKOM</t>
        </is>
      </c>
      <c r="G708" t="n">
        <v>1</v>
      </c>
      <c r="H708" t="n">
        <v>0</v>
      </c>
      <c r="I708" t="n">
        <v>0</v>
      </c>
      <c r="J708" t="n">
        <v>0</v>
      </c>
      <c r="K708" t="n">
        <v>0</v>
      </c>
      <c r="L708" t="n">
        <v>0</v>
      </c>
      <c r="M708" t="n">
        <v>0</v>
      </c>
      <c r="N708" t="n">
        <v>0</v>
      </c>
      <c r="O708" t="n">
        <v>0</v>
      </c>
      <c r="P708" t="n">
        <v>0</v>
      </c>
      <c r="Q708" t="n">
        <v>0</v>
      </c>
      <c r="R708" s="2" t="inlineStr"/>
    </row>
    <row r="709" ht="15" customHeight="1">
      <c r="A709" t="inlineStr">
        <is>
          <t>A 38894-2025</t>
        </is>
      </c>
      <c r="B709" s="1" t="n">
        <v>45887.59064814815</v>
      </c>
      <c r="C709" s="1" t="n">
        <v>45916</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33777-2025</t>
        </is>
      </c>
      <c r="B710" s="1" t="n">
        <v>45842.39587962963</v>
      </c>
      <c r="C710" s="1" t="n">
        <v>45916</v>
      </c>
      <c r="D710" t="inlineStr">
        <is>
          <t>JÄMTLANDS LÄN</t>
        </is>
      </c>
      <c r="E710" t="inlineStr">
        <is>
          <t>KROKOM</t>
        </is>
      </c>
      <c r="F710" t="inlineStr">
        <is>
          <t>Övriga Aktiebolag</t>
        </is>
      </c>
      <c r="G710" t="n">
        <v>0.3</v>
      </c>
      <c r="H710" t="n">
        <v>0</v>
      </c>
      <c r="I710" t="n">
        <v>0</v>
      </c>
      <c r="J710" t="n">
        <v>0</v>
      </c>
      <c r="K710" t="n">
        <v>0</v>
      </c>
      <c r="L710" t="n">
        <v>0</v>
      </c>
      <c r="M710" t="n">
        <v>0</v>
      </c>
      <c r="N710" t="n">
        <v>0</v>
      </c>
      <c r="O710" t="n">
        <v>0</v>
      </c>
      <c r="P710" t="n">
        <v>0</v>
      </c>
      <c r="Q710" t="n">
        <v>0</v>
      </c>
      <c r="R710" s="2" t="inlineStr"/>
    </row>
    <row r="711" ht="15" customHeight="1">
      <c r="A711" t="inlineStr">
        <is>
          <t>A 5935-2025</t>
        </is>
      </c>
      <c r="B711" s="1" t="n">
        <v>45695.45013888889</v>
      </c>
      <c r="C711" s="1" t="n">
        <v>45916</v>
      </c>
      <c r="D711" t="inlineStr">
        <is>
          <t>JÄMTLANDS LÄN</t>
        </is>
      </c>
      <c r="E711" t="inlineStr">
        <is>
          <t>KROKOM</t>
        </is>
      </c>
      <c r="F711" t="inlineStr">
        <is>
          <t>Övriga Aktiebolag</t>
        </is>
      </c>
      <c r="G711" t="n">
        <v>15</v>
      </c>
      <c r="H711" t="n">
        <v>0</v>
      </c>
      <c r="I711" t="n">
        <v>0</v>
      </c>
      <c r="J711" t="n">
        <v>0</v>
      </c>
      <c r="K711" t="n">
        <v>0</v>
      </c>
      <c r="L711" t="n">
        <v>0</v>
      </c>
      <c r="M711" t="n">
        <v>0</v>
      </c>
      <c r="N711" t="n">
        <v>0</v>
      </c>
      <c r="O711" t="n">
        <v>0</v>
      </c>
      <c r="P711" t="n">
        <v>0</v>
      </c>
      <c r="Q711" t="n">
        <v>0</v>
      </c>
      <c r="R711" s="2" t="inlineStr"/>
    </row>
    <row r="712" ht="15" customHeight="1">
      <c r="A712" t="inlineStr">
        <is>
          <t>A 33779-2025</t>
        </is>
      </c>
      <c r="B712" s="1" t="n">
        <v>45842.40013888889</v>
      </c>
      <c r="C712" s="1" t="n">
        <v>45916</v>
      </c>
      <c r="D712" t="inlineStr">
        <is>
          <t>JÄMTLANDS LÄN</t>
        </is>
      </c>
      <c r="E712" t="inlineStr">
        <is>
          <t>KROKOM</t>
        </is>
      </c>
      <c r="F712" t="inlineStr">
        <is>
          <t>Övriga Aktiebolag</t>
        </is>
      </c>
      <c r="G712" t="n">
        <v>0.3</v>
      </c>
      <c r="H712" t="n">
        <v>0</v>
      </c>
      <c r="I712" t="n">
        <v>0</v>
      </c>
      <c r="J712" t="n">
        <v>0</v>
      </c>
      <c r="K712" t="n">
        <v>0</v>
      </c>
      <c r="L712" t="n">
        <v>0</v>
      </c>
      <c r="M712" t="n">
        <v>0</v>
      </c>
      <c r="N712" t="n">
        <v>0</v>
      </c>
      <c r="O712" t="n">
        <v>0</v>
      </c>
      <c r="P712" t="n">
        <v>0</v>
      </c>
      <c r="Q712" t="n">
        <v>0</v>
      </c>
      <c r="R712" s="2" t="inlineStr"/>
    </row>
    <row r="713" ht="15" customHeight="1">
      <c r="A713" t="inlineStr">
        <is>
          <t>A 14827-2024</t>
        </is>
      </c>
      <c r="B713" s="1" t="n">
        <v>45398</v>
      </c>
      <c r="C713" s="1" t="n">
        <v>45916</v>
      </c>
      <c r="D713" t="inlineStr">
        <is>
          <t>JÄMTLANDS LÄN</t>
        </is>
      </c>
      <c r="E713" t="inlineStr">
        <is>
          <t>KROKOM</t>
        </is>
      </c>
      <c r="G713" t="n">
        <v>10</v>
      </c>
      <c r="H713" t="n">
        <v>0</v>
      </c>
      <c r="I713" t="n">
        <v>0</v>
      </c>
      <c r="J713" t="n">
        <v>0</v>
      </c>
      <c r="K713" t="n">
        <v>0</v>
      </c>
      <c r="L713" t="n">
        <v>0</v>
      </c>
      <c r="M713" t="n">
        <v>0</v>
      </c>
      <c r="N713" t="n">
        <v>0</v>
      </c>
      <c r="O713" t="n">
        <v>0</v>
      </c>
      <c r="P713" t="n">
        <v>0</v>
      </c>
      <c r="Q713" t="n">
        <v>0</v>
      </c>
      <c r="R713" s="2" t="inlineStr"/>
    </row>
    <row r="714" ht="15" customHeight="1">
      <c r="A714" t="inlineStr">
        <is>
          <t>A 50270-2023</t>
        </is>
      </c>
      <c r="B714" s="1" t="n">
        <v>45216.3965625</v>
      </c>
      <c r="C714" s="1" t="n">
        <v>45916</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33359-2022</t>
        </is>
      </c>
      <c r="B715" s="1" t="n">
        <v>44788</v>
      </c>
      <c r="C715" s="1" t="n">
        <v>45916</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42210-2022</t>
        </is>
      </c>
      <c r="B716" s="1" t="n">
        <v>44830</v>
      </c>
      <c r="C716" s="1" t="n">
        <v>45916</v>
      </c>
      <c r="D716" t="inlineStr">
        <is>
          <t>JÄMTLANDS LÄN</t>
        </is>
      </c>
      <c r="E716" t="inlineStr">
        <is>
          <t>KROKOM</t>
        </is>
      </c>
      <c r="F716" t="inlineStr">
        <is>
          <t>Övriga Aktiebolag</t>
        </is>
      </c>
      <c r="G716" t="n">
        <v>11.6</v>
      </c>
      <c r="H716" t="n">
        <v>0</v>
      </c>
      <c r="I716" t="n">
        <v>0</v>
      </c>
      <c r="J716" t="n">
        <v>0</v>
      </c>
      <c r="K716" t="n">
        <v>0</v>
      </c>
      <c r="L716" t="n">
        <v>0</v>
      </c>
      <c r="M716" t="n">
        <v>0</v>
      </c>
      <c r="N716" t="n">
        <v>0</v>
      </c>
      <c r="O716" t="n">
        <v>0</v>
      </c>
      <c r="P716" t="n">
        <v>0</v>
      </c>
      <c r="Q716" t="n">
        <v>0</v>
      </c>
      <c r="R716" s="2" t="inlineStr"/>
    </row>
    <row r="717" ht="15" customHeight="1">
      <c r="A717" t="inlineStr">
        <is>
          <t>A 14293-2025</t>
        </is>
      </c>
      <c r="B717" s="1" t="n">
        <v>45740</v>
      </c>
      <c r="C717" s="1" t="n">
        <v>45916</v>
      </c>
      <c r="D717" t="inlineStr">
        <is>
          <t>JÄMTLANDS LÄN</t>
        </is>
      </c>
      <c r="E717" t="inlineStr">
        <is>
          <t>KROKOM</t>
        </is>
      </c>
      <c r="G717" t="n">
        <v>2.5</v>
      </c>
      <c r="H717" t="n">
        <v>0</v>
      </c>
      <c r="I717" t="n">
        <v>0</v>
      </c>
      <c r="J717" t="n">
        <v>0</v>
      </c>
      <c r="K717" t="n">
        <v>0</v>
      </c>
      <c r="L717" t="n">
        <v>0</v>
      </c>
      <c r="M717" t="n">
        <v>0</v>
      </c>
      <c r="N717" t="n">
        <v>0</v>
      </c>
      <c r="O717" t="n">
        <v>0</v>
      </c>
      <c r="P717" t="n">
        <v>0</v>
      </c>
      <c r="Q717" t="n">
        <v>0</v>
      </c>
      <c r="R717" s="2" t="inlineStr"/>
    </row>
    <row r="718" ht="15" customHeight="1">
      <c r="A718" t="inlineStr">
        <is>
          <t>A 37346-2025</t>
        </is>
      </c>
      <c r="B718" s="1" t="n">
        <v>45876</v>
      </c>
      <c r="C718" s="1" t="n">
        <v>45916</v>
      </c>
      <c r="D718" t="inlineStr">
        <is>
          <t>JÄMTLANDS LÄN</t>
        </is>
      </c>
      <c r="E718" t="inlineStr">
        <is>
          <t>KROKOM</t>
        </is>
      </c>
      <c r="G718" t="n">
        <v>5</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44600.37212962963</v>
      </c>
      <c r="C719" s="1" t="n">
        <v>45916</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18980-2025</t>
        </is>
      </c>
      <c r="B720" s="1" t="n">
        <v>45764.55260416667</v>
      </c>
      <c r="C720" s="1" t="n">
        <v>45916</v>
      </c>
      <c r="D720" t="inlineStr">
        <is>
          <t>JÄMTLANDS LÄN</t>
        </is>
      </c>
      <c r="E720" t="inlineStr">
        <is>
          <t>KROKOM</t>
        </is>
      </c>
      <c r="G720" t="n">
        <v>3.2</v>
      </c>
      <c r="H720" t="n">
        <v>0</v>
      </c>
      <c r="I720" t="n">
        <v>0</v>
      </c>
      <c r="J720" t="n">
        <v>0</v>
      </c>
      <c r="K720" t="n">
        <v>0</v>
      </c>
      <c r="L720" t="n">
        <v>0</v>
      </c>
      <c r="M720" t="n">
        <v>0</v>
      </c>
      <c r="N720" t="n">
        <v>0</v>
      </c>
      <c r="O720" t="n">
        <v>0</v>
      </c>
      <c r="P720" t="n">
        <v>0</v>
      </c>
      <c r="Q720" t="n">
        <v>0</v>
      </c>
      <c r="R720" s="2" t="inlineStr"/>
    </row>
    <row r="721" ht="15" customHeight="1">
      <c r="A721" t="inlineStr">
        <is>
          <t>A 1119-2025</t>
        </is>
      </c>
      <c r="B721" s="1" t="n">
        <v>45666.65987268519</v>
      </c>
      <c r="C721" s="1" t="n">
        <v>45916</v>
      </c>
      <c r="D721" t="inlineStr">
        <is>
          <t>JÄMTLANDS LÄN</t>
        </is>
      </c>
      <c r="E721" t="inlineStr">
        <is>
          <t>KROKOM</t>
        </is>
      </c>
      <c r="G721" t="n">
        <v>1.6</v>
      </c>
      <c r="H721" t="n">
        <v>0</v>
      </c>
      <c r="I721" t="n">
        <v>0</v>
      </c>
      <c r="J721" t="n">
        <v>0</v>
      </c>
      <c r="K721" t="n">
        <v>0</v>
      </c>
      <c r="L721" t="n">
        <v>0</v>
      </c>
      <c r="M721" t="n">
        <v>0</v>
      </c>
      <c r="N721" t="n">
        <v>0</v>
      </c>
      <c r="O721" t="n">
        <v>0</v>
      </c>
      <c r="P721" t="n">
        <v>0</v>
      </c>
      <c r="Q721" t="n">
        <v>0</v>
      </c>
      <c r="R721" s="2" t="inlineStr"/>
    </row>
    <row r="722" ht="15" customHeight="1">
      <c r="A722" t="inlineStr">
        <is>
          <t>A 39265-2025</t>
        </is>
      </c>
      <c r="B722" s="1" t="n">
        <v>45889.37520833333</v>
      </c>
      <c r="C722" s="1" t="n">
        <v>45916</v>
      </c>
      <c r="D722" t="inlineStr">
        <is>
          <t>JÄMTLANDS LÄN</t>
        </is>
      </c>
      <c r="E722" t="inlineStr">
        <is>
          <t>KROKOM</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57726-2020</t>
        </is>
      </c>
      <c r="B723" s="1" t="n">
        <v>44140</v>
      </c>
      <c r="C723" s="1" t="n">
        <v>45916</v>
      </c>
      <c r="D723" t="inlineStr">
        <is>
          <t>JÄMTLANDS LÄN</t>
        </is>
      </c>
      <c r="E723" t="inlineStr">
        <is>
          <t>KROKOM</t>
        </is>
      </c>
      <c r="G723" t="n">
        <v>3.8</v>
      </c>
      <c r="H723" t="n">
        <v>0</v>
      </c>
      <c r="I723" t="n">
        <v>0</v>
      </c>
      <c r="J723" t="n">
        <v>0</v>
      </c>
      <c r="K723" t="n">
        <v>0</v>
      </c>
      <c r="L723" t="n">
        <v>0</v>
      </c>
      <c r="M723" t="n">
        <v>0</v>
      </c>
      <c r="N723" t="n">
        <v>0</v>
      </c>
      <c r="O723" t="n">
        <v>0</v>
      </c>
      <c r="P723" t="n">
        <v>0</v>
      </c>
      <c r="Q723" t="n">
        <v>0</v>
      </c>
      <c r="R723" s="2" t="inlineStr"/>
    </row>
    <row r="724" ht="15" customHeight="1">
      <c r="A724" t="inlineStr">
        <is>
          <t>A 39271-2025</t>
        </is>
      </c>
      <c r="B724" s="1" t="n">
        <v>45889.38626157407</v>
      </c>
      <c r="C724" s="1" t="n">
        <v>45916</v>
      </c>
      <c r="D724" t="inlineStr">
        <is>
          <t>JÄMTLANDS LÄN</t>
        </is>
      </c>
      <c r="E724" t="inlineStr">
        <is>
          <t>KROKOM</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22411-2024</t>
        </is>
      </c>
      <c r="B725" s="1" t="n">
        <v>45446.68733796296</v>
      </c>
      <c r="C725" s="1" t="n">
        <v>45916</v>
      </c>
      <c r="D725" t="inlineStr">
        <is>
          <t>JÄMTLANDS LÄN</t>
        </is>
      </c>
      <c r="E725" t="inlineStr">
        <is>
          <t>KROKOM</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12188-2024</t>
        </is>
      </c>
      <c r="B726" s="1" t="n">
        <v>45377</v>
      </c>
      <c r="C726" s="1" t="n">
        <v>45916</v>
      </c>
      <c r="D726" t="inlineStr">
        <is>
          <t>JÄMTLANDS LÄN</t>
        </is>
      </c>
      <c r="E726" t="inlineStr">
        <is>
          <t>KROKOM</t>
        </is>
      </c>
      <c r="G726" t="n">
        <v>7.9</v>
      </c>
      <c r="H726" t="n">
        <v>0</v>
      </c>
      <c r="I726" t="n">
        <v>0</v>
      </c>
      <c r="J726" t="n">
        <v>0</v>
      </c>
      <c r="K726" t="n">
        <v>0</v>
      </c>
      <c r="L726" t="n">
        <v>0</v>
      </c>
      <c r="M726" t="n">
        <v>0</v>
      </c>
      <c r="N726" t="n">
        <v>0</v>
      </c>
      <c r="O726" t="n">
        <v>0</v>
      </c>
      <c r="P726" t="n">
        <v>0</v>
      </c>
      <c r="Q726" t="n">
        <v>0</v>
      </c>
      <c r="R726" s="2" t="inlineStr"/>
    </row>
    <row r="727" ht="15" customHeight="1">
      <c r="A727" t="inlineStr">
        <is>
          <t>A 34535-2025</t>
        </is>
      </c>
      <c r="B727" s="1" t="n">
        <v>45847.51106481482</v>
      </c>
      <c r="C727" s="1" t="n">
        <v>45916</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66880-2021</t>
        </is>
      </c>
      <c r="B728" s="1" t="n">
        <v>44522.46662037037</v>
      </c>
      <c r="C728" s="1" t="n">
        <v>45916</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34608-2025</t>
        </is>
      </c>
      <c r="B729" s="1" t="n">
        <v>45847.65717592592</v>
      </c>
      <c r="C729" s="1" t="n">
        <v>45916</v>
      </c>
      <c r="D729" t="inlineStr">
        <is>
          <t>JÄMTLANDS LÄN</t>
        </is>
      </c>
      <c r="E729" t="inlineStr">
        <is>
          <t>KROKOM</t>
        </is>
      </c>
      <c r="F729" t="inlineStr">
        <is>
          <t>SCA</t>
        </is>
      </c>
      <c r="G729" t="n">
        <v>7.6</v>
      </c>
      <c r="H729" t="n">
        <v>0</v>
      </c>
      <c r="I729" t="n">
        <v>0</v>
      </c>
      <c r="J729" t="n">
        <v>0</v>
      </c>
      <c r="K729" t="n">
        <v>0</v>
      </c>
      <c r="L729" t="n">
        <v>0</v>
      </c>
      <c r="M729" t="n">
        <v>0</v>
      </c>
      <c r="N729" t="n">
        <v>0</v>
      </c>
      <c r="O729" t="n">
        <v>0</v>
      </c>
      <c r="P729" t="n">
        <v>0</v>
      </c>
      <c r="Q729" t="n">
        <v>0</v>
      </c>
      <c r="R729" s="2" t="inlineStr"/>
    </row>
    <row r="730" ht="15" customHeight="1">
      <c r="A730" t="inlineStr">
        <is>
          <t>A 6804-2025</t>
        </is>
      </c>
      <c r="B730" s="1" t="n">
        <v>45700.6833912037</v>
      </c>
      <c r="C730" s="1" t="n">
        <v>45916</v>
      </c>
      <c r="D730" t="inlineStr">
        <is>
          <t>JÄMTLANDS LÄN</t>
        </is>
      </c>
      <c r="E730" t="inlineStr">
        <is>
          <t>KROKOM</t>
        </is>
      </c>
      <c r="G730" t="n">
        <v>2.2</v>
      </c>
      <c r="H730" t="n">
        <v>0</v>
      </c>
      <c r="I730" t="n">
        <v>0</v>
      </c>
      <c r="J730" t="n">
        <v>0</v>
      </c>
      <c r="K730" t="n">
        <v>0</v>
      </c>
      <c r="L730" t="n">
        <v>0</v>
      </c>
      <c r="M730" t="n">
        <v>0</v>
      </c>
      <c r="N730" t="n">
        <v>0</v>
      </c>
      <c r="O730" t="n">
        <v>0</v>
      </c>
      <c r="P730" t="n">
        <v>0</v>
      </c>
      <c r="Q730" t="n">
        <v>0</v>
      </c>
      <c r="R730" s="2" t="inlineStr"/>
    </row>
    <row r="731" ht="15" customHeight="1">
      <c r="A731" t="inlineStr">
        <is>
          <t>A 39263-2024</t>
        </is>
      </c>
      <c r="B731" s="1" t="n">
        <v>45551.34414351852</v>
      </c>
      <c r="C731" s="1" t="n">
        <v>45916</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34516-2025</t>
        </is>
      </c>
      <c r="B732" s="1" t="n">
        <v>45847.46462962963</v>
      </c>
      <c r="C732" s="1" t="n">
        <v>45916</v>
      </c>
      <c r="D732" t="inlineStr">
        <is>
          <t>JÄMTLANDS LÄN</t>
        </is>
      </c>
      <c r="E732" t="inlineStr">
        <is>
          <t>KROKOM</t>
        </is>
      </c>
      <c r="G732" t="n">
        <v>4</v>
      </c>
      <c r="H732" t="n">
        <v>0</v>
      </c>
      <c r="I732" t="n">
        <v>0</v>
      </c>
      <c r="J732" t="n">
        <v>0</v>
      </c>
      <c r="K732" t="n">
        <v>0</v>
      </c>
      <c r="L732" t="n">
        <v>0</v>
      </c>
      <c r="M732" t="n">
        <v>0</v>
      </c>
      <c r="N732" t="n">
        <v>0</v>
      </c>
      <c r="O732" t="n">
        <v>0</v>
      </c>
      <c r="P732" t="n">
        <v>0</v>
      </c>
      <c r="Q732" t="n">
        <v>0</v>
      </c>
      <c r="R732" s="2" t="inlineStr"/>
    </row>
    <row r="733" ht="15" customHeight="1">
      <c r="A733" t="inlineStr">
        <is>
          <t>A 45777-2024</t>
        </is>
      </c>
      <c r="B733" s="1" t="n">
        <v>45579.66459490741</v>
      </c>
      <c r="C733" s="1" t="n">
        <v>45916</v>
      </c>
      <c r="D733" t="inlineStr">
        <is>
          <t>JÄMTLANDS LÄN</t>
        </is>
      </c>
      <c r="E733" t="inlineStr">
        <is>
          <t>KROKOM</t>
        </is>
      </c>
      <c r="G733" t="n">
        <v>5.3</v>
      </c>
      <c r="H733" t="n">
        <v>0</v>
      </c>
      <c r="I733" t="n">
        <v>0</v>
      </c>
      <c r="J733" t="n">
        <v>0</v>
      </c>
      <c r="K733" t="n">
        <v>0</v>
      </c>
      <c r="L733" t="n">
        <v>0</v>
      </c>
      <c r="M733" t="n">
        <v>0</v>
      </c>
      <c r="N733" t="n">
        <v>0</v>
      </c>
      <c r="O733" t="n">
        <v>0</v>
      </c>
      <c r="P733" t="n">
        <v>0</v>
      </c>
      <c r="Q733" t="n">
        <v>0</v>
      </c>
      <c r="R733" s="2" t="inlineStr"/>
    </row>
    <row r="734" ht="15" customHeight="1">
      <c r="A734" t="inlineStr">
        <is>
          <t>A 53540-2024</t>
        </is>
      </c>
      <c r="B734" s="1" t="n">
        <v>45614.63575231482</v>
      </c>
      <c r="C734" s="1" t="n">
        <v>45916</v>
      </c>
      <c r="D734" t="inlineStr">
        <is>
          <t>JÄMTLANDS LÄN</t>
        </is>
      </c>
      <c r="E734" t="inlineStr">
        <is>
          <t>KROKOM</t>
        </is>
      </c>
      <c r="G734" t="n">
        <v>4.7</v>
      </c>
      <c r="H734" t="n">
        <v>0</v>
      </c>
      <c r="I734" t="n">
        <v>0</v>
      </c>
      <c r="J734" t="n">
        <v>0</v>
      </c>
      <c r="K734" t="n">
        <v>0</v>
      </c>
      <c r="L734" t="n">
        <v>0</v>
      </c>
      <c r="M734" t="n">
        <v>0</v>
      </c>
      <c r="N734" t="n">
        <v>0</v>
      </c>
      <c r="O734" t="n">
        <v>0</v>
      </c>
      <c r="P734" t="n">
        <v>0</v>
      </c>
      <c r="Q734" t="n">
        <v>0</v>
      </c>
      <c r="R734" s="2" t="inlineStr"/>
    </row>
    <row r="735" ht="15" customHeight="1">
      <c r="A735" t="inlineStr">
        <is>
          <t>A 10220-2025</t>
        </is>
      </c>
      <c r="B735" s="1" t="n">
        <v>45720</v>
      </c>
      <c r="C735" s="1" t="n">
        <v>45916</v>
      </c>
      <c r="D735" t="inlineStr">
        <is>
          <t>JÄMTLANDS LÄN</t>
        </is>
      </c>
      <c r="E735" t="inlineStr">
        <is>
          <t>KROKOM</t>
        </is>
      </c>
      <c r="G735" t="n">
        <v>0.2</v>
      </c>
      <c r="H735" t="n">
        <v>0</v>
      </c>
      <c r="I735" t="n">
        <v>0</v>
      </c>
      <c r="J735" t="n">
        <v>0</v>
      </c>
      <c r="K735" t="n">
        <v>0</v>
      </c>
      <c r="L735" t="n">
        <v>0</v>
      </c>
      <c r="M735" t="n">
        <v>0</v>
      </c>
      <c r="N735" t="n">
        <v>0</v>
      </c>
      <c r="O735" t="n">
        <v>0</v>
      </c>
      <c r="P735" t="n">
        <v>0</v>
      </c>
      <c r="Q735" t="n">
        <v>0</v>
      </c>
      <c r="R735" s="2" t="inlineStr"/>
    </row>
    <row r="736" ht="15" customHeight="1">
      <c r="A736" t="inlineStr">
        <is>
          <t>A 39205-2025</t>
        </is>
      </c>
      <c r="B736" s="1" t="n">
        <v>45888.72445601852</v>
      </c>
      <c r="C736" s="1" t="n">
        <v>45916</v>
      </c>
      <c r="D736" t="inlineStr">
        <is>
          <t>JÄMTLANDS LÄN</t>
        </is>
      </c>
      <c r="E736" t="inlineStr">
        <is>
          <t>KROKOM</t>
        </is>
      </c>
      <c r="F736" t="inlineStr">
        <is>
          <t>Kyrkan</t>
        </is>
      </c>
      <c r="G736" t="n">
        <v>20.6</v>
      </c>
      <c r="H736" t="n">
        <v>0</v>
      </c>
      <c r="I736" t="n">
        <v>0</v>
      </c>
      <c r="J736" t="n">
        <v>0</v>
      </c>
      <c r="K736" t="n">
        <v>0</v>
      </c>
      <c r="L736" t="n">
        <v>0</v>
      </c>
      <c r="M736" t="n">
        <v>0</v>
      </c>
      <c r="N736" t="n">
        <v>0</v>
      </c>
      <c r="O736" t="n">
        <v>0</v>
      </c>
      <c r="P736" t="n">
        <v>0</v>
      </c>
      <c r="Q736" t="n">
        <v>0</v>
      </c>
      <c r="R736" s="2" t="inlineStr"/>
    </row>
    <row r="737" ht="15" customHeight="1">
      <c r="A737" t="inlineStr">
        <is>
          <t>A 39206-2025</t>
        </is>
      </c>
      <c r="B737" s="1" t="n">
        <v>45888.72766203704</v>
      </c>
      <c r="C737" s="1" t="n">
        <v>45916</v>
      </c>
      <c r="D737" t="inlineStr">
        <is>
          <t>JÄMTLANDS LÄN</t>
        </is>
      </c>
      <c r="E737" t="inlineStr">
        <is>
          <t>KROKOM</t>
        </is>
      </c>
      <c r="F737" t="inlineStr">
        <is>
          <t>Kyrkan</t>
        </is>
      </c>
      <c r="G737" t="n">
        <v>4.7</v>
      </c>
      <c r="H737" t="n">
        <v>0</v>
      </c>
      <c r="I737" t="n">
        <v>0</v>
      </c>
      <c r="J737" t="n">
        <v>0</v>
      </c>
      <c r="K737" t="n">
        <v>0</v>
      </c>
      <c r="L737" t="n">
        <v>0</v>
      </c>
      <c r="M737" t="n">
        <v>0</v>
      </c>
      <c r="N737" t="n">
        <v>0</v>
      </c>
      <c r="O737" t="n">
        <v>0</v>
      </c>
      <c r="P737" t="n">
        <v>0</v>
      </c>
      <c r="Q737" t="n">
        <v>0</v>
      </c>
      <c r="R737" s="2" t="inlineStr"/>
    </row>
    <row r="738" ht="15" customHeight="1">
      <c r="A738" t="inlineStr">
        <is>
          <t>A 19478-2023</t>
        </is>
      </c>
      <c r="B738" s="1" t="n">
        <v>45050</v>
      </c>
      <c r="C738" s="1" t="n">
        <v>45916</v>
      </c>
      <c r="D738" t="inlineStr">
        <is>
          <t>JÄMTLANDS LÄN</t>
        </is>
      </c>
      <c r="E738" t="inlineStr">
        <is>
          <t>KROKOM</t>
        </is>
      </c>
      <c r="F738" t="inlineStr">
        <is>
          <t>Övriga Aktiebolag</t>
        </is>
      </c>
      <c r="G738" t="n">
        <v>22.2</v>
      </c>
      <c r="H738" t="n">
        <v>0</v>
      </c>
      <c r="I738" t="n">
        <v>0</v>
      </c>
      <c r="J738" t="n">
        <v>0</v>
      </c>
      <c r="K738" t="n">
        <v>0</v>
      </c>
      <c r="L738" t="n">
        <v>0</v>
      </c>
      <c r="M738" t="n">
        <v>0</v>
      </c>
      <c r="N738" t="n">
        <v>0</v>
      </c>
      <c r="O738" t="n">
        <v>0</v>
      </c>
      <c r="P738" t="n">
        <v>0</v>
      </c>
      <c r="Q738" t="n">
        <v>0</v>
      </c>
      <c r="R738" s="2" t="inlineStr"/>
    </row>
    <row r="739" ht="15" customHeight="1">
      <c r="A739" t="inlineStr">
        <is>
          <t>A 20742-2023</t>
        </is>
      </c>
      <c r="B739" s="1" t="n">
        <v>45055</v>
      </c>
      <c r="C739" s="1" t="n">
        <v>45916</v>
      </c>
      <c r="D739" t="inlineStr">
        <is>
          <t>JÄMTLANDS LÄN</t>
        </is>
      </c>
      <c r="E739" t="inlineStr">
        <is>
          <t>KROKOM</t>
        </is>
      </c>
      <c r="G739" t="n">
        <v>0.4</v>
      </c>
      <c r="H739" t="n">
        <v>0</v>
      </c>
      <c r="I739" t="n">
        <v>0</v>
      </c>
      <c r="J739" t="n">
        <v>0</v>
      </c>
      <c r="K739" t="n">
        <v>0</v>
      </c>
      <c r="L739" t="n">
        <v>0</v>
      </c>
      <c r="M739" t="n">
        <v>0</v>
      </c>
      <c r="N739" t="n">
        <v>0</v>
      </c>
      <c r="O739" t="n">
        <v>0</v>
      </c>
      <c r="P739" t="n">
        <v>0</v>
      </c>
      <c r="Q739" t="n">
        <v>0</v>
      </c>
      <c r="R739" s="2" t="inlineStr"/>
    </row>
    <row r="740" ht="15" customHeight="1">
      <c r="A740" t="inlineStr">
        <is>
          <t>A 38748-2024</t>
        </is>
      </c>
      <c r="B740" s="1" t="n">
        <v>45547.42736111111</v>
      </c>
      <c r="C740" s="1" t="n">
        <v>45916</v>
      </c>
      <c r="D740" t="inlineStr">
        <is>
          <t>JÄMTLANDS LÄN</t>
        </is>
      </c>
      <c r="E740" t="inlineStr">
        <is>
          <t>KROKOM</t>
        </is>
      </c>
      <c r="G740" t="n">
        <v>0.1</v>
      </c>
      <c r="H740" t="n">
        <v>0</v>
      </c>
      <c r="I740" t="n">
        <v>0</v>
      </c>
      <c r="J740" t="n">
        <v>0</v>
      </c>
      <c r="K740" t="n">
        <v>0</v>
      </c>
      <c r="L740" t="n">
        <v>0</v>
      </c>
      <c r="M740" t="n">
        <v>0</v>
      </c>
      <c r="N740" t="n">
        <v>0</v>
      </c>
      <c r="O740" t="n">
        <v>0</v>
      </c>
      <c r="P740" t="n">
        <v>0</v>
      </c>
      <c r="Q740" t="n">
        <v>0</v>
      </c>
      <c r="R740" s="2" t="inlineStr"/>
    </row>
    <row r="741" ht="15" customHeight="1">
      <c r="A741" t="inlineStr">
        <is>
          <t>A 34698-2025</t>
        </is>
      </c>
      <c r="B741" s="1" t="n">
        <v>45848</v>
      </c>
      <c r="C741" s="1" t="n">
        <v>45916</v>
      </c>
      <c r="D741" t="inlineStr">
        <is>
          <t>JÄMTLANDS LÄN</t>
        </is>
      </c>
      <c r="E741" t="inlineStr">
        <is>
          <t>KROKOM</t>
        </is>
      </c>
      <c r="G741" t="n">
        <v>7.9</v>
      </c>
      <c r="H741" t="n">
        <v>0</v>
      </c>
      <c r="I741" t="n">
        <v>0</v>
      </c>
      <c r="J741" t="n">
        <v>0</v>
      </c>
      <c r="K741" t="n">
        <v>0</v>
      </c>
      <c r="L741" t="n">
        <v>0</v>
      </c>
      <c r="M741" t="n">
        <v>0</v>
      </c>
      <c r="N741" t="n">
        <v>0</v>
      </c>
      <c r="O741" t="n">
        <v>0</v>
      </c>
      <c r="P741" t="n">
        <v>0</v>
      </c>
      <c r="Q741" t="n">
        <v>0</v>
      </c>
      <c r="R741" s="2" t="inlineStr"/>
    </row>
    <row r="742" ht="15" customHeight="1">
      <c r="A742" t="inlineStr">
        <is>
          <t>A 7391-2025</t>
        </is>
      </c>
      <c r="B742" s="1" t="n">
        <v>45705.33446759259</v>
      </c>
      <c r="C742" s="1" t="n">
        <v>45916</v>
      </c>
      <c r="D742" t="inlineStr">
        <is>
          <t>JÄMTLANDS LÄN</t>
        </is>
      </c>
      <c r="E742" t="inlineStr">
        <is>
          <t>KROKOM</t>
        </is>
      </c>
      <c r="F742" t="inlineStr">
        <is>
          <t>Övriga Aktiebolag</t>
        </is>
      </c>
      <c r="G742" t="n">
        <v>7.9</v>
      </c>
      <c r="H742" t="n">
        <v>0</v>
      </c>
      <c r="I742" t="n">
        <v>0</v>
      </c>
      <c r="J742" t="n">
        <v>0</v>
      </c>
      <c r="K742" t="n">
        <v>0</v>
      </c>
      <c r="L742" t="n">
        <v>0</v>
      </c>
      <c r="M742" t="n">
        <v>0</v>
      </c>
      <c r="N742" t="n">
        <v>0</v>
      </c>
      <c r="O742" t="n">
        <v>0</v>
      </c>
      <c r="P742" t="n">
        <v>0</v>
      </c>
      <c r="Q742" t="n">
        <v>0</v>
      </c>
      <c r="R742" s="2" t="inlineStr"/>
    </row>
    <row r="743" ht="15" customHeight="1">
      <c r="A743" t="inlineStr">
        <is>
          <t>A 34737-2025</t>
        </is>
      </c>
      <c r="B743" s="1" t="n">
        <v>45848.60371527778</v>
      </c>
      <c r="C743" s="1" t="n">
        <v>45916</v>
      </c>
      <c r="D743" t="inlineStr">
        <is>
          <t>JÄMTLANDS LÄN</t>
        </is>
      </c>
      <c r="E743" t="inlineStr">
        <is>
          <t>KROKOM</t>
        </is>
      </c>
      <c r="G743" t="n">
        <v>7.5</v>
      </c>
      <c r="H743" t="n">
        <v>0</v>
      </c>
      <c r="I743" t="n">
        <v>0</v>
      </c>
      <c r="J743" t="n">
        <v>0</v>
      </c>
      <c r="K743" t="n">
        <v>0</v>
      </c>
      <c r="L743" t="n">
        <v>0</v>
      </c>
      <c r="M743" t="n">
        <v>0</v>
      </c>
      <c r="N743" t="n">
        <v>0</v>
      </c>
      <c r="O743" t="n">
        <v>0</v>
      </c>
      <c r="P743" t="n">
        <v>0</v>
      </c>
      <c r="Q743" t="n">
        <v>0</v>
      </c>
      <c r="R743" s="2" t="inlineStr"/>
    </row>
    <row r="744" ht="15" customHeight="1">
      <c r="A744" t="inlineStr">
        <is>
          <t>A 34701-2025</t>
        </is>
      </c>
      <c r="B744" s="1" t="n">
        <v>45848.48070601852</v>
      </c>
      <c r="C744" s="1" t="n">
        <v>45916</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50738-2024</t>
        </is>
      </c>
      <c r="B745" s="1" t="n">
        <v>45602.39862268518</v>
      </c>
      <c r="C745" s="1" t="n">
        <v>45916</v>
      </c>
      <c r="D745" t="inlineStr">
        <is>
          <t>JÄMTLANDS LÄN</t>
        </is>
      </c>
      <c r="E745" t="inlineStr">
        <is>
          <t>KROKOM</t>
        </is>
      </c>
      <c r="G745" t="n">
        <v>1.4</v>
      </c>
      <c r="H745" t="n">
        <v>0</v>
      </c>
      <c r="I745" t="n">
        <v>0</v>
      </c>
      <c r="J745" t="n">
        <v>0</v>
      </c>
      <c r="K745" t="n">
        <v>0</v>
      </c>
      <c r="L745" t="n">
        <v>0</v>
      </c>
      <c r="M745" t="n">
        <v>0</v>
      </c>
      <c r="N745" t="n">
        <v>0</v>
      </c>
      <c r="O745" t="n">
        <v>0</v>
      </c>
      <c r="P745" t="n">
        <v>0</v>
      </c>
      <c r="Q745" t="n">
        <v>0</v>
      </c>
      <c r="R745" s="2" t="inlineStr"/>
    </row>
    <row r="746" ht="15" customHeight="1">
      <c r="A746" t="inlineStr">
        <is>
          <t>A 50755-2024</t>
        </is>
      </c>
      <c r="B746" s="1" t="n">
        <v>45602.42878472222</v>
      </c>
      <c r="C746" s="1" t="n">
        <v>45916</v>
      </c>
      <c r="D746" t="inlineStr">
        <is>
          <t>JÄMTLANDS LÄN</t>
        </is>
      </c>
      <c r="E746" t="inlineStr">
        <is>
          <t>KROKOM</t>
        </is>
      </c>
      <c r="G746" t="n">
        <v>0.6</v>
      </c>
      <c r="H746" t="n">
        <v>0</v>
      </c>
      <c r="I746" t="n">
        <v>0</v>
      </c>
      <c r="J746" t="n">
        <v>0</v>
      </c>
      <c r="K746" t="n">
        <v>0</v>
      </c>
      <c r="L746" t="n">
        <v>0</v>
      </c>
      <c r="M746" t="n">
        <v>0</v>
      </c>
      <c r="N746" t="n">
        <v>0</v>
      </c>
      <c r="O746" t="n">
        <v>0</v>
      </c>
      <c r="P746" t="n">
        <v>0</v>
      </c>
      <c r="Q746" t="n">
        <v>0</v>
      </c>
      <c r="R746" s="2" t="inlineStr"/>
    </row>
    <row r="747" ht="15" customHeight="1">
      <c r="A747" t="inlineStr">
        <is>
          <t>A 34872-2025</t>
        </is>
      </c>
      <c r="B747" s="1" t="n">
        <v>45849.4525462963</v>
      </c>
      <c r="C747" s="1" t="n">
        <v>45916</v>
      </c>
      <c r="D747" t="inlineStr">
        <is>
          <t>JÄMTLANDS LÄN</t>
        </is>
      </c>
      <c r="E747" t="inlineStr">
        <is>
          <t>KROKOM</t>
        </is>
      </c>
      <c r="G747" t="n">
        <v>1.9</v>
      </c>
      <c r="H747" t="n">
        <v>0</v>
      </c>
      <c r="I747" t="n">
        <v>0</v>
      </c>
      <c r="J747" t="n">
        <v>0</v>
      </c>
      <c r="K747" t="n">
        <v>0</v>
      </c>
      <c r="L747" t="n">
        <v>0</v>
      </c>
      <c r="M747" t="n">
        <v>0</v>
      </c>
      <c r="N747" t="n">
        <v>0</v>
      </c>
      <c r="O747" t="n">
        <v>0</v>
      </c>
      <c r="P747" t="n">
        <v>0</v>
      </c>
      <c r="Q747" t="n">
        <v>0</v>
      </c>
      <c r="R747" s="2" t="inlineStr"/>
    </row>
    <row r="748" ht="15" customHeight="1">
      <c r="A748" t="inlineStr">
        <is>
          <t>A 4423-2025</t>
        </is>
      </c>
      <c r="B748" s="1" t="n">
        <v>45686</v>
      </c>
      <c r="C748" s="1" t="n">
        <v>45916</v>
      </c>
      <c r="D748" t="inlineStr">
        <is>
          <t>JÄMTLANDS LÄN</t>
        </is>
      </c>
      <c r="E748" t="inlineStr">
        <is>
          <t>KROKOM</t>
        </is>
      </c>
      <c r="G748" t="n">
        <v>17.3</v>
      </c>
      <c r="H748" t="n">
        <v>0</v>
      </c>
      <c r="I748" t="n">
        <v>0</v>
      </c>
      <c r="J748" t="n">
        <v>0</v>
      </c>
      <c r="K748" t="n">
        <v>0</v>
      </c>
      <c r="L748" t="n">
        <v>0</v>
      </c>
      <c r="M748" t="n">
        <v>0</v>
      </c>
      <c r="N748" t="n">
        <v>0</v>
      </c>
      <c r="O748" t="n">
        <v>0</v>
      </c>
      <c r="P748" t="n">
        <v>0</v>
      </c>
      <c r="Q748" t="n">
        <v>0</v>
      </c>
      <c r="R748" s="2" t="inlineStr"/>
    </row>
    <row r="749" ht="15" customHeight="1">
      <c r="A749" t="inlineStr">
        <is>
          <t>A 32692-2023</t>
        </is>
      </c>
      <c r="B749" s="1" t="n">
        <v>45112</v>
      </c>
      <c r="C749" s="1" t="n">
        <v>45916</v>
      </c>
      <c r="D749" t="inlineStr">
        <is>
          <t>JÄMTLANDS LÄN</t>
        </is>
      </c>
      <c r="E749" t="inlineStr">
        <is>
          <t>KROKOM</t>
        </is>
      </c>
      <c r="G749" t="n">
        <v>6.6</v>
      </c>
      <c r="H749" t="n">
        <v>0</v>
      </c>
      <c r="I749" t="n">
        <v>0</v>
      </c>
      <c r="J749" t="n">
        <v>0</v>
      </c>
      <c r="K749" t="n">
        <v>0</v>
      </c>
      <c r="L749" t="n">
        <v>0</v>
      </c>
      <c r="M749" t="n">
        <v>0</v>
      </c>
      <c r="N749" t="n">
        <v>0</v>
      </c>
      <c r="O749" t="n">
        <v>0</v>
      </c>
      <c r="P749" t="n">
        <v>0</v>
      </c>
      <c r="Q749" t="n">
        <v>0</v>
      </c>
      <c r="R749" s="2" t="inlineStr"/>
    </row>
    <row r="750" ht="15" customHeight="1">
      <c r="A750" t="inlineStr">
        <is>
          <t>A 38747-2024</t>
        </is>
      </c>
      <c r="B750" s="1" t="n">
        <v>45547.42732638889</v>
      </c>
      <c r="C750" s="1" t="n">
        <v>45916</v>
      </c>
      <c r="D750" t="inlineStr">
        <is>
          <t>JÄMTLANDS LÄN</t>
        </is>
      </c>
      <c r="E750" t="inlineStr">
        <is>
          <t>KROKOM</t>
        </is>
      </c>
      <c r="G750" t="n">
        <v>0.3</v>
      </c>
      <c r="H750" t="n">
        <v>0</v>
      </c>
      <c r="I750" t="n">
        <v>0</v>
      </c>
      <c r="J750" t="n">
        <v>0</v>
      </c>
      <c r="K750" t="n">
        <v>0</v>
      </c>
      <c r="L750" t="n">
        <v>0</v>
      </c>
      <c r="M750" t="n">
        <v>0</v>
      </c>
      <c r="N750" t="n">
        <v>0</v>
      </c>
      <c r="O750" t="n">
        <v>0</v>
      </c>
      <c r="P750" t="n">
        <v>0</v>
      </c>
      <c r="Q750" t="n">
        <v>0</v>
      </c>
      <c r="R750" s="2" t="inlineStr"/>
    </row>
    <row r="751" ht="15" customHeight="1">
      <c r="A751" t="inlineStr">
        <is>
          <t>A 9016-2025</t>
        </is>
      </c>
      <c r="B751" s="1" t="n">
        <v>45713.59163194444</v>
      </c>
      <c r="C751" s="1" t="n">
        <v>45916</v>
      </c>
      <c r="D751" t="inlineStr">
        <is>
          <t>JÄMTLANDS LÄN</t>
        </is>
      </c>
      <c r="E751" t="inlineStr">
        <is>
          <t>KROKOM</t>
        </is>
      </c>
      <c r="F751" t="inlineStr">
        <is>
          <t>Övriga Aktiebolag</t>
        </is>
      </c>
      <c r="G751" t="n">
        <v>19.3</v>
      </c>
      <c r="H751" t="n">
        <v>0</v>
      </c>
      <c r="I751" t="n">
        <v>0</v>
      </c>
      <c r="J751" t="n">
        <v>0</v>
      </c>
      <c r="K751" t="n">
        <v>0</v>
      </c>
      <c r="L751" t="n">
        <v>0</v>
      </c>
      <c r="M751" t="n">
        <v>0</v>
      </c>
      <c r="N751" t="n">
        <v>0</v>
      </c>
      <c r="O751" t="n">
        <v>0</v>
      </c>
      <c r="P751" t="n">
        <v>0</v>
      </c>
      <c r="Q751" t="n">
        <v>0</v>
      </c>
      <c r="R751" s="2" t="inlineStr"/>
    </row>
    <row r="752" ht="15" customHeight="1">
      <c r="A752" t="inlineStr">
        <is>
          <t>A 15432-2025</t>
        </is>
      </c>
      <c r="B752" s="1" t="n">
        <v>45747.47025462963</v>
      </c>
      <c r="C752" s="1" t="n">
        <v>45916</v>
      </c>
      <c r="D752" t="inlineStr">
        <is>
          <t>JÄMTLANDS LÄN</t>
        </is>
      </c>
      <c r="E752" t="inlineStr">
        <is>
          <t>KROKOM</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52313-2024</t>
        </is>
      </c>
      <c r="B753" s="1" t="n">
        <v>45608.86341435185</v>
      </c>
      <c r="C753" s="1" t="n">
        <v>45916</v>
      </c>
      <c r="D753" t="inlineStr">
        <is>
          <t>JÄMTLANDS LÄN</t>
        </is>
      </c>
      <c r="E753" t="inlineStr">
        <is>
          <t>KROKOM</t>
        </is>
      </c>
      <c r="G753" t="n">
        <v>6.4</v>
      </c>
      <c r="H753" t="n">
        <v>0</v>
      </c>
      <c r="I753" t="n">
        <v>0</v>
      </c>
      <c r="J753" t="n">
        <v>0</v>
      </c>
      <c r="K753" t="n">
        <v>0</v>
      </c>
      <c r="L753" t="n">
        <v>0</v>
      </c>
      <c r="M753" t="n">
        <v>0</v>
      </c>
      <c r="N753" t="n">
        <v>0</v>
      </c>
      <c r="O753" t="n">
        <v>0</v>
      </c>
      <c r="P753" t="n">
        <v>0</v>
      </c>
      <c r="Q753" t="n">
        <v>0</v>
      </c>
      <c r="R753" s="2" t="inlineStr"/>
    </row>
    <row r="754" ht="15" customHeight="1">
      <c r="A754" t="inlineStr">
        <is>
          <t>A 58677-2023</t>
        </is>
      </c>
      <c r="B754" s="1" t="n">
        <v>45251.65152777778</v>
      </c>
      <c r="C754" s="1" t="n">
        <v>45916</v>
      </c>
      <c r="D754" t="inlineStr">
        <is>
          <t>JÄMTLANDS LÄN</t>
        </is>
      </c>
      <c r="E754" t="inlineStr">
        <is>
          <t>KROKOM</t>
        </is>
      </c>
      <c r="G754" t="n">
        <v>3.6</v>
      </c>
      <c r="H754" t="n">
        <v>0</v>
      </c>
      <c r="I754" t="n">
        <v>0</v>
      </c>
      <c r="J754" t="n">
        <v>0</v>
      </c>
      <c r="K754" t="n">
        <v>0</v>
      </c>
      <c r="L754" t="n">
        <v>0</v>
      </c>
      <c r="M754" t="n">
        <v>0</v>
      </c>
      <c r="N754" t="n">
        <v>0</v>
      </c>
      <c r="O754" t="n">
        <v>0</v>
      </c>
      <c r="P754" t="n">
        <v>0</v>
      </c>
      <c r="Q754" t="n">
        <v>0</v>
      </c>
      <c r="R754" s="2" t="inlineStr"/>
    </row>
    <row r="755" ht="15" customHeight="1">
      <c r="A755" t="inlineStr">
        <is>
          <t>A 27899-2025</t>
        </is>
      </c>
      <c r="B755" s="1" t="n">
        <v>45817</v>
      </c>
      <c r="C755" s="1" t="n">
        <v>45916</v>
      </c>
      <c r="D755" t="inlineStr">
        <is>
          <t>JÄMTLANDS LÄN</t>
        </is>
      </c>
      <c r="E755" t="inlineStr">
        <is>
          <t>KROKOM</t>
        </is>
      </c>
      <c r="G755" t="n">
        <v>16.4</v>
      </c>
      <c r="H755" t="n">
        <v>0</v>
      </c>
      <c r="I755" t="n">
        <v>0</v>
      </c>
      <c r="J755" t="n">
        <v>0</v>
      </c>
      <c r="K755" t="n">
        <v>0</v>
      </c>
      <c r="L755" t="n">
        <v>0</v>
      </c>
      <c r="M755" t="n">
        <v>0</v>
      </c>
      <c r="N755" t="n">
        <v>0</v>
      </c>
      <c r="O755" t="n">
        <v>0</v>
      </c>
      <c r="P755" t="n">
        <v>0</v>
      </c>
      <c r="Q755" t="n">
        <v>0</v>
      </c>
      <c r="R755" s="2" t="inlineStr"/>
    </row>
    <row r="756" ht="15" customHeight="1">
      <c r="A756" t="inlineStr">
        <is>
          <t>A 20966-2023</t>
        </is>
      </c>
      <c r="B756" s="1" t="n">
        <v>45056</v>
      </c>
      <c r="C756" s="1" t="n">
        <v>45916</v>
      </c>
      <c r="D756" t="inlineStr">
        <is>
          <t>JÄMTLANDS LÄN</t>
        </is>
      </c>
      <c r="E756" t="inlineStr">
        <is>
          <t>KROKOM</t>
        </is>
      </c>
      <c r="G756" t="n">
        <v>0.9</v>
      </c>
      <c r="H756" t="n">
        <v>0</v>
      </c>
      <c r="I756" t="n">
        <v>0</v>
      </c>
      <c r="J756" t="n">
        <v>0</v>
      </c>
      <c r="K756" t="n">
        <v>0</v>
      </c>
      <c r="L756" t="n">
        <v>0</v>
      </c>
      <c r="M756" t="n">
        <v>0</v>
      </c>
      <c r="N756" t="n">
        <v>0</v>
      </c>
      <c r="O756" t="n">
        <v>0</v>
      </c>
      <c r="P756" t="n">
        <v>0</v>
      </c>
      <c r="Q756" t="n">
        <v>0</v>
      </c>
      <c r="R756" s="2" t="inlineStr"/>
    </row>
    <row r="757" ht="15" customHeight="1">
      <c r="A757" t="inlineStr">
        <is>
          <t>A 42825-2023</t>
        </is>
      </c>
      <c r="B757" s="1" t="n">
        <v>45182</v>
      </c>
      <c r="C757" s="1" t="n">
        <v>45916</v>
      </c>
      <c r="D757" t="inlineStr">
        <is>
          <t>JÄMTLANDS LÄN</t>
        </is>
      </c>
      <c r="E757" t="inlineStr">
        <is>
          <t>KROKOM</t>
        </is>
      </c>
      <c r="G757" t="n">
        <v>0.2</v>
      </c>
      <c r="H757" t="n">
        <v>0</v>
      </c>
      <c r="I757" t="n">
        <v>0</v>
      </c>
      <c r="J757" t="n">
        <v>0</v>
      </c>
      <c r="K757" t="n">
        <v>0</v>
      </c>
      <c r="L757" t="n">
        <v>0</v>
      </c>
      <c r="M757" t="n">
        <v>0</v>
      </c>
      <c r="N757" t="n">
        <v>0</v>
      </c>
      <c r="O757" t="n">
        <v>0</v>
      </c>
      <c r="P757" t="n">
        <v>0</v>
      </c>
      <c r="Q757" t="n">
        <v>0</v>
      </c>
      <c r="R757" s="2" t="inlineStr"/>
    </row>
    <row r="758" ht="15" customHeight="1">
      <c r="A758" t="inlineStr">
        <is>
          <t>A 17591-2023</t>
        </is>
      </c>
      <c r="B758" s="1" t="n">
        <v>45036</v>
      </c>
      <c r="C758" s="1" t="n">
        <v>45916</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17594-2023</t>
        </is>
      </c>
      <c r="B759" s="1" t="n">
        <v>45036</v>
      </c>
      <c r="C759" s="1" t="n">
        <v>45916</v>
      </c>
      <c r="D759" t="inlineStr">
        <is>
          <t>JÄMTLANDS LÄN</t>
        </is>
      </c>
      <c r="E759" t="inlineStr">
        <is>
          <t>KROKOM</t>
        </is>
      </c>
      <c r="G759" t="n">
        <v>5.5</v>
      </c>
      <c r="H759" t="n">
        <v>0</v>
      </c>
      <c r="I759" t="n">
        <v>0</v>
      </c>
      <c r="J759" t="n">
        <v>0</v>
      </c>
      <c r="K759" t="n">
        <v>0</v>
      </c>
      <c r="L759" t="n">
        <v>0</v>
      </c>
      <c r="M759" t="n">
        <v>0</v>
      </c>
      <c r="N759" t="n">
        <v>0</v>
      </c>
      <c r="O759" t="n">
        <v>0</v>
      </c>
      <c r="P759" t="n">
        <v>0</v>
      </c>
      <c r="Q759" t="n">
        <v>0</v>
      </c>
      <c r="R759" s="2" t="inlineStr"/>
    </row>
    <row r="760" ht="15" customHeight="1">
      <c r="A760" t="inlineStr">
        <is>
          <t>A 30016-2024</t>
        </is>
      </c>
      <c r="B760" s="1" t="n">
        <v>45485</v>
      </c>
      <c r="C760" s="1" t="n">
        <v>45916</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47098-2024</t>
        </is>
      </c>
      <c r="B761" s="1" t="n">
        <v>45586.53618055556</v>
      </c>
      <c r="C761" s="1" t="n">
        <v>45916</v>
      </c>
      <c r="D761" t="inlineStr">
        <is>
          <t>JÄMTLANDS LÄN</t>
        </is>
      </c>
      <c r="E761" t="inlineStr">
        <is>
          <t>KROKOM</t>
        </is>
      </c>
      <c r="G761" t="n">
        <v>4.1</v>
      </c>
      <c r="H761" t="n">
        <v>0</v>
      </c>
      <c r="I761" t="n">
        <v>0</v>
      </c>
      <c r="J761" t="n">
        <v>0</v>
      </c>
      <c r="K761" t="n">
        <v>0</v>
      </c>
      <c r="L761" t="n">
        <v>0</v>
      </c>
      <c r="M761" t="n">
        <v>0</v>
      </c>
      <c r="N761" t="n">
        <v>0</v>
      </c>
      <c r="O761" t="n">
        <v>0</v>
      </c>
      <c r="P761" t="n">
        <v>0</v>
      </c>
      <c r="Q761" t="n">
        <v>0</v>
      </c>
      <c r="R761" s="2" t="inlineStr"/>
    </row>
    <row r="762" ht="15" customHeight="1">
      <c r="A762" t="inlineStr">
        <is>
          <t>A 34829-2025</t>
        </is>
      </c>
      <c r="B762" s="1" t="n">
        <v>45849.3859837963</v>
      </c>
      <c r="C762" s="1" t="n">
        <v>45916</v>
      </c>
      <c r="D762" t="inlineStr">
        <is>
          <t>JÄMTLANDS LÄN</t>
        </is>
      </c>
      <c r="E762" t="inlineStr">
        <is>
          <t>KROKOM</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35238-2025</t>
        </is>
      </c>
      <c r="B763" s="1" t="n">
        <v>45853.6156712963</v>
      </c>
      <c r="C763" s="1" t="n">
        <v>45916</v>
      </c>
      <c r="D763" t="inlineStr">
        <is>
          <t>JÄMTLANDS LÄN</t>
        </is>
      </c>
      <c r="E763" t="inlineStr">
        <is>
          <t>KROKOM</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29896-2021</t>
        </is>
      </c>
      <c r="B764" s="1" t="n">
        <v>44362</v>
      </c>
      <c r="C764" s="1" t="n">
        <v>45916</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27954-2024</t>
        </is>
      </c>
      <c r="B765" s="1" t="n">
        <v>45476</v>
      </c>
      <c r="C765" s="1" t="n">
        <v>45916</v>
      </c>
      <c r="D765" t="inlineStr">
        <is>
          <t>JÄMTLANDS LÄN</t>
        </is>
      </c>
      <c r="E765" t="inlineStr">
        <is>
          <t>KROKOM</t>
        </is>
      </c>
      <c r="G765" t="n">
        <v>0.1</v>
      </c>
      <c r="H765" t="n">
        <v>0</v>
      </c>
      <c r="I765" t="n">
        <v>0</v>
      </c>
      <c r="J765" t="n">
        <v>0</v>
      </c>
      <c r="K765" t="n">
        <v>0</v>
      </c>
      <c r="L765" t="n">
        <v>0</v>
      </c>
      <c r="M765" t="n">
        <v>0</v>
      </c>
      <c r="N765" t="n">
        <v>0</v>
      </c>
      <c r="O765" t="n">
        <v>0</v>
      </c>
      <c r="P765" t="n">
        <v>0</v>
      </c>
      <c r="Q765" t="n">
        <v>0</v>
      </c>
      <c r="R765" s="2" t="inlineStr"/>
    </row>
    <row r="766" ht="15" customHeight="1">
      <c r="A766" t="inlineStr">
        <is>
          <t>A 50206-2024</t>
        </is>
      </c>
      <c r="B766" s="1" t="n">
        <v>45600.49616898148</v>
      </c>
      <c r="C766" s="1" t="n">
        <v>45916</v>
      </c>
      <c r="D766" t="inlineStr">
        <is>
          <t>JÄMTLANDS LÄN</t>
        </is>
      </c>
      <c r="E766" t="inlineStr">
        <is>
          <t>KROKOM</t>
        </is>
      </c>
      <c r="G766" t="n">
        <v>2.9</v>
      </c>
      <c r="H766" t="n">
        <v>0</v>
      </c>
      <c r="I766" t="n">
        <v>0</v>
      </c>
      <c r="J766" t="n">
        <v>0</v>
      </c>
      <c r="K766" t="n">
        <v>0</v>
      </c>
      <c r="L766" t="n">
        <v>0</v>
      </c>
      <c r="M766" t="n">
        <v>0</v>
      </c>
      <c r="N766" t="n">
        <v>0</v>
      </c>
      <c r="O766" t="n">
        <v>0</v>
      </c>
      <c r="P766" t="n">
        <v>0</v>
      </c>
      <c r="Q766" t="n">
        <v>0</v>
      </c>
      <c r="R766" s="2" t="inlineStr"/>
    </row>
    <row r="767" ht="15" customHeight="1">
      <c r="A767" t="inlineStr">
        <is>
          <t>A 15761-2025</t>
        </is>
      </c>
      <c r="B767" s="1" t="n">
        <v>45748.57269675926</v>
      </c>
      <c r="C767" s="1" t="n">
        <v>45916</v>
      </c>
      <c r="D767" t="inlineStr">
        <is>
          <t>JÄMTLANDS LÄN</t>
        </is>
      </c>
      <c r="E767" t="inlineStr">
        <is>
          <t>KROKOM</t>
        </is>
      </c>
      <c r="G767" t="n">
        <v>48.1</v>
      </c>
      <c r="H767" t="n">
        <v>0</v>
      </c>
      <c r="I767" t="n">
        <v>0</v>
      </c>
      <c r="J767" t="n">
        <v>0</v>
      </c>
      <c r="K767" t="n">
        <v>0</v>
      </c>
      <c r="L767" t="n">
        <v>0</v>
      </c>
      <c r="M767" t="n">
        <v>0</v>
      </c>
      <c r="N767" t="n">
        <v>0</v>
      </c>
      <c r="O767" t="n">
        <v>0</v>
      </c>
      <c r="P767" t="n">
        <v>0</v>
      </c>
      <c r="Q767" t="n">
        <v>0</v>
      </c>
      <c r="R767" s="2" t="inlineStr"/>
    </row>
    <row r="768" ht="15" customHeight="1">
      <c r="A768" t="inlineStr">
        <is>
          <t>A 40180-2025</t>
        </is>
      </c>
      <c r="B768" s="1" t="n">
        <v>45894.63693287037</v>
      </c>
      <c r="C768" s="1" t="n">
        <v>45916</v>
      </c>
      <c r="D768" t="inlineStr">
        <is>
          <t>JÄMTLANDS LÄN</t>
        </is>
      </c>
      <c r="E768" t="inlineStr">
        <is>
          <t>KROKOM</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40283-2025</t>
        </is>
      </c>
      <c r="B769" s="1" t="n">
        <v>45895.36994212963</v>
      </c>
      <c r="C769" s="1" t="n">
        <v>45916</v>
      </c>
      <c r="D769" t="inlineStr">
        <is>
          <t>JÄMTLANDS LÄN</t>
        </is>
      </c>
      <c r="E769" t="inlineStr">
        <is>
          <t>KROKOM</t>
        </is>
      </c>
      <c r="G769" t="n">
        <v>11.1</v>
      </c>
      <c r="H769" t="n">
        <v>0</v>
      </c>
      <c r="I769" t="n">
        <v>0</v>
      </c>
      <c r="J769" t="n">
        <v>0</v>
      </c>
      <c r="K769" t="n">
        <v>0</v>
      </c>
      <c r="L769" t="n">
        <v>0</v>
      </c>
      <c r="M769" t="n">
        <v>0</v>
      </c>
      <c r="N769" t="n">
        <v>0</v>
      </c>
      <c r="O769" t="n">
        <v>0</v>
      </c>
      <c r="P769" t="n">
        <v>0</v>
      </c>
      <c r="Q769" t="n">
        <v>0</v>
      </c>
      <c r="R769" s="2" t="inlineStr"/>
    </row>
    <row r="770" ht="15" customHeight="1">
      <c r="A770" t="inlineStr">
        <is>
          <t>A 57459-2024</t>
        </is>
      </c>
      <c r="B770" s="1" t="n">
        <v>45630</v>
      </c>
      <c r="C770" s="1" t="n">
        <v>45916</v>
      </c>
      <c r="D770" t="inlineStr">
        <is>
          <t>JÄMTLANDS LÄN</t>
        </is>
      </c>
      <c r="E770" t="inlineStr">
        <is>
          <t>KROKOM</t>
        </is>
      </c>
      <c r="G770" t="n">
        <v>19.2</v>
      </c>
      <c r="H770" t="n">
        <v>0</v>
      </c>
      <c r="I770" t="n">
        <v>0</v>
      </c>
      <c r="J770" t="n">
        <v>0</v>
      </c>
      <c r="K770" t="n">
        <v>0</v>
      </c>
      <c r="L770" t="n">
        <v>0</v>
      </c>
      <c r="M770" t="n">
        <v>0</v>
      </c>
      <c r="N770" t="n">
        <v>0</v>
      </c>
      <c r="O770" t="n">
        <v>0</v>
      </c>
      <c r="P770" t="n">
        <v>0</v>
      </c>
      <c r="Q770" t="n">
        <v>0</v>
      </c>
      <c r="R770" s="2" t="inlineStr"/>
    </row>
    <row r="771" ht="15" customHeight="1">
      <c r="A771" t="inlineStr">
        <is>
          <t>A 14029-2024</t>
        </is>
      </c>
      <c r="B771" s="1" t="n">
        <v>45392</v>
      </c>
      <c r="C771" s="1" t="n">
        <v>45916</v>
      </c>
      <c r="D771" t="inlineStr">
        <is>
          <t>JÄMTLANDS LÄN</t>
        </is>
      </c>
      <c r="E771" t="inlineStr">
        <is>
          <t>KROKOM</t>
        </is>
      </c>
      <c r="F771" t="inlineStr">
        <is>
          <t>Kyrkan</t>
        </is>
      </c>
      <c r="G771" t="n">
        <v>1.1</v>
      </c>
      <c r="H771" t="n">
        <v>0</v>
      </c>
      <c r="I771" t="n">
        <v>0</v>
      </c>
      <c r="J771" t="n">
        <v>0</v>
      </c>
      <c r="K771" t="n">
        <v>0</v>
      </c>
      <c r="L771" t="n">
        <v>0</v>
      </c>
      <c r="M771" t="n">
        <v>0</v>
      </c>
      <c r="N771" t="n">
        <v>0</v>
      </c>
      <c r="O771" t="n">
        <v>0</v>
      </c>
      <c r="P771" t="n">
        <v>0</v>
      </c>
      <c r="Q771" t="n">
        <v>0</v>
      </c>
      <c r="R771" s="2" t="inlineStr"/>
    </row>
    <row r="772" ht="15" customHeight="1">
      <c r="A772" t="inlineStr">
        <is>
          <t>A 10533-2025</t>
        </is>
      </c>
      <c r="B772" s="1" t="n">
        <v>45721.45563657407</v>
      </c>
      <c r="C772" s="1" t="n">
        <v>45916</v>
      </c>
      <c r="D772" t="inlineStr">
        <is>
          <t>JÄMTLANDS LÄN</t>
        </is>
      </c>
      <c r="E772" t="inlineStr">
        <is>
          <t>KROKOM</t>
        </is>
      </c>
      <c r="F772" t="inlineStr">
        <is>
          <t>SCA</t>
        </is>
      </c>
      <c r="G772" t="n">
        <v>64.90000000000001</v>
      </c>
      <c r="H772" t="n">
        <v>0</v>
      </c>
      <c r="I772" t="n">
        <v>0</v>
      </c>
      <c r="J772" t="n">
        <v>0</v>
      </c>
      <c r="K772" t="n">
        <v>0</v>
      </c>
      <c r="L772" t="n">
        <v>0</v>
      </c>
      <c r="M772" t="n">
        <v>0</v>
      </c>
      <c r="N772" t="n">
        <v>0</v>
      </c>
      <c r="O772" t="n">
        <v>0</v>
      </c>
      <c r="P772" t="n">
        <v>0</v>
      </c>
      <c r="Q772" t="n">
        <v>0</v>
      </c>
      <c r="R772" s="2" t="inlineStr"/>
    </row>
    <row r="773" ht="15" customHeight="1">
      <c r="A773" t="inlineStr">
        <is>
          <t>A 41628-2024</t>
        </is>
      </c>
      <c r="B773" s="1" t="n">
        <v>45560</v>
      </c>
      <c r="C773" s="1" t="n">
        <v>45916</v>
      </c>
      <c r="D773" t="inlineStr">
        <is>
          <t>JÄMTLANDS LÄN</t>
        </is>
      </c>
      <c r="E773" t="inlineStr">
        <is>
          <t>KROKOM</t>
        </is>
      </c>
      <c r="F773" t="inlineStr">
        <is>
          <t>Övriga Aktiebolag</t>
        </is>
      </c>
      <c r="G773" t="n">
        <v>7.3</v>
      </c>
      <c r="H773" t="n">
        <v>0</v>
      </c>
      <c r="I773" t="n">
        <v>0</v>
      </c>
      <c r="J773" t="n">
        <v>0</v>
      </c>
      <c r="K773" t="n">
        <v>0</v>
      </c>
      <c r="L773" t="n">
        <v>0</v>
      </c>
      <c r="M773" t="n">
        <v>0</v>
      </c>
      <c r="N773" t="n">
        <v>0</v>
      </c>
      <c r="O773" t="n">
        <v>0</v>
      </c>
      <c r="P773" t="n">
        <v>0</v>
      </c>
      <c r="Q773" t="n">
        <v>0</v>
      </c>
      <c r="R773" s="2" t="inlineStr"/>
    </row>
    <row r="774" ht="15" customHeight="1">
      <c r="A774" t="inlineStr">
        <is>
          <t>A 51910-2023</t>
        </is>
      </c>
      <c r="B774" s="1" t="n">
        <v>45216</v>
      </c>
      <c r="C774" s="1" t="n">
        <v>45916</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7962-2023</t>
        </is>
      </c>
      <c r="B775" s="1" t="n">
        <v>44970</v>
      </c>
      <c r="C775" s="1" t="n">
        <v>45916</v>
      </c>
      <c r="D775" t="inlineStr">
        <is>
          <t>JÄMTLANDS LÄN</t>
        </is>
      </c>
      <c r="E775" t="inlineStr">
        <is>
          <t>KROKOM</t>
        </is>
      </c>
      <c r="G775" t="n">
        <v>12.2</v>
      </c>
      <c r="H775" t="n">
        <v>0</v>
      </c>
      <c r="I775" t="n">
        <v>0</v>
      </c>
      <c r="J775" t="n">
        <v>0</v>
      </c>
      <c r="K775" t="n">
        <v>0</v>
      </c>
      <c r="L775" t="n">
        <v>0</v>
      </c>
      <c r="M775" t="n">
        <v>0</v>
      </c>
      <c r="N775" t="n">
        <v>0</v>
      </c>
      <c r="O775" t="n">
        <v>0</v>
      </c>
      <c r="P775" t="n">
        <v>0</v>
      </c>
      <c r="Q775" t="n">
        <v>0</v>
      </c>
      <c r="R775" s="2" t="inlineStr"/>
    </row>
    <row r="776" ht="15" customHeight="1">
      <c r="A776" t="inlineStr">
        <is>
          <t>A 44154-2024</t>
        </is>
      </c>
      <c r="B776" s="1" t="n">
        <v>45572</v>
      </c>
      <c r="C776" s="1" t="n">
        <v>45916</v>
      </c>
      <c r="D776" t="inlineStr">
        <is>
          <t>JÄMTLANDS LÄN</t>
        </is>
      </c>
      <c r="E776" t="inlineStr">
        <is>
          <t>KROKOM</t>
        </is>
      </c>
      <c r="F776" t="inlineStr">
        <is>
          <t>SCA</t>
        </is>
      </c>
      <c r="G776" t="n">
        <v>28.9</v>
      </c>
      <c r="H776" t="n">
        <v>0</v>
      </c>
      <c r="I776" t="n">
        <v>0</v>
      </c>
      <c r="J776" t="n">
        <v>0</v>
      </c>
      <c r="K776" t="n">
        <v>0</v>
      </c>
      <c r="L776" t="n">
        <v>0</v>
      </c>
      <c r="M776" t="n">
        <v>0</v>
      </c>
      <c r="N776" t="n">
        <v>0</v>
      </c>
      <c r="O776" t="n">
        <v>0</v>
      </c>
      <c r="P776" t="n">
        <v>0</v>
      </c>
      <c r="Q776" t="n">
        <v>0</v>
      </c>
      <c r="R776" s="2" t="inlineStr"/>
    </row>
    <row r="777" ht="15" customHeight="1">
      <c r="A777" t="inlineStr">
        <is>
          <t>A 49046-2023</t>
        </is>
      </c>
      <c r="B777" s="1" t="n">
        <v>45209</v>
      </c>
      <c r="C777" s="1" t="n">
        <v>45916</v>
      </c>
      <c r="D777" t="inlineStr">
        <is>
          <t>JÄMTLANDS LÄN</t>
        </is>
      </c>
      <c r="E777" t="inlineStr">
        <is>
          <t>KROKOM</t>
        </is>
      </c>
      <c r="G777" t="n">
        <v>2.6</v>
      </c>
      <c r="H777" t="n">
        <v>0</v>
      </c>
      <c r="I777" t="n">
        <v>0</v>
      </c>
      <c r="J777" t="n">
        <v>0</v>
      </c>
      <c r="K777" t="n">
        <v>0</v>
      </c>
      <c r="L777" t="n">
        <v>0</v>
      </c>
      <c r="M777" t="n">
        <v>0</v>
      </c>
      <c r="N777" t="n">
        <v>0</v>
      </c>
      <c r="O777" t="n">
        <v>0</v>
      </c>
      <c r="P777" t="n">
        <v>0</v>
      </c>
      <c r="Q777" t="n">
        <v>0</v>
      </c>
      <c r="R777" s="2" t="inlineStr"/>
    </row>
    <row r="778" ht="15" customHeight="1">
      <c r="A778" t="inlineStr">
        <is>
          <t>A 40394-2024</t>
        </is>
      </c>
      <c r="B778" s="1" t="n">
        <v>45555.43584490741</v>
      </c>
      <c r="C778" s="1" t="n">
        <v>45916</v>
      </c>
      <c r="D778" t="inlineStr">
        <is>
          <t>JÄMTLANDS LÄN</t>
        </is>
      </c>
      <c r="E778" t="inlineStr">
        <is>
          <t>KROKOM</t>
        </is>
      </c>
      <c r="G778" t="n">
        <v>4</v>
      </c>
      <c r="H778" t="n">
        <v>0</v>
      </c>
      <c r="I778" t="n">
        <v>0</v>
      </c>
      <c r="J778" t="n">
        <v>0</v>
      </c>
      <c r="K778" t="n">
        <v>0</v>
      </c>
      <c r="L778" t="n">
        <v>0</v>
      </c>
      <c r="M778" t="n">
        <v>0</v>
      </c>
      <c r="N778" t="n">
        <v>0</v>
      </c>
      <c r="O778" t="n">
        <v>0</v>
      </c>
      <c r="P778" t="n">
        <v>0</v>
      </c>
      <c r="Q778" t="n">
        <v>0</v>
      </c>
      <c r="R778" s="2" t="inlineStr"/>
    </row>
    <row r="779" ht="15" customHeight="1">
      <c r="A779" t="inlineStr">
        <is>
          <t>A 35359-2025</t>
        </is>
      </c>
      <c r="B779" s="1" t="n">
        <v>45854.66518518519</v>
      </c>
      <c r="C779" s="1" t="n">
        <v>45916</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35354-2025</t>
        </is>
      </c>
      <c r="B780" s="1" t="n">
        <v>45854.65378472222</v>
      </c>
      <c r="C780" s="1" t="n">
        <v>45916</v>
      </c>
      <c r="D780" t="inlineStr">
        <is>
          <t>JÄMTLANDS LÄN</t>
        </is>
      </c>
      <c r="E780" t="inlineStr">
        <is>
          <t>KROKOM</t>
        </is>
      </c>
      <c r="G780" t="n">
        <v>3.7</v>
      </c>
      <c r="H780" t="n">
        <v>0</v>
      </c>
      <c r="I780" t="n">
        <v>0</v>
      </c>
      <c r="J780" t="n">
        <v>0</v>
      </c>
      <c r="K780" t="n">
        <v>0</v>
      </c>
      <c r="L780" t="n">
        <v>0</v>
      </c>
      <c r="M780" t="n">
        <v>0</v>
      </c>
      <c r="N780" t="n">
        <v>0</v>
      </c>
      <c r="O780" t="n">
        <v>0</v>
      </c>
      <c r="P780" t="n">
        <v>0</v>
      </c>
      <c r="Q780" t="n">
        <v>0</v>
      </c>
      <c r="R780" s="2" t="inlineStr"/>
    </row>
    <row r="781" ht="15" customHeight="1">
      <c r="A781" t="inlineStr">
        <is>
          <t>A 40507-2025</t>
        </is>
      </c>
      <c r="B781" s="1" t="n">
        <v>45896.34443287037</v>
      </c>
      <c r="C781" s="1" t="n">
        <v>45916</v>
      </c>
      <c r="D781" t="inlineStr">
        <is>
          <t>JÄMTLANDS LÄN</t>
        </is>
      </c>
      <c r="E781" t="inlineStr">
        <is>
          <t>KROKOM</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17820-2024</t>
        </is>
      </c>
      <c r="B782" s="1" t="n">
        <v>45418.94616898148</v>
      </c>
      <c r="C782" s="1" t="n">
        <v>45916</v>
      </c>
      <c r="D782" t="inlineStr">
        <is>
          <t>JÄMTLANDS LÄN</t>
        </is>
      </c>
      <c r="E782" t="inlineStr">
        <is>
          <t>KROKOM</t>
        </is>
      </c>
      <c r="G782" t="n">
        <v>1.4</v>
      </c>
      <c r="H782" t="n">
        <v>0</v>
      </c>
      <c r="I782" t="n">
        <v>0</v>
      </c>
      <c r="J782" t="n">
        <v>0</v>
      </c>
      <c r="K782" t="n">
        <v>0</v>
      </c>
      <c r="L782" t="n">
        <v>0</v>
      </c>
      <c r="M782" t="n">
        <v>0</v>
      </c>
      <c r="N782" t="n">
        <v>0</v>
      </c>
      <c r="O782" t="n">
        <v>0</v>
      </c>
      <c r="P782" t="n">
        <v>0</v>
      </c>
      <c r="Q782" t="n">
        <v>0</v>
      </c>
      <c r="R782" s="2" t="inlineStr"/>
    </row>
    <row r="783" ht="15" customHeight="1">
      <c r="A783" t="inlineStr">
        <is>
          <t>A 24333-2024</t>
        </is>
      </c>
      <c r="B783" s="1" t="n">
        <v>45457.55922453704</v>
      </c>
      <c r="C783" s="1" t="n">
        <v>45916</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24387-2023</t>
        </is>
      </c>
      <c r="B784" s="1" t="n">
        <v>45082</v>
      </c>
      <c r="C784" s="1" t="n">
        <v>45916</v>
      </c>
      <c r="D784" t="inlineStr">
        <is>
          <t>JÄMTLANDS LÄN</t>
        </is>
      </c>
      <c r="E784" t="inlineStr">
        <is>
          <t>KROKOM</t>
        </is>
      </c>
      <c r="F784" t="inlineStr">
        <is>
          <t>Kyrkan</t>
        </is>
      </c>
      <c r="G784" t="n">
        <v>21.2</v>
      </c>
      <c r="H784" t="n">
        <v>0</v>
      </c>
      <c r="I784" t="n">
        <v>0</v>
      </c>
      <c r="J784" t="n">
        <v>0</v>
      </c>
      <c r="K784" t="n">
        <v>0</v>
      </c>
      <c r="L784" t="n">
        <v>0</v>
      </c>
      <c r="M784" t="n">
        <v>0</v>
      </c>
      <c r="N784" t="n">
        <v>0</v>
      </c>
      <c r="O784" t="n">
        <v>0</v>
      </c>
      <c r="P784" t="n">
        <v>0</v>
      </c>
      <c r="Q784" t="n">
        <v>0</v>
      </c>
      <c r="R784" s="2" t="inlineStr"/>
    </row>
    <row r="785" ht="15" customHeight="1">
      <c r="A785" t="inlineStr">
        <is>
          <t>A 40822-2025</t>
        </is>
      </c>
      <c r="B785" s="1" t="n">
        <v>45897.49424768519</v>
      </c>
      <c r="C785" s="1" t="n">
        <v>45916</v>
      </c>
      <c r="D785" t="inlineStr">
        <is>
          <t>JÄMTLANDS LÄN</t>
        </is>
      </c>
      <c r="E785" t="inlineStr">
        <is>
          <t>KROKOM</t>
        </is>
      </c>
      <c r="G785" t="n">
        <v>3.8</v>
      </c>
      <c r="H785" t="n">
        <v>0</v>
      </c>
      <c r="I785" t="n">
        <v>0</v>
      </c>
      <c r="J785" t="n">
        <v>0</v>
      </c>
      <c r="K785" t="n">
        <v>0</v>
      </c>
      <c r="L785" t="n">
        <v>0</v>
      </c>
      <c r="M785" t="n">
        <v>0</v>
      </c>
      <c r="N785" t="n">
        <v>0</v>
      </c>
      <c r="O785" t="n">
        <v>0</v>
      </c>
      <c r="P785" t="n">
        <v>0</v>
      </c>
      <c r="Q785" t="n">
        <v>0</v>
      </c>
      <c r="R785" s="2" t="inlineStr"/>
    </row>
    <row r="786" ht="15" customHeight="1">
      <c r="A786" t="inlineStr">
        <is>
          <t>A 40796-2025</t>
        </is>
      </c>
      <c r="B786" s="1" t="n">
        <v>45897.44951388889</v>
      </c>
      <c r="C786" s="1" t="n">
        <v>45916</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40800-2025</t>
        </is>
      </c>
      <c r="B787" s="1" t="n">
        <v>45897.45311342592</v>
      </c>
      <c r="C787" s="1" t="n">
        <v>45916</v>
      </c>
      <c r="D787" t="inlineStr">
        <is>
          <t>JÄMTLANDS LÄN</t>
        </is>
      </c>
      <c r="E787" t="inlineStr">
        <is>
          <t>KROKOM</t>
        </is>
      </c>
      <c r="G787" t="n">
        <v>5.8</v>
      </c>
      <c r="H787" t="n">
        <v>0</v>
      </c>
      <c r="I787" t="n">
        <v>0</v>
      </c>
      <c r="J787" t="n">
        <v>0</v>
      </c>
      <c r="K787" t="n">
        <v>0</v>
      </c>
      <c r="L787" t="n">
        <v>0</v>
      </c>
      <c r="M787" t="n">
        <v>0</v>
      </c>
      <c r="N787" t="n">
        <v>0</v>
      </c>
      <c r="O787" t="n">
        <v>0</v>
      </c>
      <c r="P787" t="n">
        <v>0</v>
      </c>
      <c r="Q787" t="n">
        <v>0</v>
      </c>
      <c r="R787" s="2" t="inlineStr"/>
    </row>
    <row r="788" ht="15" customHeight="1">
      <c r="A788" t="inlineStr">
        <is>
          <t>A 15528-2024</t>
        </is>
      </c>
      <c r="B788" s="1" t="n">
        <v>45401.59810185185</v>
      </c>
      <c r="C788" s="1" t="n">
        <v>45916</v>
      </c>
      <c r="D788" t="inlineStr">
        <is>
          <t>JÄMTLANDS LÄN</t>
        </is>
      </c>
      <c r="E788" t="inlineStr">
        <is>
          <t>KROKOM</t>
        </is>
      </c>
      <c r="G788" t="n">
        <v>2.9</v>
      </c>
      <c r="H788" t="n">
        <v>0</v>
      </c>
      <c r="I788" t="n">
        <v>0</v>
      </c>
      <c r="J788" t="n">
        <v>0</v>
      </c>
      <c r="K788" t="n">
        <v>0</v>
      </c>
      <c r="L788" t="n">
        <v>0</v>
      </c>
      <c r="M788" t="n">
        <v>0</v>
      </c>
      <c r="N788" t="n">
        <v>0</v>
      </c>
      <c r="O788" t="n">
        <v>0</v>
      </c>
      <c r="P788" t="n">
        <v>0</v>
      </c>
      <c r="Q788" t="n">
        <v>0</v>
      </c>
      <c r="R788" s="2" t="inlineStr"/>
    </row>
    <row r="789" ht="15" customHeight="1">
      <c r="A789" t="inlineStr">
        <is>
          <t>A 35460-2025</t>
        </is>
      </c>
      <c r="B789" s="1" t="n">
        <v>45855.61193287037</v>
      </c>
      <c r="C789" s="1" t="n">
        <v>45916</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40806-2025</t>
        </is>
      </c>
      <c r="B790" s="1" t="n">
        <v>45897.46832175926</v>
      </c>
      <c r="C790" s="1" t="n">
        <v>45916</v>
      </c>
      <c r="D790" t="inlineStr">
        <is>
          <t>JÄMTLANDS LÄN</t>
        </is>
      </c>
      <c r="E790" t="inlineStr">
        <is>
          <t>KROKOM</t>
        </is>
      </c>
      <c r="G790" t="n">
        <v>3.6</v>
      </c>
      <c r="H790" t="n">
        <v>0</v>
      </c>
      <c r="I790" t="n">
        <v>0</v>
      </c>
      <c r="J790" t="n">
        <v>0</v>
      </c>
      <c r="K790" t="n">
        <v>0</v>
      </c>
      <c r="L790" t="n">
        <v>0</v>
      </c>
      <c r="M790" t="n">
        <v>0</v>
      </c>
      <c r="N790" t="n">
        <v>0</v>
      </c>
      <c r="O790" t="n">
        <v>0</v>
      </c>
      <c r="P790" t="n">
        <v>0</v>
      </c>
      <c r="Q790" t="n">
        <v>0</v>
      </c>
      <c r="R790" s="2" t="inlineStr"/>
    </row>
    <row r="791" ht="15" customHeight="1">
      <c r="A791" t="inlineStr">
        <is>
          <t>A 6585-2025</t>
        </is>
      </c>
      <c r="B791" s="1" t="n">
        <v>45700.27895833334</v>
      </c>
      <c r="C791" s="1" t="n">
        <v>45916</v>
      </c>
      <c r="D791" t="inlineStr">
        <is>
          <t>JÄMTLANDS LÄN</t>
        </is>
      </c>
      <c r="E791" t="inlineStr">
        <is>
          <t>KROKOM</t>
        </is>
      </c>
      <c r="F791" t="inlineStr">
        <is>
          <t>Övriga Aktiebolag</t>
        </is>
      </c>
      <c r="G791" t="n">
        <v>2</v>
      </c>
      <c r="H791" t="n">
        <v>0</v>
      </c>
      <c r="I791" t="n">
        <v>0</v>
      </c>
      <c r="J791" t="n">
        <v>0</v>
      </c>
      <c r="K791" t="n">
        <v>0</v>
      </c>
      <c r="L791" t="n">
        <v>0</v>
      </c>
      <c r="M791" t="n">
        <v>0</v>
      </c>
      <c r="N791" t="n">
        <v>0</v>
      </c>
      <c r="O791" t="n">
        <v>0</v>
      </c>
      <c r="P791" t="n">
        <v>0</v>
      </c>
      <c r="Q791" t="n">
        <v>0</v>
      </c>
      <c r="R791" s="2" t="inlineStr"/>
    </row>
    <row r="792" ht="15" customHeight="1">
      <c r="A792" t="inlineStr">
        <is>
          <t>A 29379-2024</t>
        </is>
      </c>
      <c r="B792" s="1" t="n">
        <v>45483</v>
      </c>
      <c r="C792" s="1" t="n">
        <v>45916</v>
      </c>
      <c r="D792" t="inlineStr">
        <is>
          <t>JÄMTLANDS LÄN</t>
        </is>
      </c>
      <c r="E792" t="inlineStr">
        <is>
          <t>KROKOM</t>
        </is>
      </c>
      <c r="G792" t="n">
        <v>2.6</v>
      </c>
      <c r="H792" t="n">
        <v>0</v>
      </c>
      <c r="I792" t="n">
        <v>0</v>
      </c>
      <c r="J792" t="n">
        <v>0</v>
      </c>
      <c r="K792" t="n">
        <v>0</v>
      </c>
      <c r="L792" t="n">
        <v>0</v>
      </c>
      <c r="M792" t="n">
        <v>0</v>
      </c>
      <c r="N792" t="n">
        <v>0</v>
      </c>
      <c r="O792" t="n">
        <v>0</v>
      </c>
      <c r="P792" t="n">
        <v>0</v>
      </c>
      <c r="Q792" t="n">
        <v>0</v>
      </c>
      <c r="R792" s="2" t="inlineStr"/>
    </row>
    <row r="793" ht="15" customHeight="1">
      <c r="A793" t="inlineStr">
        <is>
          <t>A 45869-2024</t>
        </is>
      </c>
      <c r="B793" s="1" t="n">
        <v>45580.36991898148</v>
      </c>
      <c r="C793" s="1" t="n">
        <v>45916</v>
      </c>
      <c r="D793" t="inlineStr">
        <is>
          <t>JÄMTLANDS LÄN</t>
        </is>
      </c>
      <c r="E793" t="inlineStr">
        <is>
          <t>KROKOM</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55479-2022</t>
        </is>
      </c>
      <c r="B794" s="1" t="n">
        <v>44887</v>
      </c>
      <c r="C794" s="1" t="n">
        <v>45916</v>
      </c>
      <c r="D794" t="inlineStr">
        <is>
          <t>JÄMTLANDS LÄN</t>
        </is>
      </c>
      <c r="E794" t="inlineStr">
        <is>
          <t>KROKOM</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2062-2021</t>
        </is>
      </c>
      <c r="B795" s="1" t="n">
        <v>44211</v>
      </c>
      <c r="C795" s="1" t="n">
        <v>45916</v>
      </c>
      <c r="D795" t="inlineStr">
        <is>
          <t>JÄMTLANDS LÄN</t>
        </is>
      </c>
      <c r="E795" t="inlineStr">
        <is>
          <t>KROKOM</t>
        </is>
      </c>
      <c r="G795" t="n">
        <v>1.4</v>
      </c>
      <c r="H795" t="n">
        <v>0</v>
      </c>
      <c r="I795" t="n">
        <v>0</v>
      </c>
      <c r="J795" t="n">
        <v>0</v>
      </c>
      <c r="K795" t="n">
        <v>0</v>
      </c>
      <c r="L795" t="n">
        <v>0</v>
      </c>
      <c r="M795" t="n">
        <v>0</v>
      </c>
      <c r="N795" t="n">
        <v>0</v>
      </c>
      <c r="O795" t="n">
        <v>0</v>
      </c>
      <c r="P795" t="n">
        <v>0</v>
      </c>
      <c r="Q795" t="n">
        <v>0</v>
      </c>
      <c r="R795" s="2" t="inlineStr"/>
    </row>
    <row r="796" ht="15" customHeight="1">
      <c r="A796" t="inlineStr">
        <is>
          <t>A 6347-2023</t>
        </is>
      </c>
      <c r="B796" s="1" t="n">
        <v>44965</v>
      </c>
      <c r="C796" s="1" t="n">
        <v>45916</v>
      </c>
      <c r="D796" t="inlineStr">
        <is>
          <t>JÄMTLANDS LÄN</t>
        </is>
      </c>
      <c r="E796" t="inlineStr">
        <is>
          <t>KROKOM</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17950-2025</t>
        </is>
      </c>
      <c r="B797" s="1" t="n">
        <v>45760.81083333334</v>
      </c>
      <c r="C797" s="1" t="n">
        <v>45916</v>
      </c>
      <c r="D797" t="inlineStr">
        <is>
          <t>JÄMTLANDS LÄN</t>
        </is>
      </c>
      <c r="E797" t="inlineStr">
        <is>
          <t>KROKOM</t>
        </is>
      </c>
      <c r="G797" t="n">
        <v>0.5</v>
      </c>
      <c r="H797" t="n">
        <v>0</v>
      </c>
      <c r="I797" t="n">
        <v>0</v>
      </c>
      <c r="J797" t="n">
        <v>0</v>
      </c>
      <c r="K797" t="n">
        <v>0</v>
      </c>
      <c r="L797" t="n">
        <v>0</v>
      </c>
      <c r="M797" t="n">
        <v>0</v>
      </c>
      <c r="N797" t="n">
        <v>0</v>
      </c>
      <c r="O797" t="n">
        <v>0</v>
      </c>
      <c r="P797" t="n">
        <v>0</v>
      </c>
      <c r="Q797" t="n">
        <v>0</v>
      </c>
      <c r="R797" s="2" t="inlineStr"/>
    </row>
    <row r="798" ht="15" customHeight="1">
      <c r="A798" t="inlineStr">
        <is>
          <t>A 47723-2024</t>
        </is>
      </c>
      <c r="B798" s="1" t="n">
        <v>45588</v>
      </c>
      <c r="C798" s="1" t="n">
        <v>45916</v>
      </c>
      <c r="D798" t="inlineStr">
        <is>
          <t>JÄMTLANDS LÄN</t>
        </is>
      </c>
      <c r="E798" t="inlineStr">
        <is>
          <t>KROKOM</t>
        </is>
      </c>
      <c r="G798" t="n">
        <v>1.6</v>
      </c>
      <c r="H798" t="n">
        <v>0</v>
      </c>
      <c r="I798" t="n">
        <v>0</v>
      </c>
      <c r="J798" t="n">
        <v>0</v>
      </c>
      <c r="K798" t="n">
        <v>0</v>
      </c>
      <c r="L798" t="n">
        <v>0</v>
      </c>
      <c r="M798" t="n">
        <v>0</v>
      </c>
      <c r="N798" t="n">
        <v>0</v>
      </c>
      <c r="O798" t="n">
        <v>0</v>
      </c>
      <c r="P798" t="n">
        <v>0</v>
      </c>
      <c r="Q798" t="n">
        <v>0</v>
      </c>
      <c r="R798" s="2" t="inlineStr"/>
    </row>
    <row r="799" ht="15" customHeight="1">
      <c r="A799" t="inlineStr">
        <is>
          <t>A 11056-2025</t>
        </is>
      </c>
      <c r="B799" s="1" t="n">
        <v>45723.50841435185</v>
      </c>
      <c r="C799" s="1" t="n">
        <v>45916</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8868-2025</t>
        </is>
      </c>
      <c r="B800" s="1" t="n">
        <v>45713.36836805556</v>
      </c>
      <c r="C800" s="1" t="n">
        <v>45916</v>
      </c>
      <c r="D800" t="inlineStr">
        <is>
          <t>JÄMTLANDS LÄN</t>
        </is>
      </c>
      <c r="E800" t="inlineStr">
        <is>
          <t>KROKOM</t>
        </is>
      </c>
      <c r="F800" t="inlineStr">
        <is>
          <t>Övriga Aktiebolag</t>
        </is>
      </c>
      <c r="G800" t="n">
        <v>4.2</v>
      </c>
      <c r="H800" t="n">
        <v>0</v>
      </c>
      <c r="I800" t="n">
        <v>0</v>
      </c>
      <c r="J800" t="n">
        <v>0</v>
      </c>
      <c r="K800" t="n">
        <v>0</v>
      </c>
      <c r="L800" t="n">
        <v>0</v>
      </c>
      <c r="M800" t="n">
        <v>0</v>
      </c>
      <c r="N800" t="n">
        <v>0</v>
      </c>
      <c r="O800" t="n">
        <v>0</v>
      </c>
      <c r="P800" t="n">
        <v>0</v>
      </c>
      <c r="Q800" t="n">
        <v>0</v>
      </c>
      <c r="R800" s="2" t="inlineStr"/>
    </row>
    <row r="801" ht="15" customHeight="1">
      <c r="A801" t="inlineStr">
        <is>
          <t>A 30771-2023</t>
        </is>
      </c>
      <c r="B801" s="1" t="n">
        <v>45112</v>
      </c>
      <c r="C801" s="1" t="n">
        <v>45916</v>
      </c>
      <c r="D801" t="inlineStr">
        <is>
          <t>JÄMTLANDS LÄN</t>
        </is>
      </c>
      <c r="E801" t="inlineStr">
        <is>
          <t>KROKOM</t>
        </is>
      </c>
      <c r="G801" t="n">
        <v>10.6</v>
      </c>
      <c r="H801" t="n">
        <v>0</v>
      </c>
      <c r="I801" t="n">
        <v>0</v>
      </c>
      <c r="J801" t="n">
        <v>0</v>
      </c>
      <c r="K801" t="n">
        <v>0</v>
      </c>
      <c r="L801" t="n">
        <v>0</v>
      </c>
      <c r="M801" t="n">
        <v>0</v>
      </c>
      <c r="N801" t="n">
        <v>0</v>
      </c>
      <c r="O801" t="n">
        <v>0</v>
      </c>
      <c r="P801" t="n">
        <v>0</v>
      </c>
      <c r="Q801" t="n">
        <v>0</v>
      </c>
      <c r="R801" s="2" t="inlineStr"/>
    </row>
    <row r="802" ht="15" customHeight="1">
      <c r="A802" t="inlineStr">
        <is>
          <t>A 41425-2025</t>
        </is>
      </c>
      <c r="B802" s="1" t="n">
        <v>45901.38590277778</v>
      </c>
      <c r="C802" s="1" t="n">
        <v>45916</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41290-2025</t>
        </is>
      </c>
      <c r="B803" s="1" t="n">
        <v>45898.64267361111</v>
      </c>
      <c r="C803" s="1" t="n">
        <v>45916</v>
      </c>
      <c r="D803" t="inlineStr">
        <is>
          <t>JÄMTLANDS LÄN</t>
        </is>
      </c>
      <c r="E803" t="inlineStr">
        <is>
          <t>KROKOM</t>
        </is>
      </c>
      <c r="G803" t="n">
        <v>17.1</v>
      </c>
      <c r="H803" t="n">
        <v>0</v>
      </c>
      <c r="I803" t="n">
        <v>0</v>
      </c>
      <c r="J803" t="n">
        <v>0</v>
      </c>
      <c r="K803" t="n">
        <v>0</v>
      </c>
      <c r="L803" t="n">
        <v>0</v>
      </c>
      <c r="M803" t="n">
        <v>0</v>
      </c>
      <c r="N803" t="n">
        <v>0</v>
      </c>
      <c r="O803" t="n">
        <v>0</v>
      </c>
      <c r="P803" t="n">
        <v>0</v>
      </c>
      <c r="Q803" t="n">
        <v>0</v>
      </c>
      <c r="R803" s="2" t="inlineStr"/>
    </row>
    <row r="804" ht="15" customHeight="1">
      <c r="A804" t="inlineStr">
        <is>
          <t>A 6066-2025</t>
        </is>
      </c>
      <c r="B804" s="1" t="n">
        <v>45696.3440162037</v>
      </c>
      <c r="C804" s="1" t="n">
        <v>45916</v>
      </c>
      <c r="D804" t="inlineStr">
        <is>
          <t>JÄMTLANDS LÄN</t>
        </is>
      </c>
      <c r="E804" t="inlineStr">
        <is>
          <t>KROKOM</t>
        </is>
      </c>
      <c r="G804" t="n">
        <v>5.3</v>
      </c>
      <c r="H804" t="n">
        <v>0</v>
      </c>
      <c r="I804" t="n">
        <v>0</v>
      </c>
      <c r="J804" t="n">
        <v>0</v>
      </c>
      <c r="K804" t="n">
        <v>0</v>
      </c>
      <c r="L804" t="n">
        <v>0</v>
      </c>
      <c r="M804" t="n">
        <v>0</v>
      </c>
      <c r="N804" t="n">
        <v>0</v>
      </c>
      <c r="O804" t="n">
        <v>0</v>
      </c>
      <c r="P804" t="n">
        <v>0</v>
      </c>
      <c r="Q804" t="n">
        <v>0</v>
      </c>
      <c r="R804" s="2" t="inlineStr"/>
    </row>
    <row r="805" ht="15" customHeight="1">
      <c r="A805" t="inlineStr">
        <is>
          <t>A 23539-2024</t>
        </is>
      </c>
      <c r="B805" s="1" t="n">
        <v>45453.95237268518</v>
      </c>
      <c r="C805" s="1" t="n">
        <v>45916</v>
      </c>
      <c r="D805" t="inlineStr">
        <is>
          <t>JÄMTLANDS LÄN</t>
        </is>
      </c>
      <c r="E805" t="inlineStr">
        <is>
          <t>KROKOM</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50782-2023</t>
        </is>
      </c>
      <c r="B806" s="1" t="n">
        <v>45217</v>
      </c>
      <c r="C806" s="1" t="n">
        <v>45916</v>
      </c>
      <c r="D806" t="inlineStr">
        <is>
          <t>JÄMTLANDS LÄN</t>
        </is>
      </c>
      <c r="E806" t="inlineStr">
        <is>
          <t>KROKOM</t>
        </is>
      </c>
      <c r="G806" t="n">
        <v>3.5</v>
      </c>
      <c r="H806" t="n">
        <v>0</v>
      </c>
      <c r="I806" t="n">
        <v>0</v>
      </c>
      <c r="J806" t="n">
        <v>0</v>
      </c>
      <c r="K806" t="n">
        <v>0</v>
      </c>
      <c r="L806" t="n">
        <v>0</v>
      </c>
      <c r="M806" t="n">
        <v>0</v>
      </c>
      <c r="N806" t="n">
        <v>0</v>
      </c>
      <c r="O806" t="n">
        <v>0</v>
      </c>
      <c r="P806" t="n">
        <v>0</v>
      </c>
      <c r="Q806" t="n">
        <v>0</v>
      </c>
      <c r="R806" s="2" t="inlineStr"/>
    </row>
    <row r="807" ht="15" customHeight="1">
      <c r="A807" t="inlineStr">
        <is>
          <t>A 6245-2025</t>
        </is>
      </c>
      <c r="B807" s="1" t="n">
        <v>45698.57129629629</v>
      </c>
      <c r="C807" s="1" t="n">
        <v>45916</v>
      </c>
      <c r="D807" t="inlineStr">
        <is>
          <t>JÄMTLANDS LÄN</t>
        </is>
      </c>
      <c r="E807" t="inlineStr">
        <is>
          <t>KROKOM</t>
        </is>
      </c>
      <c r="G807" t="n">
        <v>9.9</v>
      </c>
      <c r="H807" t="n">
        <v>0</v>
      </c>
      <c r="I807" t="n">
        <v>0</v>
      </c>
      <c r="J807" t="n">
        <v>0</v>
      </c>
      <c r="K807" t="n">
        <v>0</v>
      </c>
      <c r="L807" t="n">
        <v>0</v>
      </c>
      <c r="M807" t="n">
        <v>0</v>
      </c>
      <c r="N807" t="n">
        <v>0</v>
      </c>
      <c r="O807" t="n">
        <v>0</v>
      </c>
      <c r="P807" t="n">
        <v>0</v>
      </c>
      <c r="Q807" t="n">
        <v>0</v>
      </c>
      <c r="R807" s="2" t="inlineStr"/>
    </row>
    <row r="808" ht="15" customHeight="1">
      <c r="A808" t="inlineStr">
        <is>
          <t>A 4575-2025</t>
        </is>
      </c>
      <c r="B808" s="1" t="n">
        <v>45687.48931712963</v>
      </c>
      <c r="C808" s="1" t="n">
        <v>45916</v>
      </c>
      <c r="D808" t="inlineStr">
        <is>
          <t>JÄMTLANDS LÄN</t>
        </is>
      </c>
      <c r="E808" t="inlineStr">
        <is>
          <t>KROKOM</t>
        </is>
      </c>
      <c r="G808" t="n">
        <v>0.7</v>
      </c>
      <c r="H808" t="n">
        <v>0</v>
      </c>
      <c r="I808" t="n">
        <v>0</v>
      </c>
      <c r="J808" t="n">
        <v>0</v>
      </c>
      <c r="K808" t="n">
        <v>0</v>
      </c>
      <c r="L808" t="n">
        <v>0</v>
      </c>
      <c r="M808" t="n">
        <v>0</v>
      </c>
      <c r="N808" t="n">
        <v>0</v>
      </c>
      <c r="O808" t="n">
        <v>0</v>
      </c>
      <c r="P808" t="n">
        <v>0</v>
      </c>
      <c r="Q808" t="n">
        <v>0</v>
      </c>
      <c r="R808" s="2" t="inlineStr"/>
    </row>
    <row r="809" ht="15" customHeight="1">
      <c r="A809" t="inlineStr">
        <is>
          <t>A 21663-2025</t>
        </is>
      </c>
      <c r="B809" s="1" t="n">
        <v>45783</v>
      </c>
      <c r="C809" s="1" t="n">
        <v>45916</v>
      </c>
      <c r="D809" t="inlineStr">
        <is>
          <t>JÄMTLANDS LÄN</t>
        </is>
      </c>
      <c r="E809" t="inlineStr">
        <is>
          <t>KROKOM</t>
        </is>
      </c>
      <c r="G809" t="n">
        <v>5.2</v>
      </c>
      <c r="H809" t="n">
        <v>0</v>
      </c>
      <c r="I809" t="n">
        <v>0</v>
      </c>
      <c r="J809" t="n">
        <v>0</v>
      </c>
      <c r="K809" t="n">
        <v>0</v>
      </c>
      <c r="L809" t="n">
        <v>0</v>
      </c>
      <c r="M809" t="n">
        <v>0</v>
      </c>
      <c r="N809" t="n">
        <v>0</v>
      </c>
      <c r="O809" t="n">
        <v>0</v>
      </c>
      <c r="P809" t="n">
        <v>0</v>
      </c>
      <c r="Q809" t="n">
        <v>0</v>
      </c>
      <c r="R809" s="2" t="inlineStr"/>
    </row>
    <row r="810" ht="15" customHeight="1">
      <c r="A810" t="inlineStr">
        <is>
          <t>A 35864-2025</t>
        </is>
      </c>
      <c r="B810" s="1" t="n">
        <v>45861.6841087963</v>
      </c>
      <c r="C810" s="1" t="n">
        <v>45916</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35778-2025</t>
        </is>
      </c>
      <c r="B811" s="1" t="n">
        <v>45860</v>
      </c>
      <c r="C811" s="1" t="n">
        <v>45916</v>
      </c>
      <c r="D811" t="inlineStr">
        <is>
          <t>JÄMTLANDS LÄN</t>
        </is>
      </c>
      <c r="E811" t="inlineStr">
        <is>
          <t>KROKOM</t>
        </is>
      </c>
      <c r="G811" t="n">
        <v>1.8</v>
      </c>
      <c r="H811" t="n">
        <v>0</v>
      </c>
      <c r="I811" t="n">
        <v>0</v>
      </c>
      <c r="J811" t="n">
        <v>0</v>
      </c>
      <c r="K811" t="n">
        <v>0</v>
      </c>
      <c r="L811" t="n">
        <v>0</v>
      </c>
      <c r="M811" t="n">
        <v>0</v>
      </c>
      <c r="N811" t="n">
        <v>0</v>
      </c>
      <c r="O811" t="n">
        <v>0</v>
      </c>
      <c r="P811" t="n">
        <v>0</v>
      </c>
      <c r="Q811" t="n">
        <v>0</v>
      </c>
      <c r="R811" s="2" t="inlineStr"/>
    </row>
    <row r="812" ht="15" customHeight="1">
      <c r="A812" t="inlineStr">
        <is>
          <t>A 39490-2022</t>
        </is>
      </c>
      <c r="B812" s="1" t="n">
        <v>44818</v>
      </c>
      <c r="C812" s="1" t="n">
        <v>45916</v>
      </c>
      <c r="D812" t="inlineStr">
        <is>
          <t>JÄMTLANDS LÄN</t>
        </is>
      </c>
      <c r="E812" t="inlineStr">
        <is>
          <t>KROKOM</t>
        </is>
      </c>
      <c r="G812" t="n">
        <v>11.9</v>
      </c>
      <c r="H812" t="n">
        <v>0</v>
      </c>
      <c r="I812" t="n">
        <v>0</v>
      </c>
      <c r="J812" t="n">
        <v>0</v>
      </c>
      <c r="K812" t="n">
        <v>0</v>
      </c>
      <c r="L812" t="n">
        <v>0</v>
      </c>
      <c r="M812" t="n">
        <v>0</v>
      </c>
      <c r="N812" t="n">
        <v>0</v>
      </c>
      <c r="O812" t="n">
        <v>0</v>
      </c>
      <c r="P812" t="n">
        <v>0</v>
      </c>
      <c r="Q812" t="n">
        <v>0</v>
      </c>
      <c r="R812" s="2" t="inlineStr"/>
    </row>
    <row r="813" ht="15" customHeight="1">
      <c r="A813" t="inlineStr">
        <is>
          <t>A 45827-2023</t>
        </is>
      </c>
      <c r="B813" s="1" t="n">
        <v>45195</v>
      </c>
      <c r="C813" s="1" t="n">
        <v>45916</v>
      </c>
      <c r="D813" t="inlineStr">
        <is>
          <t>JÄMTLANDS LÄN</t>
        </is>
      </c>
      <c r="E813" t="inlineStr">
        <is>
          <t>KROKOM</t>
        </is>
      </c>
      <c r="G813" t="n">
        <v>1.6</v>
      </c>
      <c r="H813" t="n">
        <v>0</v>
      </c>
      <c r="I813" t="n">
        <v>0</v>
      </c>
      <c r="J813" t="n">
        <v>0</v>
      </c>
      <c r="K813" t="n">
        <v>0</v>
      </c>
      <c r="L813" t="n">
        <v>0</v>
      </c>
      <c r="M813" t="n">
        <v>0</v>
      </c>
      <c r="N813" t="n">
        <v>0</v>
      </c>
      <c r="O813" t="n">
        <v>0</v>
      </c>
      <c r="P813" t="n">
        <v>0</v>
      </c>
      <c r="Q813" t="n">
        <v>0</v>
      </c>
      <c r="R813" s="2" t="inlineStr"/>
    </row>
    <row r="814" ht="15" customHeight="1">
      <c r="A814" t="inlineStr">
        <is>
          <t>A 6900-2024</t>
        </is>
      </c>
      <c r="B814" s="1" t="n">
        <v>45342</v>
      </c>
      <c r="C814" s="1" t="n">
        <v>45916</v>
      </c>
      <c r="D814" t="inlineStr">
        <is>
          <t>JÄMTLANDS LÄN</t>
        </is>
      </c>
      <c r="E814" t="inlineStr">
        <is>
          <t>KROKOM</t>
        </is>
      </c>
      <c r="F814" t="inlineStr">
        <is>
          <t>SCA</t>
        </is>
      </c>
      <c r="G814" t="n">
        <v>64.59999999999999</v>
      </c>
      <c r="H814" t="n">
        <v>0</v>
      </c>
      <c r="I814" t="n">
        <v>0</v>
      </c>
      <c r="J814" t="n">
        <v>0</v>
      </c>
      <c r="K814" t="n">
        <v>0</v>
      </c>
      <c r="L814" t="n">
        <v>0</v>
      </c>
      <c r="M814" t="n">
        <v>0</v>
      </c>
      <c r="N814" t="n">
        <v>0</v>
      </c>
      <c r="O814" t="n">
        <v>0</v>
      </c>
      <c r="P814" t="n">
        <v>0</v>
      </c>
      <c r="Q814" t="n">
        <v>0</v>
      </c>
      <c r="R814" s="2" t="inlineStr"/>
    </row>
    <row r="815" ht="15" customHeight="1">
      <c r="A815" t="inlineStr">
        <is>
          <t>A 36044-2025</t>
        </is>
      </c>
      <c r="B815" s="1" t="n">
        <v>45863</v>
      </c>
      <c r="C815" s="1" t="n">
        <v>45916</v>
      </c>
      <c r="D815" t="inlineStr">
        <is>
          <t>JÄMTLANDS LÄN</t>
        </is>
      </c>
      <c r="E815" t="inlineStr">
        <is>
          <t>KROKOM</t>
        </is>
      </c>
      <c r="G815" t="n">
        <v>7.4</v>
      </c>
      <c r="H815" t="n">
        <v>0</v>
      </c>
      <c r="I815" t="n">
        <v>0</v>
      </c>
      <c r="J815" t="n">
        <v>0</v>
      </c>
      <c r="K815" t="n">
        <v>0</v>
      </c>
      <c r="L815" t="n">
        <v>0</v>
      </c>
      <c r="M815" t="n">
        <v>0</v>
      </c>
      <c r="N815" t="n">
        <v>0</v>
      </c>
      <c r="O815" t="n">
        <v>0</v>
      </c>
      <c r="P815" t="n">
        <v>0</v>
      </c>
      <c r="Q815" t="n">
        <v>0</v>
      </c>
      <c r="R815" s="2" t="inlineStr"/>
    </row>
    <row r="816" ht="15" customHeight="1">
      <c r="A816" t="inlineStr">
        <is>
          <t>A 42231-2025</t>
        </is>
      </c>
      <c r="B816" s="1" t="n">
        <v>45904.55565972222</v>
      </c>
      <c r="C816" s="1" t="n">
        <v>45916</v>
      </c>
      <c r="D816" t="inlineStr">
        <is>
          <t>JÄMTLANDS LÄN</t>
        </is>
      </c>
      <c r="E816" t="inlineStr">
        <is>
          <t>KROKOM</t>
        </is>
      </c>
      <c r="G816" t="n">
        <v>0.6</v>
      </c>
      <c r="H816" t="n">
        <v>0</v>
      </c>
      <c r="I816" t="n">
        <v>0</v>
      </c>
      <c r="J816" t="n">
        <v>0</v>
      </c>
      <c r="K816" t="n">
        <v>0</v>
      </c>
      <c r="L816" t="n">
        <v>0</v>
      </c>
      <c r="M816" t="n">
        <v>0</v>
      </c>
      <c r="N816" t="n">
        <v>0</v>
      </c>
      <c r="O816" t="n">
        <v>0</v>
      </c>
      <c r="P816" t="n">
        <v>0</v>
      </c>
      <c r="Q816" t="n">
        <v>0</v>
      </c>
      <c r="R816" s="2" t="inlineStr"/>
    </row>
    <row r="817" ht="15" customHeight="1">
      <c r="A817" t="inlineStr">
        <is>
          <t>A 42427-2025</t>
        </is>
      </c>
      <c r="B817" s="1" t="n">
        <v>45905.4174537037</v>
      </c>
      <c r="C817" s="1" t="n">
        <v>45916</v>
      </c>
      <c r="D817" t="inlineStr">
        <is>
          <t>JÄMTLANDS LÄN</t>
        </is>
      </c>
      <c r="E817" t="inlineStr">
        <is>
          <t>KROKOM</t>
        </is>
      </c>
      <c r="G817" t="n">
        <v>5.3</v>
      </c>
      <c r="H817" t="n">
        <v>0</v>
      </c>
      <c r="I817" t="n">
        <v>0</v>
      </c>
      <c r="J817" t="n">
        <v>0</v>
      </c>
      <c r="K817" t="n">
        <v>0</v>
      </c>
      <c r="L817" t="n">
        <v>0</v>
      </c>
      <c r="M817" t="n">
        <v>0</v>
      </c>
      <c r="N817" t="n">
        <v>0</v>
      </c>
      <c r="O817" t="n">
        <v>0</v>
      </c>
      <c r="P817" t="n">
        <v>0</v>
      </c>
      <c r="Q817" t="n">
        <v>0</v>
      </c>
      <c r="R817" s="2" t="inlineStr"/>
    </row>
    <row r="818" ht="15" customHeight="1">
      <c r="A818" t="inlineStr">
        <is>
          <t>A 31821-2023</t>
        </is>
      </c>
      <c r="B818" s="1" t="n">
        <v>45118</v>
      </c>
      <c r="C818" s="1" t="n">
        <v>45916</v>
      </c>
      <c r="D818" t="inlineStr">
        <is>
          <t>JÄMTLANDS LÄN</t>
        </is>
      </c>
      <c r="E818" t="inlineStr">
        <is>
          <t>KROKOM</t>
        </is>
      </c>
      <c r="G818" t="n">
        <v>0.1</v>
      </c>
      <c r="H818" t="n">
        <v>0</v>
      </c>
      <c r="I818" t="n">
        <v>0</v>
      </c>
      <c r="J818" t="n">
        <v>0</v>
      </c>
      <c r="K818" t="n">
        <v>0</v>
      </c>
      <c r="L818" t="n">
        <v>0</v>
      </c>
      <c r="M818" t="n">
        <v>0</v>
      </c>
      <c r="N818" t="n">
        <v>0</v>
      </c>
      <c r="O818" t="n">
        <v>0</v>
      </c>
      <c r="P818" t="n">
        <v>0</v>
      </c>
      <c r="Q818" t="n">
        <v>0</v>
      </c>
      <c r="R818" s="2" t="inlineStr"/>
    </row>
    <row r="819" ht="15" customHeight="1">
      <c r="A819" t="inlineStr">
        <is>
          <t>A 50881-2024</t>
        </is>
      </c>
      <c r="B819" s="1" t="n">
        <v>45602.65599537037</v>
      </c>
      <c r="C819" s="1" t="n">
        <v>45916</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50951-2024</t>
        </is>
      </c>
      <c r="B820" s="1" t="n">
        <v>45603.28460648148</v>
      </c>
      <c r="C820" s="1" t="n">
        <v>45916</v>
      </c>
      <c r="D820" t="inlineStr">
        <is>
          <t>JÄMTLANDS LÄN</t>
        </is>
      </c>
      <c r="E820" t="inlineStr">
        <is>
          <t>KROKOM</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35875-2025</t>
        </is>
      </c>
      <c r="B821" s="1" t="n">
        <v>45862.34668981482</v>
      </c>
      <c r="C821" s="1" t="n">
        <v>45916</v>
      </c>
      <c r="D821" t="inlineStr">
        <is>
          <t>JÄMTLANDS LÄN</t>
        </is>
      </c>
      <c r="E821" t="inlineStr">
        <is>
          <t>KROKOM</t>
        </is>
      </c>
      <c r="F821" t="inlineStr">
        <is>
          <t>Övriga Aktiebolag</t>
        </is>
      </c>
      <c r="G821" t="n">
        <v>14.9</v>
      </c>
      <c r="H821" t="n">
        <v>0</v>
      </c>
      <c r="I821" t="n">
        <v>0</v>
      </c>
      <c r="J821" t="n">
        <v>0</v>
      </c>
      <c r="K821" t="n">
        <v>0</v>
      </c>
      <c r="L821" t="n">
        <v>0</v>
      </c>
      <c r="M821" t="n">
        <v>0</v>
      </c>
      <c r="N821" t="n">
        <v>0</v>
      </c>
      <c r="O821" t="n">
        <v>0</v>
      </c>
      <c r="P821" t="n">
        <v>0</v>
      </c>
      <c r="Q821" t="n">
        <v>0</v>
      </c>
      <c r="R821" s="2" t="inlineStr"/>
    </row>
    <row r="822" ht="15" customHeight="1">
      <c r="A822" t="inlineStr">
        <is>
          <t>A 35985-2025</t>
        </is>
      </c>
      <c r="B822" s="1" t="n">
        <v>45863.45778935185</v>
      </c>
      <c r="C822" s="1" t="n">
        <v>45916</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42445-2025</t>
        </is>
      </c>
      <c r="B823" s="1" t="n">
        <v>45905.4375</v>
      </c>
      <c r="C823" s="1" t="n">
        <v>45916</v>
      </c>
      <c r="D823" t="inlineStr">
        <is>
          <t>JÄMTLANDS LÄN</t>
        </is>
      </c>
      <c r="E823" t="inlineStr">
        <is>
          <t>KROKOM</t>
        </is>
      </c>
      <c r="G823" t="n">
        <v>2.8</v>
      </c>
      <c r="H823" t="n">
        <v>0</v>
      </c>
      <c r="I823" t="n">
        <v>0</v>
      </c>
      <c r="J823" t="n">
        <v>0</v>
      </c>
      <c r="K823" t="n">
        <v>0</v>
      </c>
      <c r="L823" t="n">
        <v>0</v>
      </c>
      <c r="M823" t="n">
        <v>0</v>
      </c>
      <c r="N823" t="n">
        <v>0</v>
      </c>
      <c r="O823" t="n">
        <v>0</v>
      </c>
      <c r="P823" t="n">
        <v>0</v>
      </c>
      <c r="Q823" t="n">
        <v>0</v>
      </c>
      <c r="R823" s="2" t="inlineStr"/>
    </row>
    <row r="824" ht="15" customHeight="1">
      <c r="A824" t="inlineStr">
        <is>
          <t>A 7556-2025</t>
        </is>
      </c>
      <c r="B824" s="1" t="n">
        <v>45705</v>
      </c>
      <c r="C824" s="1" t="n">
        <v>45916</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40271-2024</t>
        </is>
      </c>
      <c r="B825" s="1" t="n">
        <v>45554</v>
      </c>
      <c r="C825" s="1" t="n">
        <v>45916</v>
      </c>
      <c r="D825" t="inlineStr">
        <is>
          <t>JÄMTLANDS LÄN</t>
        </is>
      </c>
      <c r="E825" t="inlineStr">
        <is>
          <t>KROKOM</t>
        </is>
      </c>
      <c r="F825" t="inlineStr">
        <is>
          <t>Övriga Aktiebolag</t>
        </is>
      </c>
      <c r="G825" t="n">
        <v>3</v>
      </c>
      <c r="H825" t="n">
        <v>0</v>
      </c>
      <c r="I825" t="n">
        <v>0</v>
      </c>
      <c r="J825" t="n">
        <v>0</v>
      </c>
      <c r="K825" t="n">
        <v>0</v>
      </c>
      <c r="L825" t="n">
        <v>0</v>
      </c>
      <c r="M825" t="n">
        <v>0</v>
      </c>
      <c r="N825" t="n">
        <v>0</v>
      </c>
      <c r="O825" t="n">
        <v>0</v>
      </c>
      <c r="P825" t="n">
        <v>0</v>
      </c>
      <c r="Q825" t="n">
        <v>0</v>
      </c>
      <c r="R825" s="2" t="inlineStr"/>
    </row>
    <row r="826" ht="15" customHeight="1">
      <c r="A826" t="inlineStr">
        <is>
          <t>A 23214-2024</t>
        </is>
      </c>
      <c r="B826" s="1" t="n">
        <v>45452.55271990741</v>
      </c>
      <c r="C826" s="1" t="n">
        <v>45916</v>
      </c>
      <c r="D826" t="inlineStr">
        <is>
          <t>JÄMTLANDS LÄN</t>
        </is>
      </c>
      <c r="E826" t="inlineStr">
        <is>
          <t>KROKOM</t>
        </is>
      </c>
      <c r="F826" t="inlineStr">
        <is>
          <t>Övriga Aktiebolag</t>
        </is>
      </c>
      <c r="G826" t="n">
        <v>0.4</v>
      </c>
      <c r="H826" t="n">
        <v>0</v>
      </c>
      <c r="I826" t="n">
        <v>0</v>
      </c>
      <c r="J826" t="n">
        <v>0</v>
      </c>
      <c r="K826" t="n">
        <v>0</v>
      </c>
      <c r="L826" t="n">
        <v>0</v>
      </c>
      <c r="M826" t="n">
        <v>0</v>
      </c>
      <c r="N826" t="n">
        <v>0</v>
      </c>
      <c r="O826" t="n">
        <v>0</v>
      </c>
      <c r="P826" t="n">
        <v>0</v>
      </c>
      <c r="Q826" t="n">
        <v>0</v>
      </c>
      <c r="R826" s="2" t="inlineStr"/>
    </row>
    <row r="827" ht="15" customHeight="1">
      <c r="A827" t="inlineStr">
        <is>
          <t>A 10782-2023</t>
        </is>
      </c>
      <c r="B827" s="1" t="n">
        <v>44988.94056712963</v>
      </c>
      <c r="C827" s="1" t="n">
        <v>45916</v>
      </c>
      <c r="D827" t="inlineStr">
        <is>
          <t>JÄMTLANDS LÄN</t>
        </is>
      </c>
      <c r="E827" t="inlineStr">
        <is>
          <t>KROKOM</t>
        </is>
      </c>
      <c r="F827" t="inlineStr">
        <is>
          <t>SCA</t>
        </is>
      </c>
      <c r="G827" t="n">
        <v>68.8</v>
      </c>
      <c r="H827" t="n">
        <v>0</v>
      </c>
      <c r="I827" t="n">
        <v>0</v>
      </c>
      <c r="J827" t="n">
        <v>0</v>
      </c>
      <c r="K827" t="n">
        <v>0</v>
      </c>
      <c r="L827" t="n">
        <v>0</v>
      </c>
      <c r="M827" t="n">
        <v>0</v>
      </c>
      <c r="N827" t="n">
        <v>0</v>
      </c>
      <c r="O827" t="n">
        <v>0</v>
      </c>
      <c r="P827" t="n">
        <v>0</v>
      </c>
      <c r="Q827" t="n">
        <v>0</v>
      </c>
      <c r="R827" s="2" t="inlineStr"/>
    </row>
    <row r="828" ht="15" customHeight="1">
      <c r="A828" t="inlineStr">
        <is>
          <t>A 884-2021</t>
        </is>
      </c>
      <c r="B828" s="1" t="n">
        <v>44206</v>
      </c>
      <c r="C828" s="1" t="n">
        <v>45916</v>
      </c>
      <c r="D828" t="inlineStr">
        <is>
          <t>JÄMTLANDS LÄN</t>
        </is>
      </c>
      <c r="E828" t="inlineStr">
        <is>
          <t>KROKOM</t>
        </is>
      </c>
      <c r="G828" t="n">
        <v>0.2</v>
      </c>
      <c r="H828" t="n">
        <v>0</v>
      </c>
      <c r="I828" t="n">
        <v>0</v>
      </c>
      <c r="J828" t="n">
        <v>0</v>
      </c>
      <c r="K828" t="n">
        <v>0</v>
      </c>
      <c r="L828" t="n">
        <v>0</v>
      </c>
      <c r="M828" t="n">
        <v>0</v>
      </c>
      <c r="N828" t="n">
        <v>0</v>
      </c>
      <c r="O828" t="n">
        <v>0</v>
      </c>
      <c r="P828" t="n">
        <v>0</v>
      </c>
      <c r="Q828" t="n">
        <v>0</v>
      </c>
      <c r="R828" s="2" t="inlineStr"/>
    </row>
    <row r="829" ht="15" customHeight="1">
      <c r="A829" t="inlineStr">
        <is>
          <t>A 42235-2025</t>
        </is>
      </c>
      <c r="B829" s="1" t="n">
        <v>45904.56144675926</v>
      </c>
      <c r="C829" s="1" t="n">
        <v>45916</v>
      </c>
      <c r="D829" t="inlineStr">
        <is>
          <t>JÄMTLANDS LÄN</t>
        </is>
      </c>
      <c r="E829" t="inlineStr">
        <is>
          <t>KROKOM</t>
        </is>
      </c>
      <c r="G829" t="n">
        <v>0.8</v>
      </c>
      <c r="H829" t="n">
        <v>0</v>
      </c>
      <c r="I829" t="n">
        <v>0</v>
      </c>
      <c r="J829" t="n">
        <v>0</v>
      </c>
      <c r="K829" t="n">
        <v>0</v>
      </c>
      <c r="L829" t="n">
        <v>0</v>
      </c>
      <c r="M829" t="n">
        <v>0</v>
      </c>
      <c r="N829" t="n">
        <v>0</v>
      </c>
      <c r="O829" t="n">
        <v>0</v>
      </c>
      <c r="P829" t="n">
        <v>0</v>
      </c>
      <c r="Q829" t="n">
        <v>0</v>
      </c>
      <c r="R829" s="2" t="inlineStr"/>
    </row>
    <row r="830" ht="15" customHeight="1">
      <c r="A830" t="inlineStr">
        <is>
          <t>A 47060-2024</t>
        </is>
      </c>
      <c r="B830" s="1" t="n">
        <v>45586.46927083333</v>
      </c>
      <c r="C830" s="1" t="n">
        <v>45916</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6185-2025</t>
        </is>
      </c>
      <c r="B831" s="1" t="n">
        <v>45698.45653935185</v>
      </c>
      <c r="C831" s="1" t="n">
        <v>45916</v>
      </c>
      <c r="D831" t="inlineStr">
        <is>
          <t>JÄMTLANDS LÄN</t>
        </is>
      </c>
      <c r="E831" t="inlineStr">
        <is>
          <t>KROKOM</t>
        </is>
      </c>
      <c r="G831" t="n">
        <v>14.7</v>
      </c>
      <c r="H831" t="n">
        <v>0</v>
      </c>
      <c r="I831" t="n">
        <v>0</v>
      </c>
      <c r="J831" t="n">
        <v>0</v>
      </c>
      <c r="K831" t="n">
        <v>0</v>
      </c>
      <c r="L831" t="n">
        <v>0</v>
      </c>
      <c r="M831" t="n">
        <v>0</v>
      </c>
      <c r="N831" t="n">
        <v>0</v>
      </c>
      <c r="O831" t="n">
        <v>0</v>
      </c>
      <c r="P831" t="n">
        <v>0</v>
      </c>
      <c r="Q831" t="n">
        <v>0</v>
      </c>
      <c r="R831" s="2" t="inlineStr"/>
    </row>
    <row r="832" ht="15" customHeight="1">
      <c r="A832" t="inlineStr">
        <is>
          <t>A 4741-2022</t>
        </is>
      </c>
      <c r="B832" s="1" t="n">
        <v>44592</v>
      </c>
      <c r="C832" s="1" t="n">
        <v>45916</v>
      </c>
      <c r="D832" t="inlineStr">
        <is>
          <t>JÄMTLANDS LÄN</t>
        </is>
      </c>
      <c r="E832" t="inlineStr">
        <is>
          <t>KROKOM</t>
        </is>
      </c>
      <c r="G832" t="n">
        <v>54.2</v>
      </c>
      <c r="H832" t="n">
        <v>0</v>
      </c>
      <c r="I832" t="n">
        <v>0</v>
      </c>
      <c r="J832" t="n">
        <v>0</v>
      </c>
      <c r="K832" t="n">
        <v>0</v>
      </c>
      <c r="L832" t="n">
        <v>0</v>
      </c>
      <c r="M832" t="n">
        <v>0</v>
      </c>
      <c r="N832" t="n">
        <v>0</v>
      </c>
      <c r="O832" t="n">
        <v>0</v>
      </c>
      <c r="P832" t="n">
        <v>0</v>
      </c>
      <c r="Q832" t="n">
        <v>0</v>
      </c>
      <c r="R832" s="2" t="inlineStr"/>
    </row>
    <row r="833" ht="15" customHeight="1">
      <c r="A833" t="inlineStr">
        <is>
          <t>A 29224-2023</t>
        </is>
      </c>
      <c r="B833" s="1" t="n">
        <v>45097</v>
      </c>
      <c r="C833" s="1" t="n">
        <v>45916</v>
      </c>
      <c r="D833" t="inlineStr">
        <is>
          <t>JÄMTLANDS LÄN</t>
        </is>
      </c>
      <c r="E833" t="inlineStr">
        <is>
          <t>KROKOM</t>
        </is>
      </c>
      <c r="G833" t="n">
        <v>2.6</v>
      </c>
      <c r="H833" t="n">
        <v>0</v>
      </c>
      <c r="I833" t="n">
        <v>0</v>
      </c>
      <c r="J833" t="n">
        <v>0</v>
      </c>
      <c r="K833" t="n">
        <v>0</v>
      </c>
      <c r="L833" t="n">
        <v>0</v>
      </c>
      <c r="M833" t="n">
        <v>0</v>
      </c>
      <c r="N833" t="n">
        <v>0</v>
      </c>
      <c r="O833" t="n">
        <v>0</v>
      </c>
      <c r="P833" t="n">
        <v>0</v>
      </c>
      <c r="Q833" t="n">
        <v>0</v>
      </c>
      <c r="R833" s="2" t="inlineStr"/>
    </row>
    <row r="834" ht="15" customHeight="1">
      <c r="A834" t="inlineStr">
        <is>
          <t>A 21617-2025</t>
        </is>
      </c>
      <c r="B834" s="1" t="n">
        <v>45783</v>
      </c>
      <c r="C834" s="1" t="n">
        <v>45916</v>
      </c>
      <c r="D834" t="inlineStr">
        <is>
          <t>JÄMTLANDS LÄN</t>
        </is>
      </c>
      <c r="E834" t="inlineStr">
        <is>
          <t>KROKOM</t>
        </is>
      </c>
      <c r="G834" t="n">
        <v>2.6</v>
      </c>
      <c r="H834" t="n">
        <v>0</v>
      </c>
      <c r="I834" t="n">
        <v>0</v>
      </c>
      <c r="J834" t="n">
        <v>0</v>
      </c>
      <c r="K834" t="n">
        <v>0</v>
      </c>
      <c r="L834" t="n">
        <v>0</v>
      </c>
      <c r="M834" t="n">
        <v>0</v>
      </c>
      <c r="N834" t="n">
        <v>0</v>
      </c>
      <c r="O834" t="n">
        <v>0</v>
      </c>
      <c r="P834" t="n">
        <v>0</v>
      </c>
      <c r="Q834" t="n">
        <v>0</v>
      </c>
      <c r="R834" s="2" t="inlineStr"/>
    </row>
    <row r="835" ht="15" customHeight="1">
      <c r="A835" t="inlineStr">
        <is>
          <t>A 52590-2023</t>
        </is>
      </c>
      <c r="B835" s="1" t="n">
        <v>45225.60212962963</v>
      </c>
      <c r="C835" s="1" t="n">
        <v>45916</v>
      </c>
      <c r="D835" t="inlineStr">
        <is>
          <t>JÄMTLANDS LÄN</t>
        </is>
      </c>
      <c r="E835" t="inlineStr">
        <is>
          <t>KROKOM</t>
        </is>
      </c>
      <c r="G835" t="n">
        <v>9</v>
      </c>
      <c r="H835" t="n">
        <v>0</v>
      </c>
      <c r="I835" t="n">
        <v>0</v>
      </c>
      <c r="J835" t="n">
        <v>0</v>
      </c>
      <c r="K835" t="n">
        <v>0</v>
      </c>
      <c r="L835" t="n">
        <v>0</v>
      </c>
      <c r="M835" t="n">
        <v>0</v>
      </c>
      <c r="N835" t="n">
        <v>0</v>
      </c>
      <c r="O835" t="n">
        <v>0</v>
      </c>
      <c r="P835" t="n">
        <v>0</v>
      </c>
      <c r="Q835" t="n">
        <v>0</v>
      </c>
      <c r="R835" s="2" t="inlineStr"/>
    </row>
    <row r="836" ht="15" customHeight="1">
      <c r="A836" t="inlineStr">
        <is>
          <t>A 60491-2024</t>
        </is>
      </c>
      <c r="B836" s="1" t="n">
        <v>45643.65354166667</v>
      </c>
      <c r="C836" s="1" t="n">
        <v>45916</v>
      </c>
      <c r="D836" t="inlineStr">
        <is>
          <t>JÄMTLANDS LÄN</t>
        </is>
      </c>
      <c r="E836" t="inlineStr">
        <is>
          <t>KROKOM</t>
        </is>
      </c>
      <c r="G836" t="n">
        <v>0.5</v>
      </c>
      <c r="H836" t="n">
        <v>0</v>
      </c>
      <c r="I836" t="n">
        <v>0</v>
      </c>
      <c r="J836" t="n">
        <v>0</v>
      </c>
      <c r="K836" t="n">
        <v>0</v>
      </c>
      <c r="L836" t="n">
        <v>0</v>
      </c>
      <c r="M836" t="n">
        <v>0</v>
      </c>
      <c r="N836" t="n">
        <v>0</v>
      </c>
      <c r="O836" t="n">
        <v>0</v>
      </c>
      <c r="P836" t="n">
        <v>0</v>
      </c>
      <c r="Q836" t="n">
        <v>0</v>
      </c>
      <c r="R836" s="2" t="inlineStr"/>
    </row>
    <row r="837" ht="15" customHeight="1">
      <c r="A837" t="inlineStr">
        <is>
          <t>A 42804-2025</t>
        </is>
      </c>
      <c r="B837" s="1" t="n">
        <v>45908</v>
      </c>
      <c r="C837" s="1" t="n">
        <v>45916</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34278-2022</t>
        </is>
      </c>
      <c r="B838" s="1" t="n">
        <v>44792.27644675926</v>
      </c>
      <c r="C838" s="1" t="n">
        <v>45916</v>
      </c>
      <c r="D838" t="inlineStr">
        <is>
          <t>JÄMTLANDS LÄN</t>
        </is>
      </c>
      <c r="E838" t="inlineStr">
        <is>
          <t>KROKOM</t>
        </is>
      </c>
      <c r="G838" t="n">
        <v>19.5</v>
      </c>
      <c r="H838" t="n">
        <v>0</v>
      </c>
      <c r="I838" t="n">
        <v>0</v>
      </c>
      <c r="J838" t="n">
        <v>0</v>
      </c>
      <c r="K838" t="n">
        <v>0</v>
      </c>
      <c r="L838" t="n">
        <v>0</v>
      </c>
      <c r="M838" t="n">
        <v>0</v>
      </c>
      <c r="N838" t="n">
        <v>0</v>
      </c>
      <c r="O838" t="n">
        <v>0</v>
      </c>
      <c r="P838" t="n">
        <v>0</v>
      </c>
      <c r="Q838" t="n">
        <v>0</v>
      </c>
      <c r="R838" s="2" t="inlineStr"/>
    </row>
    <row r="839" ht="15" customHeight="1">
      <c r="A839" t="inlineStr">
        <is>
          <t>A 52217-2024</t>
        </is>
      </c>
      <c r="B839" s="1" t="n">
        <v>45607</v>
      </c>
      <c r="C839" s="1" t="n">
        <v>45916</v>
      </c>
      <c r="D839" t="inlineStr">
        <is>
          <t>JÄMTLANDS LÄN</t>
        </is>
      </c>
      <c r="E839" t="inlineStr">
        <is>
          <t>KROKOM</t>
        </is>
      </c>
      <c r="G839" t="n">
        <v>0.2</v>
      </c>
      <c r="H839" t="n">
        <v>0</v>
      </c>
      <c r="I839" t="n">
        <v>0</v>
      </c>
      <c r="J839" t="n">
        <v>0</v>
      </c>
      <c r="K839" t="n">
        <v>0</v>
      </c>
      <c r="L839" t="n">
        <v>0</v>
      </c>
      <c r="M839" t="n">
        <v>0</v>
      </c>
      <c r="N839" t="n">
        <v>0</v>
      </c>
      <c r="O839" t="n">
        <v>0</v>
      </c>
      <c r="P839" t="n">
        <v>0</v>
      </c>
      <c r="Q839" t="n">
        <v>0</v>
      </c>
      <c r="R839" s="2" t="inlineStr"/>
    </row>
    <row r="840" ht="15" customHeight="1">
      <c r="A840" t="inlineStr">
        <is>
          <t>A 52237-2024</t>
        </is>
      </c>
      <c r="B840" s="1" t="n">
        <v>45608.61606481481</v>
      </c>
      <c r="C840" s="1" t="n">
        <v>45916</v>
      </c>
      <c r="D840" t="inlineStr">
        <is>
          <t>JÄMTLANDS LÄN</t>
        </is>
      </c>
      <c r="E840" t="inlineStr">
        <is>
          <t>KROKOM</t>
        </is>
      </c>
      <c r="G840" t="n">
        <v>2</v>
      </c>
      <c r="H840" t="n">
        <v>0</v>
      </c>
      <c r="I840" t="n">
        <v>0</v>
      </c>
      <c r="J840" t="n">
        <v>0</v>
      </c>
      <c r="K840" t="n">
        <v>0</v>
      </c>
      <c r="L840" t="n">
        <v>0</v>
      </c>
      <c r="M840" t="n">
        <v>0</v>
      </c>
      <c r="N840" t="n">
        <v>0</v>
      </c>
      <c r="O840" t="n">
        <v>0</v>
      </c>
      <c r="P840" t="n">
        <v>0</v>
      </c>
      <c r="Q840" t="n">
        <v>0</v>
      </c>
      <c r="R840" s="2" t="inlineStr"/>
    </row>
    <row r="841" ht="15" customHeight="1">
      <c r="A841" t="inlineStr">
        <is>
          <t>A 59706-2020</t>
        </is>
      </c>
      <c r="B841" s="1" t="n">
        <v>44151</v>
      </c>
      <c r="C841" s="1" t="n">
        <v>45916</v>
      </c>
      <c r="D841" t="inlineStr">
        <is>
          <t>JÄMTLANDS LÄN</t>
        </is>
      </c>
      <c r="E841" t="inlineStr">
        <is>
          <t>KROKOM</t>
        </is>
      </c>
      <c r="G841" t="n">
        <v>75</v>
      </c>
      <c r="H841" t="n">
        <v>0</v>
      </c>
      <c r="I841" t="n">
        <v>0</v>
      </c>
      <c r="J841" t="n">
        <v>0</v>
      </c>
      <c r="K841" t="n">
        <v>0</v>
      </c>
      <c r="L841" t="n">
        <v>0</v>
      </c>
      <c r="M841" t="n">
        <v>0</v>
      </c>
      <c r="N841" t="n">
        <v>0</v>
      </c>
      <c r="O841" t="n">
        <v>0</v>
      </c>
      <c r="P841" t="n">
        <v>0</v>
      </c>
      <c r="Q841" t="n">
        <v>0</v>
      </c>
      <c r="R841" s="2" t="inlineStr"/>
    </row>
    <row r="842" ht="15" customHeight="1">
      <c r="A842" t="inlineStr">
        <is>
          <t>A 36182-2025</t>
        </is>
      </c>
      <c r="B842" s="1" t="n">
        <v>45867.41707175926</v>
      </c>
      <c r="C842" s="1" t="n">
        <v>45916</v>
      </c>
      <c r="D842" t="inlineStr">
        <is>
          <t>JÄMTLANDS LÄN</t>
        </is>
      </c>
      <c r="E842" t="inlineStr">
        <is>
          <t>KROKOM</t>
        </is>
      </c>
      <c r="G842" t="n">
        <v>4.1</v>
      </c>
      <c r="H842" t="n">
        <v>0</v>
      </c>
      <c r="I842" t="n">
        <v>0</v>
      </c>
      <c r="J842" t="n">
        <v>0</v>
      </c>
      <c r="K842" t="n">
        <v>0</v>
      </c>
      <c r="L842" t="n">
        <v>0</v>
      </c>
      <c r="M842" t="n">
        <v>0</v>
      </c>
      <c r="N842" t="n">
        <v>0</v>
      </c>
      <c r="O842" t="n">
        <v>0</v>
      </c>
      <c r="P842" t="n">
        <v>0</v>
      </c>
      <c r="Q842" t="n">
        <v>0</v>
      </c>
      <c r="R842" s="2" t="inlineStr"/>
    </row>
    <row r="843" ht="15" customHeight="1">
      <c r="A843" t="inlineStr">
        <is>
          <t>A 33802-2021</t>
        </is>
      </c>
      <c r="B843" s="1" t="n">
        <v>44377</v>
      </c>
      <c r="C843" s="1" t="n">
        <v>45916</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27075-2022</t>
        </is>
      </c>
      <c r="B844" s="1" t="n">
        <v>44741</v>
      </c>
      <c r="C844" s="1" t="n">
        <v>45916</v>
      </c>
      <c r="D844" t="inlineStr">
        <is>
          <t>JÄMTLANDS LÄN</t>
        </is>
      </c>
      <c r="E844" t="inlineStr">
        <is>
          <t>KROKOM</t>
        </is>
      </c>
      <c r="G844" t="n">
        <v>10.4</v>
      </c>
      <c r="H844" t="n">
        <v>0</v>
      </c>
      <c r="I844" t="n">
        <v>0</v>
      </c>
      <c r="J844" t="n">
        <v>0</v>
      </c>
      <c r="K844" t="n">
        <v>0</v>
      </c>
      <c r="L844" t="n">
        <v>0</v>
      </c>
      <c r="M844" t="n">
        <v>0</v>
      </c>
      <c r="N844" t="n">
        <v>0</v>
      </c>
      <c r="O844" t="n">
        <v>0</v>
      </c>
      <c r="P844" t="n">
        <v>0</v>
      </c>
      <c r="Q844" t="n">
        <v>0</v>
      </c>
      <c r="R844" s="2" t="inlineStr"/>
    </row>
    <row r="845" ht="15" customHeight="1">
      <c r="A845" t="inlineStr">
        <is>
          <t>A 3257-2024</t>
        </is>
      </c>
      <c r="B845" s="1" t="n">
        <v>45316</v>
      </c>
      <c r="C845" s="1" t="n">
        <v>45916</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36209-2025</t>
        </is>
      </c>
      <c r="B846" s="1" t="n">
        <v>45867.46560185185</v>
      </c>
      <c r="C846" s="1" t="n">
        <v>45916</v>
      </c>
      <c r="D846" t="inlineStr">
        <is>
          <t>JÄMTLANDS LÄN</t>
        </is>
      </c>
      <c r="E846" t="inlineStr">
        <is>
          <t>KROKOM</t>
        </is>
      </c>
      <c r="G846" t="n">
        <v>9.4</v>
      </c>
      <c r="H846" t="n">
        <v>0</v>
      </c>
      <c r="I846" t="n">
        <v>0</v>
      </c>
      <c r="J846" t="n">
        <v>0</v>
      </c>
      <c r="K846" t="n">
        <v>0</v>
      </c>
      <c r="L846" t="n">
        <v>0</v>
      </c>
      <c r="M846" t="n">
        <v>0</v>
      </c>
      <c r="N846" t="n">
        <v>0</v>
      </c>
      <c r="O846" t="n">
        <v>0</v>
      </c>
      <c r="P846" t="n">
        <v>0</v>
      </c>
      <c r="Q846" t="n">
        <v>0</v>
      </c>
      <c r="R846" s="2" t="inlineStr"/>
    </row>
    <row r="847" ht="15" customHeight="1">
      <c r="A847" t="inlineStr">
        <is>
          <t>A 40221-2024</t>
        </is>
      </c>
      <c r="B847" s="1" t="n">
        <v>45554.59550925926</v>
      </c>
      <c r="C847" s="1" t="n">
        <v>45916</v>
      </c>
      <c r="D847" t="inlineStr">
        <is>
          <t>JÄMTLANDS LÄN</t>
        </is>
      </c>
      <c r="E847" t="inlineStr">
        <is>
          <t>KROKOM</t>
        </is>
      </c>
      <c r="G847" t="n">
        <v>2.6</v>
      </c>
      <c r="H847" t="n">
        <v>0</v>
      </c>
      <c r="I847" t="n">
        <v>0</v>
      </c>
      <c r="J847" t="n">
        <v>0</v>
      </c>
      <c r="K847" t="n">
        <v>0</v>
      </c>
      <c r="L847" t="n">
        <v>0</v>
      </c>
      <c r="M847" t="n">
        <v>0</v>
      </c>
      <c r="N847" t="n">
        <v>0</v>
      </c>
      <c r="O847" t="n">
        <v>0</v>
      </c>
      <c r="P847" t="n">
        <v>0</v>
      </c>
      <c r="Q847" t="n">
        <v>0</v>
      </c>
      <c r="R847" s="2" t="inlineStr"/>
    </row>
    <row r="848" ht="15" customHeight="1">
      <c r="A848" t="inlineStr">
        <is>
          <t>A 59973-2023</t>
        </is>
      </c>
      <c r="B848" s="1" t="n">
        <v>45257</v>
      </c>
      <c r="C848" s="1" t="n">
        <v>45916</v>
      </c>
      <c r="D848" t="inlineStr">
        <is>
          <t>JÄMTLANDS LÄN</t>
        </is>
      </c>
      <c r="E848" t="inlineStr">
        <is>
          <t>KROKOM</t>
        </is>
      </c>
      <c r="G848" t="n">
        <v>2.1</v>
      </c>
      <c r="H848" t="n">
        <v>0</v>
      </c>
      <c r="I848" t="n">
        <v>0</v>
      </c>
      <c r="J848" t="n">
        <v>0</v>
      </c>
      <c r="K848" t="n">
        <v>0</v>
      </c>
      <c r="L848" t="n">
        <v>0</v>
      </c>
      <c r="M848" t="n">
        <v>0</v>
      </c>
      <c r="N848" t="n">
        <v>0</v>
      </c>
      <c r="O848" t="n">
        <v>0</v>
      </c>
      <c r="P848" t="n">
        <v>0</v>
      </c>
      <c r="Q848" t="n">
        <v>0</v>
      </c>
      <c r="R848" s="2" t="inlineStr"/>
    </row>
    <row r="849" ht="15" customHeight="1">
      <c r="A849" t="inlineStr">
        <is>
          <t>A 42828-2023</t>
        </is>
      </c>
      <c r="B849" s="1" t="n">
        <v>45182</v>
      </c>
      <c r="C849" s="1" t="n">
        <v>45916</v>
      </c>
      <c r="D849" t="inlineStr">
        <is>
          <t>JÄMTLANDS LÄN</t>
        </is>
      </c>
      <c r="E849" t="inlineStr">
        <is>
          <t>KROKOM</t>
        </is>
      </c>
      <c r="G849" t="n">
        <v>0.2</v>
      </c>
      <c r="H849" t="n">
        <v>0</v>
      </c>
      <c r="I849" t="n">
        <v>0</v>
      </c>
      <c r="J849" t="n">
        <v>0</v>
      </c>
      <c r="K849" t="n">
        <v>0</v>
      </c>
      <c r="L849" t="n">
        <v>0</v>
      </c>
      <c r="M849" t="n">
        <v>0</v>
      </c>
      <c r="N849" t="n">
        <v>0</v>
      </c>
      <c r="O849" t="n">
        <v>0</v>
      </c>
      <c r="P849" t="n">
        <v>0</v>
      </c>
      <c r="Q849" t="n">
        <v>0</v>
      </c>
      <c r="R849" s="2" t="inlineStr"/>
    </row>
    <row r="850" ht="15" customHeight="1">
      <c r="A850" t="inlineStr">
        <is>
          <t>A 15524-2024</t>
        </is>
      </c>
      <c r="B850" s="1" t="n">
        <v>45401.59133101852</v>
      </c>
      <c r="C850" s="1" t="n">
        <v>45916</v>
      </c>
      <c r="D850" t="inlineStr">
        <is>
          <t>JÄMTLANDS LÄN</t>
        </is>
      </c>
      <c r="E850" t="inlineStr">
        <is>
          <t>KROKOM</t>
        </is>
      </c>
      <c r="G850" t="n">
        <v>2.4</v>
      </c>
      <c r="H850" t="n">
        <v>0</v>
      </c>
      <c r="I850" t="n">
        <v>0</v>
      </c>
      <c r="J850" t="n">
        <v>0</v>
      </c>
      <c r="K850" t="n">
        <v>0</v>
      </c>
      <c r="L850" t="n">
        <v>0</v>
      </c>
      <c r="M850" t="n">
        <v>0</v>
      </c>
      <c r="N850" t="n">
        <v>0</v>
      </c>
      <c r="O850" t="n">
        <v>0</v>
      </c>
      <c r="P850" t="n">
        <v>0</v>
      </c>
      <c r="Q850" t="n">
        <v>0</v>
      </c>
      <c r="R850" s="2" t="inlineStr"/>
    </row>
    <row r="851" ht="15" customHeight="1">
      <c r="A851" t="inlineStr">
        <is>
          <t>A 40364-2023</t>
        </is>
      </c>
      <c r="B851" s="1" t="n">
        <v>45168</v>
      </c>
      <c r="C851" s="1" t="n">
        <v>45916</v>
      </c>
      <c r="D851" t="inlineStr">
        <is>
          <t>JÄMTLANDS LÄN</t>
        </is>
      </c>
      <c r="E851" t="inlineStr">
        <is>
          <t>KROKOM</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36429-2025</t>
        </is>
      </c>
      <c r="B852" s="1" t="n">
        <v>45869.34439814815</v>
      </c>
      <c r="C852" s="1" t="n">
        <v>45916</v>
      </c>
      <c r="D852" t="inlineStr">
        <is>
          <t>JÄMTLANDS LÄN</t>
        </is>
      </c>
      <c r="E852" t="inlineStr">
        <is>
          <t>KROKOM</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5378-2025</t>
        </is>
      </c>
      <c r="B853" s="1" t="n">
        <v>45692.60364583333</v>
      </c>
      <c r="C853" s="1" t="n">
        <v>45916</v>
      </c>
      <c r="D853" t="inlineStr">
        <is>
          <t>JÄMTLANDS LÄN</t>
        </is>
      </c>
      <c r="E853" t="inlineStr">
        <is>
          <t>KROKOM</t>
        </is>
      </c>
      <c r="G853" t="n">
        <v>11</v>
      </c>
      <c r="H853" t="n">
        <v>0</v>
      </c>
      <c r="I853" t="n">
        <v>0</v>
      </c>
      <c r="J853" t="n">
        <v>0</v>
      </c>
      <c r="K853" t="n">
        <v>0</v>
      </c>
      <c r="L853" t="n">
        <v>0</v>
      </c>
      <c r="M853" t="n">
        <v>0</v>
      </c>
      <c r="N853" t="n">
        <v>0</v>
      </c>
      <c r="O853" t="n">
        <v>0</v>
      </c>
      <c r="P853" t="n">
        <v>0</v>
      </c>
      <c r="Q853" t="n">
        <v>0</v>
      </c>
      <c r="R853" s="2" t="inlineStr"/>
    </row>
    <row r="854" ht="15" customHeight="1">
      <c r="A854" t="inlineStr">
        <is>
          <t>A 56596-2020</t>
        </is>
      </c>
      <c r="B854" s="1" t="n">
        <v>44133</v>
      </c>
      <c r="C854" s="1" t="n">
        <v>45916</v>
      </c>
      <c r="D854" t="inlineStr">
        <is>
          <t>JÄMTLANDS LÄN</t>
        </is>
      </c>
      <c r="E854" t="inlineStr">
        <is>
          <t>KROKOM</t>
        </is>
      </c>
      <c r="G854" t="n">
        <v>7.2</v>
      </c>
      <c r="H854" t="n">
        <v>0</v>
      </c>
      <c r="I854" t="n">
        <v>0</v>
      </c>
      <c r="J854" t="n">
        <v>0</v>
      </c>
      <c r="K854" t="n">
        <v>0</v>
      </c>
      <c r="L854" t="n">
        <v>0</v>
      </c>
      <c r="M854" t="n">
        <v>0</v>
      </c>
      <c r="N854" t="n">
        <v>0</v>
      </c>
      <c r="O854" t="n">
        <v>0</v>
      </c>
      <c r="P854" t="n">
        <v>0</v>
      </c>
      <c r="Q854" t="n">
        <v>0</v>
      </c>
      <c r="R854" s="2" t="inlineStr"/>
    </row>
    <row r="855" ht="15" customHeight="1">
      <c r="A855" t="inlineStr">
        <is>
          <t>A 9023-2025</t>
        </is>
      </c>
      <c r="B855" s="1" t="n">
        <v>45713.59741898148</v>
      </c>
      <c r="C855" s="1" t="n">
        <v>45916</v>
      </c>
      <c r="D855" t="inlineStr">
        <is>
          <t>JÄMTLANDS LÄN</t>
        </is>
      </c>
      <c r="E855" t="inlineStr">
        <is>
          <t>KROKOM</t>
        </is>
      </c>
      <c r="F855" t="inlineStr">
        <is>
          <t>Övriga Aktiebolag</t>
        </is>
      </c>
      <c r="G855" t="n">
        <v>16.8</v>
      </c>
      <c r="H855" t="n">
        <v>0</v>
      </c>
      <c r="I855" t="n">
        <v>0</v>
      </c>
      <c r="J855" t="n">
        <v>0</v>
      </c>
      <c r="K855" t="n">
        <v>0</v>
      </c>
      <c r="L855" t="n">
        <v>0</v>
      </c>
      <c r="M855" t="n">
        <v>0</v>
      </c>
      <c r="N855" t="n">
        <v>0</v>
      </c>
      <c r="O855" t="n">
        <v>0</v>
      </c>
      <c r="P855" t="n">
        <v>0</v>
      </c>
      <c r="Q855" t="n">
        <v>0</v>
      </c>
      <c r="R855" s="2" t="inlineStr"/>
    </row>
    <row r="856" ht="15" customHeight="1">
      <c r="A856" t="inlineStr">
        <is>
          <t>A 43368-2025</t>
        </is>
      </c>
      <c r="B856" s="1" t="n">
        <v>45911.34840277778</v>
      </c>
      <c r="C856" s="1" t="n">
        <v>45916</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26228-2024</t>
        </is>
      </c>
      <c r="B857" s="1" t="n">
        <v>45467</v>
      </c>
      <c r="C857" s="1" t="n">
        <v>45916</v>
      </c>
      <c r="D857" t="inlineStr">
        <is>
          <t>JÄMTLANDS LÄN</t>
        </is>
      </c>
      <c r="E857" t="inlineStr">
        <is>
          <t>KROKOM</t>
        </is>
      </c>
      <c r="G857" t="n">
        <v>12</v>
      </c>
      <c r="H857" t="n">
        <v>0</v>
      </c>
      <c r="I857" t="n">
        <v>0</v>
      </c>
      <c r="J857" t="n">
        <v>0</v>
      </c>
      <c r="K857" t="n">
        <v>0</v>
      </c>
      <c r="L857" t="n">
        <v>0</v>
      </c>
      <c r="M857" t="n">
        <v>0</v>
      </c>
      <c r="N857" t="n">
        <v>0</v>
      </c>
      <c r="O857" t="n">
        <v>0</v>
      </c>
      <c r="P857" t="n">
        <v>0</v>
      </c>
      <c r="Q857" t="n">
        <v>0</v>
      </c>
      <c r="R857" s="2" t="inlineStr"/>
    </row>
    <row r="858" ht="15" customHeight="1">
      <c r="A858" t="inlineStr">
        <is>
          <t>A 58390-2021</t>
        </is>
      </c>
      <c r="B858" s="1" t="n">
        <v>44488.47928240741</v>
      </c>
      <c r="C858" s="1" t="n">
        <v>45916</v>
      </c>
      <c r="D858" t="inlineStr">
        <is>
          <t>JÄMTLANDS LÄN</t>
        </is>
      </c>
      <c r="E858" t="inlineStr">
        <is>
          <t>KROKOM</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16278-2025</t>
        </is>
      </c>
      <c r="B859" s="1" t="n">
        <v>45751.28243055556</v>
      </c>
      <c r="C859" s="1" t="n">
        <v>45916</v>
      </c>
      <c r="D859" t="inlineStr">
        <is>
          <t>JÄMTLANDS LÄN</t>
        </is>
      </c>
      <c r="E859" t="inlineStr">
        <is>
          <t>KROKOM</t>
        </is>
      </c>
      <c r="F859" t="inlineStr">
        <is>
          <t>Övriga Aktiebolag</t>
        </is>
      </c>
      <c r="G859" t="n">
        <v>3.2</v>
      </c>
      <c r="H859" t="n">
        <v>0</v>
      </c>
      <c r="I859" t="n">
        <v>0</v>
      </c>
      <c r="J859" t="n">
        <v>0</v>
      </c>
      <c r="K859" t="n">
        <v>0</v>
      </c>
      <c r="L859" t="n">
        <v>0</v>
      </c>
      <c r="M859" t="n">
        <v>0</v>
      </c>
      <c r="N859" t="n">
        <v>0</v>
      </c>
      <c r="O859" t="n">
        <v>0</v>
      </c>
      <c r="P859" t="n">
        <v>0</v>
      </c>
      <c r="Q859" t="n">
        <v>0</v>
      </c>
      <c r="R859" s="2" t="inlineStr"/>
    </row>
    <row r="860" ht="15" customHeight="1">
      <c r="A860" t="inlineStr">
        <is>
          <t>A 28210-2024</t>
        </is>
      </c>
      <c r="B860" s="1" t="n">
        <v>45477.35225694445</v>
      </c>
      <c r="C860" s="1" t="n">
        <v>45916</v>
      </c>
      <c r="D860" t="inlineStr">
        <is>
          <t>JÄMTLANDS LÄN</t>
        </is>
      </c>
      <c r="E860" t="inlineStr">
        <is>
          <t>KROKOM</t>
        </is>
      </c>
      <c r="F860" t="inlineStr">
        <is>
          <t>Övriga Aktiebolag</t>
        </is>
      </c>
      <c r="G860" t="n">
        <v>0.1</v>
      </c>
      <c r="H860" t="n">
        <v>0</v>
      </c>
      <c r="I860" t="n">
        <v>0</v>
      </c>
      <c r="J860" t="n">
        <v>0</v>
      </c>
      <c r="K860" t="n">
        <v>0</v>
      </c>
      <c r="L860" t="n">
        <v>0</v>
      </c>
      <c r="M860" t="n">
        <v>0</v>
      </c>
      <c r="N860" t="n">
        <v>0</v>
      </c>
      <c r="O860" t="n">
        <v>0</v>
      </c>
      <c r="P860" t="n">
        <v>0</v>
      </c>
      <c r="Q860" t="n">
        <v>0</v>
      </c>
      <c r="R860" s="2" t="inlineStr"/>
    </row>
    <row r="861" ht="15" customHeight="1">
      <c r="A861" t="inlineStr">
        <is>
          <t>A 43373-2025</t>
        </is>
      </c>
      <c r="B861" s="1" t="n">
        <v>45911</v>
      </c>
      <c r="C861" s="1" t="n">
        <v>45916</v>
      </c>
      <c r="D861" t="inlineStr">
        <is>
          <t>JÄMTLANDS LÄN</t>
        </is>
      </c>
      <c r="E861" t="inlineStr">
        <is>
          <t>KROKOM</t>
        </is>
      </c>
      <c r="G861" t="n">
        <v>34.9</v>
      </c>
      <c r="H861" t="n">
        <v>0</v>
      </c>
      <c r="I861" t="n">
        <v>0</v>
      </c>
      <c r="J861" t="n">
        <v>0</v>
      </c>
      <c r="K861" t="n">
        <v>0</v>
      </c>
      <c r="L861" t="n">
        <v>0</v>
      </c>
      <c r="M861" t="n">
        <v>0</v>
      </c>
      <c r="N861" t="n">
        <v>0</v>
      </c>
      <c r="O861" t="n">
        <v>0</v>
      </c>
      <c r="P861" t="n">
        <v>0</v>
      </c>
      <c r="Q861" t="n">
        <v>0</v>
      </c>
      <c r="R861" s="2" t="inlineStr"/>
    </row>
    <row r="862" ht="15" customHeight="1">
      <c r="A862" t="inlineStr">
        <is>
          <t>A 72064-2021</t>
        </is>
      </c>
      <c r="B862" s="1" t="n">
        <v>44544.49326388889</v>
      </c>
      <c r="C862" s="1" t="n">
        <v>45916</v>
      </c>
      <c r="D862" t="inlineStr">
        <is>
          <t>JÄMTLANDS LÄN</t>
        </is>
      </c>
      <c r="E862" t="inlineStr">
        <is>
          <t>KROKOM</t>
        </is>
      </c>
      <c r="G862" t="n">
        <v>18.7</v>
      </c>
      <c r="H862" t="n">
        <v>0</v>
      </c>
      <c r="I862" t="n">
        <v>0</v>
      </c>
      <c r="J862" t="n">
        <v>0</v>
      </c>
      <c r="K862" t="n">
        <v>0</v>
      </c>
      <c r="L862" t="n">
        <v>0</v>
      </c>
      <c r="M862" t="n">
        <v>0</v>
      </c>
      <c r="N862" t="n">
        <v>0</v>
      </c>
      <c r="O862" t="n">
        <v>0</v>
      </c>
      <c r="P862" t="n">
        <v>0</v>
      </c>
      <c r="Q862" t="n">
        <v>0</v>
      </c>
      <c r="R862" s="2" t="inlineStr"/>
    </row>
    <row r="863" ht="15" customHeight="1">
      <c r="A863" t="inlineStr">
        <is>
          <t>A 10842-2024</t>
        </is>
      </c>
      <c r="B863" s="1" t="n">
        <v>45369</v>
      </c>
      <c r="C863" s="1" t="n">
        <v>45916</v>
      </c>
      <c r="D863" t="inlineStr">
        <is>
          <t>JÄMTLANDS LÄN</t>
        </is>
      </c>
      <c r="E863" t="inlineStr">
        <is>
          <t>KROKOM</t>
        </is>
      </c>
      <c r="G863" t="n">
        <v>1.2</v>
      </c>
      <c r="H863" t="n">
        <v>0</v>
      </c>
      <c r="I863" t="n">
        <v>0</v>
      </c>
      <c r="J863" t="n">
        <v>0</v>
      </c>
      <c r="K863" t="n">
        <v>0</v>
      </c>
      <c r="L863" t="n">
        <v>0</v>
      </c>
      <c r="M863" t="n">
        <v>0</v>
      </c>
      <c r="N863" t="n">
        <v>0</v>
      </c>
      <c r="O863" t="n">
        <v>0</v>
      </c>
      <c r="P863" t="n">
        <v>0</v>
      </c>
      <c r="Q863" t="n">
        <v>0</v>
      </c>
      <c r="R863" s="2" t="inlineStr"/>
    </row>
    <row r="864" ht="15" customHeight="1">
      <c r="A864" t="inlineStr">
        <is>
          <t>A 11059-2024</t>
        </is>
      </c>
      <c r="B864" s="1" t="n">
        <v>45370</v>
      </c>
      <c r="C864" s="1" t="n">
        <v>45916</v>
      </c>
      <c r="D864" t="inlineStr">
        <is>
          <t>JÄMTLANDS LÄN</t>
        </is>
      </c>
      <c r="E864" t="inlineStr">
        <is>
          <t>KROKOM</t>
        </is>
      </c>
      <c r="G864" t="n">
        <v>1.5</v>
      </c>
      <c r="H864" t="n">
        <v>0</v>
      </c>
      <c r="I864" t="n">
        <v>0</v>
      </c>
      <c r="J864" t="n">
        <v>0</v>
      </c>
      <c r="K864" t="n">
        <v>0</v>
      </c>
      <c r="L864" t="n">
        <v>0</v>
      </c>
      <c r="M864" t="n">
        <v>0</v>
      </c>
      <c r="N864" t="n">
        <v>0</v>
      </c>
      <c r="O864" t="n">
        <v>0</v>
      </c>
      <c r="P864" t="n">
        <v>0</v>
      </c>
      <c r="Q864" t="n">
        <v>0</v>
      </c>
      <c r="R864" s="2" t="inlineStr"/>
    </row>
    <row r="865" ht="15" customHeight="1">
      <c r="A865" t="inlineStr">
        <is>
          <t>A 56328-2023</t>
        </is>
      </c>
      <c r="B865" s="1" t="n">
        <v>45243.33297453704</v>
      </c>
      <c r="C865" s="1" t="n">
        <v>45916</v>
      </c>
      <c r="D865" t="inlineStr">
        <is>
          <t>JÄMTLANDS LÄN</t>
        </is>
      </c>
      <c r="E865" t="inlineStr">
        <is>
          <t>KROKOM</t>
        </is>
      </c>
      <c r="F865" t="inlineStr">
        <is>
          <t>Övriga Aktiebolag</t>
        </is>
      </c>
      <c r="G865" t="n">
        <v>0.4</v>
      </c>
      <c r="H865" t="n">
        <v>0</v>
      </c>
      <c r="I865" t="n">
        <v>0</v>
      </c>
      <c r="J865" t="n">
        <v>0</v>
      </c>
      <c r="K865" t="n">
        <v>0</v>
      </c>
      <c r="L865" t="n">
        <v>0</v>
      </c>
      <c r="M865" t="n">
        <v>0</v>
      </c>
      <c r="N865" t="n">
        <v>0</v>
      </c>
      <c r="O865" t="n">
        <v>0</v>
      </c>
      <c r="P865" t="n">
        <v>0</v>
      </c>
      <c r="Q865" t="n">
        <v>0</v>
      </c>
      <c r="R865" s="2" t="inlineStr"/>
    </row>
    <row r="866" ht="15" customHeight="1">
      <c r="A866" t="inlineStr">
        <is>
          <t>A 31426-2025</t>
        </is>
      </c>
      <c r="B866" s="1" t="n">
        <v>45833</v>
      </c>
      <c r="C866" s="1" t="n">
        <v>45916</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31427-2025</t>
        </is>
      </c>
      <c r="B867" s="1" t="n">
        <v>45833</v>
      </c>
      <c r="C867" s="1" t="n">
        <v>45916</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7908-2025</t>
        </is>
      </c>
      <c r="B868" s="1" t="n">
        <v>45707.33935185185</v>
      </c>
      <c r="C868" s="1" t="n">
        <v>45916</v>
      </c>
      <c r="D868" t="inlineStr">
        <is>
          <t>JÄMTLANDS LÄN</t>
        </is>
      </c>
      <c r="E868" t="inlineStr">
        <is>
          <t>KROKOM</t>
        </is>
      </c>
      <c r="F868" t="inlineStr">
        <is>
          <t>Övriga Aktiebolag</t>
        </is>
      </c>
      <c r="G868" t="n">
        <v>10.1</v>
      </c>
      <c r="H868" t="n">
        <v>0</v>
      </c>
      <c r="I868" t="n">
        <v>0</v>
      </c>
      <c r="J868" t="n">
        <v>0</v>
      </c>
      <c r="K868" t="n">
        <v>0</v>
      </c>
      <c r="L868" t="n">
        <v>0</v>
      </c>
      <c r="M868" t="n">
        <v>0</v>
      </c>
      <c r="N868" t="n">
        <v>0</v>
      </c>
      <c r="O868" t="n">
        <v>0</v>
      </c>
      <c r="P868" t="n">
        <v>0</v>
      </c>
      <c r="Q868" t="n">
        <v>0</v>
      </c>
      <c r="R868" s="2" t="inlineStr"/>
    </row>
    <row r="869" ht="15" customHeight="1">
      <c r="A869" t="inlineStr">
        <is>
          <t>A 31543-2025</t>
        </is>
      </c>
      <c r="B869" s="1" t="n">
        <v>45833</v>
      </c>
      <c r="C869" s="1" t="n">
        <v>45916</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43785-2025</t>
        </is>
      </c>
      <c r="B870" s="1" t="n">
        <v>45912</v>
      </c>
      <c r="C870" s="1" t="n">
        <v>45916</v>
      </c>
      <c r="D870" t="inlineStr">
        <is>
          <t>JÄMTLANDS LÄN</t>
        </is>
      </c>
      <c r="E870" t="inlineStr">
        <is>
          <t>KROKOM</t>
        </is>
      </c>
      <c r="G870" t="n">
        <v>2</v>
      </c>
      <c r="H870" t="n">
        <v>0</v>
      </c>
      <c r="I870" t="n">
        <v>0</v>
      </c>
      <c r="J870" t="n">
        <v>0</v>
      </c>
      <c r="K870" t="n">
        <v>0</v>
      </c>
      <c r="L870" t="n">
        <v>0</v>
      </c>
      <c r="M870" t="n">
        <v>0</v>
      </c>
      <c r="N870" t="n">
        <v>0</v>
      </c>
      <c r="O870" t="n">
        <v>0</v>
      </c>
      <c r="P870" t="n">
        <v>0</v>
      </c>
      <c r="Q870" t="n">
        <v>0</v>
      </c>
      <c r="R870" s="2" t="inlineStr"/>
    </row>
    <row r="871" ht="15" customHeight="1">
      <c r="A871" t="inlineStr">
        <is>
          <t>A 52240-2024</t>
        </is>
      </c>
      <c r="B871" s="1" t="n">
        <v>45608.61923611111</v>
      </c>
      <c r="C871" s="1" t="n">
        <v>45916</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7366-2025</t>
        </is>
      </c>
      <c r="B872" s="1" t="n">
        <v>45704.71069444445</v>
      </c>
      <c r="C872" s="1" t="n">
        <v>45916</v>
      </c>
      <c r="D872" t="inlineStr">
        <is>
          <t>JÄMTLANDS LÄN</t>
        </is>
      </c>
      <c r="E872" t="inlineStr">
        <is>
          <t>KROKOM</t>
        </is>
      </c>
      <c r="F872" t="inlineStr">
        <is>
          <t>Övriga Aktiebolag</t>
        </is>
      </c>
      <c r="G872" t="n">
        <v>7.8</v>
      </c>
      <c r="H872" t="n">
        <v>0</v>
      </c>
      <c r="I872" t="n">
        <v>0</v>
      </c>
      <c r="J872" t="n">
        <v>0</v>
      </c>
      <c r="K872" t="n">
        <v>0</v>
      </c>
      <c r="L872" t="n">
        <v>0</v>
      </c>
      <c r="M872" t="n">
        <v>0</v>
      </c>
      <c r="N872" t="n">
        <v>0</v>
      </c>
      <c r="O872" t="n">
        <v>0</v>
      </c>
      <c r="P872" t="n">
        <v>0</v>
      </c>
      <c r="Q872" t="n">
        <v>0</v>
      </c>
      <c r="R872" s="2" t="inlineStr"/>
    </row>
    <row r="873" ht="15" customHeight="1">
      <c r="A873" t="inlineStr">
        <is>
          <t>A 43996-2025</t>
        </is>
      </c>
      <c r="B873" s="1" t="n">
        <v>45915</v>
      </c>
      <c r="C873" s="1" t="n">
        <v>45916</v>
      </c>
      <c r="D873" t="inlineStr">
        <is>
          <t>JÄMTLANDS LÄN</t>
        </is>
      </c>
      <c r="E873" t="inlineStr">
        <is>
          <t>KROKOM</t>
        </is>
      </c>
      <c r="G873" t="n">
        <v>24.2</v>
      </c>
      <c r="H873" t="n">
        <v>0</v>
      </c>
      <c r="I873" t="n">
        <v>0</v>
      </c>
      <c r="J873" t="n">
        <v>0</v>
      </c>
      <c r="K873" t="n">
        <v>0</v>
      </c>
      <c r="L873" t="n">
        <v>0</v>
      </c>
      <c r="M873" t="n">
        <v>0</v>
      </c>
      <c r="N873" t="n">
        <v>0</v>
      </c>
      <c r="O873" t="n">
        <v>0</v>
      </c>
      <c r="P873" t="n">
        <v>0</v>
      </c>
      <c r="Q873" t="n">
        <v>0</v>
      </c>
      <c r="R873" s="2" t="inlineStr"/>
    </row>
    <row r="874" ht="15" customHeight="1">
      <c r="A874" t="inlineStr">
        <is>
          <t>A 53568-2024</t>
        </is>
      </c>
      <c r="B874" s="1" t="n">
        <v>45614.65925925926</v>
      </c>
      <c r="C874" s="1" t="n">
        <v>45916</v>
      </c>
      <c r="D874" t="inlineStr">
        <is>
          <t>JÄMTLANDS LÄN</t>
        </is>
      </c>
      <c r="E874" t="inlineStr">
        <is>
          <t>KROKOM</t>
        </is>
      </c>
      <c r="G874" t="n">
        <v>1.3</v>
      </c>
      <c r="H874" t="n">
        <v>0</v>
      </c>
      <c r="I874" t="n">
        <v>0</v>
      </c>
      <c r="J874" t="n">
        <v>0</v>
      </c>
      <c r="K874" t="n">
        <v>0</v>
      </c>
      <c r="L874" t="n">
        <v>0</v>
      </c>
      <c r="M874" t="n">
        <v>0</v>
      </c>
      <c r="N874" t="n">
        <v>0</v>
      </c>
      <c r="O874" t="n">
        <v>0</v>
      </c>
      <c r="P874" t="n">
        <v>0</v>
      </c>
      <c r="Q874" t="n">
        <v>0</v>
      </c>
      <c r="R874" s="2" t="inlineStr"/>
    </row>
    <row r="875" ht="15" customHeight="1">
      <c r="A875" t="inlineStr">
        <is>
          <t>A 17383-2023</t>
        </is>
      </c>
      <c r="B875" s="1" t="n">
        <v>45035</v>
      </c>
      <c r="C875" s="1" t="n">
        <v>45916</v>
      </c>
      <c r="D875" t="inlineStr">
        <is>
          <t>JÄMTLANDS LÄN</t>
        </is>
      </c>
      <c r="E875" t="inlineStr">
        <is>
          <t>KROKOM</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43371-2025</t>
        </is>
      </c>
      <c r="B876" s="1" t="n">
        <v>45911</v>
      </c>
      <c r="C876" s="1" t="n">
        <v>45916</v>
      </c>
      <c r="D876" t="inlineStr">
        <is>
          <t>JÄMTLANDS LÄN</t>
        </is>
      </c>
      <c r="E876" t="inlineStr">
        <is>
          <t>KROKOM</t>
        </is>
      </c>
      <c r="G876" t="n">
        <v>7.3</v>
      </c>
      <c r="H876" t="n">
        <v>0</v>
      </c>
      <c r="I876" t="n">
        <v>0</v>
      </c>
      <c r="J876" t="n">
        <v>0</v>
      </c>
      <c r="K876" t="n">
        <v>0</v>
      </c>
      <c r="L876" t="n">
        <v>0</v>
      </c>
      <c r="M876" t="n">
        <v>0</v>
      </c>
      <c r="N876" t="n">
        <v>0</v>
      </c>
      <c r="O876" t="n">
        <v>0</v>
      </c>
      <c r="P876" t="n">
        <v>0</v>
      </c>
      <c r="Q876" t="n">
        <v>0</v>
      </c>
      <c r="R876" s="2" t="inlineStr"/>
    </row>
    <row r="877" ht="15" customHeight="1">
      <c r="A877" t="inlineStr">
        <is>
          <t>A 13395-2021</t>
        </is>
      </c>
      <c r="B877" s="1" t="n">
        <v>44273</v>
      </c>
      <c r="C877" s="1" t="n">
        <v>45916</v>
      </c>
      <c r="D877" t="inlineStr">
        <is>
          <t>JÄMTLANDS LÄN</t>
        </is>
      </c>
      <c r="E877" t="inlineStr">
        <is>
          <t>KROKOM</t>
        </is>
      </c>
      <c r="G877" t="n">
        <v>13.7</v>
      </c>
      <c r="H877" t="n">
        <v>0</v>
      </c>
      <c r="I877" t="n">
        <v>0</v>
      </c>
      <c r="J877" t="n">
        <v>0</v>
      </c>
      <c r="K877" t="n">
        <v>0</v>
      </c>
      <c r="L877" t="n">
        <v>0</v>
      </c>
      <c r="M877" t="n">
        <v>0</v>
      </c>
      <c r="N877" t="n">
        <v>0</v>
      </c>
      <c r="O877" t="n">
        <v>0</v>
      </c>
      <c r="P877" t="n">
        <v>0</v>
      </c>
      <c r="Q877" t="n">
        <v>0</v>
      </c>
      <c r="R877" s="2" t="inlineStr"/>
    </row>
    <row r="878" ht="15" customHeight="1">
      <c r="A878" t="inlineStr">
        <is>
          <t>A 44138-2025</t>
        </is>
      </c>
      <c r="B878" s="1" t="n">
        <v>45915.58836805556</v>
      </c>
      <c r="C878" s="1" t="n">
        <v>45916</v>
      </c>
      <c r="D878" t="inlineStr">
        <is>
          <t>JÄMTLANDS LÄN</t>
        </is>
      </c>
      <c r="E878" t="inlineStr">
        <is>
          <t>KROKOM</t>
        </is>
      </c>
      <c r="G878" t="n">
        <v>5</v>
      </c>
      <c r="H878" t="n">
        <v>0</v>
      </c>
      <c r="I878" t="n">
        <v>0</v>
      </c>
      <c r="J878" t="n">
        <v>0</v>
      </c>
      <c r="K878" t="n">
        <v>0</v>
      </c>
      <c r="L878" t="n">
        <v>0</v>
      </c>
      <c r="M878" t="n">
        <v>0</v>
      </c>
      <c r="N878" t="n">
        <v>0</v>
      </c>
      <c r="O878" t="n">
        <v>0</v>
      </c>
      <c r="P878" t="n">
        <v>0</v>
      </c>
      <c r="Q878" t="n">
        <v>0</v>
      </c>
      <c r="R878" s="2" t="inlineStr"/>
    </row>
    <row r="879" ht="15" customHeight="1">
      <c r="A879" t="inlineStr">
        <is>
          <t>A 28595-2024</t>
        </is>
      </c>
      <c r="B879" s="1" t="n">
        <v>45478.42063657408</v>
      </c>
      <c r="C879" s="1" t="n">
        <v>45916</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12471-2024</t>
        </is>
      </c>
      <c r="B880" s="1" t="n">
        <v>45378</v>
      </c>
      <c r="C880" s="1" t="n">
        <v>45916</v>
      </c>
      <c r="D880" t="inlineStr">
        <is>
          <t>JÄMTLANDS LÄN</t>
        </is>
      </c>
      <c r="E880" t="inlineStr">
        <is>
          <t>KROKOM</t>
        </is>
      </c>
      <c r="G880" t="n">
        <v>20.2</v>
      </c>
      <c r="H880" t="n">
        <v>0</v>
      </c>
      <c r="I880" t="n">
        <v>0</v>
      </c>
      <c r="J880" t="n">
        <v>0</v>
      </c>
      <c r="K880" t="n">
        <v>0</v>
      </c>
      <c r="L880" t="n">
        <v>0</v>
      </c>
      <c r="M880" t="n">
        <v>0</v>
      </c>
      <c r="N880" t="n">
        <v>0</v>
      </c>
      <c r="O880" t="n">
        <v>0</v>
      </c>
      <c r="P880" t="n">
        <v>0</v>
      </c>
      <c r="Q880" t="n">
        <v>0</v>
      </c>
      <c r="R880" s="2" t="inlineStr"/>
    </row>
    <row r="881" ht="15" customHeight="1">
      <c r="A881" t="inlineStr">
        <is>
          <t>A 42774-2024</t>
        </is>
      </c>
      <c r="B881" s="1" t="n">
        <v>45566.51501157408</v>
      </c>
      <c r="C881" s="1" t="n">
        <v>45916</v>
      </c>
      <c r="D881" t="inlineStr">
        <is>
          <t>JÄMTLANDS LÄN</t>
        </is>
      </c>
      <c r="E881" t="inlineStr">
        <is>
          <t>KROKOM</t>
        </is>
      </c>
      <c r="G881" t="n">
        <v>32</v>
      </c>
      <c r="H881" t="n">
        <v>0</v>
      </c>
      <c r="I881" t="n">
        <v>0</v>
      </c>
      <c r="J881" t="n">
        <v>0</v>
      </c>
      <c r="K881" t="n">
        <v>0</v>
      </c>
      <c r="L881" t="n">
        <v>0</v>
      </c>
      <c r="M881" t="n">
        <v>0</v>
      </c>
      <c r="N881" t="n">
        <v>0</v>
      </c>
      <c r="O881" t="n">
        <v>0</v>
      </c>
      <c r="P881" t="n">
        <v>0</v>
      </c>
      <c r="Q881" t="n">
        <v>0</v>
      </c>
      <c r="R881" s="2" t="inlineStr"/>
    </row>
    <row r="882" ht="15" customHeight="1">
      <c r="A882" t="inlineStr">
        <is>
          <t>A 60173-2024</t>
        </is>
      </c>
      <c r="B882" s="1" t="n">
        <v>45642.63666666667</v>
      </c>
      <c r="C882" s="1" t="n">
        <v>45916</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34502-2023</t>
        </is>
      </c>
      <c r="B883" s="1" t="n">
        <v>45133</v>
      </c>
      <c r="C883" s="1" t="n">
        <v>45916</v>
      </c>
      <c r="D883" t="inlineStr">
        <is>
          <t>JÄMTLANDS LÄN</t>
        </is>
      </c>
      <c r="E883" t="inlineStr">
        <is>
          <t>KROKOM</t>
        </is>
      </c>
      <c r="G883" t="n">
        <v>6.9</v>
      </c>
      <c r="H883" t="n">
        <v>0</v>
      </c>
      <c r="I883" t="n">
        <v>0</v>
      </c>
      <c r="J883" t="n">
        <v>0</v>
      </c>
      <c r="K883" t="n">
        <v>0</v>
      </c>
      <c r="L883" t="n">
        <v>0</v>
      </c>
      <c r="M883" t="n">
        <v>0</v>
      </c>
      <c r="N883" t="n">
        <v>0</v>
      </c>
      <c r="O883" t="n">
        <v>0</v>
      </c>
      <c r="P883" t="n">
        <v>0</v>
      </c>
      <c r="Q883" t="n">
        <v>0</v>
      </c>
      <c r="R883" s="2" t="inlineStr"/>
    </row>
    <row r="884" ht="15" customHeight="1">
      <c r="A884" t="inlineStr">
        <is>
          <t>A 26805-2023</t>
        </is>
      </c>
      <c r="B884" s="1" t="n">
        <v>45090</v>
      </c>
      <c r="C884" s="1" t="n">
        <v>45916</v>
      </c>
      <c r="D884" t="inlineStr">
        <is>
          <t>JÄMTLANDS LÄN</t>
        </is>
      </c>
      <c r="E884" t="inlineStr">
        <is>
          <t>KROKOM</t>
        </is>
      </c>
      <c r="G884" t="n">
        <v>20.4</v>
      </c>
      <c r="H884" t="n">
        <v>0</v>
      </c>
      <c r="I884" t="n">
        <v>0</v>
      </c>
      <c r="J884" t="n">
        <v>0</v>
      </c>
      <c r="K884" t="n">
        <v>0</v>
      </c>
      <c r="L884" t="n">
        <v>0</v>
      </c>
      <c r="M884" t="n">
        <v>0</v>
      </c>
      <c r="N884" t="n">
        <v>0</v>
      </c>
      <c r="O884" t="n">
        <v>0</v>
      </c>
      <c r="P884" t="n">
        <v>0</v>
      </c>
      <c r="Q884" t="n">
        <v>0</v>
      </c>
      <c r="R884" s="2" t="inlineStr"/>
    </row>
    <row r="885" ht="15" customHeight="1">
      <c r="A885" t="inlineStr">
        <is>
          <t>A 47606-2023</t>
        </is>
      </c>
      <c r="B885" s="1" t="n">
        <v>45203.46523148148</v>
      </c>
      <c r="C885" s="1" t="n">
        <v>45916</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16225-2025</t>
        </is>
      </c>
      <c r="B886" s="1" t="n">
        <v>45750.6447800926</v>
      </c>
      <c r="C886" s="1" t="n">
        <v>45916</v>
      </c>
      <c r="D886" t="inlineStr">
        <is>
          <t>JÄMTLANDS LÄN</t>
        </is>
      </c>
      <c r="E886" t="inlineStr">
        <is>
          <t>KROKOM</t>
        </is>
      </c>
      <c r="F886" t="inlineStr">
        <is>
          <t>Övriga Aktiebolag</t>
        </is>
      </c>
      <c r="G886" t="n">
        <v>11.5</v>
      </c>
      <c r="H886" t="n">
        <v>0</v>
      </c>
      <c r="I886" t="n">
        <v>0</v>
      </c>
      <c r="J886" t="n">
        <v>0</v>
      </c>
      <c r="K886" t="n">
        <v>0</v>
      </c>
      <c r="L886" t="n">
        <v>0</v>
      </c>
      <c r="M886" t="n">
        <v>0</v>
      </c>
      <c r="N886" t="n">
        <v>0</v>
      </c>
      <c r="O886" t="n">
        <v>0</v>
      </c>
      <c r="P886" t="n">
        <v>0</v>
      </c>
      <c r="Q886" t="n">
        <v>0</v>
      </c>
      <c r="R886" s="2" t="inlineStr"/>
    </row>
    <row r="887" ht="15" customHeight="1">
      <c r="A887" t="inlineStr">
        <is>
          <t>A 58415-2024</t>
        </is>
      </c>
      <c r="B887" s="1" t="n">
        <v>45634.7925</v>
      </c>
      <c r="C887" s="1" t="n">
        <v>45916</v>
      </c>
      <c r="D887" t="inlineStr">
        <is>
          <t>JÄMTLANDS LÄN</t>
        </is>
      </c>
      <c r="E887" t="inlineStr">
        <is>
          <t>KROKOM</t>
        </is>
      </c>
      <c r="G887" t="n">
        <v>2.1</v>
      </c>
      <c r="H887" t="n">
        <v>0</v>
      </c>
      <c r="I887" t="n">
        <v>0</v>
      </c>
      <c r="J887" t="n">
        <v>0</v>
      </c>
      <c r="K887" t="n">
        <v>0</v>
      </c>
      <c r="L887" t="n">
        <v>0</v>
      </c>
      <c r="M887" t="n">
        <v>0</v>
      </c>
      <c r="N887" t="n">
        <v>0</v>
      </c>
      <c r="O887" t="n">
        <v>0</v>
      </c>
      <c r="P887" t="n">
        <v>0</v>
      </c>
      <c r="Q887" t="n">
        <v>0</v>
      </c>
      <c r="R887" s="2" t="inlineStr"/>
    </row>
    <row r="888" ht="15" customHeight="1">
      <c r="A888" t="inlineStr">
        <is>
          <t>A 58416-2024</t>
        </is>
      </c>
      <c r="B888" s="1" t="n">
        <v>45634.79854166666</v>
      </c>
      <c r="C888" s="1" t="n">
        <v>45916</v>
      </c>
      <c r="D888" t="inlineStr">
        <is>
          <t>JÄMTLANDS LÄN</t>
        </is>
      </c>
      <c r="E888" t="inlineStr">
        <is>
          <t>KROKOM</t>
        </is>
      </c>
      <c r="G888" t="n">
        <v>1.2</v>
      </c>
      <c r="H888" t="n">
        <v>0</v>
      </c>
      <c r="I888" t="n">
        <v>0</v>
      </c>
      <c r="J888" t="n">
        <v>0</v>
      </c>
      <c r="K888" t="n">
        <v>0</v>
      </c>
      <c r="L888" t="n">
        <v>0</v>
      </c>
      <c r="M888" t="n">
        <v>0</v>
      </c>
      <c r="N888" t="n">
        <v>0</v>
      </c>
      <c r="O888" t="n">
        <v>0</v>
      </c>
      <c r="P888" t="n">
        <v>0</v>
      </c>
      <c r="Q888" t="n">
        <v>0</v>
      </c>
      <c r="R888" s="2" t="inlineStr"/>
    </row>
    <row r="889" ht="15" customHeight="1">
      <c r="A889" t="inlineStr">
        <is>
          <t>A 9156-2025</t>
        </is>
      </c>
      <c r="B889" s="1" t="n">
        <v>45714.34859953704</v>
      </c>
      <c r="C889" s="1" t="n">
        <v>45916</v>
      </c>
      <c r="D889" t="inlineStr">
        <is>
          <t>JÄMTLANDS LÄN</t>
        </is>
      </c>
      <c r="E889" t="inlineStr">
        <is>
          <t>KROKOM</t>
        </is>
      </c>
      <c r="F889" t="inlineStr">
        <is>
          <t>Övriga Aktiebolag</t>
        </is>
      </c>
      <c r="G889" t="n">
        <v>26.7</v>
      </c>
      <c r="H889" t="n">
        <v>0</v>
      </c>
      <c r="I889" t="n">
        <v>0</v>
      </c>
      <c r="J889" t="n">
        <v>0</v>
      </c>
      <c r="K889" t="n">
        <v>0</v>
      </c>
      <c r="L889" t="n">
        <v>0</v>
      </c>
      <c r="M889" t="n">
        <v>0</v>
      </c>
      <c r="N889" t="n">
        <v>0</v>
      </c>
      <c r="O889" t="n">
        <v>0</v>
      </c>
      <c r="P889" t="n">
        <v>0</v>
      </c>
      <c r="Q889" t="n">
        <v>0</v>
      </c>
      <c r="R889" s="2" t="inlineStr"/>
      <c r="U889">
        <f>HYPERLINK("https://klasma.github.io/Logging_2309/knärot/A 9156-2025 karta knärot.png", "A 9156-2025")</f>
        <v/>
      </c>
      <c r="V889">
        <f>HYPERLINK("https://klasma.github.io/Logging_2309/klagomål/A 9156-2025 FSC-klagomål.docx", "A 9156-2025")</f>
        <v/>
      </c>
      <c r="W889">
        <f>HYPERLINK("https://klasma.github.io/Logging_2309/klagomålsmail/A 9156-2025 FSC-klagomål mail.docx", "A 9156-2025")</f>
        <v/>
      </c>
      <c r="X889">
        <f>HYPERLINK("https://klasma.github.io/Logging_2309/tillsyn/A 9156-2025 tillsynsbegäran.docx", "A 9156-2025")</f>
        <v/>
      </c>
      <c r="Y889">
        <f>HYPERLINK("https://klasma.github.io/Logging_2309/tillsynsmail/A 9156-2025 tillsynsbegäran mail.docx", "A 9156-2025")</f>
        <v/>
      </c>
    </row>
    <row r="890" ht="15" customHeight="1">
      <c r="A890" t="inlineStr">
        <is>
          <t>A 15231-2025</t>
        </is>
      </c>
      <c r="B890" s="1" t="n">
        <v>45744.59894675926</v>
      </c>
      <c r="C890" s="1" t="n">
        <v>45916</v>
      </c>
      <c r="D890" t="inlineStr">
        <is>
          <t>JÄMTLANDS LÄN</t>
        </is>
      </c>
      <c r="E890" t="inlineStr">
        <is>
          <t>KROKOM</t>
        </is>
      </c>
      <c r="F890" t="inlineStr">
        <is>
          <t>Övriga Aktiebolag</t>
        </is>
      </c>
      <c r="G890" t="n">
        <v>11.8</v>
      </c>
      <c r="H890" t="n">
        <v>0</v>
      </c>
      <c r="I890" t="n">
        <v>0</v>
      </c>
      <c r="J890" t="n">
        <v>0</v>
      </c>
      <c r="K890" t="n">
        <v>0</v>
      </c>
      <c r="L890" t="n">
        <v>0</v>
      </c>
      <c r="M890" t="n">
        <v>0</v>
      </c>
      <c r="N890" t="n">
        <v>0</v>
      </c>
      <c r="O890" t="n">
        <v>0</v>
      </c>
      <c r="P890" t="n">
        <v>0</v>
      </c>
      <c r="Q890" t="n">
        <v>0</v>
      </c>
      <c r="R890" s="2" t="inlineStr"/>
    </row>
    <row r="891" ht="15" customHeight="1">
      <c r="A891" t="inlineStr">
        <is>
          <t>A 50177-2021</t>
        </is>
      </c>
      <c r="B891" s="1" t="n">
        <v>44456</v>
      </c>
      <c r="C891" s="1" t="n">
        <v>45916</v>
      </c>
      <c r="D891" t="inlineStr">
        <is>
          <t>JÄMTLANDS LÄN</t>
        </is>
      </c>
      <c r="E891" t="inlineStr">
        <is>
          <t>KROKOM</t>
        </is>
      </c>
      <c r="G891" t="n">
        <v>1.5</v>
      </c>
      <c r="H891" t="n">
        <v>0</v>
      </c>
      <c r="I891" t="n">
        <v>0</v>
      </c>
      <c r="J891" t="n">
        <v>0</v>
      </c>
      <c r="K891" t="n">
        <v>0</v>
      </c>
      <c r="L891" t="n">
        <v>0</v>
      </c>
      <c r="M891" t="n">
        <v>0</v>
      </c>
      <c r="N891" t="n">
        <v>0</v>
      </c>
      <c r="O891" t="n">
        <v>0</v>
      </c>
      <c r="P891" t="n">
        <v>0</v>
      </c>
      <c r="Q891" t="n">
        <v>0</v>
      </c>
      <c r="R891" s="2" t="inlineStr"/>
    </row>
    <row r="892" ht="15" customHeight="1">
      <c r="A892" t="inlineStr">
        <is>
          <t>A 54975-2024</t>
        </is>
      </c>
      <c r="B892" s="1" t="n">
        <v>45620.67667824074</v>
      </c>
      <c r="C892" s="1" t="n">
        <v>45916</v>
      </c>
      <c r="D892" t="inlineStr">
        <is>
          <t>JÄMTLANDS LÄN</t>
        </is>
      </c>
      <c r="E892" t="inlineStr">
        <is>
          <t>KROKOM</t>
        </is>
      </c>
      <c r="G892" t="n">
        <v>24.1</v>
      </c>
      <c r="H892" t="n">
        <v>0</v>
      </c>
      <c r="I892" t="n">
        <v>0</v>
      </c>
      <c r="J892" t="n">
        <v>0</v>
      </c>
      <c r="K892" t="n">
        <v>0</v>
      </c>
      <c r="L892" t="n">
        <v>0</v>
      </c>
      <c r="M892" t="n">
        <v>0</v>
      </c>
      <c r="N892" t="n">
        <v>0</v>
      </c>
      <c r="O892" t="n">
        <v>0</v>
      </c>
      <c r="P892" t="n">
        <v>0</v>
      </c>
      <c r="Q892" t="n">
        <v>0</v>
      </c>
      <c r="R892" s="2" t="inlineStr"/>
    </row>
    <row r="893" ht="15" customHeight="1">
      <c r="A893" t="inlineStr">
        <is>
          <t>A 9132-2023</t>
        </is>
      </c>
      <c r="B893" s="1" t="n">
        <v>44974</v>
      </c>
      <c r="C893" s="1" t="n">
        <v>45916</v>
      </c>
      <c r="D893" t="inlineStr">
        <is>
          <t>JÄMTLANDS LÄN</t>
        </is>
      </c>
      <c r="E893" t="inlineStr">
        <is>
          <t>KROKOM</t>
        </is>
      </c>
      <c r="F893" t="inlineStr">
        <is>
          <t>SCA</t>
        </is>
      </c>
      <c r="G893" t="n">
        <v>22.7</v>
      </c>
      <c r="H893" t="n">
        <v>0</v>
      </c>
      <c r="I893" t="n">
        <v>0</v>
      </c>
      <c r="J893" t="n">
        <v>0</v>
      </c>
      <c r="K893" t="n">
        <v>0</v>
      </c>
      <c r="L893" t="n">
        <v>0</v>
      </c>
      <c r="M893" t="n">
        <v>0</v>
      </c>
      <c r="N893" t="n">
        <v>0</v>
      </c>
      <c r="O893" t="n">
        <v>0</v>
      </c>
      <c r="P893" t="n">
        <v>0</v>
      </c>
      <c r="Q893" t="n">
        <v>0</v>
      </c>
      <c r="R893" s="2" t="inlineStr"/>
    </row>
    <row r="894" ht="15" customHeight="1">
      <c r="A894" t="inlineStr">
        <is>
          <t>A 28780-2024</t>
        </is>
      </c>
      <c r="B894" s="1" t="n">
        <v>45478.60708333334</v>
      </c>
      <c r="C894" s="1" t="n">
        <v>45916</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39696-2024</t>
        </is>
      </c>
      <c r="B895" s="1" t="n">
        <v>45552.57210648148</v>
      </c>
      <c r="C895" s="1" t="n">
        <v>45916</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41197-2022</t>
        </is>
      </c>
      <c r="B896" s="1" t="n">
        <v>44825</v>
      </c>
      <c r="C896" s="1" t="n">
        <v>45916</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4354-2025</t>
        </is>
      </c>
      <c r="B897" s="1" t="n">
        <v>45686.32671296296</v>
      </c>
      <c r="C897" s="1" t="n">
        <v>45916</v>
      </c>
      <c r="D897" t="inlineStr">
        <is>
          <t>JÄMTLANDS LÄN</t>
        </is>
      </c>
      <c r="E897" t="inlineStr">
        <is>
          <t>KROKOM</t>
        </is>
      </c>
      <c r="F897" t="inlineStr">
        <is>
          <t>SCA</t>
        </is>
      </c>
      <c r="G897" t="n">
        <v>12.8</v>
      </c>
      <c r="H897" t="n">
        <v>0</v>
      </c>
      <c r="I897" t="n">
        <v>0</v>
      </c>
      <c r="J897" t="n">
        <v>0</v>
      </c>
      <c r="K897" t="n">
        <v>0</v>
      </c>
      <c r="L897" t="n">
        <v>0</v>
      </c>
      <c r="M897" t="n">
        <v>0</v>
      </c>
      <c r="N897" t="n">
        <v>0</v>
      </c>
      <c r="O897" t="n">
        <v>0</v>
      </c>
      <c r="P897" t="n">
        <v>0</v>
      </c>
      <c r="Q897" t="n">
        <v>0</v>
      </c>
      <c r="R897" s="2" t="inlineStr"/>
    </row>
    <row r="898" ht="15" customHeight="1">
      <c r="A898" t="inlineStr">
        <is>
          <t>A 41972-2024</t>
        </is>
      </c>
      <c r="B898" s="1" t="n">
        <v>45561.61515046296</v>
      </c>
      <c r="C898" s="1" t="n">
        <v>45916</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6627-2025</t>
        </is>
      </c>
      <c r="B899" s="1" t="n">
        <v>45700.37127314815</v>
      </c>
      <c r="C899" s="1" t="n">
        <v>45916</v>
      </c>
      <c r="D899" t="inlineStr">
        <is>
          <t>JÄMTLANDS LÄN</t>
        </is>
      </c>
      <c r="E899" t="inlineStr">
        <is>
          <t>KROKOM</t>
        </is>
      </c>
      <c r="G899" t="n">
        <v>1.6</v>
      </c>
      <c r="H899" t="n">
        <v>0</v>
      </c>
      <c r="I899" t="n">
        <v>0</v>
      </c>
      <c r="J899" t="n">
        <v>0</v>
      </c>
      <c r="K899" t="n">
        <v>0</v>
      </c>
      <c r="L899" t="n">
        <v>0</v>
      </c>
      <c r="M899" t="n">
        <v>0</v>
      </c>
      <c r="N899" t="n">
        <v>0</v>
      </c>
      <c r="O899" t="n">
        <v>0</v>
      </c>
      <c r="P899" t="n">
        <v>0</v>
      </c>
      <c r="Q899" t="n">
        <v>0</v>
      </c>
      <c r="R899" s="2" t="inlineStr"/>
    </row>
    <row r="900" ht="15" customHeight="1">
      <c r="A900" t="inlineStr">
        <is>
          <t>A 6629-2025</t>
        </is>
      </c>
      <c r="B900" s="1" t="n">
        <v>45700.37481481482</v>
      </c>
      <c r="C900" s="1" t="n">
        <v>45916</v>
      </c>
      <c r="D900" t="inlineStr">
        <is>
          <t>JÄMTLANDS LÄN</t>
        </is>
      </c>
      <c r="E900" t="inlineStr">
        <is>
          <t>KROKOM</t>
        </is>
      </c>
      <c r="F900" t="inlineStr">
        <is>
          <t>Övriga Aktiebolag</t>
        </is>
      </c>
      <c r="G900" t="n">
        <v>24.8</v>
      </c>
      <c r="H900" t="n">
        <v>0</v>
      </c>
      <c r="I900" t="n">
        <v>0</v>
      </c>
      <c r="J900" t="n">
        <v>0</v>
      </c>
      <c r="K900" t="n">
        <v>0</v>
      </c>
      <c r="L900" t="n">
        <v>0</v>
      </c>
      <c r="M900" t="n">
        <v>0</v>
      </c>
      <c r="N900" t="n">
        <v>0</v>
      </c>
      <c r="O900" t="n">
        <v>0</v>
      </c>
      <c r="P900" t="n">
        <v>0</v>
      </c>
      <c r="Q900" t="n">
        <v>0</v>
      </c>
      <c r="R900" s="2" t="inlineStr"/>
    </row>
    <row r="901" ht="15" customHeight="1">
      <c r="A901" t="inlineStr">
        <is>
          <t>A 47587-2023</t>
        </is>
      </c>
      <c r="B901" s="1" t="n">
        <v>45203.44248842593</v>
      </c>
      <c r="C901" s="1" t="n">
        <v>45916</v>
      </c>
      <c r="D901" t="inlineStr">
        <is>
          <t>JÄMTLANDS LÄN</t>
        </is>
      </c>
      <c r="E901" t="inlineStr">
        <is>
          <t>KROKOM</t>
        </is>
      </c>
      <c r="G901" t="n">
        <v>5.1</v>
      </c>
      <c r="H901" t="n">
        <v>0</v>
      </c>
      <c r="I901" t="n">
        <v>0</v>
      </c>
      <c r="J901" t="n">
        <v>0</v>
      </c>
      <c r="K901" t="n">
        <v>0</v>
      </c>
      <c r="L901" t="n">
        <v>0</v>
      </c>
      <c r="M901" t="n">
        <v>0</v>
      </c>
      <c r="N901" t="n">
        <v>0</v>
      </c>
      <c r="O901" t="n">
        <v>0</v>
      </c>
      <c r="P901" t="n">
        <v>0</v>
      </c>
      <c r="Q901" t="n">
        <v>0</v>
      </c>
      <c r="R901" s="2" t="inlineStr"/>
    </row>
    <row r="902" ht="15" customHeight="1">
      <c r="A902" t="inlineStr">
        <is>
          <t>A 5364-2025</t>
        </is>
      </c>
      <c r="B902" s="1" t="n">
        <v>45692.58106481482</v>
      </c>
      <c r="C902" s="1" t="n">
        <v>45916</v>
      </c>
      <c r="D902" t="inlineStr">
        <is>
          <t>JÄMTLANDS LÄN</t>
        </is>
      </c>
      <c r="E902" t="inlineStr">
        <is>
          <t>KROKOM</t>
        </is>
      </c>
      <c r="G902" t="n">
        <v>25.4</v>
      </c>
      <c r="H902" t="n">
        <v>0</v>
      </c>
      <c r="I902" t="n">
        <v>0</v>
      </c>
      <c r="J902" t="n">
        <v>0</v>
      </c>
      <c r="K902" t="n">
        <v>0</v>
      </c>
      <c r="L902" t="n">
        <v>0</v>
      </c>
      <c r="M902" t="n">
        <v>0</v>
      </c>
      <c r="N902" t="n">
        <v>0</v>
      </c>
      <c r="O902" t="n">
        <v>0</v>
      </c>
      <c r="P902" t="n">
        <v>0</v>
      </c>
      <c r="Q902" t="n">
        <v>0</v>
      </c>
      <c r="R902" s="2" t="inlineStr"/>
    </row>
    <row r="903" ht="15" customHeight="1">
      <c r="A903" t="inlineStr">
        <is>
          <t>A 42398-2024</t>
        </is>
      </c>
      <c r="B903" s="1" t="n">
        <v>45565.33152777778</v>
      </c>
      <c r="C903" s="1" t="n">
        <v>45916</v>
      </c>
      <c r="D903" t="inlineStr">
        <is>
          <t>JÄMTLANDS LÄN</t>
        </is>
      </c>
      <c r="E903" t="inlineStr">
        <is>
          <t>KROKOM</t>
        </is>
      </c>
      <c r="G903" t="n">
        <v>1.5</v>
      </c>
      <c r="H903" t="n">
        <v>0</v>
      </c>
      <c r="I903" t="n">
        <v>0</v>
      </c>
      <c r="J903" t="n">
        <v>0</v>
      </c>
      <c r="K903" t="n">
        <v>0</v>
      </c>
      <c r="L903" t="n">
        <v>0</v>
      </c>
      <c r="M903" t="n">
        <v>0</v>
      </c>
      <c r="N903" t="n">
        <v>0</v>
      </c>
      <c r="O903" t="n">
        <v>0</v>
      </c>
      <c r="P903" t="n">
        <v>0</v>
      </c>
      <c r="Q903" t="n">
        <v>0</v>
      </c>
      <c r="R903" s="2" t="inlineStr"/>
    </row>
    <row r="904" ht="15" customHeight="1">
      <c r="A904" t="inlineStr">
        <is>
          <t>A 58487-2024</t>
        </is>
      </c>
      <c r="B904" s="1" t="n">
        <v>45635.39820601852</v>
      </c>
      <c r="C904" s="1" t="n">
        <v>45916</v>
      </c>
      <c r="D904" t="inlineStr">
        <is>
          <t>JÄMTLANDS LÄN</t>
        </is>
      </c>
      <c r="E904" t="inlineStr">
        <is>
          <t>KROKOM</t>
        </is>
      </c>
      <c r="G904" t="n">
        <v>0.4</v>
      </c>
      <c r="H904" t="n">
        <v>0</v>
      </c>
      <c r="I904" t="n">
        <v>0</v>
      </c>
      <c r="J904" t="n">
        <v>0</v>
      </c>
      <c r="K904" t="n">
        <v>0</v>
      </c>
      <c r="L904" t="n">
        <v>0</v>
      </c>
      <c r="M904" t="n">
        <v>0</v>
      </c>
      <c r="N904" t="n">
        <v>0</v>
      </c>
      <c r="O904" t="n">
        <v>0</v>
      </c>
      <c r="P904" t="n">
        <v>0</v>
      </c>
      <c r="Q904" t="n">
        <v>0</v>
      </c>
      <c r="R904" s="2" t="inlineStr"/>
    </row>
    <row r="905" ht="15" customHeight="1">
      <c r="A905" t="inlineStr">
        <is>
          <t>A 48560-2024</t>
        </is>
      </c>
      <c r="B905" s="1" t="n">
        <v>45593.38568287037</v>
      </c>
      <c r="C905" s="1" t="n">
        <v>45916</v>
      </c>
      <c r="D905" t="inlineStr">
        <is>
          <t>JÄMTLANDS LÄN</t>
        </is>
      </c>
      <c r="E905" t="inlineStr">
        <is>
          <t>KROKOM</t>
        </is>
      </c>
      <c r="G905" t="n">
        <v>2.6</v>
      </c>
      <c r="H905" t="n">
        <v>0</v>
      </c>
      <c r="I905" t="n">
        <v>0</v>
      </c>
      <c r="J905" t="n">
        <v>0</v>
      </c>
      <c r="K905" t="n">
        <v>0</v>
      </c>
      <c r="L905" t="n">
        <v>0</v>
      </c>
      <c r="M905" t="n">
        <v>0</v>
      </c>
      <c r="N905" t="n">
        <v>0</v>
      </c>
      <c r="O905" t="n">
        <v>0</v>
      </c>
      <c r="P905" t="n">
        <v>0</v>
      </c>
      <c r="Q905" t="n">
        <v>0</v>
      </c>
      <c r="R905" s="2" t="inlineStr"/>
    </row>
    <row r="906" ht="15" customHeight="1">
      <c r="A906" t="inlineStr">
        <is>
          <t>A 6451-2022</t>
        </is>
      </c>
      <c r="B906" s="1" t="n">
        <v>44601.35342592592</v>
      </c>
      <c r="C906" s="1" t="n">
        <v>45916</v>
      </c>
      <c r="D906" t="inlineStr">
        <is>
          <t>JÄMTLANDS LÄN</t>
        </is>
      </c>
      <c r="E906" t="inlineStr">
        <is>
          <t>KROKOM</t>
        </is>
      </c>
      <c r="G906" t="n">
        <v>5.8</v>
      </c>
      <c r="H906" t="n">
        <v>0</v>
      </c>
      <c r="I906" t="n">
        <v>0</v>
      </c>
      <c r="J906" t="n">
        <v>0</v>
      </c>
      <c r="K906" t="n">
        <v>0</v>
      </c>
      <c r="L906" t="n">
        <v>0</v>
      </c>
      <c r="M906" t="n">
        <v>0</v>
      </c>
      <c r="N906" t="n">
        <v>0</v>
      </c>
      <c r="O906" t="n">
        <v>0</v>
      </c>
      <c r="P906" t="n">
        <v>0</v>
      </c>
      <c r="Q906" t="n">
        <v>0</v>
      </c>
      <c r="R906" s="2" t="inlineStr"/>
    </row>
    <row r="907" ht="15" customHeight="1">
      <c r="A907" t="inlineStr">
        <is>
          <t>A 23319-2024</t>
        </is>
      </c>
      <c r="B907" s="1" t="n">
        <v>45453.45515046296</v>
      </c>
      <c r="C907" s="1" t="n">
        <v>45916</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23832-2021</t>
        </is>
      </c>
      <c r="B908" s="1" t="n">
        <v>44335</v>
      </c>
      <c r="C908" s="1" t="n">
        <v>45916</v>
      </c>
      <c r="D908" t="inlineStr">
        <is>
          <t>JÄMTLANDS LÄN</t>
        </is>
      </c>
      <c r="E908" t="inlineStr">
        <is>
          <t>KROKOM</t>
        </is>
      </c>
      <c r="G908" t="n">
        <v>20</v>
      </c>
      <c r="H908" t="n">
        <v>0</v>
      </c>
      <c r="I908" t="n">
        <v>0</v>
      </c>
      <c r="J908" t="n">
        <v>0</v>
      </c>
      <c r="K908" t="n">
        <v>0</v>
      </c>
      <c r="L908" t="n">
        <v>0</v>
      </c>
      <c r="M908" t="n">
        <v>0</v>
      </c>
      <c r="N908" t="n">
        <v>0</v>
      </c>
      <c r="O908" t="n">
        <v>0</v>
      </c>
      <c r="P908" t="n">
        <v>0</v>
      </c>
      <c r="Q908" t="n">
        <v>0</v>
      </c>
      <c r="R908" s="2" t="inlineStr"/>
    </row>
    <row r="909" ht="15" customHeight="1">
      <c r="A909" t="inlineStr">
        <is>
          <t>A 27440-2024</t>
        </is>
      </c>
      <c r="B909" s="1" t="n">
        <v>45474</v>
      </c>
      <c r="C909" s="1" t="n">
        <v>45916</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2609-2023</t>
        </is>
      </c>
      <c r="B910" s="1" t="n">
        <v>44939</v>
      </c>
      <c r="C910" s="1" t="n">
        <v>45916</v>
      </c>
      <c r="D910" t="inlineStr">
        <is>
          <t>JÄMTLANDS LÄN</t>
        </is>
      </c>
      <c r="E910" t="inlineStr">
        <is>
          <t>KROKOM</t>
        </is>
      </c>
      <c r="G910" t="n">
        <v>16.9</v>
      </c>
      <c r="H910" t="n">
        <v>0</v>
      </c>
      <c r="I910" t="n">
        <v>0</v>
      </c>
      <c r="J910" t="n">
        <v>0</v>
      </c>
      <c r="K910" t="n">
        <v>0</v>
      </c>
      <c r="L910" t="n">
        <v>0</v>
      </c>
      <c r="M910" t="n">
        <v>0</v>
      </c>
      <c r="N910" t="n">
        <v>0</v>
      </c>
      <c r="O910" t="n">
        <v>0</v>
      </c>
      <c r="P910" t="n">
        <v>0</v>
      </c>
      <c r="Q910" t="n">
        <v>0</v>
      </c>
      <c r="R910" s="2" t="inlineStr"/>
    </row>
    <row r="911" ht="15" customHeight="1">
      <c r="A911" t="inlineStr">
        <is>
          <t>A 62739-2021</t>
        </is>
      </c>
      <c r="B911" s="1" t="n">
        <v>44504</v>
      </c>
      <c r="C911" s="1" t="n">
        <v>45916</v>
      </c>
      <c r="D911" t="inlineStr">
        <is>
          <t>JÄMTLANDS LÄN</t>
        </is>
      </c>
      <c r="E911" t="inlineStr">
        <is>
          <t>KROKOM</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17469-2024</t>
        </is>
      </c>
      <c r="B912" s="1" t="n">
        <v>45415.45006944444</v>
      </c>
      <c r="C912" s="1" t="n">
        <v>45916</v>
      </c>
      <c r="D912" t="inlineStr">
        <is>
          <t>JÄMTLANDS LÄN</t>
        </is>
      </c>
      <c r="E912" t="inlineStr">
        <is>
          <t>KROKOM</t>
        </is>
      </c>
      <c r="G912" t="n">
        <v>4.6</v>
      </c>
      <c r="H912" t="n">
        <v>0</v>
      </c>
      <c r="I912" t="n">
        <v>0</v>
      </c>
      <c r="J912" t="n">
        <v>0</v>
      </c>
      <c r="K912" t="n">
        <v>0</v>
      </c>
      <c r="L912" t="n">
        <v>0</v>
      </c>
      <c r="M912" t="n">
        <v>0</v>
      </c>
      <c r="N912" t="n">
        <v>0</v>
      </c>
      <c r="O912" t="n">
        <v>0</v>
      </c>
      <c r="P912" t="n">
        <v>0</v>
      </c>
      <c r="Q912" t="n">
        <v>0</v>
      </c>
      <c r="R912" s="2" t="inlineStr"/>
    </row>
    <row r="913" ht="15" customHeight="1">
      <c r="A913" t="inlineStr">
        <is>
          <t>A 5722-2023</t>
        </is>
      </c>
      <c r="B913" s="1" t="n">
        <v>44961</v>
      </c>
      <c r="C913" s="1" t="n">
        <v>45916</v>
      </c>
      <c r="D913" t="inlineStr">
        <is>
          <t>JÄMTLANDS LÄN</t>
        </is>
      </c>
      <c r="E913" t="inlineStr">
        <is>
          <t>KROKOM</t>
        </is>
      </c>
      <c r="G913" t="n">
        <v>12.3</v>
      </c>
      <c r="H913" t="n">
        <v>0</v>
      </c>
      <c r="I913" t="n">
        <v>0</v>
      </c>
      <c r="J913" t="n">
        <v>0</v>
      </c>
      <c r="K913" t="n">
        <v>0</v>
      </c>
      <c r="L913" t="n">
        <v>0</v>
      </c>
      <c r="M913" t="n">
        <v>0</v>
      </c>
      <c r="N913" t="n">
        <v>0</v>
      </c>
      <c r="O913" t="n">
        <v>0</v>
      </c>
      <c r="P913" t="n">
        <v>0</v>
      </c>
      <c r="Q913" t="n">
        <v>0</v>
      </c>
      <c r="R913" s="2" t="inlineStr"/>
    </row>
    <row r="914" ht="15" customHeight="1">
      <c r="A914" t="inlineStr">
        <is>
          <t>A 280-2025</t>
        </is>
      </c>
      <c r="B914" s="1" t="n">
        <v>45660.49618055556</v>
      </c>
      <c r="C914" s="1" t="n">
        <v>45916</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59668-2023</t>
        </is>
      </c>
      <c r="B915" s="1" t="n">
        <v>45254</v>
      </c>
      <c r="C915" s="1" t="n">
        <v>45916</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41700-2024</t>
        </is>
      </c>
      <c r="B916" s="1" t="n">
        <v>45560.69164351852</v>
      </c>
      <c r="C916" s="1" t="n">
        <v>45916</v>
      </c>
      <c r="D916" t="inlineStr">
        <is>
          <t>JÄMTLANDS LÄN</t>
        </is>
      </c>
      <c r="E916" t="inlineStr">
        <is>
          <t>KROKOM</t>
        </is>
      </c>
      <c r="G916" t="n">
        <v>2.2</v>
      </c>
      <c r="H916" t="n">
        <v>0</v>
      </c>
      <c r="I916" t="n">
        <v>0</v>
      </c>
      <c r="J916" t="n">
        <v>0</v>
      </c>
      <c r="K916" t="n">
        <v>0</v>
      </c>
      <c r="L916" t="n">
        <v>0</v>
      </c>
      <c r="M916" t="n">
        <v>0</v>
      </c>
      <c r="N916" t="n">
        <v>0</v>
      </c>
      <c r="O916" t="n">
        <v>0</v>
      </c>
      <c r="P916" t="n">
        <v>0</v>
      </c>
      <c r="Q916" t="n">
        <v>0</v>
      </c>
      <c r="R916" s="2" t="inlineStr"/>
    </row>
    <row r="917" ht="15" customHeight="1">
      <c r="A917" t="inlineStr">
        <is>
          <t>A 7630-2023</t>
        </is>
      </c>
      <c r="B917" s="1" t="n">
        <v>44972.55690972223</v>
      </c>
      <c r="C917" s="1" t="n">
        <v>45916</v>
      </c>
      <c r="D917" t="inlineStr">
        <is>
          <t>JÄMTLANDS LÄN</t>
        </is>
      </c>
      <c r="E917" t="inlineStr">
        <is>
          <t>KROKOM</t>
        </is>
      </c>
      <c r="G917" t="n">
        <v>2.1</v>
      </c>
      <c r="H917" t="n">
        <v>0</v>
      </c>
      <c r="I917" t="n">
        <v>0</v>
      </c>
      <c r="J917" t="n">
        <v>0</v>
      </c>
      <c r="K917" t="n">
        <v>0</v>
      </c>
      <c r="L917" t="n">
        <v>0</v>
      </c>
      <c r="M917" t="n">
        <v>0</v>
      </c>
      <c r="N917" t="n">
        <v>0</v>
      </c>
      <c r="O917" t="n">
        <v>0</v>
      </c>
      <c r="P917" t="n">
        <v>0</v>
      </c>
      <c r="Q917" t="n">
        <v>0</v>
      </c>
      <c r="R917" s="2" t="inlineStr"/>
    </row>
    <row r="918" ht="15" customHeight="1">
      <c r="A918" t="inlineStr">
        <is>
          <t>A 44594-2023</t>
        </is>
      </c>
      <c r="B918" s="1" t="n">
        <v>45189.60987268519</v>
      </c>
      <c r="C918" s="1" t="n">
        <v>45916</v>
      </c>
      <c r="D918" t="inlineStr">
        <is>
          <t>JÄMTLANDS LÄN</t>
        </is>
      </c>
      <c r="E918" t="inlineStr">
        <is>
          <t>KROKOM</t>
        </is>
      </c>
      <c r="G918" t="n">
        <v>5.7</v>
      </c>
      <c r="H918" t="n">
        <v>0</v>
      </c>
      <c r="I918" t="n">
        <v>0</v>
      </c>
      <c r="J918" t="n">
        <v>0</v>
      </c>
      <c r="K918" t="n">
        <v>0</v>
      </c>
      <c r="L918" t="n">
        <v>0</v>
      </c>
      <c r="M918" t="n">
        <v>0</v>
      </c>
      <c r="N918" t="n">
        <v>0</v>
      </c>
      <c r="O918" t="n">
        <v>0</v>
      </c>
      <c r="P918" t="n">
        <v>0</v>
      </c>
      <c r="Q918" t="n">
        <v>0</v>
      </c>
      <c r="R918" s="2" t="inlineStr"/>
    </row>
    <row r="919" ht="15" customHeight="1">
      <c r="A919" t="inlineStr">
        <is>
          <t>A 2257-2024</t>
        </is>
      </c>
      <c r="B919" s="1" t="n">
        <v>45310</v>
      </c>
      <c r="C919" s="1" t="n">
        <v>45916</v>
      </c>
      <c r="D919" t="inlineStr">
        <is>
          <t>JÄMTLANDS LÄN</t>
        </is>
      </c>
      <c r="E919" t="inlineStr">
        <is>
          <t>KROKOM</t>
        </is>
      </c>
      <c r="G919" t="n">
        <v>14.5</v>
      </c>
      <c r="H919" t="n">
        <v>0</v>
      </c>
      <c r="I919" t="n">
        <v>0</v>
      </c>
      <c r="J919" t="n">
        <v>0</v>
      </c>
      <c r="K919" t="n">
        <v>0</v>
      </c>
      <c r="L919" t="n">
        <v>0</v>
      </c>
      <c r="M919" t="n">
        <v>0</v>
      </c>
      <c r="N919" t="n">
        <v>0</v>
      </c>
      <c r="O919" t="n">
        <v>0</v>
      </c>
      <c r="P919" t="n">
        <v>0</v>
      </c>
      <c r="Q919" t="n">
        <v>0</v>
      </c>
      <c r="R919" s="2" t="inlineStr"/>
    </row>
    <row r="920" ht="15" customHeight="1">
      <c r="A920" t="inlineStr">
        <is>
          <t>A 31905-2021</t>
        </is>
      </c>
      <c r="B920" s="1" t="n">
        <v>44370</v>
      </c>
      <c r="C920" s="1" t="n">
        <v>45916</v>
      </c>
      <c r="D920" t="inlineStr">
        <is>
          <t>JÄMTLANDS LÄN</t>
        </is>
      </c>
      <c r="E920" t="inlineStr">
        <is>
          <t>KROKOM</t>
        </is>
      </c>
      <c r="G920" t="n">
        <v>12.9</v>
      </c>
      <c r="H920" t="n">
        <v>0</v>
      </c>
      <c r="I920" t="n">
        <v>0</v>
      </c>
      <c r="J920" t="n">
        <v>0</v>
      </c>
      <c r="K920" t="n">
        <v>0</v>
      </c>
      <c r="L920" t="n">
        <v>0</v>
      </c>
      <c r="M920" t="n">
        <v>0</v>
      </c>
      <c r="N920" t="n">
        <v>0</v>
      </c>
      <c r="O920" t="n">
        <v>0</v>
      </c>
      <c r="P920" t="n">
        <v>0</v>
      </c>
      <c r="Q920" t="n">
        <v>0</v>
      </c>
      <c r="R920" s="2" t="inlineStr"/>
    </row>
    <row r="921" ht="15" customHeight="1">
      <c r="A921" t="inlineStr">
        <is>
          <t>A 36122-2022</t>
        </is>
      </c>
      <c r="B921" s="1" t="n">
        <v>44803</v>
      </c>
      <c r="C921" s="1" t="n">
        <v>45916</v>
      </c>
      <c r="D921" t="inlineStr">
        <is>
          <t>JÄMTLANDS LÄN</t>
        </is>
      </c>
      <c r="E921" t="inlineStr">
        <is>
          <t>KROKOM</t>
        </is>
      </c>
      <c r="G921" t="n">
        <v>5.7</v>
      </c>
      <c r="H921" t="n">
        <v>0</v>
      </c>
      <c r="I921" t="n">
        <v>0</v>
      </c>
      <c r="J921" t="n">
        <v>0</v>
      </c>
      <c r="K921" t="n">
        <v>0</v>
      </c>
      <c r="L921" t="n">
        <v>0</v>
      </c>
      <c r="M921" t="n">
        <v>0</v>
      </c>
      <c r="N921" t="n">
        <v>0</v>
      </c>
      <c r="O921" t="n">
        <v>0</v>
      </c>
      <c r="P921" t="n">
        <v>0</v>
      </c>
      <c r="Q921" t="n">
        <v>0</v>
      </c>
      <c r="R921" s="2" t="inlineStr"/>
    </row>
    <row r="922" ht="15" customHeight="1">
      <c r="A922" t="inlineStr">
        <is>
          <t>A 35720-2024</t>
        </is>
      </c>
      <c r="B922" s="1" t="n">
        <v>45532.48732638889</v>
      </c>
      <c r="C922" s="1" t="n">
        <v>45916</v>
      </c>
      <c r="D922" t="inlineStr">
        <is>
          <t>JÄMTLANDS LÄN</t>
        </is>
      </c>
      <c r="E922" t="inlineStr">
        <is>
          <t>KROKOM</t>
        </is>
      </c>
      <c r="G922" t="n">
        <v>3.2</v>
      </c>
      <c r="H922" t="n">
        <v>0</v>
      </c>
      <c r="I922" t="n">
        <v>0</v>
      </c>
      <c r="J922" t="n">
        <v>0</v>
      </c>
      <c r="K922" t="n">
        <v>0</v>
      </c>
      <c r="L922" t="n">
        <v>0</v>
      </c>
      <c r="M922" t="n">
        <v>0</v>
      </c>
      <c r="N922" t="n">
        <v>0</v>
      </c>
      <c r="O922" t="n">
        <v>0</v>
      </c>
      <c r="P922" t="n">
        <v>0</v>
      </c>
      <c r="Q922" t="n">
        <v>0</v>
      </c>
      <c r="R922" s="2" t="inlineStr"/>
    </row>
    <row r="923" ht="15" customHeight="1">
      <c r="A923" t="inlineStr">
        <is>
          <t>A 39230-2024</t>
        </is>
      </c>
      <c r="B923" s="1" t="n">
        <v>45550.66542824074</v>
      </c>
      <c r="C923" s="1" t="n">
        <v>45916</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26414-2024</t>
        </is>
      </c>
      <c r="B924" s="1" t="n">
        <v>45469</v>
      </c>
      <c r="C924" s="1" t="n">
        <v>45916</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8011-2025</t>
        </is>
      </c>
      <c r="B925" s="1" t="n">
        <v>45707.55246527777</v>
      </c>
      <c r="C925" s="1" t="n">
        <v>45916</v>
      </c>
      <c r="D925" t="inlineStr">
        <is>
          <t>JÄMTLANDS LÄN</t>
        </is>
      </c>
      <c r="E925" t="inlineStr">
        <is>
          <t>KROKOM</t>
        </is>
      </c>
      <c r="F925" t="inlineStr">
        <is>
          <t>Övriga Aktiebolag</t>
        </is>
      </c>
      <c r="G925" t="n">
        <v>10.6</v>
      </c>
      <c r="H925" t="n">
        <v>0</v>
      </c>
      <c r="I925" t="n">
        <v>0</v>
      </c>
      <c r="J925" t="n">
        <v>0</v>
      </c>
      <c r="K925" t="n">
        <v>0</v>
      </c>
      <c r="L925" t="n">
        <v>0</v>
      </c>
      <c r="M925" t="n">
        <v>0</v>
      </c>
      <c r="N925" t="n">
        <v>0</v>
      </c>
      <c r="O925" t="n">
        <v>0</v>
      </c>
      <c r="P925" t="n">
        <v>0</v>
      </c>
      <c r="Q925" t="n">
        <v>0</v>
      </c>
      <c r="R925" s="2" t="inlineStr"/>
    </row>
    <row r="926" ht="15" customHeight="1">
      <c r="A926" t="inlineStr">
        <is>
          <t>A 56927-2023</t>
        </is>
      </c>
      <c r="B926" s="1" t="n">
        <v>45244</v>
      </c>
      <c r="C926" s="1" t="n">
        <v>45916</v>
      </c>
      <c r="D926" t="inlineStr">
        <is>
          <t>JÄMTLANDS LÄN</t>
        </is>
      </c>
      <c r="E926" t="inlineStr">
        <is>
          <t>KROKOM</t>
        </is>
      </c>
      <c r="G926" t="n">
        <v>14.1</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45916</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22258-2024</t>
        </is>
      </c>
      <c r="B928" s="1" t="n">
        <v>45446.47634259259</v>
      </c>
      <c r="C928" s="1" t="n">
        <v>45916</v>
      </c>
      <c r="D928" t="inlineStr">
        <is>
          <t>JÄMTLANDS LÄN</t>
        </is>
      </c>
      <c r="E928" t="inlineStr">
        <is>
          <t>KROKOM</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8168-2025</t>
        </is>
      </c>
      <c r="B929" s="1" t="n">
        <v>45708</v>
      </c>
      <c r="C929" s="1" t="n">
        <v>45916</v>
      </c>
      <c r="D929" t="inlineStr">
        <is>
          <t>JÄMTLANDS LÄN</t>
        </is>
      </c>
      <c r="E929" t="inlineStr">
        <is>
          <t>KROKOM</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1287-2021</t>
        </is>
      </c>
      <c r="B930" s="1" t="n">
        <v>44207</v>
      </c>
      <c r="C930" s="1" t="n">
        <v>45916</v>
      </c>
      <c r="D930" t="inlineStr">
        <is>
          <t>JÄMTLANDS LÄN</t>
        </is>
      </c>
      <c r="E930" t="inlineStr">
        <is>
          <t>KROKOM</t>
        </is>
      </c>
      <c r="G930" t="n">
        <v>2.5</v>
      </c>
      <c r="H930" t="n">
        <v>0</v>
      </c>
      <c r="I930" t="n">
        <v>0</v>
      </c>
      <c r="J930" t="n">
        <v>0</v>
      </c>
      <c r="K930" t="n">
        <v>0</v>
      </c>
      <c r="L930" t="n">
        <v>0</v>
      </c>
      <c r="M930" t="n">
        <v>0</v>
      </c>
      <c r="N930" t="n">
        <v>0</v>
      </c>
      <c r="O930" t="n">
        <v>0</v>
      </c>
      <c r="P930" t="n">
        <v>0</v>
      </c>
      <c r="Q930" t="n">
        <v>0</v>
      </c>
      <c r="R930" s="2" t="inlineStr"/>
    </row>
    <row r="931" ht="15" customHeight="1">
      <c r="A931" t="inlineStr">
        <is>
          <t>A 26721-2023</t>
        </is>
      </c>
      <c r="B931" s="1" t="n">
        <v>45090</v>
      </c>
      <c r="C931" s="1" t="n">
        <v>45916</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5693-2022</t>
        </is>
      </c>
      <c r="B932" s="1" t="n">
        <v>44596</v>
      </c>
      <c r="C932" s="1" t="n">
        <v>45916</v>
      </c>
      <c r="D932" t="inlineStr">
        <is>
          <t>JÄMTLANDS LÄN</t>
        </is>
      </c>
      <c r="E932" t="inlineStr">
        <is>
          <t>KROKOM</t>
        </is>
      </c>
      <c r="G932" t="n">
        <v>40.8</v>
      </c>
      <c r="H932" t="n">
        <v>0</v>
      </c>
      <c r="I932" t="n">
        <v>0</v>
      </c>
      <c r="J932" t="n">
        <v>0</v>
      </c>
      <c r="K932" t="n">
        <v>0</v>
      </c>
      <c r="L932" t="n">
        <v>0</v>
      </c>
      <c r="M932" t="n">
        <v>0</v>
      </c>
      <c r="N932" t="n">
        <v>0</v>
      </c>
      <c r="O932" t="n">
        <v>0</v>
      </c>
      <c r="P932" t="n">
        <v>0</v>
      </c>
      <c r="Q932" t="n">
        <v>0</v>
      </c>
      <c r="R932" s="2" t="inlineStr"/>
    </row>
    <row r="933" ht="15" customHeight="1">
      <c r="A933" t="inlineStr">
        <is>
          <t>A 61742-2024</t>
        </is>
      </c>
      <c r="B933" s="1" t="n">
        <v>45649.38149305555</v>
      </c>
      <c r="C933" s="1" t="n">
        <v>45916</v>
      </c>
      <c r="D933" t="inlineStr">
        <is>
          <t>JÄMTLANDS LÄN</t>
        </is>
      </c>
      <c r="E933" t="inlineStr">
        <is>
          <t>KROKOM</t>
        </is>
      </c>
      <c r="G933" t="n">
        <v>13.3</v>
      </c>
      <c r="H933" t="n">
        <v>0</v>
      </c>
      <c r="I933" t="n">
        <v>0</v>
      </c>
      <c r="J933" t="n">
        <v>0</v>
      </c>
      <c r="K933" t="n">
        <v>0</v>
      </c>
      <c r="L933" t="n">
        <v>0</v>
      </c>
      <c r="M933" t="n">
        <v>0</v>
      </c>
      <c r="N933" t="n">
        <v>0</v>
      </c>
      <c r="O933" t="n">
        <v>0</v>
      </c>
      <c r="P933" t="n">
        <v>0</v>
      </c>
      <c r="Q933" t="n">
        <v>0</v>
      </c>
      <c r="R933" s="2" t="inlineStr"/>
    </row>
    <row r="934" ht="15" customHeight="1">
      <c r="A934" t="inlineStr">
        <is>
          <t>A 4355-2024</t>
        </is>
      </c>
      <c r="B934" s="1" t="n">
        <v>45324</v>
      </c>
      <c r="C934" s="1" t="n">
        <v>45916</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15209-2025</t>
        </is>
      </c>
      <c r="B935" s="1" t="n">
        <v>45744</v>
      </c>
      <c r="C935" s="1" t="n">
        <v>45916</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46644-2022</t>
        </is>
      </c>
      <c r="B936" s="1" t="n">
        <v>44849.8044212963</v>
      </c>
      <c r="C936" s="1" t="n">
        <v>45916</v>
      </c>
      <c r="D936" t="inlineStr">
        <is>
          <t>JÄMTLANDS LÄN</t>
        </is>
      </c>
      <c r="E936" t="inlineStr">
        <is>
          <t>KROKOM</t>
        </is>
      </c>
      <c r="G936" t="n">
        <v>4.2</v>
      </c>
      <c r="H936" t="n">
        <v>0</v>
      </c>
      <c r="I936" t="n">
        <v>0</v>
      </c>
      <c r="J936" t="n">
        <v>0</v>
      </c>
      <c r="K936" t="n">
        <v>0</v>
      </c>
      <c r="L936" t="n">
        <v>0</v>
      </c>
      <c r="M936" t="n">
        <v>0</v>
      </c>
      <c r="N936" t="n">
        <v>0</v>
      </c>
      <c r="O936" t="n">
        <v>0</v>
      </c>
      <c r="P936" t="n">
        <v>0</v>
      </c>
      <c r="Q936" t="n">
        <v>0</v>
      </c>
      <c r="R936" s="2" t="inlineStr"/>
    </row>
    <row r="937" ht="15" customHeight="1">
      <c r="A937" t="inlineStr">
        <is>
          <t>A 36929-2024</t>
        </is>
      </c>
      <c r="B937" s="1" t="n">
        <v>45538.68200231482</v>
      </c>
      <c r="C937" s="1" t="n">
        <v>45916</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47721-2024</t>
        </is>
      </c>
      <c r="B938" s="1" t="n">
        <v>45588</v>
      </c>
      <c r="C938" s="1" t="n">
        <v>45916</v>
      </c>
      <c r="D938" t="inlineStr">
        <is>
          <t>JÄMTLANDS LÄN</t>
        </is>
      </c>
      <c r="E938" t="inlineStr">
        <is>
          <t>KROKOM</t>
        </is>
      </c>
      <c r="G938" t="n">
        <v>19.2</v>
      </c>
      <c r="H938" t="n">
        <v>0</v>
      </c>
      <c r="I938" t="n">
        <v>0</v>
      </c>
      <c r="J938" t="n">
        <v>0</v>
      </c>
      <c r="K938" t="n">
        <v>0</v>
      </c>
      <c r="L938" t="n">
        <v>0</v>
      </c>
      <c r="M938" t="n">
        <v>0</v>
      </c>
      <c r="N938" t="n">
        <v>0</v>
      </c>
      <c r="O938" t="n">
        <v>0</v>
      </c>
      <c r="P938" t="n">
        <v>0</v>
      </c>
      <c r="Q938" t="n">
        <v>0</v>
      </c>
      <c r="R938" s="2" t="inlineStr"/>
    </row>
    <row r="939" ht="15" customHeight="1">
      <c r="A939" t="inlineStr">
        <is>
          <t>A 40219-2024</t>
        </is>
      </c>
      <c r="B939" s="1" t="n">
        <v>45554.59538194445</v>
      </c>
      <c r="C939" s="1" t="n">
        <v>45916</v>
      </c>
      <c r="D939" t="inlineStr">
        <is>
          <t>JÄMTLANDS LÄN</t>
        </is>
      </c>
      <c r="E939" t="inlineStr">
        <is>
          <t>KROKOM</t>
        </is>
      </c>
      <c r="G939" t="n">
        <v>3.7</v>
      </c>
      <c r="H939" t="n">
        <v>0</v>
      </c>
      <c r="I939" t="n">
        <v>0</v>
      </c>
      <c r="J939" t="n">
        <v>0</v>
      </c>
      <c r="K939" t="n">
        <v>0</v>
      </c>
      <c r="L939" t="n">
        <v>0</v>
      </c>
      <c r="M939" t="n">
        <v>0</v>
      </c>
      <c r="N939" t="n">
        <v>0</v>
      </c>
      <c r="O939" t="n">
        <v>0</v>
      </c>
      <c r="P939" t="n">
        <v>0</v>
      </c>
      <c r="Q939" t="n">
        <v>0</v>
      </c>
      <c r="R939" s="2" t="inlineStr"/>
    </row>
    <row r="940" ht="15" customHeight="1">
      <c r="A940" t="inlineStr">
        <is>
          <t>A 16199-2025</t>
        </is>
      </c>
      <c r="B940" s="1" t="n">
        <v>45750.60577546297</v>
      </c>
      <c r="C940" s="1" t="n">
        <v>45916</v>
      </c>
      <c r="D940" t="inlineStr">
        <is>
          <t>JÄMTLANDS LÄN</t>
        </is>
      </c>
      <c r="E940" t="inlineStr">
        <is>
          <t>KROKOM</t>
        </is>
      </c>
      <c r="G940" t="n">
        <v>0.5</v>
      </c>
      <c r="H940" t="n">
        <v>0</v>
      </c>
      <c r="I940" t="n">
        <v>0</v>
      </c>
      <c r="J940" t="n">
        <v>0</v>
      </c>
      <c r="K940" t="n">
        <v>0</v>
      </c>
      <c r="L940" t="n">
        <v>0</v>
      </c>
      <c r="M940" t="n">
        <v>0</v>
      </c>
      <c r="N940" t="n">
        <v>0</v>
      </c>
      <c r="O940" t="n">
        <v>0</v>
      </c>
      <c r="P940" t="n">
        <v>0</v>
      </c>
      <c r="Q940" t="n">
        <v>0</v>
      </c>
      <c r="R940" s="2" t="inlineStr"/>
    </row>
    <row r="941" ht="15" customHeight="1">
      <c r="A941" t="inlineStr">
        <is>
          <t>A 41675-2024</t>
        </is>
      </c>
      <c r="B941" s="1" t="n">
        <v>45560.6599537037</v>
      </c>
      <c r="C941" s="1" t="n">
        <v>45916</v>
      </c>
      <c r="D941" t="inlineStr">
        <is>
          <t>JÄMTLANDS LÄN</t>
        </is>
      </c>
      <c r="E941" t="inlineStr">
        <is>
          <t>KROKOM</t>
        </is>
      </c>
      <c r="G941" t="n">
        <v>7</v>
      </c>
      <c r="H941" t="n">
        <v>0</v>
      </c>
      <c r="I941" t="n">
        <v>0</v>
      </c>
      <c r="J941" t="n">
        <v>0</v>
      </c>
      <c r="K941" t="n">
        <v>0</v>
      </c>
      <c r="L941" t="n">
        <v>0</v>
      </c>
      <c r="M941" t="n">
        <v>0</v>
      </c>
      <c r="N941" t="n">
        <v>0</v>
      </c>
      <c r="O941" t="n">
        <v>0</v>
      </c>
      <c r="P941" t="n">
        <v>0</v>
      </c>
      <c r="Q941" t="n">
        <v>0</v>
      </c>
      <c r="R941" s="2" t="inlineStr"/>
    </row>
    <row r="942" ht="15" customHeight="1">
      <c r="A942" t="inlineStr">
        <is>
          <t>A 22865-2022</t>
        </is>
      </c>
      <c r="B942" s="1" t="n">
        <v>44715.48863425926</v>
      </c>
      <c r="C942" s="1" t="n">
        <v>45916</v>
      </c>
      <c r="D942" t="inlineStr">
        <is>
          <t>JÄMTLANDS LÄN</t>
        </is>
      </c>
      <c r="E942" t="inlineStr">
        <is>
          <t>KROKOM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11591-2022</t>
        </is>
      </c>
      <c r="B943" s="1" t="n">
        <v>44631</v>
      </c>
      <c r="C943" s="1" t="n">
        <v>45916</v>
      </c>
      <c r="D943" t="inlineStr">
        <is>
          <t>JÄMTLANDS LÄN</t>
        </is>
      </c>
      <c r="E943" t="inlineStr">
        <is>
          <t>KROKOM</t>
        </is>
      </c>
      <c r="G943" t="n">
        <v>2</v>
      </c>
      <c r="H943" t="n">
        <v>0</v>
      </c>
      <c r="I943" t="n">
        <v>0</v>
      </c>
      <c r="J943" t="n">
        <v>0</v>
      </c>
      <c r="K943" t="n">
        <v>0</v>
      </c>
      <c r="L943" t="n">
        <v>0</v>
      </c>
      <c r="M943" t="n">
        <v>0</v>
      </c>
      <c r="N943" t="n">
        <v>0</v>
      </c>
      <c r="O943" t="n">
        <v>0</v>
      </c>
      <c r="P943" t="n">
        <v>0</v>
      </c>
      <c r="Q943" t="n">
        <v>0</v>
      </c>
      <c r="R943" s="2" t="inlineStr"/>
    </row>
    <row r="944" ht="15" customHeight="1">
      <c r="A944" t="inlineStr">
        <is>
          <t>A 20174-2025</t>
        </is>
      </c>
      <c r="B944" s="1" t="n">
        <v>45772.58283564815</v>
      </c>
      <c r="C944" s="1" t="n">
        <v>45916</v>
      </c>
      <c r="D944" t="inlineStr">
        <is>
          <t>JÄMTLANDS LÄN</t>
        </is>
      </c>
      <c r="E944" t="inlineStr">
        <is>
          <t>KROKOM</t>
        </is>
      </c>
      <c r="G944" t="n">
        <v>47</v>
      </c>
      <c r="H944" t="n">
        <v>0</v>
      </c>
      <c r="I944" t="n">
        <v>0</v>
      </c>
      <c r="J944" t="n">
        <v>0</v>
      </c>
      <c r="K944" t="n">
        <v>0</v>
      </c>
      <c r="L944" t="n">
        <v>0</v>
      </c>
      <c r="M944" t="n">
        <v>0</v>
      </c>
      <c r="N944" t="n">
        <v>0</v>
      </c>
      <c r="O944" t="n">
        <v>0</v>
      </c>
      <c r="P944" t="n">
        <v>0</v>
      </c>
      <c r="Q944" t="n">
        <v>0</v>
      </c>
      <c r="R944" s="2" t="inlineStr"/>
    </row>
    <row r="945" ht="15" customHeight="1">
      <c r="A945" t="inlineStr">
        <is>
          <t>A 20181-2025</t>
        </is>
      </c>
      <c r="B945" s="1" t="n">
        <v>45772.59200231481</v>
      </c>
      <c r="C945" s="1" t="n">
        <v>45916</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20210-2025</t>
        </is>
      </c>
      <c r="B946" s="1" t="n">
        <v>45772.62052083333</v>
      </c>
      <c r="C946" s="1" t="n">
        <v>45916</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5920-2025</t>
        </is>
      </c>
      <c r="B947" s="1" t="n">
        <v>45695.42418981482</v>
      </c>
      <c r="C947" s="1" t="n">
        <v>45916</v>
      </c>
      <c r="D947" t="inlineStr">
        <is>
          <t>JÄMTLANDS LÄN</t>
        </is>
      </c>
      <c r="E947" t="inlineStr">
        <is>
          <t>KROKOM</t>
        </is>
      </c>
      <c r="F947" t="inlineStr">
        <is>
          <t>Övriga Aktiebolag</t>
        </is>
      </c>
      <c r="G947" t="n">
        <v>6.8</v>
      </c>
      <c r="H947" t="n">
        <v>0</v>
      </c>
      <c r="I947" t="n">
        <v>0</v>
      </c>
      <c r="J947" t="n">
        <v>0</v>
      </c>
      <c r="K947" t="n">
        <v>0</v>
      </c>
      <c r="L947" t="n">
        <v>0</v>
      </c>
      <c r="M947" t="n">
        <v>0</v>
      </c>
      <c r="N947" t="n">
        <v>0</v>
      </c>
      <c r="O947" t="n">
        <v>0</v>
      </c>
      <c r="P947" t="n">
        <v>0</v>
      </c>
      <c r="Q947" t="n">
        <v>0</v>
      </c>
      <c r="R947" s="2" t="inlineStr"/>
    </row>
    <row r="948" ht="15" customHeight="1">
      <c r="A948" t="inlineStr">
        <is>
          <t>A 20735-2023</t>
        </is>
      </c>
      <c r="B948" s="1" t="n">
        <v>45055</v>
      </c>
      <c r="C948" s="1" t="n">
        <v>45916</v>
      </c>
      <c r="D948" t="inlineStr">
        <is>
          <t>JÄMTLANDS LÄN</t>
        </is>
      </c>
      <c r="E948" t="inlineStr">
        <is>
          <t>KROKOM</t>
        </is>
      </c>
      <c r="G948" t="n">
        <v>1.3</v>
      </c>
      <c r="H948" t="n">
        <v>0</v>
      </c>
      <c r="I948" t="n">
        <v>0</v>
      </c>
      <c r="J948" t="n">
        <v>0</v>
      </c>
      <c r="K948" t="n">
        <v>0</v>
      </c>
      <c r="L948" t="n">
        <v>0</v>
      </c>
      <c r="M948" t="n">
        <v>0</v>
      </c>
      <c r="N948" t="n">
        <v>0</v>
      </c>
      <c r="O948" t="n">
        <v>0</v>
      </c>
      <c r="P948" t="n">
        <v>0</v>
      </c>
      <c r="Q948" t="n">
        <v>0</v>
      </c>
      <c r="R948" s="2" t="inlineStr"/>
    </row>
    <row r="949" ht="15" customHeight="1">
      <c r="A949" t="inlineStr">
        <is>
          <t>A 19698-2024</t>
        </is>
      </c>
      <c r="B949" s="1" t="n">
        <v>45432.54027777778</v>
      </c>
      <c r="C949" s="1" t="n">
        <v>45916</v>
      </c>
      <c r="D949" t="inlineStr">
        <is>
          <t>JÄMTLANDS LÄN</t>
        </is>
      </c>
      <c r="E949" t="inlineStr">
        <is>
          <t>KROKOM</t>
        </is>
      </c>
      <c r="G949" t="n">
        <v>15.9</v>
      </c>
      <c r="H949" t="n">
        <v>0</v>
      </c>
      <c r="I949" t="n">
        <v>0</v>
      </c>
      <c r="J949" t="n">
        <v>0</v>
      </c>
      <c r="K949" t="n">
        <v>0</v>
      </c>
      <c r="L949" t="n">
        <v>0</v>
      </c>
      <c r="M949" t="n">
        <v>0</v>
      </c>
      <c r="N949" t="n">
        <v>0</v>
      </c>
      <c r="O949" t="n">
        <v>0</v>
      </c>
      <c r="P949" t="n">
        <v>0</v>
      </c>
      <c r="Q949" t="n">
        <v>0</v>
      </c>
      <c r="R949" s="2" t="inlineStr"/>
    </row>
    <row r="950" ht="15" customHeight="1">
      <c r="A950" t="inlineStr">
        <is>
          <t>A 10588-2025</t>
        </is>
      </c>
      <c r="B950" s="1" t="n">
        <v>45721.55653935186</v>
      </c>
      <c r="C950" s="1" t="n">
        <v>45916</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17840-2025</t>
        </is>
      </c>
      <c r="B951" s="1" t="n">
        <v>45758.58943287037</v>
      </c>
      <c r="C951" s="1" t="n">
        <v>45916</v>
      </c>
      <c r="D951" t="inlineStr">
        <is>
          <t>JÄMTLANDS LÄN</t>
        </is>
      </c>
      <c r="E951" t="inlineStr">
        <is>
          <t>KROKOM</t>
        </is>
      </c>
      <c r="F951" t="inlineStr">
        <is>
          <t>Övriga Aktiebolag</t>
        </is>
      </c>
      <c r="G951" t="n">
        <v>6.7</v>
      </c>
      <c r="H951" t="n">
        <v>0</v>
      </c>
      <c r="I951" t="n">
        <v>0</v>
      </c>
      <c r="J951" t="n">
        <v>0</v>
      </c>
      <c r="K951" t="n">
        <v>0</v>
      </c>
      <c r="L951" t="n">
        <v>0</v>
      </c>
      <c r="M951" t="n">
        <v>0</v>
      </c>
      <c r="N951" t="n">
        <v>0</v>
      </c>
      <c r="O951" t="n">
        <v>0</v>
      </c>
      <c r="P951" t="n">
        <v>0</v>
      </c>
      <c r="Q951" t="n">
        <v>0</v>
      </c>
      <c r="R951" s="2" t="inlineStr"/>
    </row>
    <row r="952" ht="15" customHeight="1">
      <c r="A952" t="inlineStr">
        <is>
          <t>A 18826-2023</t>
        </is>
      </c>
      <c r="B952" s="1" t="n">
        <v>45042</v>
      </c>
      <c r="C952" s="1" t="n">
        <v>45916</v>
      </c>
      <c r="D952" t="inlineStr">
        <is>
          <t>JÄMTLANDS LÄN</t>
        </is>
      </c>
      <c r="E952" t="inlineStr">
        <is>
          <t>KROKOM</t>
        </is>
      </c>
      <c r="G952" t="n">
        <v>17.1</v>
      </c>
      <c r="H952" t="n">
        <v>0</v>
      </c>
      <c r="I952" t="n">
        <v>0</v>
      </c>
      <c r="J952" t="n">
        <v>0</v>
      </c>
      <c r="K952" t="n">
        <v>0</v>
      </c>
      <c r="L952" t="n">
        <v>0</v>
      </c>
      <c r="M952" t="n">
        <v>0</v>
      </c>
      <c r="N952" t="n">
        <v>0</v>
      </c>
      <c r="O952" t="n">
        <v>0</v>
      </c>
      <c r="P952" t="n">
        <v>0</v>
      </c>
      <c r="Q952" t="n">
        <v>0</v>
      </c>
      <c r="R952" s="2" t="inlineStr"/>
    </row>
    <row r="953" ht="15" customHeight="1">
      <c r="A953" t="inlineStr">
        <is>
          <t>A 54817-2024</t>
        </is>
      </c>
      <c r="B953" s="1" t="n">
        <v>45618.53126157408</v>
      </c>
      <c r="C953" s="1" t="n">
        <v>45916</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54823-2024</t>
        </is>
      </c>
      <c r="B954" s="1" t="n">
        <v>45618.53633101852</v>
      </c>
      <c r="C954" s="1" t="n">
        <v>45916</v>
      </c>
      <c r="D954" t="inlineStr">
        <is>
          <t>JÄMTLANDS LÄN</t>
        </is>
      </c>
      <c r="E954" t="inlineStr">
        <is>
          <t>KROKOM</t>
        </is>
      </c>
      <c r="G954" t="n">
        <v>4</v>
      </c>
      <c r="H954" t="n">
        <v>0</v>
      </c>
      <c r="I954" t="n">
        <v>0</v>
      </c>
      <c r="J954" t="n">
        <v>0</v>
      </c>
      <c r="K954" t="n">
        <v>0</v>
      </c>
      <c r="L954" t="n">
        <v>0</v>
      </c>
      <c r="M954" t="n">
        <v>0</v>
      </c>
      <c r="N954" t="n">
        <v>0</v>
      </c>
      <c r="O954" t="n">
        <v>0</v>
      </c>
      <c r="P954" t="n">
        <v>0</v>
      </c>
      <c r="Q954" t="n">
        <v>0</v>
      </c>
      <c r="R954" s="2" t="inlineStr"/>
    </row>
    <row r="955" ht="15" customHeight="1">
      <c r="A955" t="inlineStr">
        <is>
          <t>A 15634-2025</t>
        </is>
      </c>
      <c r="B955" s="1" t="n">
        <v>45748.37173611111</v>
      </c>
      <c r="C955" s="1" t="n">
        <v>45916</v>
      </c>
      <c r="D955" t="inlineStr">
        <is>
          <t>JÄMTLANDS LÄN</t>
        </is>
      </c>
      <c r="E955" t="inlineStr">
        <is>
          <t>KROKOM</t>
        </is>
      </c>
      <c r="G955" t="n">
        <v>4.1</v>
      </c>
      <c r="H955" t="n">
        <v>0</v>
      </c>
      <c r="I955" t="n">
        <v>0</v>
      </c>
      <c r="J955" t="n">
        <v>0</v>
      </c>
      <c r="K955" t="n">
        <v>0</v>
      </c>
      <c r="L955" t="n">
        <v>0</v>
      </c>
      <c r="M955" t="n">
        <v>0</v>
      </c>
      <c r="N955" t="n">
        <v>0</v>
      </c>
      <c r="O955" t="n">
        <v>0</v>
      </c>
      <c r="P955" t="n">
        <v>0</v>
      </c>
      <c r="Q955" t="n">
        <v>0</v>
      </c>
      <c r="R955" s="2" t="inlineStr"/>
    </row>
    <row r="956" ht="15" customHeight="1">
      <c r="A956" t="inlineStr">
        <is>
          <t>A 59668-2022</t>
        </is>
      </c>
      <c r="B956" s="1" t="n">
        <v>44908</v>
      </c>
      <c r="C956" s="1" t="n">
        <v>45916</v>
      </c>
      <c r="D956" t="inlineStr">
        <is>
          <t>JÄMTLANDS LÄN</t>
        </is>
      </c>
      <c r="E956" t="inlineStr">
        <is>
          <t>KROKOM</t>
        </is>
      </c>
      <c r="F956" t="inlineStr">
        <is>
          <t>Övriga Aktiebolag</t>
        </is>
      </c>
      <c r="G956" t="n">
        <v>7.8</v>
      </c>
      <c r="H956" t="n">
        <v>0</v>
      </c>
      <c r="I956" t="n">
        <v>0</v>
      </c>
      <c r="J956" t="n">
        <v>0</v>
      </c>
      <c r="K956" t="n">
        <v>0</v>
      </c>
      <c r="L956" t="n">
        <v>0</v>
      </c>
      <c r="M956" t="n">
        <v>0</v>
      </c>
      <c r="N956" t="n">
        <v>0</v>
      </c>
      <c r="O956" t="n">
        <v>0</v>
      </c>
      <c r="P956" t="n">
        <v>0</v>
      </c>
      <c r="Q956" t="n">
        <v>0</v>
      </c>
      <c r="R956" s="2" t="inlineStr"/>
    </row>
    <row r="957" ht="15" customHeight="1">
      <c r="A957" t="inlineStr">
        <is>
          <t>A 692-2025</t>
        </is>
      </c>
      <c r="B957" s="1" t="n">
        <v>45662</v>
      </c>
      <c r="C957" s="1" t="n">
        <v>45916</v>
      </c>
      <c r="D957" t="inlineStr">
        <is>
          <t>JÄMTLANDS LÄN</t>
        </is>
      </c>
      <c r="E957" t="inlineStr">
        <is>
          <t>KROKOM</t>
        </is>
      </c>
      <c r="G957" t="n">
        <v>20</v>
      </c>
      <c r="H957" t="n">
        <v>0</v>
      </c>
      <c r="I957" t="n">
        <v>0</v>
      </c>
      <c r="J957" t="n">
        <v>0</v>
      </c>
      <c r="K957" t="n">
        <v>0</v>
      </c>
      <c r="L957" t="n">
        <v>0</v>
      </c>
      <c r="M957" t="n">
        <v>0</v>
      </c>
      <c r="N957" t="n">
        <v>0</v>
      </c>
      <c r="O957" t="n">
        <v>0</v>
      </c>
      <c r="P957" t="n">
        <v>0</v>
      </c>
      <c r="Q957" t="n">
        <v>0</v>
      </c>
      <c r="R957" s="2" t="inlineStr"/>
    </row>
    <row r="958" ht="15" customHeight="1">
      <c r="A958" t="inlineStr">
        <is>
          <t>A 17090-2024</t>
        </is>
      </c>
      <c r="B958" s="1" t="n">
        <v>45412.51260416667</v>
      </c>
      <c r="C958" s="1" t="n">
        <v>45916</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36079-2021</t>
        </is>
      </c>
      <c r="B959" s="1" t="n">
        <v>44389</v>
      </c>
      <c r="C959" s="1" t="n">
        <v>45916</v>
      </c>
      <c r="D959" t="inlineStr">
        <is>
          <t>JÄMTLANDS LÄN</t>
        </is>
      </c>
      <c r="E959" t="inlineStr">
        <is>
          <t>KROKOM</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52869-2023</t>
        </is>
      </c>
      <c r="B960" s="1" t="n">
        <v>45226</v>
      </c>
      <c r="C960" s="1" t="n">
        <v>45916</v>
      </c>
      <c r="D960" t="inlineStr">
        <is>
          <t>JÄMTLANDS LÄN</t>
        </is>
      </c>
      <c r="E960" t="inlineStr">
        <is>
          <t>KROKOM</t>
        </is>
      </c>
      <c r="G960" t="n">
        <v>0</v>
      </c>
      <c r="H960" t="n">
        <v>0</v>
      </c>
      <c r="I960" t="n">
        <v>0</v>
      </c>
      <c r="J960" t="n">
        <v>0</v>
      </c>
      <c r="K960" t="n">
        <v>0</v>
      </c>
      <c r="L960" t="n">
        <v>0</v>
      </c>
      <c r="M960" t="n">
        <v>0</v>
      </c>
      <c r="N960" t="n">
        <v>0</v>
      </c>
      <c r="O960" t="n">
        <v>0</v>
      </c>
      <c r="P960" t="n">
        <v>0</v>
      </c>
      <c r="Q960" t="n">
        <v>0</v>
      </c>
      <c r="R960" s="2" t="inlineStr"/>
    </row>
    <row r="961" ht="15" customHeight="1">
      <c r="A961" t="inlineStr">
        <is>
          <t>A 8880-2025</t>
        </is>
      </c>
      <c r="B961" s="1" t="n">
        <v>45713.38028935185</v>
      </c>
      <c r="C961" s="1" t="n">
        <v>45916</v>
      </c>
      <c r="D961" t="inlineStr">
        <is>
          <t>JÄMTLANDS LÄN</t>
        </is>
      </c>
      <c r="E961" t="inlineStr">
        <is>
          <t>KROKOM</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14234-2025</t>
        </is>
      </c>
      <c r="B962" s="1" t="n">
        <v>45740.60405092593</v>
      </c>
      <c r="C962" s="1" t="n">
        <v>45916</v>
      </c>
      <c r="D962" t="inlineStr">
        <is>
          <t>JÄMTLANDS LÄN</t>
        </is>
      </c>
      <c r="E962" t="inlineStr">
        <is>
          <t>KROKOM</t>
        </is>
      </c>
      <c r="F962" t="inlineStr">
        <is>
          <t>Övriga statliga verk och myndigheter</t>
        </is>
      </c>
      <c r="G962" t="n">
        <v>1.5</v>
      </c>
      <c r="H962" t="n">
        <v>0</v>
      </c>
      <c r="I962" t="n">
        <v>0</v>
      </c>
      <c r="J962" t="n">
        <v>0</v>
      </c>
      <c r="K962" t="n">
        <v>0</v>
      </c>
      <c r="L962" t="n">
        <v>0</v>
      </c>
      <c r="M962" t="n">
        <v>0</v>
      </c>
      <c r="N962" t="n">
        <v>0</v>
      </c>
      <c r="O962" t="n">
        <v>0</v>
      </c>
      <c r="P962" t="n">
        <v>0</v>
      </c>
      <c r="Q962" t="n">
        <v>0</v>
      </c>
      <c r="R962" s="2" t="inlineStr"/>
    </row>
    <row r="963" ht="15" customHeight="1">
      <c r="A963" t="inlineStr">
        <is>
          <t>A 18476-2022</t>
        </is>
      </c>
      <c r="B963" s="1" t="n">
        <v>44686</v>
      </c>
      <c r="C963" s="1" t="n">
        <v>45916</v>
      </c>
      <c r="D963" t="inlineStr">
        <is>
          <t>JÄMTLANDS LÄN</t>
        </is>
      </c>
      <c r="E963" t="inlineStr">
        <is>
          <t>KROKOM</t>
        </is>
      </c>
      <c r="G963" t="n">
        <v>11.7</v>
      </c>
      <c r="H963" t="n">
        <v>0</v>
      </c>
      <c r="I963" t="n">
        <v>0</v>
      </c>
      <c r="J963" t="n">
        <v>0</v>
      </c>
      <c r="K963" t="n">
        <v>0</v>
      </c>
      <c r="L963" t="n">
        <v>0</v>
      </c>
      <c r="M963" t="n">
        <v>0</v>
      </c>
      <c r="N963" t="n">
        <v>0</v>
      </c>
      <c r="O963" t="n">
        <v>0</v>
      </c>
      <c r="P963" t="n">
        <v>0</v>
      </c>
      <c r="Q963" t="n">
        <v>0</v>
      </c>
      <c r="R963" s="2" t="inlineStr"/>
    </row>
    <row r="964" ht="15" customHeight="1">
      <c r="A964" t="inlineStr">
        <is>
          <t>A 51060-2024</t>
        </is>
      </c>
      <c r="B964" s="1" t="n">
        <v>45603.44815972223</v>
      </c>
      <c r="C964" s="1" t="n">
        <v>45916</v>
      </c>
      <c r="D964" t="inlineStr">
        <is>
          <t>JÄMTLANDS LÄN</t>
        </is>
      </c>
      <c r="E964" t="inlineStr">
        <is>
          <t>KROKOM</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32765-2023</t>
        </is>
      </c>
      <c r="B965" s="1" t="n">
        <v>45123.61459490741</v>
      </c>
      <c r="C965" s="1" t="n">
        <v>45916</v>
      </c>
      <c r="D965" t="inlineStr">
        <is>
          <t>JÄMTLANDS LÄN</t>
        </is>
      </c>
      <c r="E965" t="inlineStr">
        <is>
          <t>KROKOM</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50821-2024</t>
        </is>
      </c>
      <c r="B966" s="1" t="n">
        <v>45602</v>
      </c>
      <c r="C966" s="1" t="n">
        <v>45916</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4383-2025</t>
        </is>
      </c>
      <c r="B967" s="1" t="n">
        <v>45686.39777777778</v>
      </c>
      <c r="C967" s="1" t="n">
        <v>45916</v>
      </c>
      <c r="D967" t="inlineStr">
        <is>
          <t>JÄMTLANDS LÄN</t>
        </is>
      </c>
      <c r="E967" t="inlineStr">
        <is>
          <t>KROKOM</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11197-2024</t>
        </is>
      </c>
      <c r="B968" s="1" t="n">
        <v>45371</v>
      </c>
      <c r="C968" s="1" t="n">
        <v>45916</v>
      </c>
      <c r="D968" t="inlineStr">
        <is>
          <t>JÄMTLANDS LÄN</t>
        </is>
      </c>
      <c r="E968" t="inlineStr">
        <is>
          <t>KROKOM</t>
        </is>
      </c>
      <c r="G968" t="n">
        <v>15.3</v>
      </c>
      <c r="H968" t="n">
        <v>0</v>
      </c>
      <c r="I968" t="n">
        <v>0</v>
      </c>
      <c r="J968" t="n">
        <v>0</v>
      </c>
      <c r="K968" t="n">
        <v>0</v>
      </c>
      <c r="L968" t="n">
        <v>0</v>
      </c>
      <c r="M968" t="n">
        <v>0</v>
      </c>
      <c r="N968" t="n">
        <v>0</v>
      </c>
      <c r="O968" t="n">
        <v>0</v>
      </c>
      <c r="P968" t="n">
        <v>0</v>
      </c>
      <c r="Q968" t="n">
        <v>0</v>
      </c>
      <c r="R968" s="2" t="inlineStr"/>
    </row>
    <row r="969" ht="15" customHeight="1">
      <c r="A969" t="inlineStr">
        <is>
          <t>A 61615-2023</t>
        </is>
      </c>
      <c r="B969" s="1" t="n">
        <v>45265.52887731481</v>
      </c>
      <c r="C969" s="1" t="n">
        <v>45916</v>
      </c>
      <c r="D969" t="inlineStr">
        <is>
          <t>JÄMTLANDS LÄN</t>
        </is>
      </c>
      <c r="E969" t="inlineStr">
        <is>
          <t>KROKOM</t>
        </is>
      </c>
      <c r="G969" t="n">
        <v>3.9</v>
      </c>
      <c r="H969" t="n">
        <v>0</v>
      </c>
      <c r="I969" t="n">
        <v>0</v>
      </c>
      <c r="J969" t="n">
        <v>0</v>
      </c>
      <c r="K969" t="n">
        <v>0</v>
      </c>
      <c r="L969" t="n">
        <v>0</v>
      </c>
      <c r="M969" t="n">
        <v>0</v>
      </c>
      <c r="N969" t="n">
        <v>0</v>
      </c>
      <c r="O969" t="n">
        <v>0</v>
      </c>
      <c r="P969" t="n">
        <v>0</v>
      </c>
      <c r="Q969" t="n">
        <v>0</v>
      </c>
      <c r="R969" s="2" t="inlineStr"/>
    </row>
    <row r="970" ht="15" customHeight="1">
      <c r="A970" t="inlineStr">
        <is>
          <t>A 9022-2025</t>
        </is>
      </c>
      <c r="B970" s="1" t="n">
        <v>45713.59623842593</v>
      </c>
      <c r="C970" s="1" t="n">
        <v>45916</v>
      </c>
      <c r="D970" t="inlineStr">
        <is>
          <t>JÄMTLANDS LÄN</t>
        </is>
      </c>
      <c r="E970" t="inlineStr">
        <is>
          <t>KROKOM</t>
        </is>
      </c>
      <c r="F970" t="inlineStr">
        <is>
          <t>Övriga Aktiebolag</t>
        </is>
      </c>
      <c r="G970" t="n">
        <v>29.9</v>
      </c>
      <c r="H970" t="n">
        <v>0</v>
      </c>
      <c r="I970" t="n">
        <v>0</v>
      </c>
      <c r="J970" t="n">
        <v>0</v>
      </c>
      <c r="K970" t="n">
        <v>0</v>
      </c>
      <c r="L970" t="n">
        <v>0</v>
      </c>
      <c r="M970" t="n">
        <v>0</v>
      </c>
      <c r="N970" t="n">
        <v>0</v>
      </c>
      <c r="O970" t="n">
        <v>0</v>
      </c>
      <c r="P970" t="n">
        <v>0</v>
      </c>
      <c r="Q970" t="n">
        <v>0</v>
      </c>
      <c r="R970" s="2" t="inlineStr"/>
    </row>
    <row r="971" ht="15" customHeight="1">
      <c r="A971" t="inlineStr">
        <is>
          <t>A 46753-2022</t>
        </is>
      </c>
      <c r="B971" s="1" t="n">
        <v>44847</v>
      </c>
      <c r="C971" s="1" t="n">
        <v>45916</v>
      </c>
      <c r="D971" t="inlineStr">
        <is>
          <t>JÄMTLANDS LÄN</t>
        </is>
      </c>
      <c r="E971" t="inlineStr">
        <is>
          <t>KROKOM</t>
        </is>
      </c>
      <c r="G971" t="n">
        <v>0.5</v>
      </c>
      <c r="H971" t="n">
        <v>0</v>
      </c>
      <c r="I971" t="n">
        <v>0</v>
      </c>
      <c r="J971" t="n">
        <v>0</v>
      </c>
      <c r="K971" t="n">
        <v>0</v>
      </c>
      <c r="L971" t="n">
        <v>0</v>
      </c>
      <c r="M971" t="n">
        <v>0</v>
      </c>
      <c r="N971" t="n">
        <v>0</v>
      </c>
      <c r="O971" t="n">
        <v>0</v>
      </c>
      <c r="P971" t="n">
        <v>0</v>
      </c>
      <c r="Q971" t="n">
        <v>0</v>
      </c>
      <c r="R971" s="2" t="inlineStr"/>
    </row>
    <row r="972" ht="15" customHeight="1">
      <c r="A972" t="inlineStr">
        <is>
          <t>A 61776-2024</t>
        </is>
      </c>
      <c r="B972" s="1" t="n">
        <v>45649.4634375</v>
      </c>
      <c r="C972" s="1" t="n">
        <v>45916</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25421-2022</t>
        </is>
      </c>
      <c r="B973" s="1" t="n">
        <v>44732</v>
      </c>
      <c r="C973" s="1" t="n">
        <v>45916</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39126-2023</t>
        </is>
      </c>
      <c r="B974" s="1" t="n">
        <v>45165.69965277778</v>
      </c>
      <c r="C974" s="1" t="n">
        <v>45916</v>
      </c>
      <c r="D974" t="inlineStr">
        <is>
          <t>JÄMTLANDS LÄN</t>
        </is>
      </c>
      <c r="E974" t="inlineStr">
        <is>
          <t>KROKOM</t>
        </is>
      </c>
      <c r="G974" t="n">
        <v>2.6</v>
      </c>
      <c r="H974" t="n">
        <v>0</v>
      </c>
      <c r="I974" t="n">
        <v>0</v>
      </c>
      <c r="J974" t="n">
        <v>0</v>
      </c>
      <c r="K974" t="n">
        <v>0</v>
      </c>
      <c r="L974" t="n">
        <v>0</v>
      </c>
      <c r="M974" t="n">
        <v>0</v>
      </c>
      <c r="N974" t="n">
        <v>0</v>
      </c>
      <c r="O974" t="n">
        <v>0</v>
      </c>
      <c r="P974" t="n">
        <v>0</v>
      </c>
      <c r="Q974" t="n">
        <v>0</v>
      </c>
      <c r="R974" s="2" t="inlineStr"/>
    </row>
    <row r="975" ht="15" customHeight="1">
      <c r="A975" t="inlineStr">
        <is>
          <t>A 44453-2023</t>
        </is>
      </c>
      <c r="B975" s="1" t="n">
        <v>45189</v>
      </c>
      <c r="C975" s="1" t="n">
        <v>45916</v>
      </c>
      <c r="D975" t="inlineStr">
        <is>
          <t>JÄMTLANDS LÄN</t>
        </is>
      </c>
      <c r="E975" t="inlineStr">
        <is>
          <t>KROKOM</t>
        </is>
      </c>
      <c r="G975" t="n">
        <v>1.1</v>
      </c>
      <c r="H975" t="n">
        <v>0</v>
      </c>
      <c r="I975" t="n">
        <v>0</v>
      </c>
      <c r="J975" t="n">
        <v>0</v>
      </c>
      <c r="K975" t="n">
        <v>0</v>
      </c>
      <c r="L975" t="n">
        <v>0</v>
      </c>
      <c r="M975" t="n">
        <v>0</v>
      </c>
      <c r="N975" t="n">
        <v>0</v>
      </c>
      <c r="O975" t="n">
        <v>0</v>
      </c>
      <c r="P975" t="n">
        <v>0</v>
      </c>
      <c r="Q975" t="n">
        <v>0</v>
      </c>
      <c r="R975" s="2" t="inlineStr"/>
    </row>
    <row r="976" ht="15" customHeight="1">
      <c r="A976" t="inlineStr">
        <is>
          <t>A 9025-2025</t>
        </is>
      </c>
      <c r="B976" s="1" t="n">
        <v>45713.59952546296</v>
      </c>
      <c r="C976" s="1" t="n">
        <v>45916</v>
      </c>
      <c r="D976" t="inlineStr">
        <is>
          <t>JÄMTLANDS LÄN</t>
        </is>
      </c>
      <c r="E976" t="inlineStr">
        <is>
          <t>KROKOM</t>
        </is>
      </c>
      <c r="F976" t="inlineStr">
        <is>
          <t>Övriga Aktiebolag</t>
        </is>
      </c>
      <c r="G976" t="n">
        <v>28.4</v>
      </c>
      <c r="H976" t="n">
        <v>0</v>
      </c>
      <c r="I976" t="n">
        <v>0</v>
      </c>
      <c r="J976" t="n">
        <v>0</v>
      </c>
      <c r="K976" t="n">
        <v>0</v>
      </c>
      <c r="L976" t="n">
        <v>0</v>
      </c>
      <c r="M976" t="n">
        <v>0</v>
      </c>
      <c r="N976" t="n">
        <v>0</v>
      </c>
      <c r="O976" t="n">
        <v>0</v>
      </c>
      <c r="P976" t="n">
        <v>0</v>
      </c>
      <c r="Q976" t="n">
        <v>0</v>
      </c>
      <c r="R976" s="2" t="inlineStr"/>
    </row>
    <row r="977" ht="15" customHeight="1">
      <c r="A977" t="inlineStr">
        <is>
          <t>A 5558-2025</t>
        </is>
      </c>
      <c r="B977" s="1" t="n">
        <v>45693.48239583334</v>
      </c>
      <c r="C977" s="1" t="n">
        <v>45916</v>
      </c>
      <c r="D977" t="inlineStr">
        <is>
          <t>JÄMTLANDS LÄN</t>
        </is>
      </c>
      <c r="E977" t="inlineStr">
        <is>
          <t>KROKOM</t>
        </is>
      </c>
      <c r="G977" t="n">
        <v>31.1</v>
      </c>
      <c r="H977" t="n">
        <v>0</v>
      </c>
      <c r="I977" t="n">
        <v>0</v>
      </c>
      <c r="J977" t="n">
        <v>0</v>
      </c>
      <c r="K977" t="n">
        <v>0</v>
      </c>
      <c r="L977" t="n">
        <v>0</v>
      </c>
      <c r="M977" t="n">
        <v>0</v>
      </c>
      <c r="N977" t="n">
        <v>0</v>
      </c>
      <c r="O977" t="n">
        <v>0</v>
      </c>
      <c r="P977" t="n">
        <v>0</v>
      </c>
      <c r="Q977" t="n">
        <v>0</v>
      </c>
      <c r="R977" s="2" t="inlineStr"/>
    </row>
    <row r="978" ht="15" customHeight="1">
      <c r="A978" t="inlineStr">
        <is>
          <t>A 9027-2025</t>
        </is>
      </c>
      <c r="B978" s="1" t="n">
        <v>45713.60719907407</v>
      </c>
      <c r="C978" s="1" t="n">
        <v>45916</v>
      </c>
      <c r="D978" t="inlineStr">
        <is>
          <t>JÄMTLANDS LÄN</t>
        </is>
      </c>
      <c r="E978" t="inlineStr">
        <is>
          <t>KROKOM</t>
        </is>
      </c>
      <c r="F978" t="inlineStr">
        <is>
          <t>Övriga Aktiebolag</t>
        </is>
      </c>
      <c r="G978" t="n">
        <v>5.4</v>
      </c>
      <c r="H978" t="n">
        <v>0</v>
      </c>
      <c r="I978" t="n">
        <v>0</v>
      </c>
      <c r="J978" t="n">
        <v>0</v>
      </c>
      <c r="K978" t="n">
        <v>0</v>
      </c>
      <c r="L978" t="n">
        <v>0</v>
      </c>
      <c r="M978" t="n">
        <v>0</v>
      </c>
      <c r="N978" t="n">
        <v>0</v>
      </c>
      <c r="O978" t="n">
        <v>0</v>
      </c>
      <c r="P978" t="n">
        <v>0</v>
      </c>
      <c r="Q978" t="n">
        <v>0</v>
      </c>
      <c r="R978" s="2" t="inlineStr"/>
    </row>
    <row r="979" ht="15" customHeight="1">
      <c r="A979" t="inlineStr">
        <is>
          <t>A 13249-2024</t>
        </is>
      </c>
      <c r="B979" s="1" t="n">
        <v>45386</v>
      </c>
      <c r="C979" s="1" t="n">
        <v>45916</v>
      </c>
      <c r="D979" t="inlineStr">
        <is>
          <t>JÄMTLANDS LÄN</t>
        </is>
      </c>
      <c r="E979" t="inlineStr">
        <is>
          <t>KROKOM</t>
        </is>
      </c>
      <c r="G979" t="n">
        <v>2.4</v>
      </c>
      <c r="H979" t="n">
        <v>0</v>
      </c>
      <c r="I979" t="n">
        <v>0</v>
      </c>
      <c r="J979" t="n">
        <v>0</v>
      </c>
      <c r="K979" t="n">
        <v>0</v>
      </c>
      <c r="L979" t="n">
        <v>0</v>
      </c>
      <c r="M979" t="n">
        <v>0</v>
      </c>
      <c r="N979" t="n">
        <v>0</v>
      </c>
      <c r="O979" t="n">
        <v>0</v>
      </c>
      <c r="P979" t="n">
        <v>0</v>
      </c>
      <c r="Q979" t="n">
        <v>0</v>
      </c>
      <c r="R979" s="2" t="inlineStr"/>
    </row>
    <row r="980" ht="15" customHeight="1">
      <c r="A980" t="inlineStr">
        <is>
          <t>A 57575-2024</t>
        </is>
      </c>
      <c r="B980" s="1" t="n">
        <v>45630.47099537037</v>
      </c>
      <c r="C980" s="1" t="n">
        <v>45916</v>
      </c>
      <c r="D980" t="inlineStr">
        <is>
          <t>JÄMTLANDS LÄN</t>
        </is>
      </c>
      <c r="E980" t="inlineStr">
        <is>
          <t>KROKOM</t>
        </is>
      </c>
      <c r="G980" t="n">
        <v>1.6</v>
      </c>
      <c r="H980" t="n">
        <v>0</v>
      </c>
      <c r="I980" t="n">
        <v>0</v>
      </c>
      <c r="J980" t="n">
        <v>0</v>
      </c>
      <c r="K980" t="n">
        <v>0</v>
      </c>
      <c r="L980" t="n">
        <v>0</v>
      </c>
      <c r="M980" t="n">
        <v>0</v>
      </c>
      <c r="N980" t="n">
        <v>0</v>
      </c>
      <c r="O980" t="n">
        <v>0</v>
      </c>
      <c r="P980" t="n">
        <v>0</v>
      </c>
      <c r="Q980" t="n">
        <v>0</v>
      </c>
      <c r="R980" s="2" t="inlineStr"/>
    </row>
    <row r="981" ht="15" customHeight="1">
      <c r="A981" t="inlineStr">
        <is>
          <t>A 17887-2025</t>
        </is>
      </c>
      <c r="B981" s="1" t="n">
        <v>45758.66180555556</v>
      </c>
      <c r="C981" s="1" t="n">
        <v>45916</v>
      </c>
      <c r="D981" t="inlineStr">
        <is>
          <t>JÄMTLANDS LÄN</t>
        </is>
      </c>
      <c r="E981" t="inlineStr">
        <is>
          <t>KROKOM</t>
        </is>
      </c>
      <c r="G981" t="n">
        <v>11.5</v>
      </c>
      <c r="H981" t="n">
        <v>0</v>
      </c>
      <c r="I981" t="n">
        <v>0</v>
      </c>
      <c r="J981" t="n">
        <v>0</v>
      </c>
      <c r="K981" t="n">
        <v>0</v>
      </c>
      <c r="L981" t="n">
        <v>0</v>
      </c>
      <c r="M981" t="n">
        <v>0</v>
      </c>
      <c r="N981" t="n">
        <v>0</v>
      </c>
      <c r="O981" t="n">
        <v>0</v>
      </c>
      <c r="P981" t="n">
        <v>0</v>
      </c>
      <c r="Q981" t="n">
        <v>0</v>
      </c>
      <c r="R981" s="2" t="inlineStr"/>
    </row>
    <row r="982" ht="15" customHeight="1">
      <c r="A982" t="inlineStr">
        <is>
          <t>A 74011-2021</t>
        </is>
      </c>
      <c r="B982" s="1" t="n">
        <v>44557</v>
      </c>
      <c r="C982" s="1" t="n">
        <v>45916</v>
      </c>
      <c r="D982" t="inlineStr">
        <is>
          <t>JÄMTLANDS LÄN</t>
        </is>
      </c>
      <c r="E982" t="inlineStr">
        <is>
          <t>KROKOM</t>
        </is>
      </c>
      <c r="G982" t="n">
        <v>33.2</v>
      </c>
      <c r="H982" t="n">
        <v>0</v>
      </c>
      <c r="I982" t="n">
        <v>0</v>
      </c>
      <c r="J982" t="n">
        <v>0</v>
      </c>
      <c r="K982" t="n">
        <v>0</v>
      </c>
      <c r="L982" t="n">
        <v>0</v>
      </c>
      <c r="M982" t="n">
        <v>0</v>
      </c>
      <c r="N982" t="n">
        <v>0</v>
      </c>
      <c r="O982" t="n">
        <v>0</v>
      </c>
      <c r="P982" t="n">
        <v>0</v>
      </c>
      <c r="Q982" t="n">
        <v>0</v>
      </c>
      <c r="R982" s="2" t="inlineStr"/>
    </row>
    <row r="983" ht="15" customHeight="1">
      <c r="A983" t="inlineStr">
        <is>
          <t>A 59620-2024</t>
        </is>
      </c>
      <c r="B983" s="1" t="n">
        <v>45638.81385416666</v>
      </c>
      <c r="C983" s="1" t="n">
        <v>45916</v>
      </c>
      <c r="D983" t="inlineStr">
        <is>
          <t>JÄMTLANDS LÄN</t>
        </is>
      </c>
      <c r="E983" t="inlineStr">
        <is>
          <t>KROKOM</t>
        </is>
      </c>
      <c r="G983" t="n">
        <v>0.4</v>
      </c>
      <c r="H983" t="n">
        <v>0</v>
      </c>
      <c r="I983" t="n">
        <v>0</v>
      </c>
      <c r="J983" t="n">
        <v>0</v>
      </c>
      <c r="K983" t="n">
        <v>0</v>
      </c>
      <c r="L983" t="n">
        <v>0</v>
      </c>
      <c r="M983" t="n">
        <v>0</v>
      </c>
      <c r="N983" t="n">
        <v>0</v>
      </c>
      <c r="O983" t="n">
        <v>0</v>
      </c>
      <c r="P983" t="n">
        <v>0</v>
      </c>
      <c r="Q983" t="n">
        <v>0</v>
      </c>
      <c r="R983" s="2" t="inlineStr"/>
    </row>
    <row r="984" ht="15" customHeight="1">
      <c r="A984" t="inlineStr">
        <is>
          <t>A 24402-2022</t>
        </is>
      </c>
      <c r="B984" s="1" t="n">
        <v>44726</v>
      </c>
      <c r="C984" s="1" t="n">
        <v>45916</v>
      </c>
      <c r="D984" t="inlineStr">
        <is>
          <t>JÄMTLANDS LÄN</t>
        </is>
      </c>
      <c r="E984" t="inlineStr">
        <is>
          <t>KROKOM</t>
        </is>
      </c>
      <c r="G984" t="n">
        <v>13.3</v>
      </c>
      <c r="H984" t="n">
        <v>0</v>
      </c>
      <c r="I984" t="n">
        <v>0</v>
      </c>
      <c r="J984" t="n">
        <v>0</v>
      </c>
      <c r="K984" t="n">
        <v>0</v>
      </c>
      <c r="L984" t="n">
        <v>0</v>
      </c>
      <c r="M984" t="n">
        <v>0</v>
      </c>
      <c r="N984" t="n">
        <v>0</v>
      </c>
      <c r="O984" t="n">
        <v>0</v>
      </c>
      <c r="P984" t="n">
        <v>0</v>
      </c>
      <c r="Q984" t="n">
        <v>0</v>
      </c>
      <c r="R984" s="2" t="inlineStr"/>
    </row>
    <row r="985" ht="15" customHeight="1">
      <c r="A985" t="inlineStr">
        <is>
          <t>A 36272-2024</t>
        </is>
      </c>
      <c r="B985" s="1" t="n">
        <v>45534.57745370371</v>
      </c>
      <c r="C985" s="1" t="n">
        <v>45916</v>
      </c>
      <c r="D985" t="inlineStr">
        <is>
          <t>JÄMTLANDS LÄN</t>
        </is>
      </c>
      <c r="E985" t="inlineStr">
        <is>
          <t>KROKOM</t>
        </is>
      </c>
      <c r="F985" t="inlineStr">
        <is>
          <t>Övriga Aktiebolag</t>
        </is>
      </c>
      <c r="G985" t="n">
        <v>11.1</v>
      </c>
      <c r="H985" t="n">
        <v>0</v>
      </c>
      <c r="I985" t="n">
        <v>0</v>
      </c>
      <c r="J985" t="n">
        <v>0</v>
      </c>
      <c r="K985" t="n">
        <v>0</v>
      </c>
      <c r="L985" t="n">
        <v>0</v>
      </c>
      <c r="M985" t="n">
        <v>0</v>
      </c>
      <c r="N985" t="n">
        <v>0</v>
      </c>
      <c r="O985" t="n">
        <v>0</v>
      </c>
      <c r="P985" t="n">
        <v>0</v>
      </c>
      <c r="Q985" t="n">
        <v>0</v>
      </c>
      <c r="R985" s="2" t="inlineStr"/>
    </row>
    <row r="986" ht="15" customHeight="1">
      <c r="A986" t="inlineStr">
        <is>
          <t>A 7079-2025</t>
        </is>
      </c>
      <c r="B986" s="1" t="n">
        <v>45701</v>
      </c>
      <c r="C986" s="1" t="n">
        <v>45916</v>
      </c>
      <c r="D986" t="inlineStr">
        <is>
          <t>JÄMTLANDS LÄN</t>
        </is>
      </c>
      <c r="E986" t="inlineStr">
        <is>
          <t>KROKOM</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23215-2024</t>
        </is>
      </c>
      <c r="B987" s="1" t="n">
        <v>45452.56446759259</v>
      </c>
      <c r="C987" s="1" t="n">
        <v>45916</v>
      </c>
      <c r="D987" t="inlineStr">
        <is>
          <t>JÄMTLANDS LÄN</t>
        </is>
      </c>
      <c r="E987" t="inlineStr">
        <is>
          <t>KROKOM</t>
        </is>
      </c>
      <c r="F987" t="inlineStr">
        <is>
          <t>Övriga Aktiebolag</t>
        </is>
      </c>
      <c r="G987" t="n">
        <v>0.4</v>
      </c>
      <c r="H987" t="n">
        <v>0</v>
      </c>
      <c r="I987" t="n">
        <v>0</v>
      </c>
      <c r="J987" t="n">
        <v>0</v>
      </c>
      <c r="K987" t="n">
        <v>0</v>
      </c>
      <c r="L987" t="n">
        <v>0</v>
      </c>
      <c r="M987" t="n">
        <v>0</v>
      </c>
      <c r="N987" t="n">
        <v>0</v>
      </c>
      <c r="O987" t="n">
        <v>0</v>
      </c>
      <c r="P987" t="n">
        <v>0</v>
      </c>
      <c r="Q987" t="n">
        <v>0</v>
      </c>
      <c r="R987" s="2" t="inlineStr"/>
    </row>
    <row r="988" ht="15" customHeight="1">
      <c r="A988" t="inlineStr">
        <is>
          <t>A 5637-2025</t>
        </is>
      </c>
      <c r="B988" s="1" t="n">
        <v>45693.67361111111</v>
      </c>
      <c r="C988" s="1" t="n">
        <v>45916</v>
      </c>
      <c r="D988" t="inlineStr">
        <is>
          <t>JÄMTLANDS LÄN</t>
        </is>
      </c>
      <c r="E988" t="inlineStr">
        <is>
          <t>KROKOM</t>
        </is>
      </c>
      <c r="F988" t="inlineStr">
        <is>
          <t>Övriga Aktiebolag</t>
        </is>
      </c>
      <c r="G988" t="n">
        <v>57.8</v>
      </c>
      <c r="H988" t="n">
        <v>0</v>
      </c>
      <c r="I988" t="n">
        <v>0</v>
      </c>
      <c r="J988" t="n">
        <v>0</v>
      </c>
      <c r="K988" t="n">
        <v>0</v>
      </c>
      <c r="L988" t="n">
        <v>0</v>
      </c>
      <c r="M988" t="n">
        <v>0</v>
      </c>
      <c r="N988" t="n">
        <v>0</v>
      </c>
      <c r="O988" t="n">
        <v>0</v>
      </c>
      <c r="P988" t="n">
        <v>0</v>
      </c>
      <c r="Q988" t="n">
        <v>0</v>
      </c>
      <c r="R988" s="2" t="inlineStr"/>
    </row>
    <row r="989" ht="15" customHeight="1">
      <c r="A989" t="inlineStr">
        <is>
          <t>A 10552-2025</t>
        </is>
      </c>
      <c r="B989" s="1" t="n">
        <v>45721.5113425926</v>
      </c>
      <c r="C989" s="1" t="n">
        <v>45916</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5704-2025</t>
        </is>
      </c>
      <c r="B990" s="1" t="n">
        <v>45694.43806712963</v>
      </c>
      <c r="C990" s="1" t="n">
        <v>45916</v>
      </c>
      <c r="D990" t="inlineStr">
        <is>
          <t>JÄMTLANDS LÄN</t>
        </is>
      </c>
      <c r="E990" t="inlineStr">
        <is>
          <t>KROKOM</t>
        </is>
      </c>
      <c r="G990" t="n">
        <v>1.8</v>
      </c>
      <c r="H990" t="n">
        <v>0</v>
      </c>
      <c r="I990" t="n">
        <v>0</v>
      </c>
      <c r="J990" t="n">
        <v>0</v>
      </c>
      <c r="K990" t="n">
        <v>0</v>
      </c>
      <c r="L990" t="n">
        <v>0</v>
      </c>
      <c r="M990" t="n">
        <v>0</v>
      </c>
      <c r="N990" t="n">
        <v>0</v>
      </c>
      <c r="O990" t="n">
        <v>0</v>
      </c>
      <c r="P990" t="n">
        <v>0</v>
      </c>
      <c r="Q990" t="n">
        <v>0</v>
      </c>
      <c r="R990" s="2" t="inlineStr"/>
    </row>
    <row r="991" ht="15" customHeight="1">
      <c r="A991" t="inlineStr">
        <is>
          <t>A 57304-2021</t>
        </is>
      </c>
      <c r="B991" s="1" t="n">
        <v>44483.42253472222</v>
      </c>
      <c r="C991" s="1" t="n">
        <v>45916</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7787-2025</t>
        </is>
      </c>
      <c r="B992" s="1" t="n">
        <v>45706.59251157408</v>
      </c>
      <c r="C992" s="1" t="n">
        <v>45916</v>
      </c>
      <c r="D992" t="inlineStr">
        <is>
          <t>JÄMTLANDS LÄN</t>
        </is>
      </c>
      <c r="E992" t="inlineStr">
        <is>
          <t>KROKOM</t>
        </is>
      </c>
      <c r="F992" t="inlineStr">
        <is>
          <t>Övriga Aktiebolag</t>
        </is>
      </c>
      <c r="G992" t="n">
        <v>16.8</v>
      </c>
      <c r="H992" t="n">
        <v>0</v>
      </c>
      <c r="I992" t="n">
        <v>0</v>
      </c>
      <c r="J992" t="n">
        <v>0</v>
      </c>
      <c r="K992" t="n">
        <v>0</v>
      </c>
      <c r="L992" t="n">
        <v>0</v>
      </c>
      <c r="M992" t="n">
        <v>0</v>
      </c>
      <c r="N992" t="n">
        <v>0</v>
      </c>
      <c r="O992" t="n">
        <v>0</v>
      </c>
      <c r="P992" t="n">
        <v>0</v>
      </c>
      <c r="Q992" t="n">
        <v>0</v>
      </c>
      <c r="R992" s="2" t="inlineStr"/>
    </row>
    <row r="993" ht="15" customHeight="1">
      <c r="A993" t="inlineStr">
        <is>
          <t>A 15663-2025</t>
        </is>
      </c>
      <c r="B993" s="1" t="n">
        <v>45748</v>
      </c>
      <c r="C993" s="1" t="n">
        <v>45916</v>
      </c>
      <c r="D993" t="inlineStr">
        <is>
          <t>JÄMTLANDS LÄN</t>
        </is>
      </c>
      <c r="E993" t="inlineStr">
        <is>
          <t>KROKOM</t>
        </is>
      </c>
      <c r="F993" t="inlineStr">
        <is>
          <t>Övriga Aktiebolag</t>
        </is>
      </c>
      <c r="G993" t="n">
        <v>11.5</v>
      </c>
      <c r="H993" t="n">
        <v>0</v>
      </c>
      <c r="I993" t="n">
        <v>0</v>
      </c>
      <c r="J993" t="n">
        <v>0</v>
      </c>
      <c r="K993" t="n">
        <v>0</v>
      </c>
      <c r="L993" t="n">
        <v>0</v>
      </c>
      <c r="M993" t="n">
        <v>0</v>
      </c>
      <c r="N993" t="n">
        <v>0</v>
      </c>
      <c r="O993" t="n">
        <v>0</v>
      </c>
      <c r="P993" t="n">
        <v>0</v>
      </c>
      <c r="Q993" t="n">
        <v>0</v>
      </c>
      <c r="R993" s="2" t="inlineStr"/>
    </row>
    <row r="994" ht="15" customHeight="1">
      <c r="A994" t="inlineStr">
        <is>
          <t>A 29477-2024</t>
        </is>
      </c>
      <c r="B994" s="1" t="n">
        <v>45484</v>
      </c>
      <c r="C994" s="1" t="n">
        <v>45916</v>
      </c>
      <c r="D994" t="inlineStr">
        <is>
          <t>JÄMTLANDS LÄN</t>
        </is>
      </c>
      <c r="E994" t="inlineStr">
        <is>
          <t>KROKOM</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29484-2024</t>
        </is>
      </c>
      <c r="B995" s="1" t="n">
        <v>45484</v>
      </c>
      <c r="C995" s="1" t="n">
        <v>45916</v>
      </c>
      <c r="D995" t="inlineStr">
        <is>
          <t>JÄMTLANDS LÄN</t>
        </is>
      </c>
      <c r="E995" t="inlineStr">
        <is>
          <t>KROKOM</t>
        </is>
      </c>
      <c r="F995" t="inlineStr">
        <is>
          <t>Övriga Aktiebolag</t>
        </is>
      </c>
      <c r="G995" t="n">
        <v>2.9</v>
      </c>
      <c r="H995" t="n">
        <v>0</v>
      </c>
      <c r="I995" t="n">
        <v>0</v>
      </c>
      <c r="J995" t="n">
        <v>0</v>
      </c>
      <c r="K995" t="n">
        <v>0</v>
      </c>
      <c r="L995" t="n">
        <v>0</v>
      </c>
      <c r="M995" t="n">
        <v>0</v>
      </c>
      <c r="N995" t="n">
        <v>0</v>
      </c>
      <c r="O995" t="n">
        <v>0</v>
      </c>
      <c r="P995" t="n">
        <v>0</v>
      </c>
      <c r="Q995" t="n">
        <v>0</v>
      </c>
      <c r="R995" s="2" t="inlineStr"/>
    </row>
    <row r="996" ht="15" customHeight="1">
      <c r="A996" t="inlineStr">
        <is>
          <t>A 20982-2023</t>
        </is>
      </c>
      <c r="B996" s="1" t="n">
        <v>45056</v>
      </c>
      <c r="C996" s="1" t="n">
        <v>45916</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65508-2021</t>
        </is>
      </c>
      <c r="B997" s="1" t="n">
        <v>44516</v>
      </c>
      <c r="C997" s="1" t="n">
        <v>45916</v>
      </c>
      <c r="D997" t="inlineStr">
        <is>
          <t>JÄMTLANDS LÄN</t>
        </is>
      </c>
      <c r="E997" t="inlineStr">
        <is>
          <t>KROKOM</t>
        </is>
      </c>
      <c r="G997" t="n">
        <v>0.3</v>
      </c>
      <c r="H997" t="n">
        <v>0</v>
      </c>
      <c r="I997" t="n">
        <v>0</v>
      </c>
      <c r="J997" t="n">
        <v>0</v>
      </c>
      <c r="K997" t="n">
        <v>0</v>
      </c>
      <c r="L997" t="n">
        <v>0</v>
      </c>
      <c r="M997" t="n">
        <v>0</v>
      </c>
      <c r="N997" t="n">
        <v>0</v>
      </c>
      <c r="O997" t="n">
        <v>0</v>
      </c>
      <c r="P997" t="n">
        <v>0</v>
      </c>
      <c r="Q997" t="n">
        <v>0</v>
      </c>
      <c r="R997" s="2" t="inlineStr"/>
    </row>
    <row r="998" ht="15" customHeight="1">
      <c r="A998" t="inlineStr">
        <is>
          <t>A 21027-2025</t>
        </is>
      </c>
      <c r="B998" s="1" t="n">
        <v>45777</v>
      </c>
      <c r="C998" s="1" t="n">
        <v>45916</v>
      </c>
      <c r="D998" t="inlineStr">
        <is>
          <t>JÄMTLANDS LÄN</t>
        </is>
      </c>
      <c r="E998" t="inlineStr">
        <is>
          <t>KROKOM</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21029-2025</t>
        </is>
      </c>
      <c r="B999" s="1" t="n">
        <v>45777</v>
      </c>
      <c r="C999" s="1" t="n">
        <v>45916</v>
      </c>
      <c r="D999" t="inlineStr">
        <is>
          <t>JÄMTLANDS LÄN</t>
        </is>
      </c>
      <c r="E999" t="inlineStr">
        <is>
          <t>KROKOM</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21153-2025</t>
        </is>
      </c>
      <c r="B1000" s="1" t="n">
        <v>45777</v>
      </c>
      <c r="C1000" s="1" t="n">
        <v>45916</v>
      </c>
      <c r="D1000" t="inlineStr">
        <is>
          <t>JÄMTLANDS LÄN</t>
        </is>
      </c>
      <c r="E1000" t="inlineStr">
        <is>
          <t>KROKOM</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8784-2025</t>
        </is>
      </c>
      <c r="B1001" s="1" t="n">
        <v>45712</v>
      </c>
      <c r="C1001" s="1" t="n">
        <v>45916</v>
      </c>
      <c r="D1001" t="inlineStr">
        <is>
          <t>JÄMTLANDS LÄN</t>
        </is>
      </c>
      <c r="E1001" t="inlineStr">
        <is>
          <t>KROKOM</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20798-2025</t>
        </is>
      </c>
      <c r="B1002" s="1" t="n">
        <v>45776</v>
      </c>
      <c r="C1002" s="1" t="n">
        <v>45916</v>
      </c>
      <c r="D1002" t="inlineStr">
        <is>
          <t>JÄMTLANDS LÄN</t>
        </is>
      </c>
      <c r="E1002" t="inlineStr">
        <is>
          <t>KROKOM</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9623-2025</t>
        </is>
      </c>
      <c r="B1003" s="1" t="n">
        <v>45715</v>
      </c>
      <c r="C1003" s="1" t="n">
        <v>45916</v>
      </c>
      <c r="D1003" t="inlineStr">
        <is>
          <t>JÄMTLANDS LÄN</t>
        </is>
      </c>
      <c r="E1003" t="inlineStr">
        <is>
          <t>KROKOM</t>
        </is>
      </c>
      <c r="F1003" t="inlineStr">
        <is>
          <t>Kyrkan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5498-2025</t>
        </is>
      </c>
      <c r="B1004" s="1" t="n">
        <v>45693</v>
      </c>
      <c r="C1004" s="1" t="n">
        <v>45916</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21172-2025</t>
        </is>
      </c>
      <c r="B1005" s="1" t="n">
        <v>45779.42630787037</v>
      </c>
      <c r="C1005" s="1" t="n">
        <v>45916</v>
      </c>
      <c r="D1005" t="inlineStr">
        <is>
          <t>JÄMTLANDS LÄN</t>
        </is>
      </c>
      <c r="E1005" t="inlineStr">
        <is>
          <t>KROKOM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21239-2025</t>
        </is>
      </c>
      <c r="B1006" s="1" t="n">
        <v>45779.56659722222</v>
      </c>
      <c r="C1006" s="1" t="n">
        <v>45916</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21000-2021</t>
        </is>
      </c>
      <c r="B1007" s="1" t="n">
        <v>44316</v>
      </c>
      <c r="C1007" s="1" t="n">
        <v>45916</v>
      </c>
      <c r="D1007" t="inlineStr">
        <is>
          <t>JÄMTLANDS LÄN</t>
        </is>
      </c>
      <c r="E1007" t="inlineStr">
        <is>
          <t>KROKOM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26184-2024</t>
        </is>
      </c>
      <c r="B1008" s="1" t="n">
        <v>45467</v>
      </c>
      <c r="C1008" s="1" t="n">
        <v>45916</v>
      </c>
      <c r="D1008" t="inlineStr">
        <is>
          <t>JÄMTLANDS LÄN</t>
        </is>
      </c>
      <c r="E1008" t="inlineStr">
        <is>
          <t>KROKOM</t>
        </is>
      </c>
      <c r="G1008" t="n">
        <v>65.7</v>
      </c>
      <c r="H1008" t="n">
        <v>0</v>
      </c>
      <c r="I1008" t="n">
        <v>0</v>
      </c>
      <c r="J1008" t="n">
        <v>0</v>
      </c>
      <c r="K1008" t="n">
        <v>0</v>
      </c>
      <c r="L1008" t="n">
        <v>0</v>
      </c>
      <c r="M1008" t="n">
        <v>0</v>
      </c>
      <c r="N1008" t="n">
        <v>0</v>
      </c>
      <c r="O1008" t="n">
        <v>0</v>
      </c>
      <c r="P1008" t="n">
        <v>0</v>
      </c>
      <c r="Q1008" t="n">
        <v>0</v>
      </c>
      <c r="R1008" s="2" t="inlineStr"/>
    </row>
    <row r="1009" ht="15" customHeight="1">
      <c r="A1009" t="inlineStr">
        <is>
          <t>A 21280-2025</t>
        </is>
      </c>
      <c r="B1009" s="1" t="n">
        <v>45779.65980324074</v>
      </c>
      <c r="C1009" s="1" t="n">
        <v>45916</v>
      </c>
      <c r="D1009" t="inlineStr">
        <is>
          <t>JÄMTLANDS LÄN</t>
        </is>
      </c>
      <c r="E1009" t="inlineStr">
        <is>
          <t>KROKOM</t>
        </is>
      </c>
      <c r="G1009" t="n">
        <v>30.9</v>
      </c>
      <c r="H1009" t="n">
        <v>0</v>
      </c>
      <c r="I1009" t="n">
        <v>0</v>
      </c>
      <c r="J1009" t="n">
        <v>0</v>
      </c>
      <c r="K1009" t="n">
        <v>0</v>
      </c>
      <c r="L1009" t="n">
        <v>0</v>
      </c>
      <c r="M1009" t="n">
        <v>0</v>
      </c>
      <c r="N1009" t="n">
        <v>0</v>
      </c>
      <c r="O1009" t="n">
        <v>0</v>
      </c>
      <c r="P1009" t="n">
        <v>0</v>
      </c>
      <c r="Q1009" t="n">
        <v>0</v>
      </c>
      <c r="R1009" s="2" t="inlineStr"/>
    </row>
    <row r="1010" ht="15" customHeight="1">
      <c r="A1010" t="inlineStr">
        <is>
          <t>A 21254-2025</t>
        </is>
      </c>
      <c r="B1010" s="1" t="n">
        <v>45779.57626157408</v>
      </c>
      <c r="C1010" s="1" t="n">
        <v>45916</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21240-2025</t>
        </is>
      </c>
      <c r="B1011" s="1" t="n">
        <v>45779.5674074074</v>
      </c>
      <c r="C1011" s="1" t="n">
        <v>45916</v>
      </c>
      <c r="D1011" t="inlineStr">
        <is>
          <t>JÄMTLANDS LÄN</t>
        </is>
      </c>
      <c r="E1011" t="inlineStr">
        <is>
          <t>KROKOM</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21276-2025</t>
        </is>
      </c>
      <c r="B1012" s="1" t="n">
        <v>45779.63834490741</v>
      </c>
      <c r="C1012" s="1" t="n">
        <v>45916</v>
      </c>
      <c r="D1012" t="inlineStr">
        <is>
          <t>JÄMTLANDS LÄN</t>
        </is>
      </c>
      <c r="E1012" t="inlineStr">
        <is>
          <t>KROKOM</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21654-2025</t>
        </is>
      </c>
      <c r="B1013" s="1" t="n">
        <v>45783.45121527778</v>
      </c>
      <c r="C1013" s="1" t="n">
        <v>45916</v>
      </c>
      <c r="D1013" t="inlineStr">
        <is>
          <t>JÄMTLANDS LÄN</t>
        </is>
      </c>
      <c r="E1013" t="inlineStr">
        <is>
          <t>KROKOM</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46632-2023</t>
        </is>
      </c>
      <c r="B1014" s="1" t="n">
        <v>45198.42734953704</v>
      </c>
      <c r="C1014" s="1" t="n">
        <v>45916</v>
      </c>
      <c r="D1014" t="inlineStr">
        <is>
          <t>JÄMTLANDS LÄN</t>
        </is>
      </c>
      <c r="E1014" t="inlineStr">
        <is>
          <t>KROKOM</t>
        </is>
      </c>
      <c r="F1014" t="inlineStr">
        <is>
          <t>Övriga Aktiebolag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4707-2025</t>
        </is>
      </c>
      <c r="B1015" s="1" t="n">
        <v>45688.38393518519</v>
      </c>
      <c r="C1015" s="1" t="n">
        <v>45916</v>
      </c>
      <c r="D1015" t="inlineStr">
        <is>
          <t>JÄMTLANDS LÄN</t>
        </is>
      </c>
      <c r="E1015" t="inlineStr">
        <is>
          <t>KROKOM</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63960-2023</t>
        </is>
      </c>
      <c r="B1016" s="1" t="n">
        <v>45278.65582175926</v>
      </c>
      <c r="C1016" s="1" t="n">
        <v>45916</v>
      </c>
      <c r="D1016" t="inlineStr">
        <is>
          <t>JÄMTLANDS LÄN</t>
        </is>
      </c>
      <c r="E1016" t="inlineStr">
        <is>
          <t>KROKOM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21643-2025</t>
        </is>
      </c>
      <c r="B1017" s="1" t="n">
        <v>45783.43409722222</v>
      </c>
      <c r="C1017" s="1" t="n">
        <v>45916</v>
      </c>
      <c r="D1017" t="inlineStr">
        <is>
          <t>JÄMTLANDS LÄN</t>
        </is>
      </c>
      <c r="E1017" t="inlineStr">
        <is>
          <t>KROKOM</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6068-2025</t>
        </is>
      </c>
      <c r="B1018" s="1" t="n">
        <v>45696</v>
      </c>
      <c r="C1018" s="1" t="n">
        <v>45916</v>
      </c>
      <c r="D1018" t="inlineStr">
        <is>
          <t>JÄMTLANDS LÄN</t>
        </is>
      </c>
      <c r="E1018" t="inlineStr">
        <is>
          <t>KROKOM</t>
        </is>
      </c>
      <c r="F1018" t="inlineStr">
        <is>
          <t>Övriga Aktiebolag</t>
        </is>
      </c>
      <c r="G1018" t="n">
        <v>17.2</v>
      </c>
      <c r="H1018" t="n">
        <v>0</v>
      </c>
      <c r="I1018" t="n">
        <v>0</v>
      </c>
      <c r="J1018" t="n">
        <v>0</v>
      </c>
      <c r="K1018" t="n">
        <v>0</v>
      </c>
      <c r="L1018" t="n">
        <v>0</v>
      </c>
      <c r="M1018" t="n">
        <v>0</v>
      </c>
      <c r="N1018" t="n">
        <v>0</v>
      </c>
      <c r="O1018" t="n">
        <v>0</v>
      </c>
      <c r="P1018" t="n">
        <v>0</v>
      </c>
      <c r="Q1018" t="n">
        <v>0</v>
      </c>
      <c r="R1018" s="2" t="inlineStr"/>
    </row>
    <row r="1019" ht="15" customHeight="1">
      <c r="A1019" t="inlineStr">
        <is>
          <t>A 9796-2025</t>
        </is>
      </c>
      <c r="B1019" s="1" t="n">
        <v>45716.55237268518</v>
      </c>
      <c r="C1019" s="1" t="n">
        <v>45916</v>
      </c>
      <c r="D1019" t="inlineStr">
        <is>
          <t>JÄMTLANDS LÄN</t>
        </is>
      </c>
      <c r="E1019" t="inlineStr">
        <is>
          <t>KROKOM</t>
        </is>
      </c>
      <c r="F1019" t="inlineStr">
        <is>
          <t>SCA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22254-2025</t>
        </is>
      </c>
      <c r="B1020" s="1" t="n">
        <v>45785</v>
      </c>
      <c r="C1020" s="1" t="n">
        <v>45916</v>
      </c>
      <c r="D1020" t="inlineStr">
        <is>
          <t>JÄMTLANDS LÄN</t>
        </is>
      </c>
      <c r="E1020" t="inlineStr">
        <is>
          <t>KROKOM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5798-2025</t>
        </is>
      </c>
      <c r="B1021" s="1" t="n">
        <v>45694.65905092593</v>
      </c>
      <c r="C1021" s="1" t="n">
        <v>45916</v>
      </c>
      <c r="D1021" t="inlineStr">
        <is>
          <t>JÄMTLANDS LÄN</t>
        </is>
      </c>
      <c r="E1021" t="inlineStr">
        <is>
          <t>KROKOM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6342-2025</t>
        </is>
      </c>
      <c r="B1022" s="1" t="n">
        <v>45699</v>
      </c>
      <c r="C1022" s="1" t="n">
        <v>45916</v>
      </c>
      <c r="D1022" t="inlineStr">
        <is>
          <t>JÄMTLANDS LÄN</t>
        </is>
      </c>
      <c r="E1022" t="inlineStr">
        <is>
          <t>KROKOM</t>
        </is>
      </c>
      <c r="F1022" t="inlineStr">
        <is>
          <t>Övriga Aktiebolag</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14240-2025</t>
        </is>
      </c>
      <c r="B1023" s="1" t="n">
        <v>45740</v>
      </c>
      <c r="C1023" s="1" t="n">
        <v>45916</v>
      </c>
      <c r="D1023" t="inlineStr">
        <is>
          <t>JÄMTLANDS LÄN</t>
        </is>
      </c>
      <c r="E1023" t="inlineStr">
        <is>
          <t>KROKOM</t>
        </is>
      </c>
      <c r="G1023" t="n">
        <v>30.3</v>
      </c>
      <c r="H1023" t="n">
        <v>0</v>
      </c>
      <c r="I1023" t="n">
        <v>0</v>
      </c>
      <c r="J1023" t="n">
        <v>0</v>
      </c>
      <c r="K1023" t="n">
        <v>0</v>
      </c>
      <c r="L1023" t="n">
        <v>0</v>
      </c>
      <c r="M1023" t="n">
        <v>0</v>
      </c>
      <c r="N1023" t="n">
        <v>0</v>
      </c>
      <c r="O1023" t="n">
        <v>0</v>
      </c>
      <c r="P1023" t="n">
        <v>0</v>
      </c>
      <c r="Q1023" t="n">
        <v>0</v>
      </c>
      <c r="R1023" s="2" t="inlineStr"/>
    </row>
    <row r="1024" ht="15" customHeight="1">
      <c r="A1024" t="inlineStr">
        <is>
          <t>A 22115-2025</t>
        </is>
      </c>
      <c r="B1024" s="1" t="n">
        <v>45785.51092592593</v>
      </c>
      <c r="C1024" s="1" t="n">
        <v>45916</v>
      </c>
      <c r="D1024" t="inlineStr">
        <is>
          <t>JÄMTLANDS LÄN</t>
        </is>
      </c>
      <c r="E1024" t="inlineStr">
        <is>
          <t>KROKOM</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71307-2021</t>
        </is>
      </c>
      <c r="B1025" s="1" t="n">
        <v>44539</v>
      </c>
      <c r="C1025" s="1" t="n">
        <v>45916</v>
      </c>
      <c r="D1025" t="inlineStr">
        <is>
          <t>JÄMTLANDS LÄN</t>
        </is>
      </c>
      <c r="E1025" t="inlineStr">
        <is>
          <t>KROKOM</t>
        </is>
      </c>
      <c r="G1025" t="n">
        <v>21.5</v>
      </c>
      <c r="H1025" t="n">
        <v>0</v>
      </c>
      <c r="I1025" t="n">
        <v>0</v>
      </c>
      <c r="J1025" t="n">
        <v>0</v>
      </c>
      <c r="K1025" t="n">
        <v>0</v>
      </c>
      <c r="L1025" t="n">
        <v>0</v>
      </c>
      <c r="M1025" t="n">
        <v>0</v>
      </c>
      <c r="N1025" t="n">
        <v>0</v>
      </c>
      <c r="O1025" t="n">
        <v>0</v>
      </c>
      <c r="P1025" t="n">
        <v>0</v>
      </c>
      <c r="Q1025" t="n">
        <v>0</v>
      </c>
      <c r="R1025" s="2" t="inlineStr"/>
    </row>
    <row r="1026" ht="15" customHeight="1">
      <c r="A1026" t="inlineStr">
        <is>
          <t>A 22132-2025</t>
        </is>
      </c>
      <c r="B1026" s="1" t="n">
        <v>45785.5403125</v>
      </c>
      <c r="C1026" s="1" t="n">
        <v>45916</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33480-2024</t>
        </is>
      </c>
      <c r="B1027" s="1" t="n">
        <v>45519.60965277778</v>
      </c>
      <c r="C1027" s="1" t="n">
        <v>45916</v>
      </c>
      <c r="D1027" t="inlineStr">
        <is>
          <t>JÄMTLANDS LÄN</t>
        </is>
      </c>
      <c r="E1027" t="inlineStr">
        <is>
          <t>KROKOM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22136-2025</t>
        </is>
      </c>
      <c r="B1028" s="1" t="n">
        <v>45785.54635416667</v>
      </c>
      <c r="C1028" s="1" t="n">
        <v>45916</v>
      </c>
      <c r="D1028" t="inlineStr">
        <is>
          <t>JÄMTLANDS LÄN</t>
        </is>
      </c>
      <c r="E1028" t="inlineStr">
        <is>
          <t>KROKOM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8872-2025</t>
        </is>
      </c>
      <c r="B1029" s="1" t="n">
        <v>45713.37111111111</v>
      </c>
      <c r="C1029" s="1" t="n">
        <v>45916</v>
      </c>
      <c r="D1029" t="inlineStr">
        <is>
          <t>JÄMTLANDS LÄN</t>
        </is>
      </c>
      <c r="E1029" t="inlineStr">
        <is>
          <t>KROKOM</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22122-2025</t>
        </is>
      </c>
      <c r="B1030" s="1" t="n">
        <v>45785.52112268518</v>
      </c>
      <c r="C1030" s="1" t="n">
        <v>45916</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15638-2025</t>
        </is>
      </c>
      <c r="B1031" s="1" t="n">
        <v>45748.3822337963</v>
      </c>
      <c r="C1031" s="1" t="n">
        <v>45916</v>
      </c>
      <c r="D1031" t="inlineStr">
        <is>
          <t>JÄMTLANDS LÄN</t>
        </is>
      </c>
      <c r="E1031" t="inlineStr">
        <is>
          <t>KROKOM</t>
        </is>
      </c>
      <c r="F1031" t="inlineStr">
        <is>
          <t>Kyrkan</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50719-2024</t>
        </is>
      </c>
      <c r="B1032" s="1" t="n">
        <v>45602.38614583333</v>
      </c>
      <c r="C1032" s="1" t="n">
        <v>45916</v>
      </c>
      <c r="D1032" t="inlineStr">
        <is>
          <t>JÄMTLANDS LÄN</t>
        </is>
      </c>
      <c r="E1032" t="inlineStr">
        <is>
          <t>KROKOM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52911-2023</t>
        </is>
      </c>
      <c r="B1033" s="1" t="n">
        <v>45226</v>
      </c>
      <c r="C1033" s="1" t="n">
        <v>45916</v>
      </c>
      <c r="D1033" t="inlineStr">
        <is>
          <t>JÄMTLANDS LÄN</t>
        </is>
      </c>
      <c r="E1033" t="inlineStr">
        <is>
          <t>KROKOM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44296-2024</t>
        </is>
      </c>
      <c r="B1034" s="1" t="n">
        <v>45573.54893518519</v>
      </c>
      <c r="C1034" s="1" t="n">
        <v>45916</v>
      </c>
      <c r="D1034" t="inlineStr">
        <is>
          <t>JÄMTLANDS LÄN</t>
        </is>
      </c>
      <c r="E1034" t="inlineStr">
        <is>
          <t>KROKOM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52111-2024</t>
        </is>
      </c>
      <c r="B1035" s="1" t="n">
        <v>45608.43930555556</v>
      </c>
      <c r="C1035" s="1" t="n">
        <v>45916</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34902-2024</t>
        </is>
      </c>
      <c r="B1036" s="1" t="n">
        <v>45527.39858796296</v>
      </c>
      <c r="C1036" s="1" t="n">
        <v>45916</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50255-2024</t>
        </is>
      </c>
      <c r="B1037" s="1" t="n">
        <v>45600.58076388889</v>
      </c>
      <c r="C1037" s="1" t="n">
        <v>45916</v>
      </c>
      <c r="D1037" t="inlineStr">
        <is>
          <t>JÄMTLANDS LÄN</t>
        </is>
      </c>
      <c r="E1037" t="inlineStr">
        <is>
          <t>KROKOM</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10773-2024</t>
        </is>
      </c>
      <c r="B1038" s="1" t="n">
        <v>45369</v>
      </c>
      <c r="C1038" s="1" t="n">
        <v>45916</v>
      </c>
      <c r="D1038" t="inlineStr">
        <is>
          <t>JÄMTLANDS LÄN</t>
        </is>
      </c>
      <c r="E1038" t="inlineStr">
        <is>
          <t>KROKOM</t>
        </is>
      </c>
      <c r="G1038" t="n">
        <v>27.1</v>
      </c>
      <c r="H1038" t="n">
        <v>0</v>
      </c>
      <c r="I1038" t="n">
        <v>0</v>
      </c>
      <c r="J1038" t="n">
        <v>0</v>
      </c>
      <c r="K1038" t="n">
        <v>0</v>
      </c>
      <c r="L1038" t="n">
        <v>0</v>
      </c>
      <c r="M1038" t="n">
        <v>0</v>
      </c>
      <c r="N1038" t="n">
        <v>0</v>
      </c>
      <c r="O1038" t="n">
        <v>0</v>
      </c>
      <c r="P1038" t="n">
        <v>0</v>
      </c>
      <c r="Q1038" t="n">
        <v>0</v>
      </c>
      <c r="R1038" s="2" t="inlineStr"/>
    </row>
    <row r="1039" ht="15" customHeight="1">
      <c r="A1039" t="inlineStr">
        <is>
          <t>A 22499-2025</t>
        </is>
      </c>
      <c r="B1039" s="1" t="n">
        <v>45786.65702546296</v>
      </c>
      <c r="C1039" s="1" t="n">
        <v>45916</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22503-2025</t>
        </is>
      </c>
      <c r="B1040" s="1" t="n">
        <v>45786.66140046297</v>
      </c>
      <c r="C1040" s="1" t="n">
        <v>45916</v>
      </c>
      <c r="D1040" t="inlineStr">
        <is>
          <t>JÄMTLANDS LÄN</t>
        </is>
      </c>
      <c r="E1040" t="inlineStr">
        <is>
          <t>KROKOM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59778-2020</t>
        </is>
      </c>
      <c r="B1041" s="1" t="n">
        <v>44148</v>
      </c>
      <c r="C1041" s="1" t="n">
        <v>45916</v>
      </c>
      <c r="D1041" t="inlineStr">
        <is>
          <t>JÄMTLANDS LÄN</t>
        </is>
      </c>
      <c r="E1041" t="inlineStr">
        <is>
          <t>KROKOM</t>
        </is>
      </c>
      <c r="G1041" t="n">
        <v>39.3</v>
      </c>
      <c r="H1041" t="n">
        <v>0</v>
      </c>
      <c r="I1041" t="n">
        <v>0</v>
      </c>
      <c r="J1041" t="n">
        <v>0</v>
      </c>
      <c r="K1041" t="n">
        <v>0</v>
      </c>
      <c r="L1041" t="n">
        <v>0</v>
      </c>
      <c r="M1041" t="n">
        <v>0</v>
      </c>
      <c r="N1041" t="n">
        <v>0</v>
      </c>
      <c r="O1041" t="n">
        <v>0</v>
      </c>
      <c r="P1041" t="n">
        <v>0</v>
      </c>
      <c r="Q1041" t="n">
        <v>0</v>
      </c>
      <c r="R1041" s="2" t="inlineStr"/>
    </row>
    <row r="1042" ht="15" customHeight="1">
      <c r="A1042" t="inlineStr">
        <is>
          <t>A 53543-2024</t>
        </is>
      </c>
      <c r="B1042" s="1" t="n">
        <v>45614.63697916667</v>
      </c>
      <c r="C1042" s="1" t="n">
        <v>45916</v>
      </c>
      <c r="D1042" t="inlineStr">
        <is>
          <t>JÄMTLANDS LÄN</t>
        </is>
      </c>
      <c r="E1042" t="inlineStr">
        <is>
          <t>KROKOM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9388-2025</t>
        </is>
      </c>
      <c r="B1043" s="1" t="n">
        <v>45715</v>
      </c>
      <c r="C1043" s="1" t="n">
        <v>45916</v>
      </c>
      <c r="D1043" t="inlineStr">
        <is>
          <t>JÄMTLANDS LÄN</t>
        </is>
      </c>
      <c r="E1043" t="inlineStr">
        <is>
          <t>KROKOM</t>
        </is>
      </c>
      <c r="F1043" t="inlineStr">
        <is>
          <t>Övriga Aktiebolag</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22297-2025</t>
        </is>
      </c>
      <c r="B1044" s="1" t="n">
        <v>45786.35219907408</v>
      </c>
      <c r="C1044" s="1" t="n">
        <v>45916</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9313-2025</t>
        </is>
      </c>
      <c r="B1045" s="1" t="n">
        <v>45714.69212962963</v>
      </c>
      <c r="C1045" s="1" t="n">
        <v>45916</v>
      </c>
      <c r="D1045" t="inlineStr">
        <is>
          <t>JÄMTLANDS LÄN</t>
        </is>
      </c>
      <c r="E1045" t="inlineStr">
        <is>
          <t>KROKOM</t>
        </is>
      </c>
      <c r="F1045" t="inlineStr">
        <is>
          <t>Kyrkan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40213-2024</t>
        </is>
      </c>
      <c r="B1046" s="1" t="n">
        <v>45554.59447916667</v>
      </c>
      <c r="C1046" s="1" t="n">
        <v>45916</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34517-2024</t>
        </is>
      </c>
      <c r="B1047" s="1" t="n">
        <v>45525</v>
      </c>
      <c r="C1047" s="1" t="n">
        <v>45916</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46785-2024</t>
        </is>
      </c>
      <c r="B1048" s="1" t="n">
        <v>45583.52885416667</v>
      </c>
      <c r="C1048" s="1" t="n">
        <v>45916</v>
      </c>
      <c r="D1048" t="inlineStr">
        <is>
          <t>JÄMTLANDS LÄN</t>
        </is>
      </c>
      <c r="E1048" t="inlineStr">
        <is>
          <t>KROKOM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16129-2025</t>
        </is>
      </c>
      <c r="B1049" s="1" t="n">
        <v>45750.42650462963</v>
      </c>
      <c r="C1049" s="1" t="n">
        <v>45916</v>
      </c>
      <c r="D1049" t="inlineStr">
        <is>
          <t>JÄMTLANDS LÄN</t>
        </is>
      </c>
      <c r="E1049" t="inlineStr">
        <is>
          <t>KROKOM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18583-2025</t>
        </is>
      </c>
      <c r="B1050" s="1" t="n">
        <v>45763.46918981482</v>
      </c>
      <c r="C1050" s="1" t="n">
        <v>45916</v>
      </c>
      <c r="D1050" t="inlineStr">
        <is>
          <t>JÄMTLANDS LÄN</t>
        </is>
      </c>
      <c r="E1050" t="inlineStr">
        <is>
          <t>KROKOM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28191-2024</t>
        </is>
      </c>
      <c r="B1051" s="1" t="n">
        <v>45477.32728009259</v>
      </c>
      <c r="C1051" s="1" t="n">
        <v>45916</v>
      </c>
      <c r="D1051" t="inlineStr">
        <is>
          <t>JÄMTLANDS LÄN</t>
        </is>
      </c>
      <c r="E1051" t="inlineStr">
        <is>
          <t>KROKOM</t>
        </is>
      </c>
      <c r="F1051" t="inlineStr">
        <is>
          <t>Övriga Aktiebolag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24441-2022</t>
        </is>
      </c>
      <c r="B1052" s="1" t="n">
        <v>44726</v>
      </c>
      <c r="C1052" s="1" t="n">
        <v>45916</v>
      </c>
      <c r="D1052" t="inlineStr">
        <is>
          <t>JÄMTLANDS LÄN</t>
        </is>
      </c>
      <c r="E1052" t="inlineStr">
        <is>
          <t>KROKOM</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22731-2025</t>
        </is>
      </c>
      <c r="B1053" s="1" t="n">
        <v>45789.58238425926</v>
      </c>
      <c r="C1053" s="1" t="n">
        <v>45916</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22751-2025</t>
        </is>
      </c>
      <c r="B1054" s="1" t="n">
        <v>45789.61349537037</v>
      </c>
      <c r="C1054" s="1" t="n">
        <v>45916</v>
      </c>
      <c r="D1054" t="inlineStr">
        <is>
          <t>JÄMTLANDS LÄN</t>
        </is>
      </c>
      <c r="E1054" t="inlineStr">
        <is>
          <t>KROKOM</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5173-2025</t>
        </is>
      </c>
      <c r="B1055" s="1" t="n">
        <v>45691.61996527778</v>
      </c>
      <c r="C1055" s="1" t="n">
        <v>45916</v>
      </c>
      <c r="D1055" t="inlineStr">
        <is>
          <t>JÄMTLANDS LÄN</t>
        </is>
      </c>
      <c r="E1055" t="inlineStr">
        <is>
          <t>KROKOM</t>
        </is>
      </c>
      <c r="F1055" t="inlineStr">
        <is>
          <t>Kyrkan</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23512-2022</t>
        </is>
      </c>
      <c r="B1056" s="1" t="n">
        <v>44721.39003472222</v>
      </c>
      <c r="C1056" s="1" t="n">
        <v>45916</v>
      </c>
      <c r="D1056" t="inlineStr">
        <is>
          <t>JÄMTLANDS LÄN</t>
        </is>
      </c>
      <c r="E1056" t="inlineStr">
        <is>
          <t>KROKOM</t>
        </is>
      </c>
      <c r="F1056" t="inlineStr">
        <is>
          <t>Övriga Aktiebolag</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22304-2025</t>
        </is>
      </c>
      <c r="B1057" s="1" t="n">
        <v>45786</v>
      </c>
      <c r="C1057" s="1" t="n">
        <v>45916</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233-2023</t>
        </is>
      </c>
      <c r="B1058" s="1" t="n">
        <v>44922</v>
      </c>
      <c r="C1058" s="1" t="n">
        <v>45916</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22490-2025</t>
        </is>
      </c>
      <c r="B1059" s="1" t="n">
        <v>45786.64972222222</v>
      </c>
      <c r="C1059" s="1" t="n">
        <v>45916</v>
      </c>
      <c r="D1059" t="inlineStr">
        <is>
          <t>JÄMTLANDS LÄN</t>
        </is>
      </c>
      <c r="E1059" t="inlineStr">
        <is>
          <t>KROKOM</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22681-2025</t>
        </is>
      </c>
      <c r="B1060" s="1" t="n">
        <v>45786</v>
      </c>
      <c r="C1060" s="1" t="n">
        <v>45916</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15422-2025</t>
        </is>
      </c>
      <c r="B1061" s="1" t="n">
        <v>45746</v>
      </c>
      <c r="C1061" s="1" t="n">
        <v>45916</v>
      </c>
      <c r="D1061" t="inlineStr">
        <is>
          <t>JÄMTLANDS LÄN</t>
        </is>
      </c>
      <c r="E1061" t="inlineStr">
        <is>
          <t>KROKOM</t>
        </is>
      </c>
      <c r="F1061" t="inlineStr">
        <is>
          <t>SCA</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36577-2021</t>
        </is>
      </c>
      <c r="B1062" s="1" t="n">
        <v>44391</v>
      </c>
      <c r="C1062" s="1" t="n">
        <v>45916</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15451-2021</t>
        </is>
      </c>
      <c r="B1063" s="1" t="n">
        <v>44285</v>
      </c>
      <c r="C1063" s="1" t="n">
        <v>45916</v>
      </c>
      <c r="D1063" t="inlineStr">
        <is>
          <t>JÄMTLANDS LÄN</t>
        </is>
      </c>
      <c r="E1063" t="inlineStr">
        <is>
          <t>KROKOM</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16817-2024</t>
        </is>
      </c>
      <c r="B1064" s="1" t="n">
        <v>45411.4666087963</v>
      </c>
      <c r="C1064" s="1" t="n">
        <v>45916</v>
      </c>
      <c r="D1064" t="inlineStr">
        <is>
          <t>JÄMTLANDS LÄN</t>
        </is>
      </c>
      <c r="E1064" t="inlineStr">
        <is>
          <t>KROKOM</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64299-2021</t>
        </is>
      </c>
      <c r="B1065" s="1" t="n">
        <v>44510.9491087963</v>
      </c>
      <c r="C1065" s="1" t="n">
        <v>45916</v>
      </c>
      <c r="D1065" t="inlineStr">
        <is>
          <t>JÄMTLANDS LÄN</t>
        </is>
      </c>
      <c r="E1065" t="inlineStr">
        <is>
          <t>KROKOM</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58136-2024</t>
        </is>
      </c>
      <c r="B1066" s="1" t="n">
        <v>45632</v>
      </c>
      <c r="C1066" s="1" t="n">
        <v>45916</v>
      </c>
      <c r="D1066" t="inlineStr">
        <is>
          <t>JÄMTLANDS LÄN</t>
        </is>
      </c>
      <c r="E1066" t="inlineStr">
        <is>
          <t>KROKOM</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23507-2024</t>
        </is>
      </c>
      <c r="B1067" s="1" t="n">
        <v>45453</v>
      </c>
      <c r="C1067" s="1" t="n">
        <v>45916</v>
      </c>
      <c r="D1067" t="inlineStr">
        <is>
          <t>JÄMTLANDS LÄN</t>
        </is>
      </c>
      <c r="E1067" t="inlineStr">
        <is>
          <t>KROKOM</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45822-2023</t>
        </is>
      </c>
      <c r="B1068" s="1" t="n">
        <v>45195</v>
      </c>
      <c r="C1068" s="1" t="n">
        <v>45916</v>
      </c>
      <c r="D1068" t="inlineStr">
        <is>
          <t>JÄMTLANDS LÄN</t>
        </is>
      </c>
      <c r="E1068" t="inlineStr">
        <is>
          <t>KROKOM</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52578-2021</t>
        </is>
      </c>
      <c r="B1069" s="1" t="n">
        <v>44466.56642361111</v>
      </c>
      <c r="C1069" s="1" t="n">
        <v>45916</v>
      </c>
      <c r="D1069" t="inlineStr">
        <is>
          <t>JÄMTLANDS LÄN</t>
        </is>
      </c>
      <c r="E1069" t="inlineStr">
        <is>
          <t>KROKOM</t>
        </is>
      </c>
      <c r="G1069" t="n">
        <v>17.1</v>
      </c>
      <c r="H1069" t="n">
        <v>0</v>
      </c>
      <c r="I1069" t="n">
        <v>0</v>
      </c>
      <c r="J1069" t="n">
        <v>0</v>
      </c>
      <c r="K1069" t="n">
        <v>0</v>
      </c>
      <c r="L1069" t="n">
        <v>0</v>
      </c>
      <c r="M1069" t="n">
        <v>0</v>
      </c>
      <c r="N1069" t="n">
        <v>0</v>
      </c>
      <c r="O1069" t="n">
        <v>0</v>
      </c>
      <c r="P1069" t="n">
        <v>0</v>
      </c>
      <c r="Q1069" t="n">
        <v>0</v>
      </c>
      <c r="R1069" s="2" t="inlineStr"/>
    </row>
    <row r="1070" ht="15" customHeight="1">
      <c r="A1070" t="inlineStr">
        <is>
          <t>A 55660-2023</t>
        </is>
      </c>
      <c r="B1070" s="1" t="n">
        <v>45238</v>
      </c>
      <c r="C1070" s="1" t="n">
        <v>45916</v>
      </c>
      <c r="D1070" t="inlineStr">
        <is>
          <t>JÄMTLANDS LÄN</t>
        </is>
      </c>
      <c r="E1070" t="inlineStr">
        <is>
          <t>KROKOM</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23080-2025</t>
        </is>
      </c>
      <c r="B1071" s="1" t="n">
        <v>45791.3162037037</v>
      </c>
      <c r="C1071" s="1" t="n">
        <v>45916</v>
      </c>
      <c r="D1071" t="inlineStr">
        <is>
          <t>JÄMTLANDS LÄN</t>
        </is>
      </c>
      <c r="E1071" t="inlineStr">
        <is>
          <t>KROKOM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14233-2025</t>
        </is>
      </c>
      <c r="B1072" s="1" t="n">
        <v>45740.60347222222</v>
      </c>
      <c r="C1072" s="1" t="n">
        <v>45916</v>
      </c>
      <c r="D1072" t="inlineStr">
        <is>
          <t>JÄMTLANDS LÄN</t>
        </is>
      </c>
      <c r="E1072" t="inlineStr">
        <is>
          <t>KROKOM</t>
        </is>
      </c>
      <c r="F1072" t="inlineStr">
        <is>
          <t>Övriga statliga verk och myndigheter</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57985-2024</t>
        </is>
      </c>
      <c r="B1073" s="1" t="n">
        <v>45631.61869212963</v>
      </c>
      <c r="C1073" s="1" t="n">
        <v>45916</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35559-2024</t>
        </is>
      </c>
      <c r="B1074" s="1" t="n">
        <v>45531.62141203704</v>
      </c>
      <c r="C1074" s="1" t="n">
        <v>45916</v>
      </c>
      <c r="D1074" t="inlineStr">
        <is>
          <t>JÄMTLANDS LÄN</t>
        </is>
      </c>
      <c r="E1074" t="inlineStr">
        <is>
          <t>KROKOM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23288-2025</t>
        </is>
      </c>
      <c r="B1075" s="1" t="n">
        <v>45791</v>
      </c>
      <c r="C1075" s="1" t="n">
        <v>45916</v>
      </c>
      <c r="D1075" t="inlineStr">
        <is>
          <t>JÄMTLANDS LÄN</t>
        </is>
      </c>
      <c r="E1075" t="inlineStr">
        <is>
          <t>KROKOM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6015-2025</t>
        </is>
      </c>
      <c r="B1076" s="1" t="n">
        <v>45695.60015046296</v>
      </c>
      <c r="C1076" s="1" t="n">
        <v>45916</v>
      </c>
      <c r="D1076" t="inlineStr">
        <is>
          <t>JÄMTLANDS LÄN</t>
        </is>
      </c>
      <c r="E1076" t="inlineStr">
        <is>
          <t>KROKOM</t>
        </is>
      </c>
      <c r="F1076" t="inlineStr">
        <is>
          <t>Övriga Aktiebolag</t>
        </is>
      </c>
      <c r="G1076" t="n">
        <v>15.5</v>
      </c>
      <c r="H1076" t="n">
        <v>0</v>
      </c>
      <c r="I1076" t="n">
        <v>0</v>
      </c>
      <c r="J1076" t="n">
        <v>0</v>
      </c>
      <c r="K1076" t="n">
        <v>0</v>
      </c>
      <c r="L1076" t="n">
        <v>0</v>
      </c>
      <c r="M1076" t="n">
        <v>0</v>
      </c>
      <c r="N1076" t="n">
        <v>0</v>
      </c>
      <c r="O1076" t="n">
        <v>0</v>
      </c>
      <c r="P1076" t="n">
        <v>0</v>
      </c>
      <c r="Q1076" t="n">
        <v>0</v>
      </c>
      <c r="R1076" s="2" t="inlineStr"/>
    </row>
    <row r="1077" ht="15" customHeight="1">
      <c r="A1077" t="inlineStr">
        <is>
          <t>A 39169-2023</t>
        </is>
      </c>
      <c r="B1077" s="1" t="n">
        <v>45166</v>
      </c>
      <c r="C1077" s="1" t="n">
        <v>45916</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c r="A1078" t="inlineStr">
        <is>
          <t>A 5422-2021</t>
        </is>
      </c>
      <c r="B1078" s="1" t="n">
        <v>44228</v>
      </c>
      <c r="C1078" s="1" t="n">
        <v>45916</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2025-09-16T08:55:49Z</dcterms:created>
  <dcterms:modified xmlns:dcterms="http://purl.org/dc/terms/" xmlns:xsi="http://www.w3.org/2001/XMLSchema-instance" xsi:type="dcterms:W3CDTF">2025-09-16T08:55:50Z</dcterms:modified>
</cp:coreProperties>
</file>