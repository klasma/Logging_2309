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46160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46160</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46160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46160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46160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46160</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46160</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46160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46160</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46000.61008101852</v>
      </c>
      <c r="C16" s="1" t="n">
        <v>46160</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28823-2024</t>
        </is>
      </c>
      <c r="B17" s="1" t="n">
        <v>45478</v>
      </c>
      <c r="C17" s="1" t="n">
        <v>46160</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46160</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v>
      </c>
      <c r="C19" s="1" t="n">
        <v>46160</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61248-2025</t>
        </is>
      </c>
      <c r="B20" s="1" t="n">
        <v>46000.66444444445</v>
      </c>
      <c r="C20" s="1" t="n">
        <v>46160</v>
      </c>
      <c r="D20" t="inlineStr">
        <is>
          <t>JÄMTLANDS LÄN</t>
        </is>
      </c>
      <c r="E20" t="inlineStr">
        <is>
          <t>KROKOM</t>
        </is>
      </c>
      <c r="F20" t="inlineStr">
        <is>
          <t>Övriga Aktiebolag</t>
        </is>
      </c>
      <c r="G20" t="n">
        <v>5.7</v>
      </c>
      <c r="H20" t="n">
        <v>2</v>
      </c>
      <c r="I20" t="n">
        <v>5</v>
      </c>
      <c r="J20" t="n">
        <v>11</v>
      </c>
      <c r="K20" t="n">
        <v>1</v>
      </c>
      <c r="L20" t="n">
        <v>0</v>
      </c>
      <c r="M20" t="n">
        <v>0</v>
      </c>
      <c r="N20" t="n">
        <v>0</v>
      </c>
      <c r="O20" t="n">
        <v>13</v>
      </c>
      <c r="P20" t="n">
        <v>1</v>
      </c>
      <c r="Q20" t="n">
        <v>19</v>
      </c>
      <c r="R20" s="2" t="inlineStr">
        <is>
          <t>Smalskaftslav
Garnlav
Granticka
Harticka
Liten svartspik
Lunglav
Nordlig nållav
Rosa skärelav
Rödbrun blekspik
Skrovellav
Tretåig hackspett
Vitgrynig nållav
Lunglavshårprick
Gulnål
Luddlav
Rostfläck
Skinnlav
Stuplav
Revlummer</t>
        </is>
      </c>
      <c r="S20">
        <f>HYPERLINK("https://klasma.github.io/Logging_2309/artfynd/A 61248-2025 artfynd.xlsx", "A 61248-2025")</f>
        <v/>
      </c>
      <c r="T20">
        <f>HYPERLINK("https://klasma.github.io/Logging_2309/kartor/A 61248-2025 karta.png", "A 61248-2025")</f>
        <v/>
      </c>
      <c r="V20">
        <f>HYPERLINK("https://klasma.github.io/Logging_2309/klagomål/A 61248-2025 FSC-klagomål.docx", "A 61248-2025")</f>
        <v/>
      </c>
      <c r="W20">
        <f>HYPERLINK("https://klasma.github.io/Logging_2309/klagomålsmail/A 61248-2025 FSC-klagomål mail.docx", "A 61248-2025")</f>
        <v/>
      </c>
      <c r="X20">
        <f>HYPERLINK("https://klasma.github.io/Logging_2309/tillsyn/A 61248-2025 tillsynsbegäran.docx", "A 61248-2025")</f>
        <v/>
      </c>
      <c r="Y20">
        <f>HYPERLINK("https://klasma.github.io/Logging_2309/tillsynsmail/A 61248-2025 tillsynsbegäran mail.docx", "A 61248-2025")</f>
        <v/>
      </c>
      <c r="Z20">
        <f>HYPERLINK("https://klasma.github.io/Logging_2309/fåglar/A 61248-2025 prioriterade fågelarter.docx", "A 61248-2025")</f>
        <v/>
      </c>
    </row>
    <row r="21" ht="15" customHeight="1">
      <c r="A21" t="inlineStr">
        <is>
          <t>A 438-2022</t>
        </is>
      </c>
      <c r="B21" s="1" t="n">
        <v>44565</v>
      </c>
      <c r="C21" s="1" t="n">
        <v>46160</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46160</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46160</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46160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46160</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46160</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18570-2023</t>
        </is>
      </c>
      <c r="B27" s="1" t="n">
        <v>45041</v>
      </c>
      <c r="C27" s="1" t="n">
        <v>46160</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46160</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46160</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22902-2025</t>
        </is>
      </c>
      <c r="B30" s="1" t="n">
        <v>45790</v>
      </c>
      <c r="C30" s="1" t="n">
        <v>46160</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46160</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57211-2025</t>
        </is>
      </c>
      <c r="B32" s="1" t="n">
        <v>45979</v>
      </c>
      <c r="C32" s="1" t="n">
        <v>46160</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46160</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46160</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60873-2024</t>
        </is>
      </c>
      <c r="B35" s="1" t="n">
        <v>45644</v>
      </c>
      <c r="C35" s="1" t="n">
        <v>46160</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54353-2025</t>
        </is>
      </c>
      <c r="B36" s="1" t="n">
        <v>45965.3778125</v>
      </c>
      <c r="C36" s="1" t="n">
        <v>46160</v>
      </c>
      <c r="D36" t="inlineStr">
        <is>
          <t>JÄMTLANDS LÄN</t>
        </is>
      </c>
      <c r="E36" t="inlineStr">
        <is>
          <t>KROKOM</t>
        </is>
      </c>
      <c r="G36" t="n">
        <v>6.9</v>
      </c>
      <c r="H36" t="n">
        <v>3</v>
      </c>
      <c r="I36" t="n">
        <v>2</v>
      </c>
      <c r="J36" t="n">
        <v>9</v>
      </c>
      <c r="K36" t="n">
        <v>1</v>
      </c>
      <c r="L36" t="n">
        <v>0</v>
      </c>
      <c r="M36" t="n">
        <v>0</v>
      </c>
      <c r="N36" t="n">
        <v>0</v>
      </c>
      <c r="O36" t="n">
        <v>10</v>
      </c>
      <c r="P36" t="n">
        <v>1</v>
      </c>
      <c r="Q36" t="n">
        <v>14</v>
      </c>
      <c r="R36" s="2" t="inlineStr">
        <is>
          <t>Rynkskinn
Doftskinn
Garnlav
Granticka
Gränsticka
Harticka
Lunglav
Skrovellav
Tretåig hackspett
Ullticka
Luddlav
Stuplav
Lavskrika
Revlummer</t>
        </is>
      </c>
      <c r="S36">
        <f>HYPERLINK("https://klasma.github.io/Logging_2309/artfynd/A 54353-2025 artfynd.xlsx", "A 54353-2025")</f>
        <v/>
      </c>
      <c r="T36">
        <f>HYPERLINK("https://klasma.github.io/Logging_2309/kartor/A 54353-2025 karta.png", "A 54353-2025")</f>
        <v/>
      </c>
      <c r="V36">
        <f>HYPERLINK("https://klasma.github.io/Logging_2309/klagomål/A 54353-2025 FSC-klagomål.docx", "A 54353-2025")</f>
        <v/>
      </c>
      <c r="W36">
        <f>HYPERLINK("https://klasma.github.io/Logging_2309/klagomålsmail/A 54353-2025 FSC-klagomål mail.docx", "A 54353-2025")</f>
        <v/>
      </c>
      <c r="X36">
        <f>HYPERLINK("https://klasma.github.io/Logging_2309/tillsyn/A 54353-2025 tillsynsbegäran.docx", "A 54353-2025")</f>
        <v/>
      </c>
      <c r="Y36">
        <f>HYPERLINK("https://klasma.github.io/Logging_2309/tillsynsmail/A 54353-2025 tillsynsbegäran mail.docx", "A 54353-2025")</f>
        <v/>
      </c>
      <c r="Z36">
        <f>HYPERLINK("https://klasma.github.io/Logging_2309/fåglar/A 54353-2025 prioriterade fågelarter.docx", "A 54353-2025")</f>
        <v/>
      </c>
    </row>
    <row r="37" ht="15" customHeight="1">
      <c r="A37" t="inlineStr">
        <is>
          <t>A 49572-2024</t>
        </is>
      </c>
      <c r="B37" s="1" t="n">
        <v>45596.5093287037</v>
      </c>
      <c r="C37" s="1" t="n">
        <v>46160</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46160</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46160</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46160</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46160</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1959-2022</t>
        </is>
      </c>
      <c r="B42" s="1" t="n">
        <v>44575</v>
      </c>
      <c r="C42" s="1" t="n">
        <v>46160</v>
      </c>
      <c r="D42" t="inlineStr">
        <is>
          <t>JÄMTLANDS LÄN</t>
        </is>
      </c>
      <c r="E42" t="inlineStr">
        <is>
          <t>KROKOM</t>
        </is>
      </c>
      <c r="G42" t="n">
        <v>3</v>
      </c>
      <c r="H42" t="n">
        <v>6</v>
      </c>
      <c r="I42" t="n">
        <v>2</v>
      </c>
      <c r="J42" t="n">
        <v>8</v>
      </c>
      <c r="K42" t="n">
        <v>1</v>
      </c>
      <c r="L42" t="n">
        <v>0</v>
      </c>
      <c r="M42" t="n">
        <v>0</v>
      </c>
      <c r="N42" t="n">
        <v>0</v>
      </c>
      <c r="O42" t="n">
        <v>9</v>
      </c>
      <c r="P42" t="n">
        <v>1</v>
      </c>
      <c r="Q42" t="n">
        <v>13</v>
      </c>
      <c r="R42" s="2" t="inlineStr">
        <is>
          <t>Knärot
Garnlav
Järpe
Lunglav
Rosenticka
Talltita
Tretåig hackspett
Ullticka
Vedtrappmossa
Guldlockmossa
Stuplav
Blåsippa
Revlummer</t>
        </is>
      </c>
      <c r="S42">
        <f>HYPERLINK("https://klasma.github.io/Logging_2309/artfynd/A 1959-2022 artfynd.xlsx", "A 1959-2022")</f>
        <v/>
      </c>
      <c r="T42">
        <f>HYPERLINK("https://klasma.github.io/Logging_2309/kartor/A 1959-2022 karta.png", "A 1959-2022")</f>
        <v/>
      </c>
      <c r="U42">
        <f>HYPERLINK("https://klasma.github.io/Logging_2309/knärot/A 1959-2022 karta knärot.png", "A 1959-2022")</f>
        <v/>
      </c>
      <c r="V42">
        <f>HYPERLINK("https://klasma.github.io/Logging_2309/klagomål/A 1959-2022 FSC-klagomål.docx", "A 1959-2022")</f>
        <v/>
      </c>
      <c r="W42">
        <f>HYPERLINK("https://klasma.github.io/Logging_2309/klagomålsmail/A 1959-2022 FSC-klagomål mail.docx", "A 1959-2022")</f>
        <v/>
      </c>
      <c r="X42">
        <f>HYPERLINK("https://klasma.github.io/Logging_2309/tillsyn/A 1959-2022 tillsynsbegäran.docx", "A 1959-2022")</f>
        <v/>
      </c>
      <c r="Y42">
        <f>HYPERLINK("https://klasma.github.io/Logging_2309/tillsynsmail/A 1959-2022 tillsynsbegäran mail.docx", "A 1959-2022")</f>
        <v/>
      </c>
      <c r="Z42">
        <f>HYPERLINK("https://klasma.github.io/Logging_2309/fåglar/A 1959-2022 prioriterade fågelarter.docx", "A 1959-2022")</f>
        <v/>
      </c>
    </row>
    <row r="43" ht="15" customHeight="1">
      <c r="A43" t="inlineStr">
        <is>
          <t>A 23499-2025</t>
        </is>
      </c>
      <c r="B43" s="1" t="n">
        <v>45792</v>
      </c>
      <c r="C43" s="1" t="n">
        <v>46160</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3005-2022</t>
        </is>
      </c>
      <c r="B44" s="1" t="n">
        <v>44581</v>
      </c>
      <c r="C44" s="1" t="n">
        <v>46160</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46160</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46160</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46160</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6253-2026</t>
        </is>
      </c>
      <c r="B48" s="1" t="n">
        <v>46055.4729050926</v>
      </c>
      <c r="C48" s="1" t="n">
        <v>46160</v>
      </c>
      <c r="D48" t="inlineStr">
        <is>
          <t>JÄMTLANDS LÄN</t>
        </is>
      </c>
      <c r="E48" t="inlineStr">
        <is>
          <t>KROKOM</t>
        </is>
      </c>
      <c r="F48" t="inlineStr">
        <is>
          <t>Övriga Aktiebolag</t>
        </is>
      </c>
      <c r="G48" t="n">
        <v>12.1</v>
      </c>
      <c r="H48" t="n">
        <v>2</v>
      </c>
      <c r="I48" t="n">
        <v>4</v>
      </c>
      <c r="J48" t="n">
        <v>5</v>
      </c>
      <c r="K48" t="n">
        <v>3</v>
      </c>
      <c r="L48" t="n">
        <v>0</v>
      </c>
      <c r="M48" t="n">
        <v>0</v>
      </c>
      <c r="N48" t="n">
        <v>0</v>
      </c>
      <c r="O48" t="n">
        <v>8</v>
      </c>
      <c r="P48" t="n">
        <v>3</v>
      </c>
      <c r="Q48" t="n">
        <v>12</v>
      </c>
      <c r="R48" s="2" t="inlineStr">
        <is>
          <t>Liten sotlav
Norsk näverlav
Skuggkraterlav
Gammelgransskål
Garnlav
Liten svartspik
Talltita
Tretåig hackspett
Gytterlav
Luddlav
Sotlav
Stuplav</t>
        </is>
      </c>
      <c r="S48">
        <f>HYPERLINK("https://klasma.github.io/Logging_2309/artfynd/A 6253-2026 artfynd.xlsx", "A 6253-2026")</f>
        <v/>
      </c>
      <c r="T48">
        <f>HYPERLINK("https://klasma.github.io/Logging_2309/kartor/A 6253-2026 karta.png", "A 6253-2026")</f>
        <v/>
      </c>
      <c r="V48">
        <f>HYPERLINK("https://klasma.github.io/Logging_2309/klagomål/A 6253-2026 FSC-klagomål.docx", "A 6253-2026")</f>
        <v/>
      </c>
      <c r="W48">
        <f>HYPERLINK("https://klasma.github.io/Logging_2309/klagomålsmail/A 6253-2026 FSC-klagomål mail.docx", "A 6253-2026")</f>
        <v/>
      </c>
      <c r="X48">
        <f>HYPERLINK("https://klasma.github.io/Logging_2309/tillsyn/A 6253-2026 tillsynsbegäran.docx", "A 6253-2026")</f>
        <v/>
      </c>
      <c r="Y48">
        <f>HYPERLINK("https://klasma.github.io/Logging_2309/tillsynsmail/A 6253-2026 tillsynsbegäran mail.docx", "A 6253-2026")</f>
        <v/>
      </c>
      <c r="Z48">
        <f>HYPERLINK("https://klasma.github.io/Logging_2309/fåglar/A 6253-2026 prioriterade fågelarter.docx", "A 6253-2026")</f>
        <v/>
      </c>
    </row>
    <row r="49" ht="15" customHeight="1">
      <c r="A49" t="inlineStr">
        <is>
          <t>A 21932-2025</t>
        </is>
      </c>
      <c r="B49" s="1" t="n">
        <v>45784</v>
      </c>
      <c r="C49" s="1" t="n">
        <v>46160</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61434-2024</t>
        </is>
      </c>
      <c r="B50" s="1" t="n">
        <v>45646</v>
      </c>
      <c r="C50" s="1" t="n">
        <v>46160</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46160</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49139-2025</t>
        </is>
      </c>
      <c r="B52" s="1" t="n">
        <v>45938.31291666667</v>
      </c>
      <c r="C52" s="1" t="n">
        <v>46160</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v>
      </c>
      <c r="C53" s="1" t="n">
        <v>46160</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7074-2026</t>
        </is>
      </c>
      <c r="B54" s="1" t="n">
        <v>46058.32623842593</v>
      </c>
      <c r="C54" s="1" t="n">
        <v>46160</v>
      </c>
      <c r="D54" t="inlineStr">
        <is>
          <t>JÄMTLANDS LÄN</t>
        </is>
      </c>
      <c r="E54" t="inlineStr">
        <is>
          <t>KROKOM</t>
        </is>
      </c>
      <c r="F54" t="inlineStr">
        <is>
          <t>Övriga Aktiebolag</t>
        </is>
      </c>
      <c r="G54" t="n">
        <v>15.3</v>
      </c>
      <c r="H54" t="n">
        <v>5</v>
      </c>
      <c r="I54" t="n">
        <v>2</v>
      </c>
      <c r="J54" t="n">
        <v>8</v>
      </c>
      <c r="K54" t="n">
        <v>1</v>
      </c>
      <c r="L54" t="n">
        <v>0</v>
      </c>
      <c r="M54" t="n">
        <v>0</v>
      </c>
      <c r="N54" t="n">
        <v>0</v>
      </c>
      <c r="O54" t="n">
        <v>9</v>
      </c>
      <c r="P54" t="n">
        <v>1</v>
      </c>
      <c r="Q54" t="n">
        <v>11</v>
      </c>
      <c r="R54" s="2" t="inlineStr">
        <is>
          <t>Doftticka
Doftskinn
Garnlav
Harticka
Järpe
Kungsörn
Talltita
Tretåig hackspett
Ullticka
Skinnlav
Stor aspticka</t>
        </is>
      </c>
      <c r="S54">
        <f>HYPERLINK("https://klasma.github.io/Logging_2309/artfynd/A 7074-2026 artfynd.xlsx", "A 7074-2026")</f>
        <v/>
      </c>
      <c r="T54">
        <f>HYPERLINK("https://klasma.github.io/Logging_2309/kartor/A 7074-2026 karta.png", "A 7074-2026")</f>
        <v/>
      </c>
      <c r="V54">
        <f>HYPERLINK("https://klasma.github.io/Logging_2309/klagomål/A 7074-2026 FSC-klagomål.docx", "A 7074-2026")</f>
        <v/>
      </c>
      <c r="W54">
        <f>HYPERLINK("https://klasma.github.io/Logging_2309/klagomålsmail/A 7074-2026 FSC-klagomål mail.docx", "A 7074-2026")</f>
        <v/>
      </c>
      <c r="X54">
        <f>HYPERLINK("https://klasma.github.io/Logging_2309/tillsyn/A 7074-2026 tillsynsbegäran.docx", "A 7074-2026")</f>
        <v/>
      </c>
      <c r="Y54">
        <f>HYPERLINK("https://klasma.github.io/Logging_2309/tillsynsmail/A 7074-2026 tillsynsbegäran mail.docx", "A 7074-2026")</f>
        <v/>
      </c>
      <c r="Z54">
        <f>HYPERLINK("https://klasma.github.io/Logging_2309/fåglar/A 7074-2026 prioriterade fågelarter.docx", "A 7074-2026")</f>
        <v/>
      </c>
    </row>
    <row r="55" ht="15" customHeight="1">
      <c r="A55" t="inlineStr">
        <is>
          <t>A 39503-2024</t>
        </is>
      </c>
      <c r="B55" s="1" t="n">
        <v>45551</v>
      </c>
      <c r="C55" s="1" t="n">
        <v>46160</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29997-2024</t>
        </is>
      </c>
      <c r="B56" s="1" t="n">
        <v>45488.56961805555</v>
      </c>
      <c r="C56" s="1" t="n">
        <v>46160</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10051-2025</t>
        </is>
      </c>
      <c r="B57" s="1" t="n">
        <v>45719.52238425926</v>
      </c>
      <c r="C57" s="1" t="n">
        <v>46160</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46160</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46160</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19635-2024</t>
        </is>
      </c>
      <c r="B60" s="1" t="n">
        <v>45432.36971064815</v>
      </c>
      <c r="C60" s="1" t="n">
        <v>46160</v>
      </c>
      <c r="D60" t="inlineStr">
        <is>
          <t>JÄMTLANDS LÄN</t>
        </is>
      </c>
      <c r="E60" t="inlineStr">
        <is>
          <t>KROKOM</t>
        </is>
      </c>
      <c r="G60" t="n">
        <v>14.5</v>
      </c>
      <c r="H60" t="n">
        <v>5</v>
      </c>
      <c r="I60" t="n">
        <v>2</v>
      </c>
      <c r="J60" t="n">
        <v>6</v>
      </c>
      <c r="K60" t="n">
        <v>1</v>
      </c>
      <c r="L60" t="n">
        <v>0</v>
      </c>
      <c r="M60" t="n">
        <v>0</v>
      </c>
      <c r="N60" t="n">
        <v>0</v>
      </c>
      <c r="O60" t="n">
        <v>7</v>
      </c>
      <c r="P60" t="n">
        <v>1</v>
      </c>
      <c r="Q60" t="n">
        <v>10</v>
      </c>
      <c r="R60" s="2" t="inlineStr">
        <is>
          <t>Knärot
Garnlav
Harticka
Järpe
Spillkråka
Tretåig hackspett
Ullticka
Luddlav
Norrlandslav
Tjäder</t>
        </is>
      </c>
      <c r="S60">
        <f>HYPERLINK("https://klasma.github.io/Logging_2309/artfynd/A 19635-2024 artfynd.xlsx", "A 19635-2024")</f>
        <v/>
      </c>
      <c r="T60">
        <f>HYPERLINK("https://klasma.github.io/Logging_2309/kartor/A 19635-2024 karta.png", "A 19635-2024")</f>
        <v/>
      </c>
      <c r="U60">
        <f>HYPERLINK("https://klasma.github.io/Logging_2309/knärot/A 19635-2024 karta knärot.png", "A 19635-2024")</f>
        <v/>
      </c>
      <c r="V60">
        <f>HYPERLINK("https://klasma.github.io/Logging_2309/klagomål/A 19635-2024 FSC-klagomål.docx", "A 19635-2024")</f>
        <v/>
      </c>
      <c r="W60">
        <f>HYPERLINK("https://klasma.github.io/Logging_2309/klagomålsmail/A 19635-2024 FSC-klagomål mail.docx", "A 19635-2024")</f>
        <v/>
      </c>
      <c r="X60">
        <f>HYPERLINK("https://klasma.github.io/Logging_2309/tillsyn/A 19635-2024 tillsynsbegäran.docx", "A 19635-2024")</f>
        <v/>
      </c>
      <c r="Y60">
        <f>HYPERLINK("https://klasma.github.io/Logging_2309/tillsynsmail/A 19635-2024 tillsynsbegäran mail.docx", "A 19635-2024")</f>
        <v/>
      </c>
      <c r="Z60">
        <f>HYPERLINK("https://klasma.github.io/Logging_2309/fåglar/A 19635-2024 prioriterade fågelarter.docx", "A 19635-2024")</f>
        <v/>
      </c>
    </row>
    <row r="61" ht="15" customHeight="1">
      <c r="A61" t="inlineStr">
        <is>
          <t>A 18460-2023</t>
        </is>
      </c>
      <c r="B61" s="1" t="n">
        <v>45041</v>
      </c>
      <c r="C61" s="1" t="n">
        <v>46160</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46160</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46160</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46160</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46038-2024</t>
        </is>
      </c>
      <c r="B65" s="1" t="n">
        <v>45580</v>
      </c>
      <c r="C65" s="1" t="n">
        <v>46160</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46160</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46160</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17100-2026</t>
        </is>
      </c>
      <c r="B68" s="1" t="n">
        <v>46114.60100694445</v>
      </c>
      <c r="C68" s="1" t="n">
        <v>46160</v>
      </c>
      <c r="D68" t="inlineStr">
        <is>
          <t>JÄMTLANDS LÄN</t>
        </is>
      </c>
      <c r="E68" t="inlineStr">
        <is>
          <t>KROKOM</t>
        </is>
      </c>
      <c r="F68" t="inlineStr">
        <is>
          <t>Övriga Aktiebolag</t>
        </is>
      </c>
      <c r="G68" t="n">
        <v>19.4</v>
      </c>
      <c r="H68" t="n">
        <v>3</v>
      </c>
      <c r="I68" t="n">
        <v>1</v>
      </c>
      <c r="J68" t="n">
        <v>6</v>
      </c>
      <c r="K68" t="n">
        <v>1</v>
      </c>
      <c r="L68" t="n">
        <v>0</v>
      </c>
      <c r="M68" t="n">
        <v>0</v>
      </c>
      <c r="N68" t="n">
        <v>0</v>
      </c>
      <c r="O68" t="n">
        <v>7</v>
      </c>
      <c r="P68" t="n">
        <v>1</v>
      </c>
      <c r="Q68" t="n">
        <v>9</v>
      </c>
      <c r="R68" s="2" t="inlineStr">
        <is>
          <t>Knärot
Garnlav
Kolflarnlav
Lunglav
Mörk kolflarnlav
Skrovellav
Tretåig hackspett
Stuplav
Kungsfågel</t>
        </is>
      </c>
      <c r="S68">
        <f>HYPERLINK("https://klasma.github.io/Logging_2309/artfynd/A 17100-2026 artfynd.xlsx", "A 17100-2026")</f>
        <v/>
      </c>
      <c r="T68">
        <f>HYPERLINK("https://klasma.github.io/Logging_2309/kartor/A 17100-2026 karta.png", "A 17100-2026")</f>
        <v/>
      </c>
      <c r="U68">
        <f>HYPERLINK("https://klasma.github.io/Logging_2309/knärot/A 17100-2026 karta knärot.png", "A 17100-2026")</f>
        <v/>
      </c>
      <c r="V68">
        <f>HYPERLINK("https://klasma.github.io/Logging_2309/klagomål/A 17100-2026 FSC-klagomål.docx", "A 17100-2026")</f>
        <v/>
      </c>
      <c r="W68">
        <f>HYPERLINK("https://klasma.github.io/Logging_2309/klagomålsmail/A 17100-2026 FSC-klagomål mail.docx", "A 17100-2026")</f>
        <v/>
      </c>
      <c r="X68">
        <f>HYPERLINK("https://klasma.github.io/Logging_2309/tillsyn/A 17100-2026 tillsynsbegäran.docx", "A 17100-2026")</f>
        <v/>
      </c>
      <c r="Y68">
        <f>HYPERLINK("https://klasma.github.io/Logging_2309/tillsynsmail/A 17100-2026 tillsynsbegäran mail.docx", "A 17100-2026")</f>
        <v/>
      </c>
      <c r="Z68">
        <f>HYPERLINK("https://klasma.github.io/Logging_2309/fåglar/A 17100-2026 prioriterade fågelarter.docx", "A 17100-2026")</f>
        <v/>
      </c>
    </row>
    <row r="69" ht="15" customHeight="1">
      <c r="A69" t="inlineStr">
        <is>
          <t>A 61749-2021</t>
        </is>
      </c>
      <c r="B69" s="1" t="n">
        <v>44498</v>
      </c>
      <c r="C69" s="1" t="n">
        <v>46160</v>
      </c>
      <c r="D69" t="inlineStr">
        <is>
          <t>JÄMTLANDS LÄN</t>
        </is>
      </c>
      <c r="E69" t="inlineStr">
        <is>
          <t>KROKOM</t>
        </is>
      </c>
      <c r="G69" t="n">
        <v>28</v>
      </c>
      <c r="H69" t="n">
        <v>1</v>
      </c>
      <c r="I69" t="n">
        <v>2</v>
      </c>
      <c r="J69" t="n">
        <v>7</v>
      </c>
      <c r="K69" t="n">
        <v>0</v>
      </c>
      <c r="L69" t="n">
        <v>0</v>
      </c>
      <c r="M69" t="n">
        <v>0</v>
      </c>
      <c r="N69" t="n">
        <v>0</v>
      </c>
      <c r="O69" t="n">
        <v>7</v>
      </c>
      <c r="P69" t="n">
        <v>0</v>
      </c>
      <c r="Q69" t="n">
        <v>9</v>
      </c>
      <c r="R69" s="2" t="inlineStr">
        <is>
          <t>Doftskinn
Granticka
Rosenticka
Stjärntagging
Svartvit taggsvamp
Tretåig hackspett
Ullticka
Diskvaxskivling
Skarp dropptaggsvamp</t>
        </is>
      </c>
      <c r="S69">
        <f>HYPERLINK("https://klasma.github.io/Logging_2309/artfynd/A 61749-2021 artfynd.xlsx", "A 61749-2021")</f>
        <v/>
      </c>
      <c r="T69">
        <f>HYPERLINK("https://klasma.github.io/Logging_2309/kartor/A 61749-2021 karta.png", "A 61749-2021")</f>
        <v/>
      </c>
      <c r="V69">
        <f>HYPERLINK("https://klasma.github.io/Logging_2309/klagomål/A 61749-2021 FSC-klagomål.docx", "A 61749-2021")</f>
        <v/>
      </c>
      <c r="W69">
        <f>HYPERLINK("https://klasma.github.io/Logging_2309/klagomålsmail/A 61749-2021 FSC-klagomål mail.docx", "A 61749-2021")</f>
        <v/>
      </c>
      <c r="X69">
        <f>HYPERLINK("https://klasma.github.io/Logging_2309/tillsyn/A 61749-2021 tillsynsbegäran.docx", "A 61749-2021")</f>
        <v/>
      </c>
      <c r="Y69">
        <f>HYPERLINK("https://klasma.github.io/Logging_2309/tillsynsmail/A 61749-2021 tillsynsbegäran mail.docx", "A 61749-2021")</f>
        <v/>
      </c>
      <c r="Z69">
        <f>HYPERLINK("https://klasma.github.io/Logging_2309/fåglar/A 61749-2021 prioriterade fågelarter.docx", "A 61749-2021")</f>
        <v/>
      </c>
    </row>
    <row r="70" ht="15" customHeight="1">
      <c r="A70" t="inlineStr">
        <is>
          <t>A 73840-2021</t>
        </is>
      </c>
      <c r="B70" s="1" t="n">
        <v>44552</v>
      </c>
      <c r="C70" s="1" t="n">
        <v>46160</v>
      </c>
      <c r="D70" t="inlineStr">
        <is>
          <t>JÄMTLANDS LÄN</t>
        </is>
      </c>
      <c r="E70" t="inlineStr">
        <is>
          <t>KROKOM</t>
        </is>
      </c>
      <c r="F70" t="inlineStr">
        <is>
          <t>SCA</t>
        </is>
      </c>
      <c r="G70" t="n">
        <v>5.5</v>
      </c>
      <c r="H70" t="n">
        <v>1</v>
      </c>
      <c r="I70" t="n">
        <v>3</v>
      </c>
      <c r="J70" t="n">
        <v>3</v>
      </c>
      <c r="K70" t="n">
        <v>2</v>
      </c>
      <c r="L70" t="n">
        <v>0</v>
      </c>
      <c r="M70" t="n">
        <v>0</v>
      </c>
      <c r="N70" t="n">
        <v>0</v>
      </c>
      <c r="O70" t="n">
        <v>5</v>
      </c>
      <c r="P70" t="n">
        <v>2</v>
      </c>
      <c r="Q70" t="n">
        <v>8</v>
      </c>
      <c r="R70" s="2" t="inlineStr">
        <is>
          <t>Knärot
Lateritticka
Dvärgbägarlav
Lunglav
Vedskivlav
Dropptaggsvamp
Luddlav
Stuplav</t>
        </is>
      </c>
      <c r="S70">
        <f>HYPERLINK("https://klasma.github.io/Logging_2309/artfynd/A 73840-2021 artfynd.xlsx", "A 73840-2021")</f>
        <v/>
      </c>
      <c r="T70">
        <f>HYPERLINK("https://klasma.github.io/Logging_2309/kartor/A 73840-2021 karta.png", "A 73840-2021")</f>
        <v/>
      </c>
      <c r="U70">
        <f>HYPERLINK("https://klasma.github.io/Logging_2309/knärot/A 73840-2021 karta knärot.png", "A 73840-2021")</f>
        <v/>
      </c>
      <c r="V70">
        <f>HYPERLINK("https://klasma.github.io/Logging_2309/klagomål/A 73840-2021 FSC-klagomål.docx", "A 73840-2021")</f>
        <v/>
      </c>
      <c r="W70">
        <f>HYPERLINK("https://klasma.github.io/Logging_2309/klagomålsmail/A 73840-2021 FSC-klagomål mail.docx", "A 73840-2021")</f>
        <v/>
      </c>
      <c r="X70">
        <f>HYPERLINK("https://klasma.github.io/Logging_2309/tillsyn/A 73840-2021 tillsynsbegäran.docx", "A 73840-2021")</f>
        <v/>
      </c>
      <c r="Y70">
        <f>HYPERLINK("https://klasma.github.io/Logging_2309/tillsynsmail/A 73840-2021 tillsynsbegäran mail.docx", "A 73840-2021")</f>
        <v/>
      </c>
    </row>
    <row r="71" ht="15" customHeight="1">
      <c r="A71" t="inlineStr">
        <is>
          <t>A 43541-2023</t>
        </is>
      </c>
      <c r="B71" s="1" t="n">
        <v>45181</v>
      </c>
      <c r="C71" s="1" t="n">
        <v>46160</v>
      </c>
      <c r="D71" t="inlineStr">
        <is>
          <t>JÄMTLANDS LÄN</t>
        </is>
      </c>
      <c r="E71" t="inlineStr">
        <is>
          <t>KROKOM</t>
        </is>
      </c>
      <c r="G71" t="n">
        <v>14.3</v>
      </c>
      <c r="H71" t="n">
        <v>1</v>
      </c>
      <c r="I71" t="n">
        <v>3</v>
      </c>
      <c r="J71" t="n">
        <v>5</v>
      </c>
      <c r="K71" t="n">
        <v>0</v>
      </c>
      <c r="L71" t="n">
        <v>0</v>
      </c>
      <c r="M71" t="n">
        <v>0</v>
      </c>
      <c r="N71" t="n">
        <v>0</v>
      </c>
      <c r="O71" t="n">
        <v>5</v>
      </c>
      <c r="P71" t="n">
        <v>0</v>
      </c>
      <c r="Q71" t="n">
        <v>8</v>
      </c>
      <c r="R71" s="2" t="inlineStr">
        <is>
          <t>Doftskinn
Garnlav
Granticka
Harticka
Tretåig hackspett
Gytterlav
Stuplav
Trådticka</t>
        </is>
      </c>
      <c r="S71">
        <f>HYPERLINK("https://klasma.github.io/Logging_2309/artfynd/A 43541-2023 artfynd.xlsx", "A 43541-2023")</f>
        <v/>
      </c>
      <c r="T71">
        <f>HYPERLINK("https://klasma.github.io/Logging_2309/kartor/A 43541-2023 karta.png", "A 43541-2023")</f>
        <v/>
      </c>
      <c r="V71">
        <f>HYPERLINK("https://klasma.github.io/Logging_2309/klagomål/A 43541-2023 FSC-klagomål.docx", "A 43541-2023")</f>
        <v/>
      </c>
      <c r="W71">
        <f>HYPERLINK("https://klasma.github.io/Logging_2309/klagomålsmail/A 43541-2023 FSC-klagomål mail.docx", "A 43541-2023")</f>
        <v/>
      </c>
      <c r="X71">
        <f>HYPERLINK("https://klasma.github.io/Logging_2309/tillsyn/A 43541-2023 tillsynsbegäran.docx", "A 43541-2023")</f>
        <v/>
      </c>
      <c r="Y71">
        <f>HYPERLINK("https://klasma.github.io/Logging_2309/tillsynsmail/A 43541-2023 tillsynsbegäran mail.docx", "A 43541-2023")</f>
        <v/>
      </c>
      <c r="Z71">
        <f>HYPERLINK("https://klasma.github.io/Logging_2309/fåglar/A 43541-2023 prioriterade fågelarter.docx", "A 43541-2023")</f>
        <v/>
      </c>
    </row>
    <row r="72" ht="15" customHeight="1">
      <c r="A72" t="inlineStr">
        <is>
          <t>A 24370-2024</t>
        </is>
      </c>
      <c r="B72" s="1" t="n">
        <v>45457</v>
      </c>
      <c r="C72" s="1" t="n">
        <v>46160</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62118-2023</t>
        </is>
      </c>
      <c r="B73" s="1" t="n">
        <v>45267</v>
      </c>
      <c r="C73" s="1" t="n">
        <v>46160</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44344-2025</t>
        </is>
      </c>
      <c r="B74" s="1" t="n">
        <v>45916.43416666667</v>
      </c>
      <c r="C74" s="1" t="n">
        <v>46160</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53766-2025</t>
        </is>
      </c>
      <c r="B75" s="1" t="n">
        <v>45960.67778935185</v>
      </c>
      <c r="C75" s="1" t="n">
        <v>46160</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63661-2025</t>
        </is>
      </c>
      <c r="B76" s="1" t="n">
        <v>46014.45053240741</v>
      </c>
      <c r="C76" s="1" t="n">
        <v>46160</v>
      </c>
      <c r="D76" t="inlineStr">
        <is>
          <t>JÄMTLANDS LÄN</t>
        </is>
      </c>
      <c r="E76" t="inlineStr">
        <is>
          <t>KROKOM</t>
        </is>
      </c>
      <c r="G76" t="n">
        <v>8.199999999999999</v>
      </c>
      <c r="H76" t="n">
        <v>2</v>
      </c>
      <c r="I76" t="n">
        <v>3</v>
      </c>
      <c r="J76" t="n">
        <v>5</v>
      </c>
      <c r="K76" t="n">
        <v>0</v>
      </c>
      <c r="L76" t="n">
        <v>0</v>
      </c>
      <c r="M76" t="n">
        <v>0</v>
      </c>
      <c r="N76" t="n">
        <v>0</v>
      </c>
      <c r="O76" t="n">
        <v>5</v>
      </c>
      <c r="P76" t="n">
        <v>0</v>
      </c>
      <c r="Q76" t="n">
        <v>8</v>
      </c>
      <c r="R76" s="2" t="inlineStr">
        <is>
          <t>Garnlav
Liten svartspik
Talltita
Tretåig hackspett
Vitgrynig nållav
Gytterlav
Korallblylav
Vedticka</t>
        </is>
      </c>
      <c r="S76">
        <f>HYPERLINK("https://klasma.github.io/Logging_2309/artfynd/A 63661-2025 artfynd.xlsx", "A 63661-2025")</f>
        <v/>
      </c>
      <c r="T76">
        <f>HYPERLINK("https://klasma.github.io/Logging_2309/kartor/A 63661-2025 karta.png", "A 63661-2025")</f>
        <v/>
      </c>
      <c r="V76">
        <f>HYPERLINK("https://klasma.github.io/Logging_2309/klagomål/A 63661-2025 FSC-klagomål.docx", "A 63661-2025")</f>
        <v/>
      </c>
      <c r="W76">
        <f>HYPERLINK("https://klasma.github.io/Logging_2309/klagomålsmail/A 63661-2025 FSC-klagomål mail.docx", "A 63661-2025")</f>
        <v/>
      </c>
      <c r="X76">
        <f>HYPERLINK("https://klasma.github.io/Logging_2309/tillsyn/A 63661-2025 tillsynsbegäran.docx", "A 63661-2025")</f>
        <v/>
      </c>
      <c r="Y76">
        <f>HYPERLINK("https://klasma.github.io/Logging_2309/tillsynsmail/A 63661-2025 tillsynsbegäran mail.docx", "A 63661-2025")</f>
        <v/>
      </c>
      <c r="Z76">
        <f>HYPERLINK("https://klasma.github.io/Logging_2309/fåglar/A 63661-2025 prioriterade fågelarter.docx", "A 63661-2025")</f>
        <v/>
      </c>
    </row>
    <row r="77" ht="15" customHeight="1">
      <c r="A77" t="inlineStr">
        <is>
          <t>A 18872-2026</t>
        </is>
      </c>
      <c r="B77" s="1" t="n">
        <v>46129.41</v>
      </c>
      <c r="C77" s="1" t="n">
        <v>46160</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933-2026</t>
        </is>
      </c>
      <c r="B78" s="1" t="n">
        <v>46030.51732638889</v>
      </c>
      <c r="C78" s="1" t="n">
        <v>46160</v>
      </c>
      <c r="D78" t="inlineStr">
        <is>
          <t>JÄMTLANDS LÄN</t>
        </is>
      </c>
      <c r="E78" t="inlineStr">
        <is>
          <t>KROKOM</t>
        </is>
      </c>
      <c r="G78" t="n">
        <v>22.9</v>
      </c>
      <c r="H78" t="n">
        <v>3</v>
      </c>
      <c r="I78" t="n">
        <v>0</v>
      </c>
      <c r="J78" t="n">
        <v>6</v>
      </c>
      <c r="K78" t="n">
        <v>2</v>
      </c>
      <c r="L78" t="n">
        <v>0</v>
      </c>
      <c r="M78" t="n">
        <v>0</v>
      </c>
      <c r="N78" t="n">
        <v>0</v>
      </c>
      <c r="O78" t="n">
        <v>8</v>
      </c>
      <c r="P78" t="n">
        <v>2</v>
      </c>
      <c r="Q78" t="n">
        <v>8</v>
      </c>
      <c r="R78" s="2" t="inlineStr">
        <is>
          <t>Rynkskinn
Sprickporing
Doftskinn
Garnlav
Spillkråka
Tretåig hackspett
Ullticka
Utter</t>
        </is>
      </c>
      <c r="S78">
        <f>HYPERLINK("https://klasma.github.io/Logging_2309/artfynd/A 933-2026 artfynd.xlsx", "A 933-2026")</f>
        <v/>
      </c>
      <c r="T78">
        <f>HYPERLINK("https://klasma.github.io/Logging_2309/kartor/A 933-2026 karta.png", "A 933-2026")</f>
        <v/>
      </c>
      <c r="V78">
        <f>HYPERLINK("https://klasma.github.io/Logging_2309/klagomål/A 933-2026 FSC-klagomål.docx", "A 933-2026")</f>
        <v/>
      </c>
      <c r="W78">
        <f>HYPERLINK("https://klasma.github.io/Logging_2309/klagomålsmail/A 933-2026 FSC-klagomål mail.docx", "A 933-2026")</f>
        <v/>
      </c>
      <c r="X78">
        <f>HYPERLINK("https://klasma.github.io/Logging_2309/tillsyn/A 933-2026 tillsynsbegäran.docx", "A 933-2026")</f>
        <v/>
      </c>
      <c r="Y78">
        <f>HYPERLINK("https://klasma.github.io/Logging_2309/tillsynsmail/A 933-2026 tillsynsbegäran mail.docx", "A 933-2026")</f>
        <v/>
      </c>
      <c r="Z78">
        <f>HYPERLINK("https://klasma.github.io/Logging_2309/fåglar/A 933-2026 prioriterade fågelarter.docx", "A 933-2026")</f>
        <v/>
      </c>
    </row>
    <row r="79" ht="15" customHeight="1">
      <c r="A79" t="inlineStr">
        <is>
          <t>A 40206-2023</t>
        </is>
      </c>
      <c r="B79" s="1" t="n">
        <v>45169</v>
      </c>
      <c r="C79" s="1" t="n">
        <v>46160</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35883-2025</t>
        </is>
      </c>
      <c r="B80" s="1" t="n">
        <v>45862</v>
      </c>
      <c r="C80" s="1" t="n">
        <v>46160</v>
      </c>
      <c r="D80" t="inlineStr">
        <is>
          <t>JÄMTLANDS LÄN</t>
        </is>
      </c>
      <c r="E80" t="inlineStr">
        <is>
          <t>KROKOM</t>
        </is>
      </c>
      <c r="G80" t="n">
        <v>5</v>
      </c>
      <c r="H80" t="n">
        <v>2</v>
      </c>
      <c r="I80" t="n">
        <v>3</v>
      </c>
      <c r="J80" t="n">
        <v>4</v>
      </c>
      <c r="K80" t="n">
        <v>0</v>
      </c>
      <c r="L80" t="n">
        <v>0</v>
      </c>
      <c r="M80" t="n">
        <v>0</v>
      </c>
      <c r="N80" t="n">
        <v>0</v>
      </c>
      <c r="O80" t="n">
        <v>4</v>
      </c>
      <c r="P80" t="n">
        <v>0</v>
      </c>
      <c r="Q80" t="n">
        <v>8</v>
      </c>
      <c r="R80" s="2" t="inlineStr">
        <is>
          <t>Garnlav
Harticka
Talltita
Ullticka
Mörk husmossa
Svavelriska
Trådticka
Blåsippa</t>
        </is>
      </c>
      <c r="S80">
        <f>HYPERLINK("https://klasma.github.io/Logging_2309/artfynd/A 35883-2025 artfynd.xlsx", "A 35883-2025")</f>
        <v/>
      </c>
      <c r="T80">
        <f>HYPERLINK("https://klasma.github.io/Logging_2309/kartor/A 35883-2025 karta.png", "A 35883-2025")</f>
        <v/>
      </c>
      <c r="V80">
        <f>HYPERLINK("https://klasma.github.io/Logging_2309/klagomål/A 35883-2025 FSC-klagomål.docx", "A 35883-2025")</f>
        <v/>
      </c>
      <c r="W80">
        <f>HYPERLINK("https://klasma.github.io/Logging_2309/klagomålsmail/A 35883-2025 FSC-klagomål mail.docx", "A 35883-2025")</f>
        <v/>
      </c>
      <c r="X80">
        <f>HYPERLINK("https://klasma.github.io/Logging_2309/tillsyn/A 35883-2025 tillsynsbegäran.docx", "A 35883-2025")</f>
        <v/>
      </c>
      <c r="Y80">
        <f>HYPERLINK("https://klasma.github.io/Logging_2309/tillsynsmail/A 35883-2025 tillsynsbegäran mail.docx", "A 35883-2025")</f>
        <v/>
      </c>
      <c r="Z80">
        <f>HYPERLINK("https://klasma.github.io/Logging_2309/fåglar/A 35883-2025 prioriterade fågelarter.docx", "A 35883-2025")</f>
        <v/>
      </c>
    </row>
    <row r="81" ht="15" customHeight="1">
      <c r="A81" t="inlineStr">
        <is>
          <t>A 11238-2026</t>
        </is>
      </c>
      <c r="B81" s="1" t="n">
        <v>46080</v>
      </c>
      <c r="C81" s="1" t="n">
        <v>46160</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20169-2022</t>
        </is>
      </c>
      <c r="B82" s="1" t="n">
        <v>44698</v>
      </c>
      <c r="C82" s="1" t="n">
        <v>46160</v>
      </c>
      <c r="D82" t="inlineStr">
        <is>
          <t>JÄMTLANDS LÄN</t>
        </is>
      </c>
      <c r="E82" t="inlineStr">
        <is>
          <t>KROKOM</t>
        </is>
      </c>
      <c r="G82" t="n">
        <v>33.6</v>
      </c>
      <c r="H82" t="n">
        <v>2</v>
      </c>
      <c r="I82" t="n">
        <v>3</v>
      </c>
      <c r="J82" t="n">
        <v>4</v>
      </c>
      <c r="K82" t="n">
        <v>0</v>
      </c>
      <c r="L82" t="n">
        <v>0</v>
      </c>
      <c r="M82" t="n">
        <v>0</v>
      </c>
      <c r="N82" t="n">
        <v>0</v>
      </c>
      <c r="O82" t="n">
        <v>4</v>
      </c>
      <c r="P82" t="n">
        <v>0</v>
      </c>
      <c r="Q82" t="n">
        <v>7</v>
      </c>
      <c r="R82" s="2" t="inlineStr">
        <is>
          <t>Gammelgransskål
Granticka
Tretåig hackspett
Vitgrynig nållav
Bårdlav
Spindelblomster
Stuplav</t>
        </is>
      </c>
      <c r="S82">
        <f>HYPERLINK("https://klasma.github.io/Logging_2309/artfynd/A 20169-2022 artfynd.xlsx", "A 20169-2022")</f>
        <v/>
      </c>
      <c r="T82">
        <f>HYPERLINK("https://klasma.github.io/Logging_2309/kartor/A 20169-2022 karta.png", "A 20169-2022")</f>
        <v/>
      </c>
      <c r="V82">
        <f>HYPERLINK("https://klasma.github.io/Logging_2309/klagomål/A 20169-2022 FSC-klagomål.docx", "A 20169-2022")</f>
        <v/>
      </c>
      <c r="W82">
        <f>HYPERLINK("https://klasma.github.io/Logging_2309/klagomålsmail/A 20169-2022 FSC-klagomål mail.docx", "A 20169-2022")</f>
        <v/>
      </c>
      <c r="X82">
        <f>HYPERLINK("https://klasma.github.io/Logging_2309/tillsyn/A 20169-2022 tillsynsbegäran.docx", "A 20169-2022")</f>
        <v/>
      </c>
      <c r="Y82">
        <f>HYPERLINK("https://klasma.github.io/Logging_2309/tillsynsmail/A 20169-2022 tillsynsbegäran mail.docx", "A 20169-2022")</f>
        <v/>
      </c>
      <c r="Z82">
        <f>HYPERLINK("https://klasma.github.io/Logging_2309/fåglar/A 20169-2022 prioriterade fågelarter.docx", "A 20169-2022")</f>
        <v/>
      </c>
    </row>
    <row r="83" ht="15" customHeight="1">
      <c r="A83" t="inlineStr">
        <is>
          <t>A 3433-2022</t>
        </is>
      </c>
      <c r="B83" s="1" t="n">
        <v>44585</v>
      </c>
      <c r="C83" s="1" t="n">
        <v>46160</v>
      </c>
      <c r="D83" t="inlineStr">
        <is>
          <t>JÄMTLANDS LÄN</t>
        </is>
      </c>
      <c r="E83" t="inlineStr">
        <is>
          <t>KROKOM</t>
        </is>
      </c>
      <c r="F83" t="inlineStr">
        <is>
          <t>Kyrkan</t>
        </is>
      </c>
      <c r="G83" t="n">
        <v>14.6</v>
      </c>
      <c r="H83" t="n">
        <v>1</v>
      </c>
      <c r="I83" t="n">
        <v>1</v>
      </c>
      <c r="J83" t="n">
        <v>6</v>
      </c>
      <c r="K83" t="n">
        <v>0</v>
      </c>
      <c r="L83" t="n">
        <v>0</v>
      </c>
      <c r="M83" t="n">
        <v>0</v>
      </c>
      <c r="N83" t="n">
        <v>0</v>
      </c>
      <c r="O83" t="n">
        <v>6</v>
      </c>
      <c r="P83" t="n">
        <v>0</v>
      </c>
      <c r="Q83" t="n">
        <v>7</v>
      </c>
      <c r="R83" s="2" t="inlineStr">
        <is>
          <t>Garnlav
Kolflarnlav
Liten svartspik
Lunglav
Tretåig hackspett
Vitgrynig nållav
Bårdlav</t>
        </is>
      </c>
      <c r="S83">
        <f>HYPERLINK("https://klasma.github.io/Logging_2309/artfynd/A 3433-2022 artfynd.xlsx", "A 3433-2022")</f>
        <v/>
      </c>
      <c r="T83">
        <f>HYPERLINK("https://klasma.github.io/Logging_2309/kartor/A 3433-2022 karta.png", "A 3433-2022")</f>
        <v/>
      </c>
      <c r="V83">
        <f>HYPERLINK("https://klasma.github.io/Logging_2309/klagomål/A 3433-2022 FSC-klagomål.docx", "A 3433-2022")</f>
        <v/>
      </c>
      <c r="W83">
        <f>HYPERLINK("https://klasma.github.io/Logging_2309/klagomålsmail/A 3433-2022 FSC-klagomål mail.docx", "A 3433-2022")</f>
        <v/>
      </c>
      <c r="X83">
        <f>HYPERLINK("https://klasma.github.io/Logging_2309/tillsyn/A 3433-2022 tillsynsbegäran.docx", "A 3433-2022")</f>
        <v/>
      </c>
      <c r="Y83">
        <f>HYPERLINK("https://klasma.github.io/Logging_2309/tillsynsmail/A 3433-2022 tillsynsbegäran mail.docx", "A 3433-2022")</f>
        <v/>
      </c>
      <c r="Z83">
        <f>HYPERLINK("https://klasma.github.io/Logging_2309/fåglar/A 3433-2022 prioriterade fågelarter.docx", "A 3433-2022")</f>
        <v/>
      </c>
    </row>
    <row r="84" ht="15" customHeight="1">
      <c r="A84" t="inlineStr">
        <is>
          <t>A 37408-2025</t>
        </is>
      </c>
      <c r="B84" s="1" t="n">
        <v>45877</v>
      </c>
      <c r="C84" s="1" t="n">
        <v>46160</v>
      </c>
      <c r="D84" t="inlineStr">
        <is>
          <t>JÄMTLANDS LÄN</t>
        </is>
      </c>
      <c r="E84" t="inlineStr">
        <is>
          <t>KROKOM</t>
        </is>
      </c>
      <c r="G84" t="n">
        <v>7.3</v>
      </c>
      <c r="H84" t="n">
        <v>4</v>
      </c>
      <c r="I84" t="n">
        <v>1</v>
      </c>
      <c r="J84" t="n">
        <v>4</v>
      </c>
      <c r="K84" t="n">
        <v>1</v>
      </c>
      <c r="L84" t="n">
        <v>0</v>
      </c>
      <c r="M84" t="n">
        <v>0</v>
      </c>
      <c r="N84" t="n">
        <v>0</v>
      </c>
      <c r="O84" t="n">
        <v>5</v>
      </c>
      <c r="P84" t="n">
        <v>1</v>
      </c>
      <c r="Q84" t="n">
        <v>7</v>
      </c>
      <c r="R84" s="2" t="inlineStr">
        <is>
          <t>Knärot
Garnlav
Granticka
Harticka
Tretåig hackspett
Plattlummer
Fläcknycklar</t>
        </is>
      </c>
      <c r="S84">
        <f>HYPERLINK("https://klasma.github.io/Logging_2309/artfynd/A 37408-2025 artfynd.xlsx", "A 37408-2025")</f>
        <v/>
      </c>
      <c r="T84">
        <f>HYPERLINK("https://klasma.github.io/Logging_2309/kartor/A 37408-2025 karta.png", "A 37408-2025")</f>
        <v/>
      </c>
      <c r="U84">
        <f>HYPERLINK("https://klasma.github.io/Logging_2309/knärot/A 37408-2025 karta knärot.png", "A 37408-2025")</f>
        <v/>
      </c>
      <c r="V84">
        <f>HYPERLINK("https://klasma.github.io/Logging_2309/klagomål/A 37408-2025 FSC-klagomål.docx", "A 37408-2025")</f>
        <v/>
      </c>
      <c r="W84">
        <f>HYPERLINK("https://klasma.github.io/Logging_2309/klagomålsmail/A 37408-2025 FSC-klagomål mail.docx", "A 37408-2025")</f>
        <v/>
      </c>
      <c r="X84">
        <f>HYPERLINK("https://klasma.github.io/Logging_2309/tillsyn/A 37408-2025 tillsynsbegäran.docx", "A 37408-2025")</f>
        <v/>
      </c>
      <c r="Y84">
        <f>HYPERLINK("https://klasma.github.io/Logging_2309/tillsynsmail/A 37408-2025 tillsynsbegäran mail.docx", "A 37408-2025")</f>
        <v/>
      </c>
      <c r="Z84">
        <f>HYPERLINK("https://klasma.github.io/Logging_2309/fåglar/A 37408-2025 prioriterade fågelarter.docx", "A 37408-2025")</f>
        <v/>
      </c>
    </row>
    <row r="85" ht="15" customHeight="1">
      <c r="A85" t="inlineStr">
        <is>
          <t>A 32949-2025</t>
        </is>
      </c>
      <c r="B85" s="1" t="n">
        <v>45839.68914351852</v>
      </c>
      <c r="C85" s="1" t="n">
        <v>46160</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46160</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62205-2025</t>
        </is>
      </c>
      <c r="B87" s="1" t="n">
        <v>46006.56194444445</v>
      </c>
      <c r="C87" s="1" t="n">
        <v>46160</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61231-2025</t>
        </is>
      </c>
      <c r="B88" s="1" t="n">
        <v>46000.63320601852</v>
      </c>
      <c r="C88" s="1" t="n">
        <v>46160</v>
      </c>
      <c r="D88" t="inlineStr">
        <is>
          <t>JÄMTLANDS LÄN</t>
        </is>
      </c>
      <c r="E88" t="inlineStr">
        <is>
          <t>KROKOM</t>
        </is>
      </c>
      <c r="F88" t="inlineStr">
        <is>
          <t>Övriga Aktiebolag</t>
        </is>
      </c>
      <c r="G88" t="n">
        <v>11.1</v>
      </c>
      <c r="H88" t="n">
        <v>1</v>
      </c>
      <c r="I88" t="n">
        <v>1</v>
      </c>
      <c r="J88" t="n">
        <v>6</v>
      </c>
      <c r="K88" t="n">
        <v>0</v>
      </c>
      <c r="L88" t="n">
        <v>0</v>
      </c>
      <c r="M88" t="n">
        <v>0</v>
      </c>
      <c r="N88" t="n">
        <v>0</v>
      </c>
      <c r="O88" t="n">
        <v>6</v>
      </c>
      <c r="P88" t="n">
        <v>0</v>
      </c>
      <c r="Q88" t="n">
        <v>7</v>
      </c>
      <c r="R88" s="2" t="inlineStr">
        <is>
          <t>Doftskinn
Garnlav
Granticka
Harticka
Tretåig hackspett
Vitgrynig nållav
Trådticka</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15831-2026</t>
        </is>
      </c>
      <c r="B89" s="1" t="n">
        <v>46107</v>
      </c>
      <c r="C89" s="1" t="n">
        <v>46160</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61448-2021</t>
        </is>
      </c>
      <c r="B90" s="1" t="n">
        <v>44500</v>
      </c>
      <c r="C90" s="1" t="n">
        <v>46160</v>
      </c>
      <c r="D90" t="inlineStr">
        <is>
          <t>JÄMTLANDS LÄN</t>
        </is>
      </c>
      <c r="E90" t="inlineStr">
        <is>
          <t>KROKOM</t>
        </is>
      </c>
      <c r="G90" t="n">
        <v>10.5</v>
      </c>
      <c r="H90" t="n">
        <v>2</v>
      </c>
      <c r="I90" t="n">
        <v>3</v>
      </c>
      <c r="J90" t="n">
        <v>2</v>
      </c>
      <c r="K90" t="n">
        <v>1</v>
      </c>
      <c r="L90" t="n">
        <v>0</v>
      </c>
      <c r="M90" t="n">
        <v>0</v>
      </c>
      <c r="N90" t="n">
        <v>0</v>
      </c>
      <c r="O90" t="n">
        <v>3</v>
      </c>
      <c r="P90" t="n">
        <v>1</v>
      </c>
      <c r="Q90" t="n">
        <v>7</v>
      </c>
      <c r="R90" s="2" t="inlineStr">
        <is>
          <t>Rynkskinn
Doftskinn
Ullticka
Kransrams
Tvåblad
Vårärt
Blåsippa</t>
        </is>
      </c>
      <c r="S90">
        <f>HYPERLINK("https://klasma.github.io/Logging_2309/artfynd/A 61448-2021 artfynd.xlsx", "A 61448-2021")</f>
        <v/>
      </c>
      <c r="T90">
        <f>HYPERLINK("https://klasma.github.io/Logging_2309/kartor/A 61448-2021 karta.png", "A 61448-2021")</f>
        <v/>
      </c>
      <c r="V90">
        <f>HYPERLINK("https://klasma.github.io/Logging_2309/klagomål/A 61448-2021 FSC-klagomål.docx", "A 61448-2021")</f>
        <v/>
      </c>
      <c r="W90">
        <f>HYPERLINK("https://klasma.github.io/Logging_2309/klagomålsmail/A 61448-2021 FSC-klagomål mail.docx", "A 61448-2021")</f>
        <v/>
      </c>
      <c r="X90">
        <f>HYPERLINK("https://klasma.github.io/Logging_2309/tillsyn/A 61448-2021 tillsynsbegäran.docx", "A 61448-2021")</f>
        <v/>
      </c>
      <c r="Y90">
        <f>HYPERLINK("https://klasma.github.io/Logging_2309/tillsynsmail/A 61448-2021 tillsynsbegäran mail.docx", "A 61448-2021")</f>
        <v/>
      </c>
    </row>
    <row r="91" ht="15" customHeight="1">
      <c r="A91" t="inlineStr">
        <is>
          <t>A 50196-2025</t>
        </is>
      </c>
      <c r="B91" s="1" t="n">
        <v>45943</v>
      </c>
      <c r="C91" s="1" t="n">
        <v>46160</v>
      </c>
      <c r="D91" t="inlineStr">
        <is>
          <t>JÄMTLANDS LÄN</t>
        </is>
      </c>
      <c r="E91" t="inlineStr">
        <is>
          <t>KROKOM</t>
        </is>
      </c>
      <c r="G91" t="n">
        <v>10.2</v>
      </c>
      <c r="H91" t="n">
        <v>2</v>
      </c>
      <c r="I91" t="n">
        <v>1</v>
      </c>
      <c r="J91" t="n">
        <v>5</v>
      </c>
      <c r="K91" t="n">
        <v>0</v>
      </c>
      <c r="L91" t="n">
        <v>0</v>
      </c>
      <c r="M91" t="n">
        <v>0</v>
      </c>
      <c r="N91" t="n">
        <v>0</v>
      </c>
      <c r="O91" t="n">
        <v>5</v>
      </c>
      <c r="P91" t="n">
        <v>0</v>
      </c>
      <c r="Q91" t="n">
        <v>7</v>
      </c>
      <c r="R91" s="2" t="inlineStr">
        <is>
          <t>Doftskinn
Garnlav
Granticka
Lunglav
Tretåig hackspett
Trådticka
Lavskrika</t>
        </is>
      </c>
      <c r="S91">
        <f>HYPERLINK("https://klasma.github.io/Logging_2309/artfynd/A 50196-2025 artfynd.xlsx", "A 50196-2025")</f>
        <v/>
      </c>
      <c r="T91">
        <f>HYPERLINK("https://klasma.github.io/Logging_2309/kartor/A 50196-2025 karta.png", "A 50196-2025")</f>
        <v/>
      </c>
      <c r="V91">
        <f>HYPERLINK("https://klasma.github.io/Logging_2309/klagomål/A 50196-2025 FSC-klagomål.docx", "A 50196-2025")</f>
        <v/>
      </c>
      <c r="W91">
        <f>HYPERLINK("https://klasma.github.io/Logging_2309/klagomålsmail/A 50196-2025 FSC-klagomål mail.docx", "A 50196-2025")</f>
        <v/>
      </c>
      <c r="X91">
        <f>HYPERLINK("https://klasma.github.io/Logging_2309/tillsyn/A 50196-2025 tillsynsbegäran.docx", "A 50196-2025")</f>
        <v/>
      </c>
      <c r="Y91">
        <f>HYPERLINK("https://klasma.github.io/Logging_2309/tillsynsmail/A 50196-2025 tillsynsbegäran mail.docx", "A 50196-2025")</f>
        <v/>
      </c>
      <c r="Z91">
        <f>HYPERLINK("https://klasma.github.io/Logging_2309/fåglar/A 50196-2025 prioriterade fågelarter.docx", "A 50196-2025")</f>
        <v/>
      </c>
    </row>
    <row r="92" ht="15" customHeight="1">
      <c r="A92" t="inlineStr">
        <is>
          <t>A 50411-2025</t>
        </is>
      </c>
      <c r="B92" s="1" t="n">
        <v>45944.64482638889</v>
      </c>
      <c r="C92" s="1" t="n">
        <v>46160</v>
      </c>
      <c r="D92" t="inlineStr">
        <is>
          <t>JÄMTLANDS LÄN</t>
        </is>
      </c>
      <c r="E92" t="inlineStr">
        <is>
          <t>KROKOM</t>
        </is>
      </c>
      <c r="G92" t="n">
        <v>7.7</v>
      </c>
      <c r="H92" t="n">
        <v>4</v>
      </c>
      <c r="I92" t="n">
        <v>0</v>
      </c>
      <c r="J92" t="n">
        <v>4</v>
      </c>
      <c r="K92" t="n">
        <v>1</v>
      </c>
      <c r="L92" t="n">
        <v>0</v>
      </c>
      <c r="M92" t="n">
        <v>0</v>
      </c>
      <c r="N92" t="n">
        <v>0</v>
      </c>
      <c r="O92" t="n">
        <v>5</v>
      </c>
      <c r="P92" t="n">
        <v>1</v>
      </c>
      <c r="Q92" t="n">
        <v>7</v>
      </c>
      <c r="R92" s="2" t="inlineStr">
        <is>
          <t>Knärot
Garnlav
Granticka
Tretåig hackspett
Ullticka
Kungsfågel
Revlummer</t>
        </is>
      </c>
      <c r="S92">
        <f>HYPERLINK("https://klasma.github.io/Logging_2309/artfynd/A 50411-2025 artfynd.xlsx", "A 50411-2025")</f>
        <v/>
      </c>
      <c r="T92">
        <f>HYPERLINK("https://klasma.github.io/Logging_2309/kartor/A 50411-2025 karta.png", "A 50411-2025")</f>
        <v/>
      </c>
      <c r="U92">
        <f>HYPERLINK("https://klasma.github.io/Logging_2309/knärot/A 50411-2025 karta knärot.png", "A 50411-2025")</f>
        <v/>
      </c>
      <c r="V92">
        <f>HYPERLINK("https://klasma.github.io/Logging_2309/klagomål/A 50411-2025 FSC-klagomål.docx", "A 50411-2025")</f>
        <v/>
      </c>
      <c r="W92">
        <f>HYPERLINK("https://klasma.github.io/Logging_2309/klagomålsmail/A 50411-2025 FSC-klagomål mail.docx", "A 50411-2025")</f>
        <v/>
      </c>
      <c r="X92">
        <f>HYPERLINK("https://klasma.github.io/Logging_2309/tillsyn/A 50411-2025 tillsynsbegäran.docx", "A 50411-2025")</f>
        <v/>
      </c>
      <c r="Y92">
        <f>HYPERLINK("https://klasma.github.io/Logging_2309/tillsynsmail/A 50411-2025 tillsynsbegäran mail.docx", "A 50411-2025")</f>
        <v/>
      </c>
      <c r="Z92">
        <f>HYPERLINK("https://klasma.github.io/Logging_2309/fåglar/A 50411-2025 prioriterade fågelarter.docx", "A 50411-2025")</f>
        <v/>
      </c>
    </row>
    <row r="93" ht="15" customHeight="1">
      <c r="A93" t="inlineStr">
        <is>
          <t>A 36373-2023</t>
        </is>
      </c>
      <c r="B93" s="1" t="n">
        <v>45149</v>
      </c>
      <c r="C93" s="1" t="n">
        <v>46160</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3134-2024</t>
        </is>
      </c>
      <c r="B94" s="1" t="n">
        <v>45316</v>
      </c>
      <c r="C94" s="1" t="n">
        <v>46160</v>
      </c>
      <c r="D94" t="inlineStr">
        <is>
          <t>JÄMTLANDS LÄN</t>
        </is>
      </c>
      <c r="E94" t="inlineStr">
        <is>
          <t>KROKOM</t>
        </is>
      </c>
      <c r="G94" t="n">
        <v>11.2</v>
      </c>
      <c r="H94" t="n">
        <v>2</v>
      </c>
      <c r="I94" t="n">
        <v>1</v>
      </c>
      <c r="J94" t="n">
        <v>5</v>
      </c>
      <c r="K94" t="n">
        <v>1</v>
      </c>
      <c r="L94" t="n">
        <v>0</v>
      </c>
      <c r="M94" t="n">
        <v>0</v>
      </c>
      <c r="N94" t="n">
        <v>0</v>
      </c>
      <c r="O94" t="n">
        <v>6</v>
      </c>
      <c r="P94" t="n">
        <v>1</v>
      </c>
      <c r="Q94" t="n">
        <v>7</v>
      </c>
      <c r="R94" s="2" t="inlineStr">
        <is>
          <t>Sprickporing
Garnlav
Granticka
Månlåsbräken
Spillkråka
Tretåig hackspett
Vedticka</t>
        </is>
      </c>
      <c r="S94">
        <f>HYPERLINK("https://klasma.github.io/Logging_2309/artfynd/A 3134-2024 artfynd.xlsx", "A 3134-2024")</f>
        <v/>
      </c>
      <c r="T94">
        <f>HYPERLINK("https://klasma.github.io/Logging_2309/kartor/A 3134-2024 karta.png", "A 3134-2024")</f>
        <v/>
      </c>
      <c r="V94">
        <f>HYPERLINK("https://klasma.github.io/Logging_2309/klagomål/A 3134-2024 FSC-klagomål.docx", "A 3134-2024")</f>
        <v/>
      </c>
      <c r="W94">
        <f>HYPERLINK("https://klasma.github.io/Logging_2309/klagomålsmail/A 3134-2024 FSC-klagomål mail.docx", "A 3134-2024")</f>
        <v/>
      </c>
      <c r="X94">
        <f>HYPERLINK("https://klasma.github.io/Logging_2309/tillsyn/A 3134-2024 tillsynsbegäran.docx", "A 3134-2024")</f>
        <v/>
      </c>
      <c r="Y94">
        <f>HYPERLINK("https://klasma.github.io/Logging_2309/tillsynsmail/A 3134-2024 tillsynsbegäran mail.docx", "A 3134-2024")</f>
        <v/>
      </c>
      <c r="Z94">
        <f>HYPERLINK("https://klasma.github.io/Logging_2309/fåglar/A 3134-2024 prioriterade fågelarter.docx", "A 3134-2024")</f>
        <v/>
      </c>
    </row>
    <row r="95" ht="15" customHeight="1">
      <c r="A95" t="inlineStr">
        <is>
          <t>A 15025-2026</t>
        </is>
      </c>
      <c r="B95" s="1" t="n">
        <v>46104</v>
      </c>
      <c r="C95" s="1" t="n">
        <v>46160</v>
      </c>
      <c r="D95" t="inlineStr">
        <is>
          <t>JÄMTLANDS LÄN</t>
        </is>
      </c>
      <c r="E95" t="inlineStr">
        <is>
          <t>KROKOM</t>
        </is>
      </c>
      <c r="G95" t="n">
        <v>15.2</v>
      </c>
      <c r="H95" t="n">
        <v>2</v>
      </c>
      <c r="I95" t="n">
        <v>0</v>
      </c>
      <c r="J95" t="n">
        <v>6</v>
      </c>
      <c r="K95" t="n">
        <v>1</v>
      </c>
      <c r="L95" t="n">
        <v>0</v>
      </c>
      <c r="M95" t="n">
        <v>0</v>
      </c>
      <c r="N95" t="n">
        <v>0</v>
      </c>
      <c r="O95" t="n">
        <v>7</v>
      </c>
      <c r="P95" t="n">
        <v>1</v>
      </c>
      <c r="Q95" t="n">
        <v>7</v>
      </c>
      <c r="R95" s="2" t="inlineStr">
        <is>
          <t>Rynkskinn
Doftskinn
Garnlav
Harticka
Spillkråka
Tretåig hackspett
Ullticka</t>
        </is>
      </c>
      <c r="S95">
        <f>HYPERLINK("https://klasma.github.io/Logging_2309/artfynd/A 15025-2026 artfynd.xlsx", "A 15025-2026")</f>
        <v/>
      </c>
      <c r="T95">
        <f>HYPERLINK("https://klasma.github.io/Logging_2309/kartor/A 15025-2026 karta.png", "A 15025-2026")</f>
        <v/>
      </c>
      <c r="V95">
        <f>HYPERLINK("https://klasma.github.io/Logging_2309/klagomål/A 15025-2026 FSC-klagomål.docx", "A 15025-2026")</f>
        <v/>
      </c>
      <c r="W95">
        <f>HYPERLINK("https://klasma.github.io/Logging_2309/klagomålsmail/A 15025-2026 FSC-klagomål mail.docx", "A 15025-2026")</f>
        <v/>
      </c>
      <c r="X95">
        <f>HYPERLINK("https://klasma.github.io/Logging_2309/tillsyn/A 15025-2026 tillsynsbegäran.docx", "A 15025-2026")</f>
        <v/>
      </c>
      <c r="Y95">
        <f>HYPERLINK("https://klasma.github.io/Logging_2309/tillsynsmail/A 15025-2026 tillsynsbegäran mail.docx", "A 15025-2026")</f>
        <v/>
      </c>
      <c r="Z95">
        <f>HYPERLINK("https://klasma.github.io/Logging_2309/fåglar/A 15025-2026 prioriterade fågelarter.docx", "A 15025-2026")</f>
        <v/>
      </c>
    </row>
    <row r="96" ht="15" customHeight="1">
      <c r="A96" t="inlineStr">
        <is>
          <t>A 35884-2025</t>
        </is>
      </c>
      <c r="B96" s="1" t="n">
        <v>45862</v>
      </c>
      <c r="C96" s="1" t="n">
        <v>46160</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70205-2021</t>
        </is>
      </c>
      <c r="B97" s="1" t="n">
        <v>44534</v>
      </c>
      <c r="C97" s="1" t="n">
        <v>46160</v>
      </c>
      <c r="D97" t="inlineStr">
        <is>
          <t>JÄMTLANDS LÄN</t>
        </is>
      </c>
      <c r="E97" t="inlineStr">
        <is>
          <t>KROKOM</t>
        </is>
      </c>
      <c r="F97" t="inlineStr">
        <is>
          <t>SCA</t>
        </is>
      </c>
      <c r="G97" t="n">
        <v>5.4</v>
      </c>
      <c r="H97" t="n">
        <v>0</v>
      </c>
      <c r="I97" t="n">
        <v>1</v>
      </c>
      <c r="J97" t="n">
        <v>5</v>
      </c>
      <c r="K97" t="n">
        <v>0</v>
      </c>
      <c r="L97" t="n">
        <v>0</v>
      </c>
      <c r="M97" t="n">
        <v>0</v>
      </c>
      <c r="N97" t="n">
        <v>0</v>
      </c>
      <c r="O97" t="n">
        <v>5</v>
      </c>
      <c r="P97" t="n">
        <v>0</v>
      </c>
      <c r="Q97" t="n">
        <v>6</v>
      </c>
      <c r="R97" s="2" t="inlineStr">
        <is>
          <t>Garnlav
Granticka
Harticka
Skrovellav
Ullticka
Trådticka</t>
        </is>
      </c>
      <c r="S97">
        <f>HYPERLINK("https://klasma.github.io/Logging_2309/artfynd/A 70205-2021 artfynd.xlsx", "A 70205-2021")</f>
        <v/>
      </c>
      <c r="T97">
        <f>HYPERLINK("https://klasma.github.io/Logging_2309/kartor/A 70205-2021 karta.png", "A 70205-2021")</f>
        <v/>
      </c>
      <c r="V97">
        <f>HYPERLINK("https://klasma.github.io/Logging_2309/klagomål/A 70205-2021 FSC-klagomål.docx", "A 70205-2021")</f>
        <v/>
      </c>
      <c r="W97">
        <f>HYPERLINK("https://klasma.github.io/Logging_2309/klagomålsmail/A 70205-2021 FSC-klagomål mail.docx", "A 70205-2021")</f>
        <v/>
      </c>
      <c r="X97">
        <f>HYPERLINK("https://klasma.github.io/Logging_2309/tillsyn/A 70205-2021 tillsynsbegäran.docx", "A 70205-2021")</f>
        <v/>
      </c>
      <c r="Y97">
        <f>HYPERLINK("https://klasma.github.io/Logging_2309/tillsynsmail/A 70205-2021 tillsynsbegäran mail.docx", "A 70205-2021")</f>
        <v/>
      </c>
    </row>
    <row r="98" ht="15" customHeight="1">
      <c r="A98" t="inlineStr">
        <is>
          <t>A 60004-2021</t>
        </is>
      </c>
      <c r="B98" s="1" t="n">
        <v>44494</v>
      </c>
      <c r="C98" s="1" t="n">
        <v>46160</v>
      </c>
      <c r="D98" t="inlineStr">
        <is>
          <t>JÄMTLANDS LÄN</t>
        </is>
      </c>
      <c r="E98" t="inlineStr">
        <is>
          <t>KROKOM</t>
        </is>
      </c>
      <c r="F98" t="inlineStr">
        <is>
          <t>SCA</t>
        </is>
      </c>
      <c r="G98" t="n">
        <v>5.8</v>
      </c>
      <c r="H98" t="n">
        <v>3</v>
      </c>
      <c r="I98" t="n">
        <v>3</v>
      </c>
      <c r="J98" t="n">
        <v>1</v>
      </c>
      <c r="K98" t="n">
        <v>1</v>
      </c>
      <c r="L98" t="n">
        <v>0</v>
      </c>
      <c r="M98" t="n">
        <v>0</v>
      </c>
      <c r="N98" t="n">
        <v>0</v>
      </c>
      <c r="O98" t="n">
        <v>2</v>
      </c>
      <c r="P98" t="n">
        <v>1</v>
      </c>
      <c r="Q98" t="n">
        <v>6</v>
      </c>
      <c r="R98" s="2" t="inlineStr">
        <is>
          <t>Knärot
Ullticka
Diskvaxskivling
Guckusko
Svavelriska
Blåsippa</t>
        </is>
      </c>
      <c r="S98">
        <f>HYPERLINK("https://klasma.github.io/Logging_2309/artfynd/A 60004-2021 artfynd.xlsx", "A 60004-2021")</f>
        <v/>
      </c>
      <c r="T98">
        <f>HYPERLINK("https://klasma.github.io/Logging_2309/kartor/A 60004-2021 karta.png", "A 60004-2021")</f>
        <v/>
      </c>
      <c r="U98">
        <f>HYPERLINK("https://klasma.github.io/Logging_2309/knärot/A 60004-2021 karta knärot.png", "A 60004-2021")</f>
        <v/>
      </c>
      <c r="V98">
        <f>HYPERLINK("https://klasma.github.io/Logging_2309/klagomål/A 60004-2021 FSC-klagomål.docx", "A 60004-2021")</f>
        <v/>
      </c>
      <c r="W98">
        <f>HYPERLINK("https://klasma.github.io/Logging_2309/klagomålsmail/A 60004-2021 FSC-klagomål mail.docx", "A 60004-2021")</f>
        <v/>
      </c>
      <c r="X98">
        <f>HYPERLINK("https://klasma.github.io/Logging_2309/tillsyn/A 60004-2021 tillsynsbegäran.docx", "A 60004-2021")</f>
        <v/>
      </c>
      <c r="Y98">
        <f>HYPERLINK("https://klasma.github.io/Logging_2309/tillsynsmail/A 60004-2021 tillsynsbegäran mail.docx", "A 60004-2021")</f>
        <v/>
      </c>
    </row>
    <row r="99" ht="15" customHeight="1">
      <c r="A99" t="inlineStr">
        <is>
          <t>A 56194-2021</t>
        </is>
      </c>
      <c r="B99" s="1" t="n">
        <v>44477</v>
      </c>
      <c r="C99" s="1" t="n">
        <v>46160</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46118-2024</t>
        </is>
      </c>
      <c r="B100" s="1" t="n">
        <v>45581</v>
      </c>
      <c r="C100" s="1" t="n">
        <v>46160</v>
      </c>
      <c r="D100" t="inlineStr">
        <is>
          <t>JÄMTLANDS LÄN</t>
        </is>
      </c>
      <c r="E100" t="inlineStr">
        <is>
          <t>KROKOM</t>
        </is>
      </c>
      <c r="G100" t="n">
        <v>12.3</v>
      </c>
      <c r="H100" t="n">
        <v>2</v>
      </c>
      <c r="I100" t="n">
        <v>0</v>
      </c>
      <c r="J100" t="n">
        <v>5</v>
      </c>
      <c r="K100" t="n">
        <v>0</v>
      </c>
      <c r="L100" t="n">
        <v>0</v>
      </c>
      <c r="M100" t="n">
        <v>0</v>
      </c>
      <c r="N100" t="n">
        <v>0</v>
      </c>
      <c r="O100" t="n">
        <v>5</v>
      </c>
      <c r="P100" t="n">
        <v>0</v>
      </c>
      <c r="Q100" t="n">
        <v>6</v>
      </c>
      <c r="R100" s="2" t="inlineStr">
        <is>
          <t>Garnlav
Granticka
Harticka
Tretåig hackspett
Ullticka
Sparvuggla</t>
        </is>
      </c>
      <c r="S100">
        <f>HYPERLINK("https://klasma.github.io/Logging_2309/artfynd/A 46118-2024 artfynd.xlsx", "A 46118-2024")</f>
        <v/>
      </c>
      <c r="T100">
        <f>HYPERLINK("https://klasma.github.io/Logging_2309/kartor/A 46118-2024 karta.png", "A 46118-2024")</f>
        <v/>
      </c>
      <c r="V100">
        <f>HYPERLINK("https://klasma.github.io/Logging_2309/klagomål/A 46118-2024 FSC-klagomål.docx", "A 46118-2024")</f>
        <v/>
      </c>
      <c r="W100">
        <f>HYPERLINK("https://klasma.github.io/Logging_2309/klagomålsmail/A 46118-2024 FSC-klagomål mail.docx", "A 46118-2024")</f>
        <v/>
      </c>
      <c r="X100">
        <f>HYPERLINK("https://klasma.github.io/Logging_2309/tillsyn/A 46118-2024 tillsynsbegäran.docx", "A 46118-2024")</f>
        <v/>
      </c>
      <c r="Y100">
        <f>HYPERLINK("https://klasma.github.io/Logging_2309/tillsynsmail/A 46118-2024 tillsynsbegäran mail.docx", "A 46118-2024")</f>
        <v/>
      </c>
      <c r="Z100">
        <f>HYPERLINK("https://klasma.github.io/Logging_2309/fåglar/A 46118-2024 prioriterade fågelarter.docx", "A 46118-2024")</f>
        <v/>
      </c>
    </row>
    <row r="101" ht="15" customHeight="1">
      <c r="A101" t="inlineStr">
        <is>
          <t>A 35158-2022</t>
        </is>
      </c>
      <c r="B101" s="1" t="n">
        <v>44797</v>
      </c>
      <c r="C101" s="1" t="n">
        <v>46160</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27490-2024</t>
        </is>
      </c>
      <c r="B102" s="1" t="n">
        <v>45474</v>
      </c>
      <c r="C102" s="1" t="n">
        <v>46160</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62177-2025</t>
        </is>
      </c>
      <c r="B103" s="1" t="n">
        <v>46006.51480324074</v>
      </c>
      <c r="C103" s="1" t="n">
        <v>46160</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61382-2025</t>
        </is>
      </c>
      <c r="B104" s="1" t="n">
        <v>46001.44696759259</v>
      </c>
      <c r="C104" s="1" t="n">
        <v>46160</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60967-2025</t>
        </is>
      </c>
      <c r="B105" s="1" t="n">
        <v>45999.67776620371</v>
      </c>
      <c r="C105" s="1" t="n">
        <v>46160</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11097-2024</t>
        </is>
      </c>
      <c r="B106" s="1" t="n">
        <v>45370</v>
      </c>
      <c r="C106" s="1" t="n">
        <v>46160</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16978-2025</t>
        </is>
      </c>
      <c r="B107" s="1" t="n">
        <v>45755</v>
      </c>
      <c r="C107" s="1" t="n">
        <v>46160</v>
      </c>
      <c r="D107" t="inlineStr">
        <is>
          <t>JÄMTLANDS LÄN</t>
        </is>
      </c>
      <c r="E107" t="inlineStr">
        <is>
          <t>KROKOM</t>
        </is>
      </c>
      <c r="G107" t="n">
        <v>10.8</v>
      </c>
      <c r="H107" t="n">
        <v>4</v>
      </c>
      <c r="I107" t="n">
        <v>0</v>
      </c>
      <c r="J107" t="n">
        <v>5</v>
      </c>
      <c r="K107" t="n">
        <v>0</v>
      </c>
      <c r="L107" t="n">
        <v>0</v>
      </c>
      <c r="M107" t="n">
        <v>0</v>
      </c>
      <c r="N107" t="n">
        <v>0</v>
      </c>
      <c r="O107" t="n">
        <v>5</v>
      </c>
      <c r="P107" t="n">
        <v>0</v>
      </c>
      <c r="Q107" t="n">
        <v>6</v>
      </c>
      <c r="R107" s="2" t="inlineStr">
        <is>
          <t>Garnlav
Granticka
Spillkråka
Talltita
Tretåig hackspett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42385-2023</t>
        </is>
      </c>
      <c r="B108" s="1" t="n">
        <v>45180</v>
      </c>
      <c r="C108" s="1" t="n">
        <v>46160</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43190-2022</t>
        </is>
      </c>
      <c r="B109" s="1" t="n">
        <v>44834</v>
      </c>
      <c r="C109" s="1" t="n">
        <v>46160</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35885-2025</t>
        </is>
      </c>
      <c r="B110" s="1" t="n">
        <v>45862</v>
      </c>
      <c r="C110" s="1" t="n">
        <v>46160</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2452-2026</t>
        </is>
      </c>
      <c r="B111" s="1" t="n">
        <v>46037.34447916667</v>
      </c>
      <c r="C111" s="1" t="n">
        <v>46160</v>
      </c>
      <c r="D111" t="inlineStr">
        <is>
          <t>JÄMTLANDS LÄN</t>
        </is>
      </c>
      <c r="E111" t="inlineStr">
        <is>
          <t>KROKOM</t>
        </is>
      </c>
      <c r="G111" t="n">
        <v>17.2</v>
      </c>
      <c r="H111" t="n">
        <v>2</v>
      </c>
      <c r="I111" t="n">
        <v>1</v>
      </c>
      <c r="J111" t="n">
        <v>5</v>
      </c>
      <c r="K111" t="n">
        <v>0</v>
      </c>
      <c r="L111" t="n">
        <v>0</v>
      </c>
      <c r="M111" t="n">
        <v>0</v>
      </c>
      <c r="N111" t="n">
        <v>0</v>
      </c>
      <c r="O111" t="n">
        <v>5</v>
      </c>
      <c r="P111" t="n">
        <v>0</v>
      </c>
      <c r="Q111" t="n">
        <v>6</v>
      </c>
      <c r="R111" s="2" t="inlineStr">
        <is>
          <t>Garnlav
Granticka
Harticka
Spillkråka
Tretåig hackspett
Stuplav</t>
        </is>
      </c>
      <c r="S111">
        <f>HYPERLINK("https://klasma.github.io/Logging_2309/artfynd/A 2452-2026 artfynd.xlsx", "A 2452-2026")</f>
        <v/>
      </c>
      <c r="T111">
        <f>HYPERLINK("https://klasma.github.io/Logging_2309/kartor/A 2452-2026 karta.png", "A 2452-2026")</f>
        <v/>
      </c>
      <c r="V111">
        <f>HYPERLINK("https://klasma.github.io/Logging_2309/klagomål/A 2452-2026 FSC-klagomål.docx", "A 2452-2026")</f>
        <v/>
      </c>
      <c r="W111">
        <f>HYPERLINK("https://klasma.github.io/Logging_2309/klagomålsmail/A 2452-2026 FSC-klagomål mail.docx", "A 2452-2026")</f>
        <v/>
      </c>
      <c r="X111">
        <f>HYPERLINK("https://klasma.github.io/Logging_2309/tillsyn/A 2452-2026 tillsynsbegäran.docx", "A 2452-2026")</f>
        <v/>
      </c>
      <c r="Y111">
        <f>HYPERLINK("https://klasma.github.io/Logging_2309/tillsynsmail/A 2452-2026 tillsynsbegäran mail.docx", "A 2452-2026")</f>
        <v/>
      </c>
      <c r="Z111">
        <f>HYPERLINK("https://klasma.github.io/Logging_2309/fåglar/A 2452-2026 prioriterade fågelarter.docx", "A 2452-2026")</f>
        <v/>
      </c>
    </row>
    <row r="112" ht="15" customHeight="1">
      <c r="A112" t="inlineStr">
        <is>
          <t>A 58951-2023</t>
        </is>
      </c>
      <c r="B112" s="1" t="n">
        <v>45252</v>
      </c>
      <c r="C112" s="1" t="n">
        <v>46160</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65187-2021</t>
        </is>
      </c>
      <c r="B113" s="1" t="n">
        <v>44515</v>
      </c>
      <c r="C113" s="1" t="n">
        <v>46160</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39118-2025</t>
        </is>
      </c>
      <c r="B114" s="1" t="n">
        <v>45888.55305555555</v>
      </c>
      <c r="C114" s="1" t="n">
        <v>46160</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32658-2025</t>
        </is>
      </c>
      <c r="B115" s="1" t="n">
        <v>45838.67858796296</v>
      </c>
      <c r="C115" s="1" t="n">
        <v>46160</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35749-2024</t>
        </is>
      </c>
      <c r="B116" s="1" t="n">
        <v>45532</v>
      </c>
      <c r="C116" s="1" t="n">
        <v>46160</v>
      </c>
      <c r="D116" t="inlineStr">
        <is>
          <t>JÄMTLANDS LÄN</t>
        </is>
      </c>
      <c r="E116" t="inlineStr">
        <is>
          <t>KROKOM</t>
        </is>
      </c>
      <c r="G116" t="n">
        <v>17.3</v>
      </c>
      <c r="H116" t="n">
        <v>1</v>
      </c>
      <c r="I116" t="n">
        <v>0</v>
      </c>
      <c r="J116" t="n">
        <v>5</v>
      </c>
      <c r="K116" t="n">
        <v>0</v>
      </c>
      <c r="L116" t="n">
        <v>0</v>
      </c>
      <c r="M116" t="n">
        <v>0</v>
      </c>
      <c r="N116" t="n">
        <v>0</v>
      </c>
      <c r="O116" t="n">
        <v>5</v>
      </c>
      <c r="P116" t="n">
        <v>0</v>
      </c>
      <c r="Q116" t="n">
        <v>5</v>
      </c>
      <c r="R116" s="2" t="inlineStr">
        <is>
          <t>Garnlav
Granticka
Gränsticka
Harticka
Tretåig hackspett</t>
        </is>
      </c>
      <c r="S116">
        <f>HYPERLINK("https://klasma.github.io/Logging_2309/artfynd/A 35749-2024 artfynd.xlsx", "A 35749-2024")</f>
        <v/>
      </c>
      <c r="T116">
        <f>HYPERLINK("https://klasma.github.io/Logging_2309/kartor/A 35749-2024 karta.png", "A 35749-2024")</f>
        <v/>
      </c>
      <c r="V116">
        <f>HYPERLINK("https://klasma.github.io/Logging_2309/klagomål/A 35749-2024 FSC-klagomål.docx", "A 35749-2024")</f>
        <v/>
      </c>
      <c r="W116">
        <f>HYPERLINK("https://klasma.github.io/Logging_2309/klagomålsmail/A 35749-2024 FSC-klagomål mail.docx", "A 35749-2024")</f>
        <v/>
      </c>
      <c r="X116">
        <f>HYPERLINK("https://klasma.github.io/Logging_2309/tillsyn/A 35749-2024 tillsynsbegäran.docx", "A 35749-2024")</f>
        <v/>
      </c>
      <c r="Y116">
        <f>HYPERLINK("https://klasma.github.io/Logging_2309/tillsynsmail/A 35749-2024 tillsynsbegäran mail.docx", "A 35749-2024")</f>
        <v/>
      </c>
      <c r="Z116">
        <f>HYPERLINK("https://klasma.github.io/Logging_2309/fåglar/A 35749-2024 prioriterade fågelarter.docx", "A 35749-2024")</f>
        <v/>
      </c>
    </row>
    <row r="117" ht="15" customHeight="1">
      <c r="A117" t="inlineStr">
        <is>
          <t>A 11319-2025</t>
        </is>
      </c>
      <c r="B117" s="1" t="n">
        <v>45726</v>
      </c>
      <c r="C117" s="1" t="n">
        <v>46160</v>
      </c>
      <c r="D117" t="inlineStr">
        <is>
          <t>JÄMTLANDS LÄN</t>
        </is>
      </c>
      <c r="E117" t="inlineStr">
        <is>
          <t>KROKOM</t>
        </is>
      </c>
      <c r="G117" t="n">
        <v>13.8</v>
      </c>
      <c r="H117" t="n">
        <v>1</v>
      </c>
      <c r="I117" t="n">
        <v>4</v>
      </c>
      <c r="J117" t="n">
        <v>1</v>
      </c>
      <c r="K117" t="n">
        <v>0</v>
      </c>
      <c r="L117" t="n">
        <v>0</v>
      </c>
      <c r="M117" t="n">
        <v>0</v>
      </c>
      <c r="N117" t="n">
        <v>0</v>
      </c>
      <c r="O117" t="n">
        <v>1</v>
      </c>
      <c r="P117" t="n">
        <v>0</v>
      </c>
      <c r="Q117" t="n">
        <v>5</v>
      </c>
      <c r="R117" s="2" t="inlineStr">
        <is>
          <t>Lunglav
Bårdlav
Luddlav
Plattlummer
Stuplav</t>
        </is>
      </c>
      <c r="S117">
        <f>HYPERLINK("https://klasma.github.io/Logging_2309/artfynd/A 11319-2025 artfynd.xlsx", "A 11319-2025")</f>
        <v/>
      </c>
      <c r="T117">
        <f>HYPERLINK("https://klasma.github.io/Logging_2309/kartor/A 11319-2025 karta.png", "A 11319-2025")</f>
        <v/>
      </c>
      <c r="V117">
        <f>HYPERLINK("https://klasma.github.io/Logging_2309/klagomål/A 11319-2025 FSC-klagomål.docx", "A 11319-2025")</f>
        <v/>
      </c>
      <c r="W117">
        <f>HYPERLINK("https://klasma.github.io/Logging_2309/klagomålsmail/A 11319-2025 FSC-klagomål mail.docx", "A 11319-2025")</f>
        <v/>
      </c>
      <c r="X117">
        <f>HYPERLINK("https://klasma.github.io/Logging_2309/tillsyn/A 11319-2025 tillsynsbegäran.docx", "A 11319-2025")</f>
        <v/>
      </c>
      <c r="Y117">
        <f>HYPERLINK("https://klasma.github.io/Logging_2309/tillsynsmail/A 11319-2025 tillsynsbegäran mail.docx", "A 11319-2025")</f>
        <v/>
      </c>
    </row>
    <row r="118" ht="15" customHeight="1">
      <c r="A118" t="inlineStr">
        <is>
          <t>A 53815-2024</t>
        </is>
      </c>
      <c r="B118" s="1" t="n">
        <v>45615</v>
      </c>
      <c r="C118" s="1" t="n">
        <v>46160</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36995-2025</t>
        </is>
      </c>
      <c r="B119" s="1" t="n">
        <v>45874.67765046296</v>
      </c>
      <c r="C119" s="1" t="n">
        <v>46160</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48914-2021</t>
        </is>
      </c>
      <c r="B120" s="1" t="n">
        <v>44452</v>
      </c>
      <c r="C120" s="1" t="n">
        <v>46160</v>
      </c>
      <c r="D120" t="inlineStr">
        <is>
          <t>JÄMTLANDS LÄN</t>
        </is>
      </c>
      <c r="E120" t="inlineStr">
        <is>
          <t>KROKOM</t>
        </is>
      </c>
      <c r="G120" t="n">
        <v>20.4</v>
      </c>
      <c r="H120" t="n">
        <v>1</v>
      </c>
      <c r="I120" t="n">
        <v>2</v>
      </c>
      <c r="J120" t="n">
        <v>3</v>
      </c>
      <c r="K120" t="n">
        <v>0</v>
      </c>
      <c r="L120" t="n">
        <v>0</v>
      </c>
      <c r="M120" t="n">
        <v>0</v>
      </c>
      <c r="N120" t="n">
        <v>0</v>
      </c>
      <c r="O120" t="n">
        <v>3</v>
      </c>
      <c r="P120" t="n">
        <v>0</v>
      </c>
      <c r="Q120" t="n">
        <v>5</v>
      </c>
      <c r="R120" s="2" t="inlineStr">
        <is>
          <t>Brunpudrad nållav
Granticka
Rödbrun blekspik
Gulnål
Spindelblomster</t>
        </is>
      </c>
      <c r="S120">
        <f>HYPERLINK("https://klasma.github.io/Logging_2309/artfynd/A 48914-2021 artfynd.xlsx", "A 48914-2021")</f>
        <v/>
      </c>
      <c r="T120">
        <f>HYPERLINK("https://klasma.github.io/Logging_2309/kartor/A 48914-2021 karta.png", "A 48914-2021")</f>
        <v/>
      </c>
      <c r="V120">
        <f>HYPERLINK("https://klasma.github.io/Logging_2309/klagomål/A 48914-2021 FSC-klagomål.docx", "A 48914-2021")</f>
        <v/>
      </c>
      <c r="W120">
        <f>HYPERLINK("https://klasma.github.io/Logging_2309/klagomålsmail/A 48914-2021 FSC-klagomål mail.docx", "A 48914-2021")</f>
        <v/>
      </c>
      <c r="X120">
        <f>HYPERLINK("https://klasma.github.io/Logging_2309/tillsyn/A 48914-2021 tillsynsbegäran.docx", "A 48914-2021")</f>
        <v/>
      </c>
      <c r="Y120">
        <f>HYPERLINK("https://klasma.github.io/Logging_2309/tillsynsmail/A 48914-2021 tillsynsbegäran mail.docx", "A 48914-2021")</f>
        <v/>
      </c>
    </row>
    <row r="121" ht="15" customHeight="1">
      <c r="A121" t="inlineStr">
        <is>
          <t>A 71570-2021</t>
        </is>
      </c>
      <c r="B121" s="1" t="n">
        <v>44540</v>
      </c>
      <c r="C121" s="1" t="n">
        <v>46160</v>
      </c>
      <c r="D121" t="inlineStr">
        <is>
          <t>JÄMTLANDS LÄN</t>
        </is>
      </c>
      <c r="E121" t="inlineStr">
        <is>
          <t>KROKOM</t>
        </is>
      </c>
      <c r="G121" t="n">
        <v>0.6</v>
      </c>
      <c r="H121" t="n">
        <v>0</v>
      </c>
      <c r="I121" t="n">
        <v>3</v>
      </c>
      <c r="J121" t="n">
        <v>1</v>
      </c>
      <c r="K121" t="n">
        <v>1</v>
      </c>
      <c r="L121" t="n">
        <v>0</v>
      </c>
      <c r="M121" t="n">
        <v>0</v>
      </c>
      <c r="N121" t="n">
        <v>0</v>
      </c>
      <c r="O121" t="n">
        <v>2</v>
      </c>
      <c r="P121" t="n">
        <v>1</v>
      </c>
      <c r="Q121" t="n">
        <v>5</v>
      </c>
      <c r="R121" s="2" t="inlineStr">
        <is>
          <t>Läderdoftande fingersvamp
Gultoppig fingersvamp
Droppklibbskivling
Fjällig taggsvamp s.str.
Ögonpyrola</t>
        </is>
      </c>
      <c r="S121">
        <f>HYPERLINK("https://klasma.github.io/Logging_2309/artfynd/A 71570-2021 artfynd.xlsx", "A 71570-2021")</f>
        <v/>
      </c>
      <c r="T121">
        <f>HYPERLINK("https://klasma.github.io/Logging_2309/kartor/A 71570-2021 karta.png", "A 71570-2021")</f>
        <v/>
      </c>
      <c r="V121">
        <f>HYPERLINK("https://klasma.github.io/Logging_2309/klagomål/A 71570-2021 FSC-klagomål.docx", "A 71570-2021")</f>
        <v/>
      </c>
      <c r="W121">
        <f>HYPERLINK("https://klasma.github.io/Logging_2309/klagomålsmail/A 71570-2021 FSC-klagomål mail.docx", "A 71570-2021")</f>
        <v/>
      </c>
      <c r="X121">
        <f>HYPERLINK("https://klasma.github.io/Logging_2309/tillsyn/A 71570-2021 tillsynsbegäran.docx", "A 71570-2021")</f>
        <v/>
      </c>
      <c r="Y121">
        <f>HYPERLINK("https://klasma.github.io/Logging_2309/tillsynsmail/A 71570-2021 tillsynsbegäran mail.docx", "A 71570-2021")</f>
        <v/>
      </c>
    </row>
    <row r="122" ht="15" customHeight="1">
      <c r="A122" t="inlineStr">
        <is>
          <t>A 74005-2021</t>
        </is>
      </c>
      <c r="B122" s="1" t="n">
        <v>44557</v>
      </c>
      <c r="C122" s="1" t="n">
        <v>46160</v>
      </c>
      <c r="D122" t="inlineStr">
        <is>
          <t>JÄMTLANDS LÄN</t>
        </is>
      </c>
      <c r="E122" t="inlineStr">
        <is>
          <t>KROKOM</t>
        </is>
      </c>
      <c r="G122" t="n">
        <v>19.9</v>
      </c>
      <c r="H122" t="n">
        <v>1</v>
      </c>
      <c r="I122" t="n">
        <v>1</v>
      </c>
      <c r="J122" t="n">
        <v>4</v>
      </c>
      <c r="K122" t="n">
        <v>0</v>
      </c>
      <c r="L122" t="n">
        <v>0</v>
      </c>
      <c r="M122" t="n">
        <v>0</v>
      </c>
      <c r="N122" t="n">
        <v>0</v>
      </c>
      <c r="O122" t="n">
        <v>4</v>
      </c>
      <c r="P122" t="n">
        <v>0</v>
      </c>
      <c r="Q122" t="n">
        <v>5</v>
      </c>
      <c r="R122" s="2" t="inlineStr">
        <is>
          <t>Doftskinn
Gammelgransskål
Garnlav
Gränsticka
Spindelblomster</t>
        </is>
      </c>
      <c r="S122">
        <f>HYPERLINK("https://klasma.github.io/Logging_2309/artfynd/A 74005-2021 artfynd.xlsx", "A 74005-2021")</f>
        <v/>
      </c>
      <c r="T122">
        <f>HYPERLINK("https://klasma.github.io/Logging_2309/kartor/A 74005-2021 karta.png", "A 74005-2021")</f>
        <v/>
      </c>
      <c r="V122">
        <f>HYPERLINK("https://klasma.github.io/Logging_2309/klagomål/A 74005-2021 FSC-klagomål.docx", "A 74005-2021")</f>
        <v/>
      </c>
      <c r="W122">
        <f>HYPERLINK("https://klasma.github.io/Logging_2309/klagomålsmail/A 74005-2021 FSC-klagomål mail.docx", "A 74005-2021")</f>
        <v/>
      </c>
      <c r="X122">
        <f>HYPERLINK("https://klasma.github.io/Logging_2309/tillsyn/A 74005-2021 tillsynsbegäran.docx", "A 74005-2021")</f>
        <v/>
      </c>
      <c r="Y122">
        <f>HYPERLINK("https://klasma.github.io/Logging_2309/tillsynsmail/A 74005-2021 tillsynsbegäran mail.docx", "A 74005-2021")</f>
        <v/>
      </c>
    </row>
    <row r="123" ht="15" customHeight="1">
      <c r="A123" t="inlineStr">
        <is>
          <t>A 39487-2024</t>
        </is>
      </c>
      <c r="B123" s="1" t="n">
        <v>45551</v>
      </c>
      <c r="C123" s="1" t="n">
        <v>46160</v>
      </c>
      <c r="D123" t="inlineStr">
        <is>
          <t>JÄMTLANDS LÄN</t>
        </is>
      </c>
      <c r="E123" t="inlineStr">
        <is>
          <t>KROKOM</t>
        </is>
      </c>
      <c r="G123" t="n">
        <v>8</v>
      </c>
      <c r="H123" t="n">
        <v>2</v>
      </c>
      <c r="I123" t="n">
        <v>0</v>
      </c>
      <c r="J123" t="n">
        <v>4</v>
      </c>
      <c r="K123" t="n">
        <v>1</v>
      </c>
      <c r="L123" t="n">
        <v>0</v>
      </c>
      <c r="M123" t="n">
        <v>0</v>
      </c>
      <c r="N123" t="n">
        <v>0</v>
      </c>
      <c r="O123" t="n">
        <v>5</v>
      </c>
      <c r="P123" t="n">
        <v>1</v>
      </c>
      <c r="Q123" t="n">
        <v>5</v>
      </c>
      <c r="R123" s="2" t="inlineStr">
        <is>
          <t>Knärot
Granticka
Harticka
Tretåig hackspett
Ullticka</t>
        </is>
      </c>
      <c r="S123">
        <f>HYPERLINK("https://klasma.github.io/Logging_2309/artfynd/A 39487-2024 artfynd.xlsx", "A 39487-2024")</f>
        <v/>
      </c>
      <c r="T123">
        <f>HYPERLINK("https://klasma.github.io/Logging_2309/kartor/A 39487-2024 karta.png", "A 39487-2024")</f>
        <v/>
      </c>
      <c r="U123">
        <f>HYPERLINK("https://klasma.github.io/Logging_2309/knärot/A 39487-2024 karta knärot.png", "A 39487-2024")</f>
        <v/>
      </c>
      <c r="V123">
        <f>HYPERLINK("https://klasma.github.io/Logging_2309/klagomål/A 39487-2024 FSC-klagomål.docx", "A 39487-2024")</f>
        <v/>
      </c>
      <c r="W123">
        <f>HYPERLINK("https://klasma.github.io/Logging_2309/klagomålsmail/A 39487-2024 FSC-klagomål mail.docx", "A 39487-2024")</f>
        <v/>
      </c>
      <c r="X123">
        <f>HYPERLINK("https://klasma.github.io/Logging_2309/tillsyn/A 39487-2024 tillsynsbegäran.docx", "A 39487-2024")</f>
        <v/>
      </c>
      <c r="Y123">
        <f>HYPERLINK("https://klasma.github.io/Logging_2309/tillsynsmail/A 39487-2024 tillsynsbegäran mail.docx", "A 39487-2024")</f>
        <v/>
      </c>
      <c r="Z123">
        <f>HYPERLINK("https://klasma.github.io/Logging_2309/fåglar/A 39487-2024 prioriterade fågelarter.docx", "A 39487-2024")</f>
        <v/>
      </c>
    </row>
    <row r="124" ht="15" customHeight="1">
      <c r="A124" t="inlineStr">
        <is>
          <t>A 60977-2025</t>
        </is>
      </c>
      <c r="B124" s="1" t="n">
        <v>45999.69837962963</v>
      </c>
      <c r="C124" s="1" t="n">
        <v>46160</v>
      </c>
      <c r="D124" t="inlineStr">
        <is>
          <t>JÄMTLANDS LÄN</t>
        </is>
      </c>
      <c r="E124" t="inlineStr">
        <is>
          <t>KROKOM</t>
        </is>
      </c>
      <c r="G124" t="n">
        <v>36.4</v>
      </c>
      <c r="H124" t="n">
        <v>3</v>
      </c>
      <c r="I124" t="n">
        <v>0</v>
      </c>
      <c r="J124" t="n">
        <v>4</v>
      </c>
      <c r="K124" t="n">
        <v>0</v>
      </c>
      <c r="L124" t="n">
        <v>0</v>
      </c>
      <c r="M124" t="n">
        <v>0</v>
      </c>
      <c r="N124" t="n">
        <v>0</v>
      </c>
      <c r="O124" t="n">
        <v>4</v>
      </c>
      <c r="P124" t="n">
        <v>0</v>
      </c>
      <c r="Q124" t="n">
        <v>5</v>
      </c>
      <c r="R124" s="2" t="inlineStr">
        <is>
          <t>Granticka
Harticka
Spillkråka
Tretåig hackspett
Lavskrika</t>
        </is>
      </c>
      <c r="S124">
        <f>HYPERLINK("https://klasma.github.io/Logging_2309/artfynd/A 60977-2025 artfynd.xlsx", "A 60977-2025")</f>
        <v/>
      </c>
      <c r="T124">
        <f>HYPERLINK("https://klasma.github.io/Logging_2309/kartor/A 60977-2025 karta.png", "A 60977-2025")</f>
        <v/>
      </c>
      <c r="V124">
        <f>HYPERLINK("https://klasma.github.io/Logging_2309/klagomål/A 60977-2025 FSC-klagomål.docx", "A 60977-2025")</f>
        <v/>
      </c>
      <c r="W124">
        <f>HYPERLINK("https://klasma.github.io/Logging_2309/klagomålsmail/A 60977-2025 FSC-klagomål mail.docx", "A 60977-2025")</f>
        <v/>
      </c>
      <c r="X124">
        <f>HYPERLINK("https://klasma.github.io/Logging_2309/tillsyn/A 60977-2025 tillsynsbegäran.docx", "A 60977-2025")</f>
        <v/>
      </c>
      <c r="Y124">
        <f>HYPERLINK("https://klasma.github.io/Logging_2309/tillsynsmail/A 60977-2025 tillsynsbegäran mail.docx", "A 60977-2025")</f>
        <v/>
      </c>
      <c r="Z124">
        <f>HYPERLINK("https://klasma.github.io/Logging_2309/fåglar/A 60977-2025 prioriterade fågelarter.docx", "A 60977-2025")</f>
        <v/>
      </c>
    </row>
    <row r="125" ht="15" customHeight="1">
      <c r="A125" t="inlineStr">
        <is>
          <t>A 59039-2022</t>
        </is>
      </c>
      <c r="B125" s="1" t="n">
        <v>44903</v>
      </c>
      <c r="C125" s="1" t="n">
        <v>46160</v>
      </c>
      <c r="D125" t="inlineStr">
        <is>
          <t>JÄMTLANDS LÄN</t>
        </is>
      </c>
      <c r="E125" t="inlineStr">
        <is>
          <t>KROKOM</t>
        </is>
      </c>
      <c r="F125" t="inlineStr">
        <is>
          <t>SCA</t>
        </is>
      </c>
      <c r="G125" t="n">
        <v>2.5</v>
      </c>
      <c r="H125" t="n">
        <v>1</v>
      </c>
      <c r="I125" t="n">
        <v>0</v>
      </c>
      <c r="J125" t="n">
        <v>5</v>
      </c>
      <c r="K125" t="n">
        <v>0</v>
      </c>
      <c r="L125" t="n">
        <v>0</v>
      </c>
      <c r="M125" t="n">
        <v>0</v>
      </c>
      <c r="N125" t="n">
        <v>0</v>
      </c>
      <c r="O125" t="n">
        <v>5</v>
      </c>
      <c r="P125" t="n">
        <v>0</v>
      </c>
      <c r="Q125" t="n">
        <v>5</v>
      </c>
      <c r="R125" s="2" t="inlineStr">
        <is>
          <t>Garnlav
Lunglav
Skrovellav
Tallticka
Tretåig hackspett</t>
        </is>
      </c>
      <c r="S125">
        <f>HYPERLINK("https://klasma.github.io/Logging_2309/artfynd/A 59039-2022 artfynd.xlsx", "A 59039-2022")</f>
        <v/>
      </c>
      <c r="T125">
        <f>HYPERLINK("https://klasma.github.io/Logging_2309/kartor/A 59039-2022 karta.png", "A 59039-2022")</f>
        <v/>
      </c>
      <c r="V125">
        <f>HYPERLINK("https://klasma.github.io/Logging_2309/klagomål/A 59039-2022 FSC-klagomål.docx", "A 59039-2022")</f>
        <v/>
      </c>
      <c r="W125">
        <f>HYPERLINK("https://klasma.github.io/Logging_2309/klagomålsmail/A 59039-2022 FSC-klagomål mail.docx", "A 59039-2022")</f>
        <v/>
      </c>
      <c r="X125">
        <f>HYPERLINK("https://klasma.github.io/Logging_2309/tillsyn/A 59039-2022 tillsynsbegäran.docx", "A 59039-2022")</f>
        <v/>
      </c>
      <c r="Y125">
        <f>HYPERLINK("https://klasma.github.io/Logging_2309/tillsynsmail/A 59039-2022 tillsynsbegäran mail.docx", "A 59039-2022")</f>
        <v/>
      </c>
      <c r="Z125">
        <f>HYPERLINK("https://klasma.github.io/Logging_2309/fåglar/A 59039-2022 prioriterade fågelarter.docx", "A 59039-2022")</f>
        <v/>
      </c>
    </row>
    <row r="126" ht="15" customHeight="1">
      <c r="A126" t="inlineStr">
        <is>
          <t>A 72538-2021</t>
        </is>
      </c>
      <c r="B126" s="1" t="n">
        <v>44546</v>
      </c>
      <c r="C126" s="1" t="n">
        <v>46160</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64302-2021</t>
        </is>
      </c>
      <c r="B127" s="1" t="n">
        <v>44510.94930555556</v>
      </c>
      <c r="C127" s="1" t="n">
        <v>46160</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46160</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57295-2022</t>
        </is>
      </c>
      <c r="B129" s="1" t="n">
        <v>44895</v>
      </c>
      <c r="C129" s="1" t="n">
        <v>46160</v>
      </c>
      <c r="D129" t="inlineStr">
        <is>
          <t>JÄMTLANDS LÄN</t>
        </is>
      </c>
      <c r="E129" t="inlineStr">
        <is>
          <t>KROKOM</t>
        </is>
      </c>
      <c r="G129" t="n">
        <v>36.3</v>
      </c>
      <c r="H129" t="n">
        <v>2</v>
      </c>
      <c r="I129" t="n">
        <v>0</v>
      </c>
      <c r="J129" t="n">
        <v>3</v>
      </c>
      <c r="K129" t="n">
        <v>1</v>
      </c>
      <c r="L129" t="n">
        <v>0</v>
      </c>
      <c r="M129" t="n">
        <v>0</v>
      </c>
      <c r="N129" t="n">
        <v>0</v>
      </c>
      <c r="O129" t="n">
        <v>4</v>
      </c>
      <c r="P129" t="n">
        <v>1</v>
      </c>
      <c r="Q129" t="n">
        <v>4</v>
      </c>
      <c r="R129" s="2" t="inlineStr">
        <is>
          <t>Doftticka
Garnlav
Lunglav
Tretåig hackspett</t>
        </is>
      </c>
      <c r="S129">
        <f>HYPERLINK("https://klasma.github.io/Logging_2309/artfynd/A 57295-2022 artfynd.xlsx", "A 57295-2022")</f>
        <v/>
      </c>
      <c r="T129">
        <f>HYPERLINK("https://klasma.github.io/Logging_2309/kartor/A 57295-2022 karta.png", "A 57295-2022")</f>
        <v/>
      </c>
      <c r="V129">
        <f>HYPERLINK("https://klasma.github.io/Logging_2309/klagomål/A 57295-2022 FSC-klagomål.docx", "A 57295-2022")</f>
        <v/>
      </c>
      <c r="W129">
        <f>HYPERLINK("https://klasma.github.io/Logging_2309/klagomålsmail/A 57295-2022 FSC-klagomål mail.docx", "A 57295-2022")</f>
        <v/>
      </c>
      <c r="X129">
        <f>HYPERLINK("https://klasma.github.io/Logging_2309/tillsyn/A 57295-2022 tillsynsbegäran.docx", "A 57295-2022")</f>
        <v/>
      </c>
      <c r="Y129">
        <f>HYPERLINK("https://klasma.github.io/Logging_2309/tillsynsmail/A 57295-2022 tillsynsbegäran mail.docx", "A 57295-2022")</f>
        <v/>
      </c>
      <c r="Z129">
        <f>HYPERLINK("https://klasma.github.io/Logging_2309/fåglar/A 57295-2022 prioriterade fågelarter.docx", "A 57295-2022")</f>
        <v/>
      </c>
    </row>
    <row r="130" ht="15" customHeight="1">
      <c r="A130" t="inlineStr">
        <is>
          <t>A 73935-2021</t>
        </is>
      </c>
      <c r="B130" s="1" t="n">
        <v>44553</v>
      </c>
      <c r="C130" s="1" t="n">
        <v>46160</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49178-2024</t>
        </is>
      </c>
      <c r="B131" s="1" t="n">
        <v>45595</v>
      </c>
      <c r="C131" s="1" t="n">
        <v>46160</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60566-2022</t>
        </is>
      </c>
      <c r="B132" s="1" t="n">
        <v>44904</v>
      </c>
      <c r="C132" s="1" t="n">
        <v>46160</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13383-2025</t>
        </is>
      </c>
      <c r="B133" s="1" t="n">
        <v>45735</v>
      </c>
      <c r="C133" s="1" t="n">
        <v>46160</v>
      </c>
      <c r="D133" t="inlineStr">
        <is>
          <t>JÄMTLANDS LÄN</t>
        </is>
      </c>
      <c r="E133" t="inlineStr">
        <is>
          <t>KROKOM</t>
        </is>
      </c>
      <c r="G133" t="n">
        <v>9.699999999999999</v>
      </c>
      <c r="H133" t="n">
        <v>0</v>
      </c>
      <c r="I133" t="n">
        <v>0</v>
      </c>
      <c r="J133" t="n">
        <v>4</v>
      </c>
      <c r="K133" t="n">
        <v>0</v>
      </c>
      <c r="L133" t="n">
        <v>0</v>
      </c>
      <c r="M133" t="n">
        <v>0</v>
      </c>
      <c r="N133" t="n">
        <v>0</v>
      </c>
      <c r="O133" t="n">
        <v>4</v>
      </c>
      <c r="P133" t="n">
        <v>0</v>
      </c>
      <c r="Q133" t="n">
        <v>4</v>
      </c>
      <c r="R133" s="2" t="inlineStr">
        <is>
          <t>Doftskinn
Granticka
Lunglav
Ullticka</t>
        </is>
      </c>
      <c r="S133">
        <f>HYPERLINK("https://klasma.github.io/Logging_2309/artfynd/A 13383-2025 artfynd.xlsx", "A 13383-2025")</f>
        <v/>
      </c>
      <c r="T133">
        <f>HYPERLINK("https://klasma.github.io/Logging_2309/kartor/A 13383-2025 karta.png", "A 13383-2025")</f>
        <v/>
      </c>
      <c r="V133">
        <f>HYPERLINK("https://klasma.github.io/Logging_2309/klagomål/A 13383-2025 FSC-klagomål.docx", "A 13383-2025")</f>
        <v/>
      </c>
      <c r="W133">
        <f>HYPERLINK("https://klasma.github.io/Logging_2309/klagomålsmail/A 13383-2025 FSC-klagomål mail.docx", "A 13383-2025")</f>
        <v/>
      </c>
      <c r="X133">
        <f>HYPERLINK("https://klasma.github.io/Logging_2309/tillsyn/A 13383-2025 tillsynsbegäran.docx", "A 13383-2025")</f>
        <v/>
      </c>
      <c r="Y133">
        <f>HYPERLINK("https://klasma.github.io/Logging_2309/tillsynsmail/A 13383-2025 tillsynsbegäran mail.docx", "A 13383-2025")</f>
        <v/>
      </c>
    </row>
    <row r="134" ht="15" customHeight="1">
      <c r="A134" t="inlineStr">
        <is>
          <t>A 34855-2025</t>
        </is>
      </c>
      <c r="B134" s="1" t="n">
        <v>45849.42818287037</v>
      </c>
      <c r="C134" s="1" t="n">
        <v>46160</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53363-2022</t>
        </is>
      </c>
      <c r="B135" s="1" t="n">
        <v>44879</v>
      </c>
      <c r="C135" s="1" t="n">
        <v>46160</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46160</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54750-2025</t>
        </is>
      </c>
      <c r="B137" s="1" t="n">
        <v>45966.59105324074</v>
      </c>
      <c r="C137" s="1" t="n">
        <v>46160</v>
      </c>
      <c r="D137" t="inlineStr">
        <is>
          <t>JÄMTLANDS LÄN</t>
        </is>
      </c>
      <c r="E137" t="inlineStr">
        <is>
          <t>KROKOM</t>
        </is>
      </c>
      <c r="G137" t="n">
        <v>8.800000000000001</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54750-2025 artfynd.xlsx", "A 54750-2025")</f>
        <v/>
      </c>
      <c r="T137">
        <f>HYPERLINK("https://klasma.github.io/Logging_2309/kartor/A 54750-2025 karta.png", "A 54750-2025")</f>
        <v/>
      </c>
      <c r="V137">
        <f>HYPERLINK("https://klasma.github.io/Logging_2309/klagomål/A 54750-2025 FSC-klagomål.docx", "A 54750-2025")</f>
        <v/>
      </c>
      <c r="W137">
        <f>HYPERLINK("https://klasma.github.io/Logging_2309/klagomålsmail/A 54750-2025 FSC-klagomål mail.docx", "A 54750-2025")</f>
        <v/>
      </c>
      <c r="X137">
        <f>HYPERLINK("https://klasma.github.io/Logging_2309/tillsyn/A 54750-2025 tillsynsbegäran.docx", "A 54750-2025")</f>
        <v/>
      </c>
      <c r="Y137">
        <f>HYPERLINK("https://klasma.github.io/Logging_2309/tillsynsmail/A 54750-2025 tillsynsbegäran mail.docx", "A 54750-2025")</f>
        <v/>
      </c>
      <c r="Z137">
        <f>HYPERLINK("https://klasma.github.io/Logging_2309/fåglar/A 54750-2025 prioriterade fågelarter.docx", "A 54750-2025")</f>
        <v/>
      </c>
    </row>
    <row r="138" ht="15" customHeight="1">
      <c r="A138" t="inlineStr">
        <is>
          <t>A 58205-2024</t>
        </is>
      </c>
      <c r="B138" s="1" t="n">
        <v>45632</v>
      </c>
      <c r="C138" s="1" t="n">
        <v>46160</v>
      </c>
      <c r="D138" t="inlineStr">
        <is>
          <t>JÄMTLANDS LÄN</t>
        </is>
      </c>
      <c r="E138" t="inlineStr">
        <is>
          <t>KROKOM</t>
        </is>
      </c>
      <c r="G138" t="n">
        <v>14</v>
      </c>
      <c r="H138" t="n">
        <v>0</v>
      </c>
      <c r="I138" t="n">
        <v>1</v>
      </c>
      <c r="J138" t="n">
        <v>3</v>
      </c>
      <c r="K138" t="n">
        <v>0</v>
      </c>
      <c r="L138" t="n">
        <v>0</v>
      </c>
      <c r="M138" t="n">
        <v>0</v>
      </c>
      <c r="N138" t="n">
        <v>0</v>
      </c>
      <c r="O138" t="n">
        <v>3</v>
      </c>
      <c r="P138" t="n">
        <v>0</v>
      </c>
      <c r="Q138" t="n">
        <v>4</v>
      </c>
      <c r="R138" s="2" t="inlineStr">
        <is>
          <t>Lunglav
Skrovellav
Ullticka
Vedticka</t>
        </is>
      </c>
      <c r="S138">
        <f>HYPERLINK("https://klasma.github.io/Logging_2309/artfynd/A 58205-2024 artfynd.xlsx", "A 58205-2024")</f>
        <v/>
      </c>
      <c r="T138">
        <f>HYPERLINK("https://klasma.github.io/Logging_2309/kartor/A 58205-2024 karta.png", "A 58205-2024")</f>
        <v/>
      </c>
      <c r="V138">
        <f>HYPERLINK("https://klasma.github.io/Logging_2309/klagomål/A 58205-2024 FSC-klagomål.docx", "A 58205-2024")</f>
        <v/>
      </c>
      <c r="W138">
        <f>HYPERLINK("https://klasma.github.io/Logging_2309/klagomålsmail/A 58205-2024 FSC-klagomål mail.docx", "A 58205-2024")</f>
        <v/>
      </c>
      <c r="X138">
        <f>HYPERLINK("https://klasma.github.io/Logging_2309/tillsyn/A 58205-2024 tillsynsbegäran.docx", "A 58205-2024")</f>
        <v/>
      </c>
      <c r="Y138">
        <f>HYPERLINK("https://klasma.github.io/Logging_2309/tillsynsmail/A 58205-2024 tillsynsbegäran mail.docx", "A 58205-2024")</f>
        <v/>
      </c>
    </row>
    <row r="139" ht="15" customHeight="1">
      <c r="A139" t="inlineStr">
        <is>
          <t>A 18940-2025</t>
        </is>
      </c>
      <c r="B139" s="1" t="n">
        <v>45764</v>
      </c>
      <c r="C139" s="1" t="n">
        <v>46160</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61399-2025</t>
        </is>
      </c>
      <c r="B140" s="1" t="n">
        <v>46001</v>
      </c>
      <c r="C140" s="1" t="n">
        <v>46160</v>
      </c>
      <c r="D140" t="inlineStr">
        <is>
          <t>JÄMTLANDS LÄN</t>
        </is>
      </c>
      <c r="E140" t="inlineStr">
        <is>
          <t>KROKOM</t>
        </is>
      </c>
      <c r="G140" t="n">
        <v>6.2</v>
      </c>
      <c r="H140" t="n">
        <v>2</v>
      </c>
      <c r="I140" t="n">
        <v>0</v>
      </c>
      <c r="J140" t="n">
        <v>4</v>
      </c>
      <c r="K140" t="n">
        <v>0</v>
      </c>
      <c r="L140" t="n">
        <v>0</v>
      </c>
      <c r="M140" t="n">
        <v>0</v>
      </c>
      <c r="N140" t="n">
        <v>0</v>
      </c>
      <c r="O140" t="n">
        <v>4</v>
      </c>
      <c r="P140" t="n">
        <v>0</v>
      </c>
      <c r="Q140" t="n">
        <v>4</v>
      </c>
      <c r="R140" s="2" t="inlineStr">
        <is>
          <t>Garnlav
Granticka
Spillkråka
Tretåig hackspett</t>
        </is>
      </c>
      <c r="S140">
        <f>HYPERLINK("https://klasma.github.io/Logging_2309/artfynd/A 61399-2025 artfynd.xlsx", "A 61399-2025")</f>
        <v/>
      </c>
      <c r="T140">
        <f>HYPERLINK("https://klasma.github.io/Logging_2309/kartor/A 61399-2025 karta.png", "A 61399-2025")</f>
        <v/>
      </c>
      <c r="V140">
        <f>HYPERLINK("https://klasma.github.io/Logging_2309/klagomål/A 61399-2025 FSC-klagomål.docx", "A 61399-2025")</f>
        <v/>
      </c>
      <c r="W140">
        <f>HYPERLINK("https://klasma.github.io/Logging_2309/klagomålsmail/A 61399-2025 FSC-klagomål mail.docx", "A 61399-2025")</f>
        <v/>
      </c>
      <c r="X140">
        <f>HYPERLINK("https://klasma.github.io/Logging_2309/tillsyn/A 61399-2025 tillsynsbegäran.docx", "A 61399-2025")</f>
        <v/>
      </c>
      <c r="Y140">
        <f>HYPERLINK("https://klasma.github.io/Logging_2309/tillsynsmail/A 61399-2025 tillsynsbegäran mail.docx", "A 61399-2025")</f>
        <v/>
      </c>
      <c r="Z140">
        <f>HYPERLINK("https://klasma.github.io/Logging_2309/fåglar/A 61399-2025 prioriterade fågelarter.docx", "A 61399-2025")</f>
        <v/>
      </c>
    </row>
    <row r="141" ht="15" customHeight="1">
      <c r="A141" t="inlineStr">
        <is>
          <t>A 773-2024</t>
        </is>
      </c>
      <c r="B141" s="1" t="n">
        <v>45300</v>
      </c>
      <c r="C141" s="1" t="n">
        <v>46160</v>
      </c>
      <c r="D141" t="inlineStr">
        <is>
          <t>JÄMTLANDS LÄN</t>
        </is>
      </c>
      <c r="E141" t="inlineStr">
        <is>
          <t>KROKOM</t>
        </is>
      </c>
      <c r="G141" t="n">
        <v>8.699999999999999</v>
      </c>
      <c r="H141" t="n">
        <v>3</v>
      </c>
      <c r="I141" t="n">
        <v>0</v>
      </c>
      <c r="J141" t="n">
        <v>3</v>
      </c>
      <c r="K141" t="n">
        <v>0</v>
      </c>
      <c r="L141" t="n">
        <v>0</v>
      </c>
      <c r="M141" t="n">
        <v>0</v>
      </c>
      <c r="N141" t="n">
        <v>0</v>
      </c>
      <c r="O141" t="n">
        <v>3</v>
      </c>
      <c r="P141" t="n">
        <v>0</v>
      </c>
      <c r="Q141" t="n">
        <v>4</v>
      </c>
      <c r="R141" s="2" t="inlineStr">
        <is>
          <t>Garnlav
Talltita
Tretåig hackspett
Tjäder</t>
        </is>
      </c>
      <c r="S141">
        <f>HYPERLINK("https://klasma.github.io/Logging_2309/artfynd/A 773-2024 artfynd.xlsx", "A 773-2024")</f>
        <v/>
      </c>
      <c r="T141">
        <f>HYPERLINK("https://klasma.github.io/Logging_2309/kartor/A 773-2024 karta.png", "A 773-2024")</f>
        <v/>
      </c>
      <c r="V141">
        <f>HYPERLINK("https://klasma.github.io/Logging_2309/klagomål/A 773-2024 FSC-klagomål.docx", "A 773-2024")</f>
        <v/>
      </c>
      <c r="W141">
        <f>HYPERLINK("https://klasma.github.io/Logging_2309/klagomålsmail/A 773-2024 FSC-klagomål mail.docx", "A 773-2024")</f>
        <v/>
      </c>
      <c r="X141">
        <f>HYPERLINK("https://klasma.github.io/Logging_2309/tillsyn/A 773-2024 tillsynsbegäran.docx", "A 773-2024")</f>
        <v/>
      </c>
      <c r="Y141">
        <f>HYPERLINK("https://klasma.github.io/Logging_2309/tillsynsmail/A 773-2024 tillsynsbegäran mail.docx", "A 773-2024")</f>
        <v/>
      </c>
      <c r="Z141">
        <f>HYPERLINK("https://klasma.github.io/Logging_2309/fåglar/A 773-2024 prioriterade fågelarter.docx", "A 773-2024")</f>
        <v/>
      </c>
    </row>
    <row r="142" ht="15" customHeight="1">
      <c r="A142" t="inlineStr">
        <is>
          <t>A 979-2026</t>
        </is>
      </c>
      <c r="B142" s="1" t="n">
        <v>46030.5737962963</v>
      </c>
      <c r="C142" s="1" t="n">
        <v>46160</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13529-2026</t>
        </is>
      </c>
      <c r="B143" s="1" t="n">
        <v>46094.64732638889</v>
      </c>
      <c r="C143" s="1" t="n">
        <v>46160</v>
      </c>
      <c r="D143" t="inlineStr">
        <is>
          <t>JÄMTLANDS LÄN</t>
        </is>
      </c>
      <c r="E143" t="inlineStr">
        <is>
          <t>KROKOM</t>
        </is>
      </c>
      <c r="G143" t="n">
        <v>17.3</v>
      </c>
      <c r="H143" t="n">
        <v>1</v>
      </c>
      <c r="I143" t="n">
        <v>0</v>
      </c>
      <c r="J143" t="n">
        <v>4</v>
      </c>
      <c r="K143" t="n">
        <v>0</v>
      </c>
      <c r="L143" t="n">
        <v>0</v>
      </c>
      <c r="M143" t="n">
        <v>0</v>
      </c>
      <c r="N143" t="n">
        <v>0</v>
      </c>
      <c r="O143" t="n">
        <v>4</v>
      </c>
      <c r="P143" t="n">
        <v>0</v>
      </c>
      <c r="Q143" t="n">
        <v>4</v>
      </c>
      <c r="R143" s="2" t="inlineStr">
        <is>
          <t>Garnlav
Harticka
Lunglav
Tretåig hackspett</t>
        </is>
      </c>
      <c r="S143">
        <f>HYPERLINK("https://klasma.github.io/Logging_2309/artfynd/A 13529-2026 artfynd.xlsx", "A 13529-2026")</f>
        <v/>
      </c>
      <c r="T143">
        <f>HYPERLINK("https://klasma.github.io/Logging_2309/kartor/A 13529-2026 karta.png", "A 13529-2026")</f>
        <v/>
      </c>
      <c r="V143">
        <f>HYPERLINK("https://klasma.github.io/Logging_2309/klagomål/A 13529-2026 FSC-klagomål.docx", "A 13529-2026")</f>
        <v/>
      </c>
      <c r="W143">
        <f>HYPERLINK("https://klasma.github.io/Logging_2309/klagomålsmail/A 13529-2026 FSC-klagomål mail.docx", "A 13529-2026")</f>
        <v/>
      </c>
      <c r="X143">
        <f>HYPERLINK("https://klasma.github.io/Logging_2309/tillsyn/A 13529-2026 tillsynsbegäran.docx", "A 13529-2026")</f>
        <v/>
      </c>
      <c r="Y143">
        <f>HYPERLINK("https://klasma.github.io/Logging_2309/tillsynsmail/A 13529-2026 tillsynsbegäran mail.docx", "A 13529-2026")</f>
        <v/>
      </c>
      <c r="Z143">
        <f>HYPERLINK("https://klasma.github.io/Logging_2309/fåglar/A 13529-2026 prioriterade fågelarter.docx", "A 13529-2026")</f>
        <v/>
      </c>
    </row>
    <row r="144" ht="15" customHeight="1">
      <c r="A144" t="inlineStr">
        <is>
          <t>A 40179-2023</t>
        </is>
      </c>
      <c r="B144" s="1" t="n">
        <v>45169</v>
      </c>
      <c r="C144" s="1" t="n">
        <v>46160</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15728-2026</t>
        </is>
      </c>
      <c r="B145" s="1" t="n">
        <v>46107.38431712963</v>
      </c>
      <c r="C145" s="1" t="n">
        <v>46160</v>
      </c>
      <c r="D145" t="inlineStr">
        <is>
          <t>JÄMTLANDS LÄN</t>
        </is>
      </c>
      <c r="E145" t="inlineStr">
        <is>
          <t>KROKOM</t>
        </is>
      </c>
      <c r="G145" t="n">
        <v>7.6</v>
      </c>
      <c r="H145" t="n">
        <v>3</v>
      </c>
      <c r="I145" t="n">
        <v>1</v>
      </c>
      <c r="J145" t="n">
        <v>2</v>
      </c>
      <c r="K145" t="n">
        <v>0</v>
      </c>
      <c r="L145" t="n">
        <v>0</v>
      </c>
      <c r="M145" t="n">
        <v>0</v>
      </c>
      <c r="N145" t="n">
        <v>0</v>
      </c>
      <c r="O145" t="n">
        <v>2</v>
      </c>
      <c r="P145" t="n">
        <v>0</v>
      </c>
      <c r="Q145" t="n">
        <v>4</v>
      </c>
      <c r="R145" s="2" t="inlineStr">
        <is>
          <t>Spillkråka
Tretåig hackspett
Svavelriska
Kungsfågel</t>
        </is>
      </c>
      <c r="S145">
        <f>HYPERLINK("https://klasma.github.io/Logging_2309/artfynd/A 15728-2026 artfynd.xlsx", "A 15728-2026")</f>
        <v/>
      </c>
      <c r="T145">
        <f>HYPERLINK("https://klasma.github.io/Logging_2309/kartor/A 15728-2026 karta.png", "A 15728-2026")</f>
        <v/>
      </c>
      <c r="V145">
        <f>HYPERLINK("https://klasma.github.io/Logging_2309/klagomål/A 15728-2026 FSC-klagomål.docx", "A 15728-2026")</f>
        <v/>
      </c>
      <c r="W145">
        <f>HYPERLINK("https://klasma.github.io/Logging_2309/klagomålsmail/A 15728-2026 FSC-klagomål mail.docx", "A 15728-2026")</f>
        <v/>
      </c>
      <c r="X145">
        <f>HYPERLINK("https://klasma.github.io/Logging_2309/tillsyn/A 15728-2026 tillsynsbegäran.docx", "A 15728-2026")</f>
        <v/>
      </c>
      <c r="Y145">
        <f>HYPERLINK("https://klasma.github.io/Logging_2309/tillsynsmail/A 15728-2026 tillsynsbegäran mail.docx", "A 15728-2026")</f>
        <v/>
      </c>
      <c r="Z145">
        <f>HYPERLINK("https://klasma.github.io/Logging_2309/fåglar/A 15728-2026 prioriterade fågelarter.docx", "A 15728-2026")</f>
        <v/>
      </c>
    </row>
    <row r="146" ht="15" customHeight="1">
      <c r="A146" t="inlineStr">
        <is>
          <t>A 56312-2024</t>
        </is>
      </c>
      <c r="B146" s="1" t="n">
        <v>45624</v>
      </c>
      <c r="C146" s="1" t="n">
        <v>46160</v>
      </c>
      <c r="D146" t="inlineStr">
        <is>
          <t>JÄMTLANDS LÄN</t>
        </is>
      </c>
      <c r="E146" t="inlineStr">
        <is>
          <t>KROKOM</t>
        </is>
      </c>
      <c r="G146" t="n">
        <v>7.2</v>
      </c>
      <c r="H146" t="n">
        <v>2</v>
      </c>
      <c r="I146" t="n">
        <v>0</v>
      </c>
      <c r="J146" t="n">
        <v>4</v>
      </c>
      <c r="K146" t="n">
        <v>0</v>
      </c>
      <c r="L146" t="n">
        <v>0</v>
      </c>
      <c r="M146" t="n">
        <v>0</v>
      </c>
      <c r="N146" t="n">
        <v>0</v>
      </c>
      <c r="O146" t="n">
        <v>4</v>
      </c>
      <c r="P146" t="n">
        <v>0</v>
      </c>
      <c r="Q146" t="n">
        <v>4</v>
      </c>
      <c r="R146" s="2" t="inlineStr">
        <is>
          <t>Granticka
Spillkråka
Tretåig hackspett
Ullticka</t>
        </is>
      </c>
      <c r="S146">
        <f>HYPERLINK("https://klasma.github.io/Logging_2309/artfynd/A 56312-2024 artfynd.xlsx", "A 56312-2024")</f>
        <v/>
      </c>
      <c r="T146">
        <f>HYPERLINK("https://klasma.github.io/Logging_2309/kartor/A 56312-2024 karta.png", "A 56312-2024")</f>
        <v/>
      </c>
      <c r="V146">
        <f>HYPERLINK("https://klasma.github.io/Logging_2309/klagomål/A 56312-2024 FSC-klagomål.docx", "A 56312-2024")</f>
        <v/>
      </c>
      <c r="W146">
        <f>HYPERLINK("https://klasma.github.io/Logging_2309/klagomålsmail/A 56312-2024 FSC-klagomål mail.docx", "A 56312-2024")</f>
        <v/>
      </c>
      <c r="X146">
        <f>HYPERLINK("https://klasma.github.io/Logging_2309/tillsyn/A 56312-2024 tillsynsbegäran.docx", "A 56312-2024")</f>
        <v/>
      </c>
      <c r="Y146">
        <f>HYPERLINK("https://klasma.github.io/Logging_2309/tillsynsmail/A 56312-2024 tillsynsbegäran mail.docx", "A 56312-2024")</f>
        <v/>
      </c>
      <c r="Z146">
        <f>HYPERLINK("https://klasma.github.io/Logging_2309/fåglar/A 56312-2024 prioriterade fågelarter.docx", "A 56312-2024")</f>
        <v/>
      </c>
    </row>
    <row r="147" ht="15" customHeight="1">
      <c r="A147" t="inlineStr">
        <is>
          <t>A 6682-2023</t>
        </is>
      </c>
      <c r="B147" s="1" t="n">
        <v>44966</v>
      </c>
      <c r="C147" s="1" t="n">
        <v>46160</v>
      </c>
      <c r="D147" t="inlineStr">
        <is>
          <t>JÄMTLANDS LÄN</t>
        </is>
      </c>
      <c r="E147" t="inlineStr">
        <is>
          <t>KROKOM</t>
        </is>
      </c>
      <c r="G147" t="n">
        <v>22.8</v>
      </c>
      <c r="H147" t="n">
        <v>1</v>
      </c>
      <c r="I147" t="n">
        <v>0</v>
      </c>
      <c r="J147" t="n">
        <v>4</v>
      </c>
      <c r="K147" t="n">
        <v>0</v>
      </c>
      <c r="L147" t="n">
        <v>0</v>
      </c>
      <c r="M147" t="n">
        <v>0</v>
      </c>
      <c r="N147" t="n">
        <v>0</v>
      </c>
      <c r="O147" t="n">
        <v>4</v>
      </c>
      <c r="P147" t="n">
        <v>0</v>
      </c>
      <c r="Q147" t="n">
        <v>4</v>
      </c>
      <c r="R147" s="2" t="inlineStr">
        <is>
          <t>Garnlav
Granticka
Lunglav
Tretåig hackspett</t>
        </is>
      </c>
      <c r="S147">
        <f>HYPERLINK("https://klasma.github.io/Logging_2309/artfynd/A 6682-2023 artfynd.xlsx", "A 6682-2023")</f>
        <v/>
      </c>
      <c r="T147">
        <f>HYPERLINK("https://klasma.github.io/Logging_2309/kartor/A 6682-2023 karta.png", "A 6682-2023")</f>
        <v/>
      </c>
      <c r="V147">
        <f>HYPERLINK("https://klasma.github.io/Logging_2309/klagomål/A 6682-2023 FSC-klagomål.docx", "A 6682-2023")</f>
        <v/>
      </c>
      <c r="W147">
        <f>HYPERLINK("https://klasma.github.io/Logging_2309/klagomålsmail/A 6682-2023 FSC-klagomål mail.docx", "A 6682-2023")</f>
        <v/>
      </c>
      <c r="X147">
        <f>HYPERLINK("https://klasma.github.io/Logging_2309/tillsyn/A 6682-2023 tillsynsbegäran.docx", "A 6682-2023")</f>
        <v/>
      </c>
      <c r="Y147">
        <f>HYPERLINK("https://klasma.github.io/Logging_2309/tillsynsmail/A 6682-2023 tillsynsbegäran mail.docx", "A 6682-2023")</f>
        <v/>
      </c>
      <c r="Z147">
        <f>HYPERLINK("https://klasma.github.io/Logging_2309/fåglar/A 6682-2023 prioriterade fågelarter.docx", "A 6682-2023")</f>
        <v/>
      </c>
    </row>
    <row r="148" ht="15" customHeight="1">
      <c r="A148" t="inlineStr">
        <is>
          <t>A 30068-2022</t>
        </is>
      </c>
      <c r="B148" s="1" t="n">
        <v>44757</v>
      </c>
      <c r="C148" s="1" t="n">
        <v>46160</v>
      </c>
      <c r="D148" t="inlineStr">
        <is>
          <t>JÄMTLANDS LÄN</t>
        </is>
      </c>
      <c r="E148" t="inlineStr">
        <is>
          <t>KROKOM</t>
        </is>
      </c>
      <c r="G148" t="n">
        <v>5</v>
      </c>
      <c r="H148" t="n">
        <v>1</v>
      </c>
      <c r="I148" t="n">
        <v>0</v>
      </c>
      <c r="J148" t="n">
        <v>4</v>
      </c>
      <c r="K148" t="n">
        <v>0</v>
      </c>
      <c r="L148" t="n">
        <v>0</v>
      </c>
      <c r="M148" t="n">
        <v>0</v>
      </c>
      <c r="N148" t="n">
        <v>0</v>
      </c>
      <c r="O148" t="n">
        <v>4</v>
      </c>
      <c r="P148" t="n">
        <v>0</v>
      </c>
      <c r="Q148" t="n">
        <v>4</v>
      </c>
      <c r="R148" s="2" t="inlineStr">
        <is>
          <t>Gränsticka
Harticka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55224-2024</t>
        </is>
      </c>
      <c r="B149" s="1" t="n">
        <v>45621</v>
      </c>
      <c r="C149" s="1" t="n">
        <v>46160</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2256-2024</t>
        </is>
      </c>
      <c r="B150" s="1" t="n">
        <v>45310</v>
      </c>
      <c r="C150" s="1" t="n">
        <v>46160</v>
      </c>
      <c r="D150" t="inlineStr">
        <is>
          <t>JÄMTLANDS LÄN</t>
        </is>
      </c>
      <c r="E150" t="inlineStr">
        <is>
          <t>KROKOM</t>
        </is>
      </c>
      <c r="G150" t="n">
        <v>29.6</v>
      </c>
      <c r="H150" t="n">
        <v>1</v>
      </c>
      <c r="I150" t="n">
        <v>1</v>
      </c>
      <c r="J150" t="n">
        <v>2</v>
      </c>
      <c r="K150" t="n">
        <v>0</v>
      </c>
      <c r="L150" t="n">
        <v>0</v>
      </c>
      <c r="M150" t="n">
        <v>0</v>
      </c>
      <c r="N150" t="n">
        <v>0</v>
      </c>
      <c r="O150" t="n">
        <v>2</v>
      </c>
      <c r="P150" t="n">
        <v>0</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32148-2024</t>
        </is>
      </c>
      <c r="B151" s="1" t="n">
        <v>45511.55719907407</v>
      </c>
      <c r="C151" s="1" t="n">
        <v>46160</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38966-2025</t>
        </is>
      </c>
      <c r="B152" s="1" t="n">
        <v>45887.6989699074</v>
      </c>
      <c r="C152" s="1" t="n">
        <v>46160</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71573-2021</t>
        </is>
      </c>
      <c r="B153" s="1" t="n">
        <v>44540</v>
      </c>
      <c r="C153" s="1" t="n">
        <v>46160</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23439-2024</t>
        </is>
      </c>
      <c r="B154" s="1" t="n">
        <v>45453.63133101852</v>
      </c>
      <c r="C154" s="1" t="n">
        <v>46160</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62113-2024</t>
        </is>
      </c>
      <c r="B155" s="1" t="n">
        <v>45656.54600694445</v>
      </c>
      <c r="C155" s="1" t="n">
        <v>46160</v>
      </c>
      <c r="D155" t="inlineStr">
        <is>
          <t>JÄMTLANDS LÄN</t>
        </is>
      </c>
      <c r="E155" t="inlineStr">
        <is>
          <t>KROKOM</t>
        </is>
      </c>
      <c r="G155" t="n">
        <v>5.3</v>
      </c>
      <c r="H155" t="n">
        <v>1</v>
      </c>
      <c r="I155" t="n">
        <v>2</v>
      </c>
      <c r="J155" t="n">
        <v>0</v>
      </c>
      <c r="K155" t="n">
        <v>0</v>
      </c>
      <c r="L155" t="n">
        <v>0</v>
      </c>
      <c r="M155" t="n">
        <v>0</v>
      </c>
      <c r="N155" t="n">
        <v>0</v>
      </c>
      <c r="O155" t="n">
        <v>0</v>
      </c>
      <c r="P155" t="n">
        <v>0</v>
      </c>
      <c r="Q155" t="n">
        <v>3</v>
      </c>
      <c r="R155" s="2" t="inlineStr">
        <is>
          <t>Finbräken
Kransrams
Blåsippa</t>
        </is>
      </c>
      <c r="S155">
        <f>HYPERLINK("https://klasma.github.io/Logging_2309/artfynd/A 62113-2024 artfynd.xlsx", "A 62113-2024")</f>
        <v/>
      </c>
      <c r="T155">
        <f>HYPERLINK("https://klasma.github.io/Logging_2309/kartor/A 62113-2024 karta.png", "A 62113-2024")</f>
        <v/>
      </c>
      <c r="V155">
        <f>HYPERLINK("https://klasma.github.io/Logging_2309/klagomål/A 62113-2024 FSC-klagomål.docx", "A 62113-2024")</f>
        <v/>
      </c>
      <c r="W155">
        <f>HYPERLINK("https://klasma.github.io/Logging_2309/klagomålsmail/A 62113-2024 FSC-klagomål mail.docx", "A 62113-2024")</f>
        <v/>
      </c>
      <c r="X155">
        <f>HYPERLINK("https://klasma.github.io/Logging_2309/tillsyn/A 62113-2024 tillsynsbegäran.docx", "A 62113-2024")</f>
        <v/>
      </c>
      <c r="Y155">
        <f>HYPERLINK("https://klasma.github.io/Logging_2309/tillsynsmail/A 62113-2024 tillsynsbegäran mail.docx", "A 62113-2024")</f>
        <v/>
      </c>
    </row>
    <row r="156" ht="15" customHeight="1">
      <c r="A156" t="inlineStr">
        <is>
          <t>A 36009-2025</t>
        </is>
      </c>
      <c r="B156" s="1" t="n">
        <v>45863.58127314815</v>
      </c>
      <c r="C156" s="1" t="n">
        <v>46160</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2592-2024</t>
        </is>
      </c>
      <c r="B157" s="1" t="n">
        <v>45313</v>
      </c>
      <c r="C157" s="1" t="n">
        <v>46160</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46160</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50431-2023</t>
        </is>
      </c>
      <c r="B159" s="1" t="n">
        <v>45216.67748842593</v>
      </c>
      <c r="C159" s="1" t="n">
        <v>46160</v>
      </c>
      <c r="D159" t="inlineStr">
        <is>
          <t>JÄMTLANDS LÄN</t>
        </is>
      </c>
      <c r="E159" t="inlineStr">
        <is>
          <t>KROKOM</t>
        </is>
      </c>
      <c r="G159" t="n">
        <v>6.9</v>
      </c>
      <c r="H159" t="n">
        <v>1</v>
      </c>
      <c r="I159" t="n">
        <v>0</v>
      </c>
      <c r="J159" t="n">
        <v>3</v>
      </c>
      <c r="K159" t="n">
        <v>0</v>
      </c>
      <c r="L159" t="n">
        <v>0</v>
      </c>
      <c r="M159" t="n">
        <v>0</v>
      </c>
      <c r="N159" t="n">
        <v>0</v>
      </c>
      <c r="O159" t="n">
        <v>3</v>
      </c>
      <c r="P159" t="n">
        <v>0</v>
      </c>
      <c r="Q159" t="n">
        <v>3</v>
      </c>
      <c r="R159" s="2" t="inlineStr">
        <is>
          <t>Granticka
Lunglav
Tretåig hackspett</t>
        </is>
      </c>
      <c r="S159">
        <f>HYPERLINK("https://klasma.github.io/Logging_2309/artfynd/A 50431-2023 artfynd.xlsx", "A 50431-2023")</f>
        <v/>
      </c>
      <c r="T159">
        <f>HYPERLINK("https://klasma.github.io/Logging_2309/kartor/A 50431-2023 karta.png", "A 50431-2023")</f>
        <v/>
      </c>
      <c r="V159">
        <f>HYPERLINK("https://klasma.github.io/Logging_2309/klagomål/A 50431-2023 FSC-klagomål.docx", "A 50431-2023")</f>
        <v/>
      </c>
      <c r="W159">
        <f>HYPERLINK("https://klasma.github.io/Logging_2309/klagomålsmail/A 50431-2023 FSC-klagomål mail.docx", "A 50431-2023")</f>
        <v/>
      </c>
      <c r="X159">
        <f>HYPERLINK("https://klasma.github.io/Logging_2309/tillsyn/A 50431-2023 tillsynsbegäran.docx", "A 50431-2023")</f>
        <v/>
      </c>
      <c r="Y159">
        <f>HYPERLINK("https://klasma.github.io/Logging_2309/tillsynsmail/A 50431-2023 tillsynsbegäran mail.docx", "A 50431-2023")</f>
        <v/>
      </c>
      <c r="Z159">
        <f>HYPERLINK("https://klasma.github.io/Logging_2309/fåglar/A 50431-2023 prioriterade fågelarter.docx", "A 50431-2023")</f>
        <v/>
      </c>
    </row>
    <row r="160" ht="15" customHeight="1">
      <c r="A160" t="inlineStr">
        <is>
          <t>A 30069-2022</t>
        </is>
      </c>
      <c r="B160" s="1" t="n">
        <v>44757</v>
      </c>
      <c r="C160" s="1" t="n">
        <v>46160</v>
      </c>
      <c r="D160" t="inlineStr">
        <is>
          <t>JÄMTLANDS LÄN</t>
        </is>
      </c>
      <c r="E160" t="inlineStr">
        <is>
          <t>KROKOM</t>
        </is>
      </c>
      <c r="G160" t="n">
        <v>0.7</v>
      </c>
      <c r="H160" t="n">
        <v>1</v>
      </c>
      <c r="I160" t="n">
        <v>0</v>
      </c>
      <c r="J160" t="n">
        <v>2</v>
      </c>
      <c r="K160" t="n">
        <v>1</v>
      </c>
      <c r="L160" t="n">
        <v>0</v>
      </c>
      <c r="M160" t="n">
        <v>0</v>
      </c>
      <c r="N160" t="n">
        <v>0</v>
      </c>
      <c r="O160" t="n">
        <v>3</v>
      </c>
      <c r="P160" t="n">
        <v>1</v>
      </c>
      <c r="Q160" t="n">
        <v>3</v>
      </c>
      <c r="R160" s="2" t="inlineStr">
        <is>
          <t>Rynkskinn
Granticka
Tretåig hackspett</t>
        </is>
      </c>
      <c r="S160">
        <f>HYPERLINK("https://klasma.github.io/Logging_2309/artfynd/A 30069-2022 artfynd.xlsx", "A 30069-2022")</f>
        <v/>
      </c>
      <c r="T160">
        <f>HYPERLINK("https://klasma.github.io/Logging_2309/kartor/A 30069-2022 karta.png", "A 30069-2022")</f>
        <v/>
      </c>
      <c r="V160">
        <f>HYPERLINK("https://klasma.github.io/Logging_2309/klagomål/A 30069-2022 FSC-klagomål.docx", "A 30069-2022")</f>
        <v/>
      </c>
      <c r="W160">
        <f>HYPERLINK("https://klasma.github.io/Logging_2309/klagomålsmail/A 30069-2022 FSC-klagomål mail.docx", "A 30069-2022")</f>
        <v/>
      </c>
      <c r="X160">
        <f>HYPERLINK("https://klasma.github.io/Logging_2309/tillsyn/A 30069-2022 tillsynsbegäran.docx", "A 30069-2022")</f>
        <v/>
      </c>
      <c r="Y160">
        <f>HYPERLINK("https://klasma.github.io/Logging_2309/tillsynsmail/A 30069-2022 tillsynsbegäran mail.docx", "A 30069-2022")</f>
        <v/>
      </c>
      <c r="Z160">
        <f>HYPERLINK("https://klasma.github.io/Logging_2309/fåglar/A 30069-2022 prioriterade fågelarter.docx", "A 30069-2022")</f>
        <v/>
      </c>
    </row>
    <row r="161" ht="15" customHeight="1">
      <c r="A161" t="inlineStr">
        <is>
          <t>A 52264-2022</t>
        </is>
      </c>
      <c r="B161" s="1" t="n">
        <v>44873</v>
      </c>
      <c r="C161" s="1" t="n">
        <v>46160</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34582-2024</t>
        </is>
      </c>
      <c r="B162" s="1" t="n">
        <v>45526</v>
      </c>
      <c r="C162" s="1" t="n">
        <v>46160</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54772-2025</t>
        </is>
      </c>
      <c r="B163" s="1" t="n">
        <v>45966</v>
      </c>
      <c r="C163" s="1" t="n">
        <v>46160</v>
      </c>
      <c r="D163" t="inlineStr">
        <is>
          <t>JÄMTLANDS LÄN</t>
        </is>
      </c>
      <c r="E163" t="inlineStr">
        <is>
          <t>KROKOM</t>
        </is>
      </c>
      <c r="G163" t="n">
        <v>3.7</v>
      </c>
      <c r="H163" t="n">
        <v>1</v>
      </c>
      <c r="I163" t="n">
        <v>0</v>
      </c>
      <c r="J163" t="n">
        <v>3</v>
      </c>
      <c r="K163" t="n">
        <v>0</v>
      </c>
      <c r="L163" t="n">
        <v>0</v>
      </c>
      <c r="M163" t="n">
        <v>0</v>
      </c>
      <c r="N163" t="n">
        <v>0</v>
      </c>
      <c r="O163" t="n">
        <v>3</v>
      </c>
      <c r="P163" t="n">
        <v>0</v>
      </c>
      <c r="Q163" t="n">
        <v>3</v>
      </c>
      <c r="R163" s="2" t="inlineStr">
        <is>
          <t>Granticka
Harticka
Tretåig hackspett</t>
        </is>
      </c>
      <c r="S163">
        <f>HYPERLINK("https://klasma.github.io/Logging_2309/artfynd/A 54772-2025 artfynd.xlsx", "A 54772-2025")</f>
        <v/>
      </c>
      <c r="T163">
        <f>HYPERLINK("https://klasma.github.io/Logging_2309/kartor/A 54772-2025 karta.png", "A 54772-2025")</f>
        <v/>
      </c>
      <c r="V163">
        <f>HYPERLINK("https://klasma.github.io/Logging_2309/klagomål/A 54772-2025 FSC-klagomål.docx", "A 54772-2025")</f>
        <v/>
      </c>
      <c r="W163">
        <f>HYPERLINK("https://klasma.github.io/Logging_2309/klagomålsmail/A 54772-2025 FSC-klagomål mail.docx", "A 54772-2025")</f>
        <v/>
      </c>
      <c r="X163">
        <f>HYPERLINK("https://klasma.github.io/Logging_2309/tillsyn/A 54772-2025 tillsynsbegäran.docx", "A 54772-2025")</f>
        <v/>
      </c>
      <c r="Y163">
        <f>HYPERLINK("https://klasma.github.io/Logging_2309/tillsynsmail/A 54772-2025 tillsynsbegäran mail.docx", "A 54772-2025")</f>
        <v/>
      </c>
      <c r="Z163">
        <f>HYPERLINK("https://klasma.github.io/Logging_2309/fåglar/A 54772-2025 prioriterade fågelarter.docx", "A 54772-2025")</f>
        <v/>
      </c>
    </row>
    <row r="164" ht="15" customHeight="1">
      <c r="A164" t="inlineStr">
        <is>
          <t>A 54924-2025</t>
        </is>
      </c>
      <c r="B164" s="1" t="n">
        <v>45967</v>
      </c>
      <c r="C164" s="1" t="n">
        <v>46160</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4717-2026</t>
        </is>
      </c>
      <c r="B165" s="1" t="n">
        <v>46048</v>
      </c>
      <c r="C165" s="1" t="n">
        <v>46160</v>
      </c>
      <c r="D165" t="inlineStr">
        <is>
          <t>JÄMTLANDS LÄN</t>
        </is>
      </c>
      <c r="E165" t="inlineStr">
        <is>
          <t>KROKOM</t>
        </is>
      </c>
      <c r="G165" t="n">
        <v>5.7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4717-2026 artfynd.xlsx", "A 4717-2026")</f>
        <v/>
      </c>
      <c r="T165">
        <f>HYPERLINK("https://klasma.github.io/Logging_2309/kartor/A 4717-2026 karta.png", "A 4717-2026")</f>
        <v/>
      </c>
      <c r="V165">
        <f>HYPERLINK("https://klasma.github.io/Logging_2309/klagomål/A 4717-2026 FSC-klagomål.docx", "A 4717-2026")</f>
        <v/>
      </c>
      <c r="W165">
        <f>HYPERLINK("https://klasma.github.io/Logging_2309/klagomålsmail/A 4717-2026 FSC-klagomål mail.docx", "A 4717-2026")</f>
        <v/>
      </c>
      <c r="X165">
        <f>HYPERLINK("https://klasma.github.io/Logging_2309/tillsyn/A 4717-2026 tillsynsbegäran.docx", "A 4717-2026")</f>
        <v/>
      </c>
      <c r="Y165">
        <f>HYPERLINK("https://klasma.github.io/Logging_2309/tillsynsmail/A 4717-2026 tillsynsbegäran mail.docx", "A 4717-2026")</f>
        <v/>
      </c>
      <c r="Z165">
        <f>HYPERLINK("https://klasma.github.io/Logging_2309/fåglar/A 4717-2026 prioriterade fågelarter.docx", "A 4717-2026")</f>
        <v/>
      </c>
    </row>
    <row r="166" ht="15" customHeight="1">
      <c r="A166" t="inlineStr">
        <is>
          <t>A 60385-2025</t>
        </is>
      </c>
      <c r="B166" s="1" t="n">
        <v>45995.38047453704</v>
      </c>
      <c r="C166" s="1" t="n">
        <v>46160</v>
      </c>
      <c r="D166" t="inlineStr">
        <is>
          <t>JÄMTLANDS LÄN</t>
        </is>
      </c>
      <c r="E166" t="inlineStr">
        <is>
          <t>KROKOM</t>
        </is>
      </c>
      <c r="G166" t="n">
        <v>2.4</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60385-2025 artfynd.xlsx", "A 60385-2025")</f>
        <v/>
      </c>
      <c r="T166">
        <f>HYPERLINK("https://klasma.github.io/Logging_2309/kartor/A 60385-2025 karta.png", "A 60385-2025")</f>
        <v/>
      </c>
      <c r="V166">
        <f>HYPERLINK("https://klasma.github.io/Logging_2309/klagomål/A 60385-2025 FSC-klagomål.docx", "A 60385-2025")</f>
        <v/>
      </c>
      <c r="W166">
        <f>HYPERLINK("https://klasma.github.io/Logging_2309/klagomålsmail/A 60385-2025 FSC-klagomål mail.docx", "A 60385-2025")</f>
        <v/>
      </c>
      <c r="X166">
        <f>HYPERLINK("https://klasma.github.io/Logging_2309/tillsyn/A 60385-2025 tillsynsbegäran.docx", "A 60385-2025")</f>
        <v/>
      </c>
      <c r="Y166">
        <f>HYPERLINK("https://klasma.github.io/Logging_2309/tillsynsmail/A 60385-2025 tillsynsbegäran mail.docx", "A 60385-2025")</f>
        <v/>
      </c>
      <c r="Z166">
        <f>HYPERLINK("https://klasma.github.io/Logging_2309/fåglar/A 60385-2025 prioriterade fågelarter.docx", "A 60385-2025")</f>
        <v/>
      </c>
    </row>
    <row r="167" ht="15" customHeight="1">
      <c r="A167" t="inlineStr">
        <is>
          <t>A 63855-2025</t>
        </is>
      </c>
      <c r="B167" s="1" t="n">
        <v>46020</v>
      </c>
      <c r="C167" s="1" t="n">
        <v>46160</v>
      </c>
      <c r="D167" t="inlineStr">
        <is>
          <t>JÄMTLANDS LÄN</t>
        </is>
      </c>
      <c r="E167" t="inlineStr">
        <is>
          <t>KROKOM</t>
        </is>
      </c>
      <c r="G167" t="n">
        <v>6.5</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63855-2025 artfynd.xlsx", "A 63855-2025")</f>
        <v/>
      </c>
      <c r="T167">
        <f>HYPERLINK("https://klasma.github.io/Logging_2309/kartor/A 63855-2025 karta.png", "A 63855-2025")</f>
        <v/>
      </c>
      <c r="V167">
        <f>HYPERLINK("https://klasma.github.io/Logging_2309/klagomål/A 63855-2025 FSC-klagomål.docx", "A 63855-2025")</f>
        <v/>
      </c>
      <c r="W167">
        <f>HYPERLINK("https://klasma.github.io/Logging_2309/klagomålsmail/A 63855-2025 FSC-klagomål mail.docx", "A 63855-2025")</f>
        <v/>
      </c>
      <c r="X167">
        <f>HYPERLINK("https://klasma.github.io/Logging_2309/tillsyn/A 63855-2025 tillsynsbegäran.docx", "A 63855-2025")</f>
        <v/>
      </c>
      <c r="Y167">
        <f>HYPERLINK("https://klasma.github.io/Logging_2309/tillsynsmail/A 63855-2025 tillsynsbegäran mail.docx", "A 63855-2025")</f>
        <v/>
      </c>
      <c r="Z167">
        <f>HYPERLINK("https://klasma.github.io/Logging_2309/fåglar/A 63855-2025 prioriterade fågelarter.docx", "A 63855-2025")</f>
        <v/>
      </c>
    </row>
    <row r="168" ht="15" customHeight="1">
      <c r="A168" t="inlineStr">
        <is>
          <t>A 63833-2025</t>
        </is>
      </c>
      <c r="B168" s="1" t="n">
        <v>46020</v>
      </c>
      <c r="C168" s="1" t="n">
        <v>46160</v>
      </c>
      <c r="D168" t="inlineStr">
        <is>
          <t>JÄMTLANDS LÄN</t>
        </is>
      </c>
      <c r="E168" t="inlineStr">
        <is>
          <t>KROKOM</t>
        </is>
      </c>
      <c r="G168" t="n">
        <v>3.1</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63833-2025 artfynd.xlsx", "A 63833-2025")</f>
        <v/>
      </c>
      <c r="T168">
        <f>HYPERLINK("https://klasma.github.io/Logging_2309/kartor/A 63833-2025 karta.png", "A 63833-2025")</f>
        <v/>
      </c>
      <c r="V168">
        <f>HYPERLINK("https://klasma.github.io/Logging_2309/klagomål/A 63833-2025 FSC-klagomål.docx", "A 63833-2025")</f>
        <v/>
      </c>
      <c r="W168">
        <f>HYPERLINK("https://klasma.github.io/Logging_2309/klagomålsmail/A 63833-2025 FSC-klagomål mail.docx", "A 63833-2025")</f>
        <v/>
      </c>
      <c r="X168">
        <f>HYPERLINK("https://klasma.github.io/Logging_2309/tillsyn/A 63833-2025 tillsynsbegäran.docx", "A 63833-2025")</f>
        <v/>
      </c>
      <c r="Y168">
        <f>HYPERLINK("https://klasma.github.io/Logging_2309/tillsynsmail/A 63833-2025 tillsynsbegäran mail.docx", "A 63833-2025")</f>
        <v/>
      </c>
      <c r="Z168">
        <f>HYPERLINK("https://klasma.github.io/Logging_2309/fåglar/A 63833-2025 prioriterade fågelarter.docx", "A 63833-2025")</f>
        <v/>
      </c>
    </row>
    <row r="169" ht="15" customHeight="1">
      <c r="A169" t="inlineStr">
        <is>
          <t>A 11355-2026</t>
        </is>
      </c>
      <c r="B169" s="1" t="n">
        <v>46083</v>
      </c>
      <c r="C169" s="1" t="n">
        <v>46160</v>
      </c>
      <c r="D169" t="inlineStr">
        <is>
          <t>JÄMTLANDS LÄN</t>
        </is>
      </c>
      <c r="E169" t="inlineStr">
        <is>
          <t>KROKOM</t>
        </is>
      </c>
      <c r="G169" t="n">
        <v>1.5</v>
      </c>
      <c r="H169" t="n">
        <v>2</v>
      </c>
      <c r="I169" t="n">
        <v>1</v>
      </c>
      <c r="J169" t="n">
        <v>1</v>
      </c>
      <c r="K169" t="n">
        <v>0</v>
      </c>
      <c r="L169" t="n">
        <v>0</v>
      </c>
      <c r="M169" t="n">
        <v>0</v>
      </c>
      <c r="N169" t="n">
        <v>0</v>
      </c>
      <c r="O169" t="n">
        <v>1</v>
      </c>
      <c r="P169" t="n">
        <v>0</v>
      </c>
      <c r="Q169" t="n">
        <v>3</v>
      </c>
      <c r="R169" s="2" t="inlineStr">
        <is>
          <t>Talltita
Svavelriska
Blåsippa</t>
        </is>
      </c>
      <c r="S169">
        <f>HYPERLINK("https://klasma.github.io/Logging_2309/artfynd/A 11355-2026 artfynd.xlsx", "A 11355-2026")</f>
        <v/>
      </c>
      <c r="T169">
        <f>HYPERLINK("https://klasma.github.io/Logging_2309/kartor/A 11355-2026 karta.png", "A 11355-2026")</f>
        <v/>
      </c>
      <c r="V169">
        <f>HYPERLINK("https://klasma.github.io/Logging_2309/klagomål/A 11355-2026 FSC-klagomål.docx", "A 11355-2026")</f>
        <v/>
      </c>
      <c r="W169">
        <f>HYPERLINK("https://klasma.github.io/Logging_2309/klagomålsmail/A 11355-2026 FSC-klagomål mail.docx", "A 11355-2026")</f>
        <v/>
      </c>
      <c r="X169">
        <f>HYPERLINK("https://klasma.github.io/Logging_2309/tillsyn/A 11355-2026 tillsynsbegäran.docx", "A 11355-2026")</f>
        <v/>
      </c>
      <c r="Y169">
        <f>HYPERLINK("https://klasma.github.io/Logging_2309/tillsynsmail/A 11355-2026 tillsynsbegäran mail.docx", "A 11355-2026")</f>
        <v/>
      </c>
      <c r="Z169">
        <f>HYPERLINK("https://klasma.github.io/Logging_2309/fåglar/A 11355-2026 prioriterade fågelarter.docx", "A 11355-2026")</f>
        <v/>
      </c>
    </row>
    <row r="170" ht="15" customHeight="1">
      <c r="A170" t="inlineStr">
        <is>
          <t>A 50345-2023</t>
        </is>
      </c>
      <c r="B170" s="1" t="n">
        <v>45216</v>
      </c>
      <c r="C170" s="1" t="n">
        <v>46160</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3501-2026</t>
        </is>
      </c>
      <c r="B171" s="1" t="n">
        <v>46042.57795138889</v>
      </c>
      <c r="C171" s="1" t="n">
        <v>46160</v>
      </c>
      <c r="D171" t="inlineStr">
        <is>
          <t>JÄMTLANDS LÄN</t>
        </is>
      </c>
      <c r="E171" t="inlineStr">
        <is>
          <t>KROKOM</t>
        </is>
      </c>
      <c r="G171" t="n">
        <v>7</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3501-2026 artfynd.xlsx", "A 3501-2026")</f>
        <v/>
      </c>
      <c r="T171">
        <f>HYPERLINK("https://klasma.github.io/Logging_2309/kartor/A 3501-2026 karta.png", "A 3501-2026")</f>
        <v/>
      </c>
      <c r="V171">
        <f>HYPERLINK("https://klasma.github.io/Logging_2309/klagomål/A 3501-2026 FSC-klagomål.docx", "A 3501-2026")</f>
        <v/>
      </c>
      <c r="W171">
        <f>HYPERLINK("https://klasma.github.io/Logging_2309/klagomålsmail/A 3501-2026 FSC-klagomål mail.docx", "A 3501-2026")</f>
        <v/>
      </c>
      <c r="X171">
        <f>HYPERLINK("https://klasma.github.io/Logging_2309/tillsyn/A 3501-2026 tillsynsbegäran.docx", "A 3501-2026")</f>
        <v/>
      </c>
      <c r="Y171">
        <f>HYPERLINK("https://klasma.github.io/Logging_2309/tillsynsmail/A 3501-2026 tillsynsbegäran mail.docx", "A 3501-2026")</f>
        <v/>
      </c>
      <c r="Z171">
        <f>HYPERLINK("https://klasma.github.io/Logging_2309/fåglar/A 3501-2026 prioriterade fågelarter.docx", "A 3501-2026")</f>
        <v/>
      </c>
    </row>
    <row r="172" ht="15" customHeight="1">
      <c r="A172" t="inlineStr">
        <is>
          <t>A 44869-2022</t>
        </is>
      </c>
      <c r="B172" s="1" t="n">
        <v>44841</v>
      </c>
      <c r="C172" s="1" t="n">
        <v>46160</v>
      </c>
      <c r="D172" t="inlineStr">
        <is>
          <t>JÄMTLANDS LÄN</t>
        </is>
      </c>
      <c r="E172" t="inlineStr">
        <is>
          <t>KROKOM</t>
        </is>
      </c>
      <c r="G172" t="n">
        <v>4.5</v>
      </c>
      <c r="H172" t="n">
        <v>1</v>
      </c>
      <c r="I172" t="n">
        <v>0</v>
      </c>
      <c r="J172" t="n">
        <v>1</v>
      </c>
      <c r="K172" t="n">
        <v>2</v>
      </c>
      <c r="L172" t="n">
        <v>0</v>
      </c>
      <c r="M172" t="n">
        <v>0</v>
      </c>
      <c r="N172" t="n">
        <v>0</v>
      </c>
      <c r="O172" t="n">
        <v>3</v>
      </c>
      <c r="P172" t="n">
        <v>2</v>
      </c>
      <c r="Q172" t="n">
        <v>3</v>
      </c>
      <c r="R172" s="2" t="inlineStr">
        <is>
          <t>Knärot
Ulltickeporing
Lunglav</t>
        </is>
      </c>
      <c r="S172">
        <f>HYPERLINK("https://klasma.github.io/Logging_2309/artfynd/A 44869-2022 artfynd.xlsx", "A 44869-2022")</f>
        <v/>
      </c>
      <c r="T172">
        <f>HYPERLINK("https://klasma.github.io/Logging_2309/kartor/A 44869-2022 karta.png", "A 44869-2022")</f>
        <v/>
      </c>
      <c r="U172">
        <f>HYPERLINK("https://klasma.github.io/Logging_2309/knärot/A 44869-2022 karta knärot.png", "A 44869-2022")</f>
        <v/>
      </c>
      <c r="V172">
        <f>HYPERLINK("https://klasma.github.io/Logging_2309/klagomål/A 44869-2022 FSC-klagomål.docx", "A 44869-2022")</f>
        <v/>
      </c>
      <c r="W172">
        <f>HYPERLINK("https://klasma.github.io/Logging_2309/klagomålsmail/A 44869-2022 FSC-klagomål mail.docx", "A 44869-2022")</f>
        <v/>
      </c>
      <c r="X172">
        <f>HYPERLINK("https://klasma.github.io/Logging_2309/tillsyn/A 44869-2022 tillsynsbegäran.docx", "A 44869-2022")</f>
        <v/>
      </c>
      <c r="Y172">
        <f>HYPERLINK("https://klasma.github.io/Logging_2309/tillsynsmail/A 44869-2022 tillsynsbegäran mail.docx", "A 44869-2022")</f>
        <v/>
      </c>
    </row>
    <row r="173" ht="15" customHeight="1">
      <c r="A173" t="inlineStr">
        <is>
          <t>A 54494-2023</t>
        </is>
      </c>
      <c r="B173" s="1" t="n">
        <v>45233</v>
      </c>
      <c r="C173" s="1" t="n">
        <v>46160</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51663-2022</t>
        </is>
      </c>
      <c r="B174" s="1" t="n">
        <v>44867</v>
      </c>
      <c r="C174" s="1" t="n">
        <v>46160</v>
      </c>
      <c r="D174" t="inlineStr">
        <is>
          <t>JÄMTLANDS LÄN</t>
        </is>
      </c>
      <c r="E174" t="inlineStr">
        <is>
          <t>KROKOM</t>
        </is>
      </c>
      <c r="G174" t="n">
        <v>28.5</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51663-2022 artfynd.xlsx", "A 51663-2022")</f>
        <v/>
      </c>
      <c r="T174">
        <f>HYPERLINK("https://klasma.github.io/Logging_2309/kartor/A 51663-2022 karta.png", "A 51663-2022")</f>
        <v/>
      </c>
      <c r="V174">
        <f>HYPERLINK("https://klasma.github.io/Logging_2309/klagomål/A 51663-2022 FSC-klagomål.docx", "A 51663-2022")</f>
        <v/>
      </c>
      <c r="W174">
        <f>HYPERLINK("https://klasma.github.io/Logging_2309/klagomålsmail/A 51663-2022 FSC-klagomål mail.docx", "A 51663-2022")</f>
        <v/>
      </c>
      <c r="X174">
        <f>HYPERLINK("https://klasma.github.io/Logging_2309/tillsyn/A 51663-2022 tillsynsbegäran.docx", "A 51663-2022")</f>
        <v/>
      </c>
      <c r="Y174">
        <f>HYPERLINK("https://klasma.github.io/Logging_2309/tillsynsmail/A 51663-2022 tillsynsbegäran mail.docx", "A 51663-2022")</f>
        <v/>
      </c>
      <c r="Z174">
        <f>HYPERLINK("https://klasma.github.io/Logging_2309/fåglar/A 51663-2022 prioriterade fågelarter.docx", "A 51663-2022")</f>
        <v/>
      </c>
    </row>
    <row r="175" ht="15" customHeight="1">
      <c r="A175" t="inlineStr">
        <is>
          <t>A 5278-2025</t>
        </is>
      </c>
      <c r="B175" s="1" t="n">
        <v>45692</v>
      </c>
      <c r="C175" s="1" t="n">
        <v>46160</v>
      </c>
      <c r="D175" t="inlineStr">
        <is>
          <t>JÄMTLANDS LÄN</t>
        </is>
      </c>
      <c r="E175" t="inlineStr">
        <is>
          <t>KROKOM</t>
        </is>
      </c>
      <c r="F175" t="inlineStr">
        <is>
          <t>Övriga Aktiebolag</t>
        </is>
      </c>
      <c r="G175" t="n">
        <v>117.4</v>
      </c>
      <c r="H175" t="n">
        <v>1</v>
      </c>
      <c r="I175" t="n">
        <v>0</v>
      </c>
      <c r="J175" t="n">
        <v>2</v>
      </c>
      <c r="K175" t="n">
        <v>0</v>
      </c>
      <c r="L175" t="n">
        <v>1</v>
      </c>
      <c r="M175" t="n">
        <v>0</v>
      </c>
      <c r="N175" t="n">
        <v>0</v>
      </c>
      <c r="O175" t="n">
        <v>3</v>
      </c>
      <c r="P175" t="n">
        <v>1</v>
      </c>
      <c r="Q175" t="n">
        <v>3</v>
      </c>
      <c r="R175" s="2" t="inlineStr">
        <is>
          <t>Bredgentiana
Backruta
Månlåsbräken</t>
        </is>
      </c>
      <c r="S175">
        <f>HYPERLINK("https://klasma.github.io/Logging_2309/artfynd/A 5278-2025 artfynd.xlsx", "A 5278-2025")</f>
        <v/>
      </c>
      <c r="T175">
        <f>HYPERLINK("https://klasma.github.io/Logging_2309/kartor/A 5278-2025 karta.png", "A 5278-2025")</f>
        <v/>
      </c>
      <c r="V175">
        <f>HYPERLINK("https://klasma.github.io/Logging_2309/klagomål/A 5278-2025 FSC-klagomål.docx", "A 5278-2025")</f>
        <v/>
      </c>
      <c r="W175">
        <f>HYPERLINK("https://klasma.github.io/Logging_2309/klagomålsmail/A 5278-2025 FSC-klagomål mail.docx", "A 5278-2025")</f>
        <v/>
      </c>
      <c r="X175">
        <f>HYPERLINK("https://klasma.github.io/Logging_2309/tillsyn/A 5278-2025 tillsynsbegäran.docx", "A 5278-2025")</f>
        <v/>
      </c>
      <c r="Y175">
        <f>HYPERLINK("https://klasma.github.io/Logging_2309/tillsynsmail/A 5278-2025 tillsynsbegäran mail.docx", "A 5278-2025")</f>
        <v/>
      </c>
    </row>
    <row r="176" ht="15" customHeight="1">
      <c r="A176" t="inlineStr">
        <is>
          <t>A 28151-2021</t>
        </is>
      </c>
      <c r="B176" s="1" t="n">
        <v>44355</v>
      </c>
      <c r="C176" s="1" t="n">
        <v>46160</v>
      </c>
      <c r="D176" t="inlineStr">
        <is>
          <t>JÄMTLANDS LÄN</t>
        </is>
      </c>
      <c r="E176" t="inlineStr">
        <is>
          <t>KROKOM</t>
        </is>
      </c>
      <c r="G176" t="n">
        <v>19.6</v>
      </c>
      <c r="H176" t="n">
        <v>0</v>
      </c>
      <c r="I176" t="n">
        <v>0</v>
      </c>
      <c r="J176" t="n">
        <v>2</v>
      </c>
      <c r="K176" t="n">
        <v>0</v>
      </c>
      <c r="L176" t="n">
        <v>0</v>
      </c>
      <c r="M176" t="n">
        <v>0</v>
      </c>
      <c r="N176" t="n">
        <v>0</v>
      </c>
      <c r="O176" t="n">
        <v>2</v>
      </c>
      <c r="P176" t="n">
        <v>0</v>
      </c>
      <c r="Q176" t="n">
        <v>2</v>
      </c>
      <c r="R176" s="2" t="inlineStr">
        <is>
          <t>Granticka
Lunglav</t>
        </is>
      </c>
      <c r="S176">
        <f>HYPERLINK("https://klasma.github.io/Logging_2309/artfynd/A 28151-2021 artfynd.xlsx", "A 28151-2021")</f>
        <v/>
      </c>
      <c r="T176">
        <f>HYPERLINK("https://klasma.github.io/Logging_2309/kartor/A 28151-2021 karta.png", "A 28151-2021")</f>
        <v/>
      </c>
      <c r="V176">
        <f>HYPERLINK("https://klasma.github.io/Logging_2309/klagomål/A 28151-2021 FSC-klagomål.docx", "A 28151-2021")</f>
        <v/>
      </c>
      <c r="W176">
        <f>HYPERLINK("https://klasma.github.io/Logging_2309/klagomålsmail/A 28151-2021 FSC-klagomål mail.docx", "A 28151-2021")</f>
        <v/>
      </c>
      <c r="X176">
        <f>HYPERLINK("https://klasma.github.io/Logging_2309/tillsyn/A 28151-2021 tillsynsbegäran.docx", "A 28151-2021")</f>
        <v/>
      </c>
      <c r="Y176">
        <f>HYPERLINK("https://klasma.github.io/Logging_2309/tillsynsmail/A 28151-2021 tillsynsbegäran mail.docx", "A 28151-2021")</f>
        <v/>
      </c>
    </row>
    <row r="177" ht="15" customHeight="1">
      <c r="A177" t="inlineStr">
        <is>
          <t>A 30060-2022</t>
        </is>
      </c>
      <c r="B177" s="1" t="n">
        <v>44757</v>
      </c>
      <c r="C177" s="1" t="n">
        <v>46160</v>
      </c>
      <c r="D177" t="inlineStr">
        <is>
          <t>JÄMTLANDS LÄN</t>
        </is>
      </c>
      <c r="E177" t="inlineStr">
        <is>
          <t>KROKOM</t>
        </is>
      </c>
      <c r="G177" t="n">
        <v>0.6</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30060-2022 artfynd.xlsx", "A 30060-2022")</f>
        <v/>
      </c>
      <c r="T177">
        <f>HYPERLINK("https://klasma.github.io/Logging_2309/kartor/A 30060-2022 karta.png", "A 30060-2022")</f>
        <v/>
      </c>
      <c r="V177">
        <f>HYPERLINK("https://klasma.github.io/Logging_2309/klagomål/A 30060-2022 FSC-klagomål.docx", "A 30060-2022")</f>
        <v/>
      </c>
      <c r="W177">
        <f>HYPERLINK("https://klasma.github.io/Logging_2309/klagomålsmail/A 30060-2022 FSC-klagomål mail.docx", "A 30060-2022")</f>
        <v/>
      </c>
      <c r="X177">
        <f>HYPERLINK("https://klasma.github.io/Logging_2309/tillsyn/A 30060-2022 tillsynsbegäran.docx", "A 30060-2022")</f>
        <v/>
      </c>
      <c r="Y177">
        <f>HYPERLINK("https://klasma.github.io/Logging_2309/tillsynsmail/A 30060-2022 tillsynsbegäran mail.docx", "A 30060-2022")</f>
        <v/>
      </c>
      <c r="Z177">
        <f>HYPERLINK("https://klasma.github.io/Logging_2309/fåglar/A 30060-2022 prioriterade fågelarter.docx", "A 30060-2022")</f>
        <v/>
      </c>
    </row>
    <row r="178" ht="15" customHeight="1">
      <c r="A178" t="inlineStr">
        <is>
          <t>A 67738-2021</t>
        </is>
      </c>
      <c r="B178" s="1" t="n">
        <v>44524</v>
      </c>
      <c r="C178" s="1" t="n">
        <v>46160</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33874-2021</t>
        </is>
      </c>
      <c r="B179" s="1" t="n">
        <v>44378</v>
      </c>
      <c r="C179" s="1" t="n">
        <v>46160</v>
      </c>
      <c r="D179" t="inlineStr">
        <is>
          <t>JÄMTLANDS LÄN</t>
        </is>
      </c>
      <c r="E179" t="inlineStr">
        <is>
          <t>KROKOM</t>
        </is>
      </c>
      <c r="G179" t="n">
        <v>5.9</v>
      </c>
      <c r="H179" t="n">
        <v>1</v>
      </c>
      <c r="I179" t="n">
        <v>2</v>
      </c>
      <c r="J179" t="n">
        <v>0</v>
      </c>
      <c r="K179" t="n">
        <v>0</v>
      </c>
      <c r="L179" t="n">
        <v>0</v>
      </c>
      <c r="M179" t="n">
        <v>0</v>
      </c>
      <c r="N179" t="n">
        <v>0</v>
      </c>
      <c r="O179" t="n">
        <v>0</v>
      </c>
      <c r="P179" t="n">
        <v>0</v>
      </c>
      <c r="Q179" t="n">
        <v>2</v>
      </c>
      <c r="R179" s="2" t="inlineStr">
        <is>
          <t>Kransrams
Tvåblad</t>
        </is>
      </c>
      <c r="S179">
        <f>HYPERLINK("https://klasma.github.io/Logging_2309/artfynd/A 33874-2021 artfynd.xlsx", "A 33874-2021")</f>
        <v/>
      </c>
      <c r="T179">
        <f>HYPERLINK("https://klasma.github.io/Logging_2309/kartor/A 33874-2021 karta.png", "A 33874-2021")</f>
        <v/>
      </c>
      <c r="V179">
        <f>HYPERLINK("https://klasma.github.io/Logging_2309/klagomål/A 33874-2021 FSC-klagomål.docx", "A 33874-2021")</f>
        <v/>
      </c>
      <c r="W179">
        <f>HYPERLINK("https://klasma.github.io/Logging_2309/klagomålsmail/A 33874-2021 FSC-klagomål mail.docx", "A 33874-2021")</f>
        <v/>
      </c>
      <c r="X179">
        <f>HYPERLINK("https://klasma.github.io/Logging_2309/tillsyn/A 33874-2021 tillsynsbegäran.docx", "A 33874-2021")</f>
        <v/>
      </c>
      <c r="Y179">
        <f>HYPERLINK("https://klasma.github.io/Logging_2309/tillsynsmail/A 33874-2021 tillsynsbegäran mail.docx", "A 33874-2021")</f>
        <v/>
      </c>
    </row>
    <row r="180" ht="15" customHeight="1">
      <c r="A180" t="inlineStr">
        <is>
          <t>A 62453-2023</t>
        </is>
      </c>
      <c r="B180" s="1" t="n">
        <v>45268</v>
      </c>
      <c r="C180" s="1" t="n">
        <v>46160</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85-2026</t>
        </is>
      </c>
      <c r="B181" s="1" t="n">
        <v>46014</v>
      </c>
      <c r="C181" s="1" t="n">
        <v>46160</v>
      </c>
      <c r="D181" t="inlineStr">
        <is>
          <t>JÄMTLANDS LÄN</t>
        </is>
      </c>
      <c r="E181" t="inlineStr">
        <is>
          <t>KROKOM</t>
        </is>
      </c>
      <c r="G181" t="n">
        <v>4.4</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85-2026 artfynd.xlsx", "A 85-2026")</f>
        <v/>
      </c>
      <c r="T181">
        <f>HYPERLINK("https://klasma.github.io/Logging_2309/kartor/A 85-2026 karta.png", "A 85-2026")</f>
        <v/>
      </c>
      <c r="V181">
        <f>HYPERLINK("https://klasma.github.io/Logging_2309/klagomål/A 85-2026 FSC-klagomål.docx", "A 85-2026")</f>
        <v/>
      </c>
      <c r="W181">
        <f>HYPERLINK("https://klasma.github.io/Logging_2309/klagomålsmail/A 85-2026 FSC-klagomål mail.docx", "A 85-2026")</f>
        <v/>
      </c>
      <c r="X181">
        <f>HYPERLINK("https://klasma.github.io/Logging_2309/tillsyn/A 85-2026 tillsynsbegäran.docx", "A 85-2026")</f>
        <v/>
      </c>
      <c r="Y181">
        <f>HYPERLINK("https://klasma.github.io/Logging_2309/tillsynsmail/A 85-2026 tillsynsbegäran mail.docx", "A 85-2026")</f>
        <v/>
      </c>
      <c r="Z181">
        <f>HYPERLINK("https://klasma.github.io/Logging_2309/fåglar/A 85-2026 prioriterade fågelarter.docx", "A 85-2026")</f>
        <v/>
      </c>
    </row>
    <row r="182" ht="15" customHeight="1">
      <c r="A182" t="inlineStr">
        <is>
          <t>A 23730-2025</t>
        </is>
      </c>
      <c r="B182" s="1" t="n">
        <v>45793.4189699074</v>
      </c>
      <c r="C182" s="1" t="n">
        <v>46160</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35891-2025</t>
        </is>
      </c>
      <c r="B183" s="1" t="n">
        <v>45862</v>
      </c>
      <c r="C183" s="1" t="n">
        <v>46160</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25952-2025</t>
        </is>
      </c>
      <c r="B184" s="1" t="n">
        <v>45804.60005787037</v>
      </c>
      <c r="C184" s="1" t="n">
        <v>46160</v>
      </c>
      <c r="D184" t="inlineStr">
        <is>
          <t>JÄMTLANDS LÄN</t>
        </is>
      </c>
      <c r="E184" t="inlineStr">
        <is>
          <t>KROKOM</t>
        </is>
      </c>
      <c r="G184" t="n">
        <v>18.7</v>
      </c>
      <c r="H184" t="n">
        <v>0</v>
      </c>
      <c r="I184" t="n">
        <v>0</v>
      </c>
      <c r="J184" t="n">
        <v>2</v>
      </c>
      <c r="K184" t="n">
        <v>0</v>
      </c>
      <c r="L184" t="n">
        <v>0</v>
      </c>
      <c r="M184" t="n">
        <v>0</v>
      </c>
      <c r="N184" t="n">
        <v>0</v>
      </c>
      <c r="O184" t="n">
        <v>2</v>
      </c>
      <c r="P184" t="n">
        <v>0</v>
      </c>
      <c r="Q184" t="n">
        <v>2</v>
      </c>
      <c r="R184" s="2" t="inlineStr">
        <is>
          <t>Garnlav
Skrovellav</t>
        </is>
      </c>
      <c r="S184">
        <f>HYPERLINK("https://klasma.github.io/Logging_2309/artfynd/A 25952-2025 artfynd.xlsx", "A 25952-2025")</f>
        <v/>
      </c>
      <c r="T184">
        <f>HYPERLINK("https://klasma.github.io/Logging_2309/kartor/A 25952-2025 karta.png", "A 25952-2025")</f>
        <v/>
      </c>
      <c r="V184">
        <f>HYPERLINK("https://klasma.github.io/Logging_2309/klagomål/A 25952-2025 FSC-klagomål.docx", "A 25952-2025")</f>
        <v/>
      </c>
      <c r="W184">
        <f>HYPERLINK("https://klasma.github.io/Logging_2309/klagomålsmail/A 25952-2025 FSC-klagomål mail.docx", "A 25952-2025")</f>
        <v/>
      </c>
      <c r="X184">
        <f>HYPERLINK("https://klasma.github.io/Logging_2309/tillsyn/A 25952-2025 tillsynsbegäran.docx", "A 25952-2025")</f>
        <v/>
      </c>
      <c r="Y184">
        <f>HYPERLINK("https://klasma.github.io/Logging_2309/tillsynsmail/A 25952-2025 tillsynsbegäran mail.docx", "A 25952-2025")</f>
        <v/>
      </c>
    </row>
    <row r="185" ht="15" customHeight="1">
      <c r="A185" t="inlineStr">
        <is>
          <t>A 71571-2021</t>
        </is>
      </c>
      <c r="B185" s="1" t="n">
        <v>44540</v>
      </c>
      <c r="C185" s="1" t="n">
        <v>46160</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40508-2025</t>
        </is>
      </c>
      <c r="B186" s="1" t="n">
        <v>45896.34465277778</v>
      </c>
      <c r="C186" s="1" t="n">
        <v>46160</v>
      </c>
      <c r="D186" t="inlineStr">
        <is>
          <t>JÄMTLANDS LÄN</t>
        </is>
      </c>
      <c r="E186" t="inlineStr">
        <is>
          <t>KROKOM</t>
        </is>
      </c>
      <c r="F186" t="inlineStr">
        <is>
          <t>SCA</t>
        </is>
      </c>
      <c r="G186" t="n">
        <v>16.4</v>
      </c>
      <c r="H186" t="n">
        <v>0</v>
      </c>
      <c r="I186" t="n">
        <v>1</v>
      </c>
      <c r="J186" t="n">
        <v>1</v>
      </c>
      <c r="K186" t="n">
        <v>0</v>
      </c>
      <c r="L186" t="n">
        <v>0</v>
      </c>
      <c r="M186" t="n">
        <v>0</v>
      </c>
      <c r="N186" t="n">
        <v>0</v>
      </c>
      <c r="O186" t="n">
        <v>1</v>
      </c>
      <c r="P186" t="n">
        <v>0</v>
      </c>
      <c r="Q186" t="n">
        <v>2</v>
      </c>
      <c r="R186" s="2" t="inlineStr">
        <is>
          <t>Gammelgransskål
Stuplav</t>
        </is>
      </c>
      <c r="S186">
        <f>HYPERLINK("https://klasma.github.io/Logging_2309/artfynd/A 40508-2025 artfynd.xlsx", "A 40508-2025")</f>
        <v/>
      </c>
      <c r="T186">
        <f>HYPERLINK("https://klasma.github.io/Logging_2309/kartor/A 40508-2025 karta.png", "A 40508-2025")</f>
        <v/>
      </c>
      <c r="V186">
        <f>HYPERLINK("https://klasma.github.io/Logging_2309/klagomål/A 40508-2025 FSC-klagomål.docx", "A 40508-2025")</f>
        <v/>
      </c>
      <c r="W186">
        <f>HYPERLINK("https://klasma.github.io/Logging_2309/klagomålsmail/A 40508-2025 FSC-klagomål mail.docx", "A 40508-2025")</f>
        <v/>
      </c>
      <c r="X186">
        <f>HYPERLINK("https://klasma.github.io/Logging_2309/tillsyn/A 40508-2025 tillsynsbegäran.docx", "A 40508-2025")</f>
        <v/>
      </c>
      <c r="Y186">
        <f>HYPERLINK("https://klasma.github.io/Logging_2309/tillsynsmail/A 40508-2025 tillsynsbegäran mail.docx", "A 40508-2025")</f>
        <v/>
      </c>
    </row>
    <row r="187" ht="15" customHeight="1">
      <c r="A187" t="inlineStr">
        <is>
          <t>A 46828-2025</t>
        </is>
      </c>
      <c r="B187" s="1" t="n">
        <v>45927.34478009259</v>
      </c>
      <c r="C187" s="1" t="n">
        <v>46160</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7575-2024</t>
        </is>
      </c>
      <c r="B188" s="1" t="n">
        <v>45348</v>
      </c>
      <c r="C188" s="1" t="n">
        <v>46160</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60487-2024</t>
        </is>
      </c>
      <c r="B189" s="1" t="n">
        <v>45643.64706018518</v>
      </c>
      <c r="C189" s="1" t="n">
        <v>46160</v>
      </c>
      <c r="D189" t="inlineStr">
        <is>
          <t>JÄMTLANDS LÄN</t>
        </is>
      </c>
      <c r="E189" t="inlineStr">
        <is>
          <t>KROKOM</t>
        </is>
      </c>
      <c r="G189" t="n">
        <v>1</v>
      </c>
      <c r="H189" t="n">
        <v>1</v>
      </c>
      <c r="I189" t="n">
        <v>1</v>
      </c>
      <c r="J189" t="n">
        <v>1</v>
      </c>
      <c r="K189" t="n">
        <v>0</v>
      </c>
      <c r="L189" t="n">
        <v>0</v>
      </c>
      <c r="M189" t="n">
        <v>0</v>
      </c>
      <c r="N189" t="n">
        <v>0</v>
      </c>
      <c r="O189" t="n">
        <v>1</v>
      </c>
      <c r="P189" t="n">
        <v>0</v>
      </c>
      <c r="Q189" t="n">
        <v>2</v>
      </c>
      <c r="R189" s="2" t="inlineStr">
        <is>
          <t>Garnlav
Spindelblomster</t>
        </is>
      </c>
      <c r="S189">
        <f>HYPERLINK("https://klasma.github.io/Logging_2309/artfynd/A 60487-2024 artfynd.xlsx", "A 60487-2024")</f>
        <v/>
      </c>
      <c r="T189">
        <f>HYPERLINK("https://klasma.github.io/Logging_2309/kartor/A 60487-2024 karta.png", "A 60487-2024")</f>
        <v/>
      </c>
      <c r="V189">
        <f>HYPERLINK("https://klasma.github.io/Logging_2309/klagomål/A 60487-2024 FSC-klagomål.docx", "A 60487-2024")</f>
        <v/>
      </c>
      <c r="W189">
        <f>HYPERLINK("https://klasma.github.io/Logging_2309/klagomålsmail/A 60487-2024 FSC-klagomål mail.docx", "A 60487-2024")</f>
        <v/>
      </c>
      <c r="X189">
        <f>HYPERLINK("https://klasma.github.io/Logging_2309/tillsyn/A 60487-2024 tillsynsbegäran.docx", "A 60487-2024")</f>
        <v/>
      </c>
      <c r="Y189">
        <f>HYPERLINK("https://klasma.github.io/Logging_2309/tillsynsmail/A 60487-2024 tillsynsbegäran mail.docx", "A 60487-2024")</f>
        <v/>
      </c>
    </row>
    <row r="190" ht="15" customHeight="1">
      <c r="A190" t="inlineStr">
        <is>
          <t>A 36445-2025</t>
        </is>
      </c>
      <c r="B190" s="1" t="n">
        <v>45869</v>
      </c>
      <c r="C190" s="1" t="n">
        <v>46160</v>
      </c>
      <c r="D190" t="inlineStr">
        <is>
          <t>JÄMTLANDS LÄN</t>
        </is>
      </c>
      <c r="E190" t="inlineStr">
        <is>
          <t>KROKOM</t>
        </is>
      </c>
      <c r="F190" t="inlineStr">
        <is>
          <t>SCA</t>
        </is>
      </c>
      <c r="G190" t="n">
        <v>12.8</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HYPERLINK("https://klasma.github.io/Logging_2309/artfynd/A 36445-2025 artfynd.xlsx", "A 36445-2025")</f>
        <v/>
      </c>
      <c r="T190">
        <f>HYPERLINK("https://klasma.github.io/Logging_2309/kartor/A 36445-2025 karta.png", "A 36445-2025")</f>
        <v/>
      </c>
      <c r="V190">
        <f>HYPERLINK("https://klasma.github.io/Logging_2309/klagomål/A 36445-2025 FSC-klagomål.docx", "A 36445-2025")</f>
        <v/>
      </c>
      <c r="W190">
        <f>HYPERLINK("https://klasma.github.io/Logging_2309/klagomålsmail/A 36445-2025 FSC-klagomål mail.docx", "A 36445-2025")</f>
        <v/>
      </c>
      <c r="X190">
        <f>HYPERLINK("https://klasma.github.io/Logging_2309/tillsyn/A 36445-2025 tillsynsbegäran.docx", "A 36445-2025")</f>
        <v/>
      </c>
      <c r="Y190">
        <f>HYPERLINK("https://klasma.github.io/Logging_2309/tillsynsmail/A 36445-2025 tillsynsbegäran mail.docx", "A 36445-2025")</f>
        <v/>
      </c>
    </row>
    <row r="191" ht="15" customHeight="1">
      <c r="A191" t="inlineStr">
        <is>
          <t>A 49386-2024</t>
        </is>
      </c>
      <c r="B191" s="1" t="n">
        <v>45595</v>
      </c>
      <c r="C191" s="1" t="n">
        <v>46160</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37509-2025</t>
        </is>
      </c>
      <c r="B192" s="1" t="n">
        <v>45877.67787037037</v>
      </c>
      <c r="C192" s="1" t="n">
        <v>46160</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53312-2025</t>
        </is>
      </c>
      <c r="B193" s="1" t="n">
        <v>45959.34450231482</v>
      </c>
      <c r="C193" s="1" t="n">
        <v>46160</v>
      </c>
      <c r="D193" t="inlineStr">
        <is>
          <t>JÄMTLANDS LÄN</t>
        </is>
      </c>
      <c r="E193" t="inlineStr">
        <is>
          <t>KROKOM</t>
        </is>
      </c>
      <c r="F193" t="inlineStr">
        <is>
          <t>SCA</t>
        </is>
      </c>
      <c r="G193" t="n">
        <v>3.7</v>
      </c>
      <c r="H193" t="n">
        <v>1</v>
      </c>
      <c r="I193" t="n">
        <v>0</v>
      </c>
      <c r="J193" t="n">
        <v>2</v>
      </c>
      <c r="K193" t="n">
        <v>0</v>
      </c>
      <c r="L193" t="n">
        <v>0</v>
      </c>
      <c r="M193" t="n">
        <v>0</v>
      </c>
      <c r="N193" t="n">
        <v>0</v>
      </c>
      <c r="O193" t="n">
        <v>2</v>
      </c>
      <c r="P193" t="n">
        <v>0</v>
      </c>
      <c r="Q193" t="n">
        <v>2</v>
      </c>
      <c r="R193" s="2" t="inlineStr">
        <is>
          <t>Harticka
Tretåig hackspett</t>
        </is>
      </c>
      <c r="S193">
        <f>HYPERLINK("https://klasma.github.io/Logging_2309/artfynd/A 53312-2025 artfynd.xlsx", "A 53312-2025")</f>
        <v/>
      </c>
      <c r="T193">
        <f>HYPERLINK("https://klasma.github.io/Logging_2309/kartor/A 53312-2025 karta.png", "A 53312-2025")</f>
        <v/>
      </c>
      <c r="V193">
        <f>HYPERLINK("https://klasma.github.io/Logging_2309/klagomål/A 53312-2025 FSC-klagomål.docx", "A 53312-2025")</f>
        <v/>
      </c>
      <c r="W193">
        <f>HYPERLINK("https://klasma.github.io/Logging_2309/klagomålsmail/A 53312-2025 FSC-klagomål mail.docx", "A 53312-2025")</f>
        <v/>
      </c>
      <c r="X193">
        <f>HYPERLINK("https://klasma.github.io/Logging_2309/tillsyn/A 53312-2025 tillsynsbegäran.docx", "A 53312-2025")</f>
        <v/>
      </c>
      <c r="Y193">
        <f>HYPERLINK("https://klasma.github.io/Logging_2309/tillsynsmail/A 53312-2025 tillsynsbegäran mail.docx", "A 53312-2025")</f>
        <v/>
      </c>
      <c r="Z193">
        <f>HYPERLINK("https://klasma.github.io/Logging_2309/fåglar/A 53312-2025 prioriterade fågelarter.docx", "A 53312-2025")</f>
        <v/>
      </c>
    </row>
    <row r="194" ht="15" customHeight="1">
      <c r="A194" t="inlineStr">
        <is>
          <t>A 60419-2024</t>
        </is>
      </c>
      <c r="B194" s="1" t="n">
        <v>45643.53393518519</v>
      </c>
      <c r="C194" s="1" t="n">
        <v>46160</v>
      </c>
      <c r="D194" t="inlineStr">
        <is>
          <t>JÄMTLANDS LÄN</t>
        </is>
      </c>
      <c r="E194" t="inlineStr">
        <is>
          <t>KROKOM</t>
        </is>
      </c>
      <c r="G194" t="n">
        <v>7.9</v>
      </c>
      <c r="H194" t="n">
        <v>1</v>
      </c>
      <c r="I194" t="n">
        <v>2</v>
      </c>
      <c r="J194" t="n">
        <v>0</v>
      </c>
      <c r="K194" t="n">
        <v>0</v>
      </c>
      <c r="L194" t="n">
        <v>0</v>
      </c>
      <c r="M194" t="n">
        <v>0</v>
      </c>
      <c r="N194" t="n">
        <v>0</v>
      </c>
      <c r="O194" t="n">
        <v>0</v>
      </c>
      <c r="P194" t="n">
        <v>0</v>
      </c>
      <c r="Q194" t="n">
        <v>2</v>
      </c>
      <c r="R194" s="2" t="inlineStr">
        <is>
          <t>Grönkulla
Kransrams</t>
        </is>
      </c>
      <c r="S194">
        <f>HYPERLINK("https://klasma.github.io/Logging_2309/artfynd/A 60419-2024 artfynd.xlsx", "A 60419-2024")</f>
        <v/>
      </c>
      <c r="T194">
        <f>HYPERLINK("https://klasma.github.io/Logging_2309/kartor/A 60419-2024 karta.png", "A 60419-2024")</f>
        <v/>
      </c>
      <c r="V194">
        <f>HYPERLINK("https://klasma.github.io/Logging_2309/klagomål/A 60419-2024 FSC-klagomål.docx", "A 60419-2024")</f>
        <v/>
      </c>
      <c r="W194">
        <f>HYPERLINK("https://klasma.github.io/Logging_2309/klagomålsmail/A 60419-2024 FSC-klagomål mail.docx", "A 60419-2024")</f>
        <v/>
      </c>
      <c r="X194">
        <f>HYPERLINK("https://klasma.github.io/Logging_2309/tillsyn/A 60419-2024 tillsynsbegäran.docx", "A 60419-2024")</f>
        <v/>
      </c>
      <c r="Y194">
        <f>HYPERLINK("https://klasma.github.io/Logging_2309/tillsynsmail/A 60419-2024 tillsynsbegäran mail.docx", "A 60419-2024")</f>
        <v/>
      </c>
    </row>
    <row r="195" ht="15" customHeight="1">
      <c r="A195" t="inlineStr">
        <is>
          <t>A 62125-2024</t>
        </is>
      </c>
      <c r="B195" s="1" t="n">
        <v>45656.59703703703</v>
      </c>
      <c r="C195" s="1" t="n">
        <v>46160</v>
      </c>
      <c r="D195" t="inlineStr">
        <is>
          <t>JÄMTLANDS LÄN</t>
        </is>
      </c>
      <c r="E195" t="inlineStr">
        <is>
          <t>KROKOM</t>
        </is>
      </c>
      <c r="F195" t="inlineStr">
        <is>
          <t>Övriga Aktiebolag</t>
        </is>
      </c>
      <c r="G195" t="n">
        <v>15.9</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HYPERLINK("https://klasma.github.io/Logging_2309/artfynd/A 62125-2024 artfynd.xlsx", "A 62125-2024")</f>
        <v/>
      </c>
      <c r="T195">
        <f>HYPERLINK("https://klasma.github.io/Logging_2309/kartor/A 62125-2024 karta.png", "A 62125-2024")</f>
        <v/>
      </c>
      <c r="V195">
        <f>HYPERLINK("https://klasma.github.io/Logging_2309/klagomål/A 62125-2024 FSC-klagomål.docx", "A 62125-2024")</f>
        <v/>
      </c>
      <c r="W195">
        <f>HYPERLINK("https://klasma.github.io/Logging_2309/klagomålsmail/A 62125-2024 FSC-klagomål mail.docx", "A 62125-2024")</f>
        <v/>
      </c>
      <c r="X195">
        <f>HYPERLINK("https://klasma.github.io/Logging_2309/tillsyn/A 62125-2024 tillsynsbegäran.docx", "A 62125-2024")</f>
        <v/>
      </c>
      <c r="Y195">
        <f>HYPERLINK("https://klasma.github.io/Logging_2309/tillsynsmail/A 62125-2024 tillsynsbegäran mail.docx", "A 62125-2024")</f>
        <v/>
      </c>
      <c r="Z195">
        <f>HYPERLINK("https://klasma.github.io/Logging_2309/fåglar/A 62125-2024 prioriterade fågelarter.docx", "A 62125-2024")</f>
        <v/>
      </c>
    </row>
    <row r="196" ht="15" customHeight="1">
      <c r="A196" t="inlineStr">
        <is>
          <t>A 4757-2026</t>
        </is>
      </c>
      <c r="B196" s="1" t="n">
        <v>46048</v>
      </c>
      <c r="C196" s="1" t="n">
        <v>46160</v>
      </c>
      <c r="D196" t="inlineStr">
        <is>
          <t>JÄMTLANDS LÄN</t>
        </is>
      </c>
      <c r="E196" t="inlineStr">
        <is>
          <t>KROKOM</t>
        </is>
      </c>
      <c r="G196" t="n">
        <v>5.8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4757-2026 artfynd.xlsx", "A 4757-2026")</f>
        <v/>
      </c>
      <c r="T196">
        <f>HYPERLINK("https://klasma.github.io/Logging_2309/kartor/A 4757-2026 karta.png", "A 4757-2026")</f>
        <v/>
      </c>
      <c r="V196">
        <f>HYPERLINK("https://klasma.github.io/Logging_2309/klagomål/A 4757-2026 FSC-klagomål.docx", "A 4757-2026")</f>
        <v/>
      </c>
      <c r="W196">
        <f>HYPERLINK("https://klasma.github.io/Logging_2309/klagomålsmail/A 4757-2026 FSC-klagomål mail.docx", "A 4757-2026")</f>
        <v/>
      </c>
      <c r="X196">
        <f>HYPERLINK("https://klasma.github.io/Logging_2309/tillsyn/A 4757-2026 tillsynsbegäran.docx", "A 4757-2026")</f>
        <v/>
      </c>
      <c r="Y196">
        <f>HYPERLINK("https://klasma.github.io/Logging_2309/tillsynsmail/A 4757-2026 tillsynsbegäran mail.docx", "A 4757-2026")</f>
        <v/>
      </c>
    </row>
    <row r="197" ht="15" customHeight="1">
      <c r="A197" t="inlineStr">
        <is>
          <t>A 17601-2026</t>
        </is>
      </c>
      <c r="B197" s="1" t="n">
        <v>46079</v>
      </c>
      <c r="C197" s="1" t="n">
        <v>46160</v>
      </c>
      <c r="D197" t="inlineStr">
        <is>
          <t>JÄMTLANDS LÄN</t>
        </is>
      </c>
      <c r="E197" t="inlineStr">
        <is>
          <t>KROKOM</t>
        </is>
      </c>
      <c r="F197" t="inlineStr">
        <is>
          <t>Övriga Aktiebolag</t>
        </is>
      </c>
      <c r="G197" t="n">
        <v>4.5</v>
      </c>
      <c r="H197" t="n">
        <v>1</v>
      </c>
      <c r="I197" t="n">
        <v>1</v>
      </c>
      <c r="J197" t="n">
        <v>1</v>
      </c>
      <c r="K197" t="n">
        <v>0</v>
      </c>
      <c r="L197" t="n">
        <v>0</v>
      </c>
      <c r="M197" t="n">
        <v>0</v>
      </c>
      <c r="N197" t="n">
        <v>0</v>
      </c>
      <c r="O197" t="n">
        <v>1</v>
      </c>
      <c r="P197" t="n">
        <v>0</v>
      </c>
      <c r="Q197" t="n">
        <v>2</v>
      </c>
      <c r="R197" s="2" t="inlineStr">
        <is>
          <t>Garnlav
Spindelblomster</t>
        </is>
      </c>
      <c r="S197">
        <f>HYPERLINK("https://klasma.github.io/Logging_2309/artfynd/A 17601-2026 artfynd.xlsx", "A 17601-2026")</f>
        <v/>
      </c>
      <c r="T197">
        <f>HYPERLINK("https://klasma.github.io/Logging_2309/kartor/A 17601-2026 karta.png", "A 17601-2026")</f>
        <v/>
      </c>
      <c r="V197">
        <f>HYPERLINK("https://klasma.github.io/Logging_2309/klagomål/A 17601-2026 FSC-klagomål.docx", "A 17601-2026")</f>
        <v/>
      </c>
      <c r="W197">
        <f>HYPERLINK("https://klasma.github.io/Logging_2309/klagomålsmail/A 17601-2026 FSC-klagomål mail.docx", "A 17601-2026")</f>
        <v/>
      </c>
      <c r="X197">
        <f>HYPERLINK("https://klasma.github.io/Logging_2309/tillsyn/A 17601-2026 tillsynsbegäran.docx", "A 17601-2026")</f>
        <v/>
      </c>
      <c r="Y197">
        <f>HYPERLINK("https://klasma.github.io/Logging_2309/tillsynsmail/A 17601-2026 tillsynsbegäran mail.docx", "A 17601-2026")</f>
        <v/>
      </c>
    </row>
    <row r="198" ht="15" customHeight="1">
      <c r="A198" t="inlineStr">
        <is>
          <t>A 55040-2025</t>
        </is>
      </c>
      <c r="B198" s="1" t="n">
        <v>45967</v>
      </c>
      <c r="C198" s="1" t="n">
        <v>46160</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11984-2024</t>
        </is>
      </c>
      <c r="B199" s="1" t="n">
        <v>45376</v>
      </c>
      <c r="C199" s="1" t="n">
        <v>46160</v>
      </c>
      <c r="D199" t="inlineStr">
        <is>
          <t>JÄMTLANDS LÄN</t>
        </is>
      </c>
      <c r="E199" t="inlineStr">
        <is>
          <t>KROKOM</t>
        </is>
      </c>
      <c r="F199" t="inlineStr">
        <is>
          <t>SCA</t>
        </is>
      </c>
      <c r="G199" t="n">
        <v>11.8</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11984-2024 artfynd.xlsx", "A 11984-2024")</f>
        <v/>
      </c>
      <c r="T199">
        <f>HYPERLINK("https://klasma.github.io/Logging_2309/kartor/A 11984-2024 karta.png", "A 11984-2024")</f>
        <v/>
      </c>
      <c r="V199">
        <f>HYPERLINK("https://klasma.github.io/Logging_2309/klagomål/A 11984-2024 FSC-klagomål.docx", "A 11984-2024")</f>
        <v/>
      </c>
      <c r="W199">
        <f>HYPERLINK("https://klasma.github.io/Logging_2309/klagomålsmail/A 11984-2024 FSC-klagomål mail.docx", "A 11984-2024")</f>
        <v/>
      </c>
      <c r="X199">
        <f>HYPERLINK("https://klasma.github.io/Logging_2309/tillsyn/A 11984-2024 tillsynsbegäran.docx", "A 11984-2024")</f>
        <v/>
      </c>
      <c r="Y199">
        <f>HYPERLINK("https://klasma.github.io/Logging_2309/tillsynsmail/A 11984-2024 tillsynsbegäran mail.docx", "A 11984-2024")</f>
        <v/>
      </c>
    </row>
    <row r="200" ht="15" customHeight="1">
      <c r="A200" t="inlineStr">
        <is>
          <t>A 36011-2025</t>
        </is>
      </c>
      <c r="B200" s="1" t="n">
        <v>45863</v>
      </c>
      <c r="C200" s="1" t="n">
        <v>46160</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61045-2025</t>
        </is>
      </c>
      <c r="B201" s="1" t="n">
        <v>46000</v>
      </c>
      <c r="C201" s="1" t="n">
        <v>46160</v>
      </c>
      <c r="D201" t="inlineStr">
        <is>
          <t>JÄMTLANDS LÄN</t>
        </is>
      </c>
      <c r="E201" t="inlineStr">
        <is>
          <t>KROKOM</t>
        </is>
      </c>
      <c r="F201" t="inlineStr">
        <is>
          <t>Övriga Aktiebolag</t>
        </is>
      </c>
      <c r="G201" t="n">
        <v>8.1</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61045-2025 artfynd.xlsx", "A 61045-2025")</f>
        <v/>
      </c>
      <c r="T201">
        <f>HYPERLINK("https://klasma.github.io/Logging_2309/kartor/A 61045-2025 karta.png", "A 61045-2025")</f>
        <v/>
      </c>
      <c r="V201">
        <f>HYPERLINK("https://klasma.github.io/Logging_2309/klagomål/A 61045-2025 FSC-klagomål.docx", "A 61045-2025")</f>
        <v/>
      </c>
      <c r="W201">
        <f>HYPERLINK("https://klasma.github.io/Logging_2309/klagomålsmail/A 61045-2025 FSC-klagomål mail.docx", "A 61045-2025")</f>
        <v/>
      </c>
      <c r="X201">
        <f>HYPERLINK("https://klasma.github.io/Logging_2309/tillsyn/A 61045-2025 tillsynsbegäran.docx", "A 61045-2025")</f>
        <v/>
      </c>
      <c r="Y201">
        <f>HYPERLINK("https://klasma.github.io/Logging_2309/tillsynsmail/A 61045-2025 tillsynsbegäran mail.docx", "A 61045-2025")</f>
        <v/>
      </c>
    </row>
    <row r="202" ht="15" customHeight="1">
      <c r="A202" t="inlineStr">
        <is>
          <t>A 785-2024</t>
        </is>
      </c>
      <c r="B202" s="1" t="n">
        <v>45300</v>
      </c>
      <c r="C202" s="1" t="n">
        <v>46160</v>
      </c>
      <c r="D202" t="inlineStr">
        <is>
          <t>JÄMTLANDS LÄN</t>
        </is>
      </c>
      <c r="E202" t="inlineStr">
        <is>
          <t>KROKOM</t>
        </is>
      </c>
      <c r="G202" t="n">
        <v>1.3</v>
      </c>
      <c r="H202" t="n">
        <v>1</v>
      </c>
      <c r="I202" t="n">
        <v>0</v>
      </c>
      <c r="J202" t="n">
        <v>1</v>
      </c>
      <c r="K202" t="n">
        <v>0</v>
      </c>
      <c r="L202" t="n">
        <v>0</v>
      </c>
      <c r="M202" t="n">
        <v>0</v>
      </c>
      <c r="N202" t="n">
        <v>0</v>
      </c>
      <c r="O202" t="n">
        <v>1</v>
      </c>
      <c r="P202" t="n">
        <v>0</v>
      </c>
      <c r="Q202" t="n">
        <v>2</v>
      </c>
      <c r="R202" s="2" t="inlineStr">
        <is>
          <t>Garnlav
Tjäder</t>
        </is>
      </c>
      <c r="S202">
        <f>HYPERLINK("https://klasma.github.io/Logging_2309/artfynd/A 785-2024 artfynd.xlsx", "A 785-2024")</f>
        <v/>
      </c>
      <c r="T202">
        <f>HYPERLINK("https://klasma.github.io/Logging_2309/kartor/A 785-2024 karta.png", "A 785-2024")</f>
        <v/>
      </c>
      <c r="V202">
        <f>HYPERLINK("https://klasma.github.io/Logging_2309/klagomål/A 785-2024 FSC-klagomål.docx", "A 785-2024")</f>
        <v/>
      </c>
      <c r="W202">
        <f>HYPERLINK("https://klasma.github.io/Logging_2309/klagomålsmail/A 785-2024 FSC-klagomål mail.docx", "A 785-2024")</f>
        <v/>
      </c>
      <c r="X202">
        <f>HYPERLINK("https://klasma.github.io/Logging_2309/tillsyn/A 785-2024 tillsynsbegäran.docx", "A 785-2024")</f>
        <v/>
      </c>
      <c r="Y202">
        <f>HYPERLINK("https://klasma.github.io/Logging_2309/tillsynsmail/A 785-2024 tillsynsbegäran mail.docx", "A 785-2024")</f>
        <v/>
      </c>
      <c r="Z202">
        <f>HYPERLINK("https://klasma.github.io/Logging_2309/fåglar/A 785-2024 prioriterade fågelarter.docx", "A 785-2024")</f>
        <v/>
      </c>
    </row>
    <row r="203" ht="15" customHeight="1">
      <c r="A203" t="inlineStr">
        <is>
          <t>A 978-2026</t>
        </is>
      </c>
      <c r="B203" s="1" t="n">
        <v>46030.57378472222</v>
      </c>
      <c r="C203" s="1" t="n">
        <v>46160</v>
      </c>
      <c r="D203" t="inlineStr">
        <is>
          <t>JÄMTLANDS LÄN</t>
        </is>
      </c>
      <c r="E203" t="inlineStr">
        <is>
          <t>KROKOM</t>
        </is>
      </c>
      <c r="G203" t="n">
        <v>3.2</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978-2026 artfynd.xlsx", "A 978-2026")</f>
        <v/>
      </c>
      <c r="T203">
        <f>HYPERLINK("https://klasma.github.io/Logging_2309/kartor/A 978-2026 karta.png", "A 978-2026")</f>
        <v/>
      </c>
      <c r="V203">
        <f>HYPERLINK("https://klasma.github.io/Logging_2309/klagomål/A 978-2026 FSC-klagomål.docx", "A 978-2026")</f>
        <v/>
      </c>
      <c r="W203">
        <f>HYPERLINK("https://klasma.github.io/Logging_2309/klagomålsmail/A 978-2026 FSC-klagomål mail.docx", "A 978-2026")</f>
        <v/>
      </c>
      <c r="X203">
        <f>HYPERLINK("https://klasma.github.io/Logging_2309/tillsyn/A 978-2026 tillsynsbegäran.docx", "A 978-2026")</f>
        <v/>
      </c>
      <c r="Y203">
        <f>HYPERLINK("https://klasma.github.io/Logging_2309/tillsynsmail/A 978-2026 tillsynsbegäran mail.docx", "A 978-2026")</f>
        <v/>
      </c>
    </row>
    <row r="204" ht="15" customHeight="1">
      <c r="A204" t="inlineStr">
        <is>
          <t>A 61692-2024</t>
        </is>
      </c>
      <c r="B204" s="1" t="n">
        <v>45647</v>
      </c>
      <c r="C204" s="1" t="n">
        <v>46160</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46160</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20886-2026</t>
        </is>
      </c>
      <c r="B206" s="1" t="n">
        <v>46142.43092592592</v>
      </c>
      <c r="C206" s="1" t="n">
        <v>46160</v>
      </c>
      <c r="D206" t="inlineStr">
        <is>
          <t>JÄMTLANDS LÄN</t>
        </is>
      </c>
      <c r="E206" t="inlineStr">
        <is>
          <t>KROKOM</t>
        </is>
      </c>
      <c r="F206" t="inlineStr">
        <is>
          <t>Övriga Aktiebolag</t>
        </is>
      </c>
      <c r="G206" t="n">
        <v>3.9</v>
      </c>
      <c r="H206" t="n">
        <v>0</v>
      </c>
      <c r="I206" t="n">
        <v>1</v>
      </c>
      <c r="J206" t="n">
        <v>1</v>
      </c>
      <c r="K206" t="n">
        <v>0</v>
      </c>
      <c r="L206" t="n">
        <v>0</v>
      </c>
      <c r="M206" t="n">
        <v>0</v>
      </c>
      <c r="N206" t="n">
        <v>0</v>
      </c>
      <c r="O206" t="n">
        <v>1</v>
      </c>
      <c r="P206" t="n">
        <v>0</v>
      </c>
      <c r="Q206" t="n">
        <v>2</v>
      </c>
      <c r="R206" s="2" t="inlineStr">
        <is>
          <t>Blå taggsvamp
Rävticka</t>
        </is>
      </c>
      <c r="S206">
        <f>HYPERLINK("https://klasma.github.io/Logging_2309/artfynd/A 20886-2026 artfynd.xlsx", "A 20886-2026")</f>
        <v/>
      </c>
      <c r="T206">
        <f>HYPERLINK("https://klasma.github.io/Logging_2309/kartor/A 20886-2026 karta.png", "A 20886-2026")</f>
        <v/>
      </c>
      <c r="V206">
        <f>HYPERLINK("https://klasma.github.io/Logging_2309/klagomål/A 20886-2026 FSC-klagomål.docx", "A 20886-2026")</f>
        <v/>
      </c>
      <c r="W206">
        <f>HYPERLINK("https://klasma.github.io/Logging_2309/klagomålsmail/A 20886-2026 FSC-klagomål mail.docx", "A 20886-2026")</f>
        <v/>
      </c>
      <c r="X206">
        <f>HYPERLINK("https://klasma.github.io/Logging_2309/tillsyn/A 20886-2026 tillsynsbegäran.docx", "A 20886-2026")</f>
        <v/>
      </c>
      <c r="Y206">
        <f>HYPERLINK("https://klasma.github.io/Logging_2309/tillsynsmail/A 20886-2026 tillsynsbegäran mail.docx", "A 20886-2026")</f>
        <v/>
      </c>
    </row>
    <row r="207" ht="15" customHeight="1">
      <c r="A207" t="inlineStr">
        <is>
          <t>A 40236-2024</t>
        </is>
      </c>
      <c r="B207" s="1" t="n">
        <v>45554</v>
      </c>
      <c r="C207" s="1" t="n">
        <v>46160</v>
      </c>
      <c r="D207" t="inlineStr">
        <is>
          <t>JÄMTLANDS LÄN</t>
        </is>
      </c>
      <c r="E207" t="inlineStr">
        <is>
          <t>KROKOM</t>
        </is>
      </c>
      <c r="F207" t="inlineStr">
        <is>
          <t>Övriga Aktiebolag</t>
        </is>
      </c>
      <c r="G207" t="n">
        <v>6.2</v>
      </c>
      <c r="H207" t="n">
        <v>2</v>
      </c>
      <c r="I207" t="n">
        <v>0</v>
      </c>
      <c r="J207" t="n">
        <v>1</v>
      </c>
      <c r="K207" t="n">
        <v>1</v>
      </c>
      <c r="L207" t="n">
        <v>0</v>
      </c>
      <c r="M207" t="n">
        <v>0</v>
      </c>
      <c r="N207" t="n">
        <v>0</v>
      </c>
      <c r="O207" t="n">
        <v>2</v>
      </c>
      <c r="P207" t="n">
        <v>1</v>
      </c>
      <c r="Q207" t="n">
        <v>2</v>
      </c>
      <c r="R207" s="2" t="inlineStr">
        <is>
          <t>Knärot
Tretåig hackspett</t>
        </is>
      </c>
      <c r="S207">
        <f>HYPERLINK("https://klasma.github.io/Logging_2309/artfynd/A 40236-2024 artfynd.xlsx", "A 40236-2024")</f>
        <v/>
      </c>
      <c r="T207">
        <f>HYPERLINK("https://klasma.github.io/Logging_2309/kartor/A 40236-2024 karta.png", "A 40236-2024")</f>
        <v/>
      </c>
      <c r="U207">
        <f>HYPERLINK("https://klasma.github.io/Logging_2309/knärot/A 40236-2024 karta knärot.png", "A 40236-2024")</f>
        <v/>
      </c>
      <c r="V207">
        <f>HYPERLINK("https://klasma.github.io/Logging_2309/klagomål/A 40236-2024 FSC-klagomål.docx", "A 40236-2024")</f>
        <v/>
      </c>
      <c r="W207">
        <f>HYPERLINK("https://klasma.github.io/Logging_2309/klagomålsmail/A 40236-2024 FSC-klagomål mail.docx", "A 40236-2024")</f>
        <v/>
      </c>
      <c r="X207">
        <f>HYPERLINK("https://klasma.github.io/Logging_2309/tillsyn/A 40236-2024 tillsynsbegäran.docx", "A 40236-2024")</f>
        <v/>
      </c>
      <c r="Y207">
        <f>HYPERLINK("https://klasma.github.io/Logging_2309/tillsynsmail/A 40236-2024 tillsynsbegäran mail.docx", "A 40236-2024")</f>
        <v/>
      </c>
      <c r="Z207">
        <f>HYPERLINK("https://klasma.github.io/Logging_2309/fåglar/A 40236-2024 prioriterade fågelarter.docx", "A 40236-2024")</f>
        <v/>
      </c>
    </row>
    <row r="208" ht="15" customHeight="1">
      <c r="A208" t="inlineStr">
        <is>
          <t>A 59293-2023</t>
        </is>
      </c>
      <c r="B208" s="1" t="n">
        <v>45253</v>
      </c>
      <c r="C208" s="1" t="n">
        <v>46160</v>
      </c>
      <c r="D208" t="inlineStr">
        <is>
          <t>JÄMTLANDS LÄN</t>
        </is>
      </c>
      <c r="E208" t="inlineStr">
        <is>
          <t>KROKOM</t>
        </is>
      </c>
      <c r="G208" t="n">
        <v>5.4</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59293-2023 artfynd.xlsx", "A 59293-2023")</f>
        <v/>
      </c>
      <c r="T208">
        <f>HYPERLINK("https://klasma.github.io/Logging_2309/kartor/A 59293-2023 karta.png", "A 59293-2023")</f>
        <v/>
      </c>
      <c r="V208">
        <f>HYPERLINK("https://klasma.github.io/Logging_2309/klagomål/A 59293-2023 FSC-klagomål.docx", "A 59293-2023")</f>
        <v/>
      </c>
      <c r="W208">
        <f>HYPERLINK("https://klasma.github.io/Logging_2309/klagomålsmail/A 59293-2023 FSC-klagomål mail.docx", "A 59293-2023")</f>
        <v/>
      </c>
      <c r="X208">
        <f>HYPERLINK("https://klasma.github.io/Logging_2309/tillsyn/A 59293-2023 tillsynsbegäran.docx", "A 59293-2023")</f>
        <v/>
      </c>
      <c r="Y208">
        <f>HYPERLINK("https://klasma.github.io/Logging_2309/tillsynsmail/A 59293-2023 tillsynsbegäran mail.docx", "A 59293-2023")</f>
        <v/>
      </c>
      <c r="Z208">
        <f>HYPERLINK("https://klasma.github.io/Logging_2309/fåglar/A 59293-2023 prioriterade fågelarter.docx", "A 59293-2023")</f>
        <v/>
      </c>
    </row>
    <row r="209" ht="15" customHeight="1">
      <c r="A209" t="inlineStr">
        <is>
          <t>A 18032-2022</t>
        </is>
      </c>
      <c r="B209" s="1" t="n">
        <v>44683</v>
      </c>
      <c r="C209" s="1" t="n">
        <v>46160</v>
      </c>
      <c r="D209" t="inlineStr">
        <is>
          <t>JÄMTLANDS LÄN</t>
        </is>
      </c>
      <c r="E209" t="inlineStr">
        <is>
          <t>KROKOM</t>
        </is>
      </c>
      <c r="G209" t="n">
        <v>15.8</v>
      </c>
      <c r="H209" t="n">
        <v>1</v>
      </c>
      <c r="I209" t="n">
        <v>0</v>
      </c>
      <c r="J209" t="n">
        <v>1</v>
      </c>
      <c r="K209" t="n">
        <v>0</v>
      </c>
      <c r="L209" t="n">
        <v>0</v>
      </c>
      <c r="M209" t="n">
        <v>0</v>
      </c>
      <c r="N209" t="n">
        <v>0</v>
      </c>
      <c r="O209" t="n">
        <v>1</v>
      </c>
      <c r="P209" t="n">
        <v>0</v>
      </c>
      <c r="Q209" t="n">
        <v>2</v>
      </c>
      <c r="R209" s="2" t="inlineStr">
        <is>
          <t>Brunklöver
Brudsporre</t>
        </is>
      </c>
      <c r="S209">
        <f>HYPERLINK("https://klasma.github.io/Logging_2309/artfynd/A 18032-2022 artfynd.xlsx", "A 18032-2022")</f>
        <v/>
      </c>
      <c r="T209">
        <f>HYPERLINK("https://klasma.github.io/Logging_2309/kartor/A 18032-2022 karta.png", "A 18032-2022")</f>
        <v/>
      </c>
      <c r="V209">
        <f>HYPERLINK("https://klasma.github.io/Logging_2309/klagomål/A 18032-2022 FSC-klagomål.docx", "A 18032-2022")</f>
        <v/>
      </c>
      <c r="W209">
        <f>HYPERLINK("https://klasma.github.io/Logging_2309/klagomålsmail/A 18032-2022 FSC-klagomål mail.docx", "A 18032-2022")</f>
        <v/>
      </c>
      <c r="X209">
        <f>HYPERLINK("https://klasma.github.io/Logging_2309/tillsyn/A 18032-2022 tillsynsbegäran.docx", "A 18032-2022")</f>
        <v/>
      </c>
      <c r="Y209">
        <f>HYPERLINK("https://klasma.github.io/Logging_2309/tillsynsmail/A 18032-2022 tillsynsbegäran mail.docx", "A 18032-2022")</f>
        <v/>
      </c>
    </row>
    <row r="210" ht="15" customHeight="1">
      <c r="A210" t="inlineStr">
        <is>
          <t>A 54189-2022</t>
        </is>
      </c>
      <c r="B210" s="1" t="n">
        <v>44879</v>
      </c>
      <c r="C210" s="1" t="n">
        <v>46160</v>
      </c>
      <c r="D210" t="inlineStr">
        <is>
          <t>JÄMTLANDS LÄN</t>
        </is>
      </c>
      <c r="E210" t="inlineStr">
        <is>
          <t>KROKOM</t>
        </is>
      </c>
      <c r="G210" t="n">
        <v>24.1</v>
      </c>
      <c r="H210" t="n">
        <v>0</v>
      </c>
      <c r="I210" t="n">
        <v>0</v>
      </c>
      <c r="J210" t="n">
        <v>1</v>
      </c>
      <c r="K210" t="n">
        <v>1</v>
      </c>
      <c r="L210" t="n">
        <v>0</v>
      </c>
      <c r="M210" t="n">
        <v>0</v>
      </c>
      <c r="N210" t="n">
        <v>0</v>
      </c>
      <c r="O210" t="n">
        <v>2</v>
      </c>
      <c r="P210" t="n">
        <v>1</v>
      </c>
      <c r="Q210" t="n">
        <v>2</v>
      </c>
      <c r="R210" s="2" t="inlineStr">
        <is>
          <t>Ulltickeporing
Ullticka</t>
        </is>
      </c>
      <c r="S210">
        <f>HYPERLINK("https://klasma.github.io/Logging_2309/artfynd/A 54189-2022 artfynd.xlsx", "A 54189-2022")</f>
        <v/>
      </c>
      <c r="T210">
        <f>HYPERLINK("https://klasma.github.io/Logging_2309/kartor/A 54189-2022 karta.png", "A 54189-2022")</f>
        <v/>
      </c>
      <c r="V210">
        <f>HYPERLINK("https://klasma.github.io/Logging_2309/klagomål/A 54189-2022 FSC-klagomål.docx", "A 54189-2022")</f>
        <v/>
      </c>
      <c r="W210">
        <f>HYPERLINK("https://klasma.github.io/Logging_2309/klagomålsmail/A 54189-2022 FSC-klagomål mail.docx", "A 54189-2022")</f>
        <v/>
      </c>
      <c r="X210">
        <f>HYPERLINK("https://klasma.github.io/Logging_2309/tillsyn/A 54189-2022 tillsynsbegäran.docx", "A 54189-2022")</f>
        <v/>
      </c>
      <c r="Y210">
        <f>HYPERLINK("https://klasma.github.io/Logging_2309/tillsynsmail/A 54189-2022 tillsynsbegäran mail.docx", "A 54189-2022")</f>
        <v/>
      </c>
    </row>
    <row r="211" ht="15" customHeight="1">
      <c r="A211" t="inlineStr">
        <is>
          <t>A 52021-2023</t>
        </is>
      </c>
      <c r="B211" s="1" t="n">
        <v>45223</v>
      </c>
      <c r="C211" s="1" t="n">
        <v>46160</v>
      </c>
      <c r="D211" t="inlineStr">
        <is>
          <t>JÄMTLANDS LÄN</t>
        </is>
      </c>
      <c r="E211" t="inlineStr">
        <is>
          <t>KROKOM</t>
        </is>
      </c>
      <c r="F211" t="inlineStr">
        <is>
          <t>Övriga Aktiebolag</t>
        </is>
      </c>
      <c r="G211" t="n">
        <v>1.5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52021-2023 artfynd.xlsx", "A 52021-2023")</f>
        <v/>
      </c>
      <c r="T211">
        <f>HYPERLINK("https://klasma.github.io/Logging_2309/kartor/A 52021-2023 karta.png", "A 52021-2023")</f>
        <v/>
      </c>
      <c r="V211">
        <f>HYPERLINK("https://klasma.github.io/Logging_2309/klagomål/A 52021-2023 FSC-klagomål.docx", "A 52021-2023")</f>
        <v/>
      </c>
      <c r="W211">
        <f>HYPERLINK("https://klasma.github.io/Logging_2309/klagomålsmail/A 52021-2023 FSC-klagomål mail.docx", "A 52021-2023")</f>
        <v/>
      </c>
      <c r="X211">
        <f>HYPERLINK("https://klasma.github.io/Logging_2309/tillsyn/A 52021-2023 tillsynsbegäran.docx", "A 52021-2023")</f>
        <v/>
      </c>
      <c r="Y211">
        <f>HYPERLINK("https://klasma.github.io/Logging_2309/tillsynsmail/A 52021-2023 tillsynsbegäran mail.docx", "A 52021-2023")</f>
        <v/>
      </c>
      <c r="Z211">
        <f>HYPERLINK("https://klasma.github.io/Logging_2309/fåglar/A 52021-2023 prioriterade fågelarter.docx", "A 52021-2023")</f>
        <v/>
      </c>
    </row>
    <row r="212" ht="15" customHeight="1">
      <c r="A212" t="inlineStr">
        <is>
          <t>A 64951-2021</t>
        </is>
      </c>
      <c r="B212" s="1" t="n">
        <v>44512</v>
      </c>
      <c r="C212" s="1" t="n">
        <v>46160</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46785-2021</t>
        </is>
      </c>
      <c r="B213" s="1" t="n">
        <v>44445</v>
      </c>
      <c r="C213" s="1" t="n">
        <v>46160</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64968-2021</t>
        </is>
      </c>
      <c r="B214" s="1" t="n">
        <v>44512</v>
      </c>
      <c r="C214" s="1" t="n">
        <v>46160</v>
      </c>
      <c r="D214" t="inlineStr">
        <is>
          <t>JÄMTLANDS LÄN</t>
        </is>
      </c>
      <c r="E214" t="inlineStr">
        <is>
          <t>KROKOM</t>
        </is>
      </c>
      <c r="F214" t="inlineStr">
        <is>
          <t>SCA</t>
        </is>
      </c>
      <c r="G214" t="n">
        <v>3.2</v>
      </c>
      <c r="H214" t="n">
        <v>0</v>
      </c>
      <c r="I214" t="n">
        <v>0</v>
      </c>
      <c r="J214" t="n">
        <v>1</v>
      </c>
      <c r="K214" t="n">
        <v>0</v>
      </c>
      <c r="L214" t="n">
        <v>0</v>
      </c>
      <c r="M214" t="n">
        <v>0</v>
      </c>
      <c r="N214" t="n">
        <v>0</v>
      </c>
      <c r="O214" t="n">
        <v>1</v>
      </c>
      <c r="P214" t="n">
        <v>0</v>
      </c>
      <c r="Q214" t="n">
        <v>1</v>
      </c>
      <c r="R214" s="2" t="inlineStr">
        <is>
          <t>Skrovellav</t>
        </is>
      </c>
      <c r="S214">
        <f>HYPERLINK("https://klasma.github.io/Logging_2309/artfynd/A 64968-2021 artfynd.xlsx", "A 64968-2021")</f>
        <v/>
      </c>
      <c r="T214">
        <f>HYPERLINK("https://klasma.github.io/Logging_2309/kartor/A 64968-2021 karta.png", "A 64968-2021")</f>
        <v/>
      </c>
      <c r="V214">
        <f>HYPERLINK("https://klasma.github.io/Logging_2309/klagomål/A 64968-2021 FSC-klagomål.docx", "A 64968-2021")</f>
        <v/>
      </c>
      <c r="W214">
        <f>HYPERLINK("https://klasma.github.io/Logging_2309/klagomålsmail/A 64968-2021 FSC-klagomål mail.docx", "A 64968-2021")</f>
        <v/>
      </c>
      <c r="X214">
        <f>HYPERLINK("https://klasma.github.io/Logging_2309/tillsyn/A 64968-2021 tillsynsbegäran.docx", "A 64968-2021")</f>
        <v/>
      </c>
      <c r="Y214">
        <f>HYPERLINK("https://klasma.github.io/Logging_2309/tillsynsmail/A 64968-2021 tillsynsbegäran mail.docx", "A 64968-2021")</f>
        <v/>
      </c>
    </row>
    <row r="215" ht="15" customHeight="1">
      <c r="A215" t="inlineStr">
        <is>
          <t>A 46787-2021</t>
        </is>
      </c>
      <c r="B215" s="1" t="n">
        <v>44445</v>
      </c>
      <c r="C215" s="1" t="n">
        <v>46160</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33347-2021</t>
        </is>
      </c>
      <c r="B216" s="1" t="n">
        <v>44377</v>
      </c>
      <c r="C216" s="1" t="n">
        <v>46160</v>
      </c>
      <c r="D216" t="inlineStr">
        <is>
          <t>JÄMTLANDS LÄN</t>
        </is>
      </c>
      <c r="E216" t="inlineStr">
        <is>
          <t>KROKOM</t>
        </is>
      </c>
      <c r="F216" t="inlineStr">
        <is>
          <t>Övriga Aktiebolag</t>
        </is>
      </c>
      <c r="G216" t="n">
        <v>4.9</v>
      </c>
      <c r="H216" t="n">
        <v>1</v>
      </c>
      <c r="I216" t="n">
        <v>0</v>
      </c>
      <c r="J216" t="n">
        <v>0</v>
      </c>
      <c r="K216" t="n">
        <v>1</v>
      </c>
      <c r="L216" t="n">
        <v>0</v>
      </c>
      <c r="M216" t="n">
        <v>0</v>
      </c>
      <c r="N216" t="n">
        <v>0</v>
      </c>
      <c r="O216" t="n">
        <v>1</v>
      </c>
      <c r="P216" t="n">
        <v>1</v>
      </c>
      <c r="Q216" t="n">
        <v>1</v>
      </c>
      <c r="R216" s="2" t="inlineStr">
        <is>
          <t>Doftticka</t>
        </is>
      </c>
      <c r="S216">
        <f>HYPERLINK("https://klasma.github.io/Logging_2309/artfynd/A 33347-2021 artfynd.xlsx", "A 33347-2021")</f>
        <v/>
      </c>
      <c r="T216">
        <f>HYPERLINK("https://klasma.github.io/Logging_2309/kartor/A 33347-2021 karta.png", "A 33347-2021")</f>
        <v/>
      </c>
      <c r="V216">
        <f>HYPERLINK("https://klasma.github.io/Logging_2309/klagomål/A 33347-2021 FSC-klagomål.docx", "A 33347-2021")</f>
        <v/>
      </c>
      <c r="W216">
        <f>HYPERLINK("https://klasma.github.io/Logging_2309/klagomålsmail/A 33347-2021 FSC-klagomål mail.docx", "A 33347-2021")</f>
        <v/>
      </c>
      <c r="X216">
        <f>HYPERLINK("https://klasma.github.io/Logging_2309/tillsyn/A 33347-2021 tillsynsbegäran.docx", "A 33347-2021")</f>
        <v/>
      </c>
      <c r="Y216">
        <f>HYPERLINK("https://klasma.github.io/Logging_2309/tillsynsmail/A 33347-2021 tillsynsbegäran mail.docx", "A 33347-2021")</f>
        <v/>
      </c>
    </row>
    <row r="217" ht="15" customHeight="1">
      <c r="A217" t="inlineStr">
        <is>
          <t>A 35246-2022</t>
        </is>
      </c>
      <c r="B217" s="1" t="n">
        <v>44797</v>
      </c>
      <c r="C217" s="1" t="n">
        <v>46160</v>
      </c>
      <c r="D217" t="inlineStr">
        <is>
          <t>JÄMTLANDS LÄN</t>
        </is>
      </c>
      <c r="E217" t="inlineStr">
        <is>
          <t>KROKOM</t>
        </is>
      </c>
      <c r="G217" t="n">
        <v>29.4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35246-2022 artfynd.xlsx", "A 35246-2022")</f>
        <v/>
      </c>
      <c r="T217">
        <f>HYPERLINK("https://klasma.github.io/Logging_2309/kartor/A 35246-2022 karta.png", "A 35246-2022")</f>
        <v/>
      </c>
      <c r="V217">
        <f>HYPERLINK("https://klasma.github.io/Logging_2309/klagomål/A 35246-2022 FSC-klagomål.docx", "A 35246-2022")</f>
        <v/>
      </c>
      <c r="W217">
        <f>HYPERLINK("https://klasma.github.io/Logging_2309/klagomålsmail/A 35246-2022 FSC-klagomål mail.docx", "A 35246-2022")</f>
        <v/>
      </c>
      <c r="X217">
        <f>HYPERLINK("https://klasma.github.io/Logging_2309/tillsyn/A 35246-2022 tillsynsbegäran.docx", "A 35246-2022")</f>
        <v/>
      </c>
      <c r="Y217">
        <f>HYPERLINK("https://klasma.github.io/Logging_2309/tillsynsmail/A 35246-2022 tillsynsbegäran mail.docx", "A 35246-2022")</f>
        <v/>
      </c>
      <c r="Z217">
        <f>HYPERLINK("https://klasma.github.io/Logging_2309/fåglar/A 35246-2022 prioriterade fågelarter.docx", "A 35246-2022")</f>
        <v/>
      </c>
    </row>
    <row r="218" ht="15" customHeight="1">
      <c r="A218" t="inlineStr">
        <is>
          <t>A 25041-2022</t>
        </is>
      </c>
      <c r="B218" s="1" t="n">
        <v>44728</v>
      </c>
      <c r="C218" s="1" t="n">
        <v>46160</v>
      </c>
      <c r="D218" t="inlineStr">
        <is>
          <t>JÄMTLANDS LÄN</t>
        </is>
      </c>
      <c r="E218" t="inlineStr">
        <is>
          <t>KROKOM</t>
        </is>
      </c>
      <c r="F218" t="inlineStr">
        <is>
          <t>SCA</t>
        </is>
      </c>
      <c r="G218" t="n">
        <v>5.5</v>
      </c>
      <c r="H218" t="n">
        <v>0</v>
      </c>
      <c r="I218" t="n">
        <v>0</v>
      </c>
      <c r="J218" t="n">
        <v>1</v>
      </c>
      <c r="K218" t="n">
        <v>0</v>
      </c>
      <c r="L218" t="n">
        <v>0</v>
      </c>
      <c r="M218" t="n">
        <v>0</v>
      </c>
      <c r="N218" t="n">
        <v>0</v>
      </c>
      <c r="O218" t="n">
        <v>1</v>
      </c>
      <c r="P218" t="n">
        <v>0</v>
      </c>
      <c r="Q218" t="n">
        <v>1</v>
      </c>
      <c r="R218" s="2" t="inlineStr">
        <is>
          <t>Harticka</t>
        </is>
      </c>
      <c r="S218">
        <f>HYPERLINK("https://klasma.github.io/Logging_2309/artfynd/A 25041-2022 artfynd.xlsx", "A 25041-2022")</f>
        <v/>
      </c>
      <c r="T218">
        <f>HYPERLINK("https://klasma.github.io/Logging_2309/kartor/A 25041-2022 karta.png", "A 25041-2022")</f>
        <v/>
      </c>
      <c r="V218">
        <f>HYPERLINK("https://klasma.github.io/Logging_2309/klagomål/A 25041-2022 FSC-klagomål.docx", "A 25041-2022")</f>
        <v/>
      </c>
      <c r="W218">
        <f>HYPERLINK("https://klasma.github.io/Logging_2309/klagomålsmail/A 25041-2022 FSC-klagomål mail.docx", "A 25041-2022")</f>
        <v/>
      </c>
      <c r="X218">
        <f>HYPERLINK("https://klasma.github.io/Logging_2309/tillsyn/A 25041-2022 tillsynsbegäran.docx", "A 25041-2022")</f>
        <v/>
      </c>
      <c r="Y218">
        <f>HYPERLINK("https://klasma.github.io/Logging_2309/tillsynsmail/A 25041-2022 tillsynsbegäran mail.docx", "A 25041-2022")</f>
        <v/>
      </c>
    </row>
    <row r="219" ht="15" customHeight="1">
      <c r="A219" t="inlineStr">
        <is>
          <t>A 27579-2022</t>
        </is>
      </c>
      <c r="B219" s="1" t="n">
        <v>44742</v>
      </c>
      <c r="C219" s="1" t="n">
        <v>46160</v>
      </c>
      <c r="D219" t="inlineStr">
        <is>
          <t>JÄMTLANDS LÄN</t>
        </is>
      </c>
      <c r="E219" t="inlineStr">
        <is>
          <t>KROKOM</t>
        </is>
      </c>
      <c r="F219" t="inlineStr">
        <is>
          <t>SCA</t>
        </is>
      </c>
      <c r="G219" t="n">
        <v>1.5</v>
      </c>
      <c r="H219" t="n">
        <v>0</v>
      </c>
      <c r="I219" t="n">
        <v>0</v>
      </c>
      <c r="J219" t="n">
        <v>1</v>
      </c>
      <c r="K219" t="n">
        <v>0</v>
      </c>
      <c r="L219" t="n">
        <v>0</v>
      </c>
      <c r="M219" t="n">
        <v>0</v>
      </c>
      <c r="N219" t="n">
        <v>0</v>
      </c>
      <c r="O219" t="n">
        <v>1</v>
      </c>
      <c r="P219" t="n">
        <v>0</v>
      </c>
      <c r="Q219" t="n">
        <v>1</v>
      </c>
      <c r="R219" s="2" t="inlineStr">
        <is>
          <t>Lunglav</t>
        </is>
      </c>
      <c r="S219">
        <f>HYPERLINK("https://klasma.github.io/Logging_2309/artfynd/A 27579-2022 artfynd.xlsx", "A 27579-2022")</f>
        <v/>
      </c>
      <c r="T219">
        <f>HYPERLINK("https://klasma.github.io/Logging_2309/kartor/A 27579-2022 karta.png", "A 27579-2022")</f>
        <v/>
      </c>
      <c r="V219">
        <f>HYPERLINK("https://klasma.github.io/Logging_2309/klagomål/A 27579-2022 FSC-klagomål.docx", "A 27579-2022")</f>
        <v/>
      </c>
      <c r="W219">
        <f>HYPERLINK("https://klasma.github.io/Logging_2309/klagomålsmail/A 27579-2022 FSC-klagomål mail.docx", "A 27579-2022")</f>
        <v/>
      </c>
      <c r="X219">
        <f>HYPERLINK("https://klasma.github.io/Logging_2309/tillsyn/A 27579-2022 tillsynsbegäran.docx", "A 27579-2022")</f>
        <v/>
      </c>
      <c r="Y219">
        <f>HYPERLINK("https://klasma.github.io/Logging_2309/tillsynsmail/A 27579-2022 tillsynsbegäran mail.docx", "A 27579-2022")</f>
        <v/>
      </c>
    </row>
    <row r="220" ht="15" customHeight="1">
      <c r="A220" t="inlineStr">
        <is>
          <t>A 61451-2025</t>
        </is>
      </c>
      <c r="B220" s="1" t="n">
        <v>46001.57850694445</v>
      </c>
      <c r="C220" s="1" t="n">
        <v>46160</v>
      </c>
      <c r="D220" t="inlineStr">
        <is>
          <t>JÄMTLANDS LÄN</t>
        </is>
      </c>
      <c r="E220" t="inlineStr">
        <is>
          <t>KROKOM</t>
        </is>
      </c>
      <c r="G220" t="n">
        <v>3.4</v>
      </c>
      <c r="H220" t="n">
        <v>0</v>
      </c>
      <c r="I220" t="n">
        <v>1</v>
      </c>
      <c r="J220" t="n">
        <v>0</v>
      </c>
      <c r="K220" t="n">
        <v>0</v>
      </c>
      <c r="L220" t="n">
        <v>0</v>
      </c>
      <c r="M220" t="n">
        <v>0</v>
      </c>
      <c r="N220" t="n">
        <v>0</v>
      </c>
      <c r="O220" t="n">
        <v>0</v>
      </c>
      <c r="P220" t="n">
        <v>0</v>
      </c>
      <c r="Q220" t="n">
        <v>1</v>
      </c>
      <c r="R220" s="2" t="inlineStr">
        <is>
          <t>Spädstarr</t>
        </is>
      </c>
      <c r="S220">
        <f>HYPERLINK("https://klasma.github.io/Logging_2309/artfynd/A 61451-2025 artfynd.xlsx", "A 61451-2025")</f>
        <v/>
      </c>
      <c r="T220">
        <f>HYPERLINK("https://klasma.github.io/Logging_2309/kartor/A 61451-2025 karta.png", "A 61451-2025")</f>
        <v/>
      </c>
      <c r="V220">
        <f>HYPERLINK("https://klasma.github.io/Logging_2309/klagomål/A 61451-2025 FSC-klagomål.docx", "A 61451-2025")</f>
        <v/>
      </c>
      <c r="W220">
        <f>HYPERLINK("https://klasma.github.io/Logging_2309/klagomålsmail/A 61451-2025 FSC-klagomål mail.docx", "A 61451-2025")</f>
        <v/>
      </c>
      <c r="X220">
        <f>HYPERLINK("https://klasma.github.io/Logging_2309/tillsyn/A 61451-2025 tillsynsbegäran.docx", "A 61451-2025")</f>
        <v/>
      </c>
      <c r="Y220">
        <f>HYPERLINK("https://klasma.github.io/Logging_2309/tillsynsmail/A 61451-2025 tillsynsbegäran mail.docx", "A 61451-2025")</f>
        <v/>
      </c>
    </row>
    <row r="221" ht="15" customHeight="1">
      <c r="A221" t="inlineStr">
        <is>
          <t>A 25285-2023</t>
        </is>
      </c>
      <c r="B221" s="1" t="n">
        <v>45079</v>
      </c>
      <c r="C221" s="1" t="n">
        <v>46160</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30771-2023</t>
        </is>
      </c>
      <c r="B222" s="1" t="n">
        <v>45112</v>
      </c>
      <c r="C222" s="1" t="n">
        <v>46160</v>
      </c>
      <c r="D222" t="inlineStr">
        <is>
          <t>JÄMTLANDS LÄN</t>
        </is>
      </c>
      <c r="E222" t="inlineStr">
        <is>
          <t>KROKOM</t>
        </is>
      </c>
      <c r="G222" t="n">
        <v>10.6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30771-2023 artfynd.xlsx", "A 30771-2023")</f>
        <v/>
      </c>
      <c r="T222">
        <f>HYPERLINK("https://klasma.github.io/Logging_2309/kartor/A 30771-2023 karta.png", "A 30771-2023")</f>
        <v/>
      </c>
      <c r="V222">
        <f>HYPERLINK("https://klasma.github.io/Logging_2309/klagomål/A 30771-2023 FSC-klagomål.docx", "A 30771-2023")</f>
        <v/>
      </c>
      <c r="W222">
        <f>HYPERLINK("https://klasma.github.io/Logging_2309/klagomålsmail/A 30771-2023 FSC-klagomål mail.docx", "A 30771-2023")</f>
        <v/>
      </c>
      <c r="X222">
        <f>HYPERLINK("https://klasma.github.io/Logging_2309/tillsyn/A 30771-2023 tillsynsbegäran.docx", "A 30771-2023")</f>
        <v/>
      </c>
      <c r="Y222">
        <f>HYPERLINK("https://klasma.github.io/Logging_2309/tillsynsmail/A 30771-2023 tillsynsbegäran mail.docx", "A 30771-2023")</f>
        <v/>
      </c>
      <c r="Z222">
        <f>HYPERLINK("https://klasma.github.io/Logging_2309/fåglar/A 30771-2023 prioriterade fågelarter.docx", "A 30771-2023")</f>
        <v/>
      </c>
    </row>
    <row r="223" ht="15" customHeight="1">
      <c r="A223" t="inlineStr">
        <is>
          <t>A 25268-2025</t>
        </is>
      </c>
      <c r="B223" s="1" t="n">
        <v>45800</v>
      </c>
      <c r="C223" s="1" t="n">
        <v>46160</v>
      </c>
      <c r="D223" t="inlineStr">
        <is>
          <t>JÄMTLANDS LÄN</t>
        </is>
      </c>
      <c r="E223" t="inlineStr">
        <is>
          <t>KROKOM</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25268-2025 artfynd.xlsx", "A 25268-2025")</f>
        <v/>
      </c>
      <c r="T223">
        <f>HYPERLINK("https://klasma.github.io/Logging_2309/kartor/A 25268-2025 karta.png", "A 25268-2025")</f>
        <v/>
      </c>
      <c r="V223">
        <f>HYPERLINK("https://klasma.github.io/Logging_2309/klagomål/A 25268-2025 FSC-klagomål.docx", "A 25268-2025")</f>
        <v/>
      </c>
      <c r="W223">
        <f>HYPERLINK("https://klasma.github.io/Logging_2309/klagomålsmail/A 25268-2025 FSC-klagomål mail.docx", "A 25268-2025")</f>
        <v/>
      </c>
      <c r="X223">
        <f>HYPERLINK("https://klasma.github.io/Logging_2309/tillsyn/A 25268-2025 tillsynsbegäran.docx", "A 25268-2025")</f>
        <v/>
      </c>
      <c r="Y223">
        <f>HYPERLINK("https://klasma.github.io/Logging_2309/tillsynsmail/A 25268-2025 tillsynsbegäran mail.docx", "A 25268-2025")</f>
        <v/>
      </c>
      <c r="Z223">
        <f>HYPERLINK("https://klasma.github.io/Logging_2309/fåglar/A 25268-2025 prioriterade fågelarter.docx", "A 25268-2025")</f>
        <v/>
      </c>
    </row>
    <row r="224" ht="15" customHeight="1">
      <c r="A224" t="inlineStr">
        <is>
          <t>A 11413-2022</t>
        </is>
      </c>
      <c r="B224" s="1" t="n">
        <v>44630</v>
      </c>
      <c r="C224" s="1" t="n">
        <v>46160</v>
      </c>
      <c r="D224" t="inlineStr">
        <is>
          <t>JÄMTLANDS LÄN</t>
        </is>
      </c>
      <c r="E224" t="inlineStr">
        <is>
          <t>KROKOM</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HYPERLINK("https://klasma.github.io/Logging_2309/artfynd/A 11413-2022 artfynd.xlsx", "A 11413-2022")</f>
        <v/>
      </c>
      <c r="T224">
        <f>HYPERLINK("https://klasma.github.io/Logging_2309/kartor/A 11413-2022 karta.png", "A 11413-2022")</f>
        <v/>
      </c>
      <c r="V224">
        <f>HYPERLINK("https://klasma.github.io/Logging_2309/klagomål/A 11413-2022 FSC-klagomål.docx", "A 11413-2022")</f>
        <v/>
      </c>
      <c r="W224">
        <f>HYPERLINK("https://klasma.github.io/Logging_2309/klagomålsmail/A 11413-2022 FSC-klagomål mail.docx", "A 11413-2022")</f>
        <v/>
      </c>
      <c r="X224">
        <f>HYPERLINK("https://klasma.github.io/Logging_2309/tillsyn/A 11413-2022 tillsynsbegäran.docx", "A 11413-2022")</f>
        <v/>
      </c>
      <c r="Y224">
        <f>HYPERLINK("https://klasma.github.io/Logging_2309/tillsynsmail/A 11413-2022 tillsynsbegäran mail.docx", "A 11413-2022")</f>
        <v/>
      </c>
      <c r="Z224">
        <f>HYPERLINK("https://klasma.github.io/Logging_2309/fåglar/A 11413-2022 prioriterade fågelarter.docx", "A 11413-2022")</f>
        <v/>
      </c>
    </row>
    <row r="225" ht="15" customHeight="1">
      <c r="A225" t="inlineStr">
        <is>
          <t>A 61240-2024</t>
        </is>
      </c>
      <c r="B225" s="1" t="n">
        <v>45645.67945601852</v>
      </c>
      <c r="C225" s="1" t="n">
        <v>46160</v>
      </c>
      <c r="D225" t="inlineStr">
        <is>
          <t>JÄMTLANDS LÄN</t>
        </is>
      </c>
      <c r="E225" t="inlineStr">
        <is>
          <t>KROKOM</t>
        </is>
      </c>
      <c r="G225" t="n">
        <v>5.7</v>
      </c>
      <c r="H225" t="n">
        <v>1</v>
      </c>
      <c r="I225" t="n">
        <v>0</v>
      </c>
      <c r="J225" t="n">
        <v>0</v>
      </c>
      <c r="K225" t="n">
        <v>0</v>
      </c>
      <c r="L225" t="n">
        <v>0</v>
      </c>
      <c r="M225" t="n">
        <v>0</v>
      </c>
      <c r="N225" t="n">
        <v>0</v>
      </c>
      <c r="O225" t="n">
        <v>0</v>
      </c>
      <c r="P225" t="n">
        <v>0</v>
      </c>
      <c r="Q225" t="n">
        <v>1</v>
      </c>
      <c r="R225" s="2" t="inlineStr">
        <is>
          <t>Pärluggla</t>
        </is>
      </c>
      <c r="S225">
        <f>HYPERLINK("https://klasma.github.io/Logging_2309/artfynd/A 61240-2024 artfynd.xlsx", "A 61240-2024")</f>
        <v/>
      </c>
      <c r="T225">
        <f>HYPERLINK("https://klasma.github.io/Logging_2309/kartor/A 61240-2024 karta.png", "A 61240-2024")</f>
        <v/>
      </c>
      <c r="V225">
        <f>HYPERLINK("https://klasma.github.io/Logging_2309/klagomål/A 61240-2024 FSC-klagomål.docx", "A 61240-2024")</f>
        <v/>
      </c>
      <c r="W225">
        <f>HYPERLINK("https://klasma.github.io/Logging_2309/klagomålsmail/A 61240-2024 FSC-klagomål mail.docx", "A 61240-2024")</f>
        <v/>
      </c>
      <c r="X225">
        <f>HYPERLINK("https://klasma.github.io/Logging_2309/tillsyn/A 61240-2024 tillsynsbegäran.docx", "A 61240-2024")</f>
        <v/>
      </c>
      <c r="Y225">
        <f>HYPERLINK("https://klasma.github.io/Logging_2309/tillsynsmail/A 61240-2024 tillsynsbegäran mail.docx", "A 61240-2024")</f>
        <v/>
      </c>
      <c r="Z225">
        <f>HYPERLINK("https://klasma.github.io/Logging_2309/fåglar/A 61240-2024 prioriterade fågelarter.docx", "A 61240-2024")</f>
        <v/>
      </c>
    </row>
    <row r="226" ht="15" customHeight="1">
      <c r="A226" t="inlineStr">
        <is>
          <t>A 36639-2023</t>
        </is>
      </c>
      <c r="B226" s="1" t="n">
        <v>45153</v>
      </c>
      <c r="C226" s="1" t="n">
        <v>46160</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40800-2025</t>
        </is>
      </c>
      <c r="B227" s="1" t="n">
        <v>45897.45311342592</v>
      </c>
      <c r="C227" s="1" t="n">
        <v>46160</v>
      </c>
      <c r="D227" t="inlineStr">
        <is>
          <t>JÄMTLANDS LÄN</t>
        </is>
      </c>
      <c r="E227" t="inlineStr">
        <is>
          <t>KROKOM</t>
        </is>
      </c>
      <c r="G227" t="n">
        <v>5.8</v>
      </c>
      <c r="H227" t="n">
        <v>1</v>
      </c>
      <c r="I227" t="n">
        <v>0</v>
      </c>
      <c r="J227" t="n">
        <v>0</v>
      </c>
      <c r="K227" t="n">
        <v>0</v>
      </c>
      <c r="L227" t="n">
        <v>0</v>
      </c>
      <c r="M227" t="n">
        <v>0</v>
      </c>
      <c r="N227" t="n">
        <v>0</v>
      </c>
      <c r="O227" t="n">
        <v>0</v>
      </c>
      <c r="P227" t="n">
        <v>0</v>
      </c>
      <c r="Q227" t="n">
        <v>1</v>
      </c>
      <c r="R227" s="2" t="inlineStr">
        <is>
          <t>Blåsippa</t>
        </is>
      </c>
      <c r="S227">
        <f>HYPERLINK("https://klasma.github.io/Logging_2309/artfynd/A 40800-2025 artfynd.xlsx", "A 40800-2025")</f>
        <v/>
      </c>
      <c r="T227">
        <f>HYPERLINK("https://klasma.github.io/Logging_2309/kartor/A 40800-2025 karta.png", "A 40800-2025")</f>
        <v/>
      </c>
      <c r="V227">
        <f>HYPERLINK("https://klasma.github.io/Logging_2309/klagomål/A 40800-2025 FSC-klagomål.docx", "A 40800-2025")</f>
        <v/>
      </c>
      <c r="W227">
        <f>HYPERLINK("https://klasma.github.io/Logging_2309/klagomålsmail/A 40800-2025 FSC-klagomål mail.docx", "A 40800-2025")</f>
        <v/>
      </c>
      <c r="X227">
        <f>HYPERLINK("https://klasma.github.io/Logging_2309/tillsyn/A 40800-2025 tillsynsbegäran.docx", "A 40800-2025")</f>
        <v/>
      </c>
      <c r="Y227">
        <f>HYPERLINK("https://klasma.github.io/Logging_2309/tillsynsmail/A 40800-2025 tillsynsbegäran mail.docx", "A 40800-2025")</f>
        <v/>
      </c>
    </row>
    <row r="228" ht="15" customHeight="1">
      <c r="A228" t="inlineStr">
        <is>
          <t>A 28660-2025</t>
        </is>
      </c>
      <c r="B228" s="1" t="n">
        <v>45819.65796296296</v>
      </c>
      <c r="C228" s="1" t="n">
        <v>46160</v>
      </c>
      <c r="D228" t="inlineStr">
        <is>
          <t>JÄMTLANDS LÄN</t>
        </is>
      </c>
      <c r="E228" t="inlineStr">
        <is>
          <t>KROKOM</t>
        </is>
      </c>
      <c r="G228" t="n">
        <v>8.1</v>
      </c>
      <c r="H228" t="n">
        <v>1</v>
      </c>
      <c r="I228" t="n">
        <v>1</v>
      </c>
      <c r="J228" t="n">
        <v>0</v>
      </c>
      <c r="K228" t="n">
        <v>0</v>
      </c>
      <c r="L228" t="n">
        <v>0</v>
      </c>
      <c r="M228" t="n">
        <v>0</v>
      </c>
      <c r="N228" t="n">
        <v>0</v>
      </c>
      <c r="O228" t="n">
        <v>0</v>
      </c>
      <c r="P228" t="n">
        <v>0</v>
      </c>
      <c r="Q228" t="n">
        <v>1</v>
      </c>
      <c r="R228" s="2" t="inlineStr">
        <is>
          <t>Spindelblomster</t>
        </is>
      </c>
      <c r="S228">
        <f>HYPERLINK("https://klasma.github.io/Logging_2309/artfynd/A 28660-2025 artfynd.xlsx", "A 28660-2025")</f>
        <v/>
      </c>
      <c r="T228">
        <f>HYPERLINK("https://klasma.github.io/Logging_2309/kartor/A 28660-2025 karta.png", "A 28660-2025")</f>
        <v/>
      </c>
      <c r="V228">
        <f>HYPERLINK("https://klasma.github.io/Logging_2309/klagomål/A 28660-2025 FSC-klagomål.docx", "A 28660-2025")</f>
        <v/>
      </c>
      <c r="W228">
        <f>HYPERLINK("https://klasma.github.io/Logging_2309/klagomålsmail/A 28660-2025 FSC-klagomål mail.docx", "A 28660-2025")</f>
        <v/>
      </c>
      <c r="X228">
        <f>HYPERLINK("https://klasma.github.io/Logging_2309/tillsyn/A 28660-2025 tillsynsbegäran.docx", "A 28660-2025")</f>
        <v/>
      </c>
      <c r="Y228">
        <f>HYPERLINK("https://klasma.github.io/Logging_2309/tillsynsmail/A 28660-2025 tillsynsbegäran mail.docx", "A 28660-2025")</f>
        <v/>
      </c>
    </row>
    <row r="229" ht="15" customHeight="1">
      <c r="A229" t="inlineStr">
        <is>
          <t>A 49175-2024</t>
        </is>
      </c>
      <c r="B229" s="1" t="n">
        <v>45595</v>
      </c>
      <c r="C229" s="1" t="n">
        <v>46160</v>
      </c>
      <c r="D229" t="inlineStr">
        <is>
          <t>JÄMTLANDS LÄN</t>
        </is>
      </c>
      <c r="E229" t="inlineStr">
        <is>
          <t>KROKOM</t>
        </is>
      </c>
      <c r="G229" t="n">
        <v>172.9</v>
      </c>
      <c r="H229" t="n">
        <v>0</v>
      </c>
      <c r="I229" t="n">
        <v>0</v>
      </c>
      <c r="J229" t="n">
        <v>1</v>
      </c>
      <c r="K229" t="n">
        <v>0</v>
      </c>
      <c r="L229" t="n">
        <v>0</v>
      </c>
      <c r="M229" t="n">
        <v>0</v>
      </c>
      <c r="N229" t="n">
        <v>0</v>
      </c>
      <c r="O229" t="n">
        <v>1</v>
      </c>
      <c r="P229" t="n">
        <v>0</v>
      </c>
      <c r="Q229" t="n">
        <v>1</v>
      </c>
      <c r="R229" s="2" t="inlineStr">
        <is>
          <t>Granticka</t>
        </is>
      </c>
      <c r="S229">
        <f>HYPERLINK("https://klasma.github.io/Logging_2309/artfynd/A 49175-2024 artfynd.xlsx", "A 49175-2024")</f>
        <v/>
      </c>
      <c r="T229">
        <f>HYPERLINK("https://klasma.github.io/Logging_2309/kartor/A 49175-2024 karta.png", "A 49175-2024")</f>
        <v/>
      </c>
      <c r="V229">
        <f>HYPERLINK("https://klasma.github.io/Logging_2309/klagomål/A 49175-2024 FSC-klagomål.docx", "A 49175-2024")</f>
        <v/>
      </c>
      <c r="W229">
        <f>HYPERLINK("https://klasma.github.io/Logging_2309/klagomålsmail/A 49175-2024 FSC-klagomål mail.docx", "A 49175-2024")</f>
        <v/>
      </c>
      <c r="X229">
        <f>HYPERLINK("https://klasma.github.io/Logging_2309/tillsyn/A 49175-2024 tillsynsbegäran.docx", "A 49175-2024")</f>
        <v/>
      </c>
      <c r="Y229">
        <f>HYPERLINK("https://klasma.github.io/Logging_2309/tillsynsmail/A 49175-2024 tillsynsbegäran mail.docx", "A 49175-2024")</f>
        <v/>
      </c>
    </row>
    <row r="230" ht="15" customHeight="1">
      <c r="A230" t="inlineStr">
        <is>
          <t>A 29941-2025</t>
        </is>
      </c>
      <c r="B230" s="1" t="n">
        <v>45826.45174768518</v>
      </c>
      <c r="C230" s="1" t="n">
        <v>46160</v>
      </c>
      <c r="D230" t="inlineStr">
        <is>
          <t>JÄMTLANDS LÄN</t>
        </is>
      </c>
      <c r="E230" t="inlineStr">
        <is>
          <t>KROKOM</t>
        </is>
      </c>
      <c r="G230" t="n">
        <v>12.4</v>
      </c>
      <c r="H230" t="n">
        <v>0</v>
      </c>
      <c r="I230" t="n">
        <v>0</v>
      </c>
      <c r="J230" t="n">
        <v>0</v>
      </c>
      <c r="K230" t="n">
        <v>0</v>
      </c>
      <c r="L230" t="n">
        <v>1</v>
      </c>
      <c r="M230" t="n">
        <v>0</v>
      </c>
      <c r="N230" t="n">
        <v>0</v>
      </c>
      <c r="O230" t="n">
        <v>1</v>
      </c>
      <c r="P230" t="n">
        <v>1</v>
      </c>
      <c r="Q230" t="n">
        <v>1</v>
      </c>
      <c r="R230" s="2" t="inlineStr">
        <is>
          <t>Lilafotad fingersvamp</t>
        </is>
      </c>
      <c r="S230">
        <f>HYPERLINK("https://klasma.github.io/Logging_2309/artfynd/A 29941-2025 artfynd.xlsx", "A 29941-2025")</f>
        <v/>
      </c>
      <c r="T230">
        <f>HYPERLINK("https://klasma.github.io/Logging_2309/kartor/A 29941-2025 karta.png", "A 29941-2025")</f>
        <v/>
      </c>
      <c r="V230">
        <f>HYPERLINK("https://klasma.github.io/Logging_2309/klagomål/A 29941-2025 FSC-klagomål.docx", "A 29941-2025")</f>
        <v/>
      </c>
      <c r="W230">
        <f>HYPERLINK("https://klasma.github.io/Logging_2309/klagomålsmail/A 29941-2025 FSC-klagomål mail.docx", "A 29941-2025")</f>
        <v/>
      </c>
      <c r="X230">
        <f>HYPERLINK("https://klasma.github.io/Logging_2309/tillsyn/A 29941-2025 tillsynsbegäran.docx", "A 29941-2025")</f>
        <v/>
      </c>
      <c r="Y230">
        <f>HYPERLINK("https://klasma.github.io/Logging_2309/tillsynsmail/A 29941-2025 tillsynsbegäran mail.docx", "A 29941-2025")</f>
        <v/>
      </c>
    </row>
    <row r="231" ht="15" customHeight="1">
      <c r="A231" t="inlineStr">
        <is>
          <t>A 1824-2026</t>
        </is>
      </c>
      <c r="B231" s="1" t="n">
        <v>46035.36510416667</v>
      </c>
      <c r="C231" s="1" t="n">
        <v>46160</v>
      </c>
      <c r="D231" t="inlineStr">
        <is>
          <t>JÄMTLANDS LÄN</t>
        </is>
      </c>
      <c r="E231" t="inlineStr">
        <is>
          <t>KROKOM</t>
        </is>
      </c>
      <c r="G231" t="n">
        <v>7.1</v>
      </c>
      <c r="H231" t="n">
        <v>0</v>
      </c>
      <c r="I231" t="n">
        <v>0</v>
      </c>
      <c r="J231" t="n">
        <v>1</v>
      </c>
      <c r="K231" t="n">
        <v>0</v>
      </c>
      <c r="L231" t="n">
        <v>0</v>
      </c>
      <c r="M231" t="n">
        <v>0</v>
      </c>
      <c r="N231" t="n">
        <v>0</v>
      </c>
      <c r="O231" t="n">
        <v>1</v>
      </c>
      <c r="P231" t="n">
        <v>0</v>
      </c>
      <c r="Q231" t="n">
        <v>1</v>
      </c>
      <c r="R231" s="2" t="inlineStr">
        <is>
          <t>Garnlav</t>
        </is>
      </c>
      <c r="S231">
        <f>HYPERLINK("https://klasma.github.io/Logging_2309/artfynd/A 1824-2026 artfynd.xlsx", "A 1824-2026")</f>
        <v/>
      </c>
      <c r="T231">
        <f>HYPERLINK("https://klasma.github.io/Logging_2309/kartor/A 1824-2026 karta.png", "A 1824-2026")</f>
        <v/>
      </c>
      <c r="V231">
        <f>HYPERLINK("https://klasma.github.io/Logging_2309/klagomål/A 1824-2026 FSC-klagomål.docx", "A 1824-2026")</f>
        <v/>
      </c>
      <c r="W231">
        <f>HYPERLINK("https://klasma.github.io/Logging_2309/klagomålsmail/A 1824-2026 FSC-klagomål mail.docx", "A 1824-2026")</f>
        <v/>
      </c>
      <c r="X231">
        <f>HYPERLINK("https://klasma.github.io/Logging_2309/tillsyn/A 1824-2026 tillsynsbegäran.docx", "A 1824-2026")</f>
        <v/>
      </c>
      <c r="Y231">
        <f>HYPERLINK("https://klasma.github.io/Logging_2309/tillsynsmail/A 1824-2026 tillsynsbegäran mail.docx", "A 1824-2026")</f>
        <v/>
      </c>
    </row>
    <row r="232" ht="15" customHeight="1">
      <c r="A232" t="inlineStr">
        <is>
          <t>A 44645-2025</t>
        </is>
      </c>
      <c r="B232" s="1" t="n">
        <v>45917.53457175926</v>
      </c>
      <c r="C232" s="1" t="n">
        <v>46160</v>
      </c>
      <c r="D232" t="inlineStr">
        <is>
          <t>JÄMTLANDS LÄN</t>
        </is>
      </c>
      <c r="E232" t="inlineStr">
        <is>
          <t>KROKOM</t>
        </is>
      </c>
      <c r="G232" t="n">
        <v>4.7</v>
      </c>
      <c r="H232" t="n">
        <v>0</v>
      </c>
      <c r="I232" t="n">
        <v>0</v>
      </c>
      <c r="J232" t="n">
        <v>1</v>
      </c>
      <c r="K232" t="n">
        <v>0</v>
      </c>
      <c r="L232" t="n">
        <v>0</v>
      </c>
      <c r="M232" t="n">
        <v>0</v>
      </c>
      <c r="N232" t="n">
        <v>0</v>
      </c>
      <c r="O232" t="n">
        <v>1</v>
      </c>
      <c r="P232" t="n">
        <v>0</v>
      </c>
      <c r="Q232" t="n">
        <v>1</v>
      </c>
      <c r="R232" s="2" t="inlineStr">
        <is>
          <t>Garnlav</t>
        </is>
      </c>
      <c r="S232">
        <f>HYPERLINK("https://klasma.github.io/Logging_2309/artfynd/A 44645-2025 artfynd.xlsx", "A 44645-2025")</f>
        <v/>
      </c>
      <c r="T232">
        <f>HYPERLINK("https://klasma.github.io/Logging_2309/kartor/A 44645-2025 karta.png", "A 44645-2025")</f>
        <v/>
      </c>
      <c r="V232">
        <f>HYPERLINK("https://klasma.github.io/Logging_2309/klagomål/A 44645-2025 FSC-klagomål.docx", "A 44645-2025")</f>
        <v/>
      </c>
      <c r="W232">
        <f>HYPERLINK("https://klasma.github.io/Logging_2309/klagomålsmail/A 44645-2025 FSC-klagomål mail.docx", "A 44645-2025")</f>
        <v/>
      </c>
      <c r="X232">
        <f>HYPERLINK("https://klasma.github.io/Logging_2309/tillsyn/A 44645-2025 tillsynsbegäran.docx", "A 44645-2025")</f>
        <v/>
      </c>
      <c r="Y232">
        <f>HYPERLINK("https://klasma.github.io/Logging_2309/tillsynsmail/A 44645-2025 tillsynsbegäran mail.docx", "A 44645-2025")</f>
        <v/>
      </c>
    </row>
    <row r="233" ht="15" customHeight="1">
      <c r="A233" t="inlineStr">
        <is>
          <t>A 32656-2025</t>
        </is>
      </c>
      <c r="B233" s="1" t="n">
        <v>45838.67815972222</v>
      </c>
      <c r="C233" s="1" t="n">
        <v>46160</v>
      </c>
      <c r="D233" t="inlineStr">
        <is>
          <t>JÄMTLANDS LÄN</t>
        </is>
      </c>
      <c r="E233" t="inlineStr">
        <is>
          <t>KROKOM</t>
        </is>
      </c>
      <c r="F233" t="inlineStr">
        <is>
          <t>SCA</t>
        </is>
      </c>
      <c r="G233" t="n">
        <v>9.1</v>
      </c>
      <c r="H233" t="n">
        <v>0</v>
      </c>
      <c r="I233" t="n">
        <v>0</v>
      </c>
      <c r="J233" t="n">
        <v>1</v>
      </c>
      <c r="K233" t="n">
        <v>0</v>
      </c>
      <c r="L233" t="n">
        <v>0</v>
      </c>
      <c r="M233" t="n">
        <v>0</v>
      </c>
      <c r="N233" t="n">
        <v>0</v>
      </c>
      <c r="O233" t="n">
        <v>1</v>
      </c>
      <c r="P233" t="n">
        <v>0</v>
      </c>
      <c r="Q233" t="n">
        <v>1</v>
      </c>
      <c r="R233" s="2" t="inlineStr">
        <is>
          <t>Skrovellav</t>
        </is>
      </c>
      <c r="S233">
        <f>HYPERLINK("https://klasma.github.io/Logging_2309/artfynd/A 32656-2025 artfynd.xlsx", "A 32656-2025")</f>
        <v/>
      </c>
      <c r="T233">
        <f>HYPERLINK("https://klasma.github.io/Logging_2309/kartor/A 32656-2025 karta.png", "A 32656-2025")</f>
        <v/>
      </c>
      <c r="V233">
        <f>HYPERLINK("https://klasma.github.io/Logging_2309/klagomål/A 32656-2025 FSC-klagomål.docx", "A 32656-2025")</f>
        <v/>
      </c>
      <c r="W233">
        <f>HYPERLINK("https://klasma.github.io/Logging_2309/klagomålsmail/A 32656-2025 FSC-klagomål mail.docx", "A 32656-2025")</f>
        <v/>
      </c>
      <c r="X233">
        <f>HYPERLINK("https://klasma.github.io/Logging_2309/tillsyn/A 32656-2025 tillsynsbegäran.docx", "A 32656-2025")</f>
        <v/>
      </c>
      <c r="Y233">
        <f>HYPERLINK("https://klasma.github.io/Logging_2309/tillsynsmail/A 32656-2025 tillsynsbegäran mail.docx", "A 32656-2025")</f>
        <v/>
      </c>
    </row>
    <row r="234" ht="15" customHeight="1">
      <c r="A234" t="inlineStr">
        <is>
          <t>A 42816-2023</t>
        </is>
      </c>
      <c r="B234" s="1" t="n">
        <v>45182</v>
      </c>
      <c r="C234" s="1" t="n">
        <v>46160</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34520-2025</t>
        </is>
      </c>
      <c r="B235" s="1" t="n">
        <v>45847.46962962963</v>
      </c>
      <c r="C235" s="1" t="n">
        <v>46160</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32888-2025</t>
        </is>
      </c>
      <c r="B236" s="1" t="n">
        <v>45839.60460648148</v>
      </c>
      <c r="C236" s="1" t="n">
        <v>46160</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Revlummer</t>
        </is>
      </c>
      <c r="S236">
        <f>HYPERLINK("https://klasma.github.io/Logging_2309/artfynd/A 32888-2025 artfynd.xlsx", "A 32888-2025")</f>
        <v/>
      </c>
      <c r="T236">
        <f>HYPERLINK("https://klasma.github.io/Logging_2309/kartor/A 32888-2025 karta.png", "A 32888-2025")</f>
        <v/>
      </c>
      <c r="V236">
        <f>HYPERLINK("https://klasma.github.io/Logging_2309/klagomål/A 32888-2025 FSC-klagomål.docx", "A 32888-2025")</f>
        <v/>
      </c>
      <c r="W236">
        <f>HYPERLINK("https://klasma.github.io/Logging_2309/klagomålsmail/A 32888-2025 FSC-klagomål mail.docx", "A 32888-2025")</f>
        <v/>
      </c>
      <c r="X236">
        <f>HYPERLINK("https://klasma.github.io/Logging_2309/tillsyn/A 32888-2025 tillsynsbegäran.docx", "A 32888-2025")</f>
        <v/>
      </c>
      <c r="Y236">
        <f>HYPERLINK("https://klasma.github.io/Logging_2309/tillsynsmail/A 32888-2025 tillsynsbegäran mail.docx", "A 32888-2025")</f>
        <v/>
      </c>
    </row>
    <row r="237" ht="15" customHeight="1">
      <c r="A237" t="inlineStr">
        <is>
          <t>A 33513-2025</t>
        </is>
      </c>
      <c r="B237" s="1" t="n">
        <v>45841.52454861111</v>
      </c>
      <c r="C237" s="1" t="n">
        <v>46160</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16426-2024</t>
        </is>
      </c>
      <c r="B238" s="1" t="n">
        <v>45407</v>
      </c>
      <c r="C238" s="1" t="n">
        <v>46160</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48462-2025</t>
        </is>
      </c>
      <c r="B239" s="1" t="n">
        <v>45936.31701388889</v>
      </c>
      <c r="C239" s="1" t="n">
        <v>46160</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4348-2025</t>
        </is>
      </c>
      <c r="B240" s="1" t="n">
        <v>45686.27208333334</v>
      </c>
      <c r="C240" s="1" t="n">
        <v>46160</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34534-2025</t>
        </is>
      </c>
      <c r="B241" s="1" t="n">
        <v>45847.51078703703</v>
      </c>
      <c r="C241" s="1" t="n">
        <v>46160</v>
      </c>
      <c r="D241" t="inlineStr">
        <is>
          <t>JÄMTLANDS LÄN</t>
        </is>
      </c>
      <c r="E241" t="inlineStr">
        <is>
          <t>KROKOM</t>
        </is>
      </c>
      <c r="F241" t="inlineStr">
        <is>
          <t>SCA</t>
        </is>
      </c>
      <c r="G241" t="n">
        <v>2.7</v>
      </c>
      <c r="H241" t="n">
        <v>0</v>
      </c>
      <c r="I241" t="n">
        <v>0</v>
      </c>
      <c r="J241" t="n">
        <v>1</v>
      </c>
      <c r="K241" t="n">
        <v>0</v>
      </c>
      <c r="L241" t="n">
        <v>0</v>
      </c>
      <c r="M241" t="n">
        <v>0</v>
      </c>
      <c r="N241" t="n">
        <v>0</v>
      </c>
      <c r="O241" t="n">
        <v>1</v>
      </c>
      <c r="P241" t="n">
        <v>0</v>
      </c>
      <c r="Q241" t="n">
        <v>1</v>
      </c>
      <c r="R241" s="2" t="inlineStr">
        <is>
          <t>Granticka</t>
        </is>
      </c>
      <c r="S241">
        <f>HYPERLINK("https://klasma.github.io/Logging_2309/artfynd/A 34534-2025 artfynd.xlsx", "A 34534-2025")</f>
        <v/>
      </c>
      <c r="T241">
        <f>HYPERLINK("https://klasma.github.io/Logging_2309/kartor/A 34534-2025 karta.png", "A 34534-2025")</f>
        <v/>
      </c>
      <c r="V241">
        <f>HYPERLINK("https://klasma.github.io/Logging_2309/klagomål/A 34534-2025 FSC-klagomål.docx", "A 34534-2025")</f>
        <v/>
      </c>
      <c r="W241">
        <f>HYPERLINK("https://klasma.github.io/Logging_2309/klagomålsmail/A 34534-2025 FSC-klagomål mail.docx", "A 34534-2025")</f>
        <v/>
      </c>
      <c r="X241">
        <f>HYPERLINK("https://klasma.github.io/Logging_2309/tillsyn/A 34534-2025 tillsynsbegäran.docx", "A 34534-2025")</f>
        <v/>
      </c>
      <c r="Y241">
        <f>HYPERLINK("https://klasma.github.io/Logging_2309/tillsynsmail/A 34534-2025 tillsynsbegäran mail.docx", "A 34534-2025")</f>
        <v/>
      </c>
    </row>
    <row r="242" ht="15" customHeight="1">
      <c r="A242" t="inlineStr">
        <is>
          <t>A 6575-2026</t>
        </is>
      </c>
      <c r="B242" s="1" t="n">
        <v>46056.44827546296</v>
      </c>
      <c r="C242" s="1" t="n">
        <v>46160</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Garnlav</t>
        </is>
      </c>
      <c r="S242">
        <f>HYPERLINK("https://klasma.github.io/Logging_2309/artfynd/A 6575-2026 artfynd.xlsx", "A 6575-2026")</f>
        <v/>
      </c>
      <c r="T242">
        <f>HYPERLINK("https://klasma.github.io/Logging_2309/kartor/A 6575-2026 karta.png", "A 6575-2026")</f>
        <v/>
      </c>
      <c r="V242">
        <f>HYPERLINK("https://klasma.github.io/Logging_2309/klagomål/A 6575-2026 FSC-klagomål.docx", "A 6575-2026")</f>
        <v/>
      </c>
      <c r="W242">
        <f>HYPERLINK("https://klasma.github.io/Logging_2309/klagomålsmail/A 6575-2026 FSC-klagomål mail.docx", "A 6575-2026")</f>
        <v/>
      </c>
      <c r="X242">
        <f>HYPERLINK("https://klasma.github.io/Logging_2309/tillsyn/A 6575-2026 tillsynsbegäran.docx", "A 6575-2026")</f>
        <v/>
      </c>
      <c r="Y242">
        <f>HYPERLINK("https://klasma.github.io/Logging_2309/tillsynsmail/A 6575-2026 tillsynsbegäran mail.docx", "A 6575-2026")</f>
        <v/>
      </c>
    </row>
    <row r="243" ht="15" customHeight="1">
      <c r="A243" t="inlineStr">
        <is>
          <t>A 13485-2025</t>
        </is>
      </c>
      <c r="B243" s="1" t="n">
        <v>45736</v>
      </c>
      <c r="C243" s="1" t="n">
        <v>46160</v>
      </c>
      <c r="D243" t="inlineStr">
        <is>
          <t>JÄMTLANDS LÄN</t>
        </is>
      </c>
      <c r="E243" t="inlineStr">
        <is>
          <t>KROKOM</t>
        </is>
      </c>
      <c r="F243" t="inlineStr">
        <is>
          <t>SCA</t>
        </is>
      </c>
      <c r="G243" t="n">
        <v>4</v>
      </c>
      <c r="H243" t="n">
        <v>0</v>
      </c>
      <c r="I243" t="n">
        <v>0</v>
      </c>
      <c r="J243" t="n">
        <v>1</v>
      </c>
      <c r="K243" t="n">
        <v>0</v>
      </c>
      <c r="L243" t="n">
        <v>0</v>
      </c>
      <c r="M243" t="n">
        <v>0</v>
      </c>
      <c r="N243" t="n">
        <v>0</v>
      </c>
      <c r="O243" t="n">
        <v>1</v>
      </c>
      <c r="P243" t="n">
        <v>0</v>
      </c>
      <c r="Q243" t="n">
        <v>1</v>
      </c>
      <c r="R243" s="2" t="inlineStr">
        <is>
          <t>Brunklöver</t>
        </is>
      </c>
      <c r="S243">
        <f>HYPERLINK("https://klasma.github.io/Logging_2309/artfynd/A 13485-2025 artfynd.xlsx", "A 13485-2025")</f>
        <v/>
      </c>
      <c r="T243">
        <f>HYPERLINK("https://klasma.github.io/Logging_2309/kartor/A 13485-2025 karta.png", "A 13485-2025")</f>
        <v/>
      </c>
      <c r="V243">
        <f>HYPERLINK("https://klasma.github.io/Logging_2309/klagomål/A 13485-2025 FSC-klagomål.docx", "A 13485-2025")</f>
        <v/>
      </c>
      <c r="W243">
        <f>HYPERLINK("https://klasma.github.io/Logging_2309/klagomålsmail/A 13485-2025 FSC-klagomål mail.docx", "A 13485-2025")</f>
        <v/>
      </c>
      <c r="X243">
        <f>HYPERLINK("https://klasma.github.io/Logging_2309/tillsyn/A 13485-2025 tillsynsbegäran.docx", "A 13485-2025")</f>
        <v/>
      </c>
      <c r="Y243">
        <f>HYPERLINK("https://klasma.github.io/Logging_2309/tillsynsmail/A 13485-2025 tillsynsbegäran mail.docx", "A 13485-2025")</f>
        <v/>
      </c>
    </row>
    <row r="244" ht="15" customHeight="1">
      <c r="A244" t="inlineStr">
        <is>
          <t>A 4331-2025</t>
        </is>
      </c>
      <c r="B244" s="1" t="n">
        <v>45685.78776620371</v>
      </c>
      <c r="C244" s="1" t="n">
        <v>46160</v>
      </c>
      <c r="D244" t="inlineStr">
        <is>
          <t>JÄMTLANDS LÄN</t>
        </is>
      </c>
      <c r="E244" t="inlineStr">
        <is>
          <t>KROKOM</t>
        </is>
      </c>
      <c r="G244" t="n">
        <v>9.199999999999999</v>
      </c>
      <c r="H244" t="n">
        <v>0</v>
      </c>
      <c r="I244" t="n">
        <v>1</v>
      </c>
      <c r="J244" t="n">
        <v>0</v>
      </c>
      <c r="K244" t="n">
        <v>0</v>
      </c>
      <c r="L244" t="n">
        <v>0</v>
      </c>
      <c r="M244" t="n">
        <v>0</v>
      </c>
      <c r="N244" t="n">
        <v>0</v>
      </c>
      <c r="O244" t="n">
        <v>0</v>
      </c>
      <c r="P244" t="n">
        <v>0</v>
      </c>
      <c r="Q244" t="n">
        <v>1</v>
      </c>
      <c r="R244" s="2" t="inlineStr">
        <is>
          <t>Gytterlav</t>
        </is>
      </c>
      <c r="S244">
        <f>HYPERLINK("https://klasma.github.io/Logging_2309/artfynd/A 4331-2025 artfynd.xlsx", "A 4331-2025")</f>
        <v/>
      </c>
      <c r="T244">
        <f>HYPERLINK("https://klasma.github.io/Logging_2309/kartor/A 4331-2025 karta.png", "A 4331-2025")</f>
        <v/>
      </c>
      <c r="V244">
        <f>HYPERLINK("https://klasma.github.io/Logging_2309/klagomål/A 4331-2025 FSC-klagomål.docx", "A 4331-2025")</f>
        <v/>
      </c>
      <c r="W244">
        <f>HYPERLINK("https://klasma.github.io/Logging_2309/klagomålsmail/A 4331-2025 FSC-klagomål mail.docx", "A 4331-2025")</f>
        <v/>
      </c>
      <c r="X244">
        <f>HYPERLINK("https://klasma.github.io/Logging_2309/tillsyn/A 4331-2025 tillsynsbegäran.docx", "A 4331-2025")</f>
        <v/>
      </c>
      <c r="Y244">
        <f>HYPERLINK("https://klasma.github.io/Logging_2309/tillsynsmail/A 4331-2025 tillsynsbegäran mail.docx", "A 4331-2025")</f>
        <v/>
      </c>
    </row>
    <row r="245" ht="15" customHeight="1">
      <c r="A245" t="inlineStr">
        <is>
          <t>A 49385-2024</t>
        </is>
      </c>
      <c r="B245" s="1" t="n">
        <v>45595</v>
      </c>
      <c r="C245" s="1" t="n">
        <v>46160</v>
      </c>
      <c r="D245" t="inlineStr">
        <is>
          <t>JÄMTLANDS LÄN</t>
        </is>
      </c>
      <c r="E245" t="inlineStr">
        <is>
          <t>KROKOM</t>
        </is>
      </c>
      <c r="G245" t="n">
        <v>10.5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49385-2024 artfynd.xlsx", "A 49385-2024")</f>
        <v/>
      </c>
      <c r="T245">
        <f>HYPERLINK("https://klasma.github.io/Logging_2309/kartor/A 49385-2024 karta.png", "A 49385-2024")</f>
        <v/>
      </c>
      <c r="V245">
        <f>HYPERLINK("https://klasma.github.io/Logging_2309/klagomål/A 49385-2024 FSC-klagomål.docx", "A 49385-2024")</f>
        <v/>
      </c>
      <c r="W245">
        <f>HYPERLINK("https://klasma.github.io/Logging_2309/klagomålsmail/A 49385-2024 FSC-klagomål mail.docx", "A 49385-2024")</f>
        <v/>
      </c>
      <c r="X245">
        <f>HYPERLINK("https://klasma.github.io/Logging_2309/tillsyn/A 49385-2024 tillsynsbegäran.docx", "A 49385-2024")</f>
        <v/>
      </c>
      <c r="Y245">
        <f>HYPERLINK("https://klasma.github.io/Logging_2309/tillsynsmail/A 49385-2024 tillsynsbegäran mail.docx", "A 49385-2024")</f>
        <v/>
      </c>
      <c r="Z245">
        <f>HYPERLINK("https://klasma.github.io/Logging_2309/fåglar/A 49385-2024 prioriterade fågelarter.docx", "A 49385-2024")</f>
        <v/>
      </c>
    </row>
    <row r="246" ht="15" customHeight="1">
      <c r="A246" t="inlineStr">
        <is>
          <t>A 27753-2023</t>
        </is>
      </c>
      <c r="B246" s="1" t="n">
        <v>45098</v>
      </c>
      <c r="C246" s="1" t="n">
        <v>46160</v>
      </c>
      <c r="D246" t="inlineStr">
        <is>
          <t>JÄMTLANDS LÄN</t>
        </is>
      </c>
      <c r="E246" t="inlineStr">
        <is>
          <t>KROKOM</t>
        </is>
      </c>
      <c r="F246" t="inlineStr">
        <is>
          <t>Övriga Aktiebolag</t>
        </is>
      </c>
      <c r="G246" t="n">
        <v>20.9</v>
      </c>
      <c r="H246" t="n">
        <v>0</v>
      </c>
      <c r="I246" t="n">
        <v>0</v>
      </c>
      <c r="J246" t="n">
        <v>1</v>
      </c>
      <c r="K246" t="n">
        <v>0</v>
      </c>
      <c r="L246" t="n">
        <v>0</v>
      </c>
      <c r="M246" t="n">
        <v>0</v>
      </c>
      <c r="N246" t="n">
        <v>0</v>
      </c>
      <c r="O246" t="n">
        <v>1</v>
      </c>
      <c r="P246" t="n">
        <v>0</v>
      </c>
      <c r="Q246" t="n">
        <v>1</v>
      </c>
      <c r="R246" s="2" t="inlineStr">
        <is>
          <t>Mörk kolflarnlav</t>
        </is>
      </c>
      <c r="S246">
        <f>HYPERLINK("https://klasma.github.io/Logging_2309/artfynd/A 27753-2023 artfynd.xlsx", "A 27753-2023")</f>
        <v/>
      </c>
      <c r="T246">
        <f>HYPERLINK("https://klasma.github.io/Logging_2309/kartor/A 27753-2023 karta.png", "A 27753-2023")</f>
        <v/>
      </c>
      <c r="V246">
        <f>HYPERLINK("https://klasma.github.io/Logging_2309/klagomål/A 27753-2023 FSC-klagomål.docx", "A 27753-2023")</f>
        <v/>
      </c>
      <c r="W246">
        <f>HYPERLINK("https://klasma.github.io/Logging_2309/klagomålsmail/A 27753-2023 FSC-klagomål mail.docx", "A 27753-2023")</f>
        <v/>
      </c>
      <c r="X246">
        <f>HYPERLINK("https://klasma.github.io/Logging_2309/tillsyn/A 27753-2023 tillsynsbegäran.docx", "A 27753-2023")</f>
        <v/>
      </c>
      <c r="Y246">
        <f>HYPERLINK("https://klasma.github.io/Logging_2309/tillsynsmail/A 27753-2023 tillsynsbegäran mail.docx", "A 27753-2023")</f>
        <v/>
      </c>
    </row>
    <row r="247" ht="15" customHeight="1">
      <c r="A247" t="inlineStr">
        <is>
          <t>A 49387-2024</t>
        </is>
      </c>
      <c r="B247" s="1" t="n">
        <v>45595</v>
      </c>
      <c r="C247" s="1" t="n">
        <v>46160</v>
      </c>
      <c r="D247" t="inlineStr">
        <is>
          <t>JÄMTLANDS LÄN</t>
        </is>
      </c>
      <c r="E247" t="inlineStr">
        <is>
          <t>KROKOM</t>
        </is>
      </c>
      <c r="G247" t="n">
        <v>0.8</v>
      </c>
      <c r="H247" t="n">
        <v>0</v>
      </c>
      <c r="I247" t="n">
        <v>0</v>
      </c>
      <c r="J247" t="n">
        <v>1</v>
      </c>
      <c r="K247" t="n">
        <v>0</v>
      </c>
      <c r="L247" t="n">
        <v>0</v>
      </c>
      <c r="M247" t="n">
        <v>0</v>
      </c>
      <c r="N247" t="n">
        <v>0</v>
      </c>
      <c r="O247" t="n">
        <v>1</v>
      </c>
      <c r="P247" t="n">
        <v>0</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52473-2024</t>
        </is>
      </c>
      <c r="B248" s="1" t="n">
        <v>45609</v>
      </c>
      <c r="C248" s="1" t="n">
        <v>46160</v>
      </c>
      <c r="D248" t="inlineStr">
        <is>
          <t>JÄMTLANDS LÄN</t>
        </is>
      </c>
      <c r="E248" t="inlineStr">
        <is>
          <t>KROKOM</t>
        </is>
      </c>
      <c r="G248" t="n">
        <v>38.5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52473-2024 artfynd.xlsx", "A 52473-2024")</f>
        <v/>
      </c>
      <c r="T248">
        <f>HYPERLINK("https://klasma.github.io/Logging_2309/kartor/A 52473-2024 karta.png", "A 52473-2024")</f>
        <v/>
      </c>
      <c r="V248">
        <f>HYPERLINK("https://klasma.github.io/Logging_2309/klagomål/A 52473-2024 FSC-klagomål.docx", "A 52473-2024")</f>
        <v/>
      </c>
      <c r="W248">
        <f>HYPERLINK("https://klasma.github.io/Logging_2309/klagomålsmail/A 52473-2024 FSC-klagomål mail.docx", "A 52473-2024")</f>
        <v/>
      </c>
      <c r="X248">
        <f>HYPERLINK("https://klasma.github.io/Logging_2309/tillsyn/A 52473-2024 tillsynsbegäran.docx", "A 52473-2024")</f>
        <v/>
      </c>
      <c r="Y248">
        <f>HYPERLINK("https://klasma.github.io/Logging_2309/tillsynsmail/A 52473-2024 tillsynsbegäran mail.docx", "A 52473-2024")</f>
        <v/>
      </c>
      <c r="Z248">
        <f>HYPERLINK("https://klasma.github.io/Logging_2309/fåglar/A 52473-2024 prioriterade fågelarter.docx", "A 52473-2024")</f>
        <v/>
      </c>
    </row>
    <row r="249" ht="15" customHeight="1">
      <c r="A249" t="inlineStr">
        <is>
          <t>A 5919-2025</t>
        </is>
      </c>
      <c r="B249" s="1" t="n">
        <v>45695.42197916667</v>
      </c>
      <c r="C249" s="1" t="n">
        <v>46160</v>
      </c>
      <c r="D249" t="inlineStr">
        <is>
          <t>JÄMTLANDS LÄN</t>
        </is>
      </c>
      <c r="E249" t="inlineStr">
        <is>
          <t>KROKOM</t>
        </is>
      </c>
      <c r="G249" t="n">
        <v>2.7</v>
      </c>
      <c r="H249" t="n">
        <v>0</v>
      </c>
      <c r="I249" t="n">
        <v>0</v>
      </c>
      <c r="J249" t="n">
        <v>1</v>
      </c>
      <c r="K249" t="n">
        <v>0</v>
      </c>
      <c r="L249" t="n">
        <v>0</v>
      </c>
      <c r="M249" t="n">
        <v>0</v>
      </c>
      <c r="N249" t="n">
        <v>0</v>
      </c>
      <c r="O249" t="n">
        <v>1</v>
      </c>
      <c r="P249" t="n">
        <v>0</v>
      </c>
      <c r="Q249" t="n">
        <v>1</v>
      </c>
      <c r="R249" s="2" t="inlineStr">
        <is>
          <t>Skogshare</t>
        </is>
      </c>
      <c r="S249">
        <f>HYPERLINK("https://klasma.github.io/Logging_2309/artfynd/A 5919-2025 artfynd.xlsx", "A 5919-2025")</f>
        <v/>
      </c>
      <c r="T249">
        <f>HYPERLINK("https://klasma.github.io/Logging_2309/kartor/A 5919-2025 karta.png", "A 5919-2025")</f>
        <v/>
      </c>
      <c r="V249">
        <f>HYPERLINK("https://klasma.github.io/Logging_2309/klagomål/A 5919-2025 FSC-klagomål.docx", "A 5919-2025")</f>
        <v/>
      </c>
      <c r="W249">
        <f>HYPERLINK("https://klasma.github.io/Logging_2309/klagomålsmail/A 5919-2025 FSC-klagomål mail.docx", "A 5919-2025")</f>
        <v/>
      </c>
      <c r="X249">
        <f>HYPERLINK("https://klasma.github.io/Logging_2309/tillsyn/A 5919-2025 tillsynsbegäran.docx", "A 5919-2025")</f>
        <v/>
      </c>
      <c r="Y249">
        <f>HYPERLINK("https://klasma.github.io/Logging_2309/tillsynsmail/A 5919-2025 tillsynsbegäran mail.docx", "A 5919-2025")</f>
        <v/>
      </c>
    </row>
    <row r="250" ht="15" customHeight="1">
      <c r="A250" t="inlineStr">
        <is>
          <t>A 8322-2026</t>
        </is>
      </c>
      <c r="B250" s="1" t="n">
        <v>46064.61109953704</v>
      </c>
      <c r="C250" s="1" t="n">
        <v>46160</v>
      </c>
      <c r="D250" t="inlineStr">
        <is>
          <t>JÄMTLANDS LÄN</t>
        </is>
      </c>
      <c r="E250" t="inlineStr">
        <is>
          <t>KROKOM</t>
        </is>
      </c>
      <c r="G250" t="n">
        <v>3.9</v>
      </c>
      <c r="H250" t="n">
        <v>0</v>
      </c>
      <c r="I250" t="n">
        <v>1</v>
      </c>
      <c r="J250" t="n">
        <v>0</v>
      </c>
      <c r="K250" t="n">
        <v>0</v>
      </c>
      <c r="L250" t="n">
        <v>0</v>
      </c>
      <c r="M250" t="n">
        <v>0</v>
      </c>
      <c r="N250" t="n">
        <v>0</v>
      </c>
      <c r="O250" t="n">
        <v>0</v>
      </c>
      <c r="P250" t="n">
        <v>0</v>
      </c>
      <c r="Q250" t="n">
        <v>1</v>
      </c>
      <c r="R250" s="2" t="inlineStr">
        <is>
          <t>Finbräken</t>
        </is>
      </c>
      <c r="S250">
        <f>HYPERLINK("https://klasma.github.io/Logging_2309/artfynd/A 8322-2026 artfynd.xlsx", "A 8322-2026")</f>
        <v/>
      </c>
      <c r="T250">
        <f>HYPERLINK("https://klasma.github.io/Logging_2309/kartor/A 8322-2026 karta.png", "A 8322-2026")</f>
        <v/>
      </c>
      <c r="V250">
        <f>HYPERLINK("https://klasma.github.io/Logging_2309/klagomål/A 8322-2026 FSC-klagomål.docx", "A 8322-2026")</f>
        <v/>
      </c>
      <c r="W250">
        <f>HYPERLINK("https://klasma.github.io/Logging_2309/klagomålsmail/A 8322-2026 FSC-klagomål mail.docx", "A 8322-2026")</f>
        <v/>
      </c>
      <c r="X250">
        <f>HYPERLINK("https://klasma.github.io/Logging_2309/tillsyn/A 8322-2026 tillsynsbegäran.docx", "A 8322-2026")</f>
        <v/>
      </c>
      <c r="Y250">
        <f>HYPERLINK("https://klasma.github.io/Logging_2309/tillsynsmail/A 8322-2026 tillsynsbegäran mail.docx", "A 8322-2026")</f>
        <v/>
      </c>
    </row>
    <row r="251" ht="15" customHeight="1">
      <c r="A251" t="inlineStr">
        <is>
          <t>A 4876-2026</t>
        </is>
      </c>
      <c r="B251" s="1" t="n">
        <v>46048</v>
      </c>
      <c r="C251" s="1" t="n">
        <v>46160</v>
      </c>
      <c r="D251" t="inlineStr">
        <is>
          <t>JÄMTLANDS LÄN</t>
        </is>
      </c>
      <c r="E251" t="inlineStr">
        <is>
          <t>KROKOM</t>
        </is>
      </c>
      <c r="G251" t="n">
        <v>34.5</v>
      </c>
      <c r="H251" t="n">
        <v>0</v>
      </c>
      <c r="I251" t="n">
        <v>1</v>
      </c>
      <c r="J251" t="n">
        <v>0</v>
      </c>
      <c r="K251" t="n">
        <v>0</v>
      </c>
      <c r="L251" t="n">
        <v>0</v>
      </c>
      <c r="M251" t="n">
        <v>0</v>
      </c>
      <c r="N251" t="n">
        <v>0</v>
      </c>
      <c r="O251" t="n">
        <v>0</v>
      </c>
      <c r="P251" t="n">
        <v>0</v>
      </c>
      <c r="Q251" t="n">
        <v>1</v>
      </c>
      <c r="R251" s="2" t="inlineStr">
        <is>
          <t>Skinnlav</t>
        </is>
      </c>
      <c r="S251">
        <f>HYPERLINK("https://klasma.github.io/Logging_2309/artfynd/A 4876-2026 artfynd.xlsx", "A 4876-2026")</f>
        <v/>
      </c>
      <c r="T251">
        <f>HYPERLINK("https://klasma.github.io/Logging_2309/kartor/A 4876-2026 karta.png", "A 4876-2026")</f>
        <v/>
      </c>
      <c r="V251">
        <f>HYPERLINK("https://klasma.github.io/Logging_2309/klagomål/A 4876-2026 FSC-klagomål.docx", "A 4876-2026")</f>
        <v/>
      </c>
      <c r="W251">
        <f>HYPERLINK("https://klasma.github.io/Logging_2309/klagomålsmail/A 4876-2026 FSC-klagomål mail.docx", "A 4876-2026")</f>
        <v/>
      </c>
      <c r="X251">
        <f>HYPERLINK("https://klasma.github.io/Logging_2309/tillsyn/A 4876-2026 tillsynsbegäran.docx", "A 4876-2026")</f>
        <v/>
      </c>
      <c r="Y251">
        <f>HYPERLINK("https://klasma.github.io/Logging_2309/tillsynsmail/A 4876-2026 tillsynsbegäran mail.docx", "A 4876-2026")</f>
        <v/>
      </c>
    </row>
    <row r="252" ht="15" customHeight="1">
      <c r="A252" t="inlineStr">
        <is>
          <t>A 32465-2025</t>
        </is>
      </c>
      <c r="B252" s="1" t="n">
        <v>45838</v>
      </c>
      <c r="C252" s="1" t="n">
        <v>46160</v>
      </c>
      <c r="D252" t="inlineStr">
        <is>
          <t>JÄMTLANDS LÄN</t>
        </is>
      </c>
      <c r="E252" t="inlineStr">
        <is>
          <t>KROKOM</t>
        </is>
      </c>
      <c r="G252" t="n">
        <v>3.3</v>
      </c>
      <c r="H252" t="n">
        <v>1</v>
      </c>
      <c r="I252" t="n">
        <v>0</v>
      </c>
      <c r="J252" t="n">
        <v>0</v>
      </c>
      <c r="K252" t="n">
        <v>0</v>
      </c>
      <c r="L252" t="n">
        <v>0</v>
      </c>
      <c r="M252" t="n">
        <v>0</v>
      </c>
      <c r="N252" t="n">
        <v>0</v>
      </c>
      <c r="O252" t="n">
        <v>0</v>
      </c>
      <c r="P252" t="n">
        <v>0</v>
      </c>
      <c r="Q252" t="n">
        <v>1</v>
      </c>
      <c r="R252" s="2" t="inlineStr">
        <is>
          <t>Blåsippa</t>
        </is>
      </c>
      <c r="S252">
        <f>HYPERLINK("https://klasma.github.io/Logging_2309/artfynd/A 32465-2025 artfynd.xlsx", "A 32465-2025")</f>
        <v/>
      </c>
      <c r="T252">
        <f>HYPERLINK("https://klasma.github.io/Logging_2309/kartor/A 32465-2025 karta.png", "A 32465-2025")</f>
        <v/>
      </c>
      <c r="V252">
        <f>HYPERLINK("https://klasma.github.io/Logging_2309/klagomål/A 32465-2025 FSC-klagomål.docx", "A 32465-2025")</f>
        <v/>
      </c>
      <c r="W252">
        <f>HYPERLINK("https://klasma.github.io/Logging_2309/klagomålsmail/A 32465-2025 FSC-klagomål mail.docx", "A 32465-2025")</f>
        <v/>
      </c>
      <c r="X252">
        <f>HYPERLINK("https://klasma.github.io/Logging_2309/tillsyn/A 32465-2025 tillsynsbegäran.docx", "A 32465-2025")</f>
        <v/>
      </c>
      <c r="Y252">
        <f>HYPERLINK("https://klasma.github.io/Logging_2309/tillsynsmail/A 32465-2025 tillsynsbegäran mail.docx", "A 32465-2025")</f>
        <v/>
      </c>
    </row>
    <row r="253" ht="15" customHeight="1">
      <c r="A253" t="inlineStr">
        <is>
          <t>A 16125-2025</t>
        </is>
      </c>
      <c r="B253" s="1" t="n">
        <v>45750.42127314815</v>
      </c>
      <c r="C253" s="1" t="n">
        <v>46160</v>
      </c>
      <c r="D253" t="inlineStr">
        <is>
          <t>JÄMTLANDS LÄN</t>
        </is>
      </c>
      <c r="E253" t="inlineStr">
        <is>
          <t>KROKOM</t>
        </is>
      </c>
      <c r="G253" t="n">
        <v>1.5</v>
      </c>
      <c r="H253" t="n">
        <v>0</v>
      </c>
      <c r="I253" t="n">
        <v>0</v>
      </c>
      <c r="J253" t="n">
        <v>1</v>
      </c>
      <c r="K253" t="n">
        <v>0</v>
      </c>
      <c r="L253" t="n">
        <v>0</v>
      </c>
      <c r="M253" t="n">
        <v>0</v>
      </c>
      <c r="N253" t="n">
        <v>0</v>
      </c>
      <c r="O253" t="n">
        <v>1</v>
      </c>
      <c r="P253" t="n">
        <v>0</v>
      </c>
      <c r="Q253" t="n">
        <v>1</v>
      </c>
      <c r="R253" s="2" t="inlineStr">
        <is>
          <t>Månlåsbräken</t>
        </is>
      </c>
      <c r="S253">
        <f>HYPERLINK("https://klasma.github.io/Logging_2309/artfynd/A 16125-2025 artfynd.xlsx", "A 16125-2025")</f>
        <v/>
      </c>
      <c r="T253">
        <f>HYPERLINK("https://klasma.github.io/Logging_2309/kartor/A 16125-2025 karta.png", "A 16125-2025")</f>
        <v/>
      </c>
      <c r="V253">
        <f>HYPERLINK("https://klasma.github.io/Logging_2309/klagomål/A 16125-2025 FSC-klagomål.docx", "A 16125-2025")</f>
        <v/>
      </c>
      <c r="W253">
        <f>HYPERLINK("https://klasma.github.io/Logging_2309/klagomålsmail/A 16125-2025 FSC-klagomål mail.docx", "A 16125-2025")</f>
        <v/>
      </c>
      <c r="X253">
        <f>HYPERLINK("https://klasma.github.io/Logging_2309/tillsyn/A 16125-2025 tillsynsbegäran.docx", "A 16125-2025")</f>
        <v/>
      </c>
      <c r="Y253">
        <f>HYPERLINK("https://klasma.github.io/Logging_2309/tillsynsmail/A 16125-2025 tillsynsbegäran mail.docx", "A 16125-2025")</f>
        <v/>
      </c>
    </row>
    <row r="254" ht="15" customHeight="1">
      <c r="A254" t="inlineStr">
        <is>
          <t>A 38253-2025</t>
        </is>
      </c>
      <c r="B254" s="1" t="n">
        <v>45883.37883101852</v>
      </c>
      <c r="C254" s="1" t="n">
        <v>46160</v>
      </c>
      <c r="D254" t="inlineStr">
        <is>
          <t>JÄMTLANDS LÄN</t>
        </is>
      </c>
      <c r="E254" t="inlineStr">
        <is>
          <t>KROKOM</t>
        </is>
      </c>
      <c r="G254" t="n">
        <v>5.8</v>
      </c>
      <c r="H254" t="n">
        <v>1</v>
      </c>
      <c r="I254" t="n">
        <v>0</v>
      </c>
      <c r="J254" t="n">
        <v>0</v>
      </c>
      <c r="K254" t="n">
        <v>1</v>
      </c>
      <c r="L254" t="n">
        <v>0</v>
      </c>
      <c r="M254" t="n">
        <v>0</v>
      </c>
      <c r="N254" t="n">
        <v>0</v>
      </c>
      <c r="O254" t="n">
        <v>1</v>
      </c>
      <c r="P254" t="n">
        <v>1</v>
      </c>
      <c r="Q254" t="n">
        <v>1</v>
      </c>
      <c r="R254" s="2" t="inlineStr">
        <is>
          <t>Knärot</t>
        </is>
      </c>
      <c r="S254">
        <f>HYPERLINK("https://klasma.github.io/Logging_2309/artfynd/A 38253-2025 artfynd.xlsx", "A 38253-2025")</f>
        <v/>
      </c>
      <c r="T254">
        <f>HYPERLINK("https://klasma.github.io/Logging_2309/kartor/A 38253-2025 karta.png", "A 38253-2025")</f>
        <v/>
      </c>
      <c r="U254">
        <f>HYPERLINK("https://klasma.github.io/Logging_2309/knärot/A 38253-2025 karta knärot.png", "A 38253-2025")</f>
        <v/>
      </c>
      <c r="V254">
        <f>HYPERLINK("https://klasma.github.io/Logging_2309/klagomål/A 38253-2025 FSC-klagomål.docx", "A 38253-2025")</f>
        <v/>
      </c>
      <c r="W254">
        <f>HYPERLINK("https://klasma.github.io/Logging_2309/klagomålsmail/A 38253-2025 FSC-klagomål mail.docx", "A 38253-2025")</f>
        <v/>
      </c>
      <c r="X254">
        <f>HYPERLINK("https://klasma.github.io/Logging_2309/tillsyn/A 38253-2025 tillsynsbegäran.docx", "A 38253-2025")</f>
        <v/>
      </c>
      <c r="Y254">
        <f>HYPERLINK("https://klasma.github.io/Logging_2309/tillsynsmail/A 38253-2025 tillsynsbegäran mail.docx", "A 38253-2025")</f>
        <v/>
      </c>
    </row>
    <row r="255" ht="15" customHeight="1">
      <c r="A255" t="inlineStr">
        <is>
          <t>A 71574-2021</t>
        </is>
      </c>
      <c r="B255" s="1" t="n">
        <v>44540</v>
      </c>
      <c r="C255" s="1" t="n">
        <v>46160</v>
      </c>
      <c r="D255" t="inlineStr">
        <is>
          <t>JÄMTLANDS LÄN</t>
        </is>
      </c>
      <c r="E255" t="inlineStr">
        <is>
          <t>KROKOM</t>
        </is>
      </c>
      <c r="G255" t="n">
        <v>1.1</v>
      </c>
      <c r="H255" t="n">
        <v>1</v>
      </c>
      <c r="I255" t="n">
        <v>1</v>
      </c>
      <c r="J255" t="n">
        <v>0</v>
      </c>
      <c r="K255" t="n">
        <v>0</v>
      </c>
      <c r="L255" t="n">
        <v>0</v>
      </c>
      <c r="M255" t="n">
        <v>0</v>
      </c>
      <c r="N255" t="n">
        <v>0</v>
      </c>
      <c r="O255" t="n">
        <v>0</v>
      </c>
      <c r="P255" t="n">
        <v>0</v>
      </c>
      <c r="Q255" t="n">
        <v>1</v>
      </c>
      <c r="R255" s="2" t="inlineStr">
        <is>
          <t>Spindelblomster</t>
        </is>
      </c>
      <c r="S255">
        <f>HYPERLINK("https://klasma.github.io/Logging_2309/artfynd/A 71574-2021 artfynd.xlsx", "A 71574-2021")</f>
        <v/>
      </c>
      <c r="T255">
        <f>HYPERLINK("https://klasma.github.io/Logging_2309/kartor/A 71574-2021 karta.png", "A 71574-2021")</f>
        <v/>
      </c>
      <c r="V255">
        <f>HYPERLINK("https://klasma.github.io/Logging_2309/klagomål/A 71574-2021 FSC-klagomål.docx", "A 71574-2021")</f>
        <v/>
      </c>
      <c r="W255">
        <f>HYPERLINK("https://klasma.github.io/Logging_2309/klagomålsmail/A 71574-2021 FSC-klagomål mail.docx", "A 71574-2021")</f>
        <v/>
      </c>
      <c r="X255">
        <f>HYPERLINK("https://klasma.github.io/Logging_2309/tillsyn/A 71574-2021 tillsynsbegäran.docx", "A 71574-2021")</f>
        <v/>
      </c>
      <c r="Y255">
        <f>HYPERLINK("https://klasma.github.io/Logging_2309/tillsynsmail/A 71574-2021 tillsynsbegäran mail.docx", "A 71574-2021")</f>
        <v/>
      </c>
    </row>
    <row r="256" ht="15" customHeight="1">
      <c r="A256" t="inlineStr">
        <is>
          <t>A 42258-2023</t>
        </is>
      </c>
      <c r="B256" s="1" t="n">
        <v>45180</v>
      </c>
      <c r="C256" s="1" t="n">
        <v>46160</v>
      </c>
      <c r="D256" t="inlineStr">
        <is>
          <t>JÄMTLANDS LÄN</t>
        </is>
      </c>
      <c r="E256" t="inlineStr">
        <is>
          <t>KROKOM</t>
        </is>
      </c>
      <c r="F256" t="inlineStr">
        <is>
          <t>Övriga Aktiebolag</t>
        </is>
      </c>
      <c r="G256" t="n">
        <v>0.2</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42258-2023 artfynd.xlsx", "A 42258-2023")</f>
        <v/>
      </c>
      <c r="T256">
        <f>HYPERLINK("https://klasma.github.io/Logging_2309/kartor/A 42258-2023 karta.png", "A 42258-2023")</f>
        <v/>
      </c>
      <c r="V256">
        <f>HYPERLINK("https://klasma.github.io/Logging_2309/klagomål/A 42258-2023 FSC-klagomål.docx", "A 42258-2023")</f>
        <v/>
      </c>
      <c r="W256">
        <f>HYPERLINK("https://klasma.github.io/Logging_2309/klagomålsmail/A 42258-2023 FSC-klagomål mail.docx", "A 42258-2023")</f>
        <v/>
      </c>
      <c r="X256">
        <f>HYPERLINK("https://klasma.github.io/Logging_2309/tillsyn/A 42258-2023 tillsynsbegäran.docx", "A 42258-2023")</f>
        <v/>
      </c>
      <c r="Y256">
        <f>HYPERLINK("https://klasma.github.io/Logging_2309/tillsynsmail/A 42258-2023 tillsynsbegäran mail.docx", "A 42258-2023")</f>
        <v/>
      </c>
      <c r="Z256">
        <f>HYPERLINK("https://klasma.github.io/Logging_2309/fåglar/A 42258-2023 prioriterade fågelarter.docx", "A 42258-2023")</f>
        <v/>
      </c>
    </row>
    <row r="257" ht="15" customHeight="1">
      <c r="A257" t="inlineStr">
        <is>
          <t>A 58012-2025</t>
        </is>
      </c>
      <c r="B257" s="1" t="n">
        <v>45982.46929398148</v>
      </c>
      <c r="C257" s="1" t="n">
        <v>46160</v>
      </c>
      <c r="D257" t="inlineStr">
        <is>
          <t>JÄMTLANDS LÄN</t>
        </is>
      </c>
      <c r="E257" t="inlineStr">
        <is>
          <t>KROKOM</t>
        </is>
      </c>
      <c r="G257" t="n">
        <v>6.3</v>
      </c>
      <c r="H257" t="n">
        <v>1</v>
      </c>
      <c r="I257" t="n">
        <v>0</v>
      </c>
      <c r="J257" t="n">
        <v>0</v>
      </c>
      <c r="K257" t="n">
        <v>0</v>
      </c>
      <c r="L257" t="n">
        <v>0</v>
      </c>
      <c r="M257" t="n">
        <v>0</v>
      </c>
      <c r="N257" t="n">
        <v>0</v>
      </c>
      <c r="O257" t="n">
        <v>0</v>
      </c>
      <c r="P257" t="n">
        <v>0</v>
      </c>
      <c r="Q257" t="n">
        <v>1</v>
      </c>
      <c r="R257" s="2" t="inlineStr">
        <is>
          <t>Blåsippa</t>
        </is>
      </c>
      <c r="S257">
        <f>HYPERLINK("https://klasma.github.io/Logging_2309/artfynd/A 58012-2025 artfynd.xlsx", "A 58012-2025")</f>
        <v/>
      </c>
      <c r="T257">
        <f>HYPERLINK("https://klasma.github.io/Logging_2309/kartor/A 58012-2025 karta.png", "A 58012-2025")</f>
        <v/>
      </c>
      <c r="V257">
        <f>HYPERLINK("https://klasma.github.io/Logging_2309/klagomål/A 58012-2025 FSC-klagomål.docx", "A 58012-2025")</f>
        <v/>
      </c>
      <c r="W257">
        <f>HYPERLINK("https://klasma.github.io/Logging_2309/klagomålsmail/A 58012-2025 FSC-klagomål mail.docx", "A 58012-2025")</f>
        <v/>
      </c>
      <c r="X257">
        <f>HYPERLINK("https://klasma.github.io/Logging_2309/tillsyn/A 58012-2025 tillsynsbegäran.docx", "A 58012-2025")</f>
        <v/>
      </c>
      <c r="Y257">
        <f>HYPERLINK("https://klasma.github.io/Logging_2309/tillsynsmail/A 58012-2025 tillsynsbegäran mail.docx", "A 58012-2025")</f>
        <v/>
      </c>
    </row>
    <row r="258" ht="15" customHeight="1">
      <c r="A258" t="inlineStr">
        <is>
          <t>A 17616-2026</t>
        </is>
      </c>
      <c r="B258" s="1" t="n">
        <v>46079</v>
      </c>
      <c r="C258" s="1" t="n">
        <v>46160</v>
      </c>
      <c r="D258" t="inlineStr">
        <is>
          <t>JÄMTLANDS LÄN</t>
        </is>
      </c>
      <c r="E258" t="inlineStr">
        <is>
          <t>KROKOM</t>
        </is>
      </c>
      <c r="F258" t="inlineStr">
        <is>
          <t>Övriga Aktiebolag</t>
        </is>
      </c>
      <c r="G258" t="n">
        <v>3.3</v>
      </c>
      <c r="H258" t="n">
        <v>0</v>
      </c>
      <c r="I258" t="n">
        <v>0</v>
      </c>
      <c r="J258" t="n">
        <v>1</v>
      </c>
      <c r="K258" t="n">
        <v>0</v>
      </c>
      <c r="L258" t="n">
        <v>0</v>
      </c>
      <c r="M258" t="n">
        <v>0</v>
      </c>
      <c r="N258" t="n">
        <v>0</v>
      </c>
      <c r="O258" t="n">
        <v>1</v>
      </c>
      <c r="P258" t="n">
        <v>0</v>
      </c>
      <c r="Q258" t="n">
        <v>1</v>
      </c>
      <c r="R258" s="2" t="inlineStr">
        <is>
          <t>Skrovellav</t>
        </is>
      </c>
      <c r="S258">
        <f>HYPERLINK("https://klasma.github.io/Logging_2309/artfynd/A 17616-2026 artfynd.xlsx", "A 17616-2026")</f>
        <v/>
      </c>
      <c r="T258">
        <f>HYPERLINK("https://klasma.github.io/Logging_2309/kartor/A 17616-2026 karta.png", "A 17616-2026")</f>
        <v/>
      </c>
      <c r="V258">
        <f>HYPERLINK("https://klasma.github.io/Logging_2309/klagomål/A 17616-2026 FSC-klagomål.docx", "A 17616-2026")</f>
        <v/>
      </c>
      <c r="W258">
        <f>HYPERLINK("https://klasma.github.io/Logging_2309/klagomålsmail/A 17616-2026 FSC-klagomål mail.docx", "A 17616-2026")</f>
        <v/>
      </c>
      <c r="X258">
        <f>HYPERLINK("https://klasma.github.io/Logging_2309/tillsyn/A 17616-2026 tillsynsbegäran.docx", "A 17616-2026")</f>
        <v/>
      </c>
      <c r="Y258">
        <f>HYPERLINK("https://klasma.github.io/Logging_2309/tillsynsmail/A 17616-2026 tillsynsbegäran mail.docx", "A 17616-2026")</f>
        <v/>
      </c>
    </row>
    <row r="259" ht="15" customHeight="1">
      <c r="A259" t="inlineStr">
        <is>
          <t>A 26231-2024</t>
        </is>
      </c>
      <c r="B259" s="1" t="n">
        <v>45467</v>
      </c>
      <c r="C259" s="1" t="n">
        <v>46160</v>
      </c>
      <c r="D259" t="inlineStr">
        <is>
          <t>JÄMTLANDS LÄN</t>
        </is>
      </c>
      <c r="E259" t="inlineStr">
        <is>
          <t>KROKOM</t>
        </is>
      </c>
      <c r="G259" t="n">
        <v>14.6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26231-2024 artfynd.xlsx", "A 26231-2024")</f>
        <v/>
      </c>
      <c r="T259">
        <f>HYPERLINK("https://klasma.github.io/Logging_2309/kartor/A 26231-2024 karta.png", "A 26231-2024")</f>
        <v/>
      </c>
      <c r="V259">
        <f>HYPERLINK("https://klasma.github.io/Logging_2309/klagomål/A 26231-2024 FSC-klagomål.docx", "A 26231-2024")</f>
        <v/>
      </c>
      <c r="W259">
        <f>HYPERLINK("https://klasma.github.io/Logging_2309/klagomålsmail/A 26231-2024 FSC-klagomål mail.docx", "A 26231-2024")</f>
        <v/>
      </c>
      <c r="X259">
        <f>HYPERLINK("https://klasma.github.io/Logging_2309/tillsyn/A 26231-2024 tillsynsbegäran.docx", "A 26231-2024")</f>
        <v/>
      </c>
      <c r="Y259">
        <f>HYPERLINK("https://klasma.github.io/Logging_2309/tillsynsmail/A 26231-2024 tillsynsbegäran mail.docx", "A 26231-2024")</f>
        <v/>
      </c>
      <c r="Z259">
        <f>HYPERLINK("https://klasma.github.io/Logging_2309/fåglar/A 26231-2024 prioriterade fågelarter.docx", "A 26231-2024")</f>
        <v/>
      </c>
    </row>
    <row r="260" ht="15" customHeight="1">
      <c r="A260" t="inlineStr">
        <is>
          <t>A 17606-2026</t>
        </is>
      </c>
      <c r="B260" s="1" t="n">
        <v>46079</v>
      </c>
      <c r="C260" s="1" t="n">
        <v>46160</v>
      </c>
      <c r="D260" t="inlineStr">
        <is>
          <t>JÄMTLANDS LÄN</t>
        </is>
      </c>
      <c r="E260" t="inlineStr">
        <is>
          <t>KROKOM</t>
        </is>
      </c>
      <c r="F260" t="inlineStr">
        <is>
          <t>Övriga Aktiebolag</t>
        </is>
      </c>
      <c r="G260" t="n">
        <v>14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17606-2026 artfynd.xlsx", "A 17606-2026")</f>
        <v/>
      </c>
      <c r="T260">
        <f>HYPERLINK("https://klasma.github.io/Logging_2309/kartor/A 17606-2026 karta.png", "A 17606-2026")</f>
        <v/>
      </c>
      <c r="V260">
        <f>HYPERLINK("https://klasma.github.io/Logging_2309/klagomål/A 17606-2026 FSC-klagomål.docx", "A 17606-2026")</f>
        <v/>
      </c>
      <c r="W260">
        <f>HYPERLINK("https://klasma.github.io/Logging_2309/klagomålsmail/A 17606-2026 FSC-klagomål mail.docx", "A 17606-2026")</f>
        <v/>
      </c>
      <c r="X260">
        <f>HYPERLINK("https://klasma.github.io/Logging_2309/tillsyn/A 17606-2026 tillsynsbegäran.docx", "A 17606-2026")</f>
        <v/>
      </c>
      <c r="Y260">
        <f>HYPERLINK("https://klasma.github.io/Logging_2309/tillsynsmail/A 17606-2026 tillsynsbegäran mail.docx", "A 17606-2026")</f>
        <v/>
      </c>
      <c r="Z260">
        <f>HYPERLINK("https://klasma.github.io/Logging_2309/fåglar/A 17606-2026 prioriterade fågelarter.docx", "A 17606-2026")</f>
        <v/>
      </c>
    </row>
    <row r="261" ht="15" customHeight="1">
      <c r="A261" t="inlineStr">
        <is>
          <t>A 61377-2025</t>
        </is>
      </c>
      <c r="B261" s="1" t="n">
        <v>46001.44233796297</v>
      </c>
      <c r="C261" s="1" t="n">
        <v>46160</v>
      </c>
      <c r="D261" t="inlineStr">
        <is>
          <t>JÄMTLANDS LÄN</t>
        </is>
      </c>
      <c r="E261" t="inlineStr">
        <is>
          <t>KROKOM</t>
        </is>
      </c>
      <c r="G261" t="n">
        <v>11.8</v>
      </c>
      <c r="H261" t="n">
        <v>0</v>
      </c>
      <c r="I261" t="n">
        <v>0</v>
      </c>
      <c r="J261" t="n">
        <v>1</v>
      </c>
      <c r="K261" t="n">
        <v>0</v>
      </c>
      <c r="L261" t="n">
        <v>0</v>
      </c>
      <c r="M261" t="n">
        <v>0</v>
      </c>
      <c r="N261" t="n">
        <v>0</v>
      </c>
      <c r="O261" t="n">
        <v>1</v>
      </c>
      <c r="P261" t="n">
        <v>0</v>
      </c>
      <c r="Q261" t="n">
        <v>1</v>
      </c>
      <c r="R261" s="2" t="inlineStr">
        <is>
          <t>Garnlav</t>
        </is>
      </c>
      <c r="S261">
        <f>HYPERLINK("https://klasma.github.io/Logging_2309/artfynd/A 61377-2025 artfynd.xlsx", "A 61377-2025")</f>
        <v/>
      </c>
      <c r="T261">
        <f>HYPERLINK("https://klasma.github.io/Logging_2309/kartor/A 61377-2025 karta.png", "A 61377-2025")</f>
        <v/>
      </c>
      <c r="V261">
        <f>HYPERLINK("https://klasma.github.io/Logging_2309/klagomål/A 61377-2025 FSC-klagomål.docx", "A 61377-2025")</f>
        <v/>
      </c>
      <c r="W261">
        <f>HYPERLINK("https://klasma.github.io/Logging_2309/klagomålsmail/A 61377-2025 FSC-klagomål mail.docx", "A 61377-2025")</f>
        <v/>
      </c>
      <c r="X261">
        <f>HYPERLINK("https://klasma.github.io/Logging_2309/tillsyn/A 61377-2025 tillsynsbegäran.docx", "A 61377-2025")</f>
        <v/>
      </c>
      <c r="Y261">
        <f>HYPERLINK("https://klasma.github.io/Logging_2309/tillsynsmail/A 61377-2025 tillsynsbegäran mail.docx", "A 61377-2025")</f>
        <v/>
      </c>
    </row>
    <row r="262" ht="15" customHeight="1">
      <c r="A262" t="inlineStr">
        <is>
          <t>A 61378-2025</t>
        </is>
      </c>
      <c r="B262" s="1" t="n">
        <v>46001.44364583334</v>
      </c>
      <c r="C262" s="1" t="n">
        <v>46160</v>
      </c>
      <c r="D262" t="inlineStr">
        <is>
          <t>JÄMTLANDS LÄN</t>
        </is>
      </c>
      <c r="E262" t="inlineStr">
        <is>
          <t>KROKOM</t>
        </is>
      </c>
      <c r="G262" t="n">
        <v>20.6</v>
      </c>
      <c r="H262" t="n">
        <v>0</v>
      </c>
      <c r="I262" t="n">
        <v>0</v>
      </c>
      <c r="J262" t="n">
        <v>1</v>
      </c>
      <c r="K262" t="n">
        <v>0</v>
      </c>
      <c r="L262" t="n">
        <v>0</v>
      </c>
      <c r="M262" t="n">
        <v>0</v>
      </c>
      <c r="N262" t="n">
        <v>0</v>
      </c>
      <c r="O262" t="n">
        <v>1</v>
      </c>
      <c r="P262" t="n">
        <v>0</v>
      </c>
      <c r="Q262" t="n">
        <v>1</v>
      </c>
      <c r="R262" s="2" t="inlineStr">
        <is>
          <t>Garnlav</t>
        </is>
      </c>
      <c r="S262">
        <f>HYPERLINK("https://klasma.github.io/Logging_2309/artfynd/A 61378-2025 artfynd.xlsx", "A 61378-2025")</f>
        <v/>
      </c>
      <c r="T262">
        <f>HYPERLINK("https://klasma.github.io/Logging_2309/kartor/A 61378-2025 karta.png", "A 61378-2025")</f>
        <v/>
      </c>
      <c r="V262">
        <f>HYPERLINK("https://klasma.github.io/Logging_2309/klagomål/A 61378-2025 FSC-klagomål.docx", "A 61378-2025")</f>
        <v/>
      </c>
      <c r="W262">
        <f>HYPERLINK("https://klasma.github.io/Logging_2309/klagomålsmail/A 61378-2025 FSC-klagomål mail.docx", "A 61378-2025")</f>
        <v/>
      </c>
      <c r="X262">
        <f>HYPERLINK("https://klasma.github.io/Logging_2309/tillsyn/A 61378-2025 tillsynsbegäran.docx", "A 61378-2025")</f>
        <v/>
      </c>
      <c r="Y262">
        <f>HYPERLINK("https://klasma.github.io/Logging_2309/tillsynsmail/A 61378-2025 tillsynsbegäran mail.docx", "A 61378-2025")</f>
        <v/>
      </c>
    </row>
    <row r="263" ht="15" customHeight="1">
      <c r="A263" t="inlineStr">
        <is>
          <t>A 32756-2023</t>
        </is>
      </c>
      <c r="B263" s="1" t="n">
        <v>45123</v>
      </c>
      <c r="C263" s="1" t="n">
        <v>46160</v>
      </c>
      <c r="D263" t="inlineStr">
        <is>
          <t>JÄMTLANDS LÄN</t>
        </is>
      </c>
      <c r="E263" t="inlineStr">
        <is>
          <t>KROKOM</t>
        </is>
      </c>
      <c r="F263" t="inlineStr">
        <is>
          <t>Övriga Aktiebolag</t>
        </is>
      </c>
      <c r="G263" t="n">
        <v>6.8</v>
      </c>
      <c r="H263" t="n">
        <v>0</v>
      </c>
      <c r="I263" t="n">
        <v>1</v>
      </c>
      <c r="J263" t="n">
        <v>0</v>
      </c>
      <c r="K263" t="n">
        <v>0</v>
      </c>
      <c r="L263" t="n">
        <v>0</v>
      </c>
      <c r="M263" t="n">
        <v>0</v>
      </c>
      <c r="N263" t="n">
        <v>0</v>
      </c>
      <c r="O263" t="n">
        <v>0</v>
      </c>
      <c r="P263" t="n">
        <v>0</v>
      </c>
      <c r="Q263" t="n">
        <v>1</v>
      </c>
      <c r="R263" s="2" t="inlineStr">
        <is>
          <t>Kransrams</t>
        </is>
      </c>
      <c r="S263">
        <f>HYPERLINK("https://klasma.github.io/Logging_2309/artfynd/A 32756-2023 artfynd.xlsx", "A 32756-2023")</f>
        <v/>
      </c>
      <c r="T263">
        <f>HYPERLINK("https://klasma.github.io/Logging_2309/kartor/A 32756-2023 karta.png", "A 32756-2023")</f>
        <v/>
      </c>
      <c r="V263">
        <f>HYPERLINK("https://klasma.github.io/Logging_2309/klagomål/A 32756-2023 FSC-klagomål.docx", "A 32756-2023")</f>
        <v/>
      </c>
      <c r="W263">
        <f>HYPERLINK("https://klasma.github.io/Logging_2309/klagomålsmail/A 32756-2023 FSC-klagomål mail.docx", "A 32756-2023")</f>
        <v/>
      </c>
      <c r="X263">
        <f>HYPERLINK("https://klasma.github.io/Logging_2309/tillsyn/A 32756-2023 tillsynsbegäran.docx", "A 32756-2023")</f>
        <v/>
      </c>
      <c r="Y263">
        <f>HYPERLINK("https://klasma.github.io/Logging_2309/tillsynsmail/A 32756-2023 tillsynsbegäran mail.docx", "A 32756-2023")</f>
        <v/>
      </c>
    </row>
    <row r="264" ht="15" customHeight="1">
      <c r="A264" t="inlineStr">
        <is>
          <t>A 5188-2026</t>
        </is>
      </c>
      <c r="B264" s="1" t="n">
        <v>46048</v>
      </c>
      <c r="C264" s="1" t="n">
        <v>46160</v>
      </c>
      <c r="D264" t="inlineStr">
        <is>
          <t>JÄMTLANDS LÄN</t>
        </is>
      </c>
      <c r="E264" t="inlineStr">
        <is>
          <t>KROKOM</t>
        </is>
      </c>
      <c r="G264" t="n">
        <v>2.1</v>
      </c>
      <c r="H264" t="n">
        <v>0</v>
      </c>
      <c r="I264" t="n">
        <v>0</v>
      </c>
      <c r="J264" t="n">
        <v>1</v>
      </c>
      <c r="K264" t="n">
        <v>0</v>
      </c>
      <c r="L264" t="n">
        <v>0</v>
      </c>
      <c r="M264" t="n">
        <v>0</v>
      </c>
      <c r="N264" t="n">
        <v>0</v>
      </c>
      <c r="O264" t="n">
        <v>1</v>
      </c>
      <c r="P264" t="n">
        <v>0</v>
      </c>
      <c r="Q264" t="n">
        <v>1</v>
      </c>
      <c r="R264" s="2" t="inlineStr">
        <is>
          <t>Kungsspindel</t>
        </is>
      </c>
      <c r="S264">
        <f>HYPERLINK("https://klasma.github.io/Logging_2309/artfynd/A 5188-2026 artfynd.xlsx", "A 5188-2026")</f>
        <v/>
      </c>
      <c r="T264">
        <f>HYPERLINK("https://klasma.github.io/Logging_2309/kartor/A 5188-2026 karta.png", "A 5188-2026")</f>
        <v/>
      </c>
      <c r="V264">
        <f>HYPERLINK("https://klasma.github.io/Logging_2309/klagomål/A 5188-2026 FSC-klagomål.docx", "A 5188-2026")</f>
        <v/>
      </c>
      <c r="W264">
        <f>HYPERLINK("https://klasma.github.io/Logging_2309/klagomålsmail/A 5188-2026 FSC-klagomål mail.docx", "A 5188-2026")</f>
        <v/>
      </c>
      <c r="X264">
        <f>HYPERLINK("https://klasma.github.io/Logging_2309/tillsyn/A 5188-2026 tillsynsbegäran.docx", "A 5188-2026")</f>
        <v/>
      </c>
      <c r="Y264">
        <f>HYPERLINK("https://klasma.github.io/Logging_2309/tillsynsmail/A 5188-2026 tillsynsbegäran mail.docx", "A 5188-2026")</f>
        <v/>
      </c>
    </row>
    <row r="265" ht="15" customHeight="1">
      <c r="A265" t="inlineStr">
        <is>
          <t>A 62936-2023</t>
        </is>
      </c>
      <c r="B265" s="1" t="n">
        <v>45271</v>
      </c>
      <c r="C265" s="1" t="n">
        <v>46160</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7005-2022</t>
        </is>
      </c>
      <c r="B266" s="1" t="n">
        <v>44603</v>
      </c>
      <c r="C266" s="1" t="n">
        <v>46160</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49388-2024</t>
        </is>
      </c>
      <c r="B267" s="1" t="n">
        <v>45595</v>
      </c>
      <c r="C267" s="1" t="n">
        <v>46160</v>
      </c>
      <c r="D267" t="inlineStr">
        <is>
          <t>JÄMTLANDS LÄN</t>
        </is>
      </c>
      <c r="E267" t="inlineStr">
        <is>
          <t>KROKOM</t>
        </is>
      </c>
      <c r="G267" t="n">
        <v>7.4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49388-2024 artfynd.xlsx", "A 49388-2024")</f>
        <v/>
      </c>
      <c r="T267">
        <f>HYPERLINK("https://klasma.github.io/Logging_2309/kartor/A 49388-2024 karta.png", "A 49388-2024")</f>
        <v/>
      </c>
      <c r="V267">
        <f>HYPERLINK("https://klasma.github.io/Logging_2309/klagomål/A 49388-2024 FSC-klagomål.docx", "A 49388-2024")</f>
        <v/>
      </c>
      <c r="W267">
        <f>HYPERLINK("https://klasma.github.io/Logging_2309/klagomålsmail/A 49388-2024 FSC-klagomål mail.docx", "A 49388-2024")</f>
        <v/>
      </c>
      <c r="X267">
        <f>HYPERLINK("https://klasma.github.io/Logging_2309/tillsyn/A 49388-2024 tillsynsbegäran.docx", "A 49388-2024")</f>
        <v/>
      </c>
      <c r="Y267">
        <f>HYPERLINK("https://klasma.github.io/Logging_2309/tillsynsmail/A 49388-2024 tillsynsbegäran mail.docx", "A 49388-2024")</f>
        <v/>
      </c>
      <c r="Z267">
        <f>HYPERLINK("https://klasma.github.io/Logging_2309/fåglar/A 49388-2024 prioriterade fågelarter.docx", "A 49388-2024")</f>
        <v/>
      </c>
    </row>
    <row r="268" ht="15" customHeight="1">
      <c r="A268" t="inlineStr">
        <is>
          <t>A 13760-2026</t>
        </is>
      </c>
      <c r="B268" s="1" t="n">
        <v>46097.64693287037</v>
      </c>
      <c r="C268" s="1" t="n">
        <v>46160</v>
      </c>
      <c r="D268" t="inlineStr">
        <is>
          <t>JÄMTLANDS LÄN</t>
        </is>
      </c>
      <c r="E268" t="inlineStr">
        <is>
          <t>KROKOM</t>
        </is>
      </c>
      <c r="G268" t="n">
        <v>10.8</v>
      </c>
      <c r="H268" t="n">
        <v>1</v>
      </c>
      <c r="I268" t="n">
        <v>0</v>
      </c>
      <c r="J268" t="n">
        <v>1</v>
      </c>
      <c r="K268" t="n">
        <v>0</v>
      </c>
      <c r="L268" t="n">
        <v>0</v>
      </c>
      <c r="M268" t="n">
        <v>0</v>
      </c>
      <c r="N268" t="n">
        <v>0</v>
      </c>
      <c r="O268" t="n">
        <v>1</v>
      </c>
      <c r="P268" t="n">
        <v>0</v>
      </c>
      <c r="Q268" t="n">
        <v>1</v>
      </c>
      <c r="R268" s="2" t="inlineStr">
        <is>
          <t>Talltita</t>
        </is>
      </c>
      <c r="S268">
        <f>HYPERLINK("https://klasma.github.io/Logging_2309/artfynd/A 13760-2026 artfynd.xlsx", "A 13760-2026")</f>
        <v/>
      </c>
      <c r="T268">
        <f>HYPERLINK("https://klasma.github.io/Logging_2309/kartor/A 13760-2026 karta.png", "A 13760-2026")</f>
        <v/>
      </c>
      <c r="V268">
        <f>HYPERLINK("https://klasma.github.io/Logging_2309/klagomål/A 13760-2026 FSC-klagomål.docx", "A 13760-2026")</f>
        <v/>
      </c>
      <c r="W268">
        <f>HYPERLINK("https://klasma.github.io/Logging_2309/klagomålsmail/A 13760-2026 FSC-klagomål mail.docx", "A 13760-2026")</f>
        <v/>
      </c>
      <c r="X268">
        <f>HYPERLINK("https://klasma.github.io/Logging_2309/tillsyn/A 13760-2026 tillsynsbegäran.docx", "A 13760-2026")</f>
        <v/>
      </c>
      <c r="Y268">
        <f>HYPERLINK("https://klasma.github.io/Logging_2309/tillsynsmail/A 13760-2026 tillsynsbegäran mail.docx", "A 13760-2026")</f>
        <v/>
      </c>
      <c r="Z268">
        <f>HYPERLINK("https://klasma.github.io/Logging_2309/fåglar/A 13760-2026 prioriterade fågelarter.docx", "A 13760-2026")</f>
        <v/>
      </c>
    </row>
    <row r="269" ht="15" customHeight="1">
      <c r="A269" t="inlineStr">
        <is>
          <t>A 814-2022</t>
        </is>
      </c>
      <c r="B269" s="1" t="n">
        <v>44568</v>
      </c>
      <c r="C269" s="1" t="n">
        <v>46160</v>
      </c>
      <c r="D269" t="inlineStr">
        <is>
          <t>JÄMTLANDS LÄN</t>
        </is>
      </c>
      <c r="E269" t="inlineStr">
        <is>
          <t>KROKOM</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814-2022 artfynd.xlsx", "A 814-2022")</f>
        <v/>
      </c>
      <c r="T269">
        <f>HYPERLINK("https://klasma.github.io/Logging_2309/kartor/A 814-2022 karta.png", "A 814-2022")</f>
        <v/>
      </c>
      <c r="V269">
        <f>HYPERLINK("https://klasma.github.io/Logging_2309/klagomål/A 814-2022 FSC-klagomål.docx", "A 814-2022")</f>
        <v/>
      </c>
      <c r="W269">
        <f>HYPERLINK("https://klasma.github.io/Logging_2309/klagomålsmail/A 814-2022 FSC-klagomål mail.docx", "A 814-2022")</f>
        <v/>
      </c>
      <c r="X269">
        <f>HYPERLINK("https://klasma.github.io/Logging_2309/tillsyn/A 814-2022 tillsynsbegäran.docx", "A 814-2022")</f>
        <v/>
      </c>
      <c r="Y269">
        <f>HYPERLINK("https://klasma.github.io/Logging_2309/tillsynsmail/A 814-2022 tillsynsbegäran mail.docx", "A 814-2022")</f>
        <v/>
      </c>
      <c r="Z269">
        <f>HYPERLINK("https://klasma.github.io/Logging_2309/fåglar/A 814-2022 prioriterade fågelarter.docx", "A 814-2022")</f>
        <v/>
      </c>
    </row>
    <row r="270" ht="15" customHeight="1">
      <c r="A270" t="inlineStr">
        <is>
          <t>A 14916-2026</t>
        </is>
      </c>
      <c r="B270" s="1" t="n">
        <v>46104.47087962963</v>
      </c>
      <c r="C270" s="1" t="n">
        <v>46160</v>
      </c>
      <c r="D270" t="inlineStr">
        <is>
          <t>JÄMTLANDS LÄN</t>
        </is>
      </c>
      <c r="E270" t="inlineStr">
        <is>
          <t>KROKOM</t>
        </is>
      </c>
      <c r="G270" t="n">
        <v>36.5</v>
      </c>
      <c r="H270" t="n">
        <v>0</v>
      </c>
      <c r="I270" t="n">
        <v>0</v>
      </c>
      <c r="J270" t="n">
        <v>1</v>
      </c>
      <c r="K270" t="n">
        <v>0</v>
      </c>
      <c r="L270" t="n">
        <v>0</v>
      </c>
      <c r="M270" t="n">
        <v>0</v>
      </c>
      <c r="N270" t="n">
        <v>0</v>
      </c>
      <c r="O270" t="n">
        <v>1</v>
      </c>
      <c r="P270" t="n">
        <v>0</v>
      </c>
      <c r="Q270" t="n">
        <v>1</v>
      </c>
      <c r="R270" s="2" t="inlineStr">
        <is>
          <t>Harticka</t>
        </is>
      </c>
      <c r="S270">
        <f>HYPERLINK("https://klasma.github.io/Logging_2309/artfynd/A 14916-2026 artfynd.xlsx", "A 14916-2026")</f>
        <v/>
      </c>
      <c r="T270">
        <f>HYPERLINK("https://klasma.github.io/Logging_2309/kartor/A 14916-2026 karta.png", "A 14916-2026")</f>
        <v/>
      </c>
      <c r="V270">
        <f>HYPERLINK("https://klasma.github.io/Logging_2309/klagomål/A 14916-2026 FSC-klagomål.docx", "A 14916-2026")</f>
        <v/>
      </c>
      <c r="W270">
        <f>HYPERLINK("https://klasma.github.io/Logging_2309/klagomålsmail/A 14916-2026 FSC-klagomål mail.docx", "A 14916-2026")</f>
        <v/>
      </c>
      <c r="X270">
        <f>HYPERLINK("https://klasma.github.io/Logging_2309/tillsyn/A 14916-2026 tillsynsbegäran.docx", "A 14916-2026")</f>
        <v/>
      </c>
      <c r="Y270">
        <f>HYPERLINK("https://klasma.github.io/Logging_2309/tillsynsmail/A 14916-2026 tillsynsbegäran mail.docx", "A 14916-2026")</f>
        <v/>
      </c>
    </row>
    <row r="271" ht="15" customHeight="1">
      <c r="A271" t="inlineStr">
        <is>
          <t>A 6705-2025</t>
        </is>
      </c>
      <c r="B271" s="1" t="n">
        <v>45700</v>
      </c>
      <c r="C271" s="1" t="n">
        <v>46160</v>
      </c>
      <c r="D271" t="inlineStr">
        <is>
          <t>JÄMTLANDS LÄN</t>
        </is>
      </c>
      <c r="E271" t="inlineStr">
        <is>
          <t>KROKOM</t>
        </is>
      </c>
      <c r="G271" t="n">
        <v>20.4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6705-2025 artfynd.xlsx", "A 6705-2025")</f>
        <v/>
      </c>
      <c r="T271">
        <f>HYPERLINK("https://klasma.github.io/Logging_2309/kartor/A 6705-2025 karta.png", "A 6705-2025")</f>
        <v/>
      </c>
      <c r="V271">
        <f>HYPERLINK("https://klasma.github.io/Logging_2309/klagomål/A 6705-2025 FSC-klagomål.docx", "A 6705-2025")</f>
        <v/>
      </c>
      <c r="W271">
        <f>HYPERLINK("https://klasma.github.io/Logging_2309/klagomålsmail/A 6705-2025 FSC-klagomål mail.docx", "A 6705-2025")</f>
        <v/>
      </c>
      <c r="X271">
        <f>HYPERLINK("https://klasma.github.io/Logging_2309/tillsyn/A 6705-2025 tillsynsbegäran.docx", "A 6705-2025")</f>
        <v/>
      </c>
      <c r="Y271">
        <f>HYPERLINK("https://klasma.github.io/Logging_2309/tillsynsmail/A 6705-2025 tillsynsbegäran mail.docx", "A 6705-2025")</f>
        <v/>
      </c>
      <c r="Z271">
        <f>HYPERLINK("https://klasma.github.io/Logging_2309/fåglar/A 6705-2025 prioriterade fågelarter.docx", "A 6705-2025")</f>
        <v/>
      </c>
    </row>
    <row r="272" ht="15" customHeight="1">
      <c r="A272" t="inlineStr">
        <is>
          <t>A 7208-2025</t>
        </is>
      </c>
      <c r="B272" s="1" t="n">
        <v>45702.47149305556</v>
      </c>
      <c r="C272" s="1" t="n">
        <v>46160</v>
      </c>
      <c r="D272" t="inlineStr">
        <is>
          <t>JÄMTLANDS LÄN</t>
        </is>
      </c>
      <c r="E272" t="inlineStr">
        <is>
          <t>KROKOM</t>
        </is>
      </c>
      <c r="F272" t="inlineStr">
        <is>
          <t>Övriga Aktiebolag</t>
        </is>
      </c>
      <c r="G272" t="n">
        <v>39.4</v>
      </c>
      <c r="H272" t="n">
        <v>0</v>
      </c>
      <c r="I272" t="n">
        <v>0</v>
      </c>
      <c r="J272" t="n">
        <v>1</v>
      </c>
      <c r="K272" t="n">
        <v>0</v>
      </c>
      <c r="L272" t="n">
        <v>0</v>
      </c>
      <c r="M272" t="n">
        <v>0</v>
      </c>
      <c r="N272" t="n">
        <v>0</v>
      </c>
      <c r="O272" t="n">
        <v>1</v>
      </c>
      <c r="P272" t="n">
        <v>0</v>
      </c>
      <c r="Q272" t="n">
        <v>1</v>
      </c>
      <c r="R272" s="2" t="inlineStr">
        <is>
          <t>Ullticka</t>
        </is>
      </c>
      <c r="S272">
        <f>HYPERLINK("https://klasma.github.io/Logging_2309/artfynd/A 7208-2025 artfynd.xlsx", "A 7208-2025")</f>
        <v/>
      </c>
      <c r="T272">
        <f>HYPERLINK("https://klasma.github.io/Logging_2309/kartor/A 7208-2025 karta.png", "A 7208-2025")</f>
        <v/>
      </c>
      <c r="V272">
        <f>HYPERLINK("https://klasma.github.io/Logging_2309/klagomål/A 7208-2025 FSC-klagomål.docx", "A 7208-2025")</f>
        <v/>
      </c>
      <c r="W272">
        <f>HYPERLINK("https://klasma.github.io/Logging_2309/klagomålsmail/A 7208-2025 FSC-klagomål mail.docx", "A 7208-2025")</f>
        <v/>
      </c>
      <c r="X272">
        <f>HYPERLINK("https://klasma.github.io/Logging_2309/tillsyn/A 7208-2025 tillsynsbegäran.docx", "A 7208-2025")</f>
        <v/>
      </c>
      <c r="Y272">
        <f>HYPERLINK("https://klasma.github.io/Logging_2309/tillsynsmail/A 7208-2025 tillsynsbegäran mail.docx", "A 7208-2025")</f>
        <v/>
      </c>
    </row>
    <row r="273" ht="15" customHeight="1">
      <c r="A273" t="inlineStr">
        <is>
          <t>A 806-2022</t>
        </is>
      </c>
      <c r="B273" s="1" t="n">
        <v>44568</v>
      </c>
      <c r="C273" s="1" t="n">
        <v>46160</v>
      </c>
      <c r="D273" t="inlineStr">
        <is>
          <t>JÄMTLANDS LÄN</t>
        </is>
      </c>
      <c r="E273" t="inlineStr">
        <is>
          <t>KROKOM</t>
        </is>
      </c>
      <c r="G273" t="n">
        <v>46.8</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806-2022 artfynd.xlsx", "A 806-2022")</f>
        <v/>
      </c>
      <c r="T273">
        <f>HYPERLINK("https://klasma.github.io/Logging_2309/kartor/A 806-2022 karta.png", "A 806-2022")</f>
        <v/>
      </c>
      <c r="V273">
        <f>HYPERLINK("https://klasma.github.io/Logging_2309/klagomål/A 806-2022 FSC-klagomål.docx", "A 806-2022")</f>
        <v/>
      </c>
      <c r="W273">
        <f>HYPERLINK("https://klasma.github.io/Logging_2309/klagomålsmail/A 806-2022 FSC-klagomål mail.docx", "A 806-2022")</f>
        <v/>
      </c>
      <c r="X273">
        <f>HYPERLINK("https://klasma.github.io/Logging_2309/tillsyn/A 806-2022 tillsynsbegäran.docx", "A 806-2022")</f>
        <v/>
      </c>
      <c r="Y273">
        <f>HYPERLINK("https://klasma.github.io/Logging_2309/tillsynsmail/A 806-2022 tillsynsbegäran mail.docx", "A 806-2022")</f>
        <v/>
      </c>
      <c r="Z273">
        <f>HYPERLINK("https://klasma.github.io/Logging_2309/fåglar/A 806-2022 prioriterade fågelarter.docx", "A 806-2022")</f>
        <v/>
      </c>
    </row>
    <row r="274" ht="15" customHeight="1">
      <c r="A274" t="inlineStr">
        <is>
          <t>A 804-2022</t>
        </is>
      </c>
      <c r="B274" s="1" t="n">
        <v>44568</v>
      </c>
      <c r="C274" s="1" t="n">
        <v>46160</v>
      </c>
      <c r="D274" t="inlineStr">
        <is>
          <t>JÄMTLANDS LÄN</t>
        </is>
      </c>
      <c r="E274" t="inlineStr">
        <is>
          <t>KROKOM</t>
        </is>
      </c>
      <c r="G274" t="n">
        <v>20</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804-2022 artfynd.xlsx", "A 804-2022")</f>
        <v/>
      </c>
      <c r="T274">
        <f>HYPERLINK("https://klasma.github.io/Logging_2309/kartor/A 804-2022 karta.png", "A 804-2022")</f>
        <v/>
      </c>
      <c r="V274">
        <f>HYPERLINK("https://klasma.github.io/Logging_2309/klagomål/A 804-2022 FSC-klagomål.docx", "A 804-2022")</f>
        <v/>
      </c>
      <c r="W274">
        <f>HYPERLINK("https://klasma.github.io/Logging_2309/klagomålsmail/A 804-2022 FSC-klagomål mail.docx", "A 804-2022")</f>
        <v/>
      </c>
      <c r="X274">
        <f>HYPERLINK("https://klasma.github.io/Logging_2309/tillsyn/A 804-2022 tillsynsbegäran.docx", "A 804-2022")</f>
        <v/>
      </c>
      <c r="Y274">
        <f>HYPERLINK("https://klasma.github.io/Logging_2309/tillsynsmail/A 804-2022 tillsynsbegäran mail.docx", "A 804-2022")</f>
        <v/>
      </c>
      <c r="Z274">
        <f>HYPERLINK("https://klasma.github.io/Logging_2309/fåglar/A 804-2022 prioriterade fågelarter.docx", "A 804-2022")</f>
        <v/>
      </c>
    </row>
    <row r="275" ht="15" customHeight="1">
      <c r="A275" t="inlineStr">
        <is>
          <t>A 58805-2024</t>
        </is>
      </c>
      <c r="B275" s="1" t="n">
        <v>45635</v>
      </c>
      <c r="C275" s="1" t="n">
        <v>46160</v>
      </c>
      <c r="D275" t="inlineStr">
        <is>
          <t>JÄMTLANDS LÄN</t>
        </is>
      </c>
      <c r="E275" t="inlineStr">
        <is>
          <t>KROKOM</t>
        </is>
      </c>
      <c r="G275" t="n">
        <v>4.7</v>
      </c>
      <c r="H275" t="n">
        <v>1</v>
      </c>
      <c r="I275" t="n">
        <v>0</v>
      </c>
      <c r="J275" t="n">
        <v>0</v>
      </c>
      <c r="K275" t="n">
        <v>0</v>
      </c>
      <c r="L275" t="n">
        <v>0</v>
      </c>
      <c r="M275" t="n">
        <v>0</v>
      </c>
      <c r="N275" t="n">
        <v>0</v>
      </c>
      <c r="O275" t="n">
        <v>0</v>
      </c>
      <c r="P275" t="n">
        <v>0</v>
      </c>
      <c r="Q275" t="n">
        <v>1</v>
      </c>
      <c r="R275" s="2" t="inlineStr">
        <is>
          <t>Brudsporre</t>
        </is>
      </c>
      <c r="S275">
        <f>HYPERLINK("https://klasma.github.io/Logging_2309/artfynd/A 58805-2024 artfynd.xlsx", "A 58805-2024")</f>
        <v/>
      </c>
      <c r="T275">
        <f>HYPERLINK("https://klasma.github.io/Logging_2309/kartor/A 58805-2024 karta.png", "A 58805-2024")</f>
        <v/>
      </c>
      <c r="V275">
        <f>HYPERLINK("https://klasma.github.io/Logging_2309/klagomål/A 58805-2024 FSC-klagomål.docx", "A 58805-2024")</f>
        <v/>
      </c>
      <c r="W275">
        <f>HYPERLINK("https://klasma.github.io/Logging_2309/klagomålsmail/A 58805-2024 FSC-klagomål mail.docx", "A 58805-2024")</f>
        <v/>
      </c>
      <c r="X275">
        <f>HYPERLINK("https://klasma.github.io/Logging_2309/tillsyn/A 58805-2024 tillsynsbegäran.docx", "A 58805-2024")</f>
        <v/>
      </c>
      <c r="Y275">
        <f>HYPERLINK("https://klasma.github.io/Logging_2309/tillsynsmail/A 58805-2024 tillsynsbegäran mail.docx", "A 58805-2024")</f>
        <v/>
      </c>
    </row>
    <row r="276" ht="15" customHeight="1">
      <c r="A276" t="inlineStr">
        <is>
          <t>A 56628-2023</t>
        </is>
      </c>
      <c r="B276" s="1" t="n">
        <v>45243</v>
      </c>
      <c r="C276" s="1" t="n">
        <v>46160</v>
      </c>
      <c r="D276" t="inlineStr">
        <is>
          <t>JÄMTLANDS LÄN</t>
        </is>
      </c>
      <c r="E276" t="inlineStr">
        <is>
          <t>KROKOM</t>
        </is>
      </c>
      <c r="G276" t="n">
        <v>17.8</v>
      </c>
      <c r="H276" t="n">
        <v>1</v>
      </c>
      <c r="I276" t="n">
        <v>0</v>
      </c>
      <c r="J276" t="n">
        <v>0</v>
      </c>
      <c r="K276" t="n">
        <v>0</v>
      </c>
      <c r="L276" t="n">
        <v>0</v>
      </c>
      <c r="M276" t="n">
        <v>0</v>
      </c>
      <c r="N276" t="n">
        <v>0</v>
      </c>
      <c r="O276" t="n">
        <v>0</v>
      </c>
      <c r="P276" t="n">
        <v>0</v>
      </c>
      <c r="Q276" t="n">
        <v>1</v>
      </c>
      <c r="R276" s="2" t="inlineStr">
        <is>
          <t>Blåsippa</t>
        </is>
      </c>
      <c r="S276">
        <f>HYPERLINK("https://klasma.github.io/Logging_2309/artfynd/A 56628-2023 artfynd.xlsx", "A 56628-2023")</f>
        <v/>
      </c>
      <c r="T276">
        <f>HYPERLINK("https://klasma.github.io/Logging_2309/kartor/A 56628-2023 karta.png", "A 56628-2023")</f>
        <v/>
      </c>
      <c r="V276">
        <f>HYPERLINK("https://klasma.github.io/Logging_2309/klagomål/A 56628-2023 FSC-klagomål.docx", "A 56628-2023")</f>
        <v/>
      </c>
      <c r="W276">
        <f>HYPERLINK("https://klasma.github.io/Logging_2309/klagomålsmail/A 56628-2023 FSC-klagomål mail.docx", "A 56628-2023")</f>
        <v/>
      </c>
      <c r="X276">
        <f>HYPERLINK("https://klasma.github.io/Logging_2309/tillsyn/A 56628-2023 tillsynsbegäran.docx", "A 56628-2023")</f>
        <v/>
      </c>
      <c r="Y276">
        <f>HYPERLINK("https://klasma.github.io/Logging_2309/tillsynsmail/A 56628-2023 tillsynsbegäran mail.docx", "A 56628-2023")</f>
        <v/>
      </c>
    </row>
    <row r="277" ht="15" customHeight="1">
      <c r="A277" t="inlineStr">
        <is>
          <t>A 28736-2022</t>
        </is>
      </c>
      <c r="B277" s="1" t="n">
        <v>44748.94689814815</v>
      </c>
      <c r="C277" s="1" t="n">
        <v>46160</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38511-2021</t>
        </is>
      </c>
      <c r="B278" s="1" t="n">
        <v>44407</v>
      </c>
      <c r="C278" s="1" t="n">
        <v>46160</v>
      </c>
      <c r="D278" t="inlineStr">
        <is>
          <t>JÄMTLANDS LÄN</t>
        </is>
      </c>
      <c r="E278" t="inlineStr">
        <is>
          <t>KROKOM</t>
        </is>
      </c>
      <c r="G278" t="n">
        <v>0.5</v>
      </c>
      <c r="H278" t="n">
        <v>0</v>
      </c>
      <c r="I278" t="n">
        <v>0</v>
      </c>
      <c r="J278" t="n">
        <v>0</v>
      </c>
      <c r="K278" t="n">
        <v>0</v>
      </c>
      <c r="L278" t="n">
        <v>0</v>
      </c>
      <c r="M278" t="n">
        <v>0</v>
      </c>
      <c r="N278" t="n">
        <v>0</v>
      </c>
      <c r="O278" t="n">
        <v>0</v>
      </c>
      <c r="P278" t="n">
        <v>0</v>
      </c>
      <c r="Q278" t="n">
        <v>0</v>
      </c>
      <c r="R278" s="2" t="inlineStr"/>
    </row>
    <row r="279" ht="15" customHeight="1">
      <c r="A279" t="inlineStr">
        <is>
          <t>A 54438-2021</t>
        </is>
      </c>
      <c r="B279" s="1" t="n">
        <v>44473.44813657407</v>
      </c>
      <c r="C279" s="1" t="n">
        <v>46160</v>
      </c>
      <c r="D279" t="inlineStr">
        <is>
          <t>JÄMTLANDS LÄN</t>
        </is>
      </c>
      <c r="E279" t="inlineStr">
        <is>
          <t>KROKOM</t>
        </is>
      </c>
      <c r="G279" t="n">
        <v>0.7</v>
      </c>
      <c r="H279" t="n">
        <v>0</v>
      </c>
      <c r="I279" t="n">
        <v>0</v>
      </c>
      <c r="J279" t="n">
        <v>0</v>
      </c>
      <c r="K279" t="n">
        <v>0</v>
      </c>
      <c r="L279" t="n">
        <v>0</v>
      </c>
      <c r="M279" t="n">
        <v>0</v>
      </c>
      <c r="N279" t="n">
        <v>0</v>
      </c>
      <c r="O279" t="n">
        <v>0</v>
      </c>
      <c r="P279" t="n">
        <v>0</v>
      </c>
      <c r="Q279" t="n">
        <v>0</v>
      </c>
      <c r="R279" s="2" t="inlineStr"/>
    </row>
    <row r="280" ht="15" customHeight="1">
      <c r="A280" t="inlineStr">
        <is>
          <t>A 54499-2021</t>
        </is>
      </c>
      <c r="B280" s="1" t="n">
        <v>44473.508125</v>
      </c>
      <c r="C280" s="1" t="n">
        <v>46160</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17528-2022</t>
        </is>
      </c>
      <c r="B281" s="1" t="n">
        <v>44679</v>
      </c>
      <c r="C281" s="1" t="n">
        <v>46160</v>
      </c>
      <c r="D281" t="inlineStr">
        <is>
          <t>JÄMTLANDS LÄN</t>
        </is>
      </c>
      <c r="E281" t="inlineStr">
        <is>
          <t>KROKOM</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48440-2021</t>
        </is>
      </c>
      <c r="B282" s="1" t="n">
        <v>44449</v>
      </c>
      <c r="C282" s="1" t="n">
        <v>46160</v>
      </c>
      <c r="D282" t="inlineStr">
        <is>
          <t>JÄMTLANDS LÄN</t>
        </is>
      </c>
      <c r="E282" t="inlineStr">
        <is>
          <t>KROKOM</t>
        </is>
      </c>
      <c r="G282" t="n">
        <v>8.6</v>
      </c>
      <c r="H282" t="n">
        <v>0</v>
      </c>
      <c r="I282" t="n">
        <v>0</v>
      </c>
      <c r="J282" t="n">
        <v>0</v>
      </c>
      <c r="K282" t="n">
        <v>0</v>
      </c>
      <c r="L282" t="n">
        <v>0</v>
      </c>
      <c r="M282" t="n">
        <v>0</v>
      </c>
      <c r="N282" t="n">
        <v>0</v>
      </c>
      <c r="O282" t="n">
        <v>0</v>
      </c>
      <c r="P282" t="n">
        <v>0</v>
      </c>
      <c r="Q282" t="n">
        <v>0</v>
      </c>
      <c r="R282" s="2" t="inlineStr"/>
    </row>
    <row r="283" ht="15" customHeight="1">
      <c r="A283" t="inlineStr">
        <is>
          <t>A 16037-2022</t>
        </is>
      </c>
      <c r="B283" s="1" t="n">
        <v>44665</v>
      </c>
      <c r="C283" s="1" t="n">
        <v>46160</v>
      </c>
      <c r="D283" t="inlineStr">
        <is>
          <t>JÄMTLANDS LÄN</t>
        </is>
      </c>
      <c r="E283" t="inlineStr">
        <is>
          <t>KROKOM</t>
        </is>
      </c>
      <c r="G283" t="n">
        <v>0.3</v>
      </c>
      <c r="H283" t="n">
        <v>0</v>
      </c>
      <c r="I283" t="n">
        <v>0</v>
      </c>
      <c r="J283" t="n">
        <v>0</v>
      </c>
      <c r="K283" t="n">
        <v>0</v>
      </c>
      <c r="L283" t="n">
        <v>0</v>
      </c>
      <c r="M283" t="n">
        <v>0</v>
      </c>
      <c r="N283" t="n">
        <v>0</v>
      </c>
      <c r="O283" t="n">
        <v>0</v>
      </c>
      <c r="P283" t="n">
        <v>0</v>
      </c>
      <c r="Q283" t="n">
        <v>0</v>
      </c>
      <c r="R283" s="2" t="inlineStr"/>
    </row>
    <row r="284" ht="15" customHeight="1">
      <c r="A284" t="inlineStr">
        <is>
          <t>A 46625-2021</t>
        </is>
      </c>
      <c r="B284" s="1" t="n">
        <v>44445</v>
      </c>
      <c r="C284" s="1" t="n">
        <v>46160</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59913-2021</t>
        </is>
      </c>
      <c r="B285" s="1" t="n">
        <v>44494</v>
      </c>
      <c r="C285" s="1" t="n">
        <v>46160</v>
      </c>
      <c r="D285" t="inlineStr">
        <is>
          <t>JÄMTLANDS LÄN</t>
        </is>
      </c>
      <c r="E285" t="inlineStr">
        <is>
          <t>KROKOM</t>
        </is>
      </c>
      <c r="G285" t="n">
        <v>0.6</v>
      </c>
      <c r="H285" t="n">
        <v>0</v>
      </c>
      <c r="I285" t="n">
        <v>0</v>
      </c>
      <c r="J285" t="n">
        <v>0</v>
      </c>
      <c r="K285" t="n">
        <v>0</v>
      </c>
      <c r="L285" t="n">
        <v>0</v>
      </c>
      <c r="M285" t="n">
        <v>0</v>
      </c>
      <c r="N285" t="n">
        <v>0</v>
      </c>
      <c r="O285" t="n">
        <v>0</v>
      </c>
      <c r="P285" t="n">
        <v>0</v>
      </c>
      <c r="Q285" t="n">
        <v>0</v>
      </c>
      <c r="R285" s="2" t="inlineStr"/>
    </row>
    <row r="286" ht="15" customHeight="1">
      <c r="A286" t="inlineStr">
        <is>
          <t>A 8559-2022</t>
        </is>
      </c>
      <c r="B286" s="1" t="n">
        <v>44610</v>
      </c>
      <c r="C286" s="1" t="n">
        <v>46160</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33189-2021</t>
        </is>
      </c>
      <c r="B287" s="1" t="n">
        <v>44376.87497685185</v>
      </c>
      <c r="C287" s="1" t="n">
        <v>46160</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33320-2021</t>
        </is>
      </c>
      <c r="B288" s="1" t="n">
        <v>44377.44767361111</v>
      </c>
      <c r="C288" s="1" t="n">
        <v>46160</v>
      </c>
      <c r="D288" t="inlineStr">
        <is>
          <t>JÄMTLANDS LÄN</t>
        </is>
      </c>
      <c r="E288" t="inlineStr">
        <is>
          <t>KROKOM</t>
        </is>
      </c>
      <c r="F288" t="inlineStr">
        <is>
          <t>Övriga Aktiebolag</t>
        </is>
      </c>
      <c r="G288" t="n">
        <v>4.3</v>
      </c>
      <c r="H288" t="n">
        <v>0</v>
      </c>
      <c r="I288" t="n">
        <v>0</v>
      </c>
      <c r="J288" t="n">
        <v>0</v>
      </c>
      <c r="K288" t="n">
        <v>0</v>
      </c>
      <c r="L288" t="n">
        <v>0</v>
      </c>
      <c r="M288" t="n">
        <v>0</v>
      </c>
      <c r="N288" t="n">
        <v>0</v>
      </c>
      <c r="O288" t="n">
        <v>0</v>
      </c>
      <c r="P288" t="n">
        <v>0</v>
      </c>
      <c r="Q288" t="n">
        <v>0</v>
      </c>
      <c r="R288" s="2" t="inlineStr"/>
    </row>
    <row r="289" ht="15" customHeight="1">
      <c r="A289" t="inlineStr">
        <is>
          <t>A 33327-2022</t>
        </is>
      </c>
      <c r="B289" s="1" t="n">
        <v>44788</v>
      </c>
      <c r="C289" s="1" t="n">
        <v>46160</v>
      </c>
      <c r="D289" t="inlineStr">
        <is>
          <t>JÄMTLANDS LÄN</t>
        </is>
      </c>
      <c r="E289" t="inlineStr">
        <is>
          <t>KROKOM</t>
        </is>
      </c>
      <c r="G289" t="n">
        <v>0.8</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46160</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46160</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46160</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46160</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46160</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28804-2022</t>
        </is>
      </c>
      <c r="B295" s="1" t="n">
        <v>44749</v>
      </c>
      <c r="C295" s="1" t="n">
        <v>46160</v>
      </c>
      <c r="D295" t="inlineStr">
        <is>
          <t>JÄMTLANDS LÄN</t>
        </is>
      </c>
      <c r="E295" t="inlineStr">
        <is>
          <t>KROKOM</t>
        </is>
      </c>
      <c r="G295" t="n">
        <v>0.8</v>
      </c>
      <c r="H295" t="n">
        <v>0</v>
      </c>
      <c r="I295" t="n">
        <v>0</v>
      </c>
      <c r="J295" t="n">
        <v>0</v>
      </c>
      <c r="K295" t="n">
        <v>0</v>
      </c>
      <c r="L295" t="n">
        <v>0</v>
      </c>
      <c r="M295" t="n">
        <v>0</v>
      </c>
      <c r="N295" t="n">
        <v>0</v>
      </c>
      <c r="O295" t="n">
        <v>0</v>
      </c>
      <c r="P295" t="n">
        <v>0</v>
      </c>
      <c r="Q295" t="n">
        <v>0</v>
      </c>
      <c r="R295" s="2" t="inlineStr"/>
    </row>
    <row r="296" ht="15" customHeight="1">
      <c r="A296" t="inlineStr">
        <is>
          <t>A 42360-2022</t>
        </is>
      </c>
      <c r="B296" s="1" t="n">
        <v>44831.37650462963</v>
      </c>
      <c r="C296" s="1" t="n">
        <v>46160</v>
      </c>
      <c r="D296" t="inlineStr">
        <is>
          <t>JÄMTLANDS LÄN</t>
        </is>
      </c>
      <c r="E296" t="inlineStr">
        <is>
          <t>KROKOM</t>
        </is>
      </c>
      <c r="F296" t="inlineStr">
        <is>
          <t>Övriga Aktiebolag</t>
        </is>
      </c>
      <c r="G296" t="n">
        <v>3.9</v>
      </c>
      <c r="H296" t="n">
        <v>0</v>
      </c>
      <c r="I296" t="n">
        <v>0</v>
      </c>
      <c r="J296" t="n">
        <v>0</v>
      </c>
      <c r="K296" t="n">
        <v>0</v>
      </c>
      <c r="L296" t="n">
        <v>0</v>
      </c>
      <c r="M296" t="n">
        <v>0</v>
      </c>
      <c r="N296" t="n">
        <v>0</v>
      </c>
      <c r="O296" t="n">
        <v>0</v>
      </c>
      <c r="P296" t="n">
        <v>0</v>
      </c>
      <c r="Q296" t="n">
        <v>0</v>
      </c>
      <c r="R296" s="2" t="inlineStr"/>
    </row>
    <row r="297" ht="15" customHeight="1">
      <c r="A297" t="inlineStr">
        <is>
          <t>A 64953-2021</t>
        </is>
      </c>
      <c r="B297" s="1" t="n">
        <v>44512.94539351852</v>
      </c>
      <c r="C297" s="1" t="n">
        <v>46160</v>
      </c>
      <c r="D297" t="inlineStr">
        <is>
          <t>JÄMTLANDS LÄN</t>
        </is>
      </c>
      <c r="E297" t="inlineStr">
        <is>
          <t>KROKOM</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31467-2021</t>
        </is>
      </c>
      <c r="B298" s="1" t="n">
        <v>44369.41452546296</v>
      </c>
      <c r="C298" s="1" t="n">
        <v>46160</v>
      </c>
      <c r="D298" t="inlineStr">
        <is>
          <t>JÄMTLANDS LÄN</t>
        </is>
      </c>
      <c r="E298" t="inlineStr">
        <is>
          <t>KROKOM</t>
        </is>
      </c>
      <c r="G298" t="n">
        <v>24.7</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46160</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62201-2021</t>
        </is>
      </c>
      <c r="B300" s="1" t="n">
        <v>44502</v>
      </c>
      <c r="C300" s="1" t="n">
        <v>46160</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46160</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46825-2022</t>
        </is>
      </c>
      <c r="B302" s="1" t="n">
        <v>44851.57131944445</v>
      </c>
      <c r="C302" s="1" t="n">
        <v>46160</v>
      </c>
      <c r="D302" t="inlineStr">
        <is>
          <t>JÄMTLANDS LÄN</t>
        </is>
      </c>
      <c r="E302" t="inlineStr">
        <is>
          <t>KROKOM</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52557-2021</t>
        </is>
      </c>
      <c r="B303" s="1" t="n">
        <v>44466.53040509259</v>
      </c>
      <c r="C303" s="1" t="n">
        <v>46160</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71246-2021</t>
        </is>
      </c>
      <c r="B304" s="1" t="n">
        <v>44539</v>
      </c>
      <c r="C304" s="1" t="n">
        <v>46160</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60348-2021</t>
        </is>
      </c>
      <c r="B305" s="1" t="n">
        <v>44495</v>
      </c>
      <c r="C305" s="1" t="n">
        <v>46160</v>
      </c>
      <c r="D305" t="inlineStr">
        <is>
          <t>JÄMTLANDS LÄN</t>
        </is>
      </c>
      <c r="E305" t="inlineStr">
        <is>
          <t>KROKOM</t>
        </is>
      </c>
      <c r="G305" t="n">
        <v>11.2</v>
      </c>
      <c r="H305" t="n">
        <v>0</v>
      </c>
      <c r="I305" t="n">
        <v>0</v>
      </c>
      <c r="J305" t="n">
        <v>0</v>
      </c>
      <c r="K305" t="n">
        <v>0</v>
      </c>
      <c r="L305" t="n">
        <v>0</v>
      </c>
      <c r="M305" t="n">
        <v>0</v>
      </c>
      <c r="N305" t="n">
        <v>0</v>
      </c>
      <c r="O305" t="n">
        <v>0</v>
      </c>
      <c r="P305" t="n">
        <v>0</v>
      </c>
      <c r="Q305" t="n">
        <v>0</v>
      </c>
      <c r="R305" s="2" t="inlineStr"/>
    </row>
    <row r="306" ht="15" customHeight="1">
      <c r="A306" t="inlineStr">
        <is>
          <t>A 60351-2021</t>
        </is>
      </c>
      <c r="B306" s="1" t="n">
        <v>44495</v>
      </c>
      <c r="C306" s="1" t="n">
        <v>46160</v>
      </c>
      <c r="D306" t="inlineStr">
        <is>
          <t>JÄMTLANDS LÄN</t>
        </is>
      </c>
      <c r="E306" t="inlineStr">
        <is>
          <t>KROKOM</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64966-2021</t>
        </is>
      </c>
      <c r="B307" s="1" t="n">
        <v>44512</v>
      </c>
      <c r="C307" s="1" t="n">
        <v>46160</v>
      </c>
      <c r="D307" t="inlineStr">
        <is>
          <t>JÄMTLANDS LÄN</t>
        </is>
      </c>
      <c r="E307" t="inlineStr">
        <is>
          <t>KROKOM</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24677-2021</t>
        </is>
      </c>
      <c r="B308" s="1" t="n">
        <v>44337</v>
      </c>
      <c r="C308" s="1" t="n">
        <v>46160</v>
      </c>
      <c r="D308" t="inlineStr">
        <is>
          <t>JÄMTLANDS LÄN</t>
        </is>
      </c>
      <c r="E308" t="inlineStr">
        <is>
          <t>KROKOM</t>
        </is>
      </c>
      <c r="G308" t="n">
        <v>1.8</v>
      </c>
      <c r="H308" t="n">
        <v>0</v>
      </c>
      <c r="I308" t="n">
        <v>0</v>
      </c>
      <c r="J308" t="n">
        <v>0</v>
      </c>
      <c r="K308" t="n">
        <v>0</v>
      </c>
      <c r="L308" t="n">
        <v>0</v>
      </c>
      <c r="M308" t="n">
        <v>0</v>
      </c>
      <c r="N308" t="n">
        <v>0</v>
      </c>
      <c r="O308" t="n">
        <v>0</v>
      </c>
      <c r="P308" t="n">
        <v>0</v>
      </c>
      <c r="Q308" t="n">
        <v>0</v>
      </c>
      <c r="R308" s="2" t="inlineStr"/>
    </row>
    <row r="309" ht="15" customHeight="1">
      <c r="A309" t="inlineStr">
        <is>
          <t>A 19455-2022</t>
        </is>
      </c>
      <c r="B309" s="1" t="n">
        <v>44693.41668981482</v>
      </c>
      <c r="C309" s="1" t="n">
        <v>46160</v>
      </c>
      <c r="D309" t="inlineStr">
        <is>
          <t>JÄMTLANDS LÄN</t>
        </is>
      </c>
      <c r="E309" t="inlineStr">
        <is>
          <t>KROKOM</t>
        </is>
      </c>
      <c r="G309" t="n">
        <v>7</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46160</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46160</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50887-2021</t>
        </is>
      </c>
      <c r="B312" s="1" t="n">
        <v>44459</v>
      </c>
      <c r="C312" s="1" t="n">
        <v>46160</v>
      </c>
      <c r="D312" t="inlineStr">
        <is>
          <t>JÄMTLANDS LÄN</t>
        </is>
      </c>
      <c r="E312" t="inlineStr">
        <is>
          <t>KROKOM</t>
        </is>
      </c>
      <c r="G312" t="n">
        <v>4.5</v>
      </c>
      <c r="H312" t="n">
        <v>0</v>
      </c>
      <c r="I312" t="n">
        <v>0</v>
      </c>
      <c r="J312" t="n">
        <v>0</v>
      </c>
      <c r="K312" t="n">
        <v>0</v>
      </c>
      <c r="L312" t="n">
        <v>0</v>
      </c>
      <c r="M312" t="n">
        <v>0</v>
      </c>
      <c r="N312" t="n">
        <v>0</v>
      </c>
      <c r="O312" t="n">
        <v>0</v>
      </c>
      <c r="P312" t="n">
        <v>0</v>
      </c>
      <c r="Q312" t="n">
        <v>0</v>
      </c>
      <c r="R312" s="2" t="inlineStr"/>
    </row>
    <row r="313" ht="15" customHeight="1">
      <c r="A313" t="inlineStr">
        <is>
          <t>A 46507-2022</t>
        </is>
      </c>
      <c r="B313" s="1" t="n">
        <v>44848</v>
      </c>
      <c r="C313" s="1" t="n">
        <v>46160</v>
      </c>
      <c r="D313" t="inlineStr">
        <is>
          <t>JÄMTLANDS LÄN</t>
        </is>
      </c>
      <c r="E313" t="inlineStr">
        <is>
          <t>KROKOM</t>
        </is>
      </c>
      <c r="G313" t="n">
        <v>0.4</v>
      </c>
      <c r="H313" t="n">
        <v>0</v>
      </c>
      <c r="I313" t="n">
        <v>0</v>
      </c>
      <c r="J313" t="n">
        <v>0</v>
      </c>
      <c r="K313" t="n">
        <v>0</v>
      </c>
      <c r="L313" t="n">
        <v>0</v>
      </c>
      <c r="M313" t="n">
        <v>0</v>
      </c>
      <c r="N313" t="n">
        <v>0</v>
      </c>
      <c r="O313" t="n">
        <v>0</v>
      </c>
      <c r="P313" t="n">
        <v>0</v>
      </c>
      <c r="Q313" t="n">
        <v>0</v>
      </c>
      <c r="R313" s="2" t="inlineStr"/>
    </row>
    <row r="314" ht="15" customHeight="1">
      <c r="A314" t="inlineStr">
        <is>
          <t>A 52801-2022</t>
        </is>
      </c>
      <c r="B314" s="1" t="n">
        <v>44875.41104166667</v>
      </c>
      <c r="C314" s="1" t="n">
        <v>46160</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24612-2022</t>
        </is>
      </c>
      <c r="B315" s="1" t="n">
        <v>44727</v>
      </c>
      <c r="C315" s="1" t="n">
        <v>46160</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46506-2022</t>
        </is>
      </c>
      <c r="B316" s="1" t="n">
        <v>44848</v>
      </c>
      <c r="C316" s="1" t="n">
        <v>46160</v>
      </c>
      <c r="D316" t="inlineStr">
        <is>
          <t>JÄMTLANDS LÄN</t>
        </is>
      </c>
      <c r="E316" t="inlineStr">
        <is>
          <t>KROKOM</t>
        </is>
      </c>
      <c r="G316" t="n">
        <v>1.9</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44400.37204861111</v>
      </c>
      <c r="C317" s="1" t="n">
        <v>46160</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48334-2022</t>
        </is>
      </c>
      <c r="B318" s="1" t="n">
        <v>44858</v>
      </c>
      <c r="C318" s="1" t="n">
        <v>46160</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46160</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34769-2021</t>
        </is>
      </c>
      <c r="B320" s="1" t="n">
        <v>44382.92065972222</v>
      </c>
      <c r="C320" s="1" t="n">
        <v>46160</v>
      </c>
      <c r="D320" t="inlineStr">
        <is>
          <t>JÄMTLANDS LÄN</t>
        </is>
      </c>
      <c r="E320" t="inlineStr">
        <is>
          <t>KROKOM</t>
        </is>
      </c>
      <c r="G320" t="n">
        <v>14.5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46160</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54516-2021</t>
        </is>
      </c>
      <c r="B322" s="1" t="n">
        <v>44473.53013888889</v>
      </c>
      <c r="C322" s="1" t="n">
        <v>46160</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50476-2021</t>
        </is>
      </c>
      <c r="B323" s="1" t="n">
        <v>44459</v>
      </c>
      <c r="C323" s="1" t="n">
        <v>46160</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22611-2022</t>
        </is>
      </c>
      <c r="B324" s="1" t="n">
        <v>44714</v>
      </c>
      <c r="C324" s="1" t="n">
        <v>46160</v>
      </c>
      <c r="D324" t="inlineStr">
        <is>
          <t>JÄMTLANDS LÄN</t>
        </is>
      </c>
      <c r="E324" t="inlineStr">
        <is>
          <t>KROKOM</t>
        </is>
      </c>
      <c r="G324" t="n">
        <v>2.6</v>
      </c>
      <c r="H324" t="n">
        <v>0</v>
      </c>
      <c r="I324" t="n">
        <v>0</v>
      </c>
      <c r="J324" t="n">
        <v>0</v>
      </c>
      <c r="K324" t="n">
        <v>0</v>
      </c>
      <c r="L324" t="n">
        <v>0</v>
      </c>
      <c r="M324" t="n">
        <v>0</v>
      </c>
      <c r="N324" t="n">
        <v>0</v>
      </c>
      <c r="O324" t="n">
        <v>0</v>
      </c>
      <c r="P324" t="n">
        <v>0</v>
      </c>
      <c r="Q324" t="n">
        <v>0</v>
      </c>
      <c r="R324" s="2" t="inlineStr"/>
    </row>
    <row r="325" ht="15" customHeight="1">
      <c r="A325" t="inlineStr">
        <is>
          <t>A 33333-2021</t>
        </is>
      </c>
      <c r="B325" s="1" t="n">
        <v>44377</v>
      </c>
      <c r="C325" s="1" t="n">
        <v>46160</v>
      </c>
      <c r="D325" t="inlineStr">
        <is>
          <t>JÄMTLANDS LÄN</t>
        </is>
      </c>
      <c r="E325" t="inlineStr">
        <is>
          <t>KROKOM</t>
        </is>
      </c>
      <c r="F325" t="inlineStr">
        <is>
          <t>Övriga Aktiebolag</t>
        </is>
      </c>
      <c r="G325" t="n">
        <v>2.3</v>
      </c>
      <c r="H325" t="n">
        <v>0</v>
      </c>
      <c r="I325" t="n">
        <v>0</v>
      </c>
      <c r="J325" t="n">
        <v>0</v>
      </c>
      <c r="K325" t="n">
        <v>0</v>
      </c>
      <c r="L325" t="n">
        <v>0</v>
      </c>
      <c r="M325" t="n">
        <v>0</v>
      </c>
      <c r="N325" t="n">
        <v>0</v>
      </c>
      <c r="O325" t="n">
        <v>0</v>
      </c>
      <c r="P325" t="n">
        <v>0</v>
      </c>
      <c r="Q325" t="n">
        <v>0</v>
      </c>
      <c r="R325" s="2" t="inlineStr"/>
    </row>
    <row r="326" ht="15" customHeight="1">
      <c r="A326" t="inlineStr">
        <is>
          <t>A 25031-2022</t>
        </is>
      </c>
      <c r="B326" s="1" t="n">
        <v>44728.94420138889</v>
      </c>
      <c r="C326" s="1" t="n">
        <v>46160</v>
      </c>
      <c r="D326" t="inlineStr">
        <is>
          <t>JÄMTLANDS LÄN</t>
        </is>
      </c>
      <c r="E326" t="inlineStr">
        <is>
          <t>KROKOM</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40866-2022</t>
        </is>
      </c>
      <c r="B327" s="1" t="n">
        <v>44820</v>
      </c>
      <c r="C327" s="1" t="n">
        <v>46160</v>
      </c>
      <c r="D327" t="inlineStr">
        <is>
          <t>JÄMTLANDS LÄN</t>
        </is>
      </c>
      <c r="E327" t="inlineStr">
        <is>
          <t>KROKOM</t>
        </is>
      </c>
      <c r="G327" t="n">
        <v>4.3</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46160</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46160</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46160</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46160</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46160</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46160</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46160</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46160</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46160</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10220-2025</t>
        </is>
      </c>
      <c r="B337" s="1" t="n">
        <v>45720</v>
      </c>
      <c r="C337" s="1" t="n">
        <v>46160</v>
      </c>
      <c r="D337" t="inlineStr">
        <is>
          <t>JÄMTLANDS LÄN</t>
        </is>
      </c>
      <c r="E337" t="inlineStr">
        <is>
          <t>KROKOM</t>
        </is>
      </c>
      <c r="G337" t="n">
        <v>0.2</v>
      </c>
      <c r="H337" t="n">
        <v>0</v>
      </c>
      <c r="I337" t="n">
        <v>0</v>
      </c>
      <c r="J337" t="n">
        <v>0</v>
      </c>
      <c r="K337" t="n">
        <v>0</v>
      </c>
      <c r="L337" t="n">
        <v>0</v>
      </c>
      <c r="M337" t="n">
        <v>0</v>
      </c>
      <c r="N337" t="n">
        <v>0</v>
      </c>
      <c r="O337" t="n">
        <v>0</v>
      </c>
      <c r="P337" t="n">
        <v>0</v>
      </c>
      <c r="Q337" t="n">
        <v>0</v>
      </c>
      <c r="R337" s="2" t="inlineStr"/>
    </row>
    <row r="338" ht="15" customHeight="1">
      <c r="A338" t="inlineStr">
        <is>
          <t>A 17383-2023</t>
        </is>
      </c>
      <c r="B338" s="1" t="n">
        <v>45035</v>
      </c>
      <c r="C338" s="1" t="n">
        <v>46160</v>
      </c>
      <c r="D338" t="inlineStr">
        <is>
          <t>JÄMTLANDS LÄN</t>
        </is>
      </c>
      <c r="E338" t="inlineStr">
        <is>
          <t>KROKOM</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9948-2025</t>
        </is>
      </c>
      <c r="B339" s="1" t="n">
        <v>45719.32584490741</v>
      </c>
      <c r="C339" s="1" t="n">
        <v>46160</v>
      </c>
      <c r="D339" t="inlineStr">
        <is>
          <t>JÄMTLANDS LÄN</t>
        </is>
      </c>
      <c r="E339" t="inlineStr">
        <is>
          <t>KROKOM</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16247-2025</t>
        </is>
      </c>
      <c r="B340" s="1" t="n">
        <v>45749</v>
      </c>
      <c r="C340" s="1" t="n">
        <v>46160</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47606-2023</t>
        </is>
      </c>
      <c r="B341" s="1" t="n">
        <v>45203.46523148148</v>
      </c>
      <c r="C341" s="1" t="n">
        <v>46160</v>
      </c>
      <c r="D341" t="inlineStr">
        <is>
          <t>JÄMTLANDS LÄN</t>
        </is>
      </c>
      <c r="E341" t="inlineStr">
        <is>
          <t>KROKOM</t>
        </is>
      </c>
      <c r="G341" t="n">
        <v>5.5</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46160</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46160</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13249-2024</t>
        </is>
      </c>
      <c r="B344" s="1" t="n">
        <v>45386</v>
      </c>
      <c r="C344" s="1" t="n">
        <v>46160</v>
      </c>
      <c r="D344" t="inlineStr">
        <is>
          <t>JÄMTLANDS LÄN</t>
        </is>
      </c>
      <c r="E344" t="inlineStr">
        <is>
          <t>KROKOM</t>
        </is>
      </c>
      <c r="G344" t="n">
        <v>2.4</v>
      </c>
      <c r="H344" t="n">
        <v>0</v>
      </c>
      <c r="I344" t="n">
        <v>0</v>
      </c>
      <c r="J344" t="n">
        <v>0</v>
      </c>
      <c r="K344" t="n">
        <v>0</v>
      </c>
      <c r="L344" t="n">
        <v>0</v>
      </c>
      <c r="M344" t="n">
        <v>0</v>
      </c>
      <c r="N344" t="n">
        <v>0</v>
      </c>
      <c r="O344" t="n">
        <v>0</v>
      </c>
      <c r="P344" t="n">
        <v>0</v>
      </c>
      <c r="Q344" t="n">
        <v>0</v>
      </c>
      <c r="R344" s="2" t="inlineStr"/>
    </row>
    <row r="345" ht="15" customHeight="1">
      <c r="A345" t="inlineStr">
        <is>
          <t>A 17298-2024</t>
        </is>
      </c>
      <c r="B345" s="1" t="n">
        <v>45414.486875</v>
      </c>
      <c r="C345" s="1" t="n">
        <v>46160</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row>
    <row r="346" ht="15" customHeight="1">
      <c r="A346" t="inlineStr">
        <is>
          <t>A 39696-2024</t>
        </is>
      </c>
      <c r="B346" s="1" t="n">
        <v>45552.57210648148</v>
      </c>
      <c r="C346" s="1" t="n">
        <v>46160</v>
      </c>
      <c r="D346" t="inlineStr">
        <is>
          <t>JÄMTLANDS LÄN</t>
        </is>
      </c>
      <c r="E346" t="inlineStr">
        <is>
          <t>KROKOM</t>
        </is>
      </c>
      <c r="G346" t="n">
        <v>5.3</v>
      </c>
      <c r="H346" t="n">
        <v>0</v>
      </c>
      <c r="I346" t="n">
        <v>0</v>
      </c>
      <c r="J346" t="n">
        <v>0</v>
      </c>
      <c r="K346" t="n">
        <v>0</v>
      </c>
      <c r="L346" t="n">
        <v>0</v>
      </c>
      <c r="M346" t="n">
        <v>0</v>
      </c>
      <c r="N346" t="n">
        <v>0</v>
      </c>
      <c r="O346" t="n">
        <v>0</v>
      </c>
      <c r="P346" t="n">
        <v>0</v>
      </c>
      <c r="Q346" t="n">
        <v>0</v>
      </c>
      <c r="R346" s="2" t="inlineStr"/>
    </row>
    <row r="347" ht="15" customHeight="1">
      <c r="A347" t="inlineStr">
        <is>
          <t>A 58677-2023</t>
        </is>
      </c>
      <c r="B347" s="1" t="n">
        <v>45251.65152777778</v>
      </c>
      <c r="C347" s="1" t="n">
        <v>46160</v>
      </c>
      <c r="D347" t="inlineStr">
        <is>
          <t>JÄMTLANDS LÄN</t>
        </is>
      </c>
      <c r="E347" t="inlineStr">
        <is>
          <t>KROKOM</t>
        </is>
      </c>
      <c r="G347" t="n">
        <v>3.6</v>
      </c>
      <c r="H347" t="n">
        <v>0</v>
      </c>
      <c r="I347" t="n">
        <v>0</v>
      </c>
      <c r="J347" t="n">
        <v>0</v>
      </c>
      <c r="K347" t="n">
        <v>0</v>
      </c>
      <c r="L347" t="n">
        <v>0</v>
      </c>
      <c r="M347" t="n">
        <v>0</v>
      </c>
      <c r="N347" t="n">
        <v>0</v>
      </c>
      <c r="O347" t="n">
        <v>0</v>
      </c>
      <c r="P347" t="n">
        <v>0</v>
      </c>
      <c r="Q347" t="n">
        <v>0</v>
      </c>
      <c r="R347" s="2" t="inlineStr"/>
    </row>
    <row r="348" ht="15" customHeight="1">
      <c r="A348" t="inlineStr">
        <is>
          <t>A 43932-2024</t>
        </is>
      </c>
      <c r="B348" s="1" t="n">
        <v>45572.45601851852</v>
      </c>
      <c r="C348" s="1" t="n">
        <v>46160</v>
      </c>
      <c r="D348" t="inlineStr">
        <is>
          <t>JÄMTLANDS LÄN</t>
        </is>
      </c>
      <c r="E348" t="inlineStr">
        <is>
          <t>KROKOM</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45827-2023</t>
        </is>
      </c>
      <c r="B349" s="1" t="n">
        <v>45195</v>
      </c>
      <c r="C349" s="1" t="n">
        <v>46160</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9027-2025</t>
        </is>
      </c>
      <c r="B350" s="1" t="n">
        <v>45713.60719907407</v>
      </c>
      <c r="C350" s="1" t="n">
        <v>46160</v>
      </c>
      <c r="D350" t="inlineStr">
        <is>
          <t>JÄMTLANDS LÄN</t>
        </is>
      </c>
      <c r="E350" t="inlineStr">
        <is>
          <t>KROKOM</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17090-2024</t>
        </is>
      </c>
      <c r="B351" s="1" t="n">
        <v>45412.51260416667</v>
      </c>
      <c r="C351" s="1" t="n">
        <v>46160</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36122-2022</t>
        </is>
      </c>
      <c r="B352" s="1" t="n">
        <v>44803</v>
      </c>
      <c r="C352" s="1" t="n">
        <v>46160</v>
      </c>
      <c r="D352" t="inlineStr">
        <is>
          <t>JÄMTLANDS LÄN</t>
        </is>
      </c>
      <c r="E352" t="inlineStr">
        <is>
          <t>KROKOM</t>
        </is>
      </c>
      <c r="G352" t="n">
        <v>5.7</v>
      </c>
      <c r="H352" t="n">
        <v>0</v>
      </c>
      <c r="I352" t="n">
        <v>0</v>
      </c>
      <c r="J352" t="n">
        <v>0</v>
      </c>
      <c r="K352" t="n">
        <v>0</v>
      </c>
      <c r="L352" t="n">
        <v>0</v>
      </c>
      <c r="M352" t="n">
        <v>0</v>
      </c>
      <c r="N352" t="n">
        <v>0</v>
      </c>
      <c r="O352" t="n">
        <v>0</v>
      </c>
      <c r="P352" t="n">
        <v>0</v>
      </c>
      <c r="Q352" t="n">
        <v>0</v>
      </c>
      <c r="R352" s="2" t="inlineStr"/>
    </row>
    <row r="353" ht="15" customHeight="1">
      <c r="A353" t="inlineStr">
        <is>
          <t>A 6900-2024</t>
        </is>
      </c>
      <c r="B353" s="1" t="n">
        <v>45342</v>
      </c>
      <c r="C353" s="1" t="n">
        <v>46160</v>
      </c>
      <c r="D353" t="inlineStr">
        <is>
          <t>JÄMTLANDS LÄN</t>
        </is>
      </c>
      <c r="E353" t="inlineStr">
        <is>
          <t>KROKOM</t>
        </is>
      </c>
      <c r="F353" t="inlineStr">
        <is>
          <t>SCA</t>
        </is>
      </c>
      <c r="G353" t="n">
        <v>64.59999999999999</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46160</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6627-2025</t>
        </is>
      </c>
      <c r="B355" s="1" t="n">
        <v>45700.37127314815</v>
      </c>
      <c r="C355" s="1" t="n">
        <v>46160</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6629-2025</t>
        </is>
      </c>
      <c r="B356" s="1" t="n">
        <v>45700.37481481482</v>
      </c>
      <c r="C356" s="1" t="n">
        <v>46160</v>
      </c>
      <c r="D356" t="inlineStr">
        <is>
          <t>JÄMTLANDS LÄN</t>
        </is>
      </c>
      <c r="E356" t="inlineStr">
        <is>
          <t>KROKOM</t>
        </is>
      </c>
      <c r="F356" t="inlineStr">
        <is>
          <t>Övriga Aktiebolag</t>
        </is>
      </c>
      <c r="G356" t="n">
        <v>24.8</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46160</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46160</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43426-2022</t>
        </is>
      </c>
      <c r="B359" s="1" t="n">
        <v>44834.95019675926</v>
      </c>
      <c r="C359" s="1" t="n">
        <v>46160</v>
      </c>
      <c r="D359" t="inlineStr">
        <is>
          <t>JÄMTLANDS LÄN</t>
        </is>
      </c>
      <c r="E359" t="inlineStr">
        <is>
          <t>KROKOM</t>
        </is>
      </c>
      <c r="F359" t="inlineStr">
        <is>
          <t>SCA</t>
        </is>
      </c>
      <c r="G359" t="n">
        <v>34.4</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46160</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24387-2023</t>
        </is>
      </c>
      <c r="B361" s="1" t="n">
        <v>45082</v>
      </c>
      <c r="C361" s="1" t="n">
        <v>46160</v>
      </c>
      <c r="D361" t="inlineStr">
        <is>
          <t>JÄMTLANDS LÄN</t>
        </is>
      </c>
      <c r="E361" t="inlineStr">
        <is>
          <t>KROKOM</t>
        </is>
      </c>
      <c r="F361" t="inlineStr">
        <is>
          <t>Kyrkan</t>
        </is>
      </c>
      <c r="G361" t="n">
        <v>21.2</v>
      </c>
      <c r="H361" t="n">
        <v>0</v>
      </c>
      <c r="I361" t="n">
        <v>0</v>
      </c>
      <c r="J361" t="n">
        <v>0</v>
      </c>
      <c r="K361" t="n">
        <v>0</v>
      </c>
      <c r="L361" t="n">
        <v>0</v>
      </c>
      <c r="M361" t="n">
        <v>0</v>
      </c>
      <c r="N361" t="n">
        <v>0</v>
      </c>
      <c r="O361" t="n">
        <v>0</v>
      </c>
      <c r="P361" t="n">
        <v>0</v>
      </c>
      <c r="Q361" t="n">
        <v>0</v>
      </c>
      <c r="R361" s="2" t="inlineStr"/>
    </row>
    <row r="362" ht="15" customHeight="1">
      <c r="A362" t="inlineStr">
        <is>
          <t>A 53402-2022</t>
        </is>
      </c>
      <c r="B362" s="1" t="n">
        <v>44874</v>
      </c>
      <c r="C362" s="1" t="n">
        <v>46160</v>
      </c>
      <c r="D362" t="inlineStr">
        <is>
          <t>JÄMTLANDS LÄN</t>
        </is>
      </c>
      <c r="E362" t="inlineStr">
        <is>
          <t>KROKOM</t>
        </is>
      </c>
      <c r="G362" t="n">
        <v>36.7</v>
      </c>
      <c r="H362" t="n">
        <v>0</v>
      </c>
      <c r="I362" t="n">
        <v>0</v>
      </c>
      <c r="J362" t="n">
        <v>0</v>
      </c>
      <c r="K362" t="n">
        <v>0</v>
      </c>
      <c r="L362" t="n">
        <v>0</v>
      </c>
      <c r="M362" t="n">
        <v>0</v>
      </c>
      <c r="N362" t="n">
        <v>0</v>
      </c>
      <c r="O362" t="n">
        <v>0</v>
      </c>
      <c r="P362" t="n">
        <v>0</v>
      </c>
      <c r="Q362" t="n">
        <v>0</v>
      </c>
      <c r="R362" s="2" t="inlineStr"/>
    </row>
    <row r="363" ht="15" customHeight="1">
      <c r="A363" t="inlineStr">
        <is>
          <t>A 14293-2025</t>
        </is>
      </c>
      <c r="B363" s="1" t="n">
        <v>45740</v>
      </c>
      <c r="C363" s="1" t="n">
        <v>46160</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58347-2022</t>
        </is>
      </c>
      <c r="B364" s="1" t="n">
        <v>44901.59349537037</v>
      </c>
      <c r="C364" s="1" t="n">
        <v>46160</v>
      </c>
      <c r="D364" t="inlineStr">
        <is>
          <t>JÄMTLANDS LÄN</t>
        </is>
      </c>
      <c r="E364" t="inlineStr">
        <is>
          <t>KROKOM</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40271-2024</t>
        </is>
      </c>
      <c r="B365" s="1" t="n">
        <v>45554</v>
      </c>
      <c r="C365" s="1" t="n">
        <v>46160</v>
      </c>
      <c r="D365" t="inlineStr">
        <is>
          <t>JÄMTLANDS LÄN</t>
        </is>
      </c>
      <c r="E365" t="inlineStr">
        <is>
          <t>KROKOM</t>
        </is>
      </c>
      <c r="F365" t="inlineStr">
        <is>
          <t>Övriga Aktiebolag</t>
        </is>
      </c>
      <c r="G365" t="n">
        <v>3</v>
      </c>
      <c r="H365" t="n">
        <v>0</v>
      </c>
      <c r="I365" t="n">
        <v>0</v>
      </c>
      <c r="J365" t="n">
        <v>0</v>
      </c>
      <c r="K365" t="n">
        <v>0</v>
      </c>
      <c r="L365" t="n">
        <v>0</v>
      </c>
      <c r="M365" t="n">
        <v>0</v>
      </c>
      <c r="N365" t="n">
        <v>0</v>
      </c>
      <c r="O365" t="n">
        <v>0</v>
      </c>
      <c r="P365" t="n">
        <v>0</v>
      </c>
      <c r="Q365" t="n">
        <v>0</v>
      </c>
      <c r="R365" s="2" t="inlineStr"/>
    </row>
    <row r="366" ht="15" customHeight="1">
      <c r="A366" t="inlineStr">
        <is>
          <t>A 56361-2023</t>
        </is>
      </c>
      <c r="B366" s="1" t="n">
        <v>45243.37567129629</v>
      </c>
      <c r="C366" s="1" t="n">
        <v>46160</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14827-2024</t>
        </is>
      </c>
      <c r="B367" s="1" t="n">
        <v>45398</v>
      </c>
      <c r="C367" s="1" t="n">
        <v>46160</v>
      </c>
      <c r="D367" t="inlineStr">
        <is>
          <t>JÄMTLANDS LÄN</t>
        </is>
      </c>
      <c r="E367" t="inlineStr">
        <is>
          <t>KROKOM</t>
        </is>
      </c>
      <c r="G367" t="n">
        <v>10</v>
      </c>
      <c r="H367" t="n">
        <v>0</v>
      </c>
      <c r="I367" t="n">
        <v>0</v>
      </c>
      <c r="J367" t="n">
        <v>0</v>
      </c>
      <c r="K367" t="n">
        <v>0</v>
      </c>
      <c r="L367" t="n">
        <v>0</v>
      </c>
      <c r="M367" t="n">
        <v>0</v>
      </c>
      <c r="N367" t="n">
        <v>0</v>
      </c>
      <c r="O367" t="n">
        <v>0</v>
      </c>
      <c r="P367" t="n">
        <v>0</v>
      </c>
      <c r="Q367" t="n">
        <v>0</v>
      </c>
      <c r="R367" s="2" t="inlineStr"/>
    </row>
    <row r="368" ht="15" customHeight="1">
      <c r="A368" t="inlineStr">
        <is>
          <t>A 27224-2024</t>
        </is>
      </c>
      <c r="B368" s="1" t="n">
        <v>45471.63390046296</v>
      </c>
      <c r="C368" s="1" t="n">
        <v>46160</v>
      </c>
      <c r="D368" t="inlineStr">
        <is>
          <t>JÄMTLANDS LÄN</t>
        </is>
      </c>
      <c r="E368" t="inlineStr">
        <is>
          <t>KROKOM</t>
        </is>
      </c>
      <c r="G368" t="n">
        <v>5.4</v>
      </c>
      <c r="H368" t="n">
        <v>0</v>
      </c>
      <c r="I368" t="n">
        <v>0</v>
      </c>
      <c r="J368" t="n">
        <v>0</v>
      </c>
      <c r="K368" t="n">
        <v>0</v>
      </c>
      <c r="L368" t="n">
        <v>0</v>
      </c>
      <c r="M368" t="n">
        <v>0</v>
      </c>
      <c r="N368" t="n">
        <v>0</v>
      </c>
      <c r="O368" t="n">
        <v>0</v>
      </c>
      <c r="P368" t="n">
        <v>0</v>
      </c>
      <c r="Q368" t="n">
        <v>0</v>
      </c>
      <c r="R368" s="2" t="inlineStr"/>
    </row>
    <row r="369" ht="15" customHeight="1">
      <c r="A369" t="inlineStr">
        <is>
          <t>A 61615-2023</t>
        </is>
      </c>
      <c r="B369" s="1" t="n">
        <v>45265.52887731481</v>
      </c>
      <c r="C369" s="1" t="n">
        <v>46160</v>
      </c>
      <c r="D369" t="inlineStr">
        <is>
          <t>JÄMTLANDS LÄN</t>
        </is>
      </c>
      <c r="E369" t="inlineStr">
        <is>
          <t>KROKOM</t>
        </is>
      </c>
      <c r="G369" t="n">
        <v>3.9</v>
      </c>
      <c r="H369" t="n">
        <v>0</v>
      </c>
      <c r="I369" t="n">
        <v>0</v>
      </c>
      <c r="J369" t="n">
        <v>0</v>
      </c>
      <c r="K369" t="n">
        <v>0</v>
      </c>
      <c r="L369" t="n">
        <v>0</v>
      </c>
      <c r="M369" t="n">
        <v>0</v>
      </c>
      <c r="N369" t="n">
        <v>0</v>
      </c>
      <c r="O369" t="n">
        <v>0</v>
      </c>
      <c r="P369" t="n">
        <v>0</v>
      </c>
      <c r="Q369" t="n">
        <v>0</v>
      </c>
      <c r="R369" s="2" t="inlineStr"/>
    </row>
    <row r="370" ht="15" customHeight="1">
      <c r="A370" t="inlineStr">
        <is>
          <t>A 15638-2025</t>
        </is>
      </c>
      <c r="B370" s="1" t="n">
        <v>45748.3822337963</v>
      </c>
      <c r="C370" s="1" t="n">
        <v>46160</v>
      </c>
      <c r="D370" t="inlineStr">
        <is>
          <t>JÄMTLANDS LÄN</t>
        </is>
      </c>
      <c r="E370" t="inlineStr">
        <is>
          <t>KROKOM</t>
        </is>
      </c>
      <c r="F370" t="inlineStr">
        <is>
          <t>Kyrkan</t>
        </is>
      </c>
      <c r="G370" t="n">
        <v>5.9</v>
      </c>
      <c r="H370" t="n">
        <v>0</v>
      </c>
      <c r="I370" t="n">
        <v>0</v>
      </c>
      <c r="J370" t="n">
        <v>0</v>
      </c>
      <c r="K370" t="n">
        <v>0</v>
      </c>
      <c r="L370" t="n">
        <v>0</v>
      </c>
      <c r="M370" t="n">
        <v>0</v>
      </c>
      <c r="N370" t="n">
        <v>0</v>
      </c>
      <c r="O370" t="n">
        <v>0</v>
      </c>
      <c r="P370" t="n">
        <v>0</v>
      </c>
      <c r="Q370" t="n">
        <v>0</v>
      </c>
      <c r="R370" s="2" t="inlineStr"/>
    </row>
    <row r="371" ht="15" customHeight="1">
      <c r="A371" t="inlineStr">
        <is>
          <t>A 15432-2025</t>
        </is>
      </c>
      <c r="B371" s="1" t="n">
        <v>45747.47025462963</v>
      </c>
      <c r="C371" s="1" t="n">
        <v>46160</v>
      </c>
      <c r="D371" t="inlineStr">
        <is>
          <t>JÄMTLANDS LÄN</t>
        </is>
      </c>
      <c r="E371" t="inlineStr">
        <is>
          <t>KROKOM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23665-2024</t>
        </is>
      </c>
      <c r="B372" s="1" t="n">
        <v>45454.57899305555</v>
      </c>
      <c r="C372" s="1" t="n">
        <v>46160</v>
      </c>
      <c r="D372" t="inlineStr">
        <is>
          <t>JÄMTLANDS LÄN</t>
        </is>
      </c>
      <c r="E372" t="inlineStr">
        <is>
          <t>KROKOM</t>
        </is>
      </c>
      <c r="G372" t="n">
        <v>1.1</v>
      </c>
      <c r="H372" t="n">
        <v>0</v>
      </c>
      <c r="I372" t="n">
        <v>0</v>
      </c>
      <c r="J372" t="n">
        <v>0</v>
      </c>
      <c r="K372" t="n">
        <v>0</v>
      </c>
      <c r="L372" t="n">
        <v>0</v>
      </c>
      <c r="M372" t="n">
        <v>0</v>
      </c>
      <c r="N372" t="n">
        <v>0</v>
      </c>
      <c r="O372" t="n">
        <v>0</v>
      </c>
      <c r="P372" t="n">
        <v>0</v>
      </c>
      <c r="Q372" t="n">
        <v>0</v>
      </c>
      <c r="R372" s="2" t="inlineStr"/>
    </row>
    <row r="373" ht="15" customHeight="1">
      <c r="A373" t="inlineStr">
        <is>
          <t>A 24333-2024</t>
        </is>
      </c>
      <c r="B373" s="1" t="n">
        <v>45457.55922453704</v>
      </c>
      <c r="C373" s="1" t="n">
        <v>46160</v>
      </c>
      <c r="D373" t="inlineStr">
        <is>
          <t>JÄMTLANDS LÄN</t>
        </is>
      </c>
      <c r="E373" t="inlineStr">
        <is>
          <t>KROKOM</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55914-2023</t>
        </is>
      </c>
      <c r="B374" s="1" t="n">
        <v>45239.9681712963</v>
      </c>
      <c r="C374" s="1" t="n">
        <v>46160</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16817-2024</t>
        </is>
      </c>
      <c r="B375" s="1" t="n">
        <v>45411.4666087963</v>
      </c>
      <c r="C375" s="1" t="n">
        <v>46160</v>
      </c>
      <c r="D375" t="inlineStr">
        <is>
          <t>JÄMTLANDS LÄN</t>
        </is>
      </c>
      <c r="E375" t="inlineStr">
        <is>
          <t>KROKOM</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58355-2023</t>
        </is>
      </c>
      <c r="B376" s="1" t="n">
        <v>45250</v>
      </c>
      <c r="C376" s="1" t="n">
        <v>46160</v>
      </c>
      <c r="D376" t="inlineStr">
        <is>
          <t>JÄMTLANDS LÄN</t>
        </is>
      </c>
      <c r="E376" t="inlineStr">
        <is>
          <t>KROKOM</t>
        </is>
      </c>
      <c r="F376" t="inlineStr">
        <is>
          <t>Övriga Aktiebolag</t>
        </is>
      </c>
      <c r="G376" t="n">
        <v>6.6</v>
      </c>
      <c r="H376" t="n">
        <v>0</v>
      </c>
      <c r="I376" t="n">
        <v>0</v>
      </c>
      <c r="J376" t="n">
        <v>0</v>
      </c>
      <c r="K376" t="n">
        <v>0</v>
      </c>
      <c r="L376" t="n">
        <v>0</v>
      </c>
      <c r="M376" t="n">
        <v>0</v>
      </c>
      <c r="N376" t="n">
        <v>0</v>
      </c>
      <c r="O376" t="n">
        <v>0</v>
      </c>
      <c r="P376" t="n">
        <v>0</v>
      </c>
      <c r="Q376" t="n">
        <v>0</v>
      </c>
      <c r="R376" s="2" t="inlineStr"/>
    </row>
    <row r="377" ht="15" customHeight="1">
      <c r="A377" t="inlineStr">
        <is>
          <t>A 24234-2024</t>
        </is>
      </c>
      <c r="B377" s="1" t="n">
        <v>45457.35388888889</v>
      </c>
      <c r="C377" s="1" t="n">
        <v>46160</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52911-2023</t>
        </is>
      </c>
      <c r="B378" s="1" t="n">
        <v>45226</v>
      </c>
      <c r="C378" s="1" t="n">
        <v>46160</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42210-2022</t>
        </is>
      </c>
      <c r="B379" s="1" t="n">
        <v>44830</v>
      </c>
      <c r="C379" s="1" t="n">
        <v>46160</v>
      </c>
      <c r="D379" t="inlineStr">
        <is>
          <t>JÄMTLANDS LÄN</t>
        </is>
      </c>
      <c r="E379" t="inlineStr">
        <is>
          <t>KROKOM</t>
        </is>
      </c>
      <c r="F379" t="inlineStr">
        <is>
          <t>Övriga Aktiebolag</t>
        </is>
      </c>
      <c r="G379" t="n">
        <v>11.6</v>
      </c>
      <c r="H379" t="n">
        <v>0</v>
      </c>
      <c r="I379" t="n">
        <v>0</v>
      </c>
      <c r="J379" t="n">
        <v>0</v>
      </c>
      <c r="K379" t="n">
        <v>0</v>
      </c>
      <c r="L379" t="n">
        <v>0</v>
      </c>
      <c r="M379" t="n">
        <v>0</v>
      </c>
      <c r="N379" t="n">
        <v>0</v>
      </c>
      <c r="O379" t="n">
        <v>0</v>
      </c>
      <c r="P379" t="n">
        <v>0</v>
      </c>
      <c r="Q379" t="n">
        <v>0</v>
      </c>
      <c r="R379" s="2" t="inlineStr"/>
    </row>
    <row r="380" ht="15" customHeight="1">
      <c r="A380" t="inlineStr">
        <is>
          <t>A 27597-2024</t>
        </is>
      </c>
      <c r="B380" s="1" t="n">
        <v>45474.69155092593</v>
      </c>
      <c r="C380" s="1" t="n">
        <v>46160</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36079-2021</t>
        </is>
      </c>
      <c r="B381" s="1" t="n">
        <v>44389</v>
      </c>
      <c r="C381" s="1" t="n">
        <v>46160</v>
      </c>
      <c r="D381" t="inlineStr">
        <is>
          <t>JÄMTLANDS LÄN</t>
        </is>
      </c>
      <c r="E381" t="inlineStr">
        <is>
          <t>KROKOM</t>
        </is>
      </c>
      <c r="F381" t="inlineStr">
        <is>
          <t>Övriga Aktiebolag</t>
        </is>
      </c>
      <c r="G381" t="n">
        <v>17</v>
      </c>
      <c r="H381" t="n">
        <v>0</v>
      </c>
      <c r="I381" t="n">
        <v>0</v>
      </c>
      <c r="J381" t="n">
        <v>0</v>
      </c>
      <c r="K381" t="n">
        <v>0</v>
      </c>
      <c r="L381" t="n">
        <v>0</v>
      </c>
      <c r="M381" t="n">
        <v>0</v>
      </c>
      <c r="N381" t="n">
        <v>0</v>
      </c>
      <c r="O381" t="n">
        <v>0</v>
      </c>
      <c r="P381" t="n">
        <v>0</v>
      </c>
      <c r="Q381" t="n">
        <v>0</v>
      </c>
      <c r="R381" s="2" t="inlineStr"/>
    </row>
    <row r="382" ht="15" customHeight="1">
      <c r="A382" t="inlineStr">
        <is>
          <t>A 14032-2024</t>
        </is>
      </c>
      <c r="B382" s="1" t="n">
        <v>45392</v>
      </c>
      <c r="C382" s="1" t="n">
        <v>46160</v>
      </c>
      <c r="D382" t="inlineStr">
        <is>
          <t>JÄMTLANDS LÄN</t>
        </is>
      </c>
      <c r="E382" t="inlineStr">
        <is>
          <t>KROKOM</t>
        </is>
      </c>
      <c r="F382" t="inlineStr">
        <is>
          <t>Kyrkan</t>
        </is>
      </c>
      <c r="G382" t="n">
        <v>1.1</v>
      </c>
      <c r="H382" t="n">
        <v>0</v>
      </c>
      <c r="I382" t="n">
        <v>0</v>
      </c>
      <c r="J382" t="n">
        <v>0</v>
      </c>
      <c r="K382" t="n">
        <v>0</v>
      </c>
      <c r="L382" t="n">
        <v>0</v>
      </c>
      <c r="M382" t="n">
        <v>0</v>
      </c>
      <c r="N382" t="n">
        <v>0</v>
      </c>
      <c r="O382" t="n">
        <v>0</v>
      </c>
      <c r="P382" t="n">
        <v>0</v>
      </c>
      <c r="Q382" t="n">
        <v>0</v>
      </c>
      <c r="R382" s="2" t="inlineStr"/>
    </row>
    <row r="383" ht="15" customHeight="1">
      <c r="A383" t="inlineStr">
        <is>
          <t>A 17417-2024</t>
        </is>
      </c>
      <c r="B383" s="1" t="n">
        <v>45414.96341435185</v>
      </c>
      <c r="C383" s="1" t="n">
        <v>46160</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28137-2023</t>
        </is>
      </c>
      <c r="B384" s="1" t="n">
        <v>45096</v>
      </c>
      <c r="C384" s="1" t="n">
        <v>46160</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45869-2024</t>
        </is>
      </c>
      <c r="B385" s="1" t="n">
        <v>45580.36991898148</v>
      </c>
      <c r="C385" s="1" t="n">
        <v>46160</v>
      </c>
      <c r="D385" t="inlineStr">
        <is>
          <t>JÄMTLANDS LÄN</t>
        </is>
      </c>
      <c r="E385" t="inlineStr">
        <is>
          <t>KROKOM</t>
        </is>
      </c>
      <c r="F385" t="inlineStr">
        <is>
          <t>Övriga Aktiebolag</t>
        </is>
      </c>
      <c r="G385" t="n">
        <v>4.1</v>
      </c>
      <c r="H385" t="n">
        <v>0</v>
      </c>
      <c r="I385" t="n">
        <v>0</v>
      </c>
      <c r="J385" t="n">
        <v>0</v>
      </c>
      <c r="K385" t="n">
        <v>0</v>
      </c>
      <c r="L385" t="n">
        <v>0</v>
      </c>
      <c r="M385" t="n">
        <v>0</v>
      </c>
      <c r="N385" t="n">
        <v>0</v>
      </c>
      <c r="O385" t="n">
        <v>0</v>
      </c>
      <c r="P385" t="n">
        <v>0</v>
      </c>
      <c r="Q385" t="n">
        <v>0</v>
      </c>
      <c r="R385" s="2" t="inlineStr"/>
    </row>
    <row r="386" ht="15" customHeight="1">
      <c r="A386" t="inlineStr">
        <is>
          <t>A 27596-2024</t>
        </is>
      </c>
      <c r="B386" s="1" t="n">
        <v>45474.69074074074</v>
      </c>
      <c r="C386" s="1" t="n">
        <v>46160</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63960-2023</t>
        </is>
      </c>
      <c r="B387" s="1" t="n">
        <v>45278.65582175926</v>
      </c>
      <c r="C387" s="1" t="n">
        <v>46160</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46160</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26228-2024</t>
        </is>
      </c>
      <c r="B389" s="1" t="n">
        <v>45467</v>
      </c>
      <c r="C389" s="1" t="n">
        <v>46160</v>
      </c>
      <c r="D389" t="inlineStr">
        <is>
          <t>JÄMTLANDS LÄN</t>
        </is>
      </c>
      <c r="E389" t="inlineStr">
        <is>
          <t>KROKOM</t>
        </is>
      </c>
      <c r="G389" t="n">
        <v>12</v>
      </c>
      <c r="H389" t="n">
        <v>0</v>
      </c>
      <c r="I389" t="n">
        <v>0</v>
      </c>
      <c r="J389" t="n">
        <v>0</v>
      </c>
      <c r="K389" t="n">
        <v>0</v>
      </c>
      <c r="L389" t="n">
        <v>0</v>
      </c>
      <c r="M389" t="n">
        <v>0</v>
      </c>
      <c r="N389" t="n">
        <v>0</v>
      </c>
      <c r="O389" t="n">
        <v>0</v>
      </c>
      <c r="P389" t="n">
        <v>0</v>
      </c>
      <c r="Q389" t="n">
        <v>0</v>
      </c>
      <c r="R389" s="2" t="inlineStr"/>
    </row>
    <row r="390" ht="15" customHeight="1">
      <c r="A390" t="inlineStr">
        <is>
          <t>A 57985-2024</t>
        </is>
      </c>
      <c r="B390" s="1" t="n">
        <v>45631.61869212963</v>
      </c>
      <c r="C390" s="1" t="n">
        <v>46160</v>
      </c>
      <c r="D390" t="inlineStr">
        <is>
          <t>JÄMTLANDS LÄN</t>
        </is>
      </c>
      <c r="E390" t="inlineStr">
        <is>
          <t>KROKOM</t>
        </is>
      </c>
      <c r="G390" t="n">
        <v>1.9</v>
      </c>
      <c r="H390" t="n">
        <v>0</v>
      </c>
      <c r="I390" t="n">
        <v>0</v>
      </c>
      <c r="J390" t="n">
        <v>0</v>
      </c>
      <c r="K390" t="n">
        <v>0</v>
      </c>
      <c r="L390" t="n">
        <v>0</v>
      </c>
      <c r="M390" t="n">
        <v>0</v>
      </c>
      <c r="N390" t="n">
        <v>0</v>
      </c>
      <c r="O390" t="n">
        <v>0</v>
      </c>
      <c r="P390" t="n">
        <v>0</v>
      </c>
      <c r="Q390" t="n">
        <v>0</v>
      </c>
      <c r="R390" s="2" t="inlineStr"/>
    </row>
    <row r="391" ht="15" customHeight="1">
      <c r="A391" t="inlineStr">
        <is>
          <t>A 31550-2023</t>
        </is>
      </c>
      <c r="B391" s="1" t="n">
        <v>45117</v>
      </c>
      <c r="C391" s="1" t="n">
        <v>46160</v>
      </c>
      <c r="D391" t="inlineStr">
        <is>
          <t>JÄMTLANDS LÄN</t>
        </is>
      </c>
      <c r="E391" t="inlineStr">
        <is>
          <t>KROKOM</t>
        </is>
      </c>
      <c r="G391" t="n">
        <v>4.5</v>
      </c>
      <c r="H391" t="n">
        <v>0</v>
      </c>
      <c r="I391" t="n">
        <v>0</v>
      </c>
      <c r="J391" t="n">
        <v>0</v>
      </c>
      <c r="K391" t="n">
        <v>0</v>
      </c>
      <c r="L391" t="n">
        <v>0</v>
      </c>
      <c r="M391" t="n">
        <v>0</v>
      </c>
      <c r="N391" t="n">
        <v>0</v>
      </c>
      <c r="O391" t="n">
        <v>0</v>
      </c>
      <c r="P391" t="n">
        <v>0</v>
      </c>
      <c r="Q391" t="n">
        <v>0</v>
      </c>
      <c r="R391" s="2" t="inlineStr"/>
    </row>
    <row r="392" ht="15" customHeight="1">
      <c r="A392" t="inlineStr">
        <is>
          <t>A 6015-2025</t>
        </is>
      </c>
      <c r="B392" s="1" t="n">
        <v>45695.60015046296</v>
      </c>
      <c r="C392" s="1" t="n">
        <v>46160</v>
      </c>
      <c r="D392" t="inlineStr">
        <is>
          <t>JÄMTLANDS LÄN</t>
        </is>
      </c>
      <c r="E392" t="inlineStr">
        <is>
          <t>KROKOM</t>
        </is>
      </c>
      <c r="F392" t="inlineStr">
        <is>
          <t>Övriga Aktiebolag</t>
        </is>
      </c>
      <c r="G392" t="n">
        <v>15.5</v>
      </c>
      <c r="H392" t="n">
        <v>0</v>
      </c>
      <c r="I392" t="n">
        <v>0</v>
      </c>
      <c r="J392" t="n">
        <v>0</v>
      </c>
      <c r="K392" t="n">
        <v>0</v>
      </c>
      <c r="L392" t="n">
        <v>0</v>
      </c>
      <c r="M392" t="n">
        <v>0</v>
      </c>
      <c r="N392" t="n">
        <v>0</v>
      </c>
      <c r="O392" t="n">
        <v>0</v>
      </c>
      <c r="P392" t="n">
        <v>0</v>
      </c>
      <c r="Q392" t="n">
        <v>0</v>
      </c>
      <c r="R392" s="2" t="inlineStr"/>
    </row>
    <row r="393" ht="15" customHeight="1">
      <c r="A393" t="inlineStr">
        <is>
          <t>A 22411-2024</t>
        </is>
      </c>
      <c r="B393" s="1" t="n">
        <v>45446.68733796296</v>
      </c>
      <c r="C393" s="1" t="n">
        <v>46160</v>
      </c>
      <c r="D393" t="inlineStr">
        <is>
          <t>JÄMTLANDS LÄN</t>
        </is>
      </c>
      <c r="E393" t="inlineStr">
        <is>
          <t>KROKOM</t>
        </is>
      </c>
      <c r="F393" t="inlineStr">
        <is>
          <t>Övriga Aktiebolag</t>
        </is>
      </c>
      <c r="G393" t="n">
        <v>18</v>
      </c>
      <c r="H393" t="n">
        <v>0</v>
      </c>
      <c r="I393" t="n">
        <v>0</v>
      </c>
      <c r="J393" t="n">
        <v>0</v>
      </c>
      <c r="K393" t="n">
        <v>0</v>
      </c>
      <c r="L393" t="n">
        <v>0</v>
      </c>
      <c r="M393" t="n">
        <v>0</v>
      </c>
      <c r="N393" t="n">
        <v>0</v>
      </c>
      <c r="O393" t="n">
        <v>0</v>
      </c>
      <c r="P393" t="n">
        <v>0</v>
      </c>
      <c r="Q393" t="n">
        <v>0</v>
      </c>
      <c r="R393" s="2" t="inlineStr"/>
    </row>
    <row r="394" ht="15" customHeight="1">
      <c r="A394" t="inlineStr">
        <is>
          <t>A 31543-2025</t>
        </is>
      </c>
      <c r="B394" s="1" t="n">
        <v>45833</v>
      </c>
      <c r="C394" s="1" t="n">
        <v>46160</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39169-2023</t>
        </is>
      </c>
      <c r="B395" s="1" t="n">
        <v>45166</v>
      </c>
      <c r="C395" s="1" t="n">
        <v>46160</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61675-2022</t>
        </is>
      </c>
      <c r="B396" s="1" t="n">
        <v>44911</v>
      </c>
      <c r="C396" s="1" t="n">
        <v>46160</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36577-2021</t>
        </is>
      </c>
      <c r="B397" s="1" t="n">
        <v>44391</v>
      </c>
      <c r="C397" s="1" t="n">
        <v>46160</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23288-2025</t>
        </is>
      </c>
      <c r="B398" s="1" t="n">
        <v>45791</v>
      </c>
      <c r="C398" s="1" t="n">
        <v>46160</v>
      </c>
      <c r="D398" t="inlineStr">
        <is>
          <t>JÄMTLANDS LÄN</t>
        </is>
      </c>
      <c r="E398" t="inlineStr">
        <is>
          <t>KROKOM</t>
        </is>
      </c>
      <c r="G398" t="n">
        <v>0.5</v>
      </c>
      <c r="H398" t="n">
        <v>0</v>
      </c>
      <c r="I398" t="n">
        <v>0</v>
      </c>
      <c r="J398" t="n">
        <v>0</v>
      </c>
      <c r="K398" t="n">
        <v>0</v>
      </c>
      <c r="L398" t="n">
        <v>0</v>
      </c>
      <c r="M398" t="n">
        <v>0</v>
      </c>
      <c r="N398" t="n">
        <v>0</v>
      </c>
      <c r="O398" t="n">
        <v>0</v>
      </c>
      <c r="P398" t="n">
        <v>0</v>
      </c>
      <c r="Q398" t="n">
        <v>0</v>
      </c>
      <c r="R398" s="2" t="inlineStr"/>
    </row>
    <row r="399" ht="15" customHeight="1">
      <c r="A399" t="inlineStr">
        <is>
          <t>A 29379-2024</t>
        </is>
      </c>
      <c r="B399" s="1" t="n">
        <v>45483</v>
      </c>
      <c r="C399" s="1" t="n">
        <v>46160</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41628-2024</t>
        </is>
      </c>
      <c r="B400" s="1" t="n">
        <v>45560</v>
      </c>
      <c r="C400" s="1" t="n">
        <v>46160</v>
      </c>
      <c r="D400" t="inlineStr">
        <is>
          <t>JÄMTLANDS LÄN</t>
        </is>
      </c>
      <c r="E400" t="inlineStr">
        <is>
          <t>KROKOM</t>
        </is>
      </c>
      <c r="F400" t="inlineStr">
        <is>
          <t>Övriga Aktiebolag</t>
        </is>
      </c>
      <c r="G400" t="n">
        <v>7.3</v>
      </c>
      <c r="H400" t="n">
        <v>0</v>
      </c>
      <c r="I400" t="n">
        <v>0</v>
      </c>
      <c r="J400" t="n">
        <v>0</v>
      </c>
      <c r="K400" t="n">
        <v>0</v>
      </c>
      <c r="L400" t="n">
        <v>0</v>
      </c>
      <c r="M400" t="n">
        <v>0</v>
      </c>
      <c r="N400" t="n">
        <v>0</v>
      </c>
      <c r="O400" t="n">
        <v>0</v>
      </c>
      <c r="P400" t="n">
        <v>0</v>
      </c>
      <c r="Q400" t="n">
        <v>0</v>
      </c>
      <c r="R400" s="2" t="inlineStr"/>
    </row>
    <row r="401" ht="15" customHeight="1">
      <c r="A401" t="inlineStr">
        <is>
          <t>A 23080-2025</t>
        </is>
      </c>
      <c r="B401" s="1" t="n">
        <v>45791.3162037037</v>
      </c>
      <c r="C401" s="1" t="n">
        <v>46160</v>
      </c>
      <c r="D401" t="inlineStr">
        <is>
          <t>JÄMTLANDS LÄN</t>
        </is>
      </c>
      <c r="E401" t="inlineStr">
        <is>
          <t>KROKOM</t>
        </is>
      </c>
      <c r="G401" t="n">
        <v>1.7</v>
      </c>
      <c r="H401" t="n">
        <v>0</v>
      </c>
      <c r="I401" t="n">
        <v>0</v>
      </c>
      <c r="J401" t="n">
        <v>0</v>
      </c>
      <c r="K401" t="n">
        <v>0</v>
      </c>
      <c r="L401" t="n">
        <v>0</v>
      </c>
      <c r="M401" t="n">
        <v>0</v>
      </c>
      <c r="N401" t="n">
        <v>0</v>
      </c>
      <c r="O401" t="n">
        <v>0</v>
      </c>
      <c r="P401" t="n">
        <v>0</v>
      </c>
      <c r="Q401" t="n">
        <v>0</v>
      </c>
      <c r="R401" s="2" t="inlineStr"/>
    </row>
    <row r="402" ht="15" customHeight="1">
      <c r="A402" t="inlineStr">
        <is>
          <t>A 63665-2025</t>
        </is>
      </c>
      <c r="B402" s="1" t="n">
        <v>46014.45636574074</v>
      </c>
      <c r="C402" s="1" t="n">
        <v>46160</v>
      </c>
      <c r="D402" t="inlineStr">
        <is>
          <t>JÄMTLANDS LÄN</t>
        </is>
      </c>
      <c r="E402" t="inlineStr">
        <is>
          <t>KROKOM</t>
        </is>
      </c>
      <c r="G402" t="n">
        <v>2.2</v>
      </c>
      <c r="H402" t="n">
        <v>0</v>
      </c>
      <c r="I402" t="n">
        <v>0</v>
      </c>
      <c r="J402" t="n">
        <v>0</v>
      </c>
      <c r="K402" t="n">
        <v>0</v>
      </c>
      <c r="L402" t="n">
        <v>0</v>
      </c>
      <c r="M402" t="n">
        <v>0</v>
      </c>
      <c r="N402" t="n">
        <v>0</v>
      </c>
      <c r="O402" t="n">
        <v>0</v>
      </c>
      <c r="P402" t="n">
        <v>0</v>
      </c>
      <c r="Q402" t="n">
        <v>0</v>
      </c>
      <c r="R402" s="2" t="inlineStr"/>
    </row>
    <row r="403" ht="15" customHeight="1">
      <c r="A403" t="inlineStr">
        <is>
          <t>A 10133-2025</t>
        </is>
      </c>
      <c r="B403" s="1" t="n">
        <v>45719</v>
      </c>
      <c r="C403" s="1" t="n">
        <v>46160</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1877-2023</t>
        </is>
      </c>
      <c r="B404" s="1" t="n">
        <v>44938.93989583333</v>
      </c>
      <c r="C404" s="1" t="n">
        <v>46160</v>
      </c>
      <c r="D404" t="inlineStr">
        <is>
          <t>JÄMTLANDS LÄN</t>
        </is>
      </c>
      <c r="E404" t="inlineStr">
        <is>
          <t>KROKOM</t>
        </is>
      </c>
      <c r="G404" t="n">
        <v>11.1</v>
      </c>
      <c r="H404" t="n">
        <v>0</v>
      </c>
      <c r="I404" t="n">
        <v>0</v>
      </c>
      <c r="J404" t="n">
        <v>0</v>
      </c>
      <c r="K404" t="n">
        <v>0</v>
      </c>
      <c r="L404" t="n">
        <v>0</v>
      </c>
      <c r="M404" t="n">
        <v>0</v>
      </c>
      <c r="N404" t="n">
        <v>0</v>
      </c>
      <c r="O404" t="n">
        <v>0</v>
      </c>
      <c r="P404" t="n">
        <v>0</v>
      </c>
      <c r="Q404" t="n">
        <v>0</v>
      </c>
      <c r="R404" s="2" t="inlineStr"/>
    </row>
    <row r="405" ht="15" customHeight="1">
      <c r="A405" t="inlineStr">
        <is>
          <t>A 28067-2023</t>
        </is>
      </c>
      <c r="B405" s="1" t="n">
        <v>45099.37211805556</v>
      </c>
      <c r="C405" s="1" t="n">
        <v>46160</v>
      </c>
      <c r="D405" t="inlineStr">
        <is>
          <t>JÄMTLANDS LÄN</t>
        </is>
      </c>
      <c r="E405" t="inlineStr">
        <is>
          <t>KROKOM</t>
        </is>
      </c>
      <c r="G405" t="n">
        <v>2.8</v>
      </c>
      <c r="H405" t="n">
        <v>0</v>
      </c>
      <c r="I405" t="n">
        <v>0</v>
      </c>
      <c r="J405" t="n">
        <v>0</v>
      </c>
      <c r="K405" t="n">
        <v>0</v>
      </c>
      <c r="L405" t="n">
        <v>0</v>
      </c>
      <c r="M405" t="n">
        <v>0</v>
      </c>
      <c r="N405" t="n">
        <v>0</v>
      </c>
      <c r="O405" t="n">
        <v>0</v>
      </c>
      <c r="P405" t="n">
        <v>0</v>
      </c>
      <c r="Q405" t="n">
        <v>0</v>
      </c>
      <c r="R405" s="2" t="inlineStr"/>
    </row>
    <row r="406" ht="15" customHeight="1">
      <c r="A406" t="inlineStr">
        <is>
          <t>A 6837-2026</t>
        </is>
      </c>
      <c r="B406" s="1" t="n">
        <v>46057.40917824074</v>
      </c>
      <c r="C406" s="1" t="n">
        <v>46160</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61443-2025</t>
        </is>
      </c>
      <c r="B407" s="1" t="n">
        <v>46001.57354166666</v>
      </c>
      <c r="C407" s="1" t="n">
        <v>46160</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63772-2025</t>
        </is>
      </c>
      <c r="B408" s="1" t="n">
        <v>46018.98585648148</v>
      </c>
      <c r="C408" s="1" t="n">
        <v>46160</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61476-2025</t>
        </is>
      </c>
      <c r="B409" s="1" t="n">
        <v>46001.62010416666</v>
      </c>
      <c r="C409" s="1" t="n">
        <v>46160</v>
      </c>
      <c r="D409" t="inlineStr">
        <is>
          <t>JÄMTLANDS LÄN</t>
        </is>
      </c>
      <c r="E409" t="inlineStr">
        <is>
          <t>KROKOM</t>
        </is>
      </c>
      <c r="G409" t="n">
        <v>1.8</v>
      </c>
      <c r="H409" t="n">
        <v>0</v>
      </c>
      <c r="I409" t="n">
        <v>0</v>
      </c>
      <c r="J409" t="n">
        <v>0</v>
      </c>
      <c r="K409" t="n">
        <v>0</v>
      </c>
      <c r="L409" t="n">
        <v>0</v>
      </c>
      <c r="M409" t="n">
        <v>0</v>
      </c>
      <c r="N409" t="n">
        <v>0</v>
      </c>
      <c r="O409" t="n">
        <v>0</v>
      </c>
      <c r="P409" t="n">
        <v>0</v>
      </c>
      <c r="Q409" t="n">
        <v>0</v>
      </c>
      <c r="R409" s="2" t="inlineStr"/>
    </row>
    <row r="410" ht="15" customHeight="1">
      <c r="A410" t="inlineStr">
        <is>
          <t>A 61478-2025</t>
        </is>
      </c>
      <c r="B410" s="1" t="n">
        <v>46001.62261574074</v>
      </c>
      <c r="C410" s="1" t="n">
        <v>46160</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38416-2025</t>
        </is>
      </c>
      <c r="B411" s="1" t="n">
        <v>45883.61028935185</v>
      </c>
      <c r="C411" s="1" t="n">
        <v>46160</v>
      </c>
      <c r="D411" t="inlineStr">
        <is>
          <t>JÄMTLANDS LÄN</t>
        </is>
      </c>
      <c r="E411" t="inlineStr">
        <is>
          <t>KROKOM</t>
        </is>
      </c>
      <c r="G411" t="n">
        <v>1.6</v>
      </c>
      <c r="H411" t="n">
        <v>0</v>
      </c>
      <c r="I411" t="n">
        <v>0</v>
      </c>
      <c r="J411" t="n">
        <v>0</v>
      </c>
      <c r="K411" t="n">
        <v>0</v>
      </c>
      <c r="L411" t="n">
        <v>0</v>
      </c>
      <c r="M411" t="n">
        <v>0</v>
      </c>
      <c r="N411" t="n">
        <v>0</v>
      </c>
      <c r="O411" t="n">
        <v>0</v>
      </c>
      <c r="P411" t="n">
        <v>0</v>
      </c>
      <c r="Q411" t="n">
        <v>0</v>
      </c>
      <c r="R411" s="2" t="inlineStr"/>
    </row>
    <row r="412" ht="15" customHeight="1">
      <c r="A412" t="inlineStr">
        <is>
          <t>A 63773-2025</t>
        </is>
      </c>
      <c r="B412" s="1" t="n">
        <v>46019.00192129629</v>
      </c>
      <c r="C412" s="1" t="n">
        <v>46160</v>
      </c>
      <c r="D412" t="inlineStr">
        <is>
          <t>JÄMTLANDS LÄN</t>
        </is>
      </c>
      <c r="E412" t="inlineStr">
        <is>
          <t>KROKOM</t>
        </is>
      </c>
      <c r="G412" t="n">
        <v>2.3</v>
      </c>
      <c r="H412" t="n">
        <v>0</v>
      </c>
      <c r="I412" t="n">
        <v>0</v>
      </c>
      <c r="J412" t="n">
        <v>0</v>
      </c>
      <c r="K412" t="n">
        <v>0</v>
      </c>
      <c r="L412" t="n">
        <v>0</v>
      </c>
      <c r="M412" t="n">
        <v>0</v>
      </c>
      <c r="N412" t="n">
        <v>0</v>
      </c>
      <c r="O412" t="n">
        <v>0</v>
      </c>
      <c r="P412" t="n">
        <v>0</v>
      </c>
      <c r="Q412" t="n">
        <v>0</v>
      </c>
      <c r="R412" s="2" t="inlineStr"/>
    </row>
    <row r="413" ht="15" customHeight="1">
      <c r="A413" t="inlineStr">
        <is>
          <t>A 63771-2025</t>
        </is>
      </c>
      <c r="B413" s="1" t="n">
        <v>46018.98166666667</v>
      </c>
      <c r="C413" s="1" t="n">
        <v>46160</v>
      </c>
      <c r="D413" t="inlineStr">
        <is>
          <t>JÄMTLANDS LÄN</t>
        </is>
      </c>
      <c r="E413" t="inlineStr">
        <is>
          <t>KROKOM</t>
        </is>
      </c>
      <c r="G413" t="n">
        <v>3.2</v>
      </c>
      <c r="H413" t="n">
        <v>0</v>
      </c>
      <c r="I413" t="n">
        <v>0</v>
      </c>
      <c r="J413" t="n">
        <v>0</v>
      </c>
      <c r="K413" t="n">
        <v>0</v>
      </c>
      <c r="L413" t="n">
        <v>0</v>
      </c>
      <c r="M413" t="n">
        <v>0</v>
      </c>
      <c r="N413" t="n">
        <v>0</v>
      </c>
      <c r="O413" t="n">
        <v>0</v>
      </c>
      <c r="P413" t="n">
        <v>0</v>
      </c>
      <c r="Q413" t="n">
        <v>0</v>
      </c>
      <c r="R413" s="2" t="inlineStr"/>
    </row>
    <row r="414" ht="15" customHeight="1">
      <c r="A414" t="inlineStr">
        <is>
          <t>A 24062-2025</t>
        </is>
      </c>
      <c r="B414" s="1" t="n">
        <v>45796.52836805556</v>
      </c>
      <c r="C414" s="1" t="n">
        <v>46160</v>
      </c>
      <c r="D414" t="inlineStr">
        <is>
          <t>JÄMTLANDS LÄN</t>
        </is>
      </c>
      <c r="E414" t="inlineStr">
        <is>
          <t>KROKOM</t>
        </is>
      </c>
      <c r="G414" t="n">
        <v>33</v>
      </c>
      <c r="H414" t="n">
        <v>0</v>
      </c>
      <c r="I414" t="n">
        <v>0</v>
      </c>
      <c r="J414" t="n">
        <v>0</v>
      </c>
      <c r="K414" t="n">
        <v>0</v>
      </c>
      <c r="L414" t="n">
        <v>0</v>
      </c>
      <c r="M414" t="n">
        <v>0</v>
      </c>
      <c r="N414" t="n">
        <v>0</v>
      </c>
      <c r="O414" t="n">
        <v>0</v>
      </c>
      <c r="P414" t="n">
        <v>0</v>
      </c>
      <c r="Q414" t="n">
        <v>0</v>
      </c>
      <c r="R414" s="2" t="inlineStr"/>
    </row>
    <row r="415" ht="15" customHeight="1">
      <c r="A415" t="inlineStr">
        <is>
          <t>A 63770-2025</t>
        </is>
      </c>
      <c r="B415" s="1" t="n">
        <v>46018.93976851852</v>
      </c>
      <c r="C415" s="1" t="n">
        <v>46160</v>
      </c>
      <c r="D415" t="inlineStr">
        <is>
          <t>JÄMTLANDS LÄN</t>
        </is>
      </c>
      <c r="E415" t="inlineStr">
        <is>
          <t>KROKOM</t>
        </is>
      </c>
      <c r="G415" t="n">
        <v>0.4</v>
      </c>
      <c r="H415" t="n">
        <v>0</v>
      </c>
      <c r="I415" t="n">
        <v>0</v>
      </c>
      <c r="J415" t="n">
        <v>0</v>
      </c>
      <c r="K415" t="n">
        <v>0</v>
      </c>
      <c r="L415" t="n">
        <v>0</v>
      </c>
      <c r="M415" t="n">
        <v>0</v>
      </c>
      <c r="N415" t="n">
        <v>0</v>
      </c>
      <c r="O415" t="n">
        <v>0</v>
      </c>
      <c r="P415" t="n">
        <v>0</v>
      </c>
      <c r="Q415" t="n">
        <v>0</v>
      </c>
      <c r="R415" s="2" t="inlineStr"/>
    </row>
    <row r="416" ht="15" customHeight="1">
      <c r="A416" t="inlineStr">
        <is>
          <t>A 24103-2025</t>
        </is>
      </c>
      <c r="B416" s="1" t="n">
        <v>45796</v>
      </c>
      <c r="C416" s="1" t="n">
        <v>46160</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63775-2025</t>
        </is>
      </c>
      <c r="B417" s="1" t="n">
        <v>46019.02924768518</v>
      </c>
      <c r="C417" s="1" t="n">
        <v>46160</v>
      </c>
      <c r="D417" t="inlineStr">
        <is>
          <t>JÄMTLANDS LÄN</t>
        </is>
      </c>
      <c r="E417" t="inlineStr">
        <is>
          <t>KROKOM</t>
        </is>
      </c>
      <c r="G417" t="n">
        <v>3.5</v>
      </c>
      <c r="H417" t="n">
        <v>0</v>
      </c>
      <c r="I417" t="n">
        <v>0</v>
      </c>
      <c r="J417" t="n">
        <v>0</v>
      </c>
      <c r="K417" t="n">
        <v>0</v>
      </c>
      <c r="L417" t="n">
        <v>0</v>
      </c>
      <c r="M417" t="n">
        <v>0</v>
      </c>
      <c r="N417" t="n">
        <v>0</v>
      </c>
      <c r="O417" t="n">
        <v>0</v>
      </c>
      <c r="P417" t="n">
        <v>0</v>
      </c>
      <c r="Q417" t="n">
        <v>0</v>
      </c>
      <c r="R417" s="2" t="inlineStr"/>
    </row>
    <row r="418" ht="15" customHeight="1">
      <c r="A418" t="inlineStr">
        <is>
          <t>A 63776-2025</t>
        </is>
      </c>
      <c r="B418" s="1" t="n">
        <v>46019.2824537037</v>
      </c>
      <c r="C418" s="1" t="n">
        <v>46160</v>
      </c>
      <c r="D418" t="inlineStr">
        <is>
          <t>JÄMTLANDS LÄN</t>
        </is>
      </c>
      <c r="E418" t="inlineStr">
        <is>
          <t>KROKOM</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12412-2024</t>
        </is>
      </c>
      <c r="B419" s="1" t="n">
        <v>45378</v>
      </c>
      <c r="C419" s="1" t="n">
        <v>46160</v>
      </c>
      <c r="D419" t="inlineStr">
        <is>
          <t>JÄMTLANDS LÄN</t>
        </is>
      </c>
      <c r="E419" t="inlineStr">
        <is>
          <t>KROKOM</t>
        </is>
      </c>
      <c r="G419" t="n">
        <v>1.9</v>
      </c>
      <c r="H419" t="n">
        <v>0</v>
      </c>
      <c r="I419" t="n">
        <v>0</v>
      </c>
      <c r="J419" t="n">
        <v>0</v>
      </c>
      <c r="K419" t="n">
        <v>0</v>
      </c>
      <c r="L419" t="n">
        <v>0</v>
      </c>
      <c r="M419" t="n">
        <v>0</v>
      </c>
      <c r="N419" t="n">
        <v>0</v>
      </c>
      <c r="O419" t="n">
        <v>0</v>
      </c>
      <c r="P419" t="n">
        <v>0</v>
      </c>
      <c r="Q419" t="n">
        <v>0</v>
      </c>
      <c r="R419" s="2" t="inlineStr"/>
    </row>
    <row r="420" ht="15" customHeight="1">
      <c r="A420" t="inlineStr">
        <is>
          <t>A 22629-2022</t>
        </is>
      </c>
      <c r="B420" s="1" t="n">
        <v>44714.438125</v>
      </c>
      <c r="C420" s="1" t="n">
        <v>46160</v>
      </c>
      <c r="D420" t="inlineStr">
        <is>
          <t>JÄMTLANDS LÄN</t>
        </is>
      </c>
      <c r="E420" t="inlineStr">
        <is>
          <t>KROKOM</t>
        </is>
      </c>
      <c r="G420" t="n">
        <v>17.1</v>
      </c>
      <c r="H420" t="n">
        <v>0</v>
      </c>
      <c r="I420" t="n">
        <v>0</v>
      </c>
      <c r="J420" t="n">
        <v>0</v>
      </c>
      <c r="K420" t="n">
        <v>0</v>
      </c>
      <c r="L420" t="n">
        <v>0</v>
      </c>
      <c r="M420" t="n">
        <v>0</v>
      </c>
      <c r="N420" t="n">
        <v>0</v>
      </c>
      <c r="O420" t="n">
        <v>0</v>
      </c>
      <c r="P420" t="n">
        <v>0</v>
      </c>
      <c r="Q420" t="n">
        <v>0</v>
      </c>
      <c r="R420" s="2" t="inlineStr"/>
    </row>
    <row r="421" ht="15" customHeight="1">
      <c r="A421" t="inlineStr">
        <is>
          <t>A 63768-2025</t>
        </is>
      </c>
      <c r="B421" s="1" t="n">
        <v>46018.93873842592</v>
      </c>
      <c r="C421" s="1" t="n">
        <v>46160</v>
      </c>
      <c r="D421" t="inlineStr">
        <is>
          <t>JÄMTLANDS LÄN</t>
        </is>
      </c>
      <c r="E421" t="inlineStr">
        <is>
          <t>KROKOM</t>
        </is>
      </c>
      <c r="G421" t="n">
        <v>3.6</v>
      </c>
      <c r="H421" t="n">
        <v>0</v>
      </c>
      <c r="I421" t="n">
        <v>0</v>
      </c>
      <c r="J421" t="n">
        <v>0</v>
      </c>
      <c r="K421" t="n">
        <v>0</v>
      </c>
      <c r="L421" t="n">
        <v>0</v>
      </c>
      <c r="M421" t="n">
        <v>0</v>
      </c>
      <c r="N421" t="n">
        <v>0</v>
      </c>
      <c r="O421" t="n">
        <v>0</v>
      </c>
      <c r="P421" t="n">
        <v>0</v>
      </c>
      <c r="Q421" t="n">
        <v>0</v>
      </c>
      <c r="R421" s="2" t="inlineStr"/>
    </row>
    <row r="422" ht="15" customHeight="1">
      <c r="A422" t="inlineStr">
        <is>
          <t>A 63769-2025</t>
        </is>
      </c>
      <c r="B422" s="1" t="n">
        <v>46018.93935185186</v>
      </c>
      <c r="C422" s="1" t="n">
        <v>46160</v>
      </c>
      <c r="D422" t="inlineStr">
        <is>
          <t>JÄMTLANDS LÄN</t>
        </is>
      </c>
      <c r="E422" t="inlineStr">
        <is>
          <t>KROKOM</t>
        </is>
      </c>
      <c r="G422" t="n">
        <v>2.8</v>
      </c>
      <c r="H422" t="n">
        <v>0</v>
      </c>
      <c r="I422" t="n">
        <v>0</v>
      </c>
      <c r="J422" t="n">
        <v>0</v>
      </c>
      <c r="K422" t="n">
        <v>0</v>
      </c>
      <c r="L422" t="n">
        <v>0</v>
      </c>
      <c r="M422" t="n">
        <v>0</v>
      </c>
      <c r="N422" t="n">
        <v>0</v>
      </c>
      <c r="O422" t="n">
        <v>0</v>
      </c>
      <c r="P422" t="n">
        <v>0</v>
      </c>
      <c r="Q422" t="n">
        <v>0</v>
      </c>
      <c r="R422" s="2" t="inlineStr"/>
    </row>
    <row r="423" ht="15" customHeight="1">
      <c r="A423" t="inlineStr">
        <is>
          <t>A 63850-2025</t>
        </is>
      </c>
      <c r="B423" s="1" t="n">
        <v>46020.45539351852</v>
      </c>
      <c r="C423" s="1" t="n">
        <v>46160</v>
      </c>
      <c r="D423" t="inlineStr">
        <is>
          <t>JÄMTLANDS LÄN</t>
        </is>
      </c>
      <c r="E423" t="inlineStr">
        <is>
          <t>KROKOM</t>
        </is>
      </c>
      <c r="G423" t="n">
        <v>4.5</v>
      </c>
      <c r="H423" t="n">
        <v>0</v>
      </c>
      <c r="I423" t="n">
        <v>0</v>
      </c>
      <c r="J423" t="n">
        <v>0</v>
      </c>
      <c r="K423" t="n">
        <v>0</v>
      </c>
      <c r="L423" t="n">
        <v>0</v>
      </c>
      <c r="M423" t="n">
        <v>0</v>
      </c>
      <c r="N423" t="n">
        <v>0</v>
      </c>
      <c r="O423" t="n">
        <v>0</v>
      </c>
      <c r="P423" t="n">
        <v>0</v>
      </c>
      <c r="Q423" t="n">
        <v>0</v>
      </c>
      <c r="R423" s="2" t="inlineStr"/>
    </row>
    <row r="424" ht="15" customHeight="1">
      <c r="A424" t="inlineStr">
        <is>
          <t>A 4361-2025</t>
        </is>
      </c>
      <c r="B424" s="1" t="n">
        <v>45686.33310185185</v>
      </c>
      <c r="C424" s="1" t="n">
        <v>46160</v>
      </c>
      <c r="D424" t="inlineStr">
        <is>
          <t>JÄMTLANDS LÄN</t>
        </is>
      </c>
      <c r="E424" t="inlineStr">
        <is>
          <t>KROKOM</t>
        </is>
      </c>
      <c r="F424" t="inlineStr">
        <is>
          <t>SCA</t>
        </is>
      </c>
      <c r="G424" t="n">
        <v>13.7</v>
      </c>
      <c r="H424" t="n">
        <v>0</v>
      </c>
      <c r="I424" t="n">
        <v>0</v>
      </c>
      <c r="J424" t="n">
        <v>0</v>
      </c>
      <c r="K424" t="n">
        <v>0</v>
      </c>
      <c r="L424" t="n">
        <v>0</v>
      </c>
      <c r="M424" t="n">
        <v>0</v>
      </c>
      <c r="N424" t="n">
        <v>0</v>
      </c>
      <c r="O424" t="n">
        <v>0</v>
      </c>
      <c r="P424" t="n">
        <v>0</v>
      </c>
      <c r="Q424" t="n">
        <v>0</v>
      </c>
      <c r="R424" s="2" t="inlineStr"/>
    </row>
    <row r="425" ht="15" customHeight="1">
      <c r="A425" t="inlineStr">
        <is>
          <t>A 34517-2024</t>
        </is>
      </c>
      <c r="B425" s="1" t="n">
        <v>45525</v>
      </c>
      <c r="C425" s="1" t="n">
        <v>46160</v>
      </c>
      <c r="D425" t="inlineStr">
        <is>
          <t>JÄMTLANDS LÄN</t>
        </is>
      </c>
      <c r="E425" t="inlineStr">
        <is>
          <t>KROKOM</t>
        </is>
      </c>
      <c r="G425" t="n">
        <v>0.5</v>
      </c>
      <c r="H425" t="n">
        <v>0</v>
      </c>
      <c r="I425" t="n">
        <v>0</v>
      </c>
      <c r="J425" t="n">
        <v>0</v>
      </c>
      <c r="K425" t="n">
        <v>0</v>
      </c>
      <c r="L425" t="n">
        <v>0</v>
      </c>
      <c r="M425" t="n">
        <v>0</v>
      </c>
      <c r="N425" t="n">
        <v>0</v>
      </c>
      <c r="O425" t="n">
        <v>0</v>
      </c>
      <c r="P425" t="n">
        <v>0</v>
      </c>
      <c r="Q425" t="n">
        <v>0</v>
      </c>
      <c r="R425" s="2" t="inlineStr"/>
    </row>
    <row r="426" ht="15" customHeight="1">
      <c r="A426" t="inlineStr">
        <is>
          <t>A 57857-2025</t>
        </is>
      </c>
      <c r="B426" s="1" t="n">
        <v>45981.63960648148</v>
      </c>
      <c r="C426" s="1" t="n">
        <v>46160</v>
      </c>
      <c r="D426" t="inlineStr">
        <is>
          <t>JÄMTLANDS LÄN</t>
        </is>
      </c>
      <c r="E426" t="inlineStr">
        <is>
          <t>KROKOM</t>
        </is>
      </c>
      <c r="G426" t="n">
        <v>7.9</v>
      </c>
      <c r="H426" t="n">
        <v>0</v>
      </c>
      <c r="I426" t="n">
        <v>0</v>
      </c>
      <c r="J426" t="n">
        <v>0</v>
      </c>
      <c r="K426" t="n">
        <v>0</v>
      </c>
      <c r="L426" t="n">
        <v>0</v>
      </c>
      <c r="M426" t="n">
        <v>0</v>
      </c>
      <c r="N426" t="n">
        <v>0</v>
      </c>
      <c r="O426" t="n">
        <v>0</v>
      </c>
      <c r="P426" t="n">
        <v>0</v>
      </c>
      <c r="Q426" t="n">
        <v>0</v>
      </c>
      <c r="R426" s="2" t="inlineStr"/>
    </row>
    <row r="427" ht="15" customHeight="1">
      <c r="A427" t="inlineStr">
        <is>
          <t>A 61453-2025</t>
        </is>
      </c>
      <c r="B427" s="1" t="n">
        <v>46001.58243055556</v>
      </c>
      <c r="C427" s="1" t="n">
        <v>46160</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61454-2025</t>
        </is>
      </c>
      <c r="B428" s="1" t="n">
        <v>46001.58518518518</v>
      </c>
      <c r="C428" s="1" t="n">
        <v>46160</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63774-2025</t>
        </is>
      </c>
      <c r="B429" s="1" t="n">
        <v>46019.01190972222</v>
      </c>
      <c r="C429" s="1" t="n">
        <v>46160</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6148-2025</t>
        </is>
      </c>
      <c r="B430" s="1" t="n">
        <v>45698.40146990741</v>
      </c>
      <c r="C430" s="1" t="n">
        <v>46160</v>
      </c>
      <c r="D430" t="inlineStr">
        <is>
          <t>JÄMTLANDS LÄN</t>
        </is>
      </c>
      <c r="E430" t="inlineStr">
        <is>
          <t>KROKOM</t>
        </is>
      </c>
      <c r="G430" t="n">
        <v>43.6</v>
      </c>
      <c r="H430" t="n">
        <v>0</v>
      </c>
      <c r="I430" t="n">
        <v>0</v>
      </c>
      <c r="J430" t="n">
        <v>0</v>
      </c>
      <c r="K430" t="n">
        <v>0</v>
      </c>
      <c r="L430" t="n">
        <v>0</v>
      </c>
      <c r="M430" t="n">
        <v>0</v>
      </c>
      <c r="N430" t="n">
        <v>0</v>
      </c>
      <c r="O430" t="n">
        <v>0</v>
      </c>
      <c r="P430" t="n">
        <v>0</v>
      </c>
      <c r="Q430" t="n">
        <v>0</v>
      </c>
      <c r="R430" s="2" t="inlineStr"/>
    </row>
    <row r="431" ht="15" customHeight="1">
      <c r="A431" t="inlineStr">
        <is>
          <t>A 2236-2024</t>
        </is>
      </c>
      <c r="B431" s="1" t="n">
        <v>45309.94650462963</v>
      </c>
      <c r="C431" s="1" t="n">
        <v>46160</v>
      </c>
      <c r="D431" t="inlineStr">
        <is>
          <t>JÄMTLANDS LÄN</t>
        </is>
      </c>
      <c r="E431" t="inlineStr">
        <is>
          <t>KROKOM</t>
        </is>
      </c>
      <c r="G431" t="n">
        <v>2.6</v>
      </c>
      <c r="H431" t="n">
        <v>0</v>
      </c>
      <c r="I431" t="n">
        <v>0</v>
      </c>
      <c r="J431" t="n">
        <v>0</v>
      </c>
      <c r="K431" t="n">
        <v>0</v>
      </c>
      <c r="L431" t="n">
        <v>0</v>
      </c>
      <c r="M431" t="n">
        <v>0</v>
      </c>
      <c r="N431" t="n">
        <v>0</v>
      </c>
      <c r="O431" t="n">
        <v>0</v>
      </c>
      <c r="P431" t="n">
        <v>0</v>
      </c>
      <c r="Q431" t="n">
        <v>0</v>
      </c>
      <c r="R431" s="2" t="inlineStr"/>
    </row>
    <row r="432" ht="15" customHeight="1">
      <c r="A432" t="inlineStr">
        <is>
          <t>A 7767-2025</t>
        </is>
      </c>
      <c r="B432" s="1" t="n">
        <v>45706.55993055556</v>
      </c>
      <c r="C432" s="1" t="n">
        <v>46160</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52258-2022</t>
        </is>
      </c>
      <c r="B433" s="1" t="n">
        <v>44873</v>
      </c>
      <c r="C433" s="1" t="n">
        <v>46160</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5998-2025</t>
        </is>
      </c>
      <c r="B434" s="1" t="n">
        <v>45695.57171296296</v>
      </c>
      <c r="C434" s="1" t="n">
        <v>46160</v>
      </c>
      <c r="D434" t="inlineStr">
        <is>
          <t>JÄMTLANDS LÄN</t>
        </is>
      </c>
      <c r="E434" t="inlineStr">
        <is>
          <t>KROKOM</t>
        </is>
      </c>
      <c r="F434" t="inlineStr">
        <is>
          <t>Övriga Aktiebolag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29524-2024</t>
        </is>
      </c>
      <c r="B435" s="1" t="n">
        <v>45484</v>
      </c>
      <c r="C435" s="1" t="n">
        <v>46160</v>
      </c>
      <c r="D435" t="inlineStr">
        <is>
          <t>JÄMTLANDS LÄN</t>
        </is>
      </c>
      <c r="E435" t="inlineStr">
        <is>
          <t>KROKOM</t>
        </is>
      </c>
      <c r="F435" t="inlineStr">
        <is>
          <t>Övriga Aktiebolag</t>
        </is>
      </c>
      <c r="G435" t="n">
        <v>10.6</v>
      </c>
      <c r="H435" t="n">
        <v>0</v>
      </c>
      <c r="I435" t="n">
        <v>0</v>
      </c>
      <c r="J435" t="n">
        <v>0</v>
      </c>
      <c r="K435" t="n">
        <v>0</v>
      </c>
      <c r="L435" t="n">
        <v>0</v>
      </c>
      <c r="M435" t="n">
        <v>0</v>
      </c>
      <c r="N435" t="n">
        <v>0</v>
      </c>
      <c r="O435" t="n">
        <v>0</v>
      </c>
      <c r="P435" t="n">
        <v>0</v>
      </c>
      <c r="Q435" t="n">
        <v>0</v>
      </c>
      <c r="R435" s="2" t="inlineStr"/>
    </row>
    <row r="436" ht="15" customHeight="1">
      <c r="A436" t="inlineStr">
        <is>
          <t>A 30-2026</t>
        </is>
      </c>
      <c r="B436" s="1" t="n">
        <v>46024.35299768519</v>
      </c>
      <c r="C436" s="1" t="n">
        <v>46160</v>
      </c>
      <c r="D436" t="inlineStr">
        <is>
          <t>JÄMTLANDS LÄN</t>
        </is>
      </c>
      <c r="E436" t="inlineStr">
        <is>
          <t>KROKOM</t>
        </is>
      </c>
      <c r="F436" t="inlineStr">
        <is>
          <t>Övriga Aktiebolag</t>
        </is>
      </c>
      <c r="G436" t="n">
        <v>13.5</v>
      </c>
      <c r="H436" t="n">
        <v>0</v>
      </c>
      <c r="I436" t="n">
        <v>0</v>
      </c>
      <c r="J436" t="n">
        <v>0</v>
      </c>
      <c r="K436" t="n">
        <v>0</v>
      </c>
      <c r="L436" t="n">
        <v>0</v>
      </c>
      <c r="M436" t="n">
        <v>0</v>
      </c>
      <c r="N436" t="n">
        <v>0</v>
      </c>
      <c r="O436" t="n">
        <v>0</v>
      </c>
      <c r="P436" t="n">
        <v>0</v>
      </c>
      <c r="Q436" t="n">
        <v>0</v>
      </c>
      <c r="R436" s="2" t="inlineStr"/>
    </row>
    <row r="437" ht="15" customHeight="1">
      <c r="A437" t="inlineStr">
        <is>
          <t>A 28210-2024</t>
        </is>
      </c>
      <c r="B437" s="1" t="n">
        <v>45477.35225694445</v>
      </c>
      <c r="C437" s="1" t="n">
        <v>46160</v>
      </c>
      <c r="D437" t="inlineStr">
        <is>
          <t>JÄMTLANDS LÄN</t>
        </is>
      </c>
      <c r="E437" t="inlineStr">
        <is>
          <t>KROKOM</t>
        </is>
      </c>
      <c r="F437" t="inlineStr">
        <is>
          <t>Övriga Aktiebolag</t>
        </is>
      </c>
      <c r="G437" t="n">
        <v>0.1</v>
      </c>
      <c r="H437" t="n">
        <v>0</v>
      </c>
      <c r="I437" t="n">
        <v>0</v>
      </c>
      <c r="J437" t="n">
        <v>0</v>
      </c>
      <c r="K437" t="n">
        <v>0</v>
      </c>
      <c r="L437" t="n">
        <v>0</v>
      </c>
      <c r="M437" t="n">
        <v>0</v>
      </c>
      <c r="N437" t="n">
        <v>0</v>
      </c>
      <c r="O437" t="n">
        <v>0</v>
      </c>
      <c r="P437" t="n">
        <v>0</v>
      </c>
      <c r="Q437" t="n">
        <v>0</v>
      </c>
      <c r="R437" s="2" t="inlineStr"/>
    </row>
    <row r="438" ht="15" customHeight="1">
      <c r="A438" t="inlineStr">
        <is>
          <t>A 39206-2025</t>
        </is>
      </c>
      <c r="B438" s="1" t="n">
        <v>45888.72766203704</v>
      </c>
      <c r="C438" s="1" t="n">
        <v>46160</v>
      </c>
      <c r="D438" t="inlineStr">
        <is>
          <t>JÄMTLANDS LÄN</t>
        </is>
      </c>
      <c r="E438" t="inlineStr">
        <is>
          <t>KROKOM</t>
        </is>
      </c>
      <c r="F438" t="inlineStr">
        <is>
          <t>Kyrkan</t>
        </is>
      </c>
      <c r="G438" t="n">
        <v>4.7</v>
      </c>
      <c r="H438" t="n">
        <v>0</v>
      </c>
      <c r="I438" t="n">
        <v>0</v>
      </c>
      <c r="J438" t="n">
        <v>0</v>
      </c>
      <c r="K438" t="n">
        <v>0</v>
      </c>
      <c r="L438" t="n">
        <v>0</v>
      </c>
      <c r="M438" t="n">
        <v>0</v>
      </c>
      <c r="N438" t="n">
        <v>0</v>
      </c>
      <c r="O438" t="n">
        <v>0</v>
      </c>
      <c r="P438" t="n">
        <v>0</v>
      </c>
      <c r="Q438" t="n">
        <v>0</v>
      </c>
      <c r="R438" s="2" t="inlineStr"/>
    </row>
    <row r="439" ht="15" customHeight="1">
      <c r="A439" t="inlineStr">
        <is>
          <t>A 24649-2025</t>
        </is>
      </c>
      <c r="B439" s="1" t="n">
        <v>45798.63611111111</v>
      </c>
      <c r="C439" s="1" t="n">
        <v>46160</v>
      </c>
      <c r="D439" t="inlineStr">
        <is>
          <t>JÄMTLANDS LÄN</t>
        </is>
      </c>
      <c r="E439" t="inlineStr">
        <is>
          <t>KROKOM</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35720-2024</t>
        </is>
      </c>
      <c r="B440" s="1" t="n">
        <v>45532.48732638889</v>
      </c>
      <c r="C440" s="1" t="n">
        <v>46160</v>
      </c>
      <c r="D440" t="inlineStr">
        <is>
          <t>JÄMTLANDS LÄN</t>
        </is>
      </c>
      <c r="E440" t="inlineStr">
        <is>
          <t>KROKOM</t>
        </is>
      </c>
      <c r="G440" t="n">
        <v>3.2</v>
      </c>
      <c r="H440" t="n">
        <v>0</v>
      </c>
      <c r="I440" t="n">
        <v>0</v>
      </c>
      <c r="J440" t="n">
        <v>0</v>
      </c>
      <c r="K440" t="n">
        <v>0</v>
      </c>
      <c r="L440" t="n">
        <v>0</v>
      </c>
      <c r="M440" t="n">
        <v>0</v>
      </c>
      <c r="N440" t="n">
        <v>0</v>
      </c>
      <c r="O440" t="n">
        <v>0</v>
      </c>
      <c r="P440" t="n">
        <v>0</v>
      </c>
      <c r="Q440" t="n">
        <v>0</v>
      </c>
      <c r="R440" s="2" t="inlineStr"/>
    </row>
    <row r="441" ht="15" customHeight="1">
      <c r="A441" t="inlineStr">
        <is>
          <t>A 66880-2021</t>
        </is>
      </c>
      <c r="B441" s="1" t="n">
        <v>44522.46662037037</v>
      </c>
      <c r="C441" s="1" t="n">
        <v>46160</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38894-2025</t>
        </is>
      </c>
      <c r="B442" s="1" t="n">
        <v>45887.59064814815</v>
      </c>
      <c r="C442" s="1" t="n">
        <v>46160</v>
      </c>
      <c r="D442" t="inlineStr">
        <is>
          <t>JÄMTLANDS LÄN</t>
        </is>
      </c>
      <c r="E442" t="inlineStr">
        <is>
          <t>KROKOM</t>
        </is>
      </c>
      <c r="G442" t="n">
        <v>0.9</v>
      </c>
      <c r="H442" t="n">
        <v>0</v>
      </c>
      <c r="I442" t="n">
        <v>0</v>
      </c>
      <c r="J442" t="n">
        <v>0</v>
      </c>
      <c r="K442" t="n">
        <v>0</v>
      </c>
      <c r="L442" t="n">
        <v>0</v>
      </c>
      <c r="M442" t="n">
        <v>0</v>
      </c>
      <c r="N442" t="n">
        <v>0</v>
      </c>
      <c r="O442" t="n">
        <v>0</v>
      </c>
      <c r="P442" t="n">
        <v>0</v>
      </c>
      <c r="Q442" t="n">
        <v>0</v>
      </c>
      <c r="R442" s="2" t="inlineStr"/>
    </row>
    <row r="443" ht="15" customHeight="1">
      <c r="A443" t="inlineStr">
        <is>
          <t>A 38789-2025</t>
        </is>
      </c>
      <c r="B443" s="1" t="n">
        <v>45887.44883101852</v>
      </c>
      <c r="C443" s="1" t="n">
        <v>46160</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233-2023</t>
        </is>
      </c>
      <c r="B444" s="1" t="n">
        <v>44922</v>
      </c>
      <c r="C444" s="1" t="n">
        <v>46160</v>
      </c>
      <c r="D444" t="inlineStr">
        <is>
          <t>JÄMTLANDS LÄN</t>
        </is>
      </c>
      <c r="E444" t="inlineStr">
        <is>
          <t>KROKOM</t>
        </is>
      </c>
      <c r="G444" t="n">
        <v>0.6</v>
      </c>
      <c r="H444" t="n">
        <v>0</v>
      </c>
      <c r="I444" t="n">
        <v>0</v>
      </c>
      <c r="J444" t="n">
        <v>0</v>
      </c>
      <c r="K444" t="n">
        <v>0</v>
      </c>
      <c r="L444" t="n">
        <v>0</v>
      </c>
      <c r="M444" t="n">
        <v>0</v>
      </c>
      <c r="N444" t="n">
        <v>0</v>
      </c>
      <c r="O444" t="n">
        <v>0</v>
      </c>
      <c r="P444" t="n">
        <v>0</v>
      </c>
      <c r="Q444" t="n">
        <v>0</v>
      </c>
      <c r="R444" s="2" t="inlineStr"/>
    </row>
    <row r="445" ht="15" customHeight="1">
      <c r="A445" t="inlineStr">
        <is>
          <t>A 25302-2025</t>
        </is>
      </c>
      <c r="B445" s="1" t="n">
        <v>45800.57129629629</v>
      </c>
      <c r="C445" s="1" t="n">
        <v>46160</v>
      </c>
      <c r="D445" t="inlineStr">
        <is>
          <t>JÄMTLANDS LÄN</t>
        </is>
      </c>
      <c r="E445" t="inlineStr">
        <is>
          <t>KROKOM</t>
        </is>
      </c>
      <c r="G445" t="n">
        <v>1.6</v>
      </c>
      <c r="H445" t="n">
        <v>0</v>
      </c>
      <c r="I445" t="n">
        <v>0</v>
      </c>
      <c r="J445" t="n">
        <v>0</v>
      </c>
      <c r="K445" t="n">
        <v>0</v>
      </c>
      <c r="L445" t="n">
        <v>0</v>
      </c>
      <c r="M445" t="n">
        <v>0</v>
      </c>
      <c r="N445" t="n">
        <v>0</v>
      </c>
      <c r="O445" t="n">
        <v>0</v>
      </c>
      <c r="P445" t="n">
        <v>0</v>
      </c>
      <c r="Q445" t="n">
        <v>0</v>
      </c>
      <c r="R445" s="2" t="inlineStr"/>
    </row>
    <row r="446" ht="15" customHeight="1">
      <c r="A446" t="inlineStr">
        <is>
          <t>A 25312-2025</t>
        </is>
      </c>
      <c r="B446" s="1" t="n">
        <v>45800.57461805556</v>
      </c>
      <c r="C446" s="1" t="n">
        <v>46160</v>
      </c>
      <c r="D446" t="inlineStr">
        <is>
          <t>JÄMTLANDS LÄN</t>
        </is>
      </c>
      <c r="E446" t="inlineStr">
        <is>
          <t>KROKOM</t>
        </is>
      </c>
      <c r="G446" t="n">
        <v>3.2</v>
      </c>
      <c r="H446" t="n">
        <v>0</v>
      </c>
      <c r="I446" t="n">
        <v>0</v>
      </c>
      <c r="J446" t="n">
        <v>0</v>
      </c>
      <c r="K446" t="n">
        <v>0</v>
      </c>
      <c r="L446" t="n">
        <v>0</v>
      </c>
      <c r="M446" t="n">
        <v>0</v>
      </c>
      <c r="N446" t="n">
        <v>0</v>
      </c>
      <c r="O446" t="n">
        <v>0</v>
      </c>
      <c r="P446" t="n">
        <v>0</v>
      </c>
      <c r="Q446" t="n">
        <v>0</v>
      </c>
      <c r="R446" s="2" t="inlineStr"/>
    </row>
    <row r="447" ht="15" customHeight="1">
      <c r="A447" t="inlineStr">
        <is>
          <t>A 44154-2024</t>
        </is>
      </c>
      <c r="B447" s="1" t="n">
        <v>45572</v>
      </c>
      <c r="C447" s="1" t="n">
        <v>46160</v>
      </c>
      <c r="D447" t="inlineStr">
        <is>
          <t>JÄMTLANDS LÄN</t>
        </is>
      </c>
      <c r="E447" t="inlineStr">
        <is>
          <t>KROKOM</t>
        </is>
      </c>
      <c r="F447" t="inlineStr">
        <is>
          <t>SCA</t>
        </is>
      </c>
      <c r="G447" t="n">
        <v>28.9</v>
      </c>
      <c r="H447" t="n">
        <v>0</v>
      </c>
      <c r="I447" t="n">
        <v>0</v>
      </c>
      <c r="J447" t="n">
        <v>0</v>
      </c>
      <c r="K447" t="n">
        <v>0</v>
      </c>
      <c r="L447" t="n">
        <v>0</v>
      </c>
      <c r="M447" t="n">
        <v>0</v>
      </c>
      <c r="N447" t="n">
        <v>0</v>
      </c>
      <c r="O447" t="n">
        <v>0</v>
      </c>
      <c r="P447" t="n">
        <v>0</v>
      </c>
      <c r="Q447" t="n">
        <v>0</v>
      </c>
      <c r="R447" s="2" t="inlineStr"/>
    </row>
    <row r="448" ht="15" customHeight="1">
      <c r="A448" t="inlineStr">
        <is>
          <t>A 38885-2025</t>
        </is>
      </c>
      <c r="B448" s="1" t="n">
        <v>45887.58372685185</v>
      </c>
      <c r="C448" s="1" t="n">
        <v>46160</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39205-2025</t>
        </is>
      </c>
      <c r="B449" s="1" t="n">
        <v>45888.72445601852</v>
      </c>
      <c r="C449" s="1" t="n">
        <v>46160</v>
      </c>
      <c r="D449" t="inlineStr">
        <is>
          <t>JÄMTLANDS LÄN</t>
        </is>
      </c>
      <c r="E449" t="inlineStr">
        <is>
          <t>KROKOM</t>
        </is>
      </c>
      <c r="F449" t="inlineStr">
        <is>
          <t>Kyrkan</t>
        </is>
      </c>
      <c r="G449" t="n">
        <v>20.6</v>
      </c>
      <c r="H449" t="n">
        <v>0</v>
      </c>
      <c r="I449" t="n">
        <v>0</v>
      </c>
      <c r="J449" t="n">
        <v>0</v>
      </c>
      <c r="K449" t="n">
        <v>0</v>
      </c>
      <c r="L449" t="n">
        <v>0</v>
      </c>
      <c r="M449" t="n">
        <v>0</v>
      </c>
      <c r="N449" t="n">
        <v>0</v>
      </c>
      <c r="O449" t="n">
        <v>0</v>
      </c>
      <c r="P449" t="n">
        <v>0</v>
      </c>
      <c r="Q449" t="n">
        <v>0</v>
      </c>
      <c r="R449" s="2" t="inlineStr"/>
    </row>
    <row r="450" ht="15" customHeight="1">
      <c r="A450" t="inlineStr">
        <is>
          <t>A 25295-2025</t>
        </is>
      </c>
      <c r="B450" s="1" t="n">
        <v>45800.56810185185</v>
      </c>
      <c r="C450" s="1" t="n">
        <v>46160</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23083-2025</t>
        </is>
      </c>
      <c r="B451" s="1" t="n">
        <v>45791</v>
      </c>
      <c r="C451" s="1" t="n">
        <v>46160</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54037-2021</t>
        </is>
      </c>
      <c r="B452" s="1" t="n">
        <v>44470</v>
      </c>
      <c r="C452" s="1" t="n">
        <v>46160</v>
      </c>
      <c r="D452" t="inlineStr">
        <is>
          <t>JÄMTLANDS LÄN</t>
        </is>
      </c>
      <c r="E452" t="inlineStr">
        <is>
          <t>KROKOM</t>
        </is>
      </c>
      <c r="G452" t="n">
        <v>6.3</v>
      </c>
      <c r="H452" t="n">
        <v>0</v>
      </c>
      <c r="I452" t="n">
        <v>0</v>
      </c>
      <c r="J452" t="n">
        <v>0</v>
      </c>
      <c r="K452" t="n">
        <v>0</v>
      </c>
      <c r="L452" t="n">
        <v>0</v>
      </c>
      <c r="M452" t="n">
        <v>0</v>
      </c>
      <c r="N452" t="n">
        <v>0</v>
      </c>
      <c r="O452" t="n">
        <v>0</v>
      </c>
      <c r="P452" t="n">
        <v>0</v>
      </c>
      <c r="Q452" t="n">
        <v>0</v>
      </c>
      <c r="R452" s="2" t="inlineStr"/>
    </row>
    <row r="453" ht="15" customHeight="1">
      <c r="A453" t="inlineStr">
        <is>
          <t>A 52578-2021</t>
        </is>
      </c>
      <c r="B453" s="1" t="n">
        <v>44466.56642361111</v>
      </c>
      <c r="C453" s="1" t="n">
        <v>46160</v>
      </c>
      <c r="D453" t="inlineStr">
        <is>
          <t>JÄMTLANDS LÄN</t>
        </is>
      </c>
      <c r="E453" t="inlineStr">
        <is>
          <t>KROKOM</t>
        </is>
      </c>
      <c r="G453" t="n">
        <v>17.1</v>
      </c>
      <c r="H453" t="n">
        <v>0</v>
      </c>
      <c r="I453" t="n">
        <v>0</v>
      </c>
      <c r="J453" t="n">
        <v>0</v>
      </c>
      <c r="K453" t="n">
        <v>0</v>
      </c>
      <c r="L453" t="n">
        <v>0</v>
      </c>
      <c r="M453" t="n">
        <v>0</v>
      </c>
      <c r="N453" t="n">
        <v>0</v>
      </c>
      <c r="O453" t="n">
        <v>0</v>
      </c>
      <c r="P453" t="n">
        <v>0</v>
      </c>
      <c r="Q453" t="n">
        <v>0</v>
      </c>
      <c r="R453" s="2" t="inlineStr"/>
    </row>
    <row r="454" ht="15" customHeight="1">
      <c r="A454" t="inlineStr">
        <is>
          <t>A 61230-2021</t>
        </is>
      </c>
      <c r="B454" s="1" t="n">
        <v>44498</v>
      </c>
      <c r="C454" s="1" t="n">
        <v>46160</v>
      </c>
      <c r="D454" t="inlineStr">
        <is>
          <t>JÄMTLANDS LÄN</t>
        </is>
      </c>
      <c r="E454" t="inlineStr">
        <is>
          <t>KROKOM</t>
        </is>
      </c>
      <c r="G454" t="n">
        <v>0.9</v>
      </c>
      <c r="H454" t="n">
        <v>0</v>
      </c>
      <c r="I454" t="n">
        <v>0</v>
      </c>
      <c r="J454" t="n">
        <v>0</v>
      </c>
      <c r="K454" t="n">
        <v>0</v>
      </c>
      <c r="L454" t="n">
        <v>0</v>
      </c>
      <c r="M454" t="n">
        <v>0</v>
      </c>
      <c r="N454" t="n">
        <v>0</v>
      </c>
      <c r="O454" t="n">
        <v>0</v>
      </c>
      <c r="P454" t="n">
        <v>0</v>
      </c>
      <c r="Q454" t="n">
        <v>0</v>
      </c>
      <c r="R454" s="2" t="inlineStr"/>
    </row>
    <row r="455" ht="15" customHeight="1">
      <c r="A455" t="inlineStr">
        <is>
          <t>A 39265-2025</t>
        </is>
      </c>
      <c r="B455" s="1" t="n">
        <v>45889.37520833333</v>
      </c>
      <c r="C455" s="1" t="n">
        <v>46160</v>
      </c>
      <c r="D455" t="inlineStr">
        <is>
          <t>JÄMTLANDS LÄN</t>
        </is>
      </c>
      <c r="E455" t="inlineStr">
        <is>
          <t>KROKOM</t>
        </is>
      </c>
      <c r="F455" t="inlineStr">
        <is>
          <t>Övriga Aktiebolag</t>
        </is>
      </c>
      <c r="G455" t="n">
        <v>3.9</v>
      </c>
      <c r="H455" t="n">
        <v>0</v>
      </c>
      <c r="I455" t="n">
        <v>0</v>
      </c>
      <c r="J455" t="n">
        <v>0</v>
      </c>
      <c r="K455" t="n">
        <v>0</v>
      </c>
      <c r="L455" t="n">
        <v>0</v>
      </c>
      <c r="M455" t="n">
        <v>0</v>
      </c>
      <c r="N455" t="n">
        <v>0</v>
      </c>
      <c r="O455" t="n">
        <v>0</v>
      </c>
      <c r="P455" t="n">
        <v>0</v>
      </c>
      <c r="Q455" t="n">
        <v>0</v>
      </c>
      <c r="R455" s="2" t="inlineStr"/>
    </row>
    <row r="456" ht="15" customHeight="1">
      <c r="A456" t="inlineStr">
        <is>
          <t>A 25398-2025</t>
        </is>
      </c>
      <c r="B456" s="1" t="n">
        <v>45800.65177083333</v>
      </c>
      <c r="C456" s="1" t="n">
        <v>46160</v>
      </c>
      <c r="D456" t="inlineStr">
        <is>
          <t>JÄMTLANDS LÄN</t>
        </is>
      </c>
      <c r="E456" t="inlineStr">
        <is>
          <t>KROKOM</t>
        </is>
      </c>
      <c r="G456" t="n">
        <v>3.4</v>
      </c>
      <c r="H456" t="n">
        <v>0</v>
      </c>
      <c r="I456" t="n">
        <v>0</v>
      </c>
      <c r="J456" t="n">
        <v>0</v>
      </c>
      <c r="K456" t="n">
        <v>0</v>
      </c>
      <c r="L456" t="n">
        <v>0</v>
      </c>
      <c r="M456" t="n">
        <v>0</v>
      </c>
      <c r="N456" t="n">
        <v>0</v>
      </c>
      <c r="O456" t="n">
        <v>0</v>
      </c>
      <c r="P456" t="n">
        <v>0</v>
      </c>
      <c r="Q456" t="n">
        <v>0</v>
      </c>
      <c r="R456" s="2" t="inlineStr"/>
    </row>
    <row r="457" ht="15" customHeight="1">
      <c r="A457" t="inlineStr">
        <is>
          <t>A 25386-2025</t>
        </is>
      </c>
      <c r="B457" s="1" t="n">
        <v>45800.64319444444</v>
      </c>
      <c r="C457" s="1" t="n">
        <v>46160</v>
      </c>
      <c r="D457" t="inlineStr">
        <is>
          <t>JÄMTLANDS LÄN</t>
        </is>
      </c>
      <c r="E457" t="inlineStr">
        <is>
          <t>KROKOM</t>
        </is>
      </c>
      <c r="G457" t="n">
        <v>11.9</v>
      </c>
      <c r="H457" t="n">
        <v>0</v>
      </c>
      <c r="I457" t="n">
        <v>0</v>
      </c>
      <c r="J457" t="n">
        <v>0</v>
      </c>
      <c r="K457" t="n">
        <v>0</v>
      </c>
      <c r="L457" t="n">
        <v>0</v>
      </c>
      <c r="M457" t="n">
        <v>0</v>
      </c>
      <c r="N457" t="n">
        <v>0</v>
      </c>
      <c r="O457" t="n">
        <v>0</v>
      </c>
      <c r="P457" t="n">
        <v>0</v>
      </c>
      <c r="Q457" t="n">
        <v>0</v>
      </c>
      <c r="R457" s="2" t="inlineStr"/>
    </row>
    <row r="458" ht="15" customHeight="1">
      <c r="A458" t="inlineStr">
        <is>
          <t>A 58734-2024</t>
        </is>
      </c>
      <c r="B458" s="1" t="n">
        <v>45635.67949074074</v>
      </c>
      <c r="C458" s="1" t="n">
        <v>46160</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52111-2024</t>
        </is>
      </c>
      <c r="B459" s="1" t="n">
        <v>45608.43930555556</v>
      </c>
      <c r="C459" s="1" t="n">
        <v>46160</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4058-2025</t>
        </is>
      </c>
      <c r="B460" s="1" t="n">
        <v>45684.62510416667</v>
      </c>
      <c r="C460" s="1" t="n">
        <v>46160</v>
      </c>
      <c r="D460" t="inlineStr">
        <is>
          <t>JÄMTLANDS LÄN</t>
        </is>
      </c>
      <c r="E460" t="inlineStr">
        <is>
          <t>KROKOM</t>
        </is>
      </c>
      <c r="F460" t="inlineStr">
        <is>
          <t>Kyrkan</t>
        </is>
      </c>
      <c r="G460" t="n">
        <v>7.8</v>
      </c>
      <c r="H460" t="n">
        <v>0</v>
      </c>
      <c r="I460" t="n">
        <v>0</v>
      </c>
      <c r="J460" t="n">
        <v>0</v>
      </c>
      <c r="K460" t="n">
        <v>0</v>
      </c>
      <c r="L460" t="n">
        <v>0</v>
      </c>
      <c r="M460" t="n">
        <v>0</v>
      </c>
      <c r="N460" t="n">
        <v>0</v>
      </c>
      <c r="O460" t="n">
        <v>0</v>
      </c>
      <c r="P460" t="n">
        <v>0</v>
      </c>
      <c r="Q460" t="n">
        <v>0</v>
      </c>
      <c r="R460" s="2" t="inlineStr"/>
    </row>
    <row r="461" ht="15" customHeight="1">
      <c r="A461" t="inlineStr">
        <is>
          <t>A 15341-2025</t>
        </is>
      </c>
      <c r="B461" s="1" t="n">
        <v>45746</v>
      </c>
      <c r="C461" s="1" t="n">
        <v>46160</v>
      </c>
      <c r="D461" t="inlineStr">
        <is>
          <t>JÄMTLANDS LÄN</t>
        </is>
      </c>
      <c r="E461" t="inlineStr">
        <is>
          <t>KROKOM</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25681-2025</t>
        </is>
      </c>
      <c r="B462" s="1" t="n">
        <v>45800</v>
      </c>
      <c r="C462" s="1" t="n">
        <v>46160</v>
      </c>
      <c r="D462" t="inlineStr">
        <is>
          <t>JÄMTLANDS LÄN</t>
        </is>
      </c>
      <c r="E462" t="inlineStr">
        <is>
          <t>KROKOM</t>
        </is>
      </c>
      <c r="G462" t="n">
        <v>12</v>
      </c>
      <c r="H462" t="n">
        <v>0</v>
      </c>
      <c r="I462" t="n">
        <v>0</v>
      </c>
      <c r="J462" t="n">
        <v>0</v>
      </c>
      <c r="K462" t="n">
        <v>0</v>
      </c>
      <c r="L462" t="n">
        <v>0</v>
      </c>
      <c r="M462" t="n">
        <v>0</v>
      </c>
      <c r="N462" t="n">
        <v>0</v>
      </c>
      <c r="O462" t="n">
        <v>0</v>
      </c>
      <c r="P462" t="n">
        <v>0</v>
      </c>
      <c r="Q462" t="n">
        <v>0</v>
      </c>
      <c r="R462" s="2" t="inlineStr"/>
    </row>
    <row r="463" ht="15" customHeight="1">
      <c r="A463" t="inlineStr">
        <is>
          <t>A 40180-2025</t>
        </is>
      </c>
      <c r="B463" s="1" t="n">
        <v>45894.63693287037</v>
      </c>
      <c r="C463" s="1" t="n">
        <v>46160</v>
      </c>
      <c r="D463" t="inlineStr">
        <is>
          <t>JÄMTLANDS LÄN</t>
        </is>
      </c>
      <c r="E463" t="inlineStr">
        <is>
          <t>KROKOM</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27899-2025</t>
        </is>
      </c>
      <c r="B464" s="1" t="n">
        <v>45817</v>
      </c>
      <c r="C464" s="1" t="n">
        <v>46160</v>
      </c>
      <c r="D464" t="inlineStr">
        <is>
          <t>JÄMTLANDS LÄN</t>
        </is>
      </c>
      <c r="E464" t="inlineStr">
        <is>
          <t>KROKOM</t>
        </is>
      </c>
      <c r="G464" t="n">
        <v>16.4</v>
      </c>
      <c r="H464" t="n">
        <v>0</v>
      </c>
      <c r="I464" t="n">
        <v>0</v>
      </c>
      <c r="J464" t="n">
        <v>0</v>
      </c>
      <c r="K464" t="n">
        <v>0</v>
      </c>
      <c r="L464" t="n">
        <v>0</v>
      </c>
      <c r="M464" t="n">
        <v>0</v>
      </c>
      <c r="N464" t="n">
        <v>0</v>
      </c>
      <c r="O464" t="n">
        <v>0</v>
      </c>
      <c r="P464" t="n">
        <v>0</v>
      </c>
      <c r="Q464" t="n">
        <v>0</v>
      </c>
      <c r="R464" s="2" t="inlineStr"/>
    </row>
    <row r="465" ht="15" customHeight="1">
      <c r="A465" t="inlineStr">
        <is>
          <t>A 400-2026</t>
        </is>
      </c>
      <c r="B465" s="1" t="n">
        <v>46028.65902777778</v>
      </c>
      <c r="C465" s="1" t="n">
        <v>46160</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25710-2025</t>
        </is>
      </c>
      <c r="B466" s="1" t="n">
        <v>45803.6837962963</v>
      </c>
      <c r="C466" s="1" t="n">
        <v>46160</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28191-2024</t>
        </is>
      </c>
      <c r="B467" s="1" t="n">
        <v>45477.32728009259</v>
      </c>
      <c r="C467" s="1" t="n">
        <v>46160</v>
      </c>
      <c r="D467" t="inlineStr">
        <is>
          <t>JÄMTLANDS LÄN</t>
        </is>
      </c>
      <c r="E467" t="inlineStr">
        <is>
          <t>KROKOM</t>
        </is>
      </c>
      <c r="F467" t="inlineStr">
        <is>
          <t>Övriga Aktiebolag</t>
        </is>
      </c>
      <c r="G467" t="n">
        <v>0.3</v>
      </c>
      <c r="H467" t="n">
        <v>0</v>
      </c>
      <c r="I467" t="n">
        <v>0</v>
      </c>
      <c r="J467" t="n">
        <v>0</v>
      </c>
      <c r="K467" t="n">
        <v>0</v>
      </c>
      <c r="L467" t="n">
        <v>0</v>
      </c>
      <c r="M467" t="n">
        <v>0</v>
      </c>
      <c r="N467" t="n">
        <v>0</v>
      </c>
      <c r="O467" t="n">
        <v>0</v>
      </c>
      <c r="P467" t="n">
        <v>0</v>
      </c>
      <c r="Q467" t="n">
        <v>0</v>
      </c>
      <c r="R467" s="2" t="inlineStr"/>
    </row>
    <row r="468" ht="15" customHeight="1">
      <c r="A468" t="inlineStr">
        <is>
          <t>A 16545-2024</t>
        </is>
      </c>
      <c r="B468" s="1" t="n">
        <v>45408</v>
      </c>
      <c r="C468" s="1" t="n">
        <v>46160</v>
      </c>
      <c r="D468" t="inlineStr">
        <is>
          <t>JÄMTLANDS LÄN</t>
        </is>
      </c>
      <c r="E468" t="inlineStr">
        <is>
          <t>KROKOM</t>
        </is>
      </c>
      <c r="G468" t="n">
        <v>46.1</v>
      </c>
      <c r="H468" t="n">
        <v>0</v>
      </c>
      <c r="I468" t="n">
        <v>0</v>
      </c>
      <c r="J468" t="n">
        <v>0</v>
      </c>
      <c r="K468" t="n">
        <v>0</v>
      </c>
      <c r="L468" t="n">
        <v>0</v>
      </c>
      <c r="M468" t="n">
        <v>0</v>
      </c>
      <c r="N468" t="n">
        <v>0</v>
      </c>
      <c r="O468" t="n">
        <v>0</v>
      </c>
      <c r="P468" t="n">
        <v>0</v>
      </c>
      <c r="Q468" t="n">
        <v>0</v>
      </c>
      <c r="R468" s="2" t="inlineStr"/>
    </row>
    <row r="469" ht="15" customHeight="1">
      <c r="A469" t="inlineStr">
        <is>
          <t>A 31821-2023</t>
        </is>
      </c>
      <c r="B469" s="1" t="n">
        <v>45118</v>
      </c>
      <c r="C469" s="1" t="n">
        <v>46160</v>
      </c>
      <c r="D469" t="inlineStr">
        <is>
          <t>JÄMTLANDS LÄN</t>
        </is>
      </c>
      <c r="E469" t="inlineStr">
        <is>
          <t>KROKOM</t>
        </is>
      </c>
      <c r="G469" t="n">
        <v>0.1</v>
      </c>
      <c r="H469" t="n">
        <v>0</v>
      </c>
      <c r="I469" t="n">
        <v>0</v>
      </c>
      <c r="J469" t="n">
        <v>0</v>
      </c>
      <c r="K469" t="n">
        <v>0</v>
      </c>
      <c r="L469" t="n">
        <v>0</v>
      </c>
      <c r="M469" t="n">
        <v>0</v>
      </c>
      <c r="N469" t="n">
        <v>0</v>
      </c>
      <c r="O469" t="n">
        <v>0</v>
      </c>
      <c r="P469" t="n">
        <v>0</v>
      </c>
      <c r="Q469" t="n">
        <v>0</v>
      </c>
      <c r="R469" s="2" t="inlineStr"/>
    </row>
    <row r="470" ht="15" customHeight="1">
      <c r="A470" t="inlineStr">
        <is>
          <t>A 30065-2024</t>
        </is>
      </c>
      <c r="B470" s="1" t="n">
        <v>45488.94857638889</v>
      </c>
      <c r="C470" s="1" t="n">
        <v>46160</v>
      </c>
      <c r="D470" t="inlineStr">
        <is>
          <t>JÄMTLANDS LÄN</t>
        </is>
      </c>
      <c r="E470" t="inlineStr">
        <is>
          <t>KROKOM</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4608-2025</t>
        </is>
      </c>
      <c r="B471" s="1" t="n">
        <v>45687</v>
      </c>
      <c r="C471" s="1" t="n">
        <v>46160</v>
      </c>
      <c r="D471" t="inlineStr">
        <is>
          <t>JÄMTLANDS LÄN</t>
        </is>
      </c>
      <c r="E471" t="inlineStr">
        <is>
          <t>KROKOM</t>
        </is>
      </c>
      <c r="F471" t="inlineStr">
        <is>
          <t>SCA</t>
        </is>
      </c>
      <c r="G471" t="n">
        <v>16.6</v>
      </c>
      <c r="H471" t="n">
        <v>0</v>
      </c>
      <c r="I471" t="n">
        <v>0</v>
      </c>
      <c r="J471" t="n">
        <v>0</v>
      </c>
      <c r="K471" t="n">
        <v>0</v>
      </c>
      <c r="L471" t="n">
        <v>0</v>
      </c>
      <c r="M471" t="n">
        <v>0</v>
      </c>
      <c r="N471" t="n">
        <v>0</v>
      </c>
      <c r="O471" t="n">
        <v>0</v>
      </c>
      <c r="P471" t="n">
        <v>0</v>
      </c>
      <c r="Q471" t="n">
        <v>0</v>
      </c>
      <c r="R471" s="2" t="inlineStr"/>
    </row>
    <row r="472" ht="15" customHeight="1">
      <c r="A472" t="inlineStr">
        <is>
          <t>A 61078-2023</t>
        </is>
      </c>
      <c r="B472" s="1" t="n">
        <v>45261</v>
      </c>
      <c r="C472" s="1" t="n">
        <v>46160</v>
      </c>
      <c r="D472" t="inlineStr">
        <is>
          <t>JÄMTLANDS LÄN</t>
        </is>
      </c>
      <c r="E472" t="inlineStr">
        <is>
          <t>KROKOM</t>
        </is>
      </c>
      <c r="G472" t="n">
        <v>5.7</v>
      </c>
      <c r="H472" t="n">
        <v>0</v>
      </c>
      <c r="I472" t="n">
        <v>0</v>
      </c>
      <c r="J472" t="n">
        <v>0</v>
      </c>
      <c r="K472" t="n">
        <v>0</v>
      </c>
      <c r="L472" t="n">
        <v>0</v>
      </c>
      <c r="M472" t="n">
        <v>0</v>
      </c>
      <c r="N472" t="n">
        <v>0</v>
      </c>
      <c r="O472" t="n">
        <v>0</v>
      </c>
      <c r="P472" t="n">
        <v>0</v>
      </c>
      <c r="Q472" t="n">
        <v>0</v>
      </c>
      <c r="R472" s="2" t="inlineStr"/>
    </row>
    <row r="473" ht="15" customHeight="1">
      <c r="A473" t="inlineStr">
        <is>
          <t>A 10498-2025</t>
        </is>
      </c>
      <c r="B473" s="1" t="n">
        <v>45721</v>
      </c>
      <c r="C473" s="1" t="n">
        <v>46160</v>
      </c>
      <c r="D473" t="inlineStr">
        <is>
          <t>JÄMTLANDS LÄN</t>
        </is>
      </c>
      <c r="E473" t="inlineStr">
        <is>
          <t>KROKOM</t>
        </is>
      </c>
      <c r="G473" t="n">
        <v>1</v>
      </c>
      <c r="H473" t="n">
        <v>0</v>
      </c>
      <c r="I473" t="n">
        <v>0</v>
      </c>
      <c r="J473" t="n">
        <v>0</v>
      </c>
      <c r="K473" t="n">
        <v>0</v>
      </c>
      <c r="L473" t="n">
        <v>0</v>
      </c>
      <c r="M473" t="n">
        <v>0</v>
      </c>
      <c r="N473" t="n">
        <v>0</v>
      </c>
      <c r="O473" t="n">
        <v>0</v>
      </c>
      <c r="P473" t="n">
        <v>0</v>
      </c>
      <c r="Q473" t="n">
        <v>0</v>
      </c>
      <c r="R473" s="2" t="inlineStr"/>
    </row>
    <row r="474" ht="15" customHeight="1">
      <c r="A474" t="inlineStr">
        <is>
          <t>A 26212-2025</t>
        </is>
      </c>
      <c r="B474" s="1" t="n">
        <v>45805.54185185185</v>
      </c>
      <c r="C474" s="1" t="n">
        <v>46160</v>
      </c>
      <c r="D474" t="inlineStr">
        <is>
          <t>JÄMTLANDS LÄN</t>
        </is>
      </c>
      <c r="E474" t="inlineStr">
        <is>
          <t>KROKOM</t>
        </is>
      </c>
      <c r="G474" t="n">
        <v>1.5</v>
      </c>
      <c r="H474" t="n">
        <v>0</v>
      </c>
      <c r="I474" t="n">
        <v>0</v>
      </c>
      <c r="J474" t="n">
        <v>0</v>
      </c>
      <c r="K474" t="n">
        <v>0</v>
      </c>
      <c r="L474" t="n">
        <v>0</v>
      </c>
      <c r="M474" t="n">
        <v>0</v>
      </c>
      <c r="N474" t="n">
        <v>0</v>
      </c>
      <c r="O474" t="n">
        <v>0</v>
      </c>
      <c r="P474" t="n">
        <v>0</v>
      </c>
      <c r="Q474" t="n">
        <v>0</v>
      </c>
      <c r="R474" s="2" t="inlineStr"/>
    </row>
    <row r="475" ht="15" customHeight="1">
      <c r="A475" t="inlineStr">
        <is>
          <t>A 16345-2025</t>
        </is>
      </c>
      <c r="B475" s="1" t="n">
        <v>45751.3734837963</v>
      </c>
      <c r="C475" s="1" t="n">
        <v>46160</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16481-2025</t>
        </is>
      </c>
      <c r="B476" s="1" t="n">
        <v>45751.57877314815</v>
      </c>
      <c r="C476" s="1" t="n">
        <v>46160</v>
      </c>
      <c r="D476" t="inlineStr">
        <is>
          <t>JÄMTLANDS LÄN</t>
        </is>
      </c>
      <c r="E476" t="inlineStr">
        <is>
          <t>KROKOM</t>
        </is>
      </c>
      <c r="G476" t="n">
        <v>8.4</v>
      </c>
      <c r="H476" t="n">
        <v>0</v>
      </c>
      <c r="I476" t="n">
        <v>0</v>
      </c>
      <c r="J476" t="n">
        <v>0</v>
      </c>
      <c r="K476" t="n">
        <v>0</v>
      </c>
      <c r="L476" t="n">
        <v>0</v>
      </c>
      <c r="M476" t="n">
        <v>0</v>
      </c>
      <c r="N476" t="n">
        <v>0</v>
      </c>
      <c r="O476" t="n">
        <v>0</v>
      </c>
      <c r="P476" t="n">
        <v>0</v>
      </c>
      <c r="Q476" t="n">
        <v>0</v>
      </c>
      <c r="R476" s="2" t="inlineStr"/>
    </row>
    <row r="477" ht="15" customHeight="1">
      <c r="A477" t="inlineStr">
        <is>
          <t>A 27729-2024</t>
        </is>
      </c>
      <c r="B477" s="1" t="n">
        <v>45475</v>
      </c>
      <c r="C477" s="1" t="n">
        <v>46160</v>
      </c>
      <c r="D477" t="inlineStr">
        <is>
          <t>JÄMTLANDS LÄN</t>
        </is>
      </c>
      <c r="E477" t="inlineStr">
        <is>
          <t>KROKOM</t>
        </is>
      </c>
      <c r="G477" t="n">
        <v>1.5</v>
      </c>
      <c r="H477" t="n">
        <v>0</v>
      </c>
      <c r="I477" t="n">
        <v>0</v>
      </c>
      <c r="J477" t="n">
        <v>0</v>
      </c>
      <c r="K477" t="n">
        <v>0</v>
      </c>
      <c r="L477" t="n">
        <v>0</v>
      </c>
      <c r="M477" t="n">
        <v>0</v>
      </c>
      <c r="N477" t="n">
        <v>0</v>
      </c>
      <c r="O477" t="n">
        <v>0</v>
      </c>
      <c r="P477" t="n">
        <v>0</v>
      </c>
      <c r="Q477" t="n">
        <v>0</v>
      </c>
      <c r="R477" s="2" t="inlineStr"/>
    </row>
    <row r="478" ht="15" customHeight="1">
      <c r="A478" t="inlineStr">
        <is>
          <t>A 26272-2025</t>
        </is>
      </c>
      <c r="B478" s="1" t="n">
        <v>45805</v>
      </c>
      <c r="C478" s="1" t="n">
        <v>46160</v>
      </c>
      <c r="D478" t="inlineStr">
        <is>
          <t>JÄMTLANDS LÄN</t>
        </is>
      </c>
      <c r="E478" t="inlineStr">
        <is>
          <t>KROKOM</t>
        </is>
      </c>
      <c r="G478" t="n">
        <v>22.4</v>
      </c>
      <c r="H478" t="n">
        <v>0</v>
      </c>
      <c r="I478" t="n">
        <v>0</v>
      </c>
      <c r="J478" t="n">
        <v>0</v>
      </c>
      <c r="K478" t="n">
        <v>0</v>
      </c>
      <c r="L478" t="n">
        <v>0</v>
      </c>
      <c r="M478" t="n">
        <v>0</v>
      </c>
      <c r="N478" t="n">
        <v>0</v>
      </c>
      <c r="O478" t="n">
        <v>0</v>
      </c>
      <c r="P478" t="n">
        <v>0</v>
      </c>
      <c r="Q478" t="n">
        <v>0</v>
      </c>
      <c r="R478" s="2" t="inlineStr"/>
    </row>
    <row r="479" ht="15" customHeight="1">
      <c r="A479" t="inlineStr">
        <is>
          <t>A 40283-2025</t>
        </is>
      </c>
      <c r="B479" s="1" t="n">
        <v>45895.36994212963</v>
      </c>
      <c r="C479" s="1" t="n">
        <v>46160</v>
      </c>
      <c r="D479" t="inlineStr">
        <is>
          <t>JÄMTLANDS LÄN</t>
        </is>
      </c>
      <c r="E479" t="inlineStr">
        <is>
          <t>KROKOM</t>
        </is>
      </c>
      <c r="G479" t="n">
        <v>11.1</v>
      </c>
      <c r="H479" t="n">
        <v>0</v>
      </c>
      <c r="I479" t="n">
        <v>0</v>
      </c>
      <c r="J479" t="n">
        <v>0</v>
      </c>
      <c r="K479" t="n">
        <v>0</v>
      </c>
      <c r="L479" t="n">
        <v>0</v>
      </c>
      <c r="M479" t="n">
        <v>0</v>
      </c>
      <c r="N479" t="n">
        <v>0</v>
      </c>
      <c r="O479" t="n">
        <v>0</v>
      </c>
      <c r="P479" t="n">
        <v>0</v>
      </c>
      <c r="Q479" t="n">
        <v>0</v>
      </c>
      <c r="R479" s="2" t="inlineStr"/>
    </row>
    <row r="480" ht="15" customHeight="1">
      <c r="A480" t="inlineStr">
        <is>
          <t>A 5409-2025</t>
        </is>
      </c>
      <c r="B480" s="1" t="n">
        <v>45692</v>
      </c>
      <c r="C480" s="1" t="n">
        <v>46160</v>
      </c>
      <c r="D480" t="inlineStr">
        <is>
          <t>JÄMTLANDS LÄN</t>
        </is>
      </c>
      <c r="E480" t="inlineStr">
        <is>
          <t>KROKOM</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6024-2025</t>
        </is>
      </c>
      <c r="B481" s="1" t="n">
        <v>45695.61160879629</v>
      </c>
      <c r="C481" s="1" t="n">
        <v>46160</v>
      </c>
      <c r="D481" t="inlineStr">
        <is>
          <t>JÄMTLANDS LÄN</t>
        </is>
      </c>
      <c r="E481" t="inlineStr">
        <is>
          <t>KROKOM</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6214-2022</t>
        </is>
      </c>
      <c r="B482" s="1" t="n">
        <v>44600.37212962963</v>
      </c>
      <c r="C482" s="1" t="n">
        <v>46160</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502-2026</t>
        </is>
      </c>
      <c r="B483" s="1" t="n">
        <v>46029.43747685185</v>
      </c>
      <c r="C483" s="1" t="n">
        <v>46160</v>
      </c>
      <c r="D483" t="inlineStr">
        <is>
          <t>JÄMTLANDS LÄN</t>
        </is>
      </c>
      <c r="E483" t="inlineStr">
        <is>
          <t>KROKOM</t>
        </is>
      </c>
      <c r="G483" t="n">
        <v>5.5</v>
      </c>
      <c r="H483" t="n">
        <v>0</v>
      </c>
      <c r="I483" t="n">
        <v>0</v>
      </c>
      <c r="J483" t="n">
        <v>0</v>
      </c>
      <c r="K483" t="n">
        <v>0</v>
      </c>
      <c r="L483" t="n">
        <v>0</v>
      </c>
      <c r="M483" t="n">
        <v>0</v>
      </c>
      <c r="N483" t="n">
        <v>0</v>
      </c>
      <c r="O483" t="n">
        <v>0</v>
      </c>
      <c r="P483" t="n">
        <v>0</v>
      </c>
      <c r="Q483" t="n">
        <v>0</v>
      </c>
      <c r="R483" s="2" t="inlineStr"/>
    </row>
    <row r="484" ht="15" customHeight="1">
      <c r="A484" t="inlineStr">
        <is>
          <t>A 504-2026</t>
        </is>
      </c>
      <c r="B484" s="1" t="n">
        <v>46029.43922453704</v>
      </c>
      <c r="C484" s="1" t="n">
        <v>46160</v>
      </c>
      <c r="D484" t="inlineStr">
        <is>
          <t>JÄMTLANDS LÄN</t>
        </is>
      </c>
      <c r="E484" t="inlineStr">
        <is>
          <t>KROKOM</t>
        </is>
      </c>
      <c r="G484" t="n">
        <v>3.6</v>
      </c>
      <c r="H484" t="n">
        <v>0</v>
      </c>
      <c r="I484" t="n">
        <v>0</v>
      </c>
      <c r="J484" t="n">
        <v>0</v>
      </c>
      <c r="K484" t="n">
        <v>0</v>
      </c>
      <c r="L484" t="n">
        <v>0</v>
      </c>
      <c r="M484" t="n">
        <v>0</v>
      </c>
      <c r="N484" t="n">
        <v>0</v>
      </c>
      <c r="O484" t="n">
        <v>0</v>
      </c>
      <c r="P484" t="n">
        <v>0</v>
      </c>
      <c r="Q484" t="n">
        <v>0</v>
      </c>
      <c r="R484" s="2" t="inlineStr"/>
    </row>
    <row r="485" ht="15" customHeight="1">
      <c r="A485" t="inlineStr">
        <is>
          <t>A 26544-2025</t>
        </is>
      </c>
      <c r="B485" s="1" t="n">
        <v>45807.58930555556</v>
      </c>
      <c r="C485" s="1" t="n">
        <v>46160</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40822-2025</t>
        </is>
      </c>
      <c r="B486" s="1" t="n">
        <v>45897.49424768519</v>
      </c>
      <c r="C486" s="1" t="n">
        <v>46160</v>
      </c>
      <c r="D486" t="inlineStr">
        <is>
          <t>JÄMTLANDS LÄN</t>
        </is>
      </c>
      <c r="E486" t="inlineStr">
        <is>
          <t>KROKOM</t>
        </is>
      </c>
      <c r="G486" t="n">
        <v>3.8</v>
      </c>
      <c r="H486" t="n">
        <v>0</v>
      </c>
      <c r="I486" t="n">
        <v>0</v>
      </c>
      <c r="J486" t="n">
        <v>0</v>
      </c>
      <c r="K486" t="n">
        <v>0</v>
      </c>
      <c r="L486" t="n">
        <v>0</v>
      </c>
      <c r="M486" t="n">
        <v>0</v>
      </c>
      <c r="N486" t="n">
        <v>0</v>
      </c>
      <c r="O486" t="n">
        <v>0</v>
      </c>
      <c r="P486" t="n">
        <v>0</v>
      </c>
      <c r="Q486" t="n">
        <v>0</v>
      </c>
      <c r="R486" s="2" t="inlineStr"/>
    </row>
    <row r="487" ht="15" customHeight="1">
      <c r="A487" t="inlineStr">
        <is>
          <t>A 73174-2021</t>
        </is>
      </c>
      <c r="B487" s="1" t="n">
        <v>44550</v>
      </c>
      <c r="C487" s="1" t="n">
        <v>46160</v>
      </c>
      <c r="D487" t="inlineStr">
        <is>
          <t>JÄMTLANDS LÄN</t>
        </is>
      </c>
      <c r="E487" t="inlineStr">
        <is>
          <t>KROKOM</t>
        </is>
      </c>
      <c r="G487" t="n">
        <v>152.9</v>
      </c>
      <c r="H487" t="n">
        <v>0</v>
      </c>
      <c r="I487" t="n">
        <v>0</v>
      </c>
      <c r="J487" t="n">
        <v>0</v>
      </c>
      <c r="K487" t="n">
        <v>0</v>
      </c>
      <c r="L487" t="n">
        <v>0</v>
      </c>
      <c r="M487" t="n">
        <v>0</v>
      </c>
      <c r="N487" t="n">
        <v>0</v>
      </c>
      <c r="O487" t="n">
        <v>0</v>
      </c>
      <c r="P487" t="n">
        <v>0</v>
      </c>
      <c r="Q487" t="n">
        <v>0</v>
      </c>
      <c r="R487" s="2" t="inlineStr"/>
    </row>
    <row r="488" ht="15" customHeight="1">
      <c r="A488" t="inlineStr">
        <is>
          <t>A 7787-2025</t>
        </is>
      </c>
      <c r="B488" s="1" t="n">
        <v>45706.59251157408</v>
      </c>
      <c r="C488" s="1" t="n">
        <v>46160</v>
      </c>
      <c r="D488" t="inlineStr">
        <is>
          <t>JÄMTLANDS LÄN</t>
        </is>
      </c>
      <c r="E488" t="inlineStr">
        <is>
          <t>KROKOM</t>
        </is>
      </c>
      <c r="F488" t="inlineStr">
        <is>
          <t>Övriga Aktiebolag</t>
        </is>
      </c>
      <c r="G488" t="n">
        <v>16.8</v>
      </c>
      <c r="H488" t="n">
        <v>0</v>
      </c>
      <c r="I488" t="n">
        <v>0</v>
      </c>
      <c r="J488" t="n">
        <v>0</v>
      </c>
      <c r="K488" t="n">
        <v>0</v>
      </c>
      <c r="L488" t="n">
        <v>0</v>
      </c>
      <c r="M488" t="n">
        <v>0</v>
      </c>
      <c r="N488" t="n">
        <v>0</v>
      </c>
      <c r="O488" t="n">
        <v>0</v>
      </c>
      <c r="P488" t="n">
        <v>0</v>
      </c>
      <c r="Q488" t="n">
        <v>0</v>
      </c>
      <c r="R488" s="2" t="inlineStr"/>
    </row>
    <row r="489" ht="15" customHeight="1">
      <c r="A489" t="inlineStr">
        <is>
          <t>A 29896-2021</t>
        </is>
      </c>
      <c r="B489" s="1" t="n">
        <v>44362</v>
      </c>
      <c r="C489" s="1" t="n">
        <v>46160</v>
      </c>
      <c r="D489" t="inlineStr">
        <is>
          <t>JÄMTLANDS LÄN</t>
        </is>
      </c>
      <c r="E489" t="inlineStr">
        <is>
          <t>KROKOM</t>
        </is>
      </c>
      <c r="G489" t="n">
        <v>0.6</v>
      </c>
      <c r="H489" t="n">
        <v>0</v>
      </c>
      <c r="I489" t="n">
        <v>0</v>
      </c>
      <c r="J489" t="n">
        <v>0</v>
      </c>
      <c r="K489" t="n">
        <v>0</v>
      </c>
      <c r="L489" t="n">
        <v>0</v>
      </c>
      <c r="M489" t="n">
        <v>0</v>
      </c>
      <c r="N489" t="n">
        <v>0</v>
      </c>
      <c r="O489" t="n">
        <v>0</v>
      </c>
      <c r="P489" t="n">
        <v>0</v>
      </c>
      <c r="Q489" t="n">
        <v>0</v>
      </c>
      <c r="R489" s="2" t="inlineStr"/>
    </row>
    <row r="490" ht="15" customHeight="1">
      <c r="A490" t="inlineStr">
        <is>
          <t>A 36929-2024</t>
        </is>
      </c>
      <c r="B490" s="1" t="n">
        <v>45538.68200231482</v>
      </c>
      <c r="C490" s="1" t="n">
        <v>46160</v>
      </c>
      <c r="D490" t="inlineStr">
        <is>
          <t>JÄMTLANDS LÄN</t>
        </is>
      </c>
      <c r="E490" t="inlineStr">
        <is>
          <t>KROKOM</t>
        </is>
      </c>
      <c r="G490" t="n">
        <v>1.1</v>
      </c>
      <c r="H490" t="n">
        <v>0</v>
      </c>
      <c r="I490" t="n">
        <v>0</v>
      </c>
      <c r="J490" t="n">
        <v>0</v>
      </c>
      <c r="K490" t="n">
        <v>0</v>
      </c>
      <c r="L490" t="n">
        <v>0</v>
      </c>
      <c r="M490" t="n">
        <v>0</v>
      </c>
      <c r="N490" t="n">
        <v>0</v>
      </c>
      <c r="O490" t="n">
        <v>0</v>
      </c>
      <c r="P490" t="n">
        <v>0</v>
      </c>
      <c r="Q490" t="n">
        <v>0</v>
      </c>
      <c r="R490" s="2" t="inlineStr"/>
    </row>
    <row r="491" ht="15" customHeight="1">
      <c r="A491" t="inlineStr">
        <is>
          <t>A 26621-2025</t>
        </is>
      </c>
      <c r="B491" s="1" t="n">
        <v>45810.32105324074</v>
      </c>
      <c r="C491" s="1" t="n">
        <v>46160</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40796-2025</t>
        </is>
      </c>
      <c r="B492" s="1" t="n">
        <v>45897.44951388889</v>
      </c>
      <c r="C492" s="1" t="n">
        <v>46160</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40806-2025</t>
        </is>
      </c>
      <c r="B493" s="1" t="n">
        <v>45897.46832175926</v>
      </c>
      <c r="C493" s="1" t="n">
        <v>46160</v>
      </c>
      <c r="D493" t="inlineStr">
        <is>
          <t>JÄMTLANDS LÄN</t>
        </is>
      </c>
      <c r="E493" t="inlineStr">
        <is>
          <t>KROKOM</t>
        </is>
      </c>
      <c r="G493" t="n">
        <v>3.6</v>
      </c>
      <c r="H493" t="n">
        <v>0</v>
      </c>
      <c r="I493" t="n">
        <v>0</v>
      </c>
      <c r="J493" t="n">
        <v>0</v>
      </c>
      <c r="K493" t="n">
        <v>0</v>
      </c>
      <c r="L493" t="n">
        <v>0</v>
      </c>
      <c r="M493" t="n">
        <v>0</v>
      </c>
      <c r="N493" t="n">
        <v>0</v>
      </c>
      <c r="O493" t="n">
        <v>0</v>
      </c>
      <c r="P493" t="n">
        <v>0</v>
      </c>
      <c r="Q493" t="n">
        <v>0</v>
      </c>
      <c r="R493" s="2" t="inlineStr"/>
    </row>
    <row r="494" ht="15" customHeight="1">
      <c r="A494" t="inlineStr">
        <is>
          <t>A 54039-2021</t>
        </is>
      </c>
      <c r="B494" s="1" t="n">
        <v>44470.39989583333</v>
      </c>
      <c r="C494" s="1" t="n">
        <v>46160</v>
      </c>
      <c r="D494" t="inlineStr">
        <is>
          <t>JÄMTLANDS LÄN</t>
        </is>
      </c>
      <c r="E494" t="inlineStr">
        <is>
          <t>KROKOM</t>
        </is>
      </c>
      <c r="G494" t="n">
        <v>9.9</v>
      </c>
      <c r="H494" t="n">
        <v>0</v>
      </c>
      <c r="I494" t="n">
        <v>0</v>
      </c>
      <c r="J494" t="n">
        <v>0</v>
      </c>
      <c r="K494" t="n">
        <v>0</v>
      </c>
      <c r="L494" t="n">
        <v>0</v>
      </c>
      <c r="M494" t="n">
        <v>0</v>
      </c>
      <c r="N494" t="n">
        <v>0</v>
      </c>
      <c r="O494" t="n">
        <v>0</v>
      </c>
      <c r="P494" t="n">
        <v>0</v>
      </c>
      <c r="Q494" t="n">
        <v>0</v>
      </c>
      <c r="R494" s="2" t="inlineStr"/>
    </row>
    <row r="495" ht="15" customHeight="1">
      <c r="A495" t="inlineStr">
        <is>
          <t>A 26527-2025</t>
        </is>
      </c>
      <c r="B495" s="1" t="n">
        <v>45807.56728009259</v>
      </c>
      <c r="C495" s="1" t="n">
        <v>46160</v>
      </c>
      <c r="D495" t="inlineStr">
        <is>
          <t>JÄMTLANDS LÄN</t>
        </is>
      </c>
      <c r="E495" t="inlineStr">
        <is>
          <t>KROKOM</t>
        </is>
      </c>
      <c r="G495" t="n">
        <v>13.3</v>
      </c>
      <c r="H495" t="n">
        <v>0</v>
      </c>
      <c r="I495" t="n">
        <v>0</v>
      </c>
      <c r="J495" t="n">
        <v>0</v>
      </c>
      <c r="K495" t="n">
        <v>0</v>
      </c>
      <c r="L495" t="n">
        <v>0</v>
      </c>
      <c r="M495" t="n">
        <v>0</v>
      </c>
      <c r="N495" t="n">
        <v>0</v>
      </c>
      <c r="O495" t="n">
        <v>0</v>
      </c>
      <c r="P495" t="n">
        <v>0</v>
      </c>
      <c r="Q495" t="n">
        <v>0</v>
      </c>
      <c r="R495" s="2" t="inlineStr"/>
    </row>
    <row r="496" ht="15" customHeight="1">
      <c r="A496" t="inlineStr">
        <is>
          <t>A 31927-2023</t>
        </is>
      </c>
      <c r="B496" s="1" t="n">
        <v>45118.94061342593</v>
      </c>
      <c r="C496" s="1" t="n">
        <v>46160</v>
      </c>
      <c r="D496" t="inlineStr">
        <is>
          <t>JÄMTLANDS LÄN</t>
        </is>
      </c>
      <c r="E496" t="inlineStr">
        <is>
          <t>KROKOM</t>
        </is>
      </c>
      <c r="G496" t="n">
        <v>56.6</v>
      </c>
      <c r="H496" t="n">
        <v>0</v>
      </c>
      <c r="I496" t="n">
        <v>0</v>
      </c>
      <c r="J496" t="n">
        <v>0</v>
      </c>
      <c r="K496" t="n">
        <v>0</v>
      </c>
      <c r="L496" t="n">
        <v>0</v>
      </c>
      <c r="M496" t="n">
        <v>0</v>
      </c>
      <c r="N496" t="n">
        <v>0</v>
      </c>
      <c r="O496" t="n">
        <v>0</v>
      </c>
      <c r="P496" t="n">
        <v>0</v>
      </c>
      <c r="Q496" t="n">
        <v>0</v>
      </c>
      <c r="R496" s="2" t="inlineStr"/>
    </row>
    <row r="497" ht="15" customHeight="1">
      <c r="A497" t="inlineStr">
        <is>
          <t>A 27431-2024</t>
        </is>
      </c>
      <c r="B497" s="1" t="n">
        <v>45474.3981712963</v>
      </c>
      <c r="C497" s="1" t="n">
        <v>46160</v>
      </c>
      <c r="D497" t="inlineStr">
        <is>
          <t>JÄMTLANDS LÄN</t>
        </is>
      </c>
      <c r="E497" t="inlineStr">
        <is>
          <t>KROKOM</t>
        </is>
      </c>
      <c r="G497" t="n">
        <v>4.2</v>
      </c>
      <c r="H497" t="n">
        <v>0</v>
      </c>
      <c r="I497" t="n">
        <v>0</v>
      </c>
      <c r="J497" t="n">
        <v>0</v>
      </c>
      <c r="K497" t="n">
        <v>0</v>
      </c>
      <c r="L497" t="n">
        <v>0</v>
      </c>
      <c r="M497" t="n">
        <v>0</v>
      </c>
      <c r="N497" t="n">
        <v>0</v>
      </c>
      <c r="O497" t="n">
        <v>0</v>
      </c>
      <c r="P497" t="n">
        <v>0</v>
      </c>
      <c r="Q497" t="n">
        <v>0</v>
      </c>
      <c r="R497" s="2" t="inlineStr"/>
    </row>
    <row r="498" ht="15" customHeight="1">
      <c r="A498" t="inlineStr">
        <is>
          <t>A 13722-2025</t>
        </is>
      </c>
      <c r="B498" s="1" t="n">
        <v>45737.36873842592</v>
      </c>
      <c r="C498" s="1" t="n">
        <v>46160</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4741-2022</t>
        </is>
      </c>
      <c r="B499" s="1" t="n">
        <v>44592</v>
      </c>
      <c r="C499" s="1" t="n">
        <v>46160</v>
      </c>
      <c r="D499" t="inlineStr">
        <is>
          <t>JÄMTLANDS LÄN</t>
        </is>
      </c>
      <c r="E499" t="inlineStr">
        <is>
          <t>KROKOM</t>
        </is>
      </c>
      <c r="G499" t="n">
        <v>54.2</v>
      </c>
      <c r="H499" t="n">
        <v>0</v>
      </c>
      <c r="I499" t="n">
        <v>0</v>
      </c>
      <c r="J499" t="n">
        <v>0</v>
      </c>
      <c r="K499" t="n">
        <v>0</v>
      </c>
      <c r="L499" t="n">
        <v>0</v>
      </c>
      <c r="M499" t="n">
        <v>0</v>
      </c>
      <c r="N499" t="n">
        <v>0</v>
      </c>
      <c r="O499" t="n">
        <v>0</v>
      </c>
      <c r="P499" t="n">
        <v>0</v>
      </c>
      <c r="Q499" t="n">
        <v>0</v>
      </c>
      <c r="R499" s="2" t="inlineStr"/>
    </row>
    <row r="500" ht="15" customHeight="1">
      <c r="A500" t="inlineStr">
        <is>
          <t>A 869-2026</t>
        </is>
      </c>
      <c r="B500" s="1" t="n">
        <v>46030.43342592593</v>
      </c>
      <c r="C500" s="1" t="n">
        <v>46160</v>
      </c>
      <c r="D500" t="inlineStr">
        <is>
          <t>JÄMTLANDS LÄN</t>
        </is>
      </c>
      <c r="E500" t="inlineStr">
        <is>
          <t>KROKOM</t>
        </is>
      </c>
      <c r="G500" t="n">
        <v>2.6</v>
      </c>
      <c r="H500" t="n">
        <v>0</v>
      </c>
      <c r="I500" t="n">
        <v>0</v>
      </c>
      <c r="J500" t="n">
        <v>0</v>
      </c>
      <c r="K500" t="n">
        <v>0</v>
      </c>
      <c r="L500" t="n">
        <v>0</v>
      </c>
      <c r="M500" t="n">
        <v>0</v>
      </c>
      <c r="N500" t="n">
        <v>0</v>
      </c>
      <c r="O500" t="n">
        <v>0</v>
      </c>
      <c r="P500" t="n">
        <v>0</v>
      </c>
      <c r="Q500" t="n">
        <v>0</v>
      </c>
      <c r="R500" s="2" t="inlineStr"/>
    </row>
    <row r="501" ht="15" customHeight="1">
      <c r="A501" t="inlineStr">
        <is>
          <t>A 58052-2022</t>
        </is>
      </c>
      <c r="B501" s="1" t="n">
        <v>44893</v>
      </c>
      <c r="C501" s="1" t="n">
        <v>46160</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16064-2024</t>
        </is>
      </c>
      <c r="B502" s="1" t="n">
        <v>45406.05033564815</v>
      </c>
      <c r="C502" s="1" t="n">
        <v>46160</v>
      </c>
      <c r="D502" t="inlineStr">
        <is>
          <t>JÄMTLANDS LÄN</t>
        </is>
      </c>
      <c r="E502" t="inlineStr">
        <is>
          <t>KROKOM</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26619-2025</t>
        </is>
      </c>
      <c r="B503" s="1" t="n">
        <v>45810.31376157407</v>
      </c>
      <c r="C503" s="1" t="n">
        <v>46160</v>
      </c>
      <c r="D503" t="inlineStr">
        <is>
          <t>JÄMTLANDS LÄN</t>
        </is>
      </c>
      <c r="E503" t="inlineStr">
        <is>
          <t>KROKOM</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27153-2025</t>
        </is>
      </c>
      <c r="B504" s="1" t="n">
        <v>45812.32266203704</v>
      </c>
      <c r="C504" s="1" t="n">
        <v>46160</v>
      </c>
      <c r="D504" t="inlineStr">
        <is>
          <t>JÄMTLANDS LÄN</t>
        </is>
      </c>
      <c r="E504" t="inlineStr">
        <is>
          <t>KROKOM</t>
        </is>
      </c>
      <c r="G504" t="n">
        <v>15.8</v>
      </c>
      <c r="H504" t="n">
        <v>0</v>
      </c>
      <c r="I504" t="n">
        <v>0</v>
      </c>
      <c r="J504" t="n">
        <v>0</v>
      </c>
      <c r="K504" t="n">
        <v>0</v>
      </c>
      <c r="L504" t="n">
        <v>0</v>
      </c>
      <c r="M504" t="n">
        <v>0</v>
      </c>
      <c r="N504" t="n">
        <v>0</v>
      </c>
      <c r="O504" t="n">
        <v>0</v>
      </c>
      <c r="P504" t="n">
        <v>0</v>
      </c>
      <c r="Q504" t="n">
        <v>0</v>
      </c>
      <c r="R504" s="2" t="inlineStr"/>
    </row>
    <row r="505" ht="15" customHeight="1">
      <c r="A505" t="inlineStr">
        <is>
          <t>A 59076-2022</t>
        </is>
      </c>
      <c r="B505" s="1" t="n">
        <v>44904</v>
      </c>
      <c r="C505" s="1" t="n">
        <v>46160</v>
      </c>
      <c r="D505" t="inlineStr">
        <is>
          <t>JÄMTLANDS LÄN</t>
        </is>
      </c>
      <c r="E505" t="inlineStr">
        <is>
          <t>KROKOM</t>
        </is>
      </c>
      <c r="G505" t="n">
        <v>3.4</v>
      </c>
      <c r="H505" t="n">
        <v>0</v>
      </c>
      <c r="I505" t="n">
        <v>0</v>
      </c>
      <c r="J505" t="n">
        <v>0</v>
      </c>
      <c r="K505" t="n">
        <v>0</v>
      </c>
      <c r="L505" t="n">
        <v>0</v>
      </c>
      <c r="M505" t="n">
        <v>0</v>
      </c>
      <c r="N505" t="n">
        <v>0</v>
      </c>
      <c r="O505" t="n">
        <v>0</v>
      </c>
      <c r="P505" t="n">
        <v>0</v>
      </c>
      <c r="Q505" t="n">
        <v>0</v>
      </c>
      <c r="R505" s="2" t="inlineStr"/>
    </row>
    <row r="506" ht="15" customHeight="1">
      <c r="A506" t="inlineStr">
        <is>
          <t>A 41425-2025</t>
        </is>
      </c>
      <c r="B506" s="1" t="n">
        <v>45901.38590277778</v>
      </c>
      <c r="C506" s="1" t="n">
        <v>46160</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27104-2025</t>
        </is>
      </c>
      <c r="B507" s="1" t="n">
        <v>45811.69912037037</v>
      </c>
      <c r="C507" s="1" t="n">
        <v>46160</v>
      </c>
      <c r="D507" t="inlineStr">
        <is>
          <t>JÄMTLANDS LÄN</t>
        </is>
      </c>
      <c r="E507" t="inlineStr">
        <is>
          <t>KROKOM</t>
        </is>
      </c>
      <c r="G507" t="n">
        <v>14.4</v>
      </c>
      <c r="H507" t="n">
        <v>0</v>
      </c>
      <c r="I507" t="n">
        <v>0</v>
      </c>
      <c r="J507" t="n">
        <v>0</v>
      </c>
      <c r="K507" t="n">
        <v>0</v>
      </c>
      <c r="L507" t="n">
        <v>0</v>
      </c>
      <c r="M507" t="n">
        <v>0</v>
      </c>
      <c r="N507" t="n">
        <v>0</v>
      </c>
      <c r="O507" t="n">
        <v>0</v>
      </c>
      <c r="P507" t="n">
        <v>0</v>
      </c>
      <c r="Q507" t="n">
        <v>0</v>
      </c>
      <c r="R507" s="2" t="inlineStr"/>
    </row>
    <row r="508" ht="15" customHeight="1">
      <c r="A508" t="inlineStr">
        <is>
          <t>A 32676-2023</t>
        </is>
      </c>
      <c r="B508" s="1" t="n">
        <v>45121</v>
      </c>
      <c r="C508" s="1" t="n">
        <v>46160</v>
      </c>
      <c r="D508" t="inlineStr">
        <is>
          <t>JÄMTLANDS LÄN</t>
        </is>
      </c>
      <c r="E508" t="inlineStr">
        <is>
          <t>KROKOM</t>
        </is>
      </c>
      <c r="F508" t="inlineStr">
        <is>
          <t>Övriga Aktiebolag</t>
        </is>
      </c>
      <c r="G508" t="n">
        <v>7.1</v>
      </c>
      <c r="H508" t="n">
        <v>0</v>
      </c>
      <c r="I508" t="n">
        <v>0</v>
      </c>
      <c r="J508" t="n">
        <v>0</v>
      </c>
      <c r="K508" t="n">
        <v>0</v>
      </c>
      <c r="L508" t="n">
        <v>0</v>
      </c>
      <c r="M508" t="n">
        <v>0</v>
      </c>
      <c r="N508" t="n">
        <v>0</v>
      </c>
      <c r="O508" t="n">
        <v>0</v>
      </c>
      <c r="P508" t="n">
        <v>0</v>
      </c>
      <c r="Q508" t="n">
        <v>0</v>
      </c>
      <c r="R508" s="2" t="inlineStr"/>
    </row>
    <row r="509" ht="15" customHeight="1">
      <c r="A509" t="inlineStr">
        <is>
          <t>A 27522-2025</t>
        </is>
      </c>
      <c r="B509" s="1" t="n">
        <v>45813.44443287037</v>
      </c>
      <c r="C509" s="1" t="n">
        <v>46160</v>
      </c>
      <c r="D509" t="inlineStr">
        <is>
          <t>JÄMTLANDS LÄN</t>
        </is>
      </c>
      <c r="E509" t="inlineStr">
        <is>
          <t>KROKOM</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27547-2025</t>
        </is>
      </c>
      <c r="B510" s="1" t="n">
        <v>45813.46969907408</v>
      </c>
      <c r="C510" s="1" t="n">
        <v>46160</v>
      </c>
      <c r="D510" t="inlineStr">
        <is>
          <t>JÄMTLANDS LÄN</t>
        </is>
      </c>
      <c r="E510" t="inlineStr">
        <is>
          <t>KROKOM</t>
        </is>
      </c>
      <c r="G510" t="n">
        <v>3.1</v>
      </c>
      <c r="H510" t="n">
        <v>0</v>
      </c>
      <c r="I510" t="n">
        <v>0</v>
      </c>
      <c r="J510" t="n">
        <v>0</v>
      </c>
      <c r="K510" t="n">
        <v>0</v>
      </c>
      <c r="L510" t="n">
        <v>0</v>
      </c>
      <c r="M510" t="n">
        <v>0</v>
      </c>
      <c r="N510" t="n">
        <v>0</v>
      </c>
      <c r="O510" t="n">
        <v>0</v>
      </c>
      <c r="P510" t="n">
        <v>0</v>
      </c>
      <c r="Q510" t="n">
        <v>0</v>
      </c>
      <c r="R510" s="2" t="inlineStr"/>
    </row>
    <row r="511" ht="15" customHeight="1">
      <c r="A511" t="inlineStr">
        <is>
          <t>A 27833-2025</t>
        </is>
      </c>
      <c r="B511" s="1" t="n">
        <v>45814</v>
      </c>
      <c r="C511" s="1" t="n">
        <v>46160</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27851-2025</t>
        </is>
      </c>
      <c r="B512" s="1" t="n">
        <v>45814</v>
      </c>
      <c r="C512" s="1" t="n">
        <v>46160</v>
      </c>
      <c r="D512" t="inlineStr">
        <is>
          <t>JÄMTLANDS LÄN</t>
        </is>
      </c>
      <c r="E512" t="inlineStr">
        <is>
          <t>KROKOM</t>
        </is>
      </c>
      <c r="G512" t="n">
        <v>13.9</v>
      </c>
      <c r="H512" t="n">
        <v>0</v>
      </c>
      <c r="I512" t="n">
        <v>0</v>
      </c>
      <c r="J512" t="n">
        <v>0</v>
      </c>
      <c r="K512" t="n">
        <v>0</v>
      </c>
      <c r="L512" t="n">
        <v>0</v>
      </c>
      <c r="M512" t="n">
        <v>0</v>
      </c>
      <c r="N512" t="n">
        <v>0</v>
      </c>
      <c r="O512" t="n">
        <v>0</v>
      </c>
      <c r="P512" t="n">
        <v>0</v>
      </c>
      <c r="Q512" t="n">
        <v>0</v>
      </c>
      <c r="R512" s="2" t="inlineStr"/>
    </row>
    <row r="513" ht="15" customHeight="1">
      <c r="A513" t="inlineStr">
        <is>
          <t>A 30709-2024</t>
        </is>
      </c>
      <c r="B513" s="1" t="n">
        <v>45496.41289351852</v>
      </c>
      <c r="C513" s="1" t="n">
        <v>46160</v>
      </c>
      <c r="D513" t="inlineStr">
        <is>
          <t>JÄMTLANDS LÄN</t>
        </is>
      </c>
      <c r="E513" t="inlineStr">
        <is>
          <t>KROKOM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54817-2024</t>
        </is>
      </c>
      <c r="B514" s="1" t="n">
        <v>45618.53126157408</v>
      </c>
      <c r="C514" s="1" t="n">
        <v>46160</v>
      </c>
      <c r="D514" t="inlineStr">
        <is>
          <t>JÄMTLANDS LÄN</t>
        </is>
      </c>
      <c r="E514" t="inlineStr">
        <is>
          <t>KROKOM</t>
        </is>
      </c>
      <c r="G514" t="n">
        <v>8.4</v>
      </c>
      <c r="H514" t="n">
        <v>0</v>
      </c>
      <c r="I514" t="n">
        <v>0</v>
      </c>
      <c r="J514" t="n">
        <v>0</v>
      </c>
      <c r="K514" t="n">
        <v>0</v>
      </c>
      <c r="L514" t="n">
        <v>0</v>
      </c>
      <c r="M514" t="n">
        <v>0</v>
      </c>
      <c r="N514" t="n">
        <v>0</v>
      </c>
      <c r="O514" t="n">
        <v>0</v>
      </c>
      <c r="P514" t="n">
        <v>0</v>
      </c>
      <c r="Q514" t="n">
        <v>0</v>
      </c>
      <c r="R514" s="2" t="inlineStr"/>
    </row>
    <row r="515" ht="15" customHeight="1">
      <c r="A515" t="inlineStr">
        <is>
          <t>A 54823-2024</t>
        </is>
      </c>
      <c r="B515" s="1" t="n">
        <v>45618.53633101852</v>
      </c>
      <c r="C515" s="1" t="n">
        <v>46160</v>
      </c>
      <c r="D515" t="inlineStr">
        <is>
          <t>JÄMTLANDS LÄN</t>
        </is>
      </c>
      <c r="E515" t="inlineStr">
        <is>
          <t>KROKOM</t>
        </is>
      </c>
      <c r="G515" t="n">
        <v>4</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46160</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22236-2025</t>
        </is>
      </c>
      <c r="B517" s="1" t="n">
        <v>45785.67431712963</v>
      </c>
      <c r="C517" s="1" t="n">
        <v>46160</v>
      </c>
      <c r="D517" t="inlineStr">
        <is>
          <t>JÄMTLANDS LÄN</t>
        </is>
      </c>
      <c r="E517" t="inlineStr">
        <is>
          <t>KROKOM</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50417-2024</t>
        </is>
      </c>
      <c r="B518" s="1" t="n">
        <v>45601.38071759259</v>
      </c>
      <c r="C518" s="1" t="n">
        <v>46160</v>
      </c>
      <c r="D518" t="inlineStr">
        <is>
          <t>JÄMTLANDS LÄN</t>
        </is>
      </c>
      <c r="E518" t="inlineStr">
        <is>
          <t>KROKOM</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8695-2025</t>
        </is>
      </c>
      <c r="B519" s="1" t="n">
        <v>45709</v>
      </c>
      <c r="C519" s="1" t="n">
        <v>46160</v>
      </c>
      <c r="D519" t="inlineStr">
        <is>
          <t>JÄMTLANDS LÄN</t>
        </is>
      </c>
      <c r="E519" t="inlineStr">
        <is>
          <t>KROKOM</t>
        </is>
      </c>
      <c r="G519" t="n">
        <v>21.4</v>
      </c>
      <c r="H519" t="n">
        <v>0</v>
      </c>
      <c r="I519" t="n">
        <v>0</v>
      </c>
      <c r="J519" t="n">
        <v>0</v>
      </c>
      <c r="K519" t="n">
        <v>0</v>
      </c>
      <c r="L519" t="n">
        <v>0</v>
      </c>
      <c r="M519" t="n">
        <v>0</v>
      </c>
      <c r="N519" t="n">
        <v>0</v>
      </c>
      <c r="O519" t="n">
        <v>0</v>
      </c>
      <c r="P519" t="n">
        <v>0</v>
      </c>
      <c r="Q519" t="n">
        <v>0</v>
      </c>
      <c r="R519" s="2" t="inlineStr"/>
    </row>
    <row r="520" ht="15" customHeight="1">
      <c r="A520" t="inlineStr">
        <is>
          <t>A 40213-2024</t>
        </is>
      </c>
      <c r="B520" s="1" t="n">
        <v>45554.59447916667</v>
      </c>
      <c r="C520" s="1" t="n">
        <v>46160</v>
      </c>
      <c r="D520" t="inlineStr">
        <is>
          <t>JÄMTLANDS LÄN</t>
        </is>
      </c>
      <c r="E520" t="inlineStr">
        <is>
          <t>KROKOM</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28155-2025</t>
        </is>
      </c>
      <c r="B521" s="1" t="n">
        <v>45818.36246527778</v>
      </c>
      <c r="C521" s="1" t="n">
        <v>46160</v>
      </c>
      <c r="D521" t="inlineStr">
        <is>
          <t>JÄMTLANDS LÄN</t>
        </is>
      </c>
      <c r="E521" t="inlineStr">
        <is>
          <t>KROKOM</t>
        </is>
      </c>
      <c r="F521" t="inlineStr">
        <is>
          <t>Kyrkan</t>
        </is>
      </c>
      <c r="G521" t="n">
        <v>6.1</v>
      </c>
      <c r="H521" t="n">
        <v>0</v>
      </c>
      <c r="I521" t="n">
        <v>0</v>
      </c>
      <c r="J521" t="n">
        <v>0</v>
      </c>
      <c r="K521" t="n">
        <v>0</v>
      </c>
      <c r="L521" t="n">
        <v>0</v>
      </c>
      <c r="M521" t="n">
        <v>0</v>
      </c>
      <c r="N521" t="n">
        <v>0</v>
      </c>
      <c r="O521" t="n">
        <v>0</v>
      </c>
      <c r="P521" t="n">
        <v>0</v>
      </c>
      <c r="Q521" t="n">
        <v>0</v>
      </c>
      <c r="R521" s="2" t="inlineStr"/>
    </row>
    <row r="522" ht="15" customHeight="1">
      <c r="A522" t="inlineStr">
        <is>
          <t>A 28130-2025</t>
        </is>
      </c>
      <c r="B522" s="1" t="n">
        <v>45818.3293287037</v>
      </c>
      <c r="C522" s="1" t="n">
        <v>46160</v>
      </c>
      <c r="D522" t="inlineStr">
        <is>
          <t>JÄMTLANDS LÄN</t>
        </is>
      </c>
      <c r="E522" t="inlineStr">
        <is>
          <t>KROKOM</t>
        </is>
      </c>
      <c r="F522" t="inlineStr">
        <is>
          <t>Kyrkan</t>
        </is>
      </c>
      <c r="G522" t="n">
        <v>10.2</v>
      </c>
      <c r="H522" t="n">
        <v>0</v>
      </c>
      <c r="I522" t="n">
        <v>0</v>
      </c>
      <c r="J522" t="n">
        <v>0</v>
      </c>
      <c r="K522" t="n">
        <v>0</v>
      </c>
      <c r="L522" t="n">
        <v>0</v>
      </c>
      <c r="M522" t="n">
        <v>0</v>
      </c>
      <c r="N522" t="n">
        <v>0</v>
      </c>
      <c r="O522" t="n">
        <v>0</v>
      </c>
      <c r="P522" t="n">
        <v>0</v>
      </c>
      <c r="Q522" t="n">
        <v>0</v>
      </c>
      <c r="R522" s="2" t="inlineStr"/>
    </row>
    <row r="523" ht="15" customHeight="1">
      <c r="A523" t="inlineStr">
        <is>
          <t>A 39368-2024</t>
        </is>
      </c>
      <c r="B523" s="1" t="n">
        <v>45551.47325231481</v>
      </c>
      <c r="C523" s="1" t="n">
        <v>46160</v>
      </c>
      <c r="D523" t="inlineStr">
        <is>
          <t>JÄMTLANDS LÄN</t>
        </is>
      </c>
      <c r="E523" t="inlineStr">
        <is>
          <t>KROKOM</t>
        </is>
      </c>
      <c r="G523" t="n">
        <v>1.6</v>
      </c>
      <c r="H523" t="n">
        <v>0</v>
      </c>
      <c r="I523" t="n">
        <v>0</v>
      </c>
      <c r="J523" t="n">
        <v>0</v>
      </c>
      <c r="K523" t="n">
        <v>0</v>
      </c>
      <c r="L523" t="n">
        <v>0</v>
      </c>
      <c r="M523" t="n">
        <v>0</v>
      </c>
      <c r="N523" t="n">
        <v>0</v>
      </c>
      <c r="O523" t="n">
        <v>0</v>
      </c>
      <c r="P523" t="n">
        <v>0</v>
      </c>
      <c r="Q523" t="n">
        <v>0</v>
      </c>
      <c r="R523" s="2" t="inlineStr"/>
    </row>
    <row r="524" ht="15" customHeight="1">
      <c r="A524" t="inlineStr">
        <is>
          <t>A 42235-2025</t>
        </is>
      </c>
      <c r="B524" s="1" t="n">
        <v>45904.56144675926</v>
      </c>
      <c r="C524" s="1" t="n">
        <v>46160</v>
      </c>
      <c r="D524" t="inlineStr">
        <is>
          <t>JÄMTLANDS LÄN</t>
        </is>
      </c>
      <c r="E524" t="inlineStr">
        <is>
          <t>KROKOM</t>
        </is>
      </c>
      <c r="G524" t="n">
        <v>0.8</v>
      </c>
      <c r="H524" t="n">
        <v>0</v>
      </c>
      <c r="I524" t="n">
        <v>0</v>
      </c>
      <c r="J524" t="n">
        <v>0</v>
      </c>
      <c r="K524" t="n">
        <v>0</v>
      </c>
      <c r="L524" t="n">
        <v>0</v>
      </c>
      <c r="M524" t="n">
        <v>0</v>
      </c>
      <c r="N524" t="n">
        <v>0</v>
      </c>
      <c r="O524" t="n">
        <v>0</v>
      </c>
      <c r="P524" t="n">
        <v>0</v>
      </c>
      <c r="Q524" t="n">
        <v>0</v>
      </c>
      <c r="R524" s="2" t="inlineStr"/>
    </row>
    <row r="525" ht="15" customHeight="1">
      <c r="A525" t="inlineStr">
        <is>
          <t>A 6590-2025</t>
        </is>
      </c>
      <c r="B525" s="1" t="n">
        <v>45700.30092592593</v>
      </c>
      <c r="C525" s="1" t="n">
        <v>46160</v>
      </c>
      <c r="D525" t="inlineStr">
        <is>
          <t>JÄMTLANDS LÄN</t>
        </is>
      </c>
      <c r="E525" t="inlineStr">
        <is>
          <t>KROKOM</t>
        </is>
      </c>
      <c r="F525" t="inlineStr">
        <is>
          <t>Övriga Aktiebolag</t>
        </is>
      </c>
      <c r="G525" t="n">
        <v>51.6</v>
      </c>
      <c r="H525" t="n">
        <v>0</v>
      </c>
      <c r="I525" t="n">
        <v>0</v>
      </c>
      <c r="J525" t="n">
        <v>0</v>
      </c>
      <c r="K525" t="n">
        <v>0</v>
      </c>
      <c r="L525" t="n">
        <v>0</v>
      </c>
      <c r="M525" t="n">
        <v>0</v>
      </c>
      <c r="N525" t="n">
        <v>0</v>
      </c>
      <c r="O525" t="n">
        <v>0</v>
      </c>
      <c r="P525" t="n">
        <v>0</v>
      </c>
      <c r="Q525" t="n">
        <v>0</v>
      </c>
      <c r="R525" s="2" t="inlineStr"/>
    </row>
    <row r="526" ht="15" customHeight="1">
      <c r="A526" t="inlineStr">
        <is>
          <t>A 27973-2025</t>
        </is>
      </c>
      <c r="B526" s="1" t="n">
        <v>45817.56761574074</v>
      </c>
      <c r="C526" s="1" t="n">
        <v>46160</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30383-2024</t>
        </is>
      </c>
      <c r="B527" s="1" t="n">
        <v>45491.44971064815</v>
      </c>
      <c r="C527" s="1" t="n">
        <v>46160</v>
      </c>
      <c r="D527" t="inlineStr">
        <is>
          <t>JÄMTLANDS LÄN</t>
        </is>
      </c>
      <c r="E527" t="inlineStr">
        <is>
          <t>KROKOM</t>
        </is>
      </c>
      <c r="G527" t="n">
        <v>22.9</v>
      </c>
      <c r="H527" t="n">
        <v>0</v>
      </c>
      <c r="I527" t="n">
        <v>0</v>
      </c>
      <c r="J527" t="n">
        <v>0</v>
      </c>
      <c r="K527" t="n">
        <v>0</v>
      </c>
      <c r="L527" t="n">
        <v>0</v>
      </c>
      <c r="M527" t="n">
        <v>0</v>
      </c>
      <c r="N527" t="n">
        <v>0</v>
      </c>
      <c r="O527" t="n">
        <v>0</v>
      </c>
      <c r="P527" t="n">
        <v>0</v>
      </c>
      <c r="Q527" t="n">
        <v>0</v>
      </c>
      <c r="R527" s="2" t="inlineStr"/>
    </row>
    <row r="528" ht="15" customHeight="1">
      <c r="A528" t="inlineStr">
        <is>
          <t>A 27740-2025</t>
        </is>
      </c>
      <c r="B528" s="1" t="n">
        <v>45815.50844907408</v>
      </c>
      <c r="C528" s="1" t="n">
        <v>46160</v>
      </c>
      <c r="D528" t="inlineStr">
        <is>
          <t>JÄMTLANDS LÄN</t>
        </is>
      </c>
      <c r="E528" t="inlineStr">
        <is>
          <t>KROKOM</t>
        </is>
      </c>
      <c r="G528" t="n">
        <v>9.1</v>
      </c>
      <c r="H528" t="n">
        <v>0</v>
      </c>
      <c r="I528" t="n">
        <v>0</v>
      </c>
      <c r="J528" t="n">
        <v>0</v>
      </c>
      <c r="K528" t="n">
        <v>0</v>
      </c>
      <c r="L528" t="n">
        <v>0</v>
      </c>
      <c r="M528" t="n">
        <v>0</v>
      </c>
      <c r="N528" t="n">
        <v>0</v>
      </c>
      <c r="O528" t="n">
        <v>0</v>
      </c>
      <c r="P528" t="n">
        <v>0</v>
      </c>
      <c r="Q528" t="n">
        <v>0</v>
      </c>
      <c r="R528" s="2" t="inlineStr"/>
    </row>
    <row r="529" ht="15" customHeight="1">
      <c r="A529" t="inlineStr">
        <is>
          <t>A 39230-2024</t>
        </is>
      </c>
      <c r="B529" s="1" t="n">
        <v>45550.66542824074</v>
      </c>
      <c r="C529" s="1" t="n">
        <v>46160</v>
      </c>
      <c r="D529" t="inlineStr">
        <is>
          <t>JÄMTLANDS LÄN</t>
        </is>
      </c>
      <c r="E529" t="inlineStr">
        <is>
          <t>KROKOM</t>
        </is>
      </c>
      <c r="G529" t="n">
        <v>7.9</v>
      </c>
      <c r="H529" t="n">
        <v>0</v>
      </c>
      <c r="I529" t="n">
        <v>0</v>
      </c>
      <c r="J529" t="n">
        <v>0</v>
      </c>
      <c r="K529" t="n">
        <v>0</v>
      </c>
      <c r="L529" t="n">
        <v>0</v>
      </c>
      <c r="M529" t="n">
        <v>0</v>
      </c>
      <c r="N529" t="n">
        <v>0</v>
      </c>
      <c r="O529" t="n">
        <v>0</v>
      </c>
      <c r="P529" t="n">
        <v>0</v>
      </c>
      <c r="Q529" t="n">
        <v>0</v>
      </c>
      <c r="R529" s="2" t="inlineStr"/>
    </row>
    <row r="530" ht="15" customHeight="1">
      <c r="A530" t="inlineStr">
        <is>
          <t>A 42231-2025</t>
        </is>
      </c>
      <c r="B530" s="1" t="n">
        <v>45904.55565972222</v>
      </c>
      <c r="C530" s="1" t="n">
        <v>46160</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28137-2025</t>
        </is>
      </c>
      <c r="B531" s="1" t="n">
        <v>45818.34474537037</v>
      </c>
      <c r="C531" s="1" t="n">
        <v>46160</v>
      </c>
      <c r="D531" t="inlineStr">
        <is>
          <t>JÄMTLANDS LÄN</t>
        </is>
      </c>
      <c r="E531" t="inlineStr">
        <is>
          <t>KROKOM</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61732-2021</t>
        </is>
      </c>
      <c r="B532" s="1" t="n">
        <v>44498</v>
      </c>
      <c r="C532" s="1" t="n">
        <v>46160</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41972-2024</t>
        </is>
      </c>
      <c r="B533" s="1" t="n">
        <v>45561.61515046296</v>
      </c>
      <c r="C533" s="1" t="n">
        <v>46160</v>
      </c>
      <c r="D533" t="inlineStr">
        <is>
          <t>JÄMTLANDS LÄN</t>
        </is>
      </c>
      <c r="E533" t="inlineStr">
        <is>
          <t>KROKOM</t>
        </is>
      </c>
      <c r="G533" t="n">
        <v>1.2</v>
      </c>
      <c r="H533" t="n">
        <v>0</v>
      </c>
      <c r="I533" t="n">
        <v>0</v>
      </c>
      <c r="J533" t="n">
        <v>0</v>
      </c>
      <c r="K533" t="n">
        <v>0</v>
      </c>
      <c r="L533" t="n">
        <v>0</v>
      </c>
      <c r="M533" t="n">
        <v>0</v>
      </c>
      <c r="N533" t="n">
        <v>0</v>
      </c>
      <c r="O533" t="n">
        <v>0</v>
      </c>
      <c r="P533" t="n">
        <v>0</v>
      </c>
      <c r="Q533" t="n">
        <v>0</v>
      </c>
      <c r="R533" s="2" t="inlineStr"/>
    </row>
    <row r="534" ht="15" customHeight="1">
      <c r="A534" t="inlineStr">
        <is>
          <t>A 28136-2025</t>
        </is>
      </c>
      <c r="B534" s="1" t="n">
        <v>45818.34473379629</v>
      </c>
      <c r="C534" s="1" t="n">
        <v>46160</v>
      </c>
      <c r="D534" t="inlineStr">
        <is>
          <t>JÄMTLANDS LÄN</t>
        </is>
      </c>
      <c r="E534" t="inlineStr">
        <is>
          <t>KROKOM</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28132-2025</t>
        </is>
      </c>
      <c r="B535" s="1" t="n">
        <v>45818.33532407408</v>
      </c>
      <c r="C535" s="1" t="n">
        <v>46160</v>
      </c>
      <c r="D535" t="inlineStr">
        <is>
          <t>JÄMTLANDS LÄN</t>
        </is>
      </c>
      <c r="E535" t="inlineStr">
        <is>
          <t>KROKOM</t>
        </is>
      </c>
      <c r="F535" t="inlineStr">
        <is>
          <t>Kyrkan</t>
        </is>
      </c>
      <c r="G535" t="n">
        <v>4.5</v>
      </c>
      <c r="H535" t="n">
        <v>0</v>
      </c>
      <c r="I535" t="n">
        <v>0</v>
      </c>
      <c r="J535" t="n">
        <v>0</v>
      </c>
      <c r="K535" t="n">
        <v>0</v>
      </c>
      <c r="L535" t="n">
        <v>0</v>
      </c>
      <c r="M535" t="n">
        <v>0</v>
      </c>
      <c r="N535" t="n">
        <v>0</v>
      </c>
      <c r="O535" t="n">
        <v>0</v>
      </c>
      <c r="P535" t="n">
        <v>0</v>
      </c>
      <c r="Q535" t="n">
        <v>0</v>
      </c>
      <c r="R535" s="2" t="inlineStr"/>
    </row>
    <row r="536" ht="15" customHeight="1">
      <c r="A536" t="inlineStr">
        <is>
          <t>A 28147-2025</t>
        </is>
      </c>
      <c r="B536" s="1" t="n">
        <v>45818.34833333334</v>
      </c>
      <c r="C536" s="1" t="n">
        <v>46160</v>
      </c>
      <c r="D536" t="inlineStr">
        <is>
          <t>JÄMTLANDS LÄN</t>
        </is>
      </c>
      <c r="E536" t="inlineStr">
        <is>
          <t>KROKOM</t>
        </is>
      </c>
      <c r="F536" t="inlineStr">
        <is>
          <t>Kyrkan</t>
        </is>
      </c>
      <c r="G536" t="n">
        <v>10.8</v>
      </c>
      <c r="H536" t="n">
        <v>0</v>
      </c>
      <c r="I536" t="n">
        <v>0</v>
      </c>
      <c r="J536" t="n">
        <v>0</v>
      </c>
      <c r="K536" t="n">
        <v>0</v>
      </c>
      <c r="L536" t="n">
        <v>0</v>
      </c>
      <c r="M536" t="n">
        <v>0</v>
      </c>
      <c r="N536" t="n">
        <v>0</v>
      </c>
      <c r="O536" t="n">
        <v>0</v>
      </c>
      <c r="P536" t="n">
        <v>0</v>
      </c>
      <c r="Q536" t="n">
        <v>0</v>
      </c>
      <c r="R536" s="2" t="inlineStr"/>
    </row>
    <row r="537" ht="15" customHeight="1">
      <c r="A537" t="inlineStr">
        <is>
          <t>A 28162-2025</t>
        </is>
      </c>
      <c r="B537" s="1" t="n">
        <v>45818.37056712963</v>
      </c>
      <c r="C537" s="1" t="n">
        <v>46160</v>
      </c>
      <c r="D537" t="inlineStr">
        <is>
          <t>JÄMTLANDS LÄN</t>
        </is>
      </c>
      <c r="E537" t="inlineStr">
        <is>
          <t>KROKOM</t>
        </is>
      </c>
      <c r="F537" t="inlineStr">
        <is>
          <t>Kyrkan</t>
        </is>
      </c>
      <c r="G537" t="n">
        <v>4</v>
      </c>
      <c r="H537" t="n">
        <v>0</v>
      </c>
      <c r="I537" t="n">
        <v>0</v>
      </c>
      <c r="J537" t="n">
        <v>0</v>
      </c>
      <c r="K537" t="n">
        <v>0</v>
      </c>
      <c r="L537" t="n">
        <v>0</v>
      </c>
      <c r="M537" t="n">
        <v>0</v>
      </c>
      <c r="N537" t="n">
        <v>0</v>
      </c>
      <c r="O537" t="n">
        <v>0</v>
      </c>
      <c r="P537" t="n">
        <v>0</v>
      </c>
      <c r="Q537" t="n">
        <v>0</v>
      </c>
      <c r="R537" s="2" t="inlineStr"/>
    </row>
    <row r="538" ht="15" customHeight="1">
      <c r="A538" t="inlineStr">
        <is>
          <t>A 6711-2025</t>
        </is>
      </c>
      <c r="B538" s="1" t="n">
        <v>45700.56194444445</v>
      </c>
      <c r="C538" s="1" t="n">
        <v>46160</v>
      </c>
      <c r="D538" t="inlineStr">
        <is>
          <t>JÄMTLANDS LÄN</t>
        </is>
      </c>
      <c r="E538" t="inlineStr">
        <is>
          <t>KROKOM</t>
        </is>
      </c>
      <c r="F538" t="inlineStr">
        <is>
          <t>Övriga Aktiebolag</t>
        </is>
      </c>
      <c r="G538" t="n">
        <v>37.6</v>
      </c>
      <c r="H538" t="n">
        <v>0</v>
      </c>
      <c r="I538" t="n">
        <v>0</v>
      </c>
      <c r="J538" t="n">
        <v>0</v>
      </c>
      <c r="K538" t="n">
        <v>0</v>
      </c>
      <c r="L538" t="n">
        <v>0</v>
      </c>
      <c r="M538" t="n">
        <v>0</v>
      </c>
      <c r="N538" t="n">
        <v>0</v>
      </c>
      <c r="O538" t="n">
        <v>0</v>
      </c>
      <c r="P538" t="n">
        <v>0</v>
      </c>
      <c r="Q538" t="n">
        <v>0</v>
      </c>
      <c r="R538" s="2" t="inlineStr"/>
    </row>
    <row r="539" ht="15" customHeight="1">
      <c r="A539" t="inlineStr">
        <is>
          <t>A 16199-2025</t>
        </is>
      </c>
      <c r="B539" s="1" t="n">
        <v>45750.60577546297</v>
      </c>
      <c r="C539" s="1" t="n">
        <v>46160</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58416-2024</t>
        </is>
      </c>
      <c r="B540" s="1" t="n">
        <v>45634.79854166666</v>
      </c>
      <c r="C540" s="1" t="n">
        <v>46160</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28843-2025</t>
        </is>
      </c>
      <c r="B541" s="1" t="n">
        <v>45820</v>
      </c>
      <c r="C541" s="1" t="n">
        <v>46160</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50919-2024</t>
        </is>
      </c>
      <c r="B542" s="1" t="n">
        <v>45602</v>
      </c>
      <c r="C542" s="1" t="n">
        <v>46160</v>
      </c>
      <c r="D542" t="inlineStr">
        <is>
          <t>JÄMTLANDS LÄN</t>
        </is>
      </c>
      <c r="E542" t="inlineStr">
        <is>
          <t>KROKOM</t>
        </is>
      </c>
      <c r="G542" t="n">
        <v>33.7</v>
      </c>
      <c r="H542" t="n">
        <v>0</v>
      </c>
      <c r="I542" t="n">
        <v>0</v>
      </c>
      <c r="J542" t="n">
        <v>0</v>
      </c>
      <c r="K542" t="n">
        <v>0</v>
      </c>
      <c r="L542" t="n">
        <v>0</v>
      </c>
      <c r="M542" t="n">
        <v>0</v>
      </c>
      <c r="N542" t="n">
        <v>0</v>
      </c>
      <c r="O542" t="n">
        <v>0</v>
      </c>
      <c r="P542" t="n">
        <v>0</v>
      </c>
      <c r="Q542" t="n">
        <v>0</v>
      </c>
      <c r="R542" s="2" t="inlineStr"/>
    </row>
    <row r="543" ht="15" customHeight="1">
      <c r="A543" t="inlineStr">
        <is>
          <t>A 42427-2025</t>
        </is>
      </c>
      <c r="B543" s="1" t="n">
        <v>45905.4174537037</v>
      </c>
      <c r="C543" s="1" t="n">
        <v>46160</v>
      </c>
      <c r="D543" t="inlineStr">
        <is>
          <t>JÄMTLANDS LÄN</t>
        </is>
      </c>
      <c r="E543" t="inlineStr">
        <is>
          <t>KROKOM</t>
        </is>
      </c>
      <c r="G543" t="n">
        <v>5.3</v>
      </c>
      <c r="H543" t="n">
        <v>0</v>
      </c>
      <c r="I543" t="n">
        <v>0</v>
      </c>
      <c r="J543" t="n">
        <v>0</v>
      </c>
      <c r="K543" t="n">
        <v>0</v>
      </c>
      <c r="L543" t="n">
        <v>0</v>
      </c>
      <c r="M543" t="n">
        <v>0</v>
      </c>
      <c r="N543" t="n">
        <v>0</v>
      </c>
      <c r="O543" t="n">
        <v>0</v>
      </c>
      <c r="P543" t="n">
        <v>0</v>
      </c>
      <c r="Q543" t="n">
        <v>0</v>
      </c>
      <c r="R543" s="2" t="inlineStr"/>
    </row>
    <row r="544" ht="15" customHeight="1">
      <c r="A544" t="inlineStr">
        <is>
          <t>A 42445-2025</t>
        </is>
      </c>
      <c r="B544" s="1" t="n">
        <v>45905.4375</v>
      </c>
      <c r="C544" s="1" t="n">
        <v>46160</v>
      </c>
      <c r="D544" t="inlineStr">
        <is>
          <t>JÄMTLANDS LÄN</t>
        </is>
      </c>
      <c r="E544" t="inlineStr">
        <is>
          <t>KROKOM</t>
        </is>
      </c>
      <c r="G544" t="n">
        <v>2.8</v>
      </c>
      <c r="H544" t="n">
        <v>0</v>
      </c>
      <c r="I544" t="n">
        <v>0</v>
      </c>
      <c r="J544" t="n">
        <v>0</v>
      </c>
      <c r="K544" t="n">
        <v>0</v>
      </c>
      <c r="L544" t="n">
        <v>0</v>
      </c>
      <c r="M544" t="n">
        <v>0</v>
      </c>
      <c r="N544" t="n">
        <v>0</v>
      </c>
      <c r="O544" t="n">
        <v>0</v>
      </c>
      <c r="P544" t="n">
        <v>0</v>
      </c>
      <c r="Q544" t="n">
        <v>0</v>
      </c>
      <c r="R544" s="2" t="inlineStr"/>
    </row>
    <row r="545" ht="15" customHeight="1">
      <c r="A545" t="inlineStr">
        <is>
          <t>A 44156-2024</t>
        </is>
      </c>
      <c r="B545" s="1" t="n">
        <v>45572</v>
      </c>
      <c r="C545" s="1" t="n">
        <v>46160</v>
      </c>
      <c r="D545" t="inlineStr">
        <is>
          <t>JÄMTLANDS LÄN</t>
        </is>
      </c>
      <c r="E545" t="inlineStr">
        <is>
          <t>KROKOM</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1653-2026</t>
        </is>
      </c>
      <c r="B546" s="1" t="n">
        <v>46034.53180555555</v>
      </c>
      <c r="C546" s="1" t="n">
        <v>46160</v>
      </c>
      <c r="D546" t="inlineStr">
        <is>
          <t>JÄMTLANDS LÄN</t>
        </is>
      </c>
      <c r="E546" t="inlineStr">
        <is>
          <t>KROKOM</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31026-2025</t>
        </is>
      </c>
      <c r="B547" s="1" t="n">
        <v>45832</v>
      </c>
      <c r="C547" s="1" t="n">
        <v>46160</v>
      </c>
      <c r="D547" t="inlineStr">
        <is>
          <t>JÄMTLANDS LÄN</t>
        </is>
      </c>
      <c r="E547" t="inlineStr">
        <is>
          <t>KROKOM</t>
        </is>
      </c>
      <c r="G547" t="n">
        <v>2.2</v>
      </c>
      <c r="H547" t="n">
        <v>0</v>
      </c>
      <c r="I547" t="n">
        <v>0</v>
      </c>
      <c r="J547" t="n">
        <v>0</v>
      </c>
      <c r="K547" t="n">
        <v>0</v>
      </c>
      <c r="L547" t="n">
        <v>0</v>
      </c>
      <c r="M547" t="n">
        <v>0</v>
      </c>
      <c r="N547" t="n">
        <v>0</v>
      </c>
      <c r="O547" t="n">
        <v>0</v>
      </c>
      <c r="P547" t="n">
        <v>0</v>
      </c>
      <c r="Q547" t="n">
        <v>0</v>
      </c>
      <c r="R547" s="2" t="inlineStr"/>
    </row>
    <row r="548" ht="15" customHeight="1">
      <c r="A548" t="inlineStr">
        <is>
          <t>A 28752-2025</t>
        </is>
      </c>
      <c r="B548" s="1" t="n">
        <v>45820</v>
      </c>
      <c r="C548" s="1" t="n">
        <v>46160</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20798-2025</t>
        </is>
      </c>
      <c r="B549" s="1" t="n">
        <v>45776</v>
      </c>
      <c r="C549" s="1" t="n">
        <v>46160</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28729-2025</t>
        </is>
      </c>
      <c r="B550" s="1" t="n">
        <v>45820.36512731481</v>
      </c>
      <c r="C550" s="1" t="n">
        <v>46160</v>
      </c>
      <c r="D550" t="inlineStr">
        <is>
          <t>JÄMTLANDS LÄN</t>
        </is>
      </c>
      <c r="E550" t="inlineStr">
        <is>
          <t>KROKOM</t>
        </is>
      </c>
      <c r="G550" t="n">
        <v>3.6</v>
      </c>
      <c r="H550" t="n">
        <v>0</v>
      </c>
      <c r="I550" t="n">
        <v>0</v>
      </c>
      <c r="J550" t="n">
        <v>0</v>
      </c>
      <c r="K550" t="n">
        <v>0</v>
      </c>
      <c r="L550" t="n">
        <v>0</v>
      </c>
      <c r="M550" t="n">
        <v>0</v>
      </c>
      <c r="N550" t="n">
        <v>0</v>
      </c>
      <c r="O550" t="n">
        <v>0</v>
      </c>
      <c r="P550" t="n">
        <v>0</v>
      </c>
      <c r="Q550" t="n">
        <v>0</v>
      </c>
      <c r="R550" s="2" t="inlineStr"/>
    </row>
    <row r="551" ht="15" customHeight="1">
      <c r="A551" t="inlineStr">
        <is>
          <t>A 28789-2025</t>
        </is>
      </c>
      <c r="B551" s="1" t="n">
        <v>45820.47200231482</v>
      </c>
      <c r="C551" s="1" t="n">
        <v>46160</v>
      </c>
      <c r="D551" t="inlineStr">
        <is>
          <t>JÄMTLANDS LÄN</t>
        </is>
      </c>
      <c r="E551" t="inlineStr">
        <is>
          <t>KROKOM</t>
        </is>
      </c>
      <c r="F551" t="inlineStr">
        <is>
          <t>Kyrkan</t>
        </is>
      </c>
      <c r="G551" t="n">
        <v>28.4</v>
      </c>
      <c r="H551" t="n">
        <v>0</v>
      </c>
      <c r="I551" t="n">
        <v>0</v>
      </c>
      <c r="J551" t="n">
        <v>0</v>
      </c>
      <c r="K551" t="n">
        <v>0</v>
      </c>
      <c r="L551" t="n">
        <v>0</v>
      </c>
      <c r="M551" t="n">
        <v>0</v>
      </c>
      <c r="N551" t="n">
        <v>0</v>
      </c>
      <c r="O551" t="n">
        <v>0</v>
      </c>
      <c r="P551" t="n">
        <v>0</v>
      </c>
      <c r="Q551" t="n">
        <v>0</v>
      </c>
      <c r="R551" s="2" t="inlineStr"/>
    </row>
    <row r="552" ht="15" customHeight="1">
      <c r="A552" t="inlineStr">
        <is>
          <t>A 4575-2025</t>
        </is>
      </c>
      <c r="B552" s="1" t="n">
        <v>45687.48931712963</v>
      </c>
      <c r="C552" s="1" t="n">
        <v>46160</v>
      </c>
      <c r="D552" t="inlineStr">
        <is>
          <t>JÄMTLANDS LÄN</t>
        </is>
      </c>
      <c r="E552" t="inlineStr">
        <is>
          <t>KROKOM</t>
        </is>
      </c>
      <c r="G552" t="n">
        <v>0.7</v>
      </c>
      <c r="H552" t="n">
        <v>0</v>
      </c>
      <c r="I552" t="n">
        <v>0</v>
      </c>
      <c r="J552" t="n">
        <v>0</v>
      </c>
      <c r="K552" t="n">
        <v>0</v>
      </c>
      <c r="L552" t="n">
        <v>0</v>
      </c>
      <c r="M552" t="n">
        <v>0</v>
      </c>
      <c r="N552" t="n">
        <v>0</v>
      </c>
      <c r="O552" t="n">
        <v>0</v>
      </c>
      <c r="P552" t="n">
        <v>0</v>
      </c>
      <c r="Q552" t="n">
        <v>0</v>
      </c>
      <c r="R552" s="2" t="inlineStr"/>
    </row>
    <row r="553" ht="15" customHeight="1">
      <c r="A553" t="inlineStr">
        <is>
          <t>A 42774-2024</t>
        </is>
      </c>
      <c r="B553" s="1" t="n">
        <v>45566.51501157408</v>
      </c>
      <c r="C553" s="1" t="n">
        <v>46160</v>
      </c>
      <c r="D553" t="inlineStr">
        <is>
          <t>JÄMTLANDS LÄN</t>
        </is>
      </c>
      <c r="E553" t="inlineStr">
        <is>
          <t>KROKOM</t>
        </is>
      </c>
      <c r="G553" t="n">
        <v>32</v>
      </c>
      <c r="H553" t="n">
        <v>0</v>
      </c>
      <c r="I553" t="n">
        <v>0</v>
      </c>
      <c r="J553" t="n">
        <v>0</v>
      </c>
      <c r="K553" t="n">
        <v>0</v>
      </c>
      <c r="L553" t="n">
        <v>0</v>
      </c>
      <c r="M553" t="n">
        <v>0</v>
      </c>
      <c r="N553" t="n">
        <v>0</v>
      </c>
      <c r="O553" t="n">
        <v>0</v>
      </c>
      <c r="P553" t="n">
        <v>0</v>
      </c>
      <c r="Q553" t="n">
        <v>0</v>
      </c>
      <c r="R553" s="2" t="inlineStr"/>
    </row>
    <row r="554" ht="15" customHeight="1">
      <c r="A554" t="inlineStr">
        <is>
          <t>A 28848-2025</t>
        </is>
      </c>
      <c r="B554" s="1" t="n">
        <v>45820</v>
      </c>
      <c r="C554" s="1" t="n">
        <v>46160</v>
      </c>
      <c r="D554" t="inlineStr">
        <is>
          <t>JÄMTLANDS LÄN</t>
        </is>
      </c>
      <c r="E554" t="inlineStr">
        <is>
          <t>KROKOM</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58415-2024</t>
        </is>
      </c>
      <c r="B555" s="1" t="n">
        <v>45634.7925</v>
      </c>
      <c r="C555" s="1" t="n">
        <v>46160</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6585-2025</t>
        </is>
      </c>
      <c r="B556" s="1" t="n">
        <v>45700.27895833334</v>
      </c>
      <c r="C556" s="1" t="n">
        <v>46160</v>
      </c>
      <c r="D556" t="inlineStr">
        <is>
          <t>JÄMTLANDS LÄN</t>
        </is>
      </c>
      <c r="E556" t="inlineStr">
        <is>
          <t>KROKOM</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8868-2025</t>
        </is>
      </c>
      <c r="B557" s="1" t="n">
        <v>45713.36836805556</v>
      </c>
      <c r="C557" s="1" t="n">
        <v>46160</v>
      </c>
      <c r="D557" t="inlineStr">
        <is>
          <t>JÄMTLANDS LÄN</t>
        </is>
      </c>
      <c r="E557" t="inlineStr">
        <is>
          <t>KROKOM</t>
        </is>
      </c>
      <c r="F557" t="inlineStr">
        <is>
          <t>Övriga Aktiebolag</t>
        </is>
      </c>
      <c r="G557" t="n">
        <v>4.2</v>
      </c>
      <c r="H557" t="n">
        <v>0</v>
      </c>
      <c r="I557" t="n">
        <v>0</v>
      </c>
      <c r="J557" t="n">
        <v>0</v>
      </c>
      <c r="K557" t="n">
        <v>0</v>
      </c>
      <c r="L557" t="n">
        <v>0</v>
      </c>
      <c r="M557" t="n">
        <v>0</v>
      </c>
      <c r="N557" t="n">
        <v>0</v>
      </c>
      <c r="O557" t="n">
        <v>0</v>
      </c>
      <c r="P557" t="n">
        <v>0</v>
      </c>
      <c r="Q557" t="n">
        <v>0</v>
      </c>
      <c r="R557" s="2" t="inlineStr"/>
    </row>
    <row r="558" ht="15" customHeight="1">
      <c r="A558" t="inlineStr">
        <is>
          <t>A 48971-2024</t>
        </is>
      </c>
      <c r="B558" s="1" t="n">
        <v>45594.463125</v>
      </c>
      <c r="C558" s="1" t="n">
        <v>46160</v>
      </c>
      <c r="D558" t="inlineStr">
        <is>
          <t>JÄMTLANDS LÄN</t>
        </is>
      </c>
      <c r="E558" t="inlineStr">
        <is>
          <t>KROKOM</t>
        </is>
      </c>
      <c r="G558" t="n">
        <v>11.8</v>
      </c>
      <c r="H558" t="n">
        <v>0</v>
      </c>
      <c r="I558" t="n">
        <v>0</v>
      </c>
      <c r="J558" t="n">
        <v>0</v>
      </c>
      <c r="K558" t="n">
        <v>0</v>
      </c>
      <c r="L558" t="n">
        <v>0</v>
      </c>
      <c r="M558" t="n">
        <v>0</v>
      </c>
      <c r="N558" t="n">
        <v>0</v>
      </c>
      <c r="O558" t="n">
        <v>0</v>
      </c>
      <c r="P558" t="n">
        <v>0</v>
      </c>
      <c r="Q558" t="n">
        <v>0</v>
      </c>
      <c r="R558" s="2" t="inlineStr"/>
    </row>
    <row r="559" ht="15" customHeight="1">
      <c r="A559" t="inlineStr">
        <is>
          <t>A 28727-2025</t>
        </is>
      </c>
      <c r="B559" s="1" t="n">
        <v>45820.36498842593</v>
      </c>
      <c r="C559" s="1" t="n">
        <v>46160</v>
      </c>
      <c r="D559" t="inlineStr">
        <is>
          <t>JÄMTLANDS LÄN</t>
        </is>
      </c>
      <c r="E559" t="inlineStr">
        <is>
          <t>KROKOM</t>
        </is>
      </c>
      <c r="G559" t="n">
        <v>3.8</v>
      </c>
      <c r="H559" t="n">
        <v>0</v>
      </c>
      <c r="I559" t="n">
        <v>0</v>
      </c>
      <c r="J559" t="n">
        <v>0</v>
      </c>
      <c r="K559" t="n">
        <v>0</v>
      </c>
      <c r="L559" t="n">
        <v>0</v>
      </c>
      <c r="M559" t="n">
        <v>0</v>
      </c>
      <c r="N559" t="n">
        <v>0</v>
      </c>
      <c r="O559" t="n">
        <v>0</v>
      </c>
      <c r="P559" t="n">
        <v>0</v>
      </c>
      <c r="Q559" t="n">
        <v>0</v>
      </c>
      <c r="R559" s="2" t="inlineStr"/>
    </row>
    <row r="560" ht="15" customHeight="1">
      <c r="A560" t="inlineStr">
        <is>
          <t>A 28728-2025</t>
        </is>
      </c>
      <c r="B560" s="1" t="n">
        <v>45820.36506944444</v>
      </c>
      <c r="C560" s="1" t="n">
        <v>46160</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50433-2024</t>
        </is>
      </c>
      <c r="B561" s="1" t="n">
        <v>45601</v>
      </c>
      <c r="C561" s="1" t="n">
        <v>46160</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29001-2025</t>
        </is>
      </c>
      <c r="B562" s="1" t="n">
        <v>45821.39026620371</v>
      </c>
      <c r="C562" s="1" t="n">
        <v>46160</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2356-2026</t>
        </is>
      </c>
      <c r="B563" s="1" t="n">
        <v>46036.6363425926</v>
      </c>
      <c r="C563" s="1" t="n">
        <v>46160</v>
      </c>
      <c r="D563" t="inlineStr">
        <is>
          <t>JÄMTLANDS LÄN</t>
        </is>
      </c>
      <c r="E563" t="inlineStr">
        <is>
          <t>KROKOM</t>
        </is>
      </c>
      <c r="G563" t="n">
        <v>8</v>
      </c>
      <c r="H563" t="n">
        <v>0</v>
      </c>
      <c r="I563" t="n">
        <v>0</v>
      </c>
      <c r="J563" t="n">
        <v>0</v>
      </c>
      <c r="K563" t="n">
        <v>0</v>
      </c>
      <c r="L563" t="n">
        <v>0</v>
      </c>
      <c r="M563" t="n">
        <v>0</v>
      </c>
      <c r="N563" t="n">
        <v>0</v>
      </c>
      <c r="O563" t="n">
        <v>0</v>
      </c>
      <c r="P563" t="n">
        <v>0</v>
      </c>
      <c r="Q563" t="n">
        <v>0</v>
      </c>
      <c r="R563" s="2" t="inlineStr"/>
    </row>
    <row r="564" ht="15" customHeight="1">
      <c r="A564" t="inlineStr">
        <is>
          <t>A 2096-2026</t>
        </is>
      </c>
      <c r="B564" s="1" t="n">
        <v>46036.36533564814</v>
      </c>
      <c r="C564" s="1" t="n">
        <v>46160</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2210-2026</t>
        </is>
      </c>
      <c r="B565" s="1" t="n">
        <v>46036.48995370371</v>
      </c>
      <c r="C565" s="1" t="n">
        <v>46160</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1965-2026</t>
        </is>
      </c>
      <c r="B566" s="1" t="n">
        <v>46035.63621527778</v>
      </c>
      <c r="C566" s="1" t="n">
        <v>46160</v>
      </c>
      <c r="D566" t="inlineStr">
        <is>
          <t>JÄMTLANDS LÄN</t>
        </is>
      </c>
      <c r="E566" t="inlineStr">
        <is>
          <t>KROKOM</t>
        </is>
      </c>
      <c r="F566" t="inlineStr">
        <is>
          <t>SCA</t>
        </is>
      </c>
      <c r="G566" t="n">
        <v>30</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46160</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2657-2026</t>
        </is>
      </c>
      <c r="B568" s="1" t="n">
        <v>46037</v>
      </c>
      <c r="C568" s="1" t="n">
        <v>46160</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54160-2023</t>
        </is>
      </c>
      <c r="B569" s="1" t="n">
        <v>45232.46239583333</v>
      </c>
      <c r="C569" s="1" t="n">
        <v>46160</v>
      </c>
      <c r="D569" t="inlineStr">
        <is>
          <t>JÄMTLANDS LÄN</t>
        </is>
      </c>
      <c r="E569" t="inlineStr">
        <is>
          <t>KROKOM</t>
        </is>
      </c>
      <c r="G569" t="n">
        <v>3</v>
      </c>
      <c r="H569" t="n">
        <v>0</v>
      </c>
      <c r="I569" t="n">
        <v>0</v>
      </c>
      <c r="J569" t="n">
        <v>0</v>
      </c>
      <c r="K569" t="n">
        <v>0</v>
      </c>
      <c r="L569" t="n">
        <v>0</v>
      </c>
      <c r="M569" t="n">
        <v>0</v>
      </c>
      <c r="N569" t="n">
        <v>0</v>
      </c>
      <c r="O569" t="n">
        <v>0</v>
      </c>
      <c r="P569" t="n">
        <v>0</v>
      </c>
      <c r="Q569" t="n">
        <v>0</v>
      </c>
      <c r="R569" s="2" t="inlineStr"/>
    </row>
    <row r="570" ht="15" customHeight="1">
      <c r="A570" t="inlineStr">
        <is>
          <t>A 53506-2025</t>
        </is>
      </c>
      <c r="B570" s="1" t="n">
        <v>45960.34460648148</v>
      </c>
      <c r="C570" s="1" t="n">
        <v>46160</v>
      </c>
      <c r="D570" t="inlineStr">
        <is>
          <t>JÄMTLANDS LÄN</t>
        </is>
      </c>
      <c r="E570" t="inlineStr">
        <is>
          <t>KROKOM</t>
        </is>
      </c>
      <c r="F570" t="inlineStr">
        <is>
          <t>SCA</t>
        </is>
      </c>
      <c r="G570" t="n">
        <v>13.9</v>
      </c>
      <c r="H570" t="n">
        <v>0</v>
      </c>
      <c r="I570" t="n">
        <v>0</v>
      </c>
      <c r="J570" t="n">
        <v>0</v>
      </c>
      <c r="K570" t="n">
        <v>0</v>
      </c>
      <c r="L570" t="n">
        <v>0</v>
      </c>
      <c r="M570" t="n">
        <v>0</v>
      </c>
      <c r="N570" t="n">
        <v>0</v>
      </c>
      <c r="O570" t="n">
        <v>0</v>
      </c>
      <c r="P570" t="n">
        <v>0</v>
      </c>
      <c r="Q570" t="n">
        <v>0</v>
      </c>
      <c r="R570" s="2" t="inlineStr"/>
    </row>
    <row r="571" ht="15" customHeight="1">
      <c r="A571" t="inlineStr">
        <is>
          <t>A 58617-2025</t>
        </is>
      </c>
      <c r="B571" s="1" t="n">
        <v>45986.46921296296</v>
      </c>
      <c r="C571" s="1" t="n">
        <v>46160</v>
      </c>
      <c r="D571" t="inlineStr">
        <is>
          <t>JÄMTLANDS LÄN</t>
        </is>
      </c>
      <c r="E571" t="inlineStr">
        <is>
          <t>KROKOM</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50011-2025</t>
        </is>
      </c>
      <c r="B572" s="1" t="n">
        <v>45943.34561342592</v>
      </c>
      <c r="C572" s="1" t="n">
        <v>46160</v>
      </c>
      <c r="D572" t="inlineStr">
        <is>
          <t>JÄMTLANDS LÄN</t>
        </is>
      </c>
      <c r="E572" t="inlineStr">
        <is>
          <t>KROKOM</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39753-2024</t>
        </is>
      </c>
      <c r="B573" s="1" t="n">
        <v>45552.67611111111</v>
      </c>
      <c r="C573" s="1" t="n">
        <v>46160</v>
      </c>
      <c r="D573" t="inlineStr">
        <is>
          <t>JÄMTLANDS LÄN</t>
        </is>
      </c>
      <c r="E573" t="inlineStr">
        <is>
          <t>KROKOM</t>
        </is>
      </c>
      <c r="G573" t="n">
        <v>1</v>
      </c>
      <c r="H573" t="n">
        <v>0</v>
      </c>
      <c r="I573" t="n">
        <v>0</v>
      </c>
      <c r="J573" t="n">
        <v>0</v>
      </c>
      <c r="K573" t="n">
        <v>0</v>
      </c>
      <c r="L573" t="n">
        <v>0</v>
      </c>
      <c r="M573" t="n">
        <v>0</v>
      </c>
      <c r="N573" t="n">
        <v>0</v>
      </c>
      <c r="O573" t="n">
        <v>0</v>
      </c>
      <c r="P573" t="n">
        <v>0</v>
      </c>
      <c r="Q573" t="n">
        <v>0</v>
      </c>
      <c r="R573" s="2" t="inlineStr"/>
    </row>
    <row r="574" ht="15" customHeight="1">
      <c r="A574" t="inlineStr">
        <is>
          <t>A 58589-2025</t>
        </is>
      </c>
      <c r="B574" s="1" t="n">
        <v>45986.40680555555</v>
      </c>
      <c r="C574" s="1" t="n">
        <v>46160</v>
      </c>
      <c r="D574" t="inlineStr">
        <is>
          <t>JÄMTLANDS LÄN</t>
        </is>
      </c>
      <c r="E574" t="inlineStr">
        <is>
          <t>KROKOM</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38850-2025</t>
        </is>
      </c>
      <c r="B575" s="1" t="n">
        <v>45887.55252314815</v>
      </c>
      <c r="C575" s="1" t="n">
        <v>46160</v>
      </c>
      <c r="D575" t="inlineStr">
        <is>
          <t>JÄMTLANDS LÄN</t>
        </is>
      </c>
      <c r="E575" t="inlineStr">
        <is>
          <t>KROKOM</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50006-2025</t>
        </is>
      </c>
      <c r="B576" s="1" t="n">
        <v>45943.34502314815</v>
      </c>
      <c r="C576" s="1" t="n">
        <v>46160</v>
      </c>
      <c r="D576" t="inlineStr">
        <is>
          <t>JÄMTLANDS LÄN</t>
        </is>
      </c>
      <c r="E576" t="inlineStr">
        <is>
          <t>KROKOM</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37886-2025</t>
        </is>
      </c>
      <c r="B577" s="1" t="n">
        <v>45881.51081018519</v>
      </c>
      <c r="C577" s="1" t="n">
        <v>46160</v>
      </c>
      <c r="D577" t="inlineStr">
        <is>
          <t>JÄMTLANDS LÄN</t>
        </is>
      </c>
      <c r="E577" t="inlineStr">
        <is>
          <t>KROKOM</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39271-2025</t>
        </is>
      </c>
      <c r="B578" s="1" t="n">
        <v>45889.38626157407</v>
      </c>
      <c r="C578" s="1" t="n">
        <v>46160</v>
      </c>
      <c r="D578" t="inlineStr">
        <is>
          <t>JÄMTLANDS LÄN</t>
        </is>
      </c>
      <c r="E578" t="inlineStr">
        <is>
          <t>KROKOM</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53505-2025</t>
        </is>
      </c>
      <c r="B579" s="1" t="n">
        <v>45960.34436342592</v>
      </c>
      <c r="C579" s="1" t="n">
        <v>46160</v>
      </c>
      <c r="D579" t="inlineStr">
        <is>
          <t>JÄMTLANDS LÄN</t>
        </is>
      </c>
      <c r="E579" t="inlineStr">
        <is>
          <t>KROKOM</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40507-2025</t>
        </is>
      </c>
      <c r="B580" s="1" t="n">
        <v>45896.34443287037</v>
      </c>
      <c r="C580" s="1" t="n">
        <v>46160</v>
      </c>
      <c r="D580" t="inlineStr">
        <is>
          <t>JÄMTLANDS LÄN</t>
        </is>
      </c>
      <c r="E580" t="inlineStr">
        <is>
          <t>KROKOM</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38024-2025</t>
        </is>
      </c>
      <c r="B581" s="1" t="n">
        <v>45882.34510416666</v>
      </c>
      <c r="C581" s="1" t="n">
        <v>46160</v>
      </c>
      <c r="D581" t="inlineStr">
        <is>
          <t>JÄMTLANDS LÄN</t>
        </is>
      </c>
      <c r="E581" t="inlineStr">
        <is>
          <t>KROKOM</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53507-2025</t>
        </is>
      </c>
      <c r="B582" s="1" t="n">
        <v>45960.34476851852</v>
      </c>
      <c r="C582" s="1" t="n">
        <v>46160</v>
      </c>
      <c r="D582" t="inlineStr">
        <is>
          <t>JÄMTLANDS LÄN</t>
        </is>
      </c>
      <c r="E582" t="inlineStr">
        <is>
          <t>KROKOM</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53467-2025</t>
        </is>
      </c>
      <c r="B583" s="1" t="n">
        <v>45959.69841435185</v>
      </c>
      <c r="C583" s="1" t="n">
        <v>46160</v>
      </c>
      <c r="D583" t="inlineStr">
        <is>
          <t>JÄMTLANDS LÄN</t>
        </is>
      </c>
      <c r="E583" t="inlineStr">
        <is>
          <t>KROKOM</t>
        </is>
      </c>
      <c r="F583" t="inlineStr">
        <is>
          <t>SCA</t>
        </is>
      </c>
      <c r="G583" t="n">
        <v>22.7</v>
      </c>
      <c r="H583" t="n">
        <v>0</v>
      </c>
      <c r="I583" t="n">
        <v>0</v>
      </c>
      <c r="J583" t="n">
        <v>0</v>
      </c>
      <c r="K583" t="n">
        <v>0</v>
      </c>
      <c r="L583" t="n">
        <v>0</v>
      </c>
      <c r="M583" t="n">
        <v>0</v>
      </c>
      <c r="N583" t="n">
        <v>0</v>
      </c>
      <c r="O583" t="n">
        <v>0</v>
      </c>
      <c r="P583" t="n">
        <v>0</v>
      </c>
      <c r="Q583" t="n">
        <v>0</v>
      </c>
      <c r="R583" s="2" t="inlineStr"/>
    </row>
    <row r="584" ht="15" customHeight="1">
      <c r="A584" t="inlineStr">
        <is>
          <t>A 38205-2025</t>
        </is>
      </c>
      <c r="B584" s="1" t="n">
        <v>45882.69851851852</v>
      </c>
      <c r="C584" s="1" t="n">
        <v>46160</v>
      </c>
      <c r="D584" t="inlineStr">
        <is>
          <t>JÄMTLANDS LÄN</t>
        </is>
      </c>
      <c r="E584" t="inlineStr">
        <is>
          <t>KROKOM</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3490-2026</t>
        </is>
      </c>
      <c r="B585" s="1" t="n">
        <v>46042.56903935185</v>
      </c>
      <c r="C585" s="1" t="n">
        <v>46160</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3408-2026</t>
        </is>
      </c>
      <c r="B586" s="1" t="n">
        <v>46042.40603009259</v>
      </c>
      <c r="C586" s="1" t="n">
        <v>46160</v>
      </c>
      <c r="D586" t="inlineStr">
        <is>
          <t>JÄMTLANDS LÄN</t>
        </is>
      </c>
      <c r="E586" t="inlineStr">
        <is>
          <t>KROKOM</t>
        </is>
      </c>
      <c r="G586" t="n">
        <v>3.8</v>
      </c>
      <c r="H586" t="n">
        <v>0</v>
      </c>
      <c r="I586" t="n">
        <v>0</v>
      </c>
      <c r="J586" t="n">
        <v>0</v>
      </c>
      <c r="K586" t="n">
        <v>0</v>
      </c>
      <c r="L586" t="n">
        <v>0</v>
      </c>
      <c r="M586" t="n">
        <v>0</v>
      </c>
      <c r="N586" t="n">
        <v>0</v>
      </c>
      <c r="O586" t="n">
        <v>0</v>
      </c>
      <c r="P586" t="n">
        <v>0</v>
      </c>
      <c r="Q586" t="n">
        <v>0</v>
      </c>
      <c r="R586" s="2" t="inlineStr"/>
    </row>
    <row r="587" ht="15" customHeight="1">
      <c r="A587" t="inlineStr">
        <is>
          <t>A 44138-2025</t>
        </is>
      </c>
      <c r="B587" s="1" t="n">
        <v>45915.58836805556</v>
      </c>
      <c r="C587" s="1" t="n">
        <v>46160</v>
      </c>
      <c r="D587" t="inlineStr">
        <is>
          <t>JÄMTLANDS LÄN</t>
        </is>
      </c>
      <c r="E587" t="inlineStr">
        <is>
          <t>KROKOM</t>
        </is>
      </c>
      <c r="G587" t="n">
        <v>5</v>
      </c>
      <c r="H587" t="n">
        <v>0</v>
      </c>
      <c r="I587" t="n">
        <v>0</v>
      </c>
      <c r="J587" t="n">
        <v>0</v>
      </c>
      <c r="K587" t="n">
        <v>0</v>
      </c>
      <c r="L587" t="n">
        <v>0</v>
      </c>
      <c r="M587" t="n">
        <v>0</v>
      </c>
      <c r="N587" t="n">
        <v>0</v>
      </c>
      <c r="O587" t="n">
        <v>0</v>
      </c>
      <c r="P587" t="n">
        <v>0</v>
      </c>
      <c r="Q587" t="n">
        <v>0</v>
      </c>
      <c r="R587" s="2" t="inlineStr"/>
    </row>
    <row r="588" ht="15" customHeight="1">
      <c r="A588" t="inlineStr">
        <is>
          <t>A 43996-2025</t>
        </is>
      </c>
      <c r="B588" s="1" t="n">
        <v>45915</v>
      </c>
      <c r="C588" s="1" t="n">
        <v>46160</v>
      </c>
      <c r="D588" t="inlineStr">
        <is>
          <t>JÄMTLANDS LÄN</t>
        </is>
      </c>
      <c r="E588" t="inlineStr">
        <is>
          <t>KROKOM</t>
        </is>
      </c>
      <c r="G588" t="n">
        <v>24.2</v>
      </c>
      <c r="H588" t="n">
        <v>0</v>
      </c>
      <c r="I588" t="n">
        <v>0</v>
      </c>
      <c r="J588" t="n">
        <v>0</v>
      </c>
      <c r="K588" t="n">
        <v>0</v>
      </c>
      <c r="L588" t="n">
        <v>0</v>
      </c>
      <c r="M588" t="n">
        <v>0</v>
      </c>
      <c r="N588" t="n">
        <v>0</v>
      </c>
      <c r="O588" t="n">
        <v>0</v>
      </c>
      <c r="P588" t="n">
        <v>0</v>
      </c>
      <c r="Q588" t="n">
        <v>0</v>
      </c>
      <c r="R588" s="2" t="inlineStr"/>
    </row>
    <row r="589" ht="15" customHeight="1">
      <c r="A589" t="inlineStr">
        <is>
          <t>A 55479-2022</t>
        </is>
      </c>
      <c r="B589" s="1" t="n">
        <v>44887</v>
      </c>
      <c r="C589" s="1" t="n">
        <v>46160</v>
      </c>
      <c r="D589" t="inlineStr">
        <is>
          <t>JÄMTLANDS LÄN</t>
        </is>
      </c>
      <c r="E589" t="inlineStr">
        <is>
          <t>KROKOM</t>
        </is>
      </c>
      <c r="F589" t="inlineStr">
        <is>
          <t>Övriga Aktiebolag</t>
        </is>
      </c>
      <c r="G589" t="n">
        <v>2.7</v>
      </c>
      <c r="H589" t="n">
        <v>0</v>
      </c>
      <c r="I589" t="n">
        <v>0</v>
      </c>
      <c r="J589" t="n">
        <v>0</v>
      </c>
      <c r="K589" t="n">
        <v>0</v>
      </c>
      <c r="L589" t="n">
        <v>0</v>
      </c>
      <c r="M589" t="n">
        <v>0</v>
      </c>
      <c r="N589" t="n">
        <v>0</v>
      </c>
      <c r="O589" t="n">
        <v>0</v>
      </c>
      <c r="P589" t="n">
        <v>0</v>
      </c>
      <c r="Q589" t="n">
        <v>0</v>
      </c>
      <c r="R589" s="2" t="inlineStr"/>
    </row>
    <row r="590" ht="15" customHeight="1">
      <c r="A590" t="inlineStr">
        <is>
          <t>A 11591-2022</t>
        </is>
      </c>
      <c r="B590" s="1" t="n">
        <v>44631</v>
      </c>
      <c r="C590" s="1" t="n">
        <v>46160</v>
      </c>
      <c r="D590" t="inlineStr">
        <is>
          <t>JÄMTLANDS LÄN</t>
        </is>
      </c>
      <c r="E590" t="inlineStr">
        <is>
          <t>KROKOM</t>
        </is>
      </c>
      <c r="G590" t="n">
        <v>2</v>
      </c>
      <c r="H590" t="n">
        <v>0</v>
      </c>
      <c r="I590" t="n">
        <v>0</v>
      </c>
      <c r="J590" t="n">
        <v>0</v>
      </c>
      <c r="K590" t="n">
        <v>0</v>
      </c>
      <c r="L590" t="n">
        <v>0</v>
      </c>
      <c r="M590" t="n">
        <v>0</v>
      </c>
      <c r="N590" t="n">
        <v>0</v>
      </c>
      <c r="O590" t="n">
        <v>0</v>
      </c>
      <c r="P590" t="n">
        <v>0</v>
      </c>
      <c r="Q590" t="n">
        <v>0</v>
      </c>
      <c r="R590" s="2" t="inlineStr"/>
      <c r="U590">
        <f>HYPERLINK("https://klasma.github.io/Logging_2309/knärot/A 11591-2022 karta knärot.png", "A 11591-2022")</f>
        <v/>
      </c>
      <c r="V590">
        <f>HYPERLINK("https://klasma.github.io/Logging_2309/klagomål/A 11591-2022 FSC-klagomål.docx", "A 11591-2022")</f>
        <v/>
      </c>
      <c r="W590">
        <f>HYPERLINK("https://klasma.github.io/Logging_2309/klagomålsmail/A 11591-2022 FSC-klagomål mail.docx", "A 11591-2022")</f>
        <v/>
      </c>
      <c r="X590">
        <f>HYPERLINK("https://klasma.github.io/Logging_2309/tillsyn/A 11591-2022 tillsynsbegäran.docx", "A 11591-2022")</f>
        <v/>
      </c>
      <c r="Y590">
        <f>HYPERLINK("https://klasma.github.io/Logging_2309/tillsynsmail/A 11591-2022 tillsynsbegäran mail.docx", "A 11591-2022")</f>
        <v/>
      </c>
    </row>
    <row r="591" ht="15" customHeight="1">
      <c r="A591" t="inlineStr">
        <is>
          <t>A 3230-2026</t>
        </is>
      </c>
      <c r="B591" s="1" t="n">
        <v>46041.55299768518</v>
      </c>
      <c r="C591" s="1" t="n">
        <v>46160</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3591-2026</t>
        </is>
      </c>
      <c r="B592" s="1" t="n">
        <v>46042.77245370371</v>
      </c>
      <c r="C592" s="1" t="n">
        <v>46160</v>
      </c>
      <c r="D592" t="inlineStr">
        <is>
          <t>JÄMTLANDS LÄN</t>
        </is>
      </c>
      <c r="E592" t="inlineStr">
        <is>
          <t>KROKOM</t>
        </is>
      </c>
      <c r="G592" t="n">
        <v>5.1</v>
      </c>
      <c r="H592" t="n">
        <v>0</v>
      </c>
      <c r="I592" t="n">
        <v>0</v>
      </c>
      <c r="J592" t="n">
        <v>0</v>
      </c>
      <c r="K592" t="n">
        <v>0</v>
      </c>
      <c r="L592" t="n">
        <v>0</v>
      </c>
      <c r="M592" t="n">
        <v>0</v>
      </c>
      <c r="N592" t="n">
        <v>0</v>
      </c>
      <c r="O592" t="n">
        <v>0</v>
      </c>
      <c r="P592" t="n">
        <v>0</v>
      </c>
      <c r="Q592" t="n">
        <v>0</v>
      </c>
      <c r="R592" s="2" t="inlineStr"/>
    </row>
    <row r="593" ht="15" customHeight="1">
      <c r="A593" t="inlineStr">
        <is>
          <t>A 20953-2023</t>
        </is>
      </c>
      <c r="B593" s="1" t="n">
        <v>45056</v>
      </c>
      <c r="C593" s="1" t="n">
        <v>46160</v>
      </c>
      <c r="D593" t="inlineStr">
        <is>
          <t>JÄMTLANDS LÄN</t>
        </is>
      </c>
      <c r="E593" t="inlineStr">
        <is>
          <t>KROKOM</t>
        </is>
      </c>
      <c r="G593" t="n">
        <v>0.5</v>
      </c>
      <c r="H593" t="n">
        <v>0</v>
      </c>
      <c r="I593" t="n">
        <v>0</v>
      </c>
      <c r="J593" t="n">
        <v>0</v>
      </c>
      <c r="K593" t="n">
        <v>0</v>
      </c>
      <c r="L593" t="n">
        <v>0</v>
      </c>
      <c r="M593" t="n">
        <v>0</v>
      </c>
      <c r="N593" t="n">
        <v>0</v>
      </c>
      <c r="O593" t="n">
        <v>0</v>
      </c>
      <c r="P593" t="n">
        <v>0</v>
      </c>
      <c r="Q593" t="n">
        <v>0</v>
      </c>
      <c r="R593" s="2" t="inlineStr"/>
    </row>
    <row r="594" ht="15" customHeight="1">
      <c r="A594" t="inlineStr">
        <is>
          <t>A 20966-2023</t>
        </is>
      </c>
      <c r="B594" s="1" t="n">
        <v>45056</v>
      </c>
      <c r="C594" s="1" t="n">
        <v>46160</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5693-2022</t>
        </is>
      </c>
      <c r="B595" s="1" t="n">
        <v>44596</v>
      </c>
      <c r="C595" s="1" t="n">
        <v>46160</v>
      </c>
      <c r="D595" t="inlineStr">
        <is>
          <t>JÄMTLANDS LÄN</t>
        </is>
      </c>
      <c r="E595" t="inlineStr">
        <is>
          <t>KROKOM</t>
        </is>
      </c>
      <c r="G595" t="n">
        <v>40.8</v>
      </c>
      <c r="H595" t="n">
        <v>0</v>
      </c>
      <c r="I595" t="n">
        <v>0</v>
      </c>
      <c r="J595" t="n">
        <v>0</v>
      </c>
      <c r="K595" t="n">
        <v>0</v>
      </c>
      <c r="L595" t="n">
        <v>0</v>
      </c>
      <c r="M595" t="n">
        <v>0</v>
      </c>
      <c r="N595" t="n">
        <v>0</v>
      </c>
      <c r="O595" t="n">
        <v>0</v>
      </c>
      <c r="P595" t="n">
        <v>0</v>
      </c>
      <c r="Q595" t="n">
        <v>0</v>
      </c>
      <c r="R595" s="2" t="inlineStr"/>
    </row>
    <row r="596" ht="15" customHeight="1">
      <c r="A596" t="inlineStr">
        <is>
          <t>A 30890-2025</t>
        </is>
      </c>
      <c r="B596" s="1" t="n">
        <v>45832.34630787037</v>
      </c>
      <c r="C596" s="1" t="n">
        <v>46160</v>
      </c>
      <c r="D596" t="inlineStr">
        <is>
          <t>JÄMTLANDS LÄN</t>
        </is>
      </c>
      <c r="E596" t="inlineStr">
        <is>
          <t>KROKOM</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44888-2025</t>
        </is>
      </c>
      <c r="B597" s="1" t="n">
        <v>45918.49489583333</v>
      </c>
      <c r="C597" s="1" t="n">
        <v>46160</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31032-2025</t>
        </is>
      </c>
      <c r="B598" s="1" t="n">
        <v>45832.53935185185</v>
      </c>
      <c r="C598" s="1" t="n">
        <v>46160</v>
      </c>
      <c r="D598" t="inlineStr">
        <is>
          <t>JÄMTLANDS LÄN</t>
        </is>
      </c>
      <c r="E598" t="inlineStr">
        <is>
          <t>KROKOM</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31027-2025</t>
        </is>
      </c>
      <c r="B599" s="1" t="n">
        <v>45832.53225694445</v>
      </c>
      <c r="C599" s="1" t="n">
        <v>46160</v>
      </c>
      <c r="D599" t="inlineStr">
        <is>
          <t>JÄMTLANDS LÄN</t>
        </is>
      </c>
      <c r="E599" t="inlineStr">
        <is>
          <t>KROKOM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45464-2025</t>
        </is>
      </c>
      <c r="B600" s="1" t="n">
        <v>45922.4984837963</v>
      </c>
      <c r="C600" s="1" t="n">
        <v>46160</v>
      </c>
      <c r="D600" t="inlineStr">
        <is>
          <t>JÄMTLANDS LÄN</t>
        </is>
      </c>
      <c r="E600" t="inlineStr">
        <is>
          <t>KROKOM</t>
        </is>
      </c>
      <c r="G600" t="n">
        <v>0.2</v>
      </c>
      <c r="H600" t="n">
        <v>0</v>
      </c>
      <c r="I600" t="n">
        <v>0</v>
      </c>
      <c r="J600" t="n">
        <v>0</v>
      </c>
      <c r="K600" t="n">
        <v>0</v>
      </c>
      <c r="L600" t="n">
        <v>0</v>
      </c>
      <c r="M600" t="n">
        <v>0</v>
      </c>
      <c r="N600" t="n">
        <v>0</v>
      </c>
      <c r="O600" t="n">
        <v>0</v>
      </c>
      <c r="P600" t="n">
        <v>0</v>
      </c>
      <c r="Q600" t="n">
        <v>0</v>
      </c>
      <c r="R600" s="2" t="inlineStr"/>
    </row>
    <row r="601" ht="15" customHeight="1">
      <c r="A601" t="inlineStr">
        <is>
          <t>A 45462-2025</t>
        </is>
      </c>
      <c r="B601" s="1" t="n">
        <v>45922.49604166667</v>
      </c>
      <c r="C601" s="1" t="n">
        <v>46160</v>
      </c>
      <c r="D601" t="inlineStr">
        <is>
          <t>JÄMTLANDS LÄN</t>
        </is>
      </c>
      <c r="E601" t="inlineStr">
        <is>
          <t>KROKOM</t>
        </is>
      </c>
      <c r="G601" t="n">
        <v>2.4</v>
      </c>
      <c r="H601" t="n">
        <v>0</v>
      </c>
      <c r="I601" t="n">
        <v>0</v>
      </c>
      <c r="J601" t="n">
        <v>0</v>
      </c>
      <c r="K601" t="n">
        <v>0</v>
      </c>
      <c r="L601" t="n">
        <v>0</v>
      </c>
      <c r="M601" t="n">
        <v>0</v>
      </c>
      <c r="N601" t="n">
        <v>0</v>
      </c>
      <c r="O601" t="n">
        <v>0</v>
      </c>
      <c r="P601" t="n">
        <v>0</v>
      </c>
      <c r="Q601" t="n">
        <v>0</v>
      </c>
      <c r="R601" s="2" t="inlineStr"/>
    </row>
    <row r="602" ht="15" customHeight="1">
      <c r="A602" t="inlineStr">
        <is>
          <t>A 8011-2025</t>
        </is>
      </c>
      <c r="B602" s="1" t="n">
        <v>45707.55246527777</v>
      </c>
      <c r="C602" s="1" t="n">
        <v>46160</v>
      </c>
      <c r="D602" t="inlineStr">
        <is>
          <t>JÄMTLANDS LÄN</t>
        </is>
      </c>
      <c r="E602" t="inlineStr">
        <is>
          <t>KROKOM</t>
        </is>
      </c>
      <c r="F602" t="inlineStr">
        <is>
          <t>Övriga Aktiebolag</t>
        </is>
      </c>
      <c r="G602" t="n">
        <v>10.6</v>
      </c>
      <c r="H602" t="n">
        <v>0</v>
      </c>
      <c r="I602" t="n">
        <v>0</v>
      </c>
      <c r="J602" t="n">
        <v>0</v>
      </c>
      <c r="K602" t="n">
        <v>0</v>
      </c>
      <c r="L602" t="n">
        <v>0</v>
      </c>
      <c r="M602" t="n">
        <v>0</v>
      </c>
      <c r="N602" t="n">
        <v>0</v>
      </c>
      <c r="O602" t="n">
        <v>0</v>
      </c>
      <c r="P602" t="n">
        <v>0</v>
      </c>
      <c r="Q602" t="n">
        <v>0</v>
      </c>
      <c r="R602" s="2" t="inlineStr"/>
    </row>
    <row r="603" ht="15" customHeight="1">
      <c r="A603" t="inlineStr">
        <is>
          <t>A 53827-2024</t>
        </is>
      </c>
      <c r="B603" s="1" t="n">
        <v>45615.61302083333</v>
      </c>
      <c r="C603" s="1" t="n">
        <v>46160</v>
      </c>
      <c r="D603" t="inlineStr">
        <is>
          <t>JÄMTLANDS LÄN</t>
        </is>
      </c>
      <c r="E603" t="inlineStr">
        <is>
          <t>KROKOM</t>
        </is>
      </c>
      <c r="F603" t="inlineStr">
        <is>
          <t>Övriga Aktiebolag</t>
        </is>
      </c>
      <c r="G603" t="n">
        <v>14.2</v>
      </c>
      <c r="H603" t="n">
        <v>0</v>
      </c>
      <c r="I603" t="n">
        <v>0</v>
      </c>
      <c r="J603" t="n">
        <v>0</v>
      </c>
      <c r="K603" t="n">
        <v>0</v>
      </c>
      <c r="L603" t="n">
        <v>0</v>
      </c>
      <c r="M603" t="n">
        <v>0</v>
      </c>
      <c r="N603" t="n">
        <v>0</v>
      </c>
      <c r="O603" t="n">
        <v>0</v>
      </c>
      <c r="P603" t="n">
        <v>0</v>
      </c>
      <c r="Q603" t="n">
        <v>0</v>
      </c>
      <c r="R603" s="2" t="inlineStr"/>
    </row>
    <row r="604" ht="15" customHeight="1">
      <c r="A604" t="inlineStr">
        <is>
          <t>A 3695-2026</t>
        </is>
      </c>
      <c r="B604" s="1" t="n">
        <v>46043</v>
      </c>
      <c r="C604" s="1" t="n">
        <v>46160</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3693-2026</t>
        </is>
      </c>
      <c r="B605" s="1" t="n">
        <v>46043</v>
      </c>
      <c r="C605" s="1" t="n">
        <v>46160</v>
      </c>
      <c r="D605" t="inlineStr">
        <is>
          <t>JÄMTLANDS LÄN</t>
        </is>
      </c>
      <c r="E605" t="inlineStr">
        <is>
          <t>KROKOM</t>
        </is>
      </c>
      <c r="G605" t="n">
        <v>6.9</v>
      </c>
      <c r="H605" t="n">
        <v>0</v>
      </c>
      <c r="I605" t="n">
        <v>0</v>
      </c>
      <c r="J605" t="n">
        <v>0</v>
      </c>
      <c r="K605" t="n">
        <v>0</v>
      </c>
      <c r="L605" t="n">
        <v>0</v>
      </c>
      <c r="M605" t="n">
        <v>0</v>
      </c>
      <c r="N605" t="n">
        <v>0</v>
      </c>
      <c r="O605" t="n">
        <v>0</v>
      </c>
      <c r="P605" t="n">
        <v>0</v>
      </c>
      <c r="Q605" t="n">
        <v>0</v>
      </c>
      <c r="R605" s="2" t="inlineStr"/>
    </row>
    <row r="606" ht="15" customHeight="1">
      <c r="A606" t="inlineStr">
        <is>
          <t>A 45253-2025</t>
        </is>
      </c>
      <c r="B606" s="1" t="n">
        <v>45919.61512731481</v>
      </c>
      <c r="C606" s="1" t="n">
        <v>46160</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15663-2025</t>
        </is>
      </c>
      <c r="B607" s="1" t="n">
        <v>45748</v>
      </c>
      <c r="C607" s="1" t="n">
        <v>46160</v>
      </c>
      <c r="D607" t="inlineStr">
        <is>
          <t>JÄMTLANDS LÄN</t>
        </is>
      </c>
      <c r="E607" t="inlineStr">
        <is>
          <t>KROKOM</t>
        </is>
      </c>
      <c r="F607" t="inlineStr">
        <is>
          <t>Övriga Aktiebolag</t>
        </is>
      </c>
      <c r="G607" t="n">
        <v>11.5</v>
      </c>
      <c r="H607" t="n">
        <v>0</v>
      </c>
      <c r="I607" t="n">
        <v>0</v>
      </c>
      <c r="J607" t="n">
        <v>0</v>
      </c>
      <c r="K607" t="n">
        <v>0</v>
      </c>
      <c r="L607" t="n">
        <v>0</v>
      </c>
      <c r="M607" t="n">
        <v>0</v>
      </c>
      <c r="N607" t="n">
        <v>0</v>
      </c>
      <c r="O607" t="n">
        <v>0</v>
      </c>
      <c r="P607" t="n">
        <v>0</v>
      </c>
      <c r="Q607" t="n">
        <v>0</v>
      </c>
      <c r="R607" s="2" t="inlineStr"/>
    </row>
    <row r="608" ht="15" customHeight="1">
      <c r="A608" t="inlineStr">
        <is>
          <t>A 31290-2025</t>
        </is>
      </c>
      <c r="B608" s="1" t="n">
        <v>45833.36050925926</v>
      </c>
      <c r="C608" s="1" t="n">
        <v>46160</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31291-2025</t>
        </is>
      </c>
      <c r="B609" s="1" t="n">
        <v>45833.36083333333</v>
      </c>
      <c r="C609" s="1" t="n">
        <v>46160</v>
      </c>
      <c r="D609" t="inlineStr">
        <is>
          <t>JÄMTLANDS LÄN</t>
        </is>
      </c>
      <c r="E609" t="inlineStr">
        <is>
          <t>KROKOM</t>
        </is>
      </c>
      <c r="G609" t="n">
        <v>4.5</v>
      </c>
      <c r="H609" t="n">
        <v>0</v>
      </c>
      <c r="I609" t="n">
        <v>0</v>
      </c>
      <c r="J609" t="n">
        <v>0</v>
      </c>
      <c r="K609" t="n">
        <v>0</v>
      </c>
      <c r="L609" t="n">
        <v>0</v>
      </c>
      <c r="M609" t="n">
        <v>0</v>
      </c>
      <c r="N609" t="n">
        <v>0</v>
      </c>
      <c r="O609" t="n">
        <v>0</v>
      </c>
      <c r="P609" t="n">
        <v>0</v>
      </c>
      <c r="Q609" t="n">
        <v>0</v>
      </c>
      <c r="R609" s="2" t="inlineStr"/>
    </row>
    <row r="610" ht="15" customHeight="1">
      <c r="A610" t="inlineStr">
        <is>
          <t>A 3802-2026</t>
        </is>
      </c>
      <c r="B610" s="1" t="n">
        <v>46043.58290509259</v>
      </c>
      <c r="C610" s="1" t="n">
        <v>46160</v>
      </c>
      <c r="D610" t="inlineStr">
        <is>
          <t>JÄMTLANDS LÄN</t>
        </is>
      </c>
      <c r="E610" t="inlineStr">
        <is>
          <t>KROKOM</t>
        </is>
      </c>
      <c r="G610" t="n">
        <v>6.7</v>
      </c>
      <c r="H610" t="n">
        <v>0</v>
      </c>
      <c r="I610" t="n">
        <v>0</v>
      </c>
      <c r="J610" t="n">
        <v>0</v>
      </c>
      <c r="K610" t="n">
        <v>0</v>
      </c>
      <c r="L610" t="n">
        <v>0</v>
      </c>
      <c r="M610" t="n">
        <v>0</v>
      </c>
      <c r="N610" t="n">
        <v>0</v>
      </c>
      <c r="O610" t="n">
        <v>0</v>
      </c>
      <c r="P610" t="n">
        <v>0</v>
      </c>
      <c r="Q610" t="n">
        <v>0</v>
      </c>
      <c r="R610" s="2" t="inlineStr"/>
    </row>
    <row r="611" ht="15" customHeight="1">
      <c r="A611" t="inlineStr">
        <is>
          <t>A 7111-2024</t>
        </is>
      </c>
      <c r="B611" s="1" t="n">
        <v>45343.95162037037</v>
      </c>
      <c r="C611" s="1" t="n">
        <v>46160</v>
      </c>
      <c r="D611" t="inlineStr">
        <is>
          <t>JÄMTLANDS LÄN</t>
        </is>
      </c>
      <c r="E611" t="inlineStr">
        <is>
          <t>KROKOM</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46141-2025</t>
        </is>
      </c>
      <c r="B612" s="1" t="n">
        <v>45924.60287037037</v>
      </c>
      <c r="C612" s="1" t="n">
        <v>46160</v>
      </c>
      <c r="D612" t="inlineStr">
        <is>
          <t>JÄMTLANDS LÄN</t>
        </is>
      </c>
      <c r="E612" t="inlineStr">
        <is>
          <t>KROKOM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31852-2025</t>
        </is>
      </c>
      <c r="B613" s="1" t="n">
        <v>45834.61517361111</v>
      </c>
      <c r="C613" s="1" t="n">
        <v>46160</v>
      </c>
      <c r="D613" t="inlineStr">
        <is>
          <t>JÄMTLANDS LÄN</t>
        </is>
      </c>
      <c r="E613" t="inlineStr">
        <is>
          <t>KROKOM</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31292-2025</t>
        </is>
      </c>
      <c r="B614" s="1" t="n">
        <v>45833.36111111111</v>
      </c>
      <c r="C614" s="1" t="n">
        <v>46160</v>
      </c>
      <c r="D614" t="inlineStr">
        <is>
          <t>JÄMTLANDS LÄN</t>
        </is>
      </c>
      <c r="E614" t="inlineStr">
        <is>
          <t>KROKOM</t>
        </is>
      </c>
      <c r="G614" t="n">
        <v>3.3</v>
      </c>
      <c r="H614" t="n">
        <v>0</v>
      </c>
      <c r="I614" t="n">
        <v>0</v>
      </c>
      <c r="J614" t="n">
        <v>0</v>
      </c>
      <c r="K614" t="n">
        <v>0</v>
      </c>
      <c r="L614" t="n">
        <v>0</v>
      </c>
      <c r="M614" t="n">
        <v>0</v>
      </c>
      <c r="N614" t="n">
        <v>0</v>
      </c>
      <c r="O614" t="n">
        <v>0</v>
      </c>
      <c r="P614" t="n">
        <v>0</v>
      </c>
      <c r="Q614" t="n">
        <v>0</v>
      </c>
      <c r="R614" s="2" t="inlineStr"/>
    </row>
    <row r="615" ht="15" customHeight="1">
      <c r="A615" t="inlineStr">
        <is>
          <t>A 46099-2025</t>
        </is>
      </c>
      <c r="B615" s="1" t="n">
        <v>45924.54465277777</v>
      </c>
      <c r="C615" s="1" t="n">
        <v>46160</v>
      </c>
      <c r="D615" t="inlineStr">
        <is>
          <t>JÄMTLANDS LÄN</t>
        </is>
      </c>
      <c r="E615" t="inlineStr">
        <is>
          <t>KROKOM</t>
        </is>
      </c>
      <c r="F615" t="inlineStr">
        <is>
          <t>Övriga Aktiebolag</t>
        </is>
      </c>
      <c r="G615" t="n">
        <v>13.4</v>
      </c>
      <c r="H615" t="n">
        <v>0</v>
      </c>
      <c r="I615" t="n">
        <v>0</v>
      </c>
      <c r="J615" t="n">
        <v>0</v>
      </c>
      <c r="K615" t="n">
        <v>0</v>
      </c>
      <c r="L615" t="n">
        <v>0</v>
      </c>
      <c r="M615" t="n">
        <v>0</v>
      </c>
      <c r="N615" t="n">
        <v>0</v>
      </c>
      <c r="O615" t="n">
        <v>0</v>
      </c>
      <c r="P615" t="n">
        <v>0</v>
      </c>
      <c r="Q615" t="n">
        <v>0</v>
      </c>
      <c r="R615" s="2" t="inlineStr"/>
    </row>
    <row r="616" ht="15" customHeight="1">
      <c r="A616" t="inlineStr">
        <is>
          <t>A 45778-2025</t>
        </is>
      </c>
      <c r="B616" s="1" t="n">
        <v>45923.54756944445</v>
      </c>
      <c r="C616" s="1" t="n">
        <v>46160</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45780-2025</t>
        </is>
      </c>
      <c r="B617" s="1" t="n">
        <v>45923.54827546296</v>
      </c>
      <c r="C617" s="1" t="n">
        <v>46160</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3963-2026</t>
        </is>
      </c>
      <c r="B618" s="1" t="n">
        <v>46044</v>
      </c>
      <c r="C618" s="1" t="n">
        <v>46160</v>
      </c>
      <c r="D618" t="inlineStr">
        <is>
          <t>JÄMTLANDS LÄN</t>
        </is>
      </c>
      <c r="E618" t="inlineStr">
        <is>
          <t>KROKOM</t>
        </is>
      </c>
      <c r="G618" t="n">
        <v>1.5</v>
      </c>
      <c r="H618" t="n">
        <v>0</v>
      </c>
      <c r="I618" t="n">
        <v>0</v>
      </c>
      <c r="J618" t="n">
        <v>0</v>
      </c>
      <c r="K618" t="n">
        <v>0</v>
      </c>
      <c r="L618" t="n">
        <v>0</v>
      </c>
      <c r="M618" t="n">
        <v>0</v>
      </c>
      <c r="N618" t="n">
        <v>0</v>
      </c>
      <c r="O618" t="n">
        <v>0</v>
      </c>
      <c r="P618" t="n">
        <v>0</v>
      </c>
      <c r="Q618" t="n">
        <v>0</v>
      </c>
      <c r="R618" s="2" t="inlineStr"/>
    </row>
    <row r="619" ht="15" customHeight="1">
      <c r="A619" t="inlineStr">
        <is>
          <t>A 3875-2026</t>
        </is>
      </c>
      <c r="B619" s="1" t="n">
        <v>46043.64546296297</v>
      </c>
      <c r="C619" s="1" t="n">
        <v>46160</v>
      </c>
      <c r="D619" t="inlineStr">
        <is>
          <t>JÄMTLANDS LÄN</t>
        </is>
      </c>
      <c r="E619" t="inlineStr">
        <is>
          <t>KROKOM</t>
        </is>
      </c>
      <c r="G619" t="n">
        <v>5.8</v>
      </c>
      <c r="H619" t="n">
        <v>0</v>
      </c>
      <c r="I619" t="n">
        <v>0</v>
      </c>
      <c r="J619" t="n">
        <v>0</v>
      </c>
      <c r="K619" t="n">
        <v>0</v>
      </c>
      <c r="L619" t="n">
        <v>0</v>
      </c>
      <c r="M619" t="n">
        <v>0</v>
      </c>
      <c r="N619" t="n">
        <v>0</v>
      </c>
      <c r="O619" t="n">
        <v>0</v>
      </c>
      <c r="P619" t="n">
        <v>0</v>
      </c>
      <c r="Q619" t="n">
        <v>0</v>
      </c>
      <c r="R619" s="2" t="inlineStr"/>
    </row>
    <row r="620" ht="15" customHeight="1">
      <c r="A620" t="inlineStr">
        <is>
          <t>A 4527-2026</t>
        </is>
      </c>
      <c r="B620" s="1" t="n">
        <v>46046.64258101852</v>
      </c>
      <c r="C620" s="1" t="n">
        <v>46160</v>
      </c>
      <c r="D620" t="inlineStr">
        <is>
          <t>JÄMTLANDS LÄN</t>
        </is>
      </c>
      <c r="E620" t="inlineStr">
        <is>
          <t>KROKOM</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4550-2026</t>
        </is>
      </c>
      <c r="B621" s="1" t="n">
        <v>46047.55603009259</v>
      </c>
      <c r="C621" s="1" t="n">
        <v>46160</v>
      </c>
      <c r="D621" t="inlineStr">
        <is>
          <t>JÄMTLANDS LÄN</t>
        </is>
      </c>
      <c r="E621" t="inlineStr">
        <is>
          <t>KROKOM</t>
        </is>
      </c>
      <c r="F621" t="inlineStr">
        <is>
          <t>Övriga Aktiebolag</t>
        </is>
      </c>
      <c r="G621" t="n">
        <v>10.5</v>
      </c>
      <c r="H621" t="n">
        <v>0</v>
      </c>
      <c r="I621" t="n">
        <v>0</v>
      </c>
      <c r="J621" t="n">
        <v>0</v>
      </c>
      <c r="K621" t="n">
        <v>0</v>
      </c>
      <c r="L621" t="n">
        <v>0</v>
      </c>
      <c r="M621" t="n">
        <v>0</v>
      </c>
      <c r="N621" t="n">
        <v>0</v>
      </c>
      <c r="O621" t="n">
        <v>0</v>
      </c>
      <c r="P621" t="n">
        <v>0</v>
      </c>
      <c r="Q621" t="n">
        <v>0</v>
      </c>
      <c r="R621" s="2" t="inlineStr"/>
    </row>
    <row r="622" ht="15" customHeight="1">
      <c r="A622" t="inlineStr">
        <is>
          <t>A 4655-2026</t>
        </is>
      </c>
      <c r="B622" s="1" t="n">
        <v>46048.40759259259</v>
      </c>
      <c r="C622" s="1" t="n">
        <v>46160</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4660-2026</t>
        </is>
      </c>
      <c r="B623" s="1" t="n">
        <v>46048.40788194445</v>
      </c>
      <c r="C623" s="1" t="n">
        <v>46160</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4778-2026</t>
        </is>
      </c>
      <c r="B624" s="1" t="n">
        <v>46048.55277777778</v>
      </c>
      <c r="C624" s="1" t="n">
        <v>46160</v>
      </c>
      <c r="D624" t="inlineStr">
        <is>
          <t>JÄMTLANDS LÄN</t>
        </is>
      </c>
      <c r="E624" t="inlineStr">
        <is>
          <t>KROKOM</t>
        </is>
      </c>
      <c r="G624" t="n">
        <v>10</v>
      </c>
      <c r="H624" t="n">
        <v>0</v>
      </c>
      <c r="I624" t="n">
        <v>0</v>
      </c>
      <c r="J624" t="n">
        <v>0</v>
      </c>
      <c r="K624" t="n">
        <v>0</v>
      </c>
      <c r="L624" t="n">
        <v>0</v>
      </c>
      <c r="M624" t="n">
        <v>0</v>
      </c>
      <c r="N624" t="n">
        <v>0</v>
      </c>
      <c r="O624" t="n">
        <v>0</v>
      </c>
      <c r="P624" t="n">
        <v>0</v>
      </c>
      <c r="Q624" t="n">
        <v>0</v>
      </c>
      <c r="R624" s="2" t="inlineStr"/>
    </row>
    <row r="625" ht="15" customHeight="1">
      <c r="A625" t="inlineStr">
        <is>
          <t>A 4600-2026</t>
        </is>
      </c>
      <c r="B625" s="1" t="n">
        <v>46048.3550925926</v>
      </c>
      <c r="C625" s="1" t="n">
        <v>46160</v>
      </c>
      <c r="D625" t="inlineStr">
        <is>
          <t>JÄMTLANDS LÄN</t>
        </is>
      </c>
      <c r="E625" t="inlineStr">
        <is>
          <t>KROKOM</t>
        </is>
      </c>
      <c r="F625" t="inlineStr">
        <is>
          <t>Övriga Aktiebolag</t>
        </is>
      </c>
      <c r="G625" t="n">
        <v>27.4</v>
      </c>
      <c r="H625" t="n">
        <v>0</v>
      </c>
      <c r="I625" t="n">
        <v>0</v>
      </c>
      <c r="J625" t="n">
        <v>0</v>
      </c>
      <c r="K625" t="n">
        <v>0</v>
      </c>
      <c r="L625" t="n">
        <v>0</v>
      </c>
      <c r="M625" t="n">
        <v>0</v>
      </c>
      <c r="N625" t="n">
        <v>0</v>
      </c>
      <c r="O625" t="n">
        <v>0</v>
      </c>
      <c r="P625" t="n">
        <v>0</v>
      </c>
      <c r="Q625" t="n">
        <v>0</v>
      </c>
      <c r="R625" s="2" t="inlineStr"/>
    </row>
    <row r="626" ht="15" customHeight="1">
      <c r="A626" t="inlineStr">
        <is>
          <t>A 4619-2026</t>
        </is>
      </c>
      <c r="B626" s="1" t="n">
        <v>46048.37532407408</v>
      </c>
      <c r="C626" s="1" t="n">
        <v>46160</v>
      </c>
      <c r="D626" t="inlineStr">
        <is>
          <t>JÄMTLANDS LÄN</t>
        </is>
      </c>
      <c r="E626" t="inlineStr">
        <is>
          <t>KROKOM</t>
        </is>
      </c>
      <c r="F626" t="inlineStr">
        <is>
          <t>Övriga Aktiebolag</t>
        </is>
      </c>
      <c r="G626" t="n">
        <v>5.4</v>
      </c>
      <c r="H626" t="n">
        <v>0</v>
      </c>
      <c r="I626" t="n">
        <v>0</v>
      </c>
      <c r="J626" t="n">
        <v>0</v>
      </c>
      <c r="K626" t="n">
        <v>0</v>
      </c>
      <c r="L626" t="n">
        <v>0</v>
      </c>
      <c r="M626" t="n">
        <v>0</v>
      </c>
      <c r="N626" t="n">
        <v>0</v>
      </c>
      <c r="O626" t="n">
        <v>0</v>
      </c>
      <c r="P626" t="n">
        <v>0</v>
      </c>
      <c r="Q626" t="n">
        <v>0</v>
      </c>
      <c r="R626" s="2" t="inlineStr"/>
    </row>
    <row r="627" ht="15" customHeight="1">
      <c r="A627" t="inlineStr">
        <is>
          <t>A 32038-2025</t>
        </is>
      </c>
      <c r="B627" s="1" t="n">
        <v>45835.42712962963</v>
      </c>
      <c r="C627" s="1" t="n">
        <v>46160</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4694-2026</t>
        </is>
      </c>
      <c r="B628" s="1" t="n">
        <v>46048.44809027778</v>
      </c>
      <c r="C628" s="1" t="n">
        <v>46160</v>
      </c>
      <c r="D628" t="inlineStr">
        <is>
          <t>JÄMTLANDS LÄN</t>
        </is>
      </c>
      <c r="E628" t="inlineStr">
        <is>
          <t>KROKOM</t>
        </is>
      </c>
      <c r="G628" t="n">
        <v>4.5</v>
      </c>
      <c r="H628" t="n">
        <v>0</v>
      </c>
      <c r="I628" t="n">
        <v>0</v>
      </c>
      <c r="J628" t="n">
        <v>0</v>
      </c>
      <c r="K628" t="n">
        <v>0</v>
      </c>
      <c r="L628" t="n">
        <v>0</v>
      </c>
      <c r="M628" t="n">
        <v>0</v>
      </c>
      <c r="N628" t="n">
        <v>0</v>
      </c>
      <c r="O628" t="n">
        <v>0</v>
      </c>
      <c r="P628" t="n">
        <v>0</v>
      </c>
      <c r="Q628" t="n">
        <v>0</v>
      </c>
      <c r="R628" s="2" t="inlineStr"/>
    </row>
    <row r="629" ht="15" customHeight="1">
      <c r="A629" t="inlineStr">
        <is>
          <t>A 4751-2026</t>
        </is>
      </c>
      <c r="B629" s="1" t="n">
        <v>46048.51173611111</v>
      </c>
      <c r="C629" s="1" t="n">
        <v>46160</v>
      </c>
      <c r="D629" t="inlineStr">
        <is>
          <t>JÄMTLANDS LÄN</t>
        </is>
      </c>
      <c r="E629" t="inlineStr">
        <is>
          <t>KROKOM</t>
        </is>
      </c>
      <c r="G629" t="n">
        <v>1.5</v>
      </c>
      <c r="H629" t="n">
        <v>0</v>
      </c>
      <c r="I629" t="n">
        <v>0</v>
      </c>
      <c r="J629" t="n">
        <v>0</v>
      </c>
      <c r="K629" t="n">
        <v>0</v>
      </c>
      <c r="L629" t="n">
        <v>0</v>
      </c>
      <c r="M629" t="n">
        <v>0</v>
      </c>
      <c r="N629" t="n">
        <v>0</v>
      </c>
      <c r="O629" t="n">
        <v>0</v>
      </c>
      <c r="P629" t="n">
        <v>0</v>
      </c>
      <c r="Q629" t="n">
        <v>0</v>
      </c>
      <c r="R629" s="2" t="inlineStr"/>
    </row>
    <row r="630" ht="15" customHeight="1">
      <c r="A630" t="inlineStr">
        <is>
          <t>A 4747-2026</t>
        </is>
      </c>
      <c r="B630" s="1" t="n">
        <v>46048.51119212963</v>
      </c>
      <c r="C630" s="1" t="n">
        <v>46160</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4750-2026</t>
        </is>
      </c>
      <c r="B631" s="1" t="n">
        <v>46048.51131944444</v>
      </c>
      <c r="C631" s="1" t="n">
        <v>46160</v>
      </c>
      <c r="D631" t="inlineStr">
        <is>
          <t>JÄMTLANDS LÄN</t>
        </is>
      </c>
      <c r="E631" t="inlineStr">
        <is>
          <t>KROKOM</t>
        </is>
      </c>
      <c r="G631" t="n">
        <v>7.7</v>
      </c>
      <c r="H631" t="n">
        <v>0</v>
      </c>
      <c r="I631" t="n">
        <v>0</v>
      </c>
      <c r="J631" t="n">
        <v>0</v>
      </c>
      <c r="K631" t="n">
        <v>0</v>
      </c>
      <c r="L631" t="n">
        <v>0</v>
      </c>
      <c r="M631" t="n">
        <v>0</v>
      </c>
      <c r="N631" t="n">
        <v>0</v>
      </c>
      <c r="O631" t="n">
        <v>0</v>
      </c>
      <c r="P631" t="n">
        <v>0</v>
      </c>
      <c r="Q631" t="n">
        <v>0</v>
      </c>
      <c r="R631" s="2" t="inlineStr"/>
    </row>
    <row r="632" ht="15" customHeight="1">
      <c r="A632" t="inlineStr">
        <is>
          <t>A 4691-2026</t>
        </is>
      </c>
      <c r="B632" s="1" t="n">
        <v>46048.44567129629</v>
      </c>
      <c r="C632" s="1" t="n">
        <v>46160</v>
      </c>
      <c r="D632" t="inlineStr">
        <is>
          <t>JÄMTLANDS LÄN</t>
        </is>
      </c>
      <c r="E632" t="inlineStr">
        <is>
          <t>KROKOM</t>
        </is>
      </c>
      <c r="G632" t="n">
        <v>1.4</v>
      </c>
      <c r="H632" t="n">
        <v>0</v>
      </c>
      <c r="I632" t="n">
        <v>0</v>
      </c>
      <c r="J632" t="n">
        <v>0</v>
      </c>
      <c r="K632" t="n">
        <v>0</v>
      </c>
      <c r="L632" t="n">
        <v>0</v>
      </c>
      <c r="M632" t="n">
        <v>0</v>
      </c>
      <c r="N632" t="n">
        <v>0</v>
      </c>
      <c r="O632" t="n">
        <v>0</v>
      </c>
      <c r="P632" t="n">
        <v>0</v>
      </c>
      <c r="Q632" t="n">
        <v>0</v>
      </c>
      <c r="R632" s="2" t="inlineStr"/>
    </row>
    <row r="633" ht="15" customHeight="1">
      <c r="A633" t="inlineStr">
        <is>
          <t>A 4748-2026</t>
        </is>
      </c>
      <c r="B633" s="1" t="n">
        <v>46048.5112037037</v>
      </c>
      <c r="C633" s="1" t="n">
        <v>46160</v>
      </c>
      <c r="D633" t="inlineStr">
        <is>
          <t>JÄMTLANDS LÄN</t>
        </is>
      </c>
      <c r="E633" t="inlineStr">
        <is>
          <t>KROKOM</t>
        </is>
      </c>
      <c r="G633" t="n">
        <v>1.9</v>
      </c>
      <c r="H633" t="n">
        <v>0</v>
      </c>
      <c r="I633" t="n">
        <v>0</v>
      </c>
      <c r="J633" t="n">
        <v>0</v>
      </c>
      <c r="K633" t="n">
        <v>0</v>
      </c>
      <c r="L633" t="n">
        <v>0</v>
      </c>
      <c r="M633" t="n">
        <v>0</v>
      </c>
      <c r="N633" t="n">
        <v>0</v>
      </c>
      <c r="O633" t="n">
        <v>0</v>
      </c>
      <c r="P633" t="n">
        <v>0</v>
      </c>
      <c r="Q633" t="n">
        <v>0</v>
      </c>
      <c r="R633" s="2" t="inlineStr"/>
    </row>
    <row r="634" ht="15" customHeight="1">
      <c r="A634" t="inlineStr">
        <is>
          <t>A 4659-2026</t>
        </is>
      </c>
      <c r="B634" s="1" t="n">
        <v>46048.40785879629</v>
      </c>
      <c r="C634" s="1" t="n">
        <v>46160</v>
      </c>
      <c r="D634" t="inlineStr">
        <is>
          <t>JÄMTLANDS LÄN</t>
        </is>
      </c>
      <c r="E634" t="inlineStr">
        <is>
          <t>KROKOM</t>
        </is>
      </c>
      <c r="G634" t="n">
        <v>0.8</v>
      </c>
      <c r="H634" t="n">
        <v>0</v>
      </c>
      <c r="I634" t="n">
        <v>0</v>
      </c>
      <c r="J634" t="n">
        <v>0</v>
      </c>
      <c r="K634" t="n">
        <v>0</v>
      </c>
      <c r="L634" t="n">
        <v>0</v>
      </c>
      <c r="M634" t="n">
        <v>0</v>
      </c>
      <c r="N634" t="n">
        <v>0</v>
      </c>
      <c r="O634" t="n">
        <v>0</v>
      </c>
      <c r="P634" t="n">
        <v>0</v>
      </c>
      <c r="Q634" t="n">
        <v>0</v>
      </c>
      <c r="R634" s="2" t="inlineStr"/>
    </row>
    <row r="635" ht="15" customHeight="1">
      <c r="A635" t="inlineStr">
        <is>
          <t>A 4410-2026</t>
        </is>
      </c>
      <c r="B635" s="1" t="n">
        <v>46045.59483796296</v>
      </c>
      <c r="C635" s="1" t="n">
        <v>46160</v>
      </c>
      <c r="D635" t="inlineStr">
        <is>
          <t>JÄMTLANDS LÄN</t>
        </is>
      </c>
      <c r="E635" t="inlineStr">
        <is>
          <t>KROKOM</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4408-2026</t>
        </is>
      </c>
      <c r="B636" s="1" t="n">
        <v>46045.59466435185</v>
      </c>
      <c r="C636" s="1" t="n">
        <v>46160</v>
      </c>
      <c r="D636" t="inlineStr">
        <is>
          <t>JÄMTLANDS LÄN</t>
        </is>
      </c>
      <c r="E636" t="inlineStr">
        <is>
          <t>KROKOM</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4702-2026</t>
        </is>
      </c>
      <c r="B637" s="1" t="n">
        <v>46048.4506712963</v>
      </c>
      <c r="C637" s="1" t="n">
        <v>46160</v>
      </c>
      <c r="D637" t="inlineStr">
        <is>
          <t>JÄMTLANDS LÄN</t>
        </is>
      </c>
      <c r="E637" t="inlineStr">
        <is>
          <t>KROKOM</t>
        </is>
      </c>
      <c r="G637" t="n">
        <v>6.5</v>
      </c>
      <c r="H637" t="n">
        <v>0</v>
      </c>
      <c r="I637" t="n">
        <v>0</v>
      </c>
      <c r="J637" t="n">
        <v>0</v>
      </c>
      <c r="K637" t="n">
        <v>0</v>
      </c>
      <c r="L637" t="n">
        <v>0</v>
      </c>
      <c r="M637" t="n">
        <v>0</v>
      </c>
      <c r="N637" t="n">
        <v>0</v>
      </c>
      <c r="O637" t="n">
        <v>0</v>
      </c>
      <c r="P637" t="n">
        <v>0</v>
      </c>
      <c r="Q637" t="n">
        <v>0</v>
      </c>
      <c r="R637" s="2" t="inlineStr"/>
    </row>
    <row r="638" ht="15" customHeight="1">
      <c r="A638" t="inlineStr">
        <is>
          <t>A 4656-2026</t>
        </is>
      </c>
      <c r="B638" s="1" t="n">
        <v>46048.40761574074</v>
      </c>
      <c r="C638" s="1" t="n">
        <v>46160</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4657-2026</t>
        </is>
      </c>
      <c r="B639" s="1" t="n">
        <v>46048</v>
      </c>
      <c r="C639" s="1" t="n">
        <v>46160</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4658-2026</t>
        </is>
      </c>
      <c r="B640" s="1" t="n">
        <v>46048.40784722222</v>
      </c>
      <c r="C640" s="1" t="n">
        <v>46160</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4275-2026</t>
        </is>
      </c>
      <c r="B641" s="1" t="n">
        <v>46045.36793981482</v>
      </c>
      <c r="C641" s="1" t="n">
        <v>46160</v>
      </c>
      <c r="D641" t="inlineStr">
        <is>
          <t>JÄMTLANDS LÄN</t>
        </is>
      </c>
      <c r="E641" t="inlineStr">
        <is>
          <t>KROKOM</t>
        </is>
      </c>
      <c r="G641" t="n">
        <v>7.1</v>
      </c>
      <c r="H641" t="n">
        <v>0</v>
      </c>
      <c r="I641" t="n">
        <v>0</v>
      </c>
      <c r="J641" t="n">
        <v>0</v>
      </c>
      <c r="K641" t="n">
        <v>0</v>
      </c>
      <c r="L641" t="n">
        <v>0</v>
      </c>
      <c r="M641" t="n">
        <v>0</v>
      </c>
      <c r="N641" t="n">
        <v>0</v>
      </c>
      <c r="O641" t="n">
        <v>0</v>
      </c>
      <c r="P641" t="n">
        <v>0</v>
      </c>
      <c r="Q641" t="n">
        <v>0</v>
      </c>
      <c r="R641" s="2" t="inlineStr"/>
    </row>
    <row r="642" ht="15" customHeight="1">
      <c r="A642" t="inlineStr">
        <is>
          <t>A 4407-2026</t>
        </is>
      </c>
      <c r="B642" s="1" t="n">
        <v>46045.59451388889</v>
      </c>
      <c r="C642" s="1" t="n">
        <v>46160</v>
      </c>
      <c r="D642" t="inlineStr">
        <is>
          <t>JÄMTLANDS LÄN</t>
        </is>
      </c>
      <c r="E642" t="inlineStr">
        <is>
          <t>KROKOM</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4749-2026</t>
        </is>
      </c>
      <c r="B643" s="1" t="n">
        <v>46048.51130787037</v>
      </c>
      <c r="C643" s="1" t="n">
        <v>46160</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34516-2025</t>
        </is>
      </c>
      <c r="B644" s="1" t="n">
        <v>45847.46462962963</v>
      </c>
      <c r="C644" s="1" t="n">
        <v>46160</v>
      </c>
      <c r="D644" t="inlineStr">
        <is>
          <t>JÄMTLANDS LÄN</t>
        </is>
      </c>
      <c r="E644" t="inlineStr">
        <is>
          <t>KROKOM</t>
        </is>
      </c>
      <c r="G644" t="n">
        <v>4</v>
      </c>
      <c r="H644" t="n">
        <v>0</v>
      </c>
      <c r="I644" t="n">
        <v>0</v>
      </c>
      <c r="J644" t="n">
        <v>0</v>
      </c>
      <c r="K644" t="n">
        <v>0</v>
      </c>
      <c r="L644" t="n">
        <v>0</v>
      </c>
      <c r="M644" t="n">
        <v>0</v>
      </c>
      <c r="N644" t="n">
        <v>0</v>
      </c>
      <c r="O644" t="n">
        <v>0</v>
      </c>
      <c r="P644" t="n">
        <v>0</v>
      </c>
      <c r="Q644" t="n">
        <v>0</v>
      </c>
      <c r="R644" s="2" t="inlineStr"/>
    </row>
    <row r="645" ht="15" customHeight="1">
      <c r="A645" t="inlineStr">
        <is>
          <t>A 44663-2025</t>
        </is>
      </c>
      <c r="B645" s="1" t="n">
        <v>45917</v>
      </c>
      <c r="C645" s="1" t="n">
        <v>46160</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4274-2026</t>
        </is>
      </c>
      <c r="B646" s="1" t="n">
        <v>46045.36503472222</v>
      </c>
      <c r="C646" s="1" t="n">
        <v>46160</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4697-2026</t>
        </is>
      </c>
      <c r="B647" s="1" t="n">
        <v>46048.4484375</v>
      </c>
      <c r="C647" s="1" t="n">
        <v>46160</v>
      </c>
      <c r="D647" t="inlineStr">
        <is>
          <t>JÄMTLANDS LÄN</t>
        </is>
      </c>
      <c r="E647" t="inlineStr">
        <is>
          <t>KROKOM</t>
        </is>
      </c>
      <c r="G647" t="n">
        <v>4.7</v>
      </c>
      <c r="H647" t="n">
        <v>0</v>
      </c>
      <c r="I647" t="n">
        <v>0</v>
      </c>
      <c r="J647" t="n">
        <v>0</v>
      </c>
      <c r="K647" t="n">
        <v>0</v>
      </c>
      <c r="L647" t="n">
        <v>0</v>
      </c>
      <c r="M647" t="n">
        <v>0</v>
      </c>
      <c r="N647" t="n">
        <v>0</v>
      </c>
      <c r="O647" t="n">
        <v>0</v>
      </c>
      <c r="P647" t="n">
        <v>0</v>
      </c>
      <c r="Q647" t="n">
        <v>0</v>
      </c>
      <c r="R647" s="2" t="inlineStr"/>
    </row>
    <row r="648" ht="15" customHeight="1">
      <c r="A648" t="inlineStr">
        <is>
          <t>A 46516-2025</t>
        </is>
      </c>
      <c r="B648" s="1" t="n">
        <v>45926.29324074074</v>
      </c>
      <c r="C648" s="1" t="n">
        <v>46160</v>
      </c>
      <c r="D648" t="inlineStr">
        <is>
          <t>JÄMTLANDS LÄN</t>
        </is>
      </c>
      <c r="E648" t="inlineStr">
        <is>
          <t>KROKOM</t>
        </is>
      </c>
      <c r="F648" t="inlineStr">
        <is>
          <t>Övriga Aktiebolag</t>
        </is>
      </c>
      <c r="G648" t="n">
        <v>18.7</v>
      </c>
      <c r="H648" t="n">
        <v>0</v>
      </c>
      <c r="I648" t="n">
        <v>0</v>
      </c>
      <c r="J648" t="n">
        <v>0</v>
      </c>
      <c r="K648" t="n">
        <v>0</v>
      </c>
      <c r="L648" t="n">
        <v>0</v>
      </c>
      <c r="M648" t="n">
        <v>0</v>
      </c>
      <c r="N648" t="n">
        <v>0</v>
      </c>
      <c r="O648" t="n">
        <v>0</v>
      </c>
      <c r="P648" t="n">
        <v>0</v>
      </c>
      <c r="Q648" t="n">
        <v>0</v>
      </c>
      <c r="R648" s="2" t="inlineStr"/>
    </row>
    <row r="649" ht="15" customHeight="1">
      <c r="A649" t="inlineStr">
        <is>
          <t>A 46796-2025</t>
        </is>
      </c>
      <c r="B649" s="1" t="n">
        <v>45926.65686342592</v>
      </c>
      <c r="C649" s="1" t="n">
        <v>46160</v>
      </c>
      <c r="D649" t="inlineStr">
        <is>
          <t>JÄMTLANDS LÄN</t>
        </is>
      </c>
      <c r="E649" t="inlineStr">
        <is>
          <t>KROKOM</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46331-2025</t>
        </is>
      </c>
      <c r="B650" s="1" t="n">
        <v>45925.45605324074</v>
      </c>
      <c r="C650" s="1" t="n">
        <v>46160</v>
      </c>
      <c r="D650" t="inlineStr">
        <is>
          <t>JÄMTLANDS LÄN</t>
        </is>
      </c>
      <c r="E650" t="inlineStr">
        <is>
          <t>KROKOM</t>
        </is>
      </c>
      <c r="F650" t="inlineStr">
        <is>
          <t>Övriga Aktiebolag</t>
        </is>
      </c>
      <c r="G650" t="n">
        <v>3.2</v>
      </c>
      <c r="H650" t="n">
        <v>0</v>
      </c>
      <c r="I650" t="n">
        <v>0</v>
      </c>
      <c r="J650" t="n">
        <v>0</v>
      </c>
      <c r="K650" t="n">
        <v>0</v>
      </c>
      <c r="L650" t="n">
        <v>0</v>
      </c>
      <c r="M650" t="n">
        <v>0</v>
      </c>
      <c r="N650" t="n">
        <v>0</v>
      </c>
      <c r="O650" t="n">
        <v>0</v>
      </c>
      <c r="P650" t="n">
        <v>0</v>
      </c>
      <c r="Q650" t="n">
        <v>0</v>
      </c>
      <c r="R650" s="2" t="inlineStr"/>
    </row>
    <row r="651" ht="15" customHeight="1">
      <c r="A651" t="inlineStr">
        <is>
          <t>A 46274-2025</t>
        </is>
      </c>
      <c r="B651" s="1" t="n">
        <v>45925.37074074074</v>
      </c>
      <c r="C651" s="1" t="n">
        <v>46160</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46295-2025</t>
        </is>
      </c>
      <c r="B652" s="1" t="n">
        <v>45925.39686342593</v>
      </c>
      <c r="C652" s="1" t="n">
        <v>46160</v>
      </c>
      <c r="D652" t="inlineStr">
        <is>
          <t>JÄMTLANDS LÄN</t>
        </is>
      </c>
      <c r="E652" t="inlineStr">
        <is>
          <t>KROKOM</t>
        </is>
      </c>
      <c r="F652" t="inlineStr">
        <is>
          <t>Övriga Aktiebolag</t>
        </is>
      </c>
      <c r="G652" t="n">
        <v>5.6</v>
      </c>
      <c r="H652" t="n">
        <v>0</v>
      </c>
      <c r="I652" t="n">
        <v>0</v>
      </c>
      <c r="J652" t="n">
        <v>0</v>
      </c>
      <c r="K652" t="n">
        <v>0</v>
      </c>
      <c r="L652" t="n">
        <v>0</v>
      </c>
      <c r="M652" t="n">
        <v>0</v>
      </c>
      <c r="N652" t="n">
        <v>0</v>
      </c>
      <c r="O652" t="n">
        <v>0</v>
      </c>
      <c r="P652" t="n">
        <v>0</v>
      </c>
      <c r="Q652" t="n">
        <v>0</v>
      </c>
      <c r="R652" s="2" t="inlineStr"/>
    </row>
    <row r="653" ht="15" customHeight="1">
      <c r="A653" t="inlineStr">
        <is>
          <t>A 46308-2025</t>
        </is>
      </c>
      <c r="B653" s="1" t="n">
        <v>45925.43271990741</v>
      </c>
      <c r="C653" s="1" t="n">
        <v>46160</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33045-2025</t>
        </is>
      </c>
      <c r="B654" s="1" t="n">
        <v>45840.40717592592</v>
      </c>
      <c r="C654" s="1" t="n">
        <v>46160</v>
      </c>
      <c r="D654" t="inlineStr">
        <is>
          <t>JÄMTLANDS LÄN</t>
        </is>
      </c>
      <c r="E654" t="inlineStr">
        <is>
          <t>KROKOM</t>
        </is>
      </c>
      <c r="F654" t="inlineStr">
        <is>
          <t>SCA</t>
        </is>
      </c>
      <c r="G654" t="n">
        <v>18.7</v>
      </c>
      <c r="H654" t="n">
        <v>0</v>
      </c>
      <c r="I654" t="n">
        <v>0</v>
      </c>
      <c r="J654" t="n">
        <v>0</v>
      </c>
      <c r="K654" t="n">
        <v>0</v>
      </c>
      <c r="L654" t="n">
        <v>0</v>
      </c>
      <c r="M654" t="n">
        <v>0</v>
      </c>
      <c r="N654" t="n">
        <v>0</v>
      </c>
      <c r="O654" t="n">
        <v>0</v>
      </c>
      <c r="P654" t="n">
        <v>0</v>
      </c>
      <c r="Q654" t="n">
        <v>0</v>
      </c>
      <c r="R654" s="2" t="inlineStr"/>
    </row>
    <row r="655" ht="15" customHeight="1">
      <c r="A655" t="inlineStr">
        <is>
          <t>A 5186-2026</t>
        </is>
      </c>
      <c r="B655" s="1" t="n">
        <v>46049.6571412037</v>
      </c>
      <c r="C655" s="1" t="n">
        <v>46160</v>
      </c>
      <c r="D655" t="inlineStr">
        <is>
          <t>JÄMTLANDS LÄN</t>
        </is>
      </c>
      <c r="E655" t="inlineStr">
        <is>
          <t>KROKOM</t>
        </is>
      </c>
      <c r="F655" t="inlineStr">
        <is>
          <t>SCA</t>
        </is>
      </c>
      <c r="G655" t="n">
        <v>4.2</v>
      </c>
      <c r="H655" t="n">
        <v>0</v>
      </c>
      <c r="I655" t="n">
        <v>0</v>
      </c>
      <c r="J655" t="n">
        <v>0</v>
      </c>
      <c r="K655" t="n">
        <v>0</v>
      </c>
      <c r="L655" t="n">
        <v>0</v>
      </c>
      <c r="M655" t="n">
        <v>0</v>
      </c>
      <c r="N655" t="n">
        <v>0</v>
      </c>
      <c r="O655" t="n">
        <v>0</v>
      </c>
      <c r="P655" t="n">
        <v>0</v>
      </c>
      <c r="Q655" t="n">
        <v>0</v>
      </c>
      <c r="R655" s="2" t="inlineStr"/>
    </row>
    <row r="656" ht="15" customHeight="1">
      <c r="A656" t="inlineStr">
        <is>
          <t>A 32896-2025</t>
        </is>
      </c>
      <c r="B656" s="1" t="n">
        <v>45839.61541666667</v>
      </c>
      <c r="C656" s="1" t="n">
        <v>46160</v>
      </c>
      <c r="D656" t="inlineStr">
        <is>
          <t>JÄMTLANDS LÄN</t>
        </is>
      </c>
      <c r="E656" t="inlineStr">
        <is>
          <t>KROKOM</t>
        </is>
      </c>
      <c r="F656" t="inlineStr">
        <is>
          <t>SCA</t>
        </is>
      </c>
      <c r="G656" t="n">
        <v>17.9</v>
      </c>
      <c r="H656" t="n">
        <v>0</v>
      </c>
      <c r="I656" t="n">
        <v>0</v>
      </c>
      <c r="J656" t="n">
        <v>0</v>
      </c>
      <c r="K656" t="n">
        <v>0</v>
      </c>
      <c r="L656" t="n">
        <v>0</v>
      </c>
      <c r="M656" t="n">
        <v>0</v>
      </c>
      <c r="N656" t="n">
        <v>0</v>
      </c>
      <c r="O656" t="n">
        <v>0</v>
      </c>
      <c r="P656" t="n">
        <v>0</v>
      </c>
      <c r="Q656" t="n">
        <v>0</v>
      </c>
      <c r="R656" s="2" t="inlineStr"/>
    </row>
    <row r="657" ht="15" customHeight="1">
      <c r="A657" t="inlineStr">
        <is>
          <t>A 32897-2025</t>
        </is>
      </c>
      <c r="B657" s="1" t="n">
        <v>45839.61563657408</v>
      </c>
      <c r="C657" s="1" t="n">
        <v>46160</v>
      </c>
      <c r="D657" t="inlineStr">
        <is>
          <t>JÄMTLANDS LÄN</t>
        </is>
      </c>
      <c r="E657" t="inlineStr">
        <is>
          <t>KROKOM</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5578-2026</t>
        </is>
      </c>
      <c r="B658" s="1" t="n">
        <v>46051.28758101852</v>
      </c>
      <c r="C658" s="1" t="n">
        <v>46160</v>
      </c>
      <c r="D658" t="inlineStr">
        <is>
          <t>JÄMTLANDS LÄN</t>
        </is>
      </c>
      <c r="E658" t="inlineStr">
        <is>
          <t>KROKOM</t>
        </is>
      </c>
      <c r="F658" t="inlineStr">
        <is>
          <t>Övriga Aktiebolag</t>
        </is>
      </c>
      <c r="G658" t="n">
        <v>7.2</v>
      </c>
      <c r="H658" t="n">
        <v>0</v>
      </c>
      <c r="I658" t="n">
        <v>0</v>
      </c>
      <c r="J658" t="n">
        <v>0</v>
      </c>
      <c r="K658" t="n">
        <v>0</v>
      </c>
      <c r="L658" t="n">
        <v>0</v>
      </c>
      <c r="M658" t="n">
        <v>0</v>
      </c>
      <c r="N658" t="n">
        <v>0</v>
      </c>
      <c r="O658" t="n">
        <v>0</v>
      </c>
      <c r="P658" t="n">
        <v>0</v>
      </c>
      <c r="Q658" t="n">
        <v>0</v>
      </c>
      <c r="R658" s="2" t="inlineStr"/>
    </row>
    <row r="659" ht="15" customHeight="1">
      <c r="A659" t="inlineStr">
        <is>
          <t>A 53807-2024</t>
        </is>
      </c>
      <c r="B659" s="1" t="n">
        <v>45615.59521990741</v>
      </c>
      <c r="C659" s="1" t="n">
        <v>46160</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5680-2026</t>
        </is>
      </c>
      <c r="B660" s="1" t="n">
        <v>46051.47840277778</v>
      </c>
      <c r="C660" s="1" t="n">
        <v>46160</v>
      </c>
      <c r="D660" t="inlineStr">
        <is>
          <t>JÄMTLANDS LÄN</t>
        </is>
      </c>
      <c r="E660" t="inlineStr">
        <is>
          <t>KROKOM</t>
        </is>
      </c>
      <c r="G660" t="n">
        <v>10.6</v>
      </c>
      <c r="H660" t="n">
        <v>0</v>
      </c>
      <c r="I660" t="n">
        <v>0</v>
      </c>
      <c r="J660" t="n">
        <v>0</v>
      </c>
      <c r="K660" t="n">
        <v>0</v>
      </c>
      <c r="L660" t="n">
        <v>0</v>
      </c>
      <c r="M660" t="n">
        <v>0</v>
      </c>
      <c r="N660" t="n">
        <v>0</v>
      </c>
      <c r="O660" t="n">
        <v>0</v>
      </c>
      <c r="P660" t="n">
        <v>0</v>
      </c>
      <c r="Q660" t="n">
        <v>0</v>
      </c>
      <c r="R660" s="2" t="inlineStr"/>
    </row>
    <row r="661" ht="15" customHeight="1">
      <c r="A661" t="inlineStr">
        <is>
          <t>A 5789-2026</t>
        </is>
      </c>
      <c r="B661" s="1" t="n">
        <v>46051.67745370371</v>
      </c>
      <c r="C661" s="1" t="n">
        <v>46160</v>
      </c>
      <c r="D661" t="inlineStr">
        <is>
          <t>JÄMTLANDS LÄN</t>
        </is>
      </c>
      <c r="E661" t="inlineStr">
        <is>
          <t>KROKOM</t>
        </is>
      </c>
      <c r="G661" t="n">
        <v>6.7</v>
      </c>
      <c r="H661" t="n">
        <v>0</v>
      </c>
      <c r="I661" t="n">
        <v>0</v>
      </c>
      <c r="J661" t="n">
        <v>0</v>
      </c>
      <c r="K661" t="n">
        <v>0</v>
      </c>
      <c r="L661" t="n">
        <v>0</v>
      </c>
      <c r="M661" t="n">
        <v>0</v>
      </c>
      <c r="N661" t="n">
        <v>0</v>
      </c>
      <c r="O661" t="n">
        <v>0</v>
      </c>
      <c r="P661" t="n">
        <v>0</v>
      </c>
      <c r="Q661" t="n">
        <v>0</v>
      </c>
      <c r="R661" s="2" t="inlineStr"/>
    </row>
    <row r="662" ht="15" customHeight="1">
      <c r="A662" t="inlineStr">
        <is>
          <t>A 5591-2026</t>
        </is>
      </c>
      <c r="B662" s="1" t="n">
        <v>46051.32770833333</v>
      </c>
      <c r="C662" s="1" t="n">
        <v>46160</v>
      </c>
      <c r="D662" t="inlineStr">
        <is>
          <t>JÄMTLANDS LÄN</t>
        </is>
      </c>
      <c r="E662" t="inlineStr">
        <is>
          <t>KROKOM</t>
        </is>
      </c>
      <c r="F662" t="inlineStr">
        <is>
          <t>Övriga Aktiebolag</t>
        </is>
      </c>
      <c r="G662" t="n">
        <v>11.2</v>
      </c>
      <c r="H662" t="n">
        <v>0</v>
      </c>
      <c r="I662" t="n">
        <v>0</v>
      </c>
      <c r="J662" t="n">
        <v>0</v>
      </c>
      <c r="K662" t="n">
        <v>0</v>
      </c>
      <c r="L662" t="n">
        <v>0</v>
      </c>
      <c r="M662" t="n">
        <v>0</v>
      </c>
      <c r="N662" t="n">
        <v>0</v>
      </c>
      <c r="O662" t="n">
        <v>0</v>
      </c>
      <c r="P662" t="n">
        <v>0</v>
      </c>
      <c r="Q662" t="n">
        <v>0</v>
      </c>
      <c r="R662" s="2" t="inlineStr"/>
    </row>
    <row r="663" ht="15" customHeight="1">
      <c r="A663" t="inlineStr">
        <is>
          <t>A 32966-2025</t>
        </is>
      </c>
      <c r="B663" s="1" t="n">
        <v>45839.72320601852</v>
      </c>
      <c r="C663" s="1" t="n">
        <v>46160</v>
      </c>
      <c r="D663" t="inlineStr">
        <is>
          <t>JÄMTLANDS LÄN</t>
        </is>
      </c>
      <c r="E663" t="inlineStr">
        <is>
          <t>KROKOM</t>
        </is>
      </c>
      <c r="G663" t="n">
        <v>2.7</v>
      </c>
      <c r="H663" t="n">
        <v>0</v>
      </c>
      <c r="I663" t="n">
        <v>0</v>
      </c>
      <c r="J663" t="n">
        <v>0</v>
      </c>
      <c r="K663" t="n">
        <v>0</v>
      </c>
      <c r="L663" t="n">
        <v>0</v>
      </c>
      <c r="M663" t="n">
        <v>0</v>
      </c>
      <c r="N663" t="n">
        <v>0</v>
      </c>
      <c r="O663" t="n">
        <v>0</v>
      </c>
      <c r="P663" t="n">
        <v>0</v>
      </c>
      <c r="Q663" t="n">
        <v>0</v>
      </c>
      <c r="R663" s="2" t="inlineStr"/>
    </row>
    <row r="664" ht="15" customHeight="1">
      <c r="A664" t="inlineStr">
        <is>
          <t>A 32898-2025</t>
        </is>
      </c>
      <c r="B664" s="1" t="n">
        <v>45839.61582175926</v>
      </c>
      <c r="C664" s="1" t="n">
        <v>46160</v>
      </c>
      <c r="D664" t="inlineStr">
        <is>
          <t>JÄMTLANDS LÄN</t>
        </is>
      </c>
      <c r="E664" t="inlineStr">
        <is>
          <t>KROKOM</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32899-2025</t>
        </is>
      </c>
      <c r="B665" s="1" t="n">
        <v>45839.61594907408</v>
      </c>
      <c r="C665" s="1" t="n">
        <v>46160</v>
      </c>
      <c r="D665" t="inlineStr">
        <is>
          <t>JÄMTLANDS LÄN</t>
        </is>
      </c>
      <c r="E665" t="inlineStr">
        <is>
          <t>KROKOM</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47136-2025</t>
        </is>
      </c>
      <c r="B666" s="1" t="n">
        <v>45929.69844907407</v>
      </c>
      <c r="C666" s="1" t="n">
        <v>46160</v>
      </c>
      <c r="D666" t="inlineStr">
        <is>
          <t>JÄMTLANDS LÄN</t>
        </is>
      </c>
      <c r="E666" t="inlineStr">
        <is>
          <t>KROKOM</t>
        </is>
      </c>
      <c r="F666" t="inlineStr">
        <is>
          <t>SCA</t>
        </is>
      </c>
      <c r="G666" t="n">
        <v>25.1</v>
      </c>
      <c r="H666" t="n">
        <v>0</v>
      </c>
      <c r="I666" t="n">
        <v>0</v>
      </c>
      <c r="J666" t="n">
        <v>0</v>
      </c>
      <c r="K666" t="n">
        <v>0</v>
      </c>
      <c r="L666" t="n">
        <v>0</v>
      </c>
      <c r="M666" t="n">
        <v>0</v>
      </c>
      <c r="N666" t="n">
        <v>0</v>
      </c>
      <c r="O666" t="n">
        <v>0</v>
      </c>
      <c r="P666" t="n">
        <v>0</v>
      </c>
      <c r="Q666" t="n">
        <v>0</v>
      </c>
      <c r="R666" s="2" t="inlineStr"/>
    </row>
    <row r="667" ht="15" customHeight="1">
      <c r="A667" t="inlineStr">
        <is>
          <t>A 15528-2024</t>
        </is>
      </c>
      <c r="B667" s="1" t="n">
        <v>45401.59810185185</v>
      </c>
      <c r="C667" s="1" t="n">
        <v>46160</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47438-2025</t>
        </is>
      </c>
      <c r="B668" s="1" t="n">
        <v>45930.63726851852</v>
      </c>
      <c r="C668" s="1" t="n">
        <v>46160</v>
      </c>
      <c r="D668" t="inlineStr">
        <is>
          <t>JÄMTLANDS LÄN</t>
        </is>
      </c>
      <c r="E668" t="inlineStr">
        <is>
          <t>KROKOM</t>
        </is>
      </c>
      <c r="F668" t="inlineStr">
        <is>
          <t>SCA</t>
        </is>
      </c>
      <c r="G668" t="n">
        <v>35.4</v>
      </c>
      <c r="H668" t="n">
        <v>0</v>
      </c>
      <c r="I668" t="n">
        <v>0</v>
      </c>
      <c r="J668" t="n">
        <v>0</v>
      </c>
      <c r="K668" t="n">
        <v>0</v>
      </c>
      <c r="L668" t="n">
        <v>0</v>
      </c>
      <c r="M668" t="n">
        <v>0</v>
      </c>
      <c r="N668" t="n">
        <v>0</v>
      </c>
      <c r="O668" t="n">
        <v>0</v>
      </c>
      <c r="P668" t="n">
        <v>0</v>
      </c>
      <c r="Q668" t="n">
        <v>0</v>
      </c>
      <c r="R668" s="2" t="inlineStr"/>
    </row>
    <row r="669" ht="15" customHeight="1">
      <c r="A669" t="inlineStr">
        <is>
          <t>A 33677-2025</t>
        </is>
      </c>
      <c r="B669" s="1" t="n">
        <v>45841.67834490741</v>
      </c>
      <c r="C669" s="1" t="n">
        <v>46160</v>
      </c>
      <c r="D669" t="inlineStr">
        <is>
          <t>JÄMTLANDS LÄN</t>
        </is>
      </c>
      <c r="E669" t="inlineStr">
        <is>
          <t>KROKOM</t>
        </is>
      </c>
      <c r="F669" t="inlineStr">
        <is>
          <t>SCA</t>
        </is>
      </c>
      <c r="G669" t="n">
        <v>13.7</v>
      </c>
      <c r="H669" t="n">
        <v>0</v>
      </c>
      <c r="I669" t="n">
        <v>0</v>
      </c>
      <c r="J669" t="n">
        <v>0</v>
      </c>
      <c r="K669" t="n">
        <v>0</v>
      </c>
      <c r="L669" t="n">
        <v>0</v>
      </c>
      <c r="M669" t="n">
        <v>0</v>
      </c>
      <c r="N669" t="n">
        <v>0</v>
      </c>
      <c r="O669" t="n">
        <v>0</v>
      </c>
      <c r="P669" t="n">
        <v>0</v>
      </c>
      <c r="Q669" t="n">
        <v>0</v>
      </c>
      <c r="R669" s="2" t="inlineStr"/>
    </row>
    <row r="670" ht="15" customHeight="1">
      <c r="A670" t="inlineStr">
        <is>
          <t>A 27075-2022</t>
        </is>
      </c>
      <c r="B670" s="1" t="n">
        <v>44741</v>
      </c>
      <c r="C670" s="1" t="n">
        <v>46160</v>
      </c>
      <c r="D670" t="inlineStr">
        <is>
          <t>JÄMTLANDS LÄN</t>
        </is>
      </c>
      <c r="E670" t="inlineStr">
        <is>
          <t>KROKOM</t>
        </is>
      </c>
      <c r="G670" t="n">
        <v>10.4</v>
      </c>
      <c r="H670" t="n">
        <v>0</v>
      </c>
      <c r="I670" t="n">
        <v>0</v>
      </c>
      <c r="J670" t="n">
        <v>0</v>
      </c>
      <c r="K670" t="n">
        <v>0</v>
      </c>
      <c r="L670" t="n">
        <v>0</v>
      </c>
      <c r="M670" t="n">
        <v>0</v>
      </c>
      <c r="N670" t="n">
        <v>0</v>
      </c>
      <c r="O670" t="n">
        <v>0</v>
      </c>
      <c r="P670" t="n">
        <v>0</v>
      </c>
      <c r="Q670" t="n">
        <v>0</v>
      </c>
      <c r="R670" s="2" t="inlineStr"/>
    </row>
    <row r="671" ht="15" customHeight="1">
      <c r="A671" t="inlineStr">
        <is>
          <t>A 47435-2025</t>
        </is>
      </c>
      <c r="B671" s="1" t="n">
        <v>45930.63673611111</v>
      </c>
      <c r="C671" s="1" t="n">
        <v>46160</v>
      </c>
      <c r="D671" t="inlineStr">
        <is>
          <t>JÄMTLANDS LÄN</t>
        </is>
      </c>
      <c r="E671" t="inlineStr">
        <is>
          <t>KROKOM</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47462-2025</t>
        </is>
      </c>
      <c r="B672" s="1" t="n">
        <v>45930.66175925926</v>
      </c>
      <c r="C672" s="1" t="n">
        <v>46160</v>
      </c>
      <c r="D672" t="inlineStr">
        <is>
          <t>JÄMTLANDS LÄN</t>
        </is>
      </c>
      <c r="E672" t="inlineStr">
        <is>
          <t>KROKOM</t>
        </is>
      </c>
      <c r="F672" t="inlineStr">
        <is>
          <t>Övriga Aktiebolag</t>
        </is>
      </c>
      <c r="G672" t="n">
        <v>8.9</v>
      </c>
      <c r="H672" t="n">
        <v>0</v>
      </c>
      <c r="I672" t="n">
        <v>0</v>
      </c>
      <c r="J672" t="n">
        <v>0</v>
      </c>
      <c r="K672" t="n">
        <v>0</v>
      </c>
      <c r="L672" t="n">
        <v>0</v>
      </c>
      <c r="M672" t="n">
        <v>0</v>
      </c>
      <c r="N672" t="n">
        <v>0</v>
      </c>
      <c r="O672" t="n">
        <v>0</v>
      </c>
      <c r="P672" t="n">
        <v>0</v>
      </c>
      <c r="Q672" t="n">
        <v>0</v>
      </c>
      <c r="R672" s="2" t="inlineStr"/>
    </row>
    <row r="673" ht="15" customHeight="1">
      <c r="A673" t="inlineStr">
        <is>
          <t>A 33777-2025</t>
        </is>
      </c>
      <c r="B673" s="1" t="n">
        <v>45842.39587962963</v>
      </c>
      <c r="C673" s="1" t="n">
        <v>46160</v>
      </c>
      <c r="D673" t="inlineStr">
        <is>
          <t>JÄMTLANDS LÄN</t>
        </is>
      </c>
      <c r="E673" t="inlineStr">
        <is>
          <t>KROKOM</t>
        </is>
      </c>
      <c r="F673" t="inlineStr">
        <is>
          <t>Övriga Aktiebolag</t>
        </is>
      </c>
      <c r="G673" t="n">
        <v>0.3</v>
      </c>
      <c r="H673" t="n">
        <v>0</v>
      </c>
      <c r="I673" t="n">
        <v>0</v>
      </c>
      <c r="J673" t="n">
        <v>0</v>
      </c>
      <c r="K673" t="n">
        <v>0</v>
      </c>
      <c r="L673" t="n">
        <v>0</v>
      </c>
      <c r="M673" t="n">
        <v>0</v>
      </c>
      <c r="N673" t="n">
        <v>0</v>
      </c>
      <c r="O673" t="n">
        <v>0</v>
      </c>
      <c r="P673" t="n">
        <v>0</v>
      </c>
      <c r="Q673" t="n">
        <v>0</v>
      </c>
      <c r="R673" s="2" t="inlineStr"/>
    </row>
    <row r="674" ht="15" customHeight="1">
      <c r="A674" t="inlineStr">
        <is>
          <t>A 33779-2025</t>
        </is>
      </c>
      <c r="B674" s="1" t="n">
        <v>45842.40013888889</v>
      </c>
      <c r="C674" s="1" t="n">
        <v>46160</v>
      </c>
      <c r="D674" t="inlineStr">
        <is>
          <t>JÄMTLANDS LÄN</t>
        </is>
      </c>
      <c r="E674" t="inlineStr">
        <is>
          <t>KROKOM</t>
        </is>
      </c>
      <c r="F674" t="inlineStr">
        <is>
          <t>Övriga Aktiebolag</t>
        </is>
      </c>
      <c r="G674" t="n">
        <v>0.3</v>
      </c>
      <c r="H674" t="n">
        <v>0</v>
      </c>
      <c r="I674" t="n">
        <v>0</v>
      </c>
      <c r="J674" t="n">
        <v>0</v>
      </c>
      <c r="K674" t="n">
        <v>0</v>
      </c>
      <c r="L674" t="n">
        <v>0</v>
      </c>
      <c r="M674" t="n">
        <v>0</v>
      </c>
      <c r="N674" t="n">
        <v>0</v>
      </c>
      <c r="O674" t="n">
        <v>0</v>
      </c>
      <c r="P674" t="n">
        <v>0</v>
      </c>
      <c r="Q674" t="n">
        <v>0</v>
      </c>
      <c r="R674" s="2" t="inlineStr"/>
    </row>
    <row r="675" ht="15" customHeight="1">
      <c r="A675" t="inlineStr">
        <is>
          <t>A 24559-2024</t>
        </is>
      </c>
      <c r="B675" s="1" t="n">
        <v>45460.44076388889</v>
      </c>
      <c r="C675" s="1" t="n">
        <v>46160</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7908-2025</t>
        </is>
      </c>
      <c r="B676" s="1" t="n">
        <v>45707.33935185185</v>
      </c>
      <c r="C676" s="1" t="n">
        <v>46160</v>
      </c>
      <c r="D676" t="inlineStr">
        <is>
          <t>JÄMTLANDS LÄN</t>
        </is>
      </c>
      <c r="E676" t="inlineStr">
        <is>
          <t>KROKOM</t>
        </is>
      </c>
      <c r="F676" t="inlineStr">
        <is>
          <t>Övriga Aktiebolag</t>
        </is>
      </c>
      <c r="G676" t="n">
        <v>10.1</v>
      </c>
      <c r="H676" t="n">
        <v>0</v>
      </c>
      <c r="I676" t="n">
        <v>0</v>
      </c>
      <c r="J676" t="n">
        <v>0</v>
      </c>
      <c r="K676" t="n">
        <v>0</v>
      </c>
      <c r="L676" t="n">
        <v>0</v>
      </c>
      <c r="M676" t="n">
        <v>0</v>
      </c>
      <c r="N676" t="n">
        <v>0</v>
      </c>
      <c r="O676" t="n">
        <v>0</v>
      </c>
      <c r="P676" t="n">
        <v>0</v>
      </c>
      <c r="Q676" t="n">
        <v>0</v>
      </c>
      <c r="R676" s="2" t="inlineStr"/>
    </row>
    <row r="677" ht="15" customHeight="1">
      <c r="A677" t="inlineStr">
        <is>
          <t>A 20210-2025</t>
        </is>
      </c>
      <c r="B677" s="1" t="n">
        <v>45772.62052083333</v>
      </c>
      <c r="C677" s="1" t="n">
        <v>46160</v>
      </c>
      <c r="D677" t="inlineStr">
        <is>
          <t>JÄMTLANDS LÄN</t>
        </is>
      </c>
      <c r="E677" t="inlineStr">
        <is>
          <t>KROKOM</t>
        </is>
      </c>
      <c r="G677" t="n">
        <v>12.3</v>
      </c>
      <c r="H677" t="n">
        <v>0</v>
      </c>
      <c r="I677" t="n">
        <v>0</v>
      </c>
      <c r="J677" t="n">
        <v>0</v>
      </c>
      <c r="K677" t="n">
        <v>0</v>
      </c>
      <c r="L677" t="n">
        <v>0</v>
      </c>
      <c r="M677" t="n">
        <v>0</v>
      </c>
      <c r="N677" t="n">
        <v>0</v>
      </c>
      <c r="O677" t="n">
        <v>0</v>
      </c>
      <c r="P677" t="n">
        <v>0</v>
      </c>
      <c r="Q677" t="n">
        <v>0</v>
      </c>
      <c r="R677" s="2" t="inlineStr"/>
    </row>
    <row r="678" ht="15" customHeight="1">
      <c r="A678" t="inlineStr">
        <is>
          <t>A 58563-2023</t>
        </is>
      </c>
      <c r="B678" s="1" t="n">
        <v>45246</v>
      </c>
      <c r="C678" s="1" t="n">
        <v>46160</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7952-2023</t>
        </is>
      </c>
      <c r="B679" s="1" t="n">
        <v>44970</v>
      </c>
      <c r="C679" s="1" t="n">
        <v>46160</v>
      </c>
      <c r="D679" t="inlineStr">
        <is>
          <t>JÄMTLANDS LÄN</t>
        </is>
      </c>
      <c r="E679" t="inlineStr">
        <is>
          <t>KROKOM</t>
        </is>
      </c>
      <c r="G679" t="n">
        <v>4.8</v>
      </c>
      <c r="H679" t="n">
        <v>0</v>
      </c>
      <c r="I679" t="n">
        <v>0</v>
      </c>
      <c r="J679" t="n">
        <v>0</v>
      </c>
      <c r="K679" t="n">
        <v>0</v>
      </c>
      <c r="L679" t="n">
        <v>0</v>
      </c>
      <c r="M679" t="n">
        <v>0</v>
      </c>
      <c r="N679" t="n">
        <v>0</v>
      </c>
      <c r="O679" t="n">
        <v>0</v>
      </c>
      <c r="P679" t="n">
        <v>0</v>
      </c>
      <c r="Q679" t="n">
        <v>0</v>
      </c>
      <c r="R679" s="2" t="inlineStr"/>
    </row>
    <row r="680" ht="15" customHeight="1">
      <c r="A680" t="inlineStr">
        <is>
          <t>A 33359-2022</t>
        </is>
      </c>
      <c r="B680" s="1" t="n">
        <v>44788</v>
      </c>
      <c r="C680" s="1" t="n">
        <v>46160</v>
      </c>
      <c r="D680" t="inlineStr">
        <is>
          <t>JÄMTLANDS LÄN</t>
        </is>
      </c>
      <c r="E680" t="inlineStr">
        <is>
          <t>KROKOM</t>
        </is>
      </c>
      <c r="G680" t="n">
        <v>1.1</v>
      </c>
      <c r="H680" t="n">
        <v>0</v>
      </c>
      <c r="I680" t="n">
        <v>0</v>
      </c>
      <c r="J680" t="n">
        <v>0</v>
      </c>
      <c r="K680" t="n">
        <v>0</v>
      </c>
      <c r="L680" t="n">
        <v>0</v>
      </c>
      <c r="M680" t="n">
        <v>0</v>
      </c>
      <c r="N680" t="n">
        <v>0</v>
      </c>
      <c r="O680" t="n">
        <v>0</v>
      </c>
      <c r="P680" t="n">
        <v>0</v>
      </c>
      <c r="Q680" t="n">
        <v>0</v>
      </c>
      <c r="R680" s="2" t="inlineStr"/>
    </row>
    <row r="681" ht="15" customHeight="1">
      <c r="A681" t="inlineStr">
        <is>
          <t>A 14184-2024</t>
        </is>
      </c>
      <c r="B681" s="1" t="n">
        <v>45393</v>
      </c>
      <c r="C681" s="1" t="n">
        <v>46160</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47809-2025</t>
        </is>
      </c>
      <c r="B682" s="1" t="n">
        <v>45931.98023148148</v>
      </c>
      <c r="C682" s="1" t="n">
        <v>46160</v>
      </c>
      <c r="D682" t="inlineStr">
        <is>
          <t>JÄMTLANDS LÄN</t>
        </is>
      </c>
      <c r="E682" t="inlineStr">
        <is>
          <t>KROKOM</t>
        </is>
      </c>
      <c r="G682" t="n">
        <v>5.5</v>
      </c>
      <c r="H682" t="n">
        <v>0</v>
      </c>
      <c r="I682" t="n">
        <v>0</v>
      </c>
      <c r="J682" t="n">
        <v>0</v>
      </c>
      <c r="K682" t="n">
        <v>0</v>
      </c>
      <c r="L682" t="n">
        <v>0</v>
      </c>
      <c r="M682" t="n">
        <v>0</v>
      </c>
      <c r="N682" t="n">
        <v>0</v>
      </c>
      <c r="O682" t="n">
        <v>0</v>
      </c>
      <c r="P682" t="n">
        <v>0</v>
      </c>
      <c r="Q682" t="n">
        <v>0</v>
      </c>
      <c r="R682" s="2" t="inlineStr"/>
    </row>
    <row r="683" ht="15" customHeight="1">
      <c r="A683" t="inlineStr">
        <is>
          <t>A 48049-2025</t>
        </is>
      </c>
      <c r="B683" s="1" t="n">
        <v>45932.67771990741</v>
      </c>
      <c r="C683" s="1" t="n">
        <v>46160</v>
      </c>
      <c r="D683" t="inlineStr">
        <is>
          <t>JÄMTLANDS LÄN</t>
        </is>
      </c>
      <c r="E683" t="inlineStr">
        <is>
          <t>KROKOM</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50719-2024</t>
        </is>
      </c>
      <c r="B684" s="1" t="n">
        <v>45602.38614583333</v>
      </c>
      <c r="C684" s="1" t="n">
        <v>46160</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16349-2024</t>
        </is>
      </c>
      <c r="B685" s="1" t="n">
        <v>45407</v>
      </c>
      <c r="C685" s="1" t="n">
        <v>46160</v>
      </c>
      <c r="D685" t="inlineStr">
        <is>
          <t>JÄMTLANDS LÄN</t>
        </is>
      </c>
      <c r="E685" t="inlineStr">
        <is>
          <t>KROKOM</t>
        </is>
      </c>
      <c r="G685" t="n">
        <v>2</v>
      </c>
      <c r="H685" t="n">
        <v>0</v>
      </c>
      <c r="I685" t="n">
        <v>0</v>
      </c>
      <c r="J685" t="n">
        <v>0</v>
      </c>
      <c r="K685" t="n">
        <v>0</v>
      </c>
      <c r="L685" t="n">
        <v>0</v>
      </c>
      <c r="M685" t="n">
        <v>0</v>
      </c>
      <c r="N685" t="n">
        <v>0</v>
      </c>
      <c r="O685" t="n">
        <v>0</v>
      </c>
      <c r="P685" t="n">
        <v>0</v>
      </c>
      <c r="Q685" t="n">
        <v>0</v>
      </c>
      <c r="R685" s="2" t="inlineStr"/>
    </row>
    <row r="686" ht="15" customHeight="1">
      <c r="A686" t="inlineStr">
        <is>
          <t>A 13339-2026</t>
        </is>
      </c>
      <c r="B686" s="1" t="n">
        <v>46094.37478009259</v>
      </c>
      <c r="C686" s="1" t="n">
        <v>46160</v>
      </c>
      <c r="D686" t="inlineStr">
        <is>
          <t>JÄMTLANDS LÄN</t>
        </is>
      </c>
      <c r="E686" t="inlineStr">
        <is>
          <t>KROKOM</t>
        </is>
      </c>
      <c r="G686" t="n">
        <v>16.8</v>
      </c>
      <c r="H686" t="n">
        <v>0</v>
      </c>
      <c r="I686" t="n">
        <v>0</v>
      </c>
      <c r="J686" t="n">
        <v>0</v>
      </c>
      <c r="K686" t="n">
        <v>0</v>
      </c>
      <c r="L686" t="n">
        <v>0</v>
      </c>
      <c r="M686" t="n">
        <v>0</v>
      </c>
      <c r="N686" t="n">
        <v>0</v>
      </c>
      <c r="O686" t="n">
        <v>0</v>
      </c>
      <c r="P686" t="n">
        <v>0</v>
      </c>
      <c r="Q686" t="n">
        <v>0</v>
      </c>
      <c r="R686" s="2" t="inlineStr"/>
    </row>
    <row r="687" ht="15" customHeight="1">
      <c r="A687" t="inlineStr">
        <is>
          <t>A 33915-2025</t>
        </is>
      </c>
      <c r="B687" s="1" t="n">
        <v>45842.6099537037</v>
      </c>
      <c r="C687" s="1" t="n">
        <v>46160</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33418-2025</t>
        </is>
      </c>
      <c r="B688" s="1" t="n">
        <v>45841.43987268519</v>
      </c>
      <c r="C688" s="1" t="n">
        <v>46160</v>
      </c>
      <c r="D688" t="inlineStr">
        <is>
          <t>JÄMTLANDS LÄN</t>
        </is>
      </c>
      <c r="E688" t="inlineStr">
        <is>
          <t>KROKOM</t>
        </is>
      </c>
      <c r="G688" t="n">
        <v>3.9</v>
      </c>
      <c r="H688" t="n">
        <v>0</v>
      </c>
      <c r="I688" t="n">
        <v>0</v>
      </c>
      <c r="J688" t="n">
        <v>0</v>
      </c>
      <c r="K688" t="n">
        <v>0</v>
      </c>
      <c r="L688" t="n">
        <v>0</v>
      </c>
      <c r="M688" t="n">
        <v>0</v>
      </c>
      <c r="N688" t="n">
        <v>0</v>
      </c>
      <c r="O688" t="n">
        <v>0</v>
      </c>
      <c r="P688" t="n">
        <v>0</v>
      </c>
      <c r="Q688" t="n">
        <v>0</v>
      </c>
      <c r="R688" s="2" t="inlineStr"/>
    </row>
    <row r="689" ht="15" customHeight="1">
      <c r="A689" t="inlineStr">
        <is>
          <t>A 11059-2024</t>
        </is>
      </c>
      <c r="B689" s="1" t="n">
        <v>45370</v>
      </c>
      <c r="C689" s="1" t="n">
        <v>46160</v>
      </c>
      <c r="D689" t="inlineStr">
        <is>
          <t>JÄMTLANDS LÄN</t>
        </is>
      </c>
      <c r="E689" t="inlineStr">
        <is>
          <t>KROKOM</t>
        </is>
      </c>
      <c r="G689" t="n">
        <v>1.5</v>
      </c>
      <c r="H689" t="n">
        <v>0</v>
      </c>
      <c r="I689" t="n">
        <v>0</v>
      </c>
      <c r="J689" t="n">
        <v>0</v>
      </c>
      <c r="K689" t="n">
        <v>0</v>
      </c>
      <c r="L689" t="n">
        <v>0</v>
      </c>
      <c r="M689" t="n">
        <v>0</v>
      </c>
      <c r="N689" t="n">
        <v>0</v>
      </c>
      <c r="O689" t="n">
        <v>0</v>
      </c>
      <c r="P689" t="n">
        <v>0</v>
      </c>
      <c r="Q689" t="n">
        <v>0</v>
      </c>
      <c r="R689" s="2" t="inlineStr"/>
    </row>
    <row r="690" ht="15" customHeight="1">
      <c r="A690" t="inlineStr">
        <is>
          <t>A 38748-2024</t>
        </is>
      </c>
      <c r="B690" s="1" t="n">
        <v>45547.42736111111</v>
      </c>
      <c r="C690" s="1" t="n">
        <v>46160</v>
      </c>
      <c r="D690" t="inlineStr">
        <is>
          <t>JÄMTLANDS LÄN</t>
        </is>
      </c>
      <c r="E690" t="inlineStr">
        <is>
          <t>KROKOM</t>
        </is>
      </c>
      <c r="G690" t="n">
        <v>0.1</v>
      </c>
      <c r="H690" t="n">
        <v>0</v>
      </c>
      <c r="I690" t="n">
        <v>0</v>
      </c>
      <c r="J690" t="n">
        <v>0</v>
      </c>
      <c r="K690" t="n">
        <v>0</v>
      </c>
      <c r="L690" t="n">
        <v>0</v>
      </c>
      <c r="M690" t="n">
        <v>0</v>
      </c>
      <c r="N690" t="n">
        <v>0</v>
      </c>
      <c r="O690" t="n">
        <v>0</v>
      </c>
      <c r="P690" t="n">
        <v>0</v>
      </c>
      <c r="Q690" t="n">
        <v>0</v>
      </c>
      <c r="R690" s="2" t="inlineStr"/>
    </row>
    <row r="691" ht="15" customHeight="1">
      <c r="A691" t="inlineStr">
        <is>
          <t>A 7962-2023</t>
        </is>
      </c>
      <c r="B691" s="1" t="n">
        <v>44970</v>
      </c>
      <c r="C691" s="1" t="n">
        <v>46160</v>
      </c>
      <c r="D691" t="inlineStr">
        <is>
          <t>JÄMTLANDS LÄN</t>
        </is>
      </c>
      <c r="E691" t="inlineStr">
        <is>
          <t>KROKOM</t>
        </is>
      </c>
      <c r="G691" t="n">
        <v>12.2</v>
      </c>
      <c r="H691" t="n">
        <v>0</v>
      </c>
      <c r="I691" t="n">
        <v>0</v>
      </c>
      <c r="J691" t="n">
        <v>0</v>
      </c>
      <c r="K691" t="n">
        <v>0</v>
      </c>
      <c r="L691" t="n">
        <v>0</v>
      </c>
      <c r="M691" t="n">
        <v>0</v>
      </c>
      <c r="N691" t="n">
        <v>0</v>
      </c>
      <c r="O691" t="n">
        <v>0</v>
      </c>
      <c r="P691" t="n">
        <v>0</v>
      </c>
      <c r="Q691" t="n">
        <v>0</v>
      </c>
      <c r="R691" s="2" t="inlineStr"/>
    </row>
    <row r="692" ht="15" customHeight="1">
      <c r="A692" t="inlineStr">
        <is>
          <t>A 32244-2024</t>
        </is>
      </c>
      <c r="B692" s="1" t="n">
        <v>45511.95109953704</v>
      </c>
      <c r="C692" s="1" t="n">
        <v>46160</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44601.35342592592</v>
      </c>
      <c r="C693" s="1" t="n">
        <v>46160</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53055-2023</t>
        </is>
      </c>
      <c r="B694" s="1" t="n">
        <v>45226</v>
      </c>
      <c r="C694" s="1" t="n">
        <v>46160</v>
      </c>
      <c r="D694" t="inlineStr">
        <is>
          <t>JÄMTLANDS LÄN</t>
        </is>
      </c>
      <c r="E694" t="inlineStr">
        <is>
          <t>KROKOM</t>
        </is>
      </c>
      <c r="G694" t="n">
        <v>3.4</v>
      </c>
      <c r="H694" t="n">
        <v>0</v>
      </c>
      <c r="I694" t="n">
        <v>0</v>
      </c>
      <c r="J694" t="n">
        <v>0</v>
      </c>
      <c r="K694" t="n">
        <v>0</v>
      </c>
      <c r="L694" t="n">
        <v>0</v>
      </c>
      <c r="M694" t="n">
        <v>0</v>
      </c>
      <c r="N694" t="n">
        <v>0</v>
      </c>
      <c r="O694" t="n">
        <v>0</v>
      </c>
      <c r="P694" t="n">
        <v>0</v>
      </c>
      <c r="Q694" t="n">
        <v>0</v>
      </c>
      <c r="R694" s="2" t="inlineStr"/>
    </row>
    <row r="695" ht="15" customHeight="1">
      <c r="A695" t="inlineStr">
        <is>
          <t>A 47517-2025</t>
        </is>
      </c>
      <c r="B695" s="1" t="n">
        <v>45931.28456018519</v>
      </c>
      <c r="C695" s="1" t="n">
        <v>46160</v>
      </c>
      <c r="D695" t="inlineStr">
        <is>
          <t>JÄMTLANDS LÄN</t>
        </is>
      </c>
      <c r="E695" t="inlineStr">
        <is>
          <t>KROKOM</t>
        </is>
      </c>
      <c r="F695" t="inlineStr">
        <is>
          <t>Övriga Aktiebolag</t>
        </is>
      </c>
      <c r="G695" t="n">
        <v>18.4</v>
      </c>
      <c r="H695" t="n">
        <v>0</v>
      </c>
      <c r="I695" t="n">
        <v>0</v>
      </c>
      <c r="J695" t="n">
        <v>0</v>
      </c>
      <c r="K695" t="n">
        <v>0</v>
      </c>
      <c r="L695" t="n">
        <v>0</v>
      </c>
      <c r="M695" t="n">
        <v>0</v>
      </c>
      <c r="N695" t="n">
        <v>0</v>
      </c>
      <c r="O695" t="n">
        <v>0</v>
      </c>
      <c r="P695" t="n">
        <v>0</v>
      </c>
      <c r="Q695" t="n">
        <v>0</v>
      </c>
      <c r="R695" s="2" t="inlineStr"/>
    </row>
    <row r="696" ht="15" customHeight="1">
      <c r="A696" t="inlineStr">
        <is>
          <t>A 38747-2024</t>
        </is>
      </c>
      <c r="B696" s="1" t="n">
        <v>45547.42732638889</v>
      </c>
      <c r="C696" s="1" t="n">
        <v>46160</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33945-2025</t>
        </is>
      </c>
      <c r="B697" s="1" t="n">
        <v>45842</v>
      </c>
      <c r="C697" s="1" t="n">
        <v>46160</v>
      </c>
      <c r="D697" t="inlineStr">
        <is>
          <t>JÄMTLANDS LÄN</t>
        </is>
      </c>
      <c r="E697" t="inlineStr">
        <is>
          <t>KROKOM</t>
        </is>
      </c>
      <c r="G697" t="n">
        <v>7</v>
      </c>
      <c r="H697" t="n">
        <v>0</v>
      </c>
      <c r="I697" t="n">
        <v>0</v>
      </c>
      <c r="J697" t="n">
        <v>0</v>
      </c>
      <c r="K697" t="n">
        <v>0</v>
      </c>
      <c r="L697" t="n">
        <v>0</v>
      </c>
      <c r="M697" t="n">
        <v>0</v>
      </c>
      <c r="N697" t="n">
        <v>0</v>
      </c>
      <c r="O697" t="n">
        <v>0</v>
      </c>
      <c r="P697" t="n">
        <v>0</v>
      </c>
      <c r="Q697" t="n">
        <v>0</v>
      </c>
      <c r="R697" s="2" t="inlineStr"/>
    </row>
    <row r="698" ht="15" customHeight="1">
      <c r="A698" t="inlineStr">
        <is>
          <t>A 32472-2021</t>
        </is>
      </c>
      <c r="B698" s="1" t="n">
        <v>44371</v>
      </c>
      <c r="C698" s="1" t="n">
        <v>46160</v>
      </c>
      <c r="D698" t="inlineStr">
        <is>
          <t>JÄMTLANDS LÄN</t>
        </is>
      </c>
      <c r="E698" t="inlineStr">
        <is>
          <t>KROKOM</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34794-2022</t>
        </is>
      </c>
      <c r="B699" s="1" t="n">
        <v>44795</v>
      </c>
      <c r="C699" s="1" t="n">
        <v>46160</v>
      </c>
      <c r="D699" t="inlineStr">
        <is>
          <t>JÄMTLANDS LÄN</t>
        </is>
      </c>
      <c r="E699" t="inlineStr">
        <is>
          <t>KROKOM</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14234-2025</t>
        </is>
      </c>
      <c r="B700" s="1" t="n">
        <v>45740</v>
      </c>
      <c r="C700" s="1" t="n">
        <v>46160</v>
      </c>
      <c r="D700" t="inlineStr">
        <is>
          <t>JÄMTLANDS LÄN</t>
        </is>
      </c>
      <c r="E700" t="inlineStr">
        <is>
          <t>KROKOM</t>
        </is>
      </c>
      <c r="F700" t="inlineStr">
        <is>
          <t>Övriga statliga verk och myndigheter</t>
        </is>
      </c>
      <c r="G700" t="n">
        <v>1.5</v>
      </c>
      <c r="H700" t="n">
        <v>0</v>
      </c>
      <c r="I700" t="n">
        <v>0</v>
      </c>
      <c r="J700" t="n">
        <v>0</v>
      </c>
      <c r="K700" t="n">
        <v>0</v>
      </c>
      <c r="L700" t="n">
        <v>0</v>
      </c>
      <c r="M700" t="n">
        <v>0</v>
      </c>
      <c r="N700" t="n">
        <v>0</v>
      </c>
      <c r="O700" t="n">
        <v>0</v>
      </c>
      <c r="P700" t="n">
        <v>0</v>
      </c>
      <c r="Q700" t="n">
        <v>0</v>
      </c>
      <c r="R700" s="2" t="inlineStr"/>
    </row>
    <row r="701" ht="15" customHeight="1">
      <c r="A701" t="inlineStr">
        <is>
          <t>A 15761-2025</t>
        </is>
      </c>
      <c r="B701" s="1" t="n">
        <v>45748.57269675926</v>
      </c>
      <c r="C701" s="1" t="n">
        <v>46160</v>
      </c>
      <c r="D701" t="inlineStr">
        <is>
          <t>JÄMTLANDS LÄN</t>
        </is>
      </c>
      <c r="E701" t="inlineStr">
        <is>
          <t>KROKOM</t>
        </is>
      </c>
      <c r="G701" t="n">
        <v>48.1</v>
      </c>
      <c r="H701" t="n">
        <v>0</v>
      </c>
      <c r="I701" t="n">
        <v>0</v>
      </c>
      <c r="J701" t="n">
        <v>0</v>
      </c>
      <c r="K701" t="n">
        <v>0</v>
      </c>
      <c r="L701" t="n">
        <v>0</v>
      </c>
      <c r="M701" t="n">
        <v>0</v>
      </c>
      <c r="N701" t="n">
        <v>0</v>
      </c>
      <c r="O701" t="n">
        <v>0</v>
      </c>
      <c r="P701" t="n">
        <v>0</v>
      </c>
      <c r="Q701" t="n">
        <v>0</v>
      </c>
      <c r="R701" s="2" t="inlineStr"/>
    </row>
    <row r="702" ht="15" customHeight="1">
      <c r="A702" t="inlineStr">
        <is>
          <t>A 11386-2025</t>
        </is>
      </c>
      <c r="B702" s="1" t="n">
        <v>45726.56341435185</v>
      </c>
      <c r="C702" s="1" t="n">
        <v>46160</v>
      </c>
      <c r="D702" t="inlineStr">
        <is>
          <t>JÄMTLANDS LÄN</t>
        </is>
      </c>
      <c r="E702" t="inlineStr">
        <is>
          <t>KROKOM</t>
        </is>
      </c>
      <c r="F702" t="inlineStr">
        <is>
          <t>Övriga Aktiebolag</t>
        </is>
      </c>
      <c r="G702" t="n">
        <v>42.4</v>
      </c>
      <c r="H702" t="n">
        <v>0</v>
      </c>
      <c r="I702" t="n">
        <v>0</v>
      </c>
      <c r="J702" t="n">
        <v>0</v>
      </c>
      <c r="K702" t="n">
        <v>0</v>
      </c>
      <c r="L702" t="n">
        <v>0</v>
      </c>
      <c r="M702" t="n">
        <v>0</v>
      </c>
      <c r="N702" t="n">
        <v>0</v>
      </c>
      <c r="O702" t="n">
        <v>0</v>
      </c>
      <c r="P702" t="n">
        <v>0</v>
      </c>
      <c r="Q702" t="n">
        <v>0</v>
      </c>
      <c r="R702" s="2" t="inlineStr"/>
    </row>
    <row r="703" ht="15" customHeight="1">
      <c r="A703" t="inlineStr">
        <is>
          <t>A 31655-2025</t>
        </is>
      </c>
      <c r="B703" s="1" t="n">
        <v>45834.34737268519</v>
      </c>
      <c r="C703" s="1" t="n">
        <v>46160</v>
      </c>
      <c r="D703" t="inlineStr">
        <is>
          <t>JÄMTLANDS LÄN</t>
        </is>
      </c>
      <c r="E703" t="inlineStr">
        <is>
          <t>KROKOM</t>
        </is>
      </c>
      <c r="F703" t="inlineStr">
        <is>
          <t>SCA</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10632-2025</t>
        </is>
      </c>
      <c r="B704" s="1" t="n">
        <v>45721</v>
      </c>
      <c r="C704" s="1" t="n">
        <v>46160</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37465-2025</t>
        </is>
      </c>
      <c r="B705" s="1" t="n">
        <v>45877.57403935185</v>
      </c>
      <c r="C705" s="1" t="n">
        <v>46160</v>
      </c>
      <c r="D705" t="inlineStr">
        <is>
          <t>JÄMTLANDS LÄN</t>
        </is>
      </c>
      <c r="E705" t="inlineStr">
        <is>
          <t>KROKOM</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48272-2025</t>
        </is>
      </c>
      <c r="B706" s="1" t="n">
        <v>45933.57362268519</v>
      </c>
      <c r="C706" s="1" t="n">
        <v>46160</v>
      </c>
      <c r="D706" t="inlineStr">
        <is>
          <t>JÄMTLANDS LÄN</t>
        </is>
      </c>
      <c r="E706" t="inlineStr">
        <is>
          <t>KROKOM</t>
        </is>
      </c>
      <c r="G706" t="n">
        <v>3.4</v>
      </c>
      <c r="H706" t="n">
        <v>0</v>
      </c>
      <c r="I706" t="n">
        <v>0</v>
      </c>
      <c r="J706" t="n">
        <v>0</v>
      </c>
      <c r="K706" t="n">
        <v>0</v>
      </c>
      <c r="L706" t="n">
        <v>0</v>
      </c>
      <c r="M706" t="n">
        <v>0</v>
      </c>
      <c r="N706" t="n">
        <v>0</v>
      </c>
      <c r="O706" t="n">
        <v>0</v>
      </c>
      <c r="P706" t="n">
        <v>0</v>
      </c>
      <c r="Q706" t="n">
        <v>0</v>
      </c>
      <c r="R706" s="2" t="inlineStr"/>
    </row>
    <row r="707" ht="15" customHeight="1">
      <c r="A707" t="inlineStr">
        <is>
          <t>A 51910-2023</t>
        </is>
      </c>
      <c r="B707" s="1" t="n">
        <v>45216</v>
      </c>
      <c r="C707" s="1" t="n">
        <v>46160</v>
      </c>
      <c r="D707" t="inlineStr">
        <is>
          <t>JÄMTLANDS LÄN</t>
        </is>
      </c>
      <c r="E707" t="inlineStr">
        <is>
          <t>KROKOM</t>
        </is>
      </c>
      <c r="G707" t="n">
        <v>1.8</v>
      </c>
      <c r="H707" t="n">
        <v>0</v>
      </c>
      <c r="I707" t="n">
        <v>0</v>
      </c>
      <c r="J707" t="n">
        <v>0</v>
      </c>
      <c r="K707" t="n">
        <v>0</v>
      </c>
      <c r="L707" t="n">
        <v>0</v>
      </c>
      <c r="M707" t="n">
        <v>0</v>
      </c>
      <c r="N707" t="n">
        <v>0</v>
      </c>
      <c r="O707" t="n">
        <v>0</v>
      </c>
      <c r="P707" t="n">
        <v>0</v>
      </c>
      <c r="Q707" t="n">
        <v>0</v>
      </c>
      <c r="R707" s="2" t="inlineStr"/>
    </row>
    <row r="708" ht="15" customHeight="1">
      <c r="A708" t="inlineStr">
        <is>
          <t>A 3257-2024</t>
        </is>
      </c>
      <c r="B708" s="1" t="n">
        <v>45316</v>
      </c>
      <c r="C708" s="1" t="n">
        <v>46160</v>
      </c>
      <c r="D708" t="inlineStr">
        <is>
          <t>JÄMTLANDS LÄN</t>
        </is>
      </c>
      <c r="E708" t="inlineStr">
        <is>
          <t>KROKOM</t>
        </is>
      </c>
      <c r="G708" t="n">
        <v>6.5</v>
      </c>
      <c r="H708" t="n">
        <v>0</v>
      </c>
      <c r="I708" t="n">
        <v>0</v>
      </c>
      <c r="J708" t="n">
        <v>0</v>
      </c>
      <c r="K708" t="n">
        <v>0</v>
      </c>
      <c r="L708" t="n">
        <v>0</v>
      </c>
      <c r="M708" t="n">
        <v>0</v>
      </c>
      <c r="N708" t="n">
        <v>0</v>
      </c>
      <c r="O708" t="n">
        <v>0</v>
      </c>
      <c r="P708" t="n">
        <v>0</v>
      </c>
      <c r="Q708" t="n">
        <v>0</v>
      </c>
      <c r="R708" s="2" t="inlineStr"/>
    </row>
    <row r="709" ht="15" customHeight="1">
      <c r="A709" t="inlineStr">
        <is>
          <t>A 20174-2025</t>
        </is>
      </c>
      <c r="B709" s="1" t="n">
        <v>45772.58283564815</v>
      </c>
      <c r="C709" s="1" t="n">
        <v>46160</v>
      </c>
      <c r="D709" t="inlineStr">
        <is>
          <t>JÄMTLANDS LÄN</t>
        </is>
      </c>
      <c r="E709" t="inlineStr">
        <is>
          <t>KROKOM</t>
        </is>
      </c>
      <c r="G709" t="n">
        <v>47</v>
      </c>
      <c r="H709" t="n">
        <v>0</v>
      </c>
      <c r="I709" t="n">
        <v>0</v>
      </c>
      <c r="J709" t="n">
        <v>0</v>
      </c>
      <c r="K709" t="n">
        <v>0</v>
      </c>
      <c r="L709" t="n">
        <v>0</v>
      </c>
      <c r="M709" t="n">
        <v>0</v>
      </c>
      <c r="N709" t="n">
        <v>0</v>
      </c>
      <c r="O709" t="n">
        <v>0</v>
      </c>
      <c r="P709" t="n">
        <v>0</v>
      </c>
      <c r="Q709" t="n">
        <v>0</v>
      </c>
      <c r="R709" s="2" t="inlineStr"/>
    </row>
    <row r="710" ht="15" customHeight="1">
      <c r="A710" t="inlineStr">
        <is>
          <t>A 48438-2025</t>
        </is>
      </c>
      <c r="B710" s="1" t="n">
        <v>45935.4812962963</v>
      </c>
      <c r="C710" s="1" t="n">
        <v>46160</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20181-2025</t>
        </is>
      </c>
      <c r="B711" s="1" t="n">
        <v>45772.59200231481</v>
      </c>
      <c r="C711" s="1" t="n">
        <v>46160</v>
      </c>
      <c r="D711" t="inlineStr">
        <is>
          <t>JÄMTLANDS LÄN</t>
        </is>
      </c>
      <c r="E711" t="inlineStr">
        <is>
          <t>KROKOM</t>
        </is>
      </c>
      <c r="G711" t="n">
        <v>2.1</v>
      </c>
      <c r="H711" t="n">
        <v>0</v>
      </c>
      <c r="I711" t="n">
        <v>0</v>
      </c>
      <c r="J711" t="n">
        <v>0</v>
      </c>
      <c r="K711" t="n">
        <v>0</v>
      </c>
      <c r="L711" t="n">
        <v>0</v>
      </c>
      <c r="M711" t="n">
        <v>0</v>
      </c>
      <c r="N711" t="n">
        <v>0</v>
      </c>
      <c r="O711" t="n">
        <v>0</v>
      </c>
      <c r="P711" t="n">
        <v>0</v>
      </c>
      <c r="Q711" t="n">
        <v>0</v>
      </c>
      <c r="R711" s="2" t="inlineStr"/>
    </row>
    <row r="712" ht="15" customHeight="1">
      <c r="A712" t="inlineStr">
        <is>
          <t>A 25421-2022</t>
        </is>
      </c>
      <c r="B712" s="1" t="n">
        <v>44732</v>
      </c>
      <c r="C712" s="1" t="n">
        <v>46160</v>
      </c>
      <c r="D712" t="inlineStr">
        <is>
          <t>JÄMTLANDS LÄN</t>
        </is>
      </c>
      <c r="E712" t="inlineStr">
        <is>
          <t>KROKOM</t>
        </is>
      </c>
      <c r="G712" t="n">
        <v>0.8</v>
      </c>
      <c r="H712" t="n">
        <v>0</v>
      </c>
      <c r="I712" t="n">
        <v>0</v>
      </c>
      <c r="J712" t="n">
        <v>0</v>
      </c>
      <c r="K712" t="n">
        <v>0</v>
      </c>
      <c r="L712" t="n">
        <v>0</v>
      </c>
      <c r="M712" t="n">
        <v>0</v>
      </c>
      <c r="N712" t="n">
        <v>0</v>
      </c>
      <c r="O712" t="n">
        <v>0</v>
      </c>
      <c r="P712" t="n">
        <v>0</v>
      </c>
      <c r="Q712" t="n">
        <v>0</v>
      </c>
      <c r="R712" s="2" t="inlineStr"/>
    </row>
    <row r="713" ht="15" customHeight="1">
      <c r="A713" t="inlineStr">
        <is>
          <t>A 11243-2025</t>
        </is>
      </c>
      <c r="B713" s="1" t="n">
        <v>45726.37850694444</v>
      </c>
      <c r="C713" s="1" t="n">
        <v>46160</v>
      </c>
      <c r="D713" t="inlineStr">
        <is>
          <t>JÄMTLANDS LÄN</t>
        </is>
      </c>
      <c r="E713" t="inlineStr">
        <is>
          <t>KROKOM</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33925-2025</t>
        </is>
      </c>
      <c r="B714" s="1" t="n">
        <v>45842</v>
      </c>
      <c r="C714" s="1" t="n">
        <v>46160</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5935-2025</t>
        </is>
      </c>
      <c r="B715" s="1" t="n">
        <v>45695.45013888889</v>
      </c>
      <c r="C715" s="1" t="n">
        <v>46160</v>
      </c>
      <c r="D715" t="inlineStr">
        <is>
          <t>JÄMTLANDS LÄN</t>
        </is>
      </c>
      <c r="E715" t="inlineStr">
        <is>
          <t>KROKOM</t>
        </is>
      </c>
      <c r="F715" t="inlineStr">
        <is>
          <t>Övriga Aktiebolag</t>
        </is>
      </c>
      <c r="G715" t="n">
        <v>15</v>
      </c>
      <c r="H715" t="n">
        <v>0</v>
      </c>
      <c r="I715" t="n">
        <v>0</v>
      </c>
      <c r="J715" t="n">
        <v>0</v>
      </c>
      <c r="K715" t="n">
        <v>0</v>
      </c>
      <c r="L715" t="n">
        <v>0</v>
      </c>
      <c r="M715" t="n">
        <v>0</v>
      </c>
      <c r="N715" t="n">
        <v>0</v>
      </c>
      <c r="O715" t="n">
        <v>0</v>
      </c>
      <c r="P715" t="n">
        <v>0</v>
      </c>
      <c r="Q715" t="n">
        <v>0</v>
      </c>
      <c r="R715" s="2" t="inlineStr"/>
    </row>
    <row r="716" ht="15" customHeight="1">
      <c r="A716" t="inlineStr">
        <is>
          <t>A 48257-2025</t>
        </is>
      </c>
      <c r="B716" s="1" t="n">
        <v>45933.55483796296</v>
      </c>
      <c r="C716" s="1" t="n">
        <v>46160</v>
      </c>
      <c r="D716" t="inlineStr">
        <is>
          <t>JÄMTLANDS LÄN</t>
        </is>
      </c>
      <c r="E716" t="inlineStr">
        <is>
          <t>KROKOM</t>
        </is>
      </c>
      <c r="G716" t="n">
        <v>4.6</v>
      </c>
      <c r="H716" t="n">
        <v>0</v>
      </c>
      <c r="I716" t="n">
        <v>0</v>
      </c>
      <c r="J716" t="n">
        <v>0</v>
      </c>
      <c r="K716" t="n">
        <v>0</v>
      </c>
      <c r="L716" t="n">
        <v>0</v>
      </c>
      <c r="M716" t="n">
        <v>0</v>
      </c>
      <c r="N716" t="n">
        <v>0</v>
      </c>
      <c r="O716" t="n">
        <v>0</v>
      </c>
      <c r="P716" t="n">
        <v>0</v>
      </c>
      <c r="Q716" t="n">
        <v>0</v>
      </c>
      <c r="R716" s="2" t="inlineStr"/>
    </row>
    <row r="717" ht="15" customHeight="1">
      <c r="A717" t="inlineStr">
        <is>
          <t>A 48255-2025</t>
        </is>
      </c>
      <c r="B717" s="1" t="n">
        <v>45933.55407407408</v>
      </c>
      <c r="C717" s="1" t="n">
        <v>46160</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48469-2025</t>
        </is>
      </c>
      <c r="B718" s="1" t="n">
        <v>45936.34489583333</v>
      </c>
      <c r="C718" s="1" t="n">
        <v>46160</v>
      </c>
      <c r="D718" t="inlineStr">
        <is>
          <t>JÄMTLANDS LÄN</t>
        </is>
      </c>
      <c r="E718" t="inlineStr">
        <is>
          <t>KROKOM</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48470-2025</t>
        </is>
      </c>
      <c r="B719" s="1" t="n">
        <v>45936.34504629629</v>
      </c>
      <c r="C719" s="1" t="n">
        <v>46160</v>
      </c>
      <c r="D719" t="inlineStr">
        <is>
          <t>JÄMTLANDS LÄN</t>
        </is>
      </c>
      <c r="E719" t="inlineStr">
        <is>
          <t>KROKOM</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48323-2025</t>
        </is>
      </c>
      <c r="B720" s="1" t="n">
        <v>45933.62793981482</v>
      </c>
      <c r="C720" s="1" t="n">
        <v>46160</v>
      </c>
      <c r="D720" t="inlineStr">
        <is>
          <t>JÄMTLANDS LÄN</t>
        </is>
      </c>
      <c r="E720" t="inlineStr">
        <is>
          <t>KROKOM</t>
        </is>
      </c>
      <c r="G720" t="n">
        <v>2.8</v>
      </c>
      <c r="H720" t="n">
        <v>0</v>
      </c>
      <c r="I720" t="n">
        <v>0</v>
      </c>
      <c r="J720" t="n">
        <v>0</v>
      </c>
      <c r="K720" t="n">
        <v>0</v>
      </c>
      <c r="L720" t="n">
        <v>0</v>
      </c>
      <c r="M720" t="n">
        <v>0</v>
      </c>
      <c r="N720" t="n">
        <v>0</v>
      </c>
      <c r="O720" t="n">
        <v>0</v>
      </c>
      <c r="P720" t="n">
        <v>0</v>
      </c>
      <c r="Q720" t="n">
        <v>0</v>
      </c>
      <c r="R720" s="2" t="inlineStr"/>
    </row>
    <row r="721" ht="15" customHeight="1">
      <c r="A721" t="inlineStr">
        <is>
          <t>A 34701-2025</t>
        </is>
      </c>
      <c r="B721" s="1" t="n">
        <v>45848.48070601852</v>
      </c>
      <c r="C721" s="1" t="n">
        <v>46160</v>
      </c>
      <c r="D721" t="inlineStr">
        <is>
          <t>JÄMTLANDS LÄN</t>
        </is>
      </c>
      <c r="E721" t="inlineStr">
        <is>
          <t>KROKOM</t>
        </is>
      </c>
      <c r="G721" t="n">
        <v>0.5</v>
      </c>
      <c r="H721" t="n">
        <v>0</v>
      </c>
      <c r="I721" t="n">
        <v>0</v>
      </c>
      <c r="J721" t="n">
        <v>0</v>
      </c>
      <c r="K721" t="n">
        <v>0</v>
      </c>
      <c r="L721" t="n">
        <v>0</v>
      </c>
      <c r="M721" t="n">
        <v>0</v>
      </c>
      <c r="N721" t="n">
        <v>0</v>
      </c>
      <c r="O721" t="n">
        <v>0</v>
      </c>
      <c r="P721" t="n">
        <v>0</v>
      </c>
      <c r="Q721" t="n">
        <v>0</v>
      </c>
      <c r="R721" s="2" t="inlineStr"/>
    </row>
    <row r="722" ht="15" customHeight="1">
      <c r="A722" t="inlineStr">
        <is>
          <t>A 48468-2025</t>
        </is>
      </c>
      <c r="B722" s="1" t="n">
        <v>45936.34469907408</v>
      </c>
      <c r="C722" s="1" t="n">
        <v>46160</v>
      </c>
      <c r="D722" t="inlineStr">
        <is>
          <t>JÄMTLANDS LÄN</t>
        </is>
      </c>
      <c r="E722" t="inlineStr">
        <is>
          <t>KROKOM</t>
        </is>
      </c>
      <c r="F722" t="inlineStr">
        <is>
          <t>SCA</t>
        </is>
      </c>
      <c r="G722" t="n">
        <v>14.3</v>
      </c>
      <c r="H722" t="n">
        <v>0</v>
      </c>
      <c r="I722" t="n">
        <v>0</v>
      </c>
      <c r="J722" t="n">
        <v>0</v>
      </c>
      <c r="K722" t="n">
        <v>0</v>
      </c>
      <c r="L722" t="n">
        <v>0</v>
      </c>
      <c r="M722" t="n">
        <v>0</v>
      </c>
      <c r="N722" t="n">
        <v>0</v>
      </c>
      <c r="O722" t="n">
        <v>0</v>
      </c>
      <c r="P722" t="n">
        <v>0</v>
      </c>
      <c r="Q722" t="n">
        <v>0</v>
      </c>
      <c r="R722" s="2" t="inlineStr"/>
    </row>
    <row r="723" ht="15" customHeight="1">
      <c r="A723" t="inlineStr">
        <is>
          <t>A 31537-2023</t>
        </is>
      </c>
      <c r="B723" s="1" t="n">
        <v>45117</v>
      </c>
      <c r="C723" s="1" t="n">
        <v>46160</v>
      </c>
      <c r="D723" t="inlineStr">
        <is>
          <t>JÄMTLANDS LÄN</t>
        </is>
      </c>
      <c r="E723" t="inlineStr">
        <is>
          <t>KROKOM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32765-2023</t>
        </is>
      </c>
      <c r="B724" s="1" t="n">
        <v>45123.61459490741</v>
      </c>
      <c r="C724" s="1" t="n">
        <v>46160</v>
      </c>
      <c r="D724" t="inlineStr">
        <is>
          <t>JÄMTLANDS LÄN</t>
        </is>
      </c>
      <c r="E724" t="inlineStr">
        <is>
          <t>KROKOM</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34535-2025</t>
        </is>
      </c>
      <c r="B725" s="1" t="n">
        <v>45847.51106481482</v>
      </c>
      <c r="C725" s="1" t="n">
        <v>46160</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48666-2025</t>
        </is>
      </c>
      <c r="B726" s="1" t="n">
        <v>45936.57368055556</v>
      </c>
      <c r="C726" s="1" t="n">
        <v>46160</v>
      </c>
      <c r="D726" t="inlineStr">
        <is>
          <t>JÄMTLANDS LÄN</t>
        </is>
      </c>
      <c r="E726" t="inlineStr">
        <is>
          <t>KROKOM</t>
        </is>
      </c>
      <c r="F726" t="inlineStr">
        <is>
          <t>SCA</t>
        </is>
      </c>
      <c r="G726" t="n">
        <v>12.9</v>
      </c>
      <c r="H726" t="n">
        <v>0</v>
      </c>
      <c r="I726" t="n">
        <v>0</v>
      </c>
      <c r="J726" t="n">
        <v>0</v>
      </c>
      <c r="K726" t="n">
        <v>0</v>
      </c>
      <c r="L726" t="n">
        <v>0</v>
      </c>
      <c r="M726" t="n">
        <v>0</v>
      </c>
      <c r="N726" t="n">
        <v>0</v>
      </c>
      <c r="O726" t="n">
        <v>0</v>
      </c>
      <c r="P726" t="n">
        <v>0</v>
      </c>
      <c r="Q726" t="n">
        <v>0</v>
      </c>
      <c r="R726" s="2" t="inlineStr"/>
    </row>
    <row r="727" ht="15" customHeight="1">
      <c r="A727" t="inlineStr">
        <is>
          <t>A 34608-2025</t>
        </is>
      </c>
      <c r="B727" s="1" t="n">
        <v>45847.65717592592</v>
      </c>
      <c r="C727" s="1" t="n">
        <v>46160</v>
      </c>
      <c r="D727" t="inlineStr">
        <is>
          <t>JÄMTLANDS LÄN</t>
        </is>
      </c>
      <c r="E727" t="inlineStr">
        <is>
          <t>KROKOM</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10533-2025</t>
        </is>
      </c>
      <c r="B728" s="1" t="n">
        <v>45721.45563657407</v>
      </c>
      <c r="C728" s="1" t="n">
        <v>46160</v>
      </c>
      <c r="D728" t="inlineStr">
        <is>
          <t>JÄMTLANDS LÄN</t>
        </is>
      </c>
      <c r="E728" t="inlineStr">
        <is>
          <t>KROKOM</t>
        </is>
      </c>
      <c r="F728" t="inlineStr">
        <is>
          <t>SCA</t>
        </is>
      </c>
      <c r="G728" t="n">
        <v>64.90000000000001</v>
      </c>
      <c r="H728" t="n">
        <v>0</v>
      </c>
      <c r="I728" t="n">
        <v>0</v>
      </c>
      <c r="J728" t="n">
        <v>0</v>
      </c>
      <c r="K728" t="n">
        <v>0</v>
      </c>
      <c r="L728" t="n">
        <v>0</v>
      </c>
      <c r="M728" t="n">
        <v>0</v>
      </c>
      <c r="N728" t="n">
        <v>0</v>
      </c>
      <c r="O728" t="n">
        <v>0</v>
      </c>
      <c r="P728" t="n">
        <v>0</v>
      </c>
      <c r="Q728" t="n">
        <v>0</v>
      </c>
      <c r="R728" s="2" t="inlineStr"/>
    </row>
    <row r="729" ht="15" customHeight="1">
      <c r="A729" t="inlineStr">
        <is>
          <t>A 61244-2025</t>
        </is>
      </c>
      <c r="B729" s="1" t="n">
        <v>46000.65929398148</v>
      </c>
      <c r="C729" s="1" t="n">
        <v>46160</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50206-2024</t>
        </is>
      </c>
      <c r="B730" s="1" t="n">
        <v>45600.49616898148</v>
      </c>
      <c r="C730" s="1" t="n">
        <v>46160</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18406-2025</t>
        </is>
      </c>
      <c r="B731" s="1" t="n">
        <v>45762.60907407408</v>
      </c>
      <c r="C731" s="1" t="n">
        <v>46160</v>
      </c>
      <c r="D731" t="inlineStr">
        <is>
          <t>JÄMTLANDS LÄN</t>
        </is>
      </c>
      <c r="E731" t="inlineStr">
        <is>
          <t>KROKOM</t>
        </is>
      </c>
      <c r="F731" t="inlineStr">
        <is>
          <t>Övriga Aktiebolag</t>
        </is>
      </c>
      <c r="G731" t="n">
        <v>34.3</v>
      </c>
      <c r="H731" t="n">
        <v>0</v>
      </c>
      <c r="I731" t="n">
        <v>0</v>
      </c>
      <c r="J731" t="n">
        <v>0</v>
      </c>
      <c r="K731" t="n">
        <v>0</v>
      </c>
      <c r="L731" t="n">
        <v>0</v>
      </c>
      <c r="M731" t="n">
        <v>0</v>
      </c>
      <c r="N731" t="n">
        <v>0</v>
      </c>
      <c r="O731" t="n">
        <v>0</v>
      </c>
      <c r="P731" t="n">
        <v>0</v>
      </c>
      <c r="Q731" t="n">
        <v>0</v>
      </c>
      <c r="R731" s="2" t="inlineStr"/>
    </row>
    <row r="732" ht="15" customHeight="1">
      <c r="A732" t="inlineStr">
        <is>
          <t>A 31538-2023</t>
        </is>
      </c>
      <c r="B732" s="1" t="n">
        <v>45117</v>
      </c>
      <c r="C732" s="1" t="n">
        <v>46160</v>
      </c>
      <c r="D732" t="inlineStr">
        <is>
          <t>JÄMTLANDS LÄN</t>
        </is>
      </c>
      <c r="E732" t="inlineStr">
        <is>
          <t>KROKOM</t>
        </is>
      </c>
      <c r="F732" t="inlineStr">
        <is>
          <t>Övriga Aktiebolag</t>
        </is>
      </c>
      <c r="G732" t="n">
        <v>9.9</v>
      </c>
      <c r="H732" t="n">
        <v>0</v>
      </c>
      <c r="I732" t="n">
        <v>0</v>
      </c>
      <c r="J732" t="n">
        <v>0</v>
      </c>
      <c r="K732" t="n">
        <v>0</v>
      </c>
      <c r="L732" t="n">
        <v>0</v>
      </c>
      <c r="M732" t="n">
        <v>0</v>
      </c>
      <c r="N732" t="n">
        <v>0</v>
      </c>
      <c r="O732" t="n">
        <v>0</v>
      </c>
      <c r="P732" t="n">
        <v>0</v>
      </c>
      <c r="Q732" t="n">
        <v>0</v>
      </c>
      <c r="R732" s="2" t="inlineStr"/>
    </row>
    <row r="733" ht="15" customHeight="1">
      <c r="A733" t="inlineStr">
        <is>
          <t>A 34737-2025</t>
        </is>
      </c>
      <c r="B733" s="1" t="n">
        <v>45848.60371527778</v>
      </c>
      <c r="C733" s="1" t="n">
        <v>46160</v>
      </c>
      <c r="D733" t="inlineStr">
        <is>
          <t>JÄMTLANDS LÄN</t>
        </is>
      </c>
      <c r="E733" t="inlineStr">
        <is>
          <t>KROKOM</t>
        </is>
      </c>
      <c r="G733" t="n">
        <v>7.5</v>
      </c>
      <c r="H733" t="n">
        <v>0</v>
      </c>
      <c r="I733" t="n">
        <v>0</v>
      </c>
      <c r="J733" t="n">
        <v>0</v>
      </c>
      <c r="K733" t="n">
        <v>0</v>
      </c>
      <c r="L733" t="n">
        <v>0</v>
      </c>
      <c r="M733" t="n">
        <v>0</v>
      </c>
      <c r="N733" t="n">
        <v>0</v>
      </c>
      <c r="O733" t="n">
        <v>0</v>
      </c>
      <c r="P733" t="n">
        <v>0</v>
      </c>
      <c r="Q733" t="n">
        <v>0</v>
      </c>
      <c r="R733" s="2" t="inlineStr"/>
    </row>
    <row r="734" ht="15" customHeight="1">
      <c r="A734" t="inlineStr">
        <is>
          <t>A 22681-2025</t>
        </is>
      </c>
      <c r="B734" s="1" t="n">
        <v>45786</v>
      </c>
      <c r="C734" s="1" t="n">
        <v>46160</v>
      </c>
      <c r="D734" t="inlineStr">
        <is>
          <t>JÄMTLANDS LÄN</t>
        </is>
      </c>
      <c r="E734" t="inlineStr">
        <is>
          <t>KROKOM</t>
        </is>
      </c>
      <c r="G734" t="n">
        <v>1.9</v>
      </c>
      <c r="H734" t="n">
        <v>0</v>
      </c>
      <c r="I734" t="n">
        <v>0</v>
      </c>
      <c r="J734" t="n">
        <v>0</v>
      </c>
      <c r="K734" t="n">
        <v>0</v>
      </c>
      <c r="L734" t="n">
        <v>0</v>
      </c>
      <c r="M734" t="n">
        <v>0</v>
      </c>
      <c r="N734" t="n">
        <v>0</v>
      </c>
      <c r="O734" t="n">
        <v>0</v>
      </c>
      <c r="P734" t="n">
        <v>0</v>
      </c>
      <c r="Q734" t="n">
        <v>0</v>
      </c>
      <c r="R734" s="2" t="inlineStr"/>
    </row>
    <row r="735" ht="15" customHeight="1">
      <c r="A735" t="inlineStr">
        <is>
          <t>A 48798-2025</t>
        </is>
      </c>
      <c r="B735" s="1" t="n">
        <v>45937.34465277778</v>
      </c>
      <c r="C735" s="1" t="n">
        <v>46160</v>
      </c>
      <c r="D735" t="inlineStr">
        <is>
          <t>JÄMTLANDS LÄN</t>
        </is>
      </c>
      <c r="E735" t="inlineStr">
        <is>
          <t>KROKOM</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36588-2025</t>
        </is>
      </c>
      <c r="B736" s="1" t="n">
        <v>45870</v>
      </c>
      <c r="C736" s="1" t="n">
        <v>46160</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row>
    <row r="737" ht="15" customHeight="1">
      <c r="A737" t="inlineStr">
        <is>
          <t>A 49063-2025</t>
        </is>
      </c>
      <c r="B737" s="1" t="n">
        <v>45937.64388888889</v>
      </c>
      <c r="C737" s="1" t="n">
        <v>46160</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34829-2025</t>
        </is>
      </c>
      <c r="B738" s="1" t="n">
        <v>45849.3859837963</v>
      </c>
      <c r="C738" s="1" t="n">
        <v>46160</v>
      </c>
      <c r="D738" t="inlineStr">
        <is>
          <t>JÄMTLANDS LÄN</t>
        </is>
      </c>
      <c r="E738" t="inlineStr">
        <is>
          <t>KROKOM</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49009-2025</t>
        </is>
      </c>
      <c r="B739" s="1" t="n">
        <v>45937.60777777778</v>
      </c>
      <c r="C739" s="1" t="n">
        <v>46160</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9755-2024</t>
        </is>
      </c>
      <c r="B740" s="1" t="n">
        <v>45362</v>
      </c>
      <c r="C740" s="1" t="n">
        <v>46160</v>
      </c>
      <c r="D740" t="inlineStr">
        <is>
          <t>JÄMTLANDS LÄN</t>
        </is>
      </c>
      <c r="E740" t="inlineStr">
        <is>
          <t>KROKOM</t>
        </is>
      </c>
      <c r="G740" t="n">
        <v>2.4</v>
      </c>
      <c r="H740" t="n">
        <v>0</v>
      </c>
      <c r="I740" t="n">
        <v>0</v>
      </c>
      <c r="J740" t="n">
        <v>0</v>
      </c>
      <c r="K740" t="n">
        <v>0</v>
      </c>
      <c r="L740" t="n">
        <v>0</v>
      </c>
      <c r="M740" t="n">
        <v>0</v>
      </c>
      <c r="N740" t="n">
        <v>0</v>
      </c>
      <c r="O740" t="n">
        <v>0</v>
      </c>
      <c r="P740" t="n">
        <v>0</v>
      </c>
      <c r="Q740" t="n">
        <v>0</v>
      </c>
      <c r="R740" s="2" t="inlineStr"/>
    </row>
    <row r="741" ht="15" customHeight="1">
      <c r="A741" t="inlineStr">
        <is>
          <t>A 48801-2025</t>
        </is>
      </c>
      <c r="B741" s="1" t="n">
        <v>45937.34515046296</v>
      </c>
      <c r="C741" s="1" t="n">
        <v>46160</v>
      </c>
      <c r="D741" t="inlineStr">
        <is>
          <t>JÄMTLANDS LÄN</t>
        </is>
      </c>
      <c r="E741" t="inlineStr">
        <is>
          <t>KROKOM</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49067-2025</t>
        </is>
      </c>
      <c r="B742" s="1" t="n">
        <v>45937.64741898148</v>
      </c>
      <c r="C742" s="1" t="n">
        <v>46160</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60122-2024</t>
        </is>
      </c>
      <c r="B743" s="1" t="n">
        <v>45639</v>
      </c>
      <c r="C743" s="1" t="n">
        <v>46160</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44519-2024</t>
        </is>
      </c>
      <c r="B744" s="1" t="n">
        <v>45574.43403935185</v>
      </c>
      <c r="C744" s="1" t="n">
        <v>46160</v>
      </c>
      <c r="D744" t="inlineStr">
        <is>
          <t>JÄMTLANDS LÄN</t>
        </is>
      </c>
      <c r="E744" t="inlineStr">
        <is>
          <t>KROKOM</t>
        </is>
      </c>
      <c r="G744" t="n">
        <v>0.8</v>
      </c>
      <c r="H744" t="n">
        <v>0</v>
      </c>
      <c r="I744" t="n">
        <v>0</v>
      </c>
      <c r="J744" t="n">
        <v>0</v>
      </c>
      <c r="K744" t="n">
        <v>0</v>
      </c>
      <c r="L744" t="n">
        <v>0</v>
      </c>
      <c r="M744" t="n">
        <v>0</v>
      </c>
      <c r="N744" t="n">
        <v>0</v>
      </c>
      <c r="O744" t="n">
        <v>0</v>
      </c>
      <c r="P744" t="n">
        <v>0</v>
      </c>
      <c r="Q744" t="n">
        <v>0</v>
      </c>
      <c r="R744" s="2" t="inlineStr"/>
    </row>
    <row r="745" ht="15" customHeight="1">
      <c r="A745" t="inlineStr">
        <is>
          <t>A 9750-2024</t>
        </is>
      </c>
      <c r="B745" s="1" t="n">
        <v>45362</v>
      </c>
      <c r="C745" s="1" t="n">
        <v>46160</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35354-2025</t>
        </is>
      </c>
      <c r="B746" s="1" t="n">
        <v>45854.65378472222</v>
      </c>
      <c r="C746" s="1" t="n">
        <v>46160</v>
      </c>
      <c r="D746" t="inlineStr">
        <is>
          <t>JÄMTLANDS LÄN</t>
        </is>
      </c>
      <c r="E746" t="inlineStr">
        <is>
          <t>KROKOM</t>
        </is>
      </c>
      <c r="G746" t="n">
        <v>3.7</v>
      </c>
      <c r="H746" t="n">
        <v>0</v>
      </c>
      <c r="I746" t="n">
        <v>0</v>
      </c>
      <c r="J746" t="n">
        <v>0</v>
      </c>
      <c r="K746" t="n">
        <v>0</v>
      </c>
      <c r="L746" t="n">
        <v>0</v>
      </c>
      <c r="M746" t="n">
        <v>0</v>
      </c>
      <c r="N746" t="n">
        <v>0</v>
      </c>
      <c r="O746" t="n">
        <v>0</v>
      </c>
      <c r="P746" t="n">
        <v>0</v>
      </c>
      <c r="Q746" t="n">
        <v>0</v>
      </c>
      <c r="R746" s="2" t="inlineStr"/>
    </row>
    <row r="747" ht="15" customHeight="1">
      <c r="A747" t="inlineStr">
        <is>
          <t>A 35238-2025</t>
        </is>
      </c>
      <c r="B747" s="1" t="n">
        <v>45853.6156712963</v>
      </c>
      <c r="C747" s="1" t="n">
        <v>46160</v>
      </c>
      <c r="D747" t="inlineStr">
        <is>
          <t>JÄMTLANDS LÄN</t>
        </is>
      </c>
      <c r="E747" t="inlineStr">
        <is>
          <t>KROKOM</t>
        </is>
      </c>
      <c r="F747" t="inlineStr">
        <is>
          <t>Övriga Aktiebolag</t>
        </is>
      </c>
      <c r="G747" t="n">
        <v>0.9</v>
      </c>
      <c r="H747" t="n">
        <v>0</v>
      </c>
      <c r="I747" t="n">
        <v>0</v>
      </c>
      <c r="J747" t="n">
        <v>0</v>
      </c>
      <c r="K747" t="n">
        <v>0</v>
      </c>
      <c r="L747" t="n">
        <v>0</v>
      </c>
      <c r="M747" t="n">
        <v>0</v>
      </c>
      <c r="N747" t="n">
        <v>0</v>
      </c>
      <c r="O747" t="n">
        <v>0</v>
      </c>
      <c r="P747" t="n">
        <v>0</v>
      </c>
      <c r="Q747" t="n">
        <v>0</v>
      </c>
      <c r="R747" s="2" t="inlineStr"/>
    </row>
    <row r="748" ht="15" customHeight="1">
      <c r="A748" t="inlineStr">
        <is>
          <t>A 54828-2024</t>
        </is>
      </c>
      <c r="B748" s="1" t="n">
        <v>45618.54398148148</v>
      </c>
      <c r="C748" s="1" t="n">
        <v>46160</v>
      </c>
      <c r="D748" t="inlineStr">
        <is>
          <t>JÄMTLANDS LÄN</t>
        </is>
      </c>
      <c r="E748" t="inlineStr">
        <is>
          <t>KROKOM</t>
        </is>
      </c>
      <c r="G748" t="n">
        <v>8.1</v>
      </c>
      <c r="H748" t="n">
        <v>0</v>
      </c>
      <c r="I748" t="n">
        <v>0</v>
      </c>
      <c r="J748" t="n">
        <v>0</v>
      </c>
      <c r="K748" t="n">
        <v>0</v>
      </c>
      <c r="L748" t="n">
        <v>0</v>
      </c>
      <c r="M748" t="n">
        <v>0</v>
      </c>
      <c r="N748" t="n">
        <v>0</v>
      </c>
      <c r="O748" t="n">
        <v>0</v>
      </c>
      <c r="P748" t="n">
        <v>0</v>
      </c>
      <c r="Q748" t="n">
        <v>0</v>
      </c>
      <c r="R748" s="2" t="inlineStr"/>
    </row>
    <row r="749" ht="15" customHeight="1">
      <c r="A749" t="inlineStr">
        <is>
          <t>A 49838-2025</t>
        </is>
      </c>
      <c r="B749" s="1" t="n">
        <v>45940.46920138889</v>
      </c>
      <c r="C749" s="1" t="n">
        <v>46160</v>
      </c>
      <c r="D749" t="inlineStr">
        <is>
          <t>JÄMTLANDS LÄN</t>
        </is>
      </c>
      <c r="E749" t="inlineStr">
        <is>
          <t>KROKOM</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35359-2025</t>
        </is>
      </c>
      <c r="B750" s="1" t="n">
        <v>45854.66518518519</v>
      </c>
      <c r="C750" s="1" t="n">
        <v>46160</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49534-2025</t>
        </is>
      </c>
      <c r="B751" s="1" t="n">
        <v>45939.41162037037</v>
      </c>
      <c r="C751" s="1" t="n">
        <v>46160</v>
      </c>
      <c r="D751" t="inlineStr">
        <is>
          <t>JÄMTLANDS LÄN</t>
        </is>
      </c>
      <c r="E751" t="inlineStr">
        <is>
          <t>KROKOM</t>
        </is>
      </c>
      <c r="G751" t="n">
        <v>0.6</v>
      </c>
      <c r="H751" t="n">
        <v>0</v>
      </c>
      <c r="I751" t="n">
        <v>0</v>
      </c>
      <c r="J751" t="n">
        <v>0</v>
      </c>
      <c r="K751" t="n">
        <v>0</v>
      </c>
      <c r="L751" t="n">
        <v>0</v>
      </c>
      <c r="M751" t="n">
        <v>0</v>
      </c>
      <c r="N751" t="n">
        <v>0</v>
      </c>
      <c r="O751" t="n">
        <v>0</v>
      </c>
      <c r="P751" t="n">
        <v>0</v>
      </c>
      <c r="Q751" t="n">
        <v>0</v>
      </c>
      <c r="R751" s="2" t="inlineStr"/>
    </row>
    <row r="752" ht="15" customHeight="1">
      <c r="A752" t="inlineStr">
        <is>
          <t>A 35460-2025</t>
        </is>
      </c>
      <c r="B752" s="1" t="n">
        <v>45855.61193287037</v>
      </c>
      <c r="C752" s="1" t="n">
        <v>46160</v>
      </c>
      <c r="D752" t="inlineStr">
        <is>
          <t>JÄMTLANDS LÄN</t>
        </is>
      </c>
      <c r="E752" t="inlineStr">
        <is>
          <t>KROKOM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31654-2025</t>
        </is>
      </c>
      <c r="B753" s="1" t="n">
        <v>45834.34726851852</v>
      </c>
      <c r="C753" s="1" t="n">
        <v>46160</v>
      </c>
      <c r="D753" t="inlineStr">
        <is>
          <t>JÄMTLANDS LÄN</t>
        </is>
      </c>
      <c r="E753" t="inlineStr">
        <is>
          <t>KROKOM</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11056-2025</t>
        </is>
      </c>
      <c r="B754" s="1" t="n">
        <v>45723.50841435185</v>
      </c>
      <c r="C754" s="1" t="n">
        <v>46160</v>
      </c>
      <c r="D754" t="inlineStr">
        <is>
          <t>JÄMTLANDS LÄN</t>
        </is>
      </c>
      <c r="E754" t="inlineStr">
        <is>
          <t>KROKOM</t>
        </is>
      </c>
      <c r="G754" t="n">
        <v>1.8</v>
      </c>
      <c r="H754" t="n">
        <v>0</v>
      </c>
      <c r="I754" t="n">
        <v>0</v>
      </c>
      <c r="J754" t="n">
        <v>0</v>
      </c>
      <c r="K754" t="n">
        <v>0</v>
      </c>
      <c r="L754" t="n">
        <v>0</v>
      </c>
      <c r="M754" t="n">
        <v>0</v>
      </c>
      <c r="N754" t="n">
        <v>0</v>
      </c>
      <c r="O754" t="n">
        <v>0</v>
      </c>
      <c r="P754" t="n">
        <v>0</v>
      </c>
      <c r="Q754" t="n">
        <v>0</v>
      </c>
      <c r="R754" s="2" t="inlineStr"/>
    </row>
    <row r="755" ht="15" customHeight="1">
      <c r="A755" t="inlineStr">
        <is>
          <t>A 49557-2025</t>
        </is>
      </c>
      <c r="B755" s="1" t="n">
        <v>45939.45077546296</v>
      </c>
      <c r="C755" s="1" t="n">
        <v>46160</v>
      </c>
      <c r="D755" t="inlineStr">
        <is>
          <t>JÄMTLANDS LÄN</t>
        </is>
      </c>
      <c r="E755" t="inlineStr">
        <is>
          <t>KROKOM</t>
        </is>
      </c>
      <c r="G755" t="n">
        <v>1.9</v>
      </c>
      <c r="H755" t="n">
        <v>0</v>
      </c>
      <c r="I755" t="n">
        <v>0</v>
      </c>
      <c r="J755" t="n">
        <v>0</v>
      </c>
      <c r="K755" t="n">
        <v>0</v>
      </c>
      <c r="L755" t="n">
        <v>0</v>
      </c>
      <c r="M755" t="n">
        <v>0</v>
      </c>
      <c r="N755" t="n">
        <v>0</v>
      </c>
      <c r="O755" t="n">
        <v>0</v>
      </c>
      <c r="P755" t="n">
        <v>0</v>
      </c>
      <c r="Q755" t="n">
        <v>0</v>
      </c>
      <c r="R755" s="2" t="inlineStr"/>
    </row>
    <row r="756" ht="15" customHeight="1">
      <c r="A756" t="inlineStr">
        <is>
          <t>A 49644-2025</t>
        </is>
      </c>
      <c r="B756" s="1" t="n">
        <v>45939.61568287037</v>
      </c>
      <c r="C756" s="1" t="n">
        <v>46160</v>
      </c>
      <c r="D756" t="inlineStr">
        <is>
          <t>JÄMTLANDS LÄN</t>
        </is>
      </c>
      <c r="E756" t="inlineStr">
        <is>
          <t>KROKOM</t>
        </is>
      </c>
      <c r="G756" t="n">
        <v>2.4</v>
      </c>
      <c r="H756" t="n">
        <v>0</v>
      </c>
      <c r="I756" t="n">
        <v>0</v>
      </c>
      <c r="J756" t="n">
        <v>0</v>
      </c>
      <c r="K756" t="n">
        <v>0</v>
      </c>
      <c r="L756" t="n">
        <v>0</v>
      </c>
      <c r="M756" t="n">
        <v>0</v>
      </c>
      <c r="N756" t="n">
        <v>0</v>
      </c>
      <c r="O756" t="n">
        <v>0</v>
      </c>
      <c r="P756" t="n">
        <v>0</v>
      </c>
      <c r="Q756" t="n">
        <v>0</v>
      </c>
      <c r="R756" s="2" t="inlineStr"/>
    </row>
    <row r="757" ht="15" customHeight="1">
      <c r="A757" t="inlineStr">
        <is>
          <t>A 31988-2024</t>
        </is>
      </c>
      <c r="B757" s="1" t="n">
        <v>45510.58033564815</v>
      </c>
      <c r="C757" s="1" t="n">
        <v>46160</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49514-2025</t>
        </is>
      </c>
      <c r="B758" s="1" t="n">
        <v>45939.38530092593</v>
      </c>
      <c r="C758" s="1" t="n">
        <v>46160</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35778-2025</t>
        </is>
      </c>
      <c r="B759" s="1" t="n">
        <v>45860</v>
      </c>
      <c r="C759" s="1" t="n">
        <v>46160</v>
      </c>
      <c r="D759" t="inlineStr">
        <is>
          <t>JÄMTLANDS LÄN</t>
        </is>
      </c>
      <c r="E759" t="inlineStr">
        <is>
          <t>KROKOM</t>
        </is>
      </c>
      <c r="G759" t="n">
        <v>1.8</v>
      </c>
      <c r="H759" t="n">
        <v>0</v>
      </c>
      <c r="I759" t="n">
        <v>0</v>
      </c>
      <c r="J759" t="n">
        <v>0</v>
      </c>
      <c r="K759" t="n">
        <v>0</v>
      </c>
      <c r="L759" t="n">
        <v>0</v>
      </c>
      <c r="M759" t="n">
        <v>0</v>
      </c>
      <c r="N759" t="n">
        <v>0</v>
      </c>
      <c r="O759" t="n">
        <v>0</v>
      </c>
      <c r="P759" t="n">
        <v>0</v>
      </c>
      <c r="Q759" t="n">
        <v>0</v>
      </c>
      <c r="R759" s="2" t="inlineStr"/>
    </row>
    <row r="760" ht="15" customHeight="1">
      <c r="A760" t="inlineStr">
        <is>
          <t>A 24252-2024</t>
        </is>
      </c>
      <c r="B760" s="1" t="n">
        <v>45457.38799768518</v>
      </c>
      <c r="C760" s="1" t="n">
        <v>46160</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21663-2025</t>
        </is>
      </c>
      <c r="B761" s="1" t="n">
        <v>45783</v>
      </c>
      <c r="C761" s="1" t="n">
        <v>46160</v>
      </c>
      <c r="D761" t="inlineStr">
        <is>
          <t>JÄMTLANDS LÄN</t>
        </is>
      </c>
      <c r="E761" t="inlineStr">
        <is>
          <t>KROKOM</t>
        </is>
      </c>
      <c r="G761" t="n">
        <v>5.2</v>
      </c>
      <c r="H761" t="n">
        <v>0</v>
      </c>
      <c r="I761" t="n">
        <v>0</v>
      </c>
      <c r="J761" t="n">
        <v>0</v>
      </c>
      <c r="K761" t="n">
        <v>0</v>
      </c>
      <c r="L761" t="n">
        <v>0</v>
      </c>
      <c r="M761" t="n">
        <v>0</v>
      </c>
      <c r="N761" t="n">
        <v>0</v>
      </c>
      <c r="O761" t="n">
        <v>0</v>
      </c>
      <c r="P761" t="n">
        <v>0</v>
      </c>
      <c r="Q761" t="n">
        <v>0</v>
      </c>
      <c r="R761" s="2" t="inlineStr"/>
    </row>
    <row r="762" ht="15" customHeight="1">
      <c r="A762" t="inlineStr">
        <is>
          <t>A 27000-2021</t>
        </is>
      </c>
      <c r="B762" s="1" t="n">
        <v>44349</v>
      </c>
      <c r="C762" s="1" t="n">
        <v>46160</v>
      </c>
      <c r="D762" t="inlineStr">
        <is>
          <t>JÄMTLANDS LÄN</t>
        </is>
      </c>
      <c r="E762" t="inlineStr">
        <is>
          <t>KROKOM</t>
        </is>
      </c>
      <c r="F762" t="inlineStr">
        <is>
          <t>Allmännings- och besparingsskogar</t>
        </is>
      </c>
      <c r="G762" t="n">
        <v>2.3</v>
      </c>
      <c r="H762" t="n">
        <v>0</v>
      </c>
      <c r="I762" t="n">
        <v>0</v>
      </c>
      <c r="J762" t="n">
        <v>0</v>
      </c>
      <c r="K762" t="n">
        <v>0</v>
      </c>
      <c r="L762" t="n">
        <v>0</v>
      </c>
      <c r="M762" t="n">
        <v>0</v>
      </c>
      <c r="N762" t="n">
        <v>0</v>
      </c>
      <c r="O762" t="n">
        <v>0</v>
      </c>
      <c r="P762" t="n">
        <v>0</v>
      </c>
      <c r="Q762" t="n">
        <v>0</v>
      </c>
      <c r="R762" s="2" t="inlineStr"/>
    </row>
    <row r="763" ht="15" customHeight="1">
      <c r="A763" t="inlineStr">
        <is>
          <t>A 50010-2025</t>
        </is>
      </c>
      <c r="B763" s="1" t="n">
        <v>45943.34546296296</v>
      </c>
      <c r="C763" s="1" t="n">
        <v>46160</v>
      </c>
      <c r="D763" t="inlineStr">
        <is>
          <t>JÄMTLANDS LÄN</t>
        </is>
      </c>
      <c r="E763" t="inlineStr">
        <is>
          <t>KROKOM</t>
        </is>
      </c>
      <c r="F763" t="inlineStr">
        <is>
          <t>SCA</t>
        </is>
      </c>
      <c r="G763" t="n">
        <v>35.8</v>
      </c>
      <c r="H763" t="n">
        <v>0</v>
      </c>
      <c r="I763" t="n">
        <v>0</v>
      </c>
      <c r="J763" t="n">
        <v>0</v>
      </c>
      <c r="K763" t="n">
        <v>0</v>
      </c>
      <c r="L763" t="n">
        <v>0</v>
      </c>
      <c r="M763" t="n">
        <v>0</v>
      </c>
      <c r="N763" t="n">
        <v>0</v>
      </c>
      <c r="O763" t="n">
        <v>0</v>
      </c>
      <c r="P763" t="n">
        <v>0</v>
      </c>
      <c r="Q763" t="n">
        <v>0</v>
      </c>
      <c r="R763" s="2" t="inlineStr"/>
    </row>
    <row r="764" ht="15" customHeight="1">
      <c r="A764" t="inlineStr">
        <is>
          <t>A 6702-2026</t>
        </is>
      </c>
      <c r="B764" s="1" t="n">
        <v>46056.64418981481</v>
      </c>
      <c r="C764" s="1" t="n">
        <v>46160</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50002-2025</t>
        </is>
      </c>
      <c r="B765" s="1" t="n">
        <v>45943.34451388889</v>
      </c>
      <c r="C765" s="1" t="n">
        <v>46160</v>
      </c>
      <c r="D765" t="inlineStr">
        <is>
          <t>JÄMTLANDS LÄN</t>
        </is>
      </c>
      <c r="E765" t="inlineStr">
        <is>
          <t>KROKOM</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35864-2025</t>
        </is>
      </c>
      <c r="B766" s="1" t="n">
        <v>45861.6841087963</v>
      </c>
      <c r="C766" s="1" t="n">
        <v>46160</v>
      </c>
      <c r="D766" t="inlineStr">
        <is>
          <t>JÄMTLANDS LÄN</t>
        </is>
      </c>
      <c r="E766" t="inlineStr">
        <is>
          <t>KROKOM</t>
        </is>
      </c>
      <c r="F766" t="inlineStr">
        <is>
          <t>Övriga Aktiebolag</t>
        </is>
      </c>
      <c r="G766" t="n">
        <v>1.6</v>
      </c>
      <c r="H766" t="n">
        <v>0</v>
      </c>
      <c r="I766" t="n">
        <v>0</v>
      </c>
      <c r="J766" t="n">
        <v>0</v>
      </c>
      <c r="K766" t="n">
        <v>0</v>
      </c>
      <c r="L766" t="n">
        <v>0</v>
      </c>
      <c r="M766" t="n">
        <v>0</v>
      </c>
      <c r="N766" t="n">
        <v>0</v>
      </c>
      <c r="O766" t="n">
        <v>0</v>
      </c>
      <c r="P766" t="n">
        <v>0</v>
      </c>
      <c r="Q766" t="n">
        <v>0</v>
      </c>
      <c r="R766" s="2" t="inlineStr"/>
    </row>
    <row r="767" ht="15" customHeight="1">
      <c r="A767" t="inlineStr">
        <is>
          <t>A 50003-2025</t>
        </is>
      </c>
      <c r="B767" s="1" t="n">
        <v>45943.34457175926</v>
      </c>
      <c r="C767" s="1" t="n">
        <v>46160</v>
      </c>
      <c r="D767" t="inlineStr">
        <is>
          <t>JÄMTLANDS LÄN</t>
        </is>
      </c>
      <c r="E767" t="inlineStr">
        <is>
          <t>KROKOM</t>
        </is>
      </c>
      <c r="F767" t="inlineStr">
        <is>
          <t>SCA</t>
        </is>
      </c>
      <c r="G767" t="n">
        <v>10.4</v>
      </c>
      <c r="H767" t="n">
        <v>0</v>
      </c>
      <c r="I767" t="n">
        <v>0</v>
      </c>
      <c r="J767" t="n">
        <v>0</v>
      </c>
      <c r="K767" t="n">
        <v>0</v>
      </c>
      <c r="L767" t="n">
        <v>0</v>
      </c>
      <c r="M767" t="n">
        <v>0</v>
      </c>
      <c r="N767" t="n">
        <v>0</v>
      </c>
      <c r="O767" t="n">
        <v>0</v>
      </c>
      <c r="P767" t="n">
        <v>0</v>
      </c>
      <c r="Q767" t="n">
        <v>0</v>
      </c>
      <c r="R767" s="2" t="inlineStr"/>
    </row>
    <row r="768" ht="15" customHeight="1">
      <c r="A768" t="inlineStr">
        <is>
          <t>A 50004-2025</t>
        </is>
      </c>
      <c r="B768" s="1" t="n">
        <v>45943.34472222222</v>
      </c>
      <c r="C768" s="1" t="n">
        <v>46160</v>
      </c>
      <c r="D768" t="inlineStr">
        <is>
          <t>JÄMTLANDS LÄN</t>
        </is>
      </c>
      <c r="E768" t="inlineStr">
        <is>
          <t>KROKOM</t>
        </is>
      </c>
      <c r="F768" t="inlineStr">
        <is>
          <t>SCA</t>
        </is>
      </c>
      <c r="G768" t="n">
        <v>13.9</v>
      </c>
      <c r="H768" t="n">
        <v>0</v>
      </c>
      <c r="I768" t="n">
        <v>0</v>
      </c>
      <c r="J768" t="n">
        <v>0</v>
      </c>
      <c r="K768" t="n">
        <v>0</v>
      </c>
      <c r="L768" t="n">
        <v>0</v>
      </c>
      <c r="M768" t="n">
        <v>0</v>
      </c>
      <c r="N768" t="n">
        <v>0</v>
      </c>
      <c r="O768" t="n">
        <v>0</v>
      </c>
      <c r="P768" t="n">
        <v>0</v>
      </c>
      <c r="Q768" t="n">
        <v>0</v>
      </c>
      <c r="R768" s="2" t="inlineStr"/>
    </row>
    <row r="769" ht="15" customHeight="1">
      <c r="A769" t="inlineStr">
        <is>
          <t>A 35875-2025</t>
        </is>
      </c>
      <c r="B769" s="1" t="n">
        <v>45862.34668981482</v>
      </c>
      <c r="C769" s="1" t="n">
        <v>46160</v>
      </c>
      <c r="D769" t="inlineStr">
        <is>
          <t>JÄMTLANDS LÄN</t>
        </is>
      </c>
      <c r="E769" t="inlineStr">
        <is>
          <t>KROKOM</t>
        </is>
      </c>
      <c r="F769" t="inlineStr">
        <is>
          <t>Övriga Aktiebolag</t>
        </is>
      </c>
      <c r="G769" t="n">
        <v>14.9</v>
      </c>
      <c r="H769" t="n">
        <v>0</v>
      </c>
      <c r="I769" t="n">
        <v>0</v>
      </c>
      <c r="J769" t="n">
        <v>0</v>
      </c>
      <c r="K769" t="n">
        <v>0</v>
      </c>
      <c r="L769" t="n">
        <v>0</v>
      </c>
      <c r="M769" t="n">
        <v>0</v>
      </c>
      <c r="N769" t="n">
        <v>0</v>
      </c>
      <c r="O769" t="n">
        <v>0</v>
      </c>
      <c r="P769" t="n">
        <v>0</v>
      </c>
      <c r="Q769" t="n">
        <v>0</v>
      </c>
      <c r="R769" s="2" t="inlineStr"/>
    </row>
    <row r="770" ht="15" customHeight="1">
      <c r="A770" t="inlineStr">
        <is>
          <t>A 23539-2024</t>
        </is>
      </c>
      <c r="B770" s="1" t="n">
        <v>45453.95237268518</v>
      </c>
      <c r="C770" s="1" t="n">
        <v>46160</v>
      </c>
      <c r="D770" t="inlineStr">
        <is>
          <t>JÄMTLANDS LÄN</t>
        </is>
      </c>
      <c r="E770" t="inlineStr">
        <is>
          <t>KROKOM</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67740-2021</t>
        </is>
      </c>
      <c r="B771" s="1" t="n">
        <v>44524</v>
      </c>
      <c r="C771" s="1" t="n">
        <v>46160</v>
      </c>
      <c r="D771" t="inlineStr">
        <is>
          <t>JÄMTLANDS LÄN</t>
        </is>
      </c>
      <c r="E771" t="inlineStr">
        <is>
          <t>KROKOM</t>
        </is>
      </c>
      <c r="G771" t="n">
        <v>12.3</v>
      </c>
      <c r="H771" t="n">
        <v>0</v>
      </c>
      <c r="I771" t="n">
        <v>0</v>
      </c>
      <c r="J771" t="n">
        <v>0</v>
      </c>
      <c r="K771" t="n">
        <v>0</v>
      </c>
      <c r="L771" t="n">
        <v>0</v>
      </c>
      <c r="M771" t="n">
        <v>0</v>
      </c>
      <c r="N771" t="n">
        <v>0</v>
      </c>
      <c r="O771" t="n">
        <v>0</v>
      </c>
      <c r="P771" t="n">
        <v>0</v>
      </c>
      <c r="Q771" t="n">
        <v>0</v>
      </c>
      <c r="R771" s="2" t="inlineStr"/>
    </row>
    <row r="772" ht="15" customHeight="1">
      <c r="A772" t="inlineStr">
        <is>
          <t>A 21617-2025</t>
        </is>
      </c>
      <c r="B772" s="1" t="n">
        <v>45783</v>
      </c>
      <c r="C772" s="1" t="n">
        <v>46160</v>
      </c>
      <c r="D772" t="inlineStr">
        <is>
          <t>JÄMTLANDS LÄN</t>
        </is>
      </c>
      <c r="E772" t="inlineStr">
        <is>
          <t>KROKOM</t>
        </is>
      </c>
      <c r="G772" t="n">
        <v>2.6</v>
      </c>
      <c r="H772" t="n">
        <v>0</v>
      </c>
      <c r="I772" t="n">
        <v>0</v>
      </c>
      <c r="J772" t="n">
        <v>0</v>
      </c>
      <c r="K772" t="n">
        <v>0</v>
      </c>
      <c r="L772" t="n">
        <v>0</v>
      </c>
      <c r="M772" t="n">
        <v>0</v>
      </c>
      <c r="N772" t="n">
        <v>0</v>
      </c>
      <c r="O772" t="n">
        <v>0</v>
      </c>
      <c r="P772" t="n">
        <v>0</v>
      </c>
      <c r="Q772" t="n">
        <v>0</v>
      </c>
      <c r="R772" s="2" t="inlineStr"/>
    </row>
    <row r="773" ht="15" customHeight="1">
      <c r="A773" t="inlineStr">
        <is>
          <t>A 2051-2025</t>
        </is>
      </c>
      <c r="B773" s="1" t="n">
        <v>45672.53806712963</v>
      </c>
      <c r="C773" s="1" t="n">
        <v>46160</v>
      </c>
      <c r="D773" t="inlineStr">
        <is>
          <t>JÄMTLANDS LÄN</t>
        </is>
      </c>
      <c r="E773" t="inlineStr">
        <is>
          <t>KROKOM</t>
        </is>
      </c>
      <c r="F773" t="inlineStr">
        <is>
          <t>Kyrkan</t>
        </is>
      </c>
      <c r="G773" t="n">
        <v>87.90000000000001</v>
      </c>
      <c r="H773" t="n">
        <v>0</v>
      </c>
      <c r="I773" t="n">
        <v>0</v>
      </c>
      <c r="J773" t="n">
        <v>0</v>
      </c>
      <c r="K773" t="n">
        <v>0</v>
      </c>
      <c r="L773" t="n">
        <v>0</v>
      </c>
      <c r="M773" t="n">
        <v>0</v>
      </c>
      <c r="N773" t="n">
        <v>0</v>
      </c>
      <c r="O773" t="n">
        <v>0</v>
      </c>
      <c r="P773" t="n">
        <v>0</v>
      </c>
      <c r="Q773" t="n">
        <v>0</v>
      </c>
      <c r="R773" s="2" t="inlineStr"/>
    </row>
    <row r="774" ht="15" customHeight="1">
      <c r="A774" t="inlineStr">
        <is>
          <t>A 50806-2025</t>
        </is>
      </c>
      <c r="B774" s="1" t="n">
        <v>45946.50797453704</v>
      </c>
      <c r="C774" s="1" t="n">
        <v>46160</v>
      </c>
      <c r="D774" t="inlineStr">
        <is>
          <t>JÄMTLANDS LÄN</t>
        </is>
      </c>
      <c r="E774" t="inlineStr">
        <is>
          <t>KROKOM</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14233-2025</t>
        </is>
      </c>
      <c r="B775" s="1" t="n">
        <v>45740</v>
      </c>
      <c r="C775" s="1" t="n">
        <v>46160</v>
      </c>
      <c r="D775" t="inlineStr">
        <is>
          <t>JÄMTLANDS LÄN</t>
        </is>
      </c>
      <c r="E775" t="inlineStr">
        <is>
          <t>KROKOM</t>
        </is>
      </c>
      <c r="F775" t="inlineStr">
        <is>
          <t>Övriga statliga verk och myndigheter</t>
        </is>
      </c>
      <c r="G775" t="n">
        <v>2.5</v>
      </c>
      <c r="H775" t="n">
        <v>0</v>
      </c>
      <c r="I775" t="n">
        <v>0</v>
      </c>
      <c r="J775" t="n">
        <v>0</v>
      </c>
      <c r="K775" t="n">
        <v>0</v>
      </c>
      <c r="L775" t="n">
        <v>0</v>
      </c>
      <c r="M775" t="n">
        <v>0</v>
      </c>
      <c r="N775" t="n">
        <v>0</v>
      </c>
      <c r="O775" t="n">
        <v>0</v>
      </c>
      <c r="P775" t="n">
        <v>0</v>
      </c>
      <c r="Q775" t="n">
        <v>0</v>
      </c>
      <c r="R775" s="2" t="inlineStr"/>
    </row>
    <row r="776" ht="15" customHeight="1">
      <c r="A776" t="inlineStr">
        <is>
          <t>A 52217-2024</t>
        </is>
      </c>
      <c r="B776" s="1" t="n">
        <v>45607</v>
      </c>
      <c r="C776" s="1" t="n">
        <v>46160</v>
      </c>
      <c r="D776" t="inlineStr">
        <is>
          <t>JÄMTLANDS LÄN</t>
        </is>
      </c>
      <c r="E776" t="inlineStr">
        <is>
          <t>KROKOM</t>
        </is>
      </c>
      <c r="G776" t="n">
        <v>0.2</v>
      </c>
      <c r="H776" t="n">
        <v>0</v>
      </c>
      <c r="I776" t="n">
        <v>0</v>
      </c>
      <c r="J776" t="n">
        <v>0</v>
      </c>
      <c r="K776" t="n">
        <v>0</v>
      </c>
      <c r="L776" t="n">
        <v>0</v>
      </c>
      <c r="M776" t="n">
        <v>0</v>
      </c>
      <c r="N776" t="n">
        <v>0</v>
      </c>
      <c r="O776" t="n">
        <v>0</v>
      </c>
      <c r="P776" t="n">
        <v>0</v>
      </c>
      <c r="Q776" t="n">
        <v>0</v>
      </c>
      <c r="R776" s="2" t="inlineStr"/>
    </row>
    <row r="777" ht="15" customHeight="1">
      <c r="A777" t="inlineStr">
        <is>
          <t>A 12838-2025</t>
        </is>
      </c>
      <c r="B777" s="1" t="n">
        <v>45733</v>
      </c>
      <c r="C777" s="1" t="n">
        <v>46160</v>
      </c>
      <c r="D777" t="inlineStr">
        <is>
          <t>JÄMTLANDS LÄN</t>
        </is>
      </c>
      <c r="E777" t="inlineStr">
        <is>
          <t>KROKOM</t>
        </is>
      </c>
      <c r="G777" t="n">
        <v>59.3</v>
      </c>
      <c r="H777" t="n">
        <v>0</v>
      </c>
      <c r="I777" t="n">
        <v>0</v>
      </c>
      <c r="J777" t="n">
        <v>0</v>
      </c>
      <c r="K777" t="n">
        <v>0</v>
      </c>
      <c r="L777" t="n">
        <v>0</v>
      </c>
      <c r="M777" t="n">
        <v>0</v>
      </c>
      <c r="N777" t="n">
        <v>0</v>
      </c>
      <c r="O777" t="n">
        <v>0</v>
      </c>
      <c r="P777" t="n">
        <v>0</v>
      </c>
      <c r="Q777" t="n">
        <v>0</v>
      </c>
      <c r="R777" s="2" t="inlineStr"/>
    </row>
    <row r="778" ht="15" customHeight="1">
      <c r="A778" t="inlineStr">
        <is>
          <t>A 2609-2023</t>
        </is>
      </c>
      <c r="B778" s="1" t="n">
        <v>44939</v>
      </c>
      <c r="C778" s="1" t="n">
        <v>46160</v>
      </c>
      <c r="D778" t="inlineStr">
        <is>
          <t>JÄMTLANDS LÄN</t>
        </is>
      </c>
      <c r="E778" t="inlineStr">
        <is>
          <t>KROKOM</t>
        </is>
      </c>
      <c r="G778" t="n">
        <v>16.9</v>
      </c>
      <c r="H778" t="n">
        <v>0</v>
      </c>
      <c r="I778" t="n">
        <v>0</v>
      </c>
      <c r="J778" t="n">
        <v>0</v>
      </c>
      <c r="K778" t="n">
        <v>0</v>
      </c>
      <c r="L778" t="n">
        <v>0</v>
      </c>
      <c r="M778" t="n">
        <v>0</v>
      </c>
      <c r="N778" t="n">
        <v>0</v>
      </c>
      <c r="O778" t="n">
        <v>0</v>
      </c>
      <c r="P778" t="n">
        <v>0</v>
      </c>
      <c r="Q778" t="n">
        <v>0</v>
      </c>
      <c r="R778" s="2" t="inlineStr"/>
    </row>
    <row r="779" ht="15" customHeight="1">
      <c r="A779" t="inlineStr">
        <is>
          <t>A 10397-2025</t>
        </is>
      </c>
      <c r="B779" s="1" t="n">
        <v>45720.60774305555</v>
      </c>
      <c r="C779" s="1" t="n">
        <v>46160</v>
      </c>
      <c r="D779" t="inlineStr">
        <is>
          <t>JÄMTLANDS LÄN</t>
        </is>
      </c>
      <c r="E779" t="inlineStr">
        <is>
          <t>KROKOM</t>
        </is>
      </c>
      <c r="F779" t="inlineStr">
        <is>
          <t>Övriga Aktiebolag</t>
        </is>
      </c>
      <c r="G779" t="n">
        <v>32.9</v>
      </c>
      <c r="H779" t="n">
        <v>0</v>
      </c>
      <c r="I779" t="n">
        <v>0</v>
      </c>
      <c r="J779" t="n">
        <v>0</v>
      </c>
      <c r="K779" t="n">
        <v>0</v>
      </c>
      <c r="L779" t="n">
        <v>0</v>
      </c>
      <c r="M779" t="n">
        <v>0</v>
      </c>
      <c r="N779" t="n">
        <v>0</v>
      </c>
      <c r="O779" t="n">
        <v>0</v>
      </c>
      <c r="P779" t="n">
        <v>0</v>
      </c>
      <c r="Q779" t="n">
        <v>0</v>
      </c>
      <c r="R779" s="2" t="inlineStr"/>
    </row>
    <row r="780" ht="15" customHeight="1">
      <c r="A780" t="inlineStr">
        <is>
          <t>A 47060-2024</t>
        </is>
      </c>
      <c r="B780" s="1" t="n">
        <v>45586.46927083333</v>
      </c>
      <c r="C780" s="1" t="n">
        <v>46160</v>
      </c>
      <c r="D780" t="inlineStr">
        <is>
          <t>JÄMTLANDS LÄN</t>
        </is>
      </c>
      <c r="E780" t="inlineStr">
        <is>
          <t>KROKOM</t>
        </is>
      </c>
      <c r="G780" t="n">
        <v>2.9</v>
      </c>
      <c r="H780" t="n">
        <v>0</v>
      </c>
      <c r="I780" t="n">
        <v>0</v>
      </c>
      <c r="J780" t="n">
        <v>0</v>
      </c>
      <c r="K780" t="n">
        <v>0</v>
      </c>
      <c r="L780" t="n">
        <v>0</v>
      </c>
      <c r="M780" t="n">
        <v>0</v>
      </c>
      <c r="N780" t="n">
        <v>0</v>
      </c>
      <c r="O780" t="n">
        <v>0</v>
      </c>
      <c r="P780" t="n">
        <v>0</v>
      </c>
      <c r="Q780" t="n">
        <v>0</v>
      </c>
      <c r="R780" s="2" t="inlineStr"/>
    </row>
    <row r="781" ht="15" customHeight="1">
      <c r="A781" t="inlineStr">
        <is>
          <t>A 35985-2025</t>
        </is>
      </c>
      <c r="B781" s="1" t="n">
        <v>45863.45778935185</v>
      </c>
      <c r="C781" s="1" t="n">
        <v>46160</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53541-2024</t>
        </is>
      </c>
      <c r="B782" s="1" t="n">
        <v>45614.63606481482</v>
      </c>
      <c r="C782" s="1" t="n">
        <v>46160</v>
      </c>
      <c r="D782" t="inlineStr">
        <is>
          <t>JÄMTLANDS LÄN</t>
        </is>
      </c>
      <c r="E782" t="inlineStr">
        <is>
          <t>KROKOM</t>
        </is>
      </c>
      <c r="G782" t="n">
        <v>0.5</v>
      </c>
      <c r="H782" t="n">
        <v>0</v>
      </c>
      <c r="I782" t="n">
        <v>0</v>
      </c>
      <c r="J782" t="n">
        <v>0</v>
      </c>
      <c r="K782" t="n">
        <v>0</v>
      </c>
      <c r="L782" t="n">
        <v>0</v>
      </c>
      <c r="M782" t="n">
        <v>0</v>
      </c>
      <c r="N782" t="n">
        <v>0</v>
      </c>
      <c r="O782" t="n">
        <v>0</v>
      </c>
      <c r="P782" t="n">
        <v>0</v>
      </c>
      <c r="Q782" t="n">
        <v>0</v>
      </c>
      <c r="R782" s="2" t="inlineStr"/>
    </row>
    <row r="783" ht="15" customHeight="1">
      <c r="A783" t="inlineStr">
        <is>
          <t>A 53544-2024</t>
        </is>
      </c>
      <c r="B783" s="1" t="n">
        <v>45614.63701388889</v>
      </c>
      <c r="C783" s="1" t="n">
        <v>46160</v>
      </c>
      <c r="D783" t="inlineStr">
        <is>
          <t>JÄMTLANDS LÄN</t>
        </is>
      </c>
      <c r="E783" t="inlineStr">
        <is>
          <t>KROKOM</t>
        </is>
      </c>
      <c r="G783" t="n">
        <v>0.4</v>
      </c>
      <c r="H783" t="n">
        <v>0</v>
      </c>
      <c r="I783" t="n">
        <v>0</v>
      </c>
      <c r="J783" t="n">
        <v>0</v>
      </c>
      <c r="K783" t="n">
        <v>0</v>
      </c>
      <c r="L783" t="n">
        <v>0</v>
      </c>
      <c r="M783" t="n">
        <v>0</v>
      </c>
      <c r="N783" t="n">
        <v>0</v>
      </c>
      <c r="O783" t="n">
        <v>0</v>
      </c>
      <c r="P783" t="n">
        <v>0</v>
      </c>
      <c r="Q783" t="n">
        <v>0</v>
      </c>
      <c r="R783" s="2" t="inlineStr"/>
    </row>
    <row r="784" ht="15" customHeight="1">
      <c r="A784" t="inlineStr">
        <is>
          <t>A 6924-2026</t>
        </is>
      </c>
      <c r="B784" s="1" t="n">
        <v>46057.54111111111</v>
      </c>
      <c r="C784" s="1" t="n">
        <v>46160</v>
      </c>
      <c r="D784" t="inlineStr">
        <is>
          <t>JÄMTLANDS LÄN</t>
        </is>
      </c>
      <c r="E784" t="inlineStr">
        <is>
          <t>KROKOM</t>
        </is>
      </c>
      <c r="G784" t="n">
        <v>14.8</v>
      </c>
      <c r="H784" t="n">
        <v>0</v>
      </c>
      <c r="I784" t="n">
        <v>0</v>
      </c>
      <c r="J784" t="n">
        <v>0</v>
      </c>
      <c r="K784" t="n">
        <v>0</v>
      </c>
      <c r="L784" t="n">
        <v>0</v>
      </c>
      <c r="M784" t="n">
        <v>0</v>
      </c>
      <c r="N784" t="n">
        <v>0</v>
      </c>
      <c r="O784" t="n">
        <v>0</v>
      </c>
      <c r="P784" t="n">
        <v>0</v>
      </c>
      <c r="Q784" t="n">
        <v>0</v>
      </c>
      <c r="R784" s="2" t="inlineStr"/>
    </row>
    <row r="785" ht="15" customHeight="1">
      <c r="A785" t="inlineStr">
        <is>
          <t>A 6825-2026</t>
        </is>
      </c>
      <c r="B785" s="1" t="n">
        <v>46057.39299768519</v>
      </c>
      <c r="C785" s="1" t="n">
        <v>46160</v>
      </c>
      <c r="D785" t="inlineStr">
        <is>
          <t>JÄMTLANDS LÄN</t>
        </is>
      </c>
      <c r="E785" t="inlineStr">
        <is>
          <t>KROKOM</t>
        </is>
      </c>
      <c r="G785" t="n">
        <v>2.4</v>
      </c>
      <c r="H785" t="n">
        <v>0</v>
      </c>
      <c r="I785" t="n">
        <v>0</v>
      </c>
      <c r="J785" t="n">
        <v>0</v>
      </c>
      <c r="K785" t="n">
        <v>0</v>
      </c>
      <c r="L785" t="n">
        <v>0</v>
      </c>
      <c r="M785" t="n">
        <v>0</v>
      </c>
      <c r="N785" t="n">
        <v>0</v>
      </c>
      <c r="O785" t="n">
        <v>0</v>
      </c>
      <c r="P785" t="n">
        <v>0</v>
      </c>
      <c r="Q785" t="n">
        <v>0</v>
      </c>
      <c r="R785" s="2" t="inlineStr"/>
    </row>
    <row r="786" ht="15" customHeight="1">
      <c r="A786" t="inlineStr">
        <is>
          <t>A 36044-2025</t>
        </is>
      </c>
      <c r="B786" s="1" t="n">
        <v>45863</v>
      </c>
      <c r="C786" s="1" t="n">
        <v>46160</v>
      </c>
      <c r="D786" t="inlineStr">
        <is>
          <t>JÄMTLANDS LÄN</t>
        </is>
      </c>
      <c r="E786" t="inlineStr">
        <is>
          <t>KROKOM</t>
        </is>
      </c>
      <c r="G786" t="n">
        <v>7.4</v>
      </c>
      <c r="H786" t="n">
        <v>0</v>
      </c>
      <c r="I786" t="n">
        <v>0</v>
      </c>
      <c r="J786" t="n">
        <v>0</v>
      </c>
      <c r="K786" t="n">
        <v>0</v>
      </c>
      <c r="L786" t="n">
        <v>0</v>
      </c>
      <c r="M786" t="n">
        <v>0</v>
      </c>
      <c r="N786" t="n">
        <v>0</v>
      </c>
      <c r="O786" t="n">
        <v>0</v>
      </c>
      <c r="P786" t="n">
        <v>0</v>
      </c>
      <c r="Q786" t="n">
        <v>0</v>
      </c>
      <c r="R786" s="2" t="inlineStr"/>
    </row>
    <row r="787" ht="15" customHeight="1">
      <c r="A787" t="inlineStr">
        <is>
          <t>A 6882-2026</t>
        </is>
      </c>
      <c r="B787" s="1" t="n">
        <v>46057.46314814815</v>
      </c>
      <c r="C787" s="1" t="n">
        <v>46160</v>
      </c>
      <c r="D787" t="inlineStr">
        <is>
          <t>JÄMTLANDS LÄN</t>
        </is>
      </c>
      <c r="E787" t="inlineStr">
        <is>
          <t>KROKOM</t>
        </is>
      </c>
      <c r="G787" t="n">
        <v>28</v>
      </c>
      <c r="H787" t="n">
        <v>0</v>
      </c>
      <c r="I787" t="n">
        <v>0</v>
      </c>
      <c r="J787" t="n">
        <v>0</v>
      </c>
      <c r="K787" t="n">
        <v>0</v>
      </c>
      <c r="L787" t="n">
        <v>0</v>
      </c>
      <c r="M787" t="n">
        <v>0</v>
      </c>
      <c r="N787" t="n">
        <v>0</v>
      </c>
      <c r="O787" t="n">
        <v>0</v>
      </c>
      <c r="P787" t="n">
        <v>0</v>
      </c>
      <c r="Q787" t="n">
        <v>0</v>
      </c>
      <c r="R787" s="2" t="inlineStr"/>
    </row>
    <row r="788" ht="15" customHeight="1">
      <c r="A788" t="inlineStr">
        <is>
          <t>A 50455-2025</t>
        </is>
      </c>
      <c r="B788" s="1" t="n">
        <v>45945.33297453704</v>
      </c>
      <c r="C788" s="1" t="n">
        <v>46160</v>
      </c>
      <c r="D788" t="inlineStr">
        <is>
          <t>JÄMTLANDS LÄN</t>
        </is>
      </c>
      <c r="E788" t="inlineStr">
        <is>
          <t>KROKOM</t>
        </is>
      </c>
      <c r="G788" t="n">
        <v>2.5</v>
      </c>
      <c r="H788" t="n">
        <v>0</v>
      </c>
      <c r="I788" t="n">
        <v>0</v>
      </c>
      <c r="J788" t="n">
        <v>0</v>
      </c>
      <c r="K788" t="n">
        <v>0</v>
      </c>
      <c r="L788" t="n">
        <v>0</v>
      </c>
      <c r="M788" t="n">
        <v>0</v>
      </c>
      <c r="N788" t="n">
        <v>0</v>
      </c>
      <c r="O788" t="n">
        <v>0</v>
      </c>
      <c r="P788" t="n">
        <v>0</v>
      </c>
      <c r="Q788" t="n">
        <v>0</v>
      </c>
      <c r="R788" s="2" t="inlineStr"/>
    </row>
    <row r="789" ht="15" customHeight="1">
      <c r="A789" t="inlineStr">
        <is>
          <t>A 36182-2025</t>
        </is>
      </c>
      <c r="B789" s="1" t="n">
        <v>45867.41707175926</v>
      </c>
      <c r="C789" s="1" t="n">
        <v>46160</v>
      </c>
      <c r="D789" t="inlineStr">
        <is>
          <t>JÄMTLANDS LÄN</t>
        </is>
      </c>
      <c r="E789" t="inlineStr">
        <is>
          <t>KROKOM</t>
        </is>
      </c>
      <c r="G789" t="n">
        <v>4.1</v>
      </c>
      <c r="H789" t="n">
        <v>0</v>
      </c>
      <c r="I789" t="n">
        <v>0</v>
      </c>
      <c r="J789" t="n">
        <v>0</v>
      </c>
      <c r="K789" t="n">
        <v>0</v>
      </c>
      <c r="L789" t="n">
        <v>0</v>
      </c>
      <c r="M789" t="n">
        <v>0</v>
      </c>
      <c r="N789" t="n">
        <v>0</v>
      </c>
      <c r="O789" t="n">
        <v>0</v>
      </c>
      <c r="P789" t="n">
        <v>0</v>
      </c>
      <c r="Q789" t="n">
        <v>0</v>
      </c>
      <c r="R789" s="2" t="inlineStr"/>
    </row>
    <row r="790" ht="15" customHeight="1">
      <c r="A790" t="inlineStr">
        <is>
          <t>A 36209-2025</t>
        </is>
      </c>
      <c r="B790" s="1" t="n">
        <v>45867.46560185185</v>
      </c>
      <c r="C790" s="1" t="n">
        <v>46160</v>
      </c>
      <c r="D790" t="inlineStr">
        <is>
          <t>JÄMTLANDS LÄN</t>
        </is>
      </c>
      <c r="E790" t="inlineStr">
        <is>
          <t>KROKOM</t>
        </is>
      </c>
      <c r="G790" t="n">
        <v>9.4</v>
      </c>
      <c r="H790" t="n">
        <v>0</v>
      </c>
      <c r="I790" t="n">
        <v>0</v>
      </c>
      <c r="J790" t="n">
        <v>0</v>
      </c>
      <c r="K790" t="n">
        <v>0</v>
      </c>
      <c r="L790" t="n">
        <v>0</v>
      </c>
      <c r="M790" t="n">
        <v>0</v>
      </c>
      <c r="N790" t="n">
        <v>0</v>
      </c>
      <c r="O790" t="n">
        <v>0</v>
      </c>
      <c r="P790" t="n">
        <v>0</v>
      </c>
      <c r="Q790" t="n">
        <v>0</v>
      </c>
      <c r="R790" s="2" t="inlineStr"/>
    </row>
    <row r="791" ht="15" customHeight="1">
      <c r="A791" t="inlineStr">
        <is>
          <t>A 51317-2025</t>
        </is>
      </c>
      <c r="B791" s="1" t="n">
        <v>45950.38090277778</v>
      </c>
      <c r="C791" s="1" t="n">
        <v>46160</v>
      </c>
      <c r="D791" t="inlineStr">
        <is>
          <t>JÄMTLANDS LÄN</t>
        </is>
      </c>
      <c r="E791" t="inlineStr">
        <is>
          <t>KROKOM</t>
        </is>
      </c>
      <c r="G791" t="n">
        <v>0.7</v>
      </c>
      <c r="H791" t="n">
        <v>0</v>
      </c>
      <c r="I791" t="n">
        <v>0</v>
      </c>
      <c r="J791" t="n">
        <v>0</v>
      </c>
      <c r="K791" t="n">
        <v>0</v>
      </c>
      <c r="L791" t="n">
        <v>0</v>
      </c>
      <c r="M791" t="n">
        <v>0</v>
      </c>
      <c r="N791" t="n">
        <v>0</v>
      </c>
      <c r="O791" t="n">
        <v>0</v>
      </c>
      <c r="P791" t="n">
        <v>0</v>
      </c>
      <c r="Q791" t="n">
        <v>0</v>
      </c>
      <c r="R791" s="2" t="inlineStr"/>
    </row>
    <row r="792" ht="15" customHeight="1">
      <c r="A792" t="inlineStr">
        <is>
          <t>A 32318-2025</t>
        </is>
      </c>
      <c r="B792" s="1" t="n">
        <v>45836.34413194445</v>
      </c>
      <c r="C792" s="1" t="n">
        <v>46160</v>
      </c>
      <c r="D792" t="inlineStr">
        <is>
          <t>JÄMTLANDS LÄN</t>
        </is>
      </c>
      <c r="E792" t="inlineStr">
        <is>
          <t>KROKOM</t>
        </is>
      </c>
      <c r="F792" t="inlineStr">
        <is>
          <t>SCA</t>
        </is>
      </c>
      <c r="G792" t="n">
        <v>13.8</v>
      </c>
      <c r="H792" t="n">
        <v>0</v>
      </c>
      <c r="I792" t="n">
        <v>0</v>
      </c>
      <c r="J792" t="n">
        <v>0</v>
      </c>
      <c r="K792" t="n">
        <v>0</v>
      </c>
      <c r="L792" t="n">
        <v>0</v>
      </c>
      <c r="M792" t="n">
        <v>0</v>
      </c>
      <c r="N792" t="n">
        <v>0</v>
      </c>
      <c r="O792" t="n">
        <v>0</v>
      </c>
      <c r="P792" t="n">
        <v>0</v>
      </c>
      <c r="Q792" t="n">
        <v>0</v>
      </c>
      <c r="R792" s="2" t="inlineStr"/>
    </row>
    <row r="793" ht="15" customHeight="1">
      <c r="A793" t="inlineStr">
        <is>
          <t>A 52086-2024</t>
        </is>
      </c>
      <c r="B793" s="1" t="n">
        <v>45608</v>
      </c>
      <c r="C793" s="1" t="n">
        <v>46160</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34801-2023</t>
        </is>
      </c>
      <c r="B794" s="1" t="n">
        <v>45140</v>
      </c>
      <c r="C794" s="1" t="n">
        <v>46160</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26721-2023</t>
        </is>
      </c>
      <c r="B795" s="1" t="n">
        <v>45090</v>
      </c>
      <c r="C795" s="1" t="n">
        <v>46160</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25775-2024</t>
        </is>
      </c>
      <c r="B796" s="1" t="n">
        <v>45466.62116898148</v>
      </c>
      <c r="C796" s="1" t="n">
        <v>46160</v>
      </c>
      <c r="D796" t="inlineStr">
        <is>
          <t>JÄMTLANDS LÄN</t>
        </is>
      </c>
      <c r="E796" t="inlineStr">
        <is>
          <t>KROKOM</t>
        </is>
      </c>
      <c r="G796" t="n">
        <v>1.7</v>
      </c>
      <c r="H796" t="n">
        <v>0</v>
      </c>
      <c r="I796" t="n">
        <v>0</v>
      </c>
      <c r="J796" t="n">
        <v>0</v>
      </c>
      <c r="K796" t="n">
        <v>0</v>
      </c>
      <c r="L796" t="n">
        <v>0</v>
      </c>
      <c r="M796" t="n">
        <v>0</v>
      </c>
      <c r="N796" t="n">
        <v>0</v>
      </c>
      <c r="O796" t="n">
        <v>0</v>
      </c>
      <c r="P796" t="n">
        <v>0</v>
      </c>
      <c r="Q796" t="n">
        <v>0</v>
      </c>
      <c r="R796" s="2" t="inlineStr"/>
    </row>
    <row r="797" ht="15" customHeight="1">
      <c r="A797" t="inlineStr">
        <is>
          <t>A 33451-2025</t>
        </is>
      </c>
      <c r="B797" s="1" t="n">
        <v>45841.46925925926</v>
      </c>
      <c r="C797" s="1" t="n">
        <v>46160</v>
      </c>
      <c r="D797" t="inlineStr">
        <is>
          <t>JÄMTLANDS LÄN</t>
        </is>
      </c>
      <c r="E797" t="inlineStr">
        <is>
          <t>KROKOM</t>
        </is>
      </c>
      <c r="F797" t="inlineStr">
        <is>
          <t>SCA</t>
        </is>
      </c>
      <c r="G797" t="n">
        <v>17.5</v>
      </c>
      <c r="H797" t="n">
        <v>0</v>
      </c>
      <c r="I797" t="n">
        <v>0</v>
      </c>
      <c r="J797" t="n">
        <v>0</v>
      </c>
      <c r="K797" t="n">
        <v>0</v>
      </c>
      <c r="L797" t="n">
        <v>0</v>
      </c>
      <c r="M797" t="n">
        <v>0</v>
      </c>
      <c r="N797" t="n">
        <v>0</v>
      </c>
      <c r="O797" t="n">
        <v>0</v>
      </c>
      <c r="P797" t="n">
        <v>0</v>
      </c>
      <c r="Q797" t="n">
        <v>0</v>
      </c>
      <c r="R797" s="2" t="inlineStr"/>
    </row>
    <row r="798" ht="15" customHeight="1">
      <c r="A798" t="inlineStr">
        <is>
          <t>A 31277-2025</t>
        </is>
      </c>
      <c r="B798" s="1" t="n">
        <v>45833.34490740741</v>
      </c>
      <c r="C798" s="1" t="n">
        <v>46160</v>
      </c>
      <c r="D798" t="inlineStr">
        <is>
          <t>JÄMTLANDS LÄN</t>
        </is>
      </c>
      <c r="E798" t="inlineStr">
        <is>
          <t>KROKOM</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7130-2026</t>
        </is>
      </c>
      <c r="B799" s="1" t="n">
        <v>46058.39744212963</v>
      </c>
      <c r="C799" s="1" t="n">
        <v>46160</v>
      </c>
      <c r="D799" t="inlineStr">
        <is>
          <t>JÄMTLANDS LÄN</t>
        </is>
      </c>
      <c r="E799" t="inlineStr">
        <is>
          <t>KROKOM</t>
        </is>
      </c>
      <c r="G799" t="n">
        <v>0.6</v>
      </c>
      <c r="H799" t="n">
        <v>0</v>
      </c>
      <c r="I799" t="n">
        <v>0</v>
      </c>
      <c r="J799" t="n">
        <v>0</v>
      </c>
      <c r="K799" t="n">
        <v>0</v>
      </c>
      <c r="L799" t="n">
        <v>0</v>
      </c>
      <c r="M799" t="n">
        <v>0</v>
      </c>
      <c r="N799" t="n">
        <v>0</v>
      </c>
      <c r="O799" t="n">
        <v>0</v>
      </c>
      <c r="P799" t="n">
        <v>0</v>
      </c>
      <c r="Q799" t="n">
        <v>0</v>
      </c>
      <c r="R799" s="2" t="inlineStr"/>
    </row>
    <row r="800" ht="15" customHeight="1">
      <c r="A800" t="inlineStr">
        <is>
          <t>A 51470-2025</t>
        </is>
      </c>
      <c r="B800" s="1" t="n">
        <v>45950.61659722222</v>
      </c>
      <c r="C800" s="1" t="n">
        <v>46160</v>
      </c>
      <c r="D800" t="inlineStr">
        <is>
          <t>JÄMTLANDS LÄN</t>
        </is>
      </c>
      <c r="E800" t="inlineStr">
        <is>
          <t>KROKOM</t>
        </is>
      </c>
      <c r="G800" t="n">
        <v>0.2</v>
      </c>
      <c r="H800" t="n">
        <v>0</v>
      </c>
      <c r="I800" t="n">
        <v>0</v>
      </c>
      <c r="J800" t="n">
        <v>0</v>
      </c>
      <c r="K800" t="n">
        <v>0</v>
      </c>
      <c r="L800" t="n">
        <v>0</v>
      </c>
      <c r="M800" t="n">
        <v>0</v>
      </c>
      <c r="N800" t="n">
        <v>0</v>
      </c>
      <c r="O800" t="n">
        <v>0</v>
      </c>
      <c r="P800" t="n">
        <v>0</v>
      </c>
      <c r="Q800" t="n">
        <v>0</v>
      </c>
      <c r="R800" s="2" t="inlineStr"/>
    </row>
    <row r="801" ht="15" customHeight="1">
      <c r="A801" t="inlineStr">
        <is>
          <t>A 51471-2025</t>
        </is>
      </c>
      <c r="B801" s="1" t="n">
        <v>45950.61703703704</v>
      </c>
      <c r="C801" s="1" t="n">
        <v>46160</v>
      </c>
      <c r="D801" t="inlineStr">
        <is>
          <t>JÄMTLANDS LÄN</t>
        </is>
      </c>
      <c r="E801" t="inlineStr">
        <is>
          <t>KROKOM</t>
        </is>
      </c>
      <c r="G801" t="n">
        <v>0.4</v>
      </c>
      <c r="H801" t="n">
        <v>0</v>
      </c>
      <c r="I801" t="n">
        <v>0</v>
      </c>
      <c r="J801" t="n">
        <v>0</v>
      </c>
      <c r="K801" t="n">
        <v>0</v>
      </c>
      <c r="L801" t="n">
        <v>0</v>
      </c>
      <c r="M801" t="n">
        <v>0</v>
      </c>
      <c r="N801" t="n">
        <v>0</v>
      </c>
      <c r="O801" t="n">
        <v>0</v>
      </c>
      <c r="P801" t="n">
        <v>0</v>
      </c>
      <c r="Q801" t="n">
        <v>0</v>
      </c>
      <c r="R801" s="2" t="inlineStr"/>
    </row>
    <row r="802" ht="15" customHeight="1">
      <c r="A802" t="inlineStr">
        <is>
          <t>A 51472-2025</t>
        </is>
      </c>
      <c r="B802" s="1" t="n">
        <v>45950.61744212963</v>
      </c>
      <c r="C802" s="1" t="n">
        <v>46160</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37615-2025</t>
        </is>
      </c>
      <c r="B803" s="1" t="n">
        <v>45880</v>
      </c>
      <c r="C803" s="1" t="n">
        <v>46160</v>
      </c>
      <c r="D803" t="inlineStr">
        <is>
          <t>JÄMTLANDS LÄN</t>
        </is>
      </c>
      <c r="E803" t="inlineStr">
        <is>
          <t>KROKOM</t>
        </is>
      </c>
      <c r="G803" t="n">
        <v>33.6</v>
      </c>
      <c r="H803" t="n">
        <v>0</v>
      </c>
      <c r="I803" t="n">
        <v>0</v>
      </c>
      <c r="J803" t="n">
        <v>0</v>
      </c>
      <c r="K803" t="n">
        <v>0</v>
      </c>
      <c r="L803" t="n">
        <v>0</v>
      </c>
      <c r="M803" t="n">
        <v>0</v>
      </c>
      <c r="N803" t="n">
        <v>0</v>
      </c>
      <c r="O803" t="n">
        <v>0</v>
      </c>
      <c r="P803" t="n">
        <v>0</v>
      </c>
      <c r="Q803" t="n">
        <v>0</v>
      </c>
      <c r="R803" s="2" t="inlineStr"/>
    </row>
    <row r="804" ht="15" customHeight="1">
      <c r="A804" t="inlineStr">
        <is>
          <t>A 60172-2024</t>
        </is>
      </c>
      <c r="B804" s="1" t="n">
        <v>45642.6366087963</v>
      </c>
      <c r="C804" s="1" t="n">
        <v>46160</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23601-2021</t>
        </is>
      </c>
      <c r="B805" s="1" t="n">
        <v>44334</v>
      </c>
      <c r="C805" s="1" t="n">
        <v>46160</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6066-2025</t>
        </is>
      </c>
      <c r="B806" s="1" t="n">
        <v>45696.3440162037</v>
      </c>
      <c r="C806" s="1" t="n">
        <v>46160</v>
      </c>
      <c r="D806" t="inlineStr">
        <is>
          <t>JÄMTLANDS LÄN</t>
        </is>
      </c>
      <c r="E806" t="inlineStr">
        <is>
          <t>KROKOM</t>
        </is>
      </c>
      <c r="G806" t="n">
        <v>5.3</v>
      </c>
      <c r="H806" t="n">
        <v>0</v>
      </c>
      <c r="I806" t="n">
        <v>0</v>
      </c>
      <c r="J806" t="n">
        <v>0</v>
      </c>
      <c r="K806" t="n">
        <v>0</v>
      </c>
      <c r="L806" t="n">
        <v>0</v>
      </c>
      <c r="M806" t="n">
        <v>0</v>
      </c>
      <c r="N806" t="n">
        <v>0</v>
      </c>
      <c r="O806" t="n">
        <v>0</v>
      </c>
      <c r="P806" t="n">
        <v>0</v>
      </c>
      <c r="Q806" t="n">
        <v>0</v>
      </c>
      <c r="R806" s="2" t="inlineStr"/>
    </row>
    <row r="807" ht="15" customHeight="1">
      <c r="A807" t="inlineStr">
        <is>
          <t>A 30175-2025</t>
        </is>
      </c>
      <c r="B807" s="1" t="n">
        <v>45827.34488425926</v>
      </c>
      <c r="C807" s="1" t="n">
        <v>46160</v>
      </c>
      <c r="D807" t="inlineStr">
        <is>
          <t>JÄMTLANDS LÄN</t>
        </is>
      </c>
      <c r="E807" t="inlineStr">
        <is>
          <t>KROKOM</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59619-2024</t>
        </is>
      </c>
      <c r="B808" s="1" t="n">
        <v>45638.81375</v>
      </c>
      <c r="C808" s="1" t="n">
        <v>46160</v>
      </c>
      <c r="D808" t="inlineStr">
        <is>
          <t>JÄMTLANDS LÄN</t>
        </is>
      </c>
      <c r="E808" t="inlineStr">
        <is>
          <t>KROKOM</t>
        </is>
      </c>
      <c r="G808" t="n">
        <v>0.4</v>
      </c>
      <c r="H808" t="n">
        <v>0</v>
      </c>
      <c r="I808" t="n">
        <v>0</v>
      </c>
      <c r="J808" t="n">
        <v>0</v>
      </c>
      <c r="K808" t="n">
        <v>0</v>
      </c>
      <c r="L808" t="n">
        <v>0</v>
      </c>
      <c r="M808" t="n">
        <v>0</v>
      </c>
      <c r="N808" t="n">
        <v>0</v>
      </c>
      <c r="O808" t="n">
        <v>0</v>
      </c>
      <c r="P808" t="n">
        <v>0</v>
      </c>
      <c r="Q808" t="n">
        <v>0</v>
      </c>
      <c r="R808" s="2" t="inlineStr"/>
    </row>
    <row r="809" ht="15" customHeight="1">
      <c r="A809" t="inlineStr">
        <is>
          <t>A 36429-2025</t>
        </is>
      </c>
      <c r="B809" s="1" t="n">
        <v>45869.34439814815</v>
      </c>
      <c r="C809" s="1" t="n">
        <v>46160</v>
      </c>
      <c r="D809" t="inlineStr">
        <is>
          <t>JÄMTLANDS LÄN</t>
        </is>
      </c>
      <c r="E809" t="inlineStr">
        <is>
          <t>KROKOM</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50990-2025</t>
        </is>
      </c>
      <c r="B810" s="1" t="n">
        <v>45947.34591435185</v>
      </c>
      <c r="C810" s="1" t="n">
        <v>46160</v>
      </c>
      <c r="D810" t="inlineStr">
        <is>
          <t>JÄMTLANDS LÄN</t>
        </is>
      </c>
      <c r="E810" t="inlineStr">
        <is>
          <t>KROKOM</t>
        </is>
      </c>
      <c r="G810" t="n">
        <v>5.3</v>
      </c>
      <c r="H810" t="n">
        <v>0</v>
      </c>
      <c r="I810" t="n">
        <v>0</v>
      </c>
      <c r="J810" t="n">
        <v>0</v>
      </c>
      <c r="K810" t="n">
        <v>0</v>
      </c>
      <c r="L810" t="n">
        <v>0</v>
      </c>
      <c r="M810" t="n">
        <v>0</v>
      </c>
      <c r="N810" t="n">
        <v>0</v>
      </c>
      <c r="O810" t="n">
        <v>0</v>
      </c>
      <c r="P810" t="n">
        <v>0</v>
      </c>
      <c r="Q810" t="n">
        <v>0</v>
      </c>
      <c r="R810" s="2" t="inlineStr"/>
    </row>
    <row r="811" ht="15" customHeight="1">
      <c r="A811" t="inlineStr">
        <is>
          <t>A 7118-2026</t>
        </is>
      </c>
      <c r="B811" s="1" t="n">
        <v>46058.37922453704</v>
      </c>
      <c r="C811" s="1" t="n">
        <v>46160</v>
      </c>
      <c r="D811" t="inlineStr">
        <is>
          <t>JÄMTLANDS LÄN</t>
        </is>
      </c>
      <c r="E811" t="inlineStr">
        <is>
          <t>KROKOM</t>
        </is>
      </c>
      <c r="G811" t="n">
        <v>2</v>
      </c>
      <c r="H811" t="n">
        <v>0</v>
      </c>
      <c r="I811" t="n">
        <v>0</v>
      </c>
      <c r="J811" t="n">
        <v>0</v>
      </c>
      <c r="K811" t="n">
        <v>0</v>
      </c>
      <c r="L811" t="n">
        <v>0</v>
      </c>
      <c r="M811" t="n">
        <v>0</v>
      </c>
      <c r="N811" t="n">
        <v>0</v>
      </c>
      <c r="O811" t="n">
        <v>0</v>
      </c>
      <c r="P811" t="n">
        <v>0</v>
      </c>
      <c r="Q811" t="n">
        <v>0</v>
      </c>
      <c r="R811" s="2" t="inlineStr"/>
    </row>
    <row r="812" ht="15" customHeight="1">
      <c r="A812" t="inlineStr">
        <is>
          <t>A 1473-2025</t>
        </is>
      </c>
      <c r="B812" s="1" t="n">
        <v>45670</v>
      </c>
      <c r="C812" s="1" t="n">
        <v>46160</v>
      </c>
      <c r="D812" t="inlineStr">
        <is>
          <t>JÄMTLANDS LÄN</t>
        </is>
      </c>
      <c r="E812" t="inlineStr">
        <is>
          <t>KROKOM</t>
        </is>
      </c>
      <c r="G812" t="n">
        <v>7.6</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46160</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51735-2025</t>
        </is>
      </c>
      <c r="B814" s="1" t="n">
        <v>45951.59516203704</v>
      </c>
      <c r="C814" s="1" t="n">
        <v>46160</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52014-2025</t>
        </is>
      </c>
      <c r="B815" s="1" t="n">
        <v>45952</v>
      </c>
      <c r="C815" s="1" t="n">
        <v>46160</v>
      </c>
      <c r="D815" t="inlineStr">
        <is>
          <t>JÄMTLANDS LÄN</t>
        </is>
      </c>
      <c r="E815" t="inlineStr">
        <is>
          <t>KROKOM</t>
        </is>
      </c>
      <c r="G815" t="n">
        <v>39</v>
      </c>
      <c r="H815" t="n">
        <v>0</v>
      </c>
      <c r="I815" t="n">
        <v>0</v>
      </c>
      <c r="J815" t="n">
        <v>0</v>
      </c>
      <c r="K815" t="n">
        <v>0</v>
      </c>
      <c r="L815" t="n">
        <v>0</v>
      </c>
      <c r="M815" t="n">
        <v>0</v>
      </c>
      <c r="N815" t="n">
        <v>0</v>
      </c>
      <c r="O815" t="n">
        <v>0</v>
      </c>
      <c r="P815" t="n">
        <v>0</v>
      </c>
      <c r="Q815" t="n">
        <v>0</v>
      </c>
      <c r="R815" s="2" t="inlineStr"/>
      <c r="U815">
        <f>HYPERLINK("https://klasma.github.io/Logging_2309/knärot/A 52014-2025 karta knärot.png", "A 52014-2025")</f>
        <v/>
      </c>
      <c r="V815">
        <f>HYPERLINK("https://klasma.github.io/Logging_2309/klagomål/A 52014-2025 FSC-klagomål.docx", "A 52014-2025")</f>
        <v/>
      </c>
      <c r="W815">
        <f>HYPERLINK("https://klasma.github.io/Logging_2309/klagomålsmail/A 52014-2025 FSC-klagomål mail.docx", "A 52014-2025")</f>
        <v/>
      </c>
      <c r="X815">
        <f>HYPERLINK("https://klasma.github.io/Logging_2309/tillsyn/A 52014-2025 tillsynsbegäran.docx", "A 52014-2025")</f>
        <v/>
      </c>
      <c r="Y815">
        <f>HYPERLINK("https://klasma.github.io/Logging_2309/tillsynsmail/A 52014-2025 tillsynsbegäran mail.docx", "A 52014-2025")</f>
        <v/>
      </c>
    </row>
    <row r="816" ht="15" customHeight="1">
      <c r="A816" t="inlineStr">
        <is>
          <t>A 5356-2025</t>
        </is>
      </c>
      <c r="B816" s="1" t="n">
        <v>45692</v>
      </c>
      <c r="C816" s="1" t="n">
        <v>46160</v>
      </c>
      <c r="D816" t="inlineStr">
        <is>
          <t>JÄMTLANDS LÄN</t>
        </is>
      </c>
      <c r="E816" t="inlineStr">
        <is>
          <t>KROKOM</t>
        </is>
      </c>
      <c r="F816" t="inlineStr">
        <is>
          <t>Övriga Aktiebolag</t>
        </is>
      </c>
      <c r="G816" t="n">
        <v>2.2</v>
      </c>
      <c r="H816" t="n">
        <v>0</v>
      </c>
      <c r="I816" t="n">
        <v>0</v>
      </c>
      <c r="J816" t="n">
        <v>0</v>
      </c>
      <c r="K816" t="n">
        <v>0</v>
      </c>
      <c r="L816" t="n">
        <v>0</v>
      </c>
      <c r="M816" t="n">
        <v>0</v>
      </c>
      <c r="N816" t="n">
        <v>0</v>
      </c>
      <c r="O816" t="n">
        <v>0</v>
      </c>
      <c r="P816" t="n">
        <v>0</v>
      </c>
      <c r="Q816" t="n">
        <v>0</v>
      </c>
      <c r="R816" s="2" t="inlineStr"/>
    </row>
    <row r="817" ht="15" customHeight="1">
      <c r="A817" t="inlineStr">
        <is>
          <t>A 52032-2025</t>
        </is>
      </c>
      <c r="B817" s="1" t="n">
        <v>45952.61193287037</v>
      </c>
      <c r="C817" s="1" t="n">
        <v>46160</v>
      </c>
      <c r="D817" t="inlineStr">
        <is>
          <t>JÄMTLANDS LÄN</t>
        </is>
      </c>
      <c r="E817" t="inlineStr">
        <is>
          <t>KROKOM</t>
        </is>
      </c>
      <c r="G817" t="n">
        <v>3.5</v>
      </c>
      <c r="H817" t="n">
        <v>0</v>
      </c>
      <c r="I817" t="n">
        <v>0</v>
      </c>
      <c r="J817" t="n">
        <v>0</v>
      </c>
      <c r="K817" t="n">
        <v>0</v>
      </c>
      <c r="L817" t="n">
        <v>0</v>
      </c>
      <c r="M817" t="n">
        <v>0</v>
      </c>
      <c r="N817" t="n">
        <v>0</v>
      </c>
      <c r="O817" t="n">
        <v>0</v>
      </c>
      <c r="P817" t="n">
        <v>0</v>
      </c>
      <c r="Q817" t="n">
        <v>0</v>
      </c>
      <c r="R817" s="2" t="inlineStr"/>
    </row>
    <row r="818" ht="15" customHeight="1">
      <c r="A818" t="inlineStr">
        <is>
          <t>A 5680-2025</t>
        </is>
      </c>
      <c r="B818" s="1" t="n">
        <v>45694.34268518518</v>
      </c>
      <c r="C818" s="1" t="n">
        <v>46160</v>
      </c>
      <c r="D818" t="inlineStr">
        <is>
          <t>JÄMTLANDS LÄN</t>
        </is>
      </c>
      <c r="E818" t="inlineStr">
        <is>
          <t>KROKOM</t>
        </is>
      </c>
      <c r="F818" t="inlineStr">
        <is>
          <t>Övriga Aktiebolag</t>
        </is>
      </c>
      <c r="G818" t="n">
        <v>48.4</v>
      </c>
      <c r="H818" t="n">
        <v>0</v>
      </c>
      <c r="I818" t="n">
        <v>0</v>
      </c>
      <c r="J818" t="n">
        <v>0</v>
      </c>
      <c r="K818" t="n">
        <v>0</v>
      </c>
      <c r="L818" t="n">
        <v>0</v>
      </c>
      <c r="M818" t="n">
        <v>0</v>
      </c>
      <c r="N818" t="n">
        <v>0</v>
      </c>
      <c r="O818" t="n">
        <v>0</v>
      </c>
      <c r="P818" t="n">
        <v>0</v>
      </c>
      <c r="Q818" t="n">
        <v>0</v>
      </c>
      <c r="R818" s="2" t="inlineStr"/>
    </row>
    <row r="819" ht="15" customHeight="1">
      <c r="A819" t="inlineStr">
        <is>
          <t>A 57459-2024</t>
        </is>
      </c>
      <c r="B819" s="1" t="n">
        <v>45630</v>
      </c>
      <c r="C819" s="1" t="n">
        <v>46160</v>
      </c>
      <c r="D819" t="inlineStr">
        <is>
          <t>JÄMTLANDS LÄN</t>
        </is>
      </c>
      <c r="E819" t="inlineStr">
        <is>
          <t>KROKOM</t>
        </is>
      </c>
      <c r="G819" t="n">
        <v>19.2</v>
      </c>
      <c r="H819" t="n">
        <v>0</v>
      </c>
      <c r="I819" t="n">
        <v>0</v>
      </c>
      <c r="J819" t="n">
        <v>0</v>
      </c>
      <c r="K819" t="n">
        <v>0</v>
      </c>
      <c r="L819" t="n">
        <v>0</v>
      </c>
      <c r="M819" t="n">
        <v>0</v>
      </c>
      <c r="N819" t="n">
        <v>0</v>
      </c>
      <c r="O819" t="n">
        <v>0</v>
      </c>
      <c r="P819" t="n">
        <v>0</v>
      </c>
      <c r="Q819" t="n">
        <v>0</v>
      </c>
      <c r="R819" s="2" t="inlineStr"/>
    </row>
    <row r="820" ht="15" customHeight="1">
      <c r="A820" t="inlineStr">
        <is>
          <t>A 26207-2024</t>
        </is>
      </c>
      <c r="B820" s="1" t="n">
        <v>45467</v>
      </c>
      <c r="C820" s="1" t="n">
        <v>46160</v>
      </c>
      <c r="D820" t="inlineStr">
        <is>
          <t>JÄMTLANDS LÄN</t>
        </is>
      </c>
      <c r="E820" t="inlineStr">
        <is>
          <t>KROKOM</t>
        </is>
      </c>
      <c r="G820" t="n">
        <v>14.4</v>
      </c>
      <c r="H820" t="n">
        <v>0</v>
      </c>
      <c r="I820" t="n">
        <v>0</v>
      </c>
      <c r="J820" t="n">
        <v>0</v>
      </c>
      <c r="K820" t="n">
        <v>0</v>
      </c>
      <c r="L820" t="n">
        <v>0</v>
      </c>
      <c r="M820" t="n">
        <v>0</v>
      </c>
      <c r="N820" t="n">
        <v>0</v>
      </c>
      <c r="O820" t="n">
        <v>0</v>
      </c>
      <c r="P820" t="n">
        <v>0</v>
      </c>
      <c r="Q820" t="n">
        <v>0</v>
      </c>
      <c r="R820" s="2" t="inlineStr"/>
    </row>
    <row r="821" ht="15" customHeight="1">
      <c r="A821" t="inlineStr">
        <is>
          <t>A 47850-2023</t>
        </is>
      </c>
      <c r="B821" s="1" t="n">
        <v>45204.40770833333</v>
      </c>
      <c r="C821" s="1" t="n">
        <v>46160</v>
      </c>
      <c r="D821" t="inlineStr">
        <is>
          <t>JÄMTLANDS LÄN</t>
        </is>
      </c>
      <c r="E821" t="inlineStr">
        <is>
          <t>KROKOM</t>
        </is>
      </c>
      <c r="G821" t="n">
        <v>1.8</v>
      </c>
      <c r="H821" t="n">
        <v>0</v>
      </c>
      <c r="I821" t="n">
        <v>0</v>
      </c>
      <c r="J821" t="n">
        <v>0</v>
      </c>
      <c r="K821" t="n">
        <v>0</v>
      </c>
      <c r="L821" t="n">
        <v>0</v>
      </c>
      <c r="M821" t="n">
        <v>0</v>
      </c>
      <c r="N821" t="n">
        <v>0</v>
      </c>
      <c r="O821" t="n">
        <v>0</v>
      </c>
      <c r="P821" t="n">
        <v>0</v>
      </c>
      <c r="Q821" t="n">
        <v>0</v>
      </c>
      <c r="R821" s="2" t="inlineStr"/>
    </row>
    <row r="822" ht="15" customHeight="1">
      <c r="A822" t="inlineStr">
        <is>
          <t>A 52528-2025</t>
        </is>
      </c>
      <c r="B822" s="1" t="n">
        <v>45954.53189814815</v>
      </c>
      <c r="C822" s="1" t="n">
        <v>46160</v>
      </c>
      <c r="D822" t="inlineStr">
        <is>
          <t>JÄMTLANDS LÄN</t>
        </is>
      </c>
      <c r="E822" t="inlineStr">
        <is>
          <t>KROKOM</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26184-2024</t>
        </is>
      </c>
      <c r="B823" s="1" t="n">
        <v>45467</v>
      </c>
      <c r="C823" s="1" t="n">
        <v>46160</v>
      </c>
      <c r="D823" t="inlineStr">
        <is>
          <t>JÄMTLANDS LÄN</t>
        </is>
      </c>
      <c r="E823" t="inlineStr">
        <is>
          <t>KROKOM</t>
        </is>
      </c>
      <c r="G823" t="n">
        <v>65.7</v>
      </c>
      <c r="H823" t="n">
        <v>0</v>
      </c>
      <c r="I823" t="n">
        <v>0</v>
      </c>
      <c r="J823" t="n">
        <v>0</v>
      </c>
      <c r="K823" t="n">
        <v>0</v>
      </c>
      <c r="L823" t="n">
        <v>0</v>
      </c>
      <c r="M823" t="n">
        <v>0</v>
      </c>
      <c r="N823" t="n">
        <v>0</v>
      </c>
      <c r="O823" t="n">
        <v>0</v>
      </c>
      <c r="P823" t="n">
        <v>0</v>
      </c>
      <c r="Q823" t="n">
        <v>0</v>
      </c>
      <c r="R823" s="2" t="inlineStr"/>
    </row>
    <row r="824" ht="15" customHeight="1">
      <c r="A824" t="inlineStr">
        <is>
          <t>A 52315-2025</t>
        </is>
      </c>
      <c r="B824" s="1" t="n">
        <v>45953.65322916667</v>
      </c>
      <c r="C824" s="1" t="n">
        <v>46160</v>
      </c>
      <c r="D824" t="inlineStr">
        <is>
          <t>JÄMTLANDS LÄN</t>
        </is>
      </c>
      <c r="E824" t="inlineStr">
        <is>
          <t>KROKOM</t>
        </is>
      </c>
      <c r="G824" t="n">
        <v>6.6</v>
      </c>
      <c r="H824" t="n">
        <v>0</v>
      </c>
      <c r="I824" t="n">
        <v>0</v>
      </c>
      <c r="J824" t="n">
        <v>0</v>
      </c>
      <c r="K824" t="n">
        <v>0</v>
      </c>
      <c r="L824" t="n">
        <v>0</v>
      </c>
      <c r="M824" t="n">
        <v>0</v>
      </c>
      <c r="N824" t="n">
        <v>0</v>
      </c>
      <c r="O824" t="n">
        <v>0</v>
      </c>
      <c r="P824" t="n">
        <v>0</v>
      </c>
      <c r="Q824" t="n">
        <v>0</v>
      </c>
      <c r="R824" s="2" t="inlineStr"/>
    </row>
    <row r="825" ht="15" customHeight="1">
      <c r="A825" t="inlineStr">
        <is>
          <t>A 52302-2025</t>
        </is>
      </c>
      <c r="B825" s="1" t="n">
        <v>45953.62150462963</v>
      </c>
      <c r="C825" s="1" t="n">
        <v>46160</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52304-2025</t>
        </is>
      </c>
      <c r="B826" s="1" t="n">
        <v>45953.62553240741</v>
      </c>
      <c r="C826" s="1" t="n">
        <v>46160</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53568-2024</t>
        </is>
      </c>
      <c r="B827" s="1" t="n">
        <v>45614.65925925926</v>
      </c>
      <c r="C827" s="1" t="n">
        <v>46160</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6916-2026</t>
        </is>
      </c>
      <c r="B828" s="1" t="n">
        <v>46057.52412037037</v>
      </c>
      <c r="C828" s="1" t="n">
        <v>46160</v>
      </c>
      <c r="D828" t="inlineStr">
        <is>
          <t>JÄMTLANDS LÄN</t>
        </is>
      </c>
      <c r="E828" t="inlineStr">
        <is>
          <t>KROKOM</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33480-2024</t>
        </is>
      </c>
      <c r="B829" s="1" t="n">
        <v>45519.60965277778</v>
      </c>
      <c r="C829" s="1" t="n">
        <v>46160</v>
      </c>
      <c r="D829" t="inlineStr">
        <is>
          <t>JÄMTLANDS LÄN</t>
        </is>
      </c>
      <c r="E829" t="inlineStr">
        <is>
          <t>KROKOM</t>
        </is>
      </c>
      <c r="G829" t="n">
        <v>2.8</v>
      </c>
      <c r="H829" t="n">
        <v>0</v>
      </c>
      <c r="I829" t="n">
        <v>0</v>
      </c>
      <c r="J829" t="n">
        <v>0</v>
      </c>
      <c r="K829" t="n">
        <v>0</v>
      </c>
      <c r="L829" t="n">
        <v>0</v>
      </c>
      <c r="M829" t="n">
        <v>0</v>
      </c>
      <c r="N829" t="n">
        <v>0</v>
      </c>
      <c r="O829" t="n">
        <v>0</v>
      </c>
      <c r="P829" t="n">
        <v>0</v>
      </c>
      <c r="Q829" t="n">
        <v>0</v>
      </c>
      <c r="R829" s="2" t="inlineStr"/>
    </row>
    <row r="830" ht="15" customHeight="1">
      <c r="A830" t="inlineStr">
        <is>
          <t>A 52431-2025</t>
        </is>
      </c>
      <c r="B830" s="1" t="n">
        <v>45954.38606481482</v>
      </c>
      <c r="C830" s="1" t="n">
        <v>46160</v>
      </c>
      <c r="D830" t="inlineStr">
        <is>
          <t>JÄMTLANDS LÄN</t>
        </is>
      </c>
      <c r="E830" t="inlineStr">
        <is>
          <t>KROKOM</t>
        </is>
      </c>
      <c r="G830" t="n">
        <v>7.8</v>
      </c>
      <c r="H830" t="n">
        <v>0</v>
      </c>
      <c r="I830" t="n">
        <v>0</v>
      </c>
      <c r="J830" t="n">
        <v>0</v>
      </c>
      <c r="K830" t="n">
        <v>0</v>
      </c>
      <c r="L830" t="n">
        <v>0</v>
      </c>
      <c r="M830" t="n">
        <v>0</v>
      </c>
      <c r="N830" t="n">
        <v>0</v>
      </c>
      <c r="O830" t="n">
        <v>0</v>
      </c>
      <c r="P830" t="n">
        <v>0</v>
      </c>
      <c r="Q830" t="n">
        <v>0</v>
      </c>
      <c r="R830" s="2" t="inlineStr"/>
    </row>
    <row r="831" ht="15" customHeight="1">
      <c r="A831" t="inlineStr">
        <is>
          <t>A 52527-2025</t>
        </is>
      </c>
      <c r="B831" s="1" t="n">
        <v>45954.53168981482</v>
      </c>
      <c r="C831" s="1" t="n">
        <v>46160</v>
      </c>
      <c r="D831" t="inlineStr">
        <is>
          <t>JÄMTLANDS LÄN</t>
        </is>
      </c>
      <c r="E831" t="inlineStr">
        <is>
          <t>KROKOM</t>
        </is>
      </c>
      <c r="F831" t="inlineStr">
        <is>
          <t>SCA</t>
        </is>
      </c>
      <c r="G831" t="n">
        <v>9.1</v>
      </c>
      <c r="H831" t="n">
        <v>0</v>
      </c>
      <c r="I831" t="n">
        <v>0</v>
      </c>
      <c r="J831" t="n">
        <v>0</v>
      </c>
      <c r="K831" t="n">
        <v>0</v>
      </c>
      <c r="L831" t="n">
        <v>0</v>
      </c>
      <c r="M831" t="n">
        <v>0</v>
      </c>
      <c r="N831" t="n">
        <v>0</v>
      </c>
      <c r="O831" t="n">
        <v>0</v>
      </c>
      <c r="P831" t="n">
        <v>0</v>
      </c>
      <c r="Q831" t="n">
        <v>0</v>
      </c>
      <c r="R831" s="2" t="inlineStr"/>
    </row>
    <row r="832" ht="15" customHeight="1">
      <c r="A832" t="inlineStr">
        <is>
          <t>A 52300-2025</t>
        </is>
      </c>
      <c r="B832" s="1" t="n">
        <v>45953.61458333334</v>
      </c>
      <c r="C832" s="1" t="n">
        <v>46160</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58482-2024</t>
        </is>
      </c>
      <c r="B833" s="1" t="n">
        <v>45635</v>
      </c>
      <c r="C833" s="1" t="n">
        <v>46160</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37349-2025</t>
        </is>
      </c>
      <c r="B834" s="1" t="n">
        <v>45876</v>
      </c>
      <c r="C834" s="1" t="n">
        <v>46160</v>
      </c>
      <c r="D834" t="inlineStr">
        <is>
          <t>JÄMTLANDS LÄN</t>
        </is>
      </c>
      <c r="E834" t="inlineStr">
        <is>
          <t>KROKOM</t>
        </is>
      </c>
      <c r="G834" t="n">
        <v>7.9</v>
      </c>
      <c r="H834" t="n">
        <v>0</v>
      </c>
      <c r="I834" t="n">
        <v>0</v>
      </c>
      <c r="J834" t="n">
        <v>0</v>
      </c>
      <c r="K834" t="n">
        <v>0</v>
      </c>
      <c r="L834" t="n">
        <v>0</v>
      </c>
      <c r="M834" t="n">
        <v>0</v>
      </c>
      <c r="N834" t="n">
        <v>0</v>
      </c>
      <c r="O834" t="n">
        <v>0</v>
      </c>
      <c r="P834" t="n">
        <v>0</v>
      </c>
      <c r="Q834" t="n">
        <v>0</v>
      </c>
      <c r="R834" s="2" t="inlineStr"/>
    </row>
    <row r="835" ht="15" customHeight="1">
      <c r="A835" t="inlineStr">
        <is>
          <t>A 37350-2025</t>
        </is>
      </c>
      <c r="B835" s="1" t="n">
        <v>45876</v>
      </c>
      <c r="C835" s="1" t="n">
        <v>46160</v>
      </c>
      <c r="D835" t="inlineStr">
        <is>
          <t>JÄMTLANDS LÄN</t>
        </is>
      </c>
      <c r="E835" t="inlineStr">
        <is>
          <t>KROKOM</t>
        </is>
      </c>
      <c r="G835" t="n">
        <v>29.9</v>
      </c>
      <c r="H835" t="n">
        <v>0</v>
      </c>
      <c r="I835" t="n">
        <v>0</v>
      </c>
      <c r="J835" t="n">
        <v>0</v>
      </c>
      <c r="K835" t="n">
        <v>0</v>
      </c>
      <c r="L835" t="n">
        <v>0</v>
      </c>
      <c r="M835" t="n">
        <v>0</v>
      </c>
      <c r="N835" t="n">
        <v>0</v>
      </c>
      <c r="O835" t="n">
        <v>0</v>
      </c>
      <c r="P835" t="n">
        <v>0</v>
      </c>
      <c r="Q835" t="n">
        <v>0</v>
      </c>
      <c r="R835" s="2" t="inlineStr"/>
    </row>
    <row r="836" ht="15" customHeight="1">
      <c r="A836" t="inlineStr">
        <is>
          <t>A 52619-2025</t>
        </is>
      </c>
      <c r="B836" s="1" t="n">
        <v>45954.68111111111</v>
      </c>
      <c r="C836" s="1" t="n">
        <v>46160</v>
      </c>
      <c r="D836" t="inlineStr">
        <is>
          <t>JÄMTLANDS LÄN</t>
        </is>
      </c>
      <c r="E836" t="inlineStr">
        <is>
          <t>KROKOM</t>
        </is>
      </c>
      <c r="G836" t="n">
        <v>11.8</v>
      </c>
      <c r="H836" t="n">
        <v>0</v>
      </c>
      <c r="I836" t="n">
        <v>0</v>
      </c>
      <c r="J836" t="n">
        <v>0</v>
      </c>
      <c r="K836" t="n">
        <v>0</v>
      </c>
      <c r="L836" t="n">
        <v>0</v>
      </c>
      <c r="M836" t="n">
        <v>0</v>
      </c>
      <c r="N836" t="n">
        <v>0</v>
      </c>
      <c r="O836" t="n">
        <v>0</v>
      </c>
      <c r="P836" t="n">
        <v>0</v>
      </c>
      <c r="Q836" t="n">
        <v>0</v>
      </c>
      <c r="R836" s="2" t="inlineStr"/>
    </row>
    <row r="837" ht="15" customHeight="1">
      <c r="A837" t="inlineStr">
        <is>
          <t>A 43373-2025</t>
        </is>
      </c>
      <c r="B837" s="1" t="n">
        <v>45911</v>
      </c>
      <c r="C837" s="1" t="n">
        <v>46160</v>
      </c>
      <c r="D837" t="inlineStr">
        <is>
          <t>JÄMTLANDS LÄN</t>
        </is>
      </c>
      <c r="E837" t="inlineStr">
        <is>
          <t>KROKOM</t>
        </is>
      </c>
      <c r="G837" t="n">
        <v>34.9</v>
      </c>
      <c r="H837" t="n">
        <v>0</v>
      </c>
      <c r="I837" t="n">
        <v>0</v>
      </c>
      <c r="J837" t="n">
        <v>0</v>
      </c>
      <c r="K837" t="n">
        <v>0</v>
      </c>
      <c r="L837" t="n">
        <v>0</v>
      </c>
      <c r="M837" t="n">
        <v>0</v>
      </c>
      <c r="N837" t="n">
        <v>0</v>
      </c>
      <c r="O837" t="n">
        <v>0</v>
      </c>
      <c r="P837" t="n">
        <v>0</v>
      </c>
      <c r="Q837" t="n">
        <v>0</v>
      </c>
      <c r="R837" s="2" t="inlineStr"/>
    </row>
    <row r="838" ht="15" customHeight="1">
      <c r="A838" t="inlineStr">
        <is>
          <t>A 37346-2025</t>
        </is>
      </c>
      <c r="B838" s="1" t="n">
        <v>45876</v>
      </c>
      <c r="C838" s="1" t="n">
        <v>46160</v>
      </c>
      <c r="D838" t="inlineStr">
        <is>
          <t>JÄMTLANDS LÄN</t>
        </is>
      </c>
      <c r="E838" t="inlineStr">
        <is>
          <t>KROKOM</t>
        </is>
      </c>
      <c r="G838" t="n">
        <v>5</v>
      </c>
      <c r="H838" t="n">
        <v>0</v>
      </c>
      <c r="I838" t="n">
        <v>0</v>
      </c>
      <c r="J838" t="n">
        <v>0</v>
      </c>
      <c r="K838" t="n">
        <v>0</v>
      </c>
      <c r="L838" t="n">
        <v>0</v>
      </c>
      <c r="M838" t="n">
        <v>0</v>
      </c>
      <c r="N838" t="n">
        <v>0</v>
      </c>
      <c r="O838" t="n">
        <v>0</v>
      </c>
      <c r="P838" t="n">
        <v>0</v>
      </c>
      <c r="Q838" t="n">
        <v>0</v>
      </c>
      <c r="R838" s="2" t="inlineStr"/>
    </row>
    <row r="839" ht="15" customHeight="1">
      <c r="A839" t="inlineStr">
        <is>
          <t>A 6800-2026</t>
        </is>
      </c>
      <c r="B839" s="1" t="n">
        <v>46057.34800925926</v>
      </c>
      <c r="C839" s="1" t="n">
        <v>46160</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33802-2021</t>
        </is>
      </c>
      <c r="B840" s="1" t="n">
        <v>44377</v>
      </c>
      <c r="C840" s="1" t="n">
        <v>46160</v>
      </c>
      <c r="D840" t="inlineStr">
        <is>
          <t>JÄMTLANDS LÄN</t>
        </is>
      </c>
      <c r="E840" t="inlineStr">
        <is>
          <t>KROKOM</t>
        </is>
      </c>
      <c r="G840" t="n">
        <v>2</v>
      </c>
      <c r="H840" t="n">
        <v>0</v>
      </c>
      <c r="I840" t="n">
        <v>0</v>
      </c>
      <c r="J840" t="n">
        <v>0</v>
      </c>
      <c r="K840" t="n">
        <v>0</v>
      </c>
      <c r="L840" t="n">
        <v>0</v>
      </c>
      <c r="M840" t="n">
        <v>0</v>
      </c>
      <c r="N840" t="n">
        <v>0</v>
      </c>
      <c r="O840" t="n">
        <v>0</v>
      </c>
      <c r="P840" t="n">
        <v>0</v>
      </c>
      <c r="Q840" t="n">
        <v>0</v>
      </c>
      <c r="R840" s="2" t="inlineStr"/>
    </row>
    <row r="841" ht="15" customHeight="1">
      <c r="A841" t="inlineStr">
        <is>
          <t>A 37111-2025</t>
        </is>
      </c>
      <c r="B841" s="1" t="n">
        <v>45875.51046296296</v>
      </c>
      <c r="C841" s="1" t="n">
        <v>46160</v>
      </c>
      <c r="D841" t="inlineStr">
        <is>
          <t>JÄMTLANDS LÄN</t>
        </is>
      </c>
      <c r="E841" t="inlineStr">
        <is>
          <t>KROKOM</t>
        </is>
      </c>
      <c r="G841" t="n">
        <v>8.1</v>
      </c>
      <c r="H841" t="n">
        <v>0</v>
      </c>
      <c r="I841" t="n">
        <v>0</v>
      </c>
      <c r="J841" t="n">
        <v>0</v>
      </c>
      <c r="K841" t="n">
        <v>0</v>
      </c>
      <c r="L841" t="n">
        <v>0</v>
      </c>
      <c r="M841" t="n">
        <v>0</v>
      </c>
      <c r="N841" t="n">
        <v>0</v>
      </c>
      <c r="O841" t="n">
        <v>0</v>
      </c>
      <c r="P841" t="n">
        <v>0</v>
      </c>
      <c r="Q841" t="n">
        <v>0</v>
      </c>
      <c r="R841" s="2" t="inlineStr"/>
    </row>
    <row r="842" ht="15" customHeight="1">
      <c r="A842" t="inlineStr">
        <is>
          <t>A 43371-2025</t>
        </is>
      </c>
      <c r="B842" s="1" t="n">
        <v>45911</v>
      </c>
      <c r="C842" s="1" t="n">
        <v>46160</v>
      </c>
      <c r="D842" t="inlineStr">
        <is>
          <t>JÄMTLANDS LÄN</t>
        </is>
      </c>
      <c r="E842" t="inlineStr">
        <is>
          <t>KROKOM</t>
        </is>
      </c>
      <c r="G842" t="n">
        <v>7.3</v>
      </c>
      <c r="H842" t="n">
        <v>0</v>
      </c>
      <c r="I842" t="n">
        <v>0</v>
      </c>
      <c r="J842" t="n">
        <v>0</v>
      </c>
      <c r="K842" t="n">
        <v>0</v>
      </c>
      <c r="L842" t="n">
        <v>0</v>
      </c>
      <c r="M842" t="n">
        <v>0</v>
      </c>
      <c r="N842" t="n">
        <v>0</v>
      </c>
      <c r="O842" t="n">
        <v>0</v>
      </c>
      <c r="P842" t="n">
        <v>0</v>
      </c>
      <c r="Q842" t="n">
        <v>0</v>
      </c>
      <c r="R842" s="2" t="inlineStr"/>
    </row>
    <row r="843" ht="15" customHeight="1">
      <c r="A843" t="inlineStr">
        <is>
          <t>A 9016-2025</t>
        </is>
      </c>
      <c r="B843" s="1" t="n">
        <v>45713.59163194444</v>
      </c>
      <c r="C843" s="1" t="n">
        <v>46160</v>
      </c>
      <c r="D843" t="inlineStr">
        <is>
          <t>JÄMTLANDS LÄN</t>
        </is>
      </c>
      <c r="E843" t="inlineStr">
        <is>
          <t>KROKOM</t>
        </is>
      </c>
      <c r="F843" t="inlineStr">
        <is>
          <t>Övriga Aktiebolag</t>
        </is>
      </c>
      <c r="G843" t="n">
        <v>19.3</v>
      </c>
      <c r="H843" t="n">
        <v>0</v>
      </c>
      <c r="I843" t="n">
        <v>0</v>
      </c>
      <c r="J843" t="n">
        <v>0</v>
      </c>
      <c r="K843" t="n">
        <v>0</v>
      </c>
      <c r="L843" t="n">
        <v>0</v>
      </c>
      <c r="M843" t="n">
        <v>0</v>
      </c>
      <c r="N843" t="n">
        <v>0</v>
      </c>
      <c r="O843" t="n">
        <v>0</v>
      </c>
      <c r="P843" t="n">
        <v>0</v>
      </c>
      <c r="Q843" t="n">
        <v>0</v>
      </c>
      <c r="R843" s="2" t="inlineStr"/>
    </row>
    <row r="844" ht="15" customHeight="1">
      <c r="A844" t="inlineStr">
        <is>
          <t>A 7169-2026</t>
        </is>
      </c>
      <c r="B844" s="1" t="n">
        <v>46058.45940972222</v>
      </c>
      <c r="C844" s="1" t="n">
        <v>46160</v>
      </c>
      <c r="D844" t="inlineStr">
        <is>
          <t>JÄMTLANDS LÄN</t>
        </is>
      </c>
      <c r="E844" t="inlineStr">
        <is>
          <t>KROKOM</t>
        </is>
      </c>
      <c r="G844" t="n">
        <v>1.5</v>
      </c>
      <c r="H844" t="n">
        <v>0</v>
      </c>
      <c r="I844" t="n">
        <v>0</v>
      </c>
      <c r="J844" t="n">
        <v>0</v>
      </c>
      <c r="K844" t="n">
        <v>0</v>
      </c>
      <c r="L844" t="n">
        <v>0</v>
      </c>
      <c r="M844" t="n">
        <v>0</v>
      </c>
      <c r="N844" t="n">
        <v>0</v>
      </c>
      <c r="O844" t="n">
        <v>0</v>
      </c>
      <c r="P844" t="n">
        <v>0</v>
      </c>
      <c r="Q844" t="n">
        <v>0</v>
      </c>
      <c r="R844" s="2" t="inlineStr"/>
    </row>
    <row r="845" ht="15" customHeight="1">
      <c r="A845" t="inlineStr">
        <is>
          <t>A 37530-2025</t>
        </is>
      </c>
      <c r="B845" s="1" t="n">
        <v>45878</v>
      </c>
      <c r="C845" s="1" t="n">
        <v>46160</v>
      </c>
      <c r="D845" t="inlineStr">
        <is>
          <t>JÄMTLANDS LÄN</t>
        </is>
      </c>
      <c r="E845" t="inlineStr">
        <is>
          <t>KROKOM</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31905-2021</t>
        </is>
      </c>
      <c r="B846" s="1" t="n">
        <v>44370</v>
      </c>
      <c r="C846" s="1" t="n">
        <v>46160</v>
      </c>
      <c r="D846" t="inlineStr">
        <is>
          <t>JÄMTLANDS LÄN</t>
        </is>
      </c>
      <c r="E846" t="inlineStr">
        <is>
          <t>KROKOM</t>
        </is>
      </c>
      <c r="G846" t="n">
        <v>12.9</v>
      </c>
      <c r="H846" t="n">
        <v>0</v>
      </c>
      <c r="I846" t="n">
        <v>0</v>
      </c>
      <c r="J846" t="n">
        <v>0</v>
      </c>
      <c r="K846" t="n">
        <v>0</v>
      </c>
      <c r="L846" t="n">
        <v>0</v>
      </c>
      <c r="M846" t="n">
        <v>0</v>
      </c>
      <c r="N846" t="n">
        <v>0</v>
      </c>
      <c r="O846" t="n">
        <v>0</v>
      </c>
      <c r="P846" t="n">
        <v>0</v>
      </c>
      <c r="Q846" t="n">
        <v>0</v>
      </c>
      <c r="R846" s="2" t="inlineStr"/>
    </row>
    <row r="847" ht="15" customHeight="1">
      <c r="A847" t="inlineStr">
        <is>
          <t>A 42369-2021</t>
        </is>
      </c>
      <c r="B847" s="1" t="n">
        <v>44427</v>
      </c>
      <c r="C847" s="1" t="n">
        <v>46160</v>
      </c>
      <c r="D847" t="inlineStr">
        <is>
          <t>JÄMTLANDS LÄN</t>
        </is>
      </c>
      <c r="E847" t="inlineStr">
        <is>
          <t>KROKOM</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41142-2023</t>
        </is>
      </c>
      <c r="B848" s="1" t="n">
        <v>45173</v>
      </c>
      <c r="C848" s="1" t="n">
        <v>46160</v>
      </c>
      <c r="D848" t="inlineStr">
        <is>
          <t>JÄMTLANDS LÄN</t>
        </is>
      </c>
      <c r="E848" t="inlineStr">
        <is>
          <t>KROKOM</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53227-2025</t>
        </is>
      </c>
      <c r="B849" s="1" t="n">
        <v>45958.61497685185</v>
      </c>
      <c r="C849" s="1" t="n">
        <v>46160</v>
      </c>
      <c r="D849" t="inlineStr">
        <is>
          <t>JÄMTLANDS LÄN</t>
        </is>
      </c>
      <c r="E849" t="inlineStr">
        <is>
          <t>KROKOM</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5798-2025</t>
        </is>
      </c>
      <c r="B850" s="1" t="n">
        <v>45694.65905092593</v>
      </c>
      <c r="C850" s="1" t="n">
        <v>46160</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row>
    <row r="851" ht="15" customHeight="1">
      <c r="A851" t="inlineStr">
        <is>
          <t>A 9025-2025</t>
        </is>
      </c>
      <c r="B851" s="1" t="n">
        <v>45713.59952546296</v>
      </c>
      <c r="C851" s="1" t="n">
        <v>46160</v>
      </c>
      <c r="D851" t="inlineStr">
        <is>
          <t>JÄMTLANDS LÄN</t>
        </is>
      </c>
      <c r="E851" t="inlineStr">
        <is>
          <t>KROKOM</t>
        </is>
      </c>
      <c r="F851" t="inlineStr">
        <is>
          <t>Övriga Aktiebolag</t>
        </is>
      </c>
      <c r="G851" t="n">
        <v>28.4</v>
      </c>
      <c r="H851" t="n">
        <v>0</v>
      </c>
      <c r="I851" t="n">
        <v>0</v>
      </c>
      <c r="J851" t="n">
        <v>0</v>
      </c>
      <c r="K851" t="n">
        <v>0</v>
      </c>
      <c r="L851" t="n">
        <v>0</v>
      </c>
      <c r="M851" t="n">
        <v>0</v>
      </c>
      <c r="N851" t="n">
        <v>0</v>
      </c>
      <c r="O851" t="n">
        <v>0</v>
      </c>
      <c r="P851" t="n">
        <v>0</v>
      </c>
      <c r="Q851" t="n">
        <v>0</v>
      </c>
      <c r="R851" s="2" t="inlineStr"/>
    </row>
    <row r="852" ht="15" customHeight="1">
      <c r="A852" t="inlineStr">
        <is>
          <t>A 49643-2025</t>
        </is>
      </c>
      <c r="B852" s="1" t="n">
        <v>45939</v>
      </c>
      <c r="C852" s="1" t="n">
        <v>46160</v>
      </c>
      <c r="D852" t="inlineStr">
        <is>
          <t>JÄMTLANDS LÄN</t>
        </is>
      </c>
      <c r="E852" t="inlineStr">
        <is>
          <t>KROKOM</t>
        </is>
      </c>
      <c r="G852" t="n">
        <v>3</v>
      </c>
      <c r="H852" t="n">
        <v>0</v>
      </c>
      <c r="I852" t="n">
        <v>0</v>
      </c>
      <c r="J852" t="n">
        <v>0</v>
      </c>
      <c r="K852" t="n">
        <v>0</v>
      </c>
      <c r="L852" t="n">
        <v>0</v>
      </c>
      <c r="M852" t="n">
        <v>0</v>
      </c>
      <c r="N852" t="n">
        <v>0</v>
      </c>
      <c r="O852" t="n">
        <v>0</v>
      </c>
      <c r="P852" t="n">
        <v>0</v>
      </c>
      <c r="Q852" t="n">
        <v>0</v>
      </c>
      <c r="R852" s="2" t="inlineStr"/>
    </row>
    <row r="853" ht="15" customHeight="1">
      <c r="A853" t="inlineStr">
        <is>
          <t>A 61966-2024</t>
        </is>
      </c>
      <c r="B853" s="1" t="n">
        <v>45653.57240740741</v>
      </c>
      <c r="C853" s="1" t="n">
        <v>46160</v>
      </c>
      <c r="D853" t="inlineStr">
        <is>
          <t>JÄMTLANDS LÄN</t>
        </is>
      </c>
      <c r="E853" t="inlineStr">
        <is>
          <t>KROKOM</t>
        </is>
      </c>
      <c r="F853" t="inlineStr">
        <is>
          <t>Övriga Aktiebolag</t>
        </is>
      </c>
      <c r="G853" t="n">
        <v>15.7</v>
      </c>
      <c r="H853" t="n">
        <v>0</v>
      </c>
      <c r="I853" t="n">
        <v>0</v>
      </c>
      <c r="J853" t="n">
        <v>0</v>
      </c>
      <c r="K853" t="n">
        <v>0</v>
      </c>
      <c r="L853" t="n">
        <v>0</v>
      </c>
      <c r="M853" t="n">
        <v>0</v>
      </c>
      <c r="N853" t="n">
        <v>0</v>
      </c>
      <c r="O853" t="n">
        <v>0</v>
      </c>
      <c r="P853" t="n">
        <v>0</v>
      </c>
      <c r="Q853" t="n">
        <v>0</v>
      </c>
      <c r="R853" s="2" t="inlineStr"/>
    </row>
    <row r="854" ht="15" customHeight="1">
      <c r="A854" t="inlineStr">
        <is>
          <t>A 5378-2025</t>
        </is>
      </c>
      <c r="B854" s="1" t="n">
        <v>45692.60364583333</v>
      </c>
      <c r="C854" s="1" t="n">
        <v>46160</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53699-2025</t>
        </is>
      </c>
      <c r="B855" s="1" t="n">
        <v>45960.59421296296</v>
      </c>
      <c r="C855" s="1" t="n">
        <v>46160</v>
      </c>
      <c r="D855" t="inlineStr">
        <is>
          <t>JÄMTLANDS LÄN</t>
        </is>
      </c>
      <c r="E855" t="inlineStr">
        <is>
          <t>KROKOM</t>
        </is>
      </c>
      <c r="G855" t="n">
        <v>2.7</v>
      </c>
      <c r="H855" t="n">
        <v>0</v>
      </c>
      <c r="I855" t="n">
        <v>0</v>
      </c>
      <c r="J855" t="n">
        <v>0</v>
      </c>
      <c r="K855" t="n">
        <v>0</v>
      </c>
      <c r="L855" t="n">
        <v>0</v>
      </c>
      <c r="M855" t="n">
        <v>0</v>
      </c>
      <c r="N855" t="n">
        <v>0</v>
      </c>
      <c r="O855" t="n">
        <v>0</v>
      </c>
      <c r="P855" t="n">
        <v>0</v>
      </c>
      <c r="Q855" t="n">
        <v>0</v>
      </c>
      <c r="R855" s="2" t="inlineStr"/>
    </row>
    <row r="856" ht="15" customHeight="1">
      <c r="A856" t="inlineStr">
        <is>
          <t>A 37820-2025</t>
        </is>
      </c>
      <c r="B856" s="1" t="n">
        <v>45881.39909722222</v>
      </c>
      <c r="C856" s="1" t="n">
        <v>46160</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9023-2025</t>
        </is>
      </c>
      <c r="B857" s="1" t="n">
        <v>45713.59741898148</v>
      </c>
      <c r="C857" s="1" t="n">
        <v>46160</v>
      </c>
      <c r="D857" t="inlineStr">
        <is>
          <t>JÄMTLANDS LÄN</t>
        </is>
      </c>
      <c r="E857" t="inlineStr">
        <is>
          <t>KROKOM</t>
        </is>
      </c>
      <c r="F857" t="inlineStr">
        <is>
          <t>Övriga Aktiebolag</t>
        </is>
      </c>
      <c r="G857" t="n">
        <v>16.8</v>
      </c>
      <c r="H857" t="n">
        <v>0</v>
      </c>
      <c r="I857" t="n">
        <v>0</v>
      </c>
      <c r="J857" t="n">
        <v>0</v>
      </c>
      <c r="K857" t="n">
        <v>0</v>
      </c>
      <c r="L857" t="n">
        <v>0</v>
      </c>
      <c r="M857" t="n">
        <v>0</v>
      </c>
      <c r="N857" t="n">
        <v>0</v>
      </c>
      <c r="O857" t="n">
        <v>0</v>
      </c>
      <c r="P857" t="n">
        <v>0</v>
      </c>
      <c r="Q857" t="n">
        <v>0</v>
      </c>
      <c r="R857" s="2" t="inlineStr"/>
    </row>
    <row r="858" ht="15" customHeight="1">
      <c r="A858" t="inlineStr">
        <is>
          <t>A 37821-2025</t>
        </is>
      </c>
      <c r="B858" s="1" t="n">
        <v>45881.40521990741</v>
      </c>
      <c r="C858" s="1" t="n">
        <v>46160</v>
      </c>
      <c r="D858" t="inlineStr">
        <is>
          <t>JÄMTLANDS LÄN</t>
        </is>
      </c>
      <c r="E858" t="inlineStr">
        <is>
          <t>KROKOM</t>
        </is>
      </c>
      <c r="G858" t="n">
        <v>2.7</v>
      </c>
      <c r="H858" t="n">
        <v>0</v>
      </c>
      <c r="I858" t="n">
        <v>0</v>
      </c>
      <c r="J858" t="n">
        <v>0</v>
      </c>
      <c r="K858" t="n">
        <v>0</v>
      </c>
      <c r="L858" t="n">
        <v>0</v>
      </c>
      <c r="M858" t="n">
        <v>0</v>
      </c>
      <c r="N858" t="n">
        <v>0</v>
      </c>
      <c r="O858" t="n">
        <v>0</v>
      </c>
      <c r="P858" t="n">
        <v>0</v>
      </c>
      <c r="Q858" t="n">
        <v>0</v>
      </c>
      <c r="R858" s="2" t="inlineStr"/>
    </row>
    <row r="859" ht="15" customHeight="1">
      <c r="A859" t="inlineStr">
        <is>
          <t>A 8057-2026</t>
        </is>
      </c>
      <c r="B859" s="1" t="n">
        <v>46062</v>
      </c>
      <c r="C859" s="1" t="n">
        <v>46160</v>
      </c>
      <c r="D859" t="inlineStr">
        <is>
          <t>JÄMTLANDS LÄN</t>
        </is>
      </c>
      <c r="E859" t="inlineStr">
        <is>
          <t>KROKOM</t>
        </is>
      </c>
      <c r="G859" t="n">
        <v>0.2</v>
      </c>
      <c r="H859" t="n">
        <v>0</v>
      </c>
      <c r="I859" t="n">
        <v>0</v>
      </c>
      <c r="J859" t="n">
        <v>0</v>
      </c>
      <c r="K859" t="n">
        <v>0</v>
      </c>
      <c r="L859" t="n">
        <v>0</v>
      </c>
      <c r="M859" t="n">
        <v>0</v>
      </c>
      <c r="N859" t="n">
        <v>0</v>
      </c>
      <c r="O859" t="n">
        <v>0</v>
      </c>
      <c r="P859" t="n">
        <v>0</v>
      </c>
      <c r="Q859" t="n">
        <v>0</v>
      </c>
      <c r="R859" s="2" t="inlineStr"/>
    </row>
    <row r="860" ht="15" customHeight="1">
      <c r="A860" t="inlineStr">
        <is>
          <t>A 30158-2022</t>
        </is>
      </c>
      <c r="B860" s="1" t="n">
        <v>44757</v>
      </c>
      <c r="C860" s="1" t="n">
        <v>46160</v>
      </c>
      <c r="D860" t="inlineStr">
        <is>
          <t>JÄMTLANDS LÄN</t>
        </is>
      </c>
      <c r="E860" t="inlineStr">
        <is>
          <t>KROKOM</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54021-2025</t>
        </is>
      </c>
      <c r="B861" s="1" t="n">
        <v>45961</v>
      </c>
      <c r="C861" s="1" t="n">
        <v>46160</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23507-2024</t>
        </is>
      </c>
      <c r="B862" s="1" t="n">
        <v>45453</v>
      </c>
      <c r="C862" s="1" t="n">
        <v>46160</v>
      </c>
      <c r="D862" t="inlineStr">
        <is>
          <t>JÄMTLANDS LÄN</t>
        </is>
      </c>
      <c r="E862" t="inlineStr">
        <is>
          <t>KROKOM</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54740-2025</t>
        </is>
      </c>
      <c r="B863" s="1" t="n">
        <v>45966.57206018519</v>
      </c>
      <c r="C863" s="1" t="n">
        <v>46160</v>
      </c>
      <c r="D863" t="inlineStr">
        <is>
          <t>JÄMTLANDS LÄN</t>
        </is>
      </c>
      <c r="E863" t="inlineStr">
        <is>
          <t>KROKOM</t>
        </is>
      </c>
      <c r="G863" t="n">
        <v>0.6</v>
      </c>
      <c r="H863" t="n">
        <v>0</v>
      </c>
      <c r="I863" t="n">
        <v>0</v>
      </c>
      <c r="J863" t="n">
        <v>0</v>
      </c>
      <c r="K863" t="n">
        <v>0</v>
      </c>
      <c r="L863" t="n">
        <v>0</v>
      </c>
      <c r="M863" t="n">
        <v>0</v>
      </c>
      <c r="N863" t="n">
        <v>0</v>
      </c>
      <c r="O863" t="n">
        <v>0</v>
      </c>
      <c r="P863" t="n">
        <v>0</v>
      </c>
      <c r="Q863" t="n">
        <v>0</v>
      </c>
      <c r="R863" s="2" t="inlineStr"/>
    </row>
    <row r="864" ht="15" customHeight="1">
      <c r="A864" t="inlineStr">
        <is>
          <t>A 54806-2025</t>
        </is>
      </c>
      <c r="B864" s="1" t="n">
        <v>45966.6437037037</v>
      </c>
      <c r="C864" s="1" t="n">
        <v>46160</v>
      </c>
      <c r="D864" t="inlineStr">
        <is>
          <t>JÄMTLANDS LÄN</t>
        </is>
      </c>
      <c r="E864" t="inlineStr">
        <is>
          <t>KROKOM</t>
        </is>
      </c>
      <c r="G864" t="n">
        <v>3.9</v>
      </c>
      <c r="H864" t="n">
        <v>0</v>
      </c>
      <c r="I864" t="n">
        <v>0</v>
      </c>
      <c r="J864" t="n">
        <v>0</v>
      </c>
      <c r="K864" t="n">
        <v>0</v>
      </c>
      <c r="L864" t="n">
        <v>0</v>
      </c>
      <c r="M864" t="n">
        <v>0</v>
      </c>
      <c r="N864" t="n">
        <v>0</v>
      </c>
      <c r="O864" t="n">
        <v>0</v>
      </c>
      <c r="P864" t="n">
        <v>0</v>
      </c>
      <c r="Q864" t="n">
        <v>0</v>
      </c>
      <c r="R864" s="2" t="inlineStr"/>
    </row>
    <row r="865" ht="15" customHeight="1">
      <c r="A865" t="inlineStr">
        <is>
          <t>A 30979-2024</t>
        </is>
      </c>
      <c r="B865" s="1" t="n">
        <v>45499.48672453704</v>
      </c>
      <c r="C865" s="1" t="n">
        <v>46160</v>
      </c>
      <c r="D865" t="inlineStr">
        <is>
          <t>JÄMTLANDS LÄN</t>
        </is>
      </c>
      <c r="E865" t="inlineStr">
        <is>
          <t>KROKOM</t>
        </is>
      </c>
      <c r="G865" t="n">
        <v>18.2</v>
      </c>
      <c r="H865" t="n">
        <v>0</v>
      </c>
      <c r="I865" t="n">
        <v>0</v>
      </c>
      <c r="J865" t="n">
        <v>0</v>
      </c>
      <c r="K865" t="n">
        <v>0</v>
      </c>
      <c r="L865" t="n">
        <v>0</v>
      </c>
      <c r="M865" t="n">
        <v>0</v>
      </c>
      <c r="N865" t="n">
        <v>0</v>
      </c>
      <c r="O865" t="n">
        <v>0</v>
      </c>
      <c r="P865" t="n">
        <v>0</v>
      </c>
      <c r="Q865" t="n">
        <v>0</v>
      </c>
      <c r="R865" s="2" t="inlineStr"/>
    </row>
    <row r="866" ht="15" customHeight="1">
      <c r="A866" t="inlineStr">
        <is>
          <t>A 54714-2025</t>
        </is>
      </c>
      <c r="B866" s="1" t="n">
        <v>45966.50523148148</v>
      </c>
      <c r="C866" s="1" t="n">
        <v>46160</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54639-2025</t>
        </is>
      </c>
      <c r="B867" s="1" t="n">
        <v>45966</v>
      </c>
      <c r="C867" s="1" t="n">
        <v>46160</v>
      </c>
      <c r="D867" t="inlineStr">
        <is>
          <t>JÄMTLANDS LÄN</t>
        </is>
      </c>
      <c r="E867" t="inlineStr">
        <is>
          <t>KROKOM</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4942-2026</t>
        </is>
      </c>
      <c r="B868" s="1" t="n">
        <v>46048</v>
      </c>
      <c r="C868" s="1" t="n">
        <v>46160</v>
      </c>
      <c r="D868" t="inlineStr">
        <is>
          <t>JÄMTLANDS LÄN</t>
        </is>
      </c>
      <c r="E868" t="inlineStr">
        <is>
          <t>KROKOM</t>
        </is>
      </c>
      <c r="G868" t="n">
        <v>0.5</v>
      </c>
      <c r="H868" t="n">
        <v>0</v>
      </c>
      <c r="I868" t="n">
        <v>0</v>
      </c>
      <c r="J868" t="n">
        <v>0</v>
      </c>
      <c r="K868" t="n">
        <v>0</v>
      </c>
      <c r="L868" t="n">
        <v>0</v>
      </c>
      <c r="M868" t="n">
        <v>0</v>
      </c>
      <c r="N868" t="n">
        <v>0</v>
      </c>
      <c r="O868" t="n">
        <v>0</v>
      </c>
      <c r="P868" t="n">
        <v>0</v>
      </c>
      <c r="Q868" t="n">
        <v>0</v>
      </c>
      <c r="R868" s="2" t="inlineStr"/>
    </row>
    <row r="869" ht="15" customHeight="1">
      <c r="A869" t="inlineStr">
        <is>
          <t>A 8209-2026</t>
        </is>
      </c>
      <c r="B869" s="1" t="n">
        <v>46064.44895833333</v>
      </c>
      <c r="C869" s="1" t="n">
        <v>46160</v>
      </c>
      <c r="D869" t="inlineStr">
        <is>
          <t>JÄMTLANDS LÄN</t>
        </is>
      </c>
      <c r="E869" t="inlineStr">
        <is>
          <t>KROKOM</t>
        </is>
      </c>
      <c r="G869" t="n">
        <v>1.3</v>
      </c>
      <c r="H869" t="n">
        <v>0</v>
      </c>
      <c r="I869" t="n">
        <v>0</v>
      </c>
      <c r="J869" t="n">
        <v>0</v>
      </c>
      <c r="K869" t="n">
        <v>0</v>
      </c>
      <c r="L869" t="n">
        <v>0</v>
      </c>
      <c r="M869" t="n">
        <v>0</v>
      </c>
      <c r="N869" t="n">
        <v>0</v>
      </c>
      <c r="O869" t="n">
        <v>0</v>
      </c>
      <c r="P869" t="n">
        <v>0</v>
      </c>
      <c r="Q869" t="n">
        <v>0</v>
      </c>
      <c r="R869" s="2" t="inlineStr"/>
    </row>
    <row r="870" ht="15" customHeight="1">
      <c r="A870" t="inlineStr">
        <is>
          <t>A 54706-2025</t>
        </is>
      </c>
      <c r="B870" s="1" t="n">
        <v>45966.48873842593</v>
      </c>
      <c r="C870" s="1" t="n">
        <v>46160</v>
      </c>
      <c r="D870" t="inlineStr">
        <is>
          <t>JÄMTLANDS LÄN</t>
        </is>
      </c>
      <c r="E870" t="inlineStr">
        <is>
          <t>KROKOM</t>
        </is>
      </c>
      <c r="G870" t="n">
        <v>2.5</v>
      </c>
      <c r="H870" t="n">
        <v>0</v>
      </c>
      <c r="I870" t="n">
        <v>0</v>
      </c>
      <c r="J870" t="n">
        <v>0</v>
      </c>
      <c r="K870" t="n">
        <v>0</v>
      </c>
      <c r="L870" t="n">
        <v>0</v>
      </c>
      <c r="M870" t="n">
        <v>0</v>
      </c>
      <c r="N870" t="n">
        <v>0</v>
      </c>
      <c r="O870" t="n">
        <v>0</v>
      </c>
      <c r="P870" t="n">
        <v>0</v>
      </c>
      <c r="Q870" t="n">
        <v>0</v>
      </c>
      <c r="R870" s="2" t="inlineStr"/>
    </row>
    <row r="871" ht="15" customHeight="1">
      <c r="A871" t="inlineStr">
        <is>
          <t>A 54787-2025</t>
        </is>
      </c>
      <c r="B871" s="1" t="n">
        <v>45966.62802083333</v>
      </c>
      <c r="C871" s="1" t="n">
        <v>46160</v>
      </c>
      <c r="D871" t="inlineStr">
        <is>
          <t>JÄMTLANDS LÄN</t>
        </is>
      </c>
      <c r="E871" t="inlineStr">
        <is>
          <t>KROKOM</t>
        </is>
      </c>
      <c r="G871" t="n">
        <v>8.9</v>
      </c>
      <c r="H871" t="n">
        <v>0</v>
      </c>
      <c r="I871" t="n">
        <v>0</v>
      </c>
      <c r="J871" t="n">
        <v>0</v>
      </c>
      <c r="K871" t="n">
        <v>0</v>
      </c>
      <c r="L871" t="n">
        <v>0</v>
      </c>
      <c r="M871" t="n">
        <v>0</v>
      </c>
      <c r="N871" t="n">
        <v>0</v>
      </c>
      <c r="O871" t="n">
        <v>0</v>
      </c>
      <c r="P871" t="n">
        <v>0</v>
      </c>
      <c r="Q871" t="n">
        <v>0</v>
      </c>
      <c r="R871" s="2" t="inlineStr"/>
    </row>
    <row r="872" ht="15" customHeight="1">
      <c r="A872" t="inlineStr">
        <is>
          <t>A 4570-2025</t>
        </is>
      </c>
      <c r="B872" s="1" t="n">
        <v>45687</v>
      </c>
      <c r="C872" s="1" t="n">
        <v>46160</v>
      </c>
      <c r="D872" t="inlineStr">
        <is>
          <t>JÄMTLANDS LÄN</t>
        </is>
      </c>
      <c r="E872" t="inlineStr">
        <is>
          <t>KROKOM</t>
        </is>
      </c>
      <c r="G872" t="n">
        <v>4.6</v>
      </c>
      <c r="H872" t="n">
        <v>0</v>
      </c>
      <c r="I872" t="n">
        <v>0</v>
      </c>
      <c r="J872" t="n">
        <v>0</v>
      </c>
      <c r="K872" t="n">
        <v>0</v>
      </c>
      <c r="L872" t="n">
        <v>0</v>
      </c>
      <c r="M872" t="n">
        <v>0</v>
      </c>
      <c r="N872" t="n">
        <v>0</v>
      </c>
      <c r="O872" t="n">
        <v>0</v>
      </c>
      <c r="P872" t="n">
        <v>0</v>
      </c>
      <c r="Q872" t="n">
        <v>0</v>
      </c>
      <c r="R872" s="2" t="inlineStr"/>
    </row>
    <row r="873" ht="15" customHeight="1">
      <c r="A873" t="inlineStr">
        <is>
          <t>A 61742-2024</t>
        </is>
      </c>
      <c r="B873" s="1" t="n">
        <v>45649.38149305555</v>
      </c>
      <c r="C873" s="1" t="n">
        <v>46160</v>
      </c>
      <c r="D873" t="inlineStr">
        <is>
          <t>JÄMTLANDS LÄN</t>
        </is>
      </c>
      <c r="E873" t="inlineStr">
        <is>
          <t>KROKOM</t>
        </is>
      </c>
      <c r="G873" t="n">
        <v>13.3</v>
      </c>
      <c r="H873" t="n">
        <v>0</v>
      </c>
      <c r="I873" t="n">
        <v>0</v>
      </c>
      <c r="J873" t="n">
        <v>0</v>
      </c>
      <c r="K873" t="n">
        <v>0</v>
      </c>
      <c r="L873" t="n">
        <v>0</v>
      </c>
      <c r="M873" t="n">
        <v>0</v>
      </c>
      <c r="N873" t="n">
        <v>0</v>
      </c>
      <c r="O873" t="n">
        <v>0</v>
      </c>
      <c r="P873" t="n">
        <v>0</v>
      </c>
      <c r="Q873" t="n">
        <v>0</v>
      </c>
      <c r="R873" s="2" t="inlineStr"/>
    </row>
    <row r="874" ht="15" customHeight="1">
      <c r="A874" t="inlineStr">
        <is>
          <t>A 54791-2025</t>
        </is>
      </c>
      <c r="B874" s="1" t="n">
        <v>45966.63326388889</v>
      </c>
      <c r="C874" s="1" t="n">
        <v>46160</v>
      </c>
      <c r="D874" t="inlineStr">
        <is>
          <t>JÄMTLANDS LÄN</t>
        </is>
      </c>
      <c r="E874" t="inlineStr">
        <is>
          <t>KROKOM</t>
        </is>
      </c>
      <c r="G874" t="n">
        <v>2.9</v>
      </c>
      <c r="H874" t="n">
        <v>0</v>
      </c>
      <c r="I874" t="n">
        <v>0</v>
      </c>
      <c r="J874" t="n">
        <v>0</v>
      </c>
      <c r="K874" t="n">
        <v>0</v>
      </c>
      <c r="L874" t="n">
        <v>0</v>
      </c>
      <c r="M874" t="n">
        <v>0</v>
      </c>
      <c r="N874" t="n">
        <v>0</v>
      </c>
      <c r="O874" t="n">
        <v>0</v>
      </c>
      <c r="P874" t="n">
        <v>0</v>
      </c>
      <c r="Q874" t="n">
        <v>0</v>
      </c>
      <c r="R874" s="2" t="inlineStr"/>
    </row>
    <row r="875" ht="15" customHeight="1">
      <c r="A875" t="inlineStr">
        <is>
          <t>A 54641-2025</t>
        </is>
      </c>
      <c r="B875" s="1" t="n">
        <v>45966.36547453704</v>
      </c>
      <c r="C875" s="1" t="n">
        <v>46160</v>
      </c>
      <c r="D875" t="inlineStr">
        <is>
          <t>JÄMTLANDS LÄN</t>
        </is>
      </c>
      <c r="E875" t="inlineStr">
        <is>
          <t>KROKOM</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54821-2025</t>
        </is>
      </c>
      <c r="B876" s="1" t="n">
        <v>45966.6591087963</v>
      </c>
      <c r="C876" s="1" t="n">
        <v>46160</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18841-2025</t>
        </is>
      </c>
      <c r="B877" s="1" t="n">
        <v>45764.40834490741</v>
      </c>
      <c r="C877" s="1" t="n">
        <v>46160</v>
      </c>
      <c r="D877" t="inlineStr">
        <is>
          <t>JÄMTLANDS LÄN</t>
        </is>
      </c>
      <c r="E877" t="inlineStr">
        <is>
          <t>KROKOM</t>
        </is>
      </c>
      <c r="G877" t="n">
        <v>2.9</v>
      </c>
      <c r="H877" t="n">
        <v>0</v>
      </c>
      <c r="I877" t="n">
        <v>0</v>
      </c>
      <c r="J877" t="n">
        <v>0</v>
      </c>
      <c r="K877" t="n">
        <v>0</v>
      </c>
      <c r="L877" t="n">
        <v>0</v>
      </c>
      <c r="M877" t="n">
        <v>0</v>
      </c>
      <c r="N877" t="n">
        <v>0</v>
      </c>
      <c r="O877" t="n">
        <v>0</v>
      </c>
      <c r="P877" t="n">
        <v>0</v>
      </c>
      <c r="Q877" t="n">
        <v>0</v>
      </c>
      <c r="R877" s="2" t="inlineStr"/>
    </row>
    <row r="878" ht="15" customHeight="1">
      <c r="A878" t="inlineStr">
        <is>
          <t>A 9963-2025</t>
        </is>
      </c>
      <c r="B878" s="1" t="n">
        <v>45719.37307870371</v>
      </c>
      <c r="C878" s="1" t="n">
        <v>46160</v>
      </c>
      <c r="D878" t="inlineStr">
        <is>
          <t>JÄMTLANDS LÄN</t>
        </is>
      </c>
      <c r="E878" t="inlineStr">
        <is>
          <t>KROKOM</t>
        </is>
      </c>
      <c r="F878" t="inlineStr">
        <is>
          <t>Övriga Aktiebolag</t>
        </is>
      </c>
      <c r="G878" t="n">
        <v>3.7</v>
      </c>
      <c r="H878" t="n">
        <v>0</v>
      </c>
      <c r="I878" t="n">
        <v>0</v>
      </c>
      <c r="J878" t="n">
        <v>0</v>
      </c>
      <c r="K878" t="n">
        <v>0</v>
      </c>
      <c r="L878" t="n">
        <v>0</v>
      </c>
      <c r="M878" t="n">
        <v>0</v>
      </c>
      <c r="N878" t="n">
        <v>0</v>
      </c>
      <c r="O878" t="n">
        <v>0</v>
      </c>
      <c r="P878" t="n">
        <v>0</v>
      </c>
      <c r="Q878" t="n">
        <v>0</v>
      </c>
      <c r="R878" s="2" t="inlineStr"/>
    </row>
    <row r="879" ht="15" customHeight="1">
      <c r="A879" t="inlineStr">
        <is>
          <t>A 8330-2026</t>
        </is>
      </c>
      <c r="B879" s="1" t="n">
        <v>46064.62232638889</v>
      </c>
      <c r="C879" s="1" t="n">
        <v>46160</v>
      </c>
      <c r="D879" t="inlineStr">
        <is>
          <t>JÄMTLANDS LÄN</t>
        </is>
      </c>
      <c r="E879" t="inlineStr">
        <is>
          <t>KROKOM</t>
        </is>
      </c>
      <c r="G879" t="n">
        <v>3.8</v>
      </c>
      <c r="H879" t="n">
        <v>0</v>
      </c>
      <c r="I879" t="n">
        <v>0</v>
      </c>
      <c r="J879" t="n">
        <v>0</v>
      </c>
      <c r="K879" t="n">
        <v>0</v>
      </c>
      <c r="L879" t="n">
        <v>0</v>
      </c>
      <c r="M879" t="n">
        <v>0</v>
      </c>
      <c r="N879" t="n">
        <v>0</v>
      </c>
      <c r="O879" t="n">
        <v>0</v>
      </c>
      <c r="P879" t="n">
        <v>0</v>
      </c>
      <c r="Q879" t="n">
        <v>0</v>
      </c>
      <c r="R879" s="2" t="inlineStr"/>
    </row>
    <row r="880" ht="15" customHeight="1">
      <c r="A880" t="inlineStr">
        <is>
          <t>A 55060-2025</t>
        </is>
      </c>
      <c r="B880" s="1" t="n">
        <v>45967.68814814815</v>
      </c>
      <c r="C880" s="1" t="n">
        <v>46160</v>
      </c>
      <c r="D880" t="inlineStr">
        <is>
          <t>JÄMTLANDS LÄN</t>
        </is>
      </c>
      <c r="E880" t="inlineStr">
        <is>
          <t>KROKOM</t>
        </is>
      </c>
      <c r="F880" t="inlineStr">
        <is>
          <t>Kyrkan</t>
        </is>
      </c>
      <c r="G880" t="n">
        <v>59.7</v>
      </c>
      <c r="H880" t="n">
        <v>0</v>
      </c>
      <c r="I880" t="n">
        <v>0</v>
      </c>
      <c r="J880" t="n">
        <v>0</v>
      </c>
      <c r="K880" t="n">
        <v>0</v>
      </c>
      <c r="L880" t="n">
        <v>0</v>
      </c>
      <c r="M880" t="n">
        <v>0</v>
      </c>
      <c r="N880" t="n">
        <v>0</v>
      </c>
      <c r="O880" t="n">
        <v>0</v>
      </c>
      <c r="P880" t="n">
        <v>0</v>
      </c>
      <c r="Q880" t="n">
        <v>0</v>
      </c>
      <c r="R880" s="2" t="inlineStr"/>
    </row>
    <row r="881" ht="15" customHeight="1">
      <c r="A881" t="inlineStr">
        <is>
          <t>A 55062-2025</t>
        </is>
      </c>
      <c r="B881" s="1" t="n">
        <v>45967.69768518519</v>
      </c>
      <c r="C881" s="1" t="n">
        <v>46160</v>
      </c>
      <c r="D881" t="inlineStr">
        <is>
          <t>JÄMTLANDS LÄN</t>
        </is>
      </c>
      <c r="E881" t="inlineStr">
        <is>
          <t>KROKOM</t>
        </is>
      </c>
      <c r="F881" t="inlineStr">
        <is>
          <t>Kyrkan</t>
        </is>
      </c>
      <c r="G881" t="n">
        <v>2.3</v>
      </c>
      <c r="H881" t="n">
        <v>0</v>
      </c>
      <c r="I881" t="n">
        <v>0</v>
      </c>
      <c r="J881" t="n">
        <v>0</v>
      </c>
      <c r="K881" t="n">
        <v>0</v>
      </c>
      <c r="L881" t="n">
        <v>0</v>
      </c>
      <c r="M881" t="n">
        <v>0</v>
      </c>
      <c r="N881" t="n">
        <v>0</v>
      </c>
      <c r="O881" t="n">
        <v>0</v>
      </c>
      <c r="P881" t="n">
        <v>0</v>
      </c>
      <c r="Q881" t="n">
        <v>0</v>
      </c>
      <c r="R881" s="2" t="inlineStr"/>
    </row>
    <row r="882" ht="15" customHeight="1">
      <c r="A882" t="inlineStr">
        <is>
          <t>A 54895-2025</t>
        </is>
      </c>
      <c r="B882" s="1" t="n">
        <v>45967.36524305555</v>
      </c>
      <c r="C882" s="1" t="n">
        <v>46160</v>
      </c>
      <c r="D882" t="inlineStr">
        <is>
          <t>JÄMTLANDS LÄN</t>
        </is>
      </c>
      <c r="E882" t="inlineStr">
        <is>
          <t>KROKOM</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55236-2025</t>
        </is>
      </c>
      <c r="B883" s="1" t="n">
        <v>45968.61451388889</v>
      </c>
      <c r="C883" s="1" t="n">
        <v>46160</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23539-2024</t>
        </is>
      </c>
      <c r="B884" s="1" t="n">
        <v>45453.95237268518</v>
      </c>
      <c r="C884" s="1" t="n">
        <v>46160</v>
      </c>
      <c r="D884" t="inlineStr">
        <is>
          <t>JÄMTLANDS LÄN</t>
        </is>
      </c>
      <c r="E884" t="inlineStr">
        <is>
          <t>KROKOM</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54933-2025</t>
        </is>
      </c>
      <c r="B885" s="1" t="n">
        <v>45967.42778935185</v>
      </c>
      <c r="C885" s="1" t="n">
        <v>46160</v>
      </c>
      <c r="D885" t="inlineStr">
        <is>
          <t>JÄMTLANDS LÄN</t>
        </is>
      </c>
      <c r="E885" t="inlineStr">
        <is>
          <t>KROKOM</t>
        </is>
      </c>
      <c r="F885" t="inlineStr">
        <is>
          <t>SCA</t>
        </is>
      </c>
      <c r="G885" t="n">
        <v>12.8</v>
      </c>
      <c r="H885" t="n">
        <v>0</v>
      </c>
      <c r="I885" t="n">
        <v>0</v>
      </c>
      <c r="J885" t="n">
        <v>0</v>
      </c>
      <c r="K885" t="n">
        <v>0</v>
      </c>
      <c r="L885" t="n">
        <v>0</v>
      </c>
      <c r="M885" t="n">
        <v>0</v>
      </c>
      <c r="N885" t="n">
        <v>0</v>
      </c>
      <c r="O885" t="n">
        <v>0</v>
      </c>
      <c r="P885" t="n">
        <v>0</v>
      </c>
      <c r="Q885" t="n">
        <v>0</v>
      </c>
      <c r="R885" s="2" t="inlineStr"/>
    </row>
    <row r="886" ht="15" customHeight="1">
      <c r="A886" t="inlineStr">
        <is>
          <t>A 34289-2021</t>
        </is>
      </c>
      <c r="B886" s="1" t="n">
        <v>44379.59675925926</v>
      </c>
      <c r="C886" s="1" t="n">
        <v>46160</v>
      </c>
      <c r="D886" t="inlineStr">
        <is>
          <t>JÄMTLANDS LÄN</t>
        </is>
      </c>
      <c r="E886" t="inlineStr">
        <is>
          <t>KROKOM</t>
        </is>
      </c>
      <c r="G886" t="n">
        <v>1.5</v>
      </c>
      <c r="H886" t="n">
        <v>0</v>
      </c>
      <c r="I886" t="n">
        <v>0</v>
      </c>
      <c r="J886" t="n">
        <v>0</v>
      </c>
      <c r="K886" t="n">
        <v>0</v>
      </c>
      <c r="L886" t="n">
        <v>0</v>
      </c>
      <c r="M886" t="n">
        <v>0</v>
      </c>
      <c r="N886" t="n">
        <v>0</v>
      </c>
      <c r="O886" t="n">
        <v>0</v>
      </c>
      <c r="P886" t="n">
        <v>0</v>
      </c>
      <c r="Q886" t="n">
        <v>0</v>
      </c>
      <c r="R886" s="2" t="inlineStr"/>
    </row>
    <row r="887" ht="15" customHeight="1">
      <c r="A887" t="inlineStr">
        <is>
          <t>A 9039-2026</t>
        </is>
      </c>
      <c r="B887" s="1" t="n">
        <v>46069.53791666667</v>
      </c>
      <c r="C887" s="1" t="n">
        <v>46160</v>
      </c>
      <c r="D887" t="inlineStr">
        <is>
          <t>JÄMTLANDS LÄN</t>
        </is>
      </c>
      <c r="E887" t="inlineStr">
        <is>
          <t>KROKOM</t>
        </is>
      </c>
      <c r="G887" t="n">
        <v>0.8</v>
      </c>
      <c r="H887" t="n">
        <v>0</v>
      </c>
      <c r="I887" t="n">
        <v>0</v>
      </c>
      <c r="J887" t="n">
        <v>0</v>
      </c>
      <c r="K887" t="n">
        <v>0</v>
      </c>
      <c r="L887" t="n">
        <v>0</v>
      </c>
      <c r="M887" t="n">
        <v>0</v>
      </c>
      <c r="N887" t="n">
        <v>0</v>
      </c>
      <c r="O887" t="n">
        <v>0</v>
      </c>
      <c r="P887" t="n">
        <v>0</v>
      </c>
      <c r="Q887" t="n">
        <v>0</v>
      </c>
      <c r="R887" s="2" t="inlineStr"/>
    </row>
    <row r="888" ht="15" customHeight="1">
      <c r="A888" t="inlineStr">
        <is>
          <t>A 9168-2026</t>
        </is>
      </c>
      <c r="B888" s="1" t="n">
        <v>46070.36040509259</v>
      </c>
      <c r="C888" s="1" t="n">
        <v>46160</v>
      </c>
      <c r="D888" t="inlineStr">
        <is>
          <t>JÄMTLANDS LÄN</t>
        </is>
      </c>
      <c r="E888" t="inlineStr">
        <is>
          <t>KROKOM</t>
        </is>
      </c>
      <c r="F888" t="inlineStr">
        <is>
          <t>Övriga Aktiebolag</t>
        </is>
      </c>
      <c r="G888" t="n">
        <v>8.1</v>
      </c>
      <c r="H888" t="n">
        <v>0</v>
      </c>
      <c r="I888" t="n">
        <v>0</v>
      </c>
      <c r="J888" t="n">
        <v>0</v>
      </c>
      <c r="K888" t="n">
        <v>0</v>
      </c>
      <c r="L888" t="n">
        <v>0</v>
      </c>
      <c r="M888" t="n">
        <v>0</v>
      </c>
      <c r="N888" t="n">
        <v>0</v>
      </c>
      <c r="O888" t="n">
        <v>0</v>
      </c>
      <c r="P888" t="n">
        <v>0</v>
      </c>
      <c r="Q888" t="n">
        <v>0</v>
      </c>
      <c r="R888" s="2" t="inlineStr"/>
    </row>
    <row r="889" ht="15" customHeight="1">
      <c r="A889" t="inlineStr">
        <is>
          <t>A 9057-2026</t>
        </is>
      </c>
      <c r="B889" s="1" t="n">
        <v>46069.56244212963</v>
      </c>
      <c r="C889" s="1" t="n">
        <v>46160</v>
      </c>
      <c r="D889" t="inlineStr">
        <is>
          <t>JÄMTLANDS LÄN</t>
        </is>
      </c>
      <c r="E889" t="inlineStr">
        <is>
          <t>KROKOM</t>
        </is>
      </c>
      <c r="G889" t="n">
        <v>6.2</v>
      </c>
      <c r="H889" t="n">
        <v>0</v>
      </c>
      <c r="I889" t="n">
        <v>0</v>
      </c>
      <c r="J889" t="n">
        <v>0</v>
      </c>
      <c r="K889" t="n">
        <v>0</v>
      </c>
      <c r="L889" t="n">
        <v>0</v>
      </c>
      <c r="M889" t="n">
        <v>0</v>
      </c>
      <c r="N889" t="n">
        <v>0</v>
      </c>
      <c r="O889" t="n">
        <v>0</v>
      </c>
      <c r="P889" t="n">
        <v>0</v>
      </c>
      <c r="Q889" t="n">
        <v>0</v>
      </c>
      <c r="R889" s="2" t="inlineStr"/>
    </row>
    <row r="890" ht="15" customHeight="1">
      <c r="A890" t="inlineStr">
        <is>
          <t>A 55517-2025</t>
        </is>
      </c>
      <c r="B890" s="1" t="n">
        <v>45971.60344907407</v>
      </c>
      <c r="C890" s="1" t="n">
        <v>46160</v>
      </c>
      <c r="D890" t="inlineStr">
        <is>
          <t>JÄMTLANDS LÄN</t>
        </is>
      </c>
      <c r="E890" t="inlineStr">
        <is>
          <t>KROKOM</t>
        </is>
      </c>
      <c r="G890" t="n">
        <v>13.3</v>
      </c>
      <c r="H890" t="n">
        <v>0</v>
      </c>
      <c r="I890" t="n">
        <v>0</v>
      </c>
      <c r="J890" t="n">
        <v>0</v>
      </c>
      <c r="K890" t="n">
        <v>0</v>
      </c>
      <c r="L890" t="n">
        <v>0</v>
      </c>
      <c r="M890" t="n">
        <v>0</v>
      </c>
      <c r="N890" t="n">
        <v>0</v>
      </c>
      <c r="O890" t="n">
        <v>0</v>
      </c>
      <c r="P890" t="n">
        <v>0</v>
      </c>
      <c r="Q890" t="n">
        <v>0</v>
      </c>
      <c r="R890" s="2" t="inlineStr"/>
    </row>
    <row r="891" ht="15" customHeight="1">
      <c r="A891" t="inlineStr">
        <is>
          <t>A 9098-2026</t>
        </is>
      </c>
      <c r="B891" s="1" t="n">
        <v>46069.6367824074</v>
      </c>
      <c r="C891" s="1" t="n">
        <v>46160</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55782-2025</t>
        </is>
      </c>
      <c r="B892" s="1" t="n">
        <v>45972.63504629629</v>
      </c>
      <c r="C892" s="1" t="n">
        <v>46160</v>
      </c>
      <c r="D892" t="inlineStr">
        <is>
          <t>JÄMTLANDS LÄN</t>
        </is>
      </c>
      <c r="E892" t="inlineStr">
        <is>
          <t>KROKOM</t>
        </is>
      </c>
      <c r="F892" t="inlineStr">
        <is>
          <t>Övriga Aktiebolag</t>
        </is>
      </c>
      <c r="G892" t="n">
        <v>10</v>
      </c>
      <c r="H892" t="n">
        <v>0</v>
      </c>
      <c r="I892" t="n">
        <v>0</v>
      </c>
      <c r="J892" t="n">
        <v>0</v>
      </c>
      <c r="K892" t="n">
        <v>0</v>
      </c>
      <c r="L892" t="n">
        <v>0</v>
      </c>
      <c r="M892" t="n">
        <v>0</v>
      </c>
      <c r="N892" t="n">
        <v>0</v>
      </c>
      <c r="O892" t="n">
        <v>0</v>
      </c>
      <c r="P892" t="n">
        <v>0</v>
      </c>
      <c r="Q892" t="n">
        <v>0</v>
      </c>
      <c r="R892" s="2" t="inlineStr"/>
    </row>
    <row r="893" ht="15" customHeight="1">
      <c r="A893" t="inlineStr">
        <is>
          <t>A 9180-2026</t>
        </is>
      </c>
      <c r="B893" s="1" t="n">
        <v>46070.36953703704</v>
      </c>
      <c r="C893" s="1" t="n">
        <v>46160</v>
      </c>
      <c r="D893" t="inlineStr">
        <is>
          <t>JÄMTLANDS LÄN</t>
        </is>
      </c>
      <c r="E893" t="inlineStr">
        <is>
          <t>KROKOM</t>
        </is>
      </c>
      <c r="F893" t="inlineStr">
        <is>
          <t>Övriga Aktiebolag</t>
        </is>
      </c>
      <c r="G893" t="n">
        <v>4.7</v>
      </c>
      <c r="H893" t="n">
        <v>0</v>
      </c>
      <c r="I893" t="n">
        <v>0</v>
      </c>
      <c r="J893" t="n">
        <v>0</v>
      </c>
      <c r="K893" t="n">
        <v>0</v>
      </c>
      <c r="L893" t="n">
        <v>0</v>
      </c>
      <c r="M893" t="n">
        <v>0</v>
      </c>
      <c r="N893" t="n">
        <v>0</v>
      </c>
      <c r="O893" t="n">
        <v>0</v>
      </c>
      <c r="P893" t="n">
        <v>0</v>
      </c>
      <c r="Q893" t="n">
        <v>0</v>
      </c>
      <c r="R893" s="2" t="inlineStr"/>
    </row>
    <row r="894" ht="15" customHeight="1">
      <c r="A894" t="inlineStr">
        <is>
          <t>A 55564-2025</t>
        </is>
      </c>
      <c r="B894" s="1" t="n">
        <v>45971.65542824074</v>
      </c>
      <c r="C894" s="1" t="n">
        <v>46160</v>
      </c>
      <c r="D894" t="inlineStr">
        <is>
          <t>JÄMTLANDS LÄN</t>
        </is>
      </c>
      <c r="E894" t="inlineStr">
        <is>
          <t>KROKOM</t>
        </is>
      </c>
      <c r="G894" t="n">
        <v>5.4</v>
      </c>
      <c r="H894" t="n">
        <v>0</v>
      </c>
      <c r="I894" t="n">
        <v>0</v>
      </c>
      <c r="J894" t="n">
        <v>0</v>
      </c>
      <c r="K894" t="n">
        <v>0</v>
      </c>
      <c r="L894" t="n">
        <v>0</v>
      </c>
      <c r="M894" t="n">
        <v>0</v>
      </c>
      <c r="N894" t="n">
        <v>0</v>
      </c>
      <c r="O894" t="n">
        <v>0</v>
      </c>
      <c r="P894" t="n">
        <v>0</v>
      </c>
      <c r="Q894" t="n">
        <v>0</v>
      </c>
      <c r="R894" s="2" t="inlineStr"/>
    </row>
    <row r="895" ht="15" customHeight="1">
      <c r="A895" t="inlineStr">
        <is>
          <t>A 55400-2025</t>
        </is>
      </c>
      <c r="B895" s="1" t="n">
        <v>45971.44931712963</v>
      </c>
      <c r="C895" s="1" t="n">
        <v>46160</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56087-2025</t>
        </is>
      </c>
      <c r="B896" s="1" t="n">
        <v>45973.6665625</v>
      </c>
      <c r="C896" s="1" t="n">
        <v>46160</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17840-2025</t>
        </is>
      </c>
      <c r="B897" s="1" t="n">
        <v>45758.58943287037</v>
      </c>
      <c r="C897" s="1" t="n">
        <v>46160</v>
      </c>
      <c r="D897" t="inlineStr">
        <is>
          <t>JÄMTLANDS LÄN</t>
        </is>
      </c>
      <c r="E897" t="inlineStr">
        <is>
          <t>KROKOM</t>
        </is>
      </c>
      <c r="F897" t="inlineStr">
        <is>
          <t>Övriga Aktiebolag</t>
        </is>
      </c>
      <c r="G897" t="n">
        <v>6.7</v>
      </c>
      <c r="H897" t="n">
        <v>0</v>
      </c>
      <c r="I897" t="n">
        <v>0</v>
      </c>
      <c r="J897" t="n">
        <v>0</v>
      </c>
      <c r="K897" t="n">
        <v>0</v>
      </c>
      <c r="L897" t="n">
        <v>0</v>
      </c>
      <c r="M897" t="n">
        <v>0</v>
      </c>
      <c r="N897" t="n">
        <v>0</v>
      </c>
      <c r="O897" t="n">
        <v>0</v>
      </c>
      <c r="P897" t="n">
        <v>0</v>
      </c>
      <c r="Q897" t="n">
        <v>0</v>
      </c>
      <c r="R897" s="2" t="inlineStr"/>
    </row>
    <row r="898" ht="15" customHeight="1">
      <c r="A898" t="inlineStr">
        <is>
          <t>A 56038-2025</t>
        </is>
      </c>
      <c r="B898" s="1" t="n">
        <v>45973.61100694445</v>
      </c>
      <c r="C898" s="1" t="n">
        <v>46160</v>
      </c>
      <c r="D898" t="inlineStr">
        <is>
          <t>JÄMTLANDS LÄN</t>
        </is>
      </c>
      <c r="E898" t="inlineStr">
        <is>
          <t>KROKOM</t>
        </is>
      </c>
      <c r="G898" t="n">
        <v>2.2</v>
      </c>
      <c r="H898" t="n">
        <v>0</v>
      </c>
      <c r="I898" t="n">
        <v>0</v>
      </c>
      <c r="J898" t="n">
        <v>0</v>
      </c>
      <c r="K898" t="n">
        <v>0</v>
      </c>
      <c r="L898" t="n">
        <v>0</v>
      </c>
      <c r="M898" t="n">
        <v>0</v>
      </c>
      <c r="N898" t="n">
        <v>0</v>
      </c>
      <c r="O898" t="n">
        <v>0</v>
      </c>
      <c r="P898" t="n">
        <v>0</v>
      </c>
      <c r="Q898" t="n">
        <v>0</v>
      </c>
      <c r="R898" s="2" t="inlineStr"/>
    </row>
    <row r="899" ht="15" customHeight="1">
      <c r="A899" t="inlineStr">
        <is>
          <t>A 1477-2025</t>
        </is>
      </c>
      <c r="B899" s="1" t="n">
        <v>45670</v>
      </c>
      <c r="C899" s="1" t="n">
        <v>46160</v>
      </c>
      <c r="D899" t="inlineStr">
        <is>
          <t>JÄMTLANDS LÄN</t>
        </is>
      </c>
      <c r="E899" t="inlineStr">
        <is>
          <t>KROKOM</t>
        </is>
      </c>
      <c r="G899" t="n">
        <v>7.3</v>
      </c>
      <c r="H899" t="n">
        <v>0</v>
      </c>
      <c r="I899" t="n">
        <v>0</v>
      </c>
      <c r="J899" t="n">
        <v>0</v>
      </c>
      <c r="K899" t="n">
        <v>0</v>
      </c>
      <c r="L899" t="n">
        <v>0</v>
      </c>
      <c r="M899" t="n">
        <v>0</v>
      </c>
      <c r="N899" t="n">
        <v>0</v>
      </c>
      <c r="O899" t="n">
        <v>0</v>
      </c>
      <c r="P899" t="n">
        <v>0</v>
      </c>
      <c r="Q899" t="n">
        <v>0</v>
      </c>
      <c r="R899" s="2" t="inlineStr"/>
    </row>
    <row r="900" ht="15" customHeight="1">
      <c r="A900" t="inlineStr">
        <is>
          <t>A 56095-2025</t>
        </is>
      </c>
      <c r="B900" s="1" t="n">
        <v>45973.67952546296</v>
      </c>
      <c r="C900" s="1" t="n">
        <v>46160</v>
      </c>
      <c r="D900" t="inlineStr">
        <is>
          <t>JÄMTLANDS LÄN</t>
        </is>
      </c>
      <c r="E900" t="inlineStr">
        <is>
          <t>KROKOM</t>
        </is>
      </c>
      <c r="G900" t="n">
        <v>3.3</v>
      </c>
      <c r="H900" t="n">
        <v>0</v>
      </c>
      <c r="I900" t="n">
        <v>0</v>
      </c>
      <c r="J900" t="n">
        <v>0</v>
      </c>
      <c r="K900" t="n">
        <v>0</v>
      </c>
      <c r="L900" t="n">
        <v>0</v>
      </c>
      <c r="M900" t="n">
        <v>0</v>
      </c>
      <c r="N900" t="n">
        <v>0</v>
      </c>
      <c r="O900" t="n">
        <v>0</v>
      </c>
      <c r="P900" t="n">
        <v>0</v>
      </c>
      <c r="Q900" t="n">
        <v>0</v>
      </c>
      <c r="R900" s="2" t="inlineStr"/>
    </row>
    <row r="901" ht="15" customHeight="1">
      <c r="A901" t="inlineStr">
        <is>
          <t>A 56177-2025</t>
        </is>
      </c>
      <c r="B901" s="1" t="n">
        <v>45974.39988425926</v>
      </c>
      <c r="C901" s="1" t="n">
        <v>46160</v>
      </c>
      <c r="D901" t="inlineStr">
        <is>
          <t>JÄMTLANDS LÄN</t>
        </is>
      </c>
      <c r="E901" t="inlineStr">
        <is>
          <t>KROKOM</t>
        </is>
      </c>
      <c r="G901" t="n">
        <v>2.9</v>
      </c>
      <c r="H901" t="n">
        <v>0</v>
      </c>
      <c r="I901" t="n">
        <v>0</v>
      </c>
      <c r="J901" t="n">
        <v>0</v>
      </c>
      <c r="K901" t="n">
        <v>0</v>
      </c>
      <c r="L901" t="n">
        <v>0</v>
      </c>
      <c r="M901" t="n">
        <v>0</v>
      </c>
      <c r="N901" t="n">
        <v>0</v>
      </c>
      <c r="O901" t="n">
        <v>0</v>
      </c>
      <c r="P901" t="n">
        <v>0</v>
      </c>
      <c r="Q901" t="n">
        <v>0</v>
      </c>
      <c r="R901" s="2" t="inlineStr"/>
    </row>
    <row r="902" ht="15" customHeight="1">
      <c r="A902" t="inlineStr">
        <is>
          <t>A 8976-2026</t>
        </is>
      </c>
      <c r="B902" s="1" t="n">
        <v>46069</v>
      </c>
      <c r="C902" s="1" t="n">
        <v>46160</v>
      </c>
      <c r="D902" t="inlineStr">
        <is>
          <t>JÄMTLANDS LÄN</t>
        </is>
      </c>
      <c r="E902" t="inlineStr">
        <is>
          <t>KROKOM</t>
        </is>
      </c>
      <c r="G902" t="n">
        <v>2.2</v>
      </c>
      <c r="H902" t="n">
        <v>0</v>
      </c>
      <c r="I902" t="n">
        <v>0</v>
      </c>
      <c r="J902" t="n">
        <v>0</v>
      </c>
      <c r="K902" t="n">
        <v>0</v>
      </c>
      <c r="L902" t="n">
        <v>0</v>
      </c>
      <c r="M902" t="n">
        <v>0</v>
      </c>
      <c r="N902" t="n">
        <v>0</v>
      </c>
      <c r="O902" t="n">
        <v>0</v>
      </c>
      <c r="P902" t="n">
        <v>0</v>
      </c>
      <c r="Q902" t="n">
        <v>0</v>
      </c>
      <c r="R902" s="2" t="inlineStr"/>
    </row>
    <row r="903" ht="15" customHeight="1">
      <c r="A903" t="inlineStr">
        <is>
          <t>A 9164-2026</t>
        </is>
      </c>
      <c r="B903" s="1" t="n">
        <v>46070.35418981482</v>
      </c>
      <c r="C903" s="1" t="n">
        <v>46160</v>
      </c>
      <c r="D903" t="inlineStr">
        <is>
          <t>JÄMTLANDS LÄN</t>
        </is>
      </c>
      <c r="E903" t="inlineStr">
        <is>
          <t>KROKOM</t>
        </is>
      </c>
      <c r="F903" t="inlineStr">
        <is>
          <t>Övriga Aktiebolag</t>
        </is>
      </c>
      <c r="G903" t="n">
        <v>1.4</v>
      </c>
      <c r="H903" t="n">
        <v>0</v>
      </c>
      <c r="I903" t="n">
        <v>0</v>
      </c>
      <c r="J903" t="n">
        <v>0</v>
      </c>
      <c r="K903" t="n">
        <v>0</v>
      </c>
      <c r="L903" t="n">
        <v>0</v>
      </c>
      <c r="M903" t="n">
        <v>0</v>
      </c>
      <c r="N903" t="n">
        <v>0</v>
      </c>
      <c r="O903" t="n">
        <v>0</v>
      </c>
      <c r="P903" t="n">
        <v>0</v>
      </c>
      <c r="Q903" t="n">
        <v>0</v>
      </c>
      <c r="R903" s="2" t="inlineStr"/>
    </row>
    <row r="904" ht="15" customHeight="1">
      <c r="A904" t="inlineStr">
        <is>
          <t>A 57149-2023</t>
        </is>
      </c>
      <c r="B904" s="1" t="n">
        <v>45245</v>
      </c>
      <c r="C904" s="1" t="n">
        <v>46160</v>
      </c>
      <c r="D904" t="inlineStr">
        <is>
          <t>JÄMTLANDS LÄN</t>
        </is>
      </c>
      <c r="E904" t="inlineStr">
        <is>
          <t>KROKOM</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9473-2026</t>
        </is>
      </c>
      <c r="B905" s="1" t="n">
        <v>46071.51774305556</v>
      </c>
      <c r="C905" s="1" t="n">
        <v>46160</v>
      </c>
      <c r="D905" t="inlineStr">
        <is>
          <t>JÄMTLANDS LÄN</t>
        </is>
      </c>
      <c r="E905" t="inlineStr">
        <is>
          <t>KROKOM</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56433-2025</t>
        </is>
      </c>
      <c r="B906" s="1" t="n">
        <v>45975.34655092593</v>
      </c>
      <c r="C906" s="1" t="n">
        <v>46160</v>
      </c>
      <c r="D906" t="inlineStr">
        <is>
          <t>JÄMTLANDS LÄN</t>
        </is>
      </c>
      <c r="E906" t="inlineStr">
        <is>
          <t>KROKOM</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6185-2025</t>
        </is>
      </c>
      <c r="B907" s="1" t="n">
        <v>45698.45653935185</v>
      </c>
      <c r="C907" s="1" t="n">
        <v>46160</v>
      </c>
      <c r="D907" t="inlineStr">
        <is>
          <t>JÄMTLANDS LÄN</t>
        </is>
      </c>
      <c r="E907" t="inlineStr">
        <is>
          <t>KROKOM</t>
        </is>
      </c>
      <c r="G907" t="n">
        <v>14.7</v>
      </c>
      <c r="H907" t="n">
        <v>0</v>
      </c>
      <c r="I907" t="n">
        <v>0</v>
      </c>
      <c r="J907" t="n">
        <v>0</v>
      </c>
      <c r="K907" t="n">
        <v>0</v>
      </c>
      <c r="L907" t="n">
        <v>0</v>
      </c>
      <c r="M907" t="n">
        <v>0</v>
      </c>
      <c r="N907" t="n">
        <v>0</v>
      </c>
      <c r="O907" t="n">
        <v>0</v>
      </c>
      <c r="P907" t="n">
        <v>0</v>
      </c>
      <c r="Q907" t="n">
        <v>0</v>
      </c>
      <c r="R907" s="2" t="inlineStr"/>
    </row>
    <row r="908" ht="15" customHeight="1">
      <c r="A908" t="inlineStr">
        <is>
          <t>A 6042-2025</t>
        </is>
      </c>
      <c r="B908" s="1" t="n">
        <v>45695</v>
      </c>
      <c r="C908" s="1" t="n">
        <v>46160</v>
      </c>
      <c r="D908" t="inlineStr">
        <is>
          <t>JÄMTLANDS LÄN</t>
        </is>
      </c>
      <c r="E908" t="inlineStr">
        <is>
          <t>KROKOM</t>
        </is>
      </c>
      <c r="F908" t="inlineStr">
        <is>
          <t>Övriga Aktiebolag</t>
        </is>
      </c>
      <c r="G908" t="n">
        <v>8.9</v>
      </c>
      <c r="H908" t="n">
        <v>0</v>
      </c>
      <c r="I908" t="n">
        <v>0</v>
      </c>
      <c r="J908" t="n">
        <v>0</v>
      </c>
      <c r="K908" t="n">
        <v>0</v>
      </c>
      <c r="L908" t="n">
        <v>0</v>
      </c>
      <c r="M908" t="n">
        <v>0</v>
      </c>
      <c r="N908" t="n">
        <v>0</v>
      </c>
      <c r="O908" t="n">
        <v>0</v>
      </c>
      <c r="P908" t="n">
        <v>0</v>
      </c>
      <c r="Q908" t="n">
        <v>0</v>
      </c>
      <c r="R908" s="2" t="inlineStr"/>
    </row>
    <row r="909" ht="15" customHeight="1">
      <c r="A909" t="inlineStr">
        <is>
          <t>A 56636-2025</t>
        </is>
      </c>
      <c r="B909" s="1" t="n">
        <v>45975.61663194445</v>
      </c>
      <c r="C909" s="1" t="n">
        <v>46160</v>
      </c>
      <c r="D909" t="inlineStr">
        <is>
          <t>JÄMTLANDS LÄN</t>
        </is>
      </c>
      <c r="E909" t="inlineStr">
        <is>
          <t>KROKOM</t>
        </is>
      </c>
      <c r="F909" t="inlineStr">
        <is>
          <t>SCA</t>
        </is>
      </c>
      <c r="G909" t="n">
        <v>37.5</v>
      </c>
      <c r="H909" t="n">
        <v>0</v>
      </c>
      <c r="I909" t="n">
        <v>0</v>
      </c>
      <c r="J909" t="n">
        <v>0</v>
      </c>
      <c r="K909" t="n">
        <v>0</v>
      </c>
      <c r="L909" t="n">
        <v>0</v>
      </c>
      <c r="M909" t="n">
        <v>0</v>
      </c>
      <c r="N909" t="n">
        <v>0</v>
      </c>
      <c r="O909" t="n">
        <v>0</v>
      </c>
      <c r="P909" t="n">
        <v>0</v>
      </c>
      <c r="Q909" t="n">
        <v>0</v>
      </c>
      <c r="R909" s="2" t="inlineStr"/>
    </row>
    <row r="910" ht="15" customHeight="1">
      <c r="A910" t="inlineStr">
        <is>
          <t>A 56432-2025</t>
        </is>
      </c>
      <c r="B910" s="1" t="n">
        <v>45975.34650462963</v>
      </c>
      <c r="C910" s="1" t="n">
        <v>46160</v>
      </c>
      <c r="D910" t="inlineStr">
        <is>
          <t>JÄMTLANDS LÄN</t>
        </is>
      </c>
      <c r="E910" t="inlineStr">
        <is>
          <t>KROKOM</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9665-2026</t>
        </is>
      </c>
      <c r="B911" s="1" t="n">
        <v>46072.36784722222</v>
      </c>
      <c r="C911" s="1" t="n">
        <v>46160</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56892-2025</t>
        </is>
      </c>
      <c r="B912" s="1" t="n">
        <v>45978.56626157407</v>
      </c>
      <c r="C912" s="1" t="n">
        <v>46160</v>
      </c>
      <c r="D912" t="inlineStr">
        <is>
          <t>JÄMTLANDS LÄN</t>
        </is>
      </c>
      <c r="E912" t="inlineStr">
        <is>
          <t>KROKOM</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56900-2025</t>
        </is>
      </c>
      <c r="B913" s="1" t="n">
        <v>45978.57273148148</v>
      </c>
      <c r="C913" s="1" t="n">
        <v>46160</v>
      </c>
      <c r="D913" t="inlineStr">
        <is>
          <t>JÄMTLANDS LÄN</t>
        </is>
      </c>
      <c r="E913" t="inlineStr">
        <is>
          <t>KROKOM</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9799-2026</t>
        </is>
      </c>
      <c r="B914" s="1" t="n">
        <v>46072.61539351852</v>
      </c>
      <c r="C914" s="1" t="n">
        <v>46160</v>
      </c>
      <c r="D914" t="inlineStr">
        <is>
          <t>JÄMTLANDS LÄN</t>
        </is>
      </c>
      <c r="E914" t="inlineStr">
        <is>
          <t>KROKOM</t>
        </is>
      </c>
      <c r="F914" t="inlineStr">
        <is>
          <t>SCA</t>
        </is>
      </c>
      <c r="G914" t="n">
        <v>19.2</v>
      </c>
      <c r="H914" t="n">
        <v>0</v>
      </c>
      <c r="I914" t="n">
        <v>0</v>
      </c>
      <c r="J914" t="n">
        <v>0</v>
      </c>
      <c r="K914" t="n">
        <v>0</v>
      </c>
      <c r="L914" t="n">
        <v>0</v>
      </c>
      <c r="M914" t="n">
        <v>0</v>
      </c>
      <c r="N914" t="n">
        <v>0</v>
      </c>
      <c r="O914" t="n">
        <v>0</v>
      </c>
      <c r="P914" t="n">
        <v>0</v>
      </c>
      <c r="Q914" t="n">
        <v>0</v>
      </c>
      <c r="R914" s="2" t="inlineStr"/>
    </row>
    <row r="915" ht="15" customHeight="1">
      <c r="A915" t="inlineStr">
        <is>
          <t>A 9837-2026</t>
        </is>
      </c>
      <c r="B915" s="1" t="n">
        <v>46072.67766203704</v>
      </c>
      <c r="C915" s="1" t="n">
        <v>46160</v>
      </c>
      <c r="D915" t="inlineStr">
        <is>
          <t>JÄMTLANDS LÄN</t>
        </is>
      </c>
      <c r="E915" t="inlineStr">
        <is>
          <t>KROKOM</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9838-2026</t>
        </is>
      </c>
      <c r="B916" s="1" t="n">
        <v>46072.67773148148</v>
      </c>
      <c r="C916" s="1" t="n">
        <v>46160</v>
      </c>
      <c r="D916" t="inlineStr">
        <is>
          <t>JÄMTLANDS LÄN</t>
        </is>
      </c>
      <c r="E916" t="inlineStr">
        <is>
          <t>KROKOM</t>
        </is>
      </c>
      <c r="F916" t="inlineStr">
        <is>
          <t>SCA</t>
        </is>
      </c>
      <c r="G916" t="n">
        <v>13.8</v>
      </c>
      <c r="H916" t="n">
        <v>0</v>
      </c>
      <c r="I916" t="n">
        <v>0</v>
      </c>
      <c r="J916" t="n">
        <v>0</v>
      </c>
      <c r="K916" t="n">
        <v>0</v>
      </c>
      <c r="L916" t="n">
        <v>0</v>
      </c>
      <c r="M916" t="n">
        <v>0</v>
      </c>
      <c r="N916" t="n">
        <v>0</v>
      </c>
      <c r="O916" t="n">
        <v>0</v>
      </c>
      <c r="P916" t="n">
        <v>0</v>
      </c>
      <c r="Q916" t="n">
        <v>0</v>
      </c>
      <c r="R916" s="2" t="inlineStr"/>
    </row>
    <row r="917" ht="15" customHeight="1">
      <c r="A917" t="inlineStr">
        <is>
          <t>A 10581-2025</t>
        </is>
      </c>
      <c r="B917" s="1" t="n">
        <v>45721.54896990741</v>
      </c>
      <c r="C917" s="1" t="n">
        <v>46160</v>
      </c>
      <c r="D917" t="inlineStr">
        <is>
          <t>JÄMTLANDS LÄN</t>
        </is>
      </c>
      <c r="E917" t="inlineStr">
        <is>
          <t>KROKOM</t>
        </is>
      </c>
      <c r="G917" t="n">
        <v>2</v>
      </c>
      <c r="H917" t="n">
        <v>0</v>
      </c>
      <c r="I917" t="n">
        <v>0</v>
      </c>
      <c r="J917" t="n">
        <v>0</v>
      </c>
      <c r="K917" t="n">
        <v>0</v>
      </c>
      <c r="L917" t="n">
        <v>0</v>
      </c>
      <c r="M917" t="n">
        <v>0</v>
      </c>
      <c r="N917" t="n">
        <v>0</v>
      </c>
      <c r="O917" t="n">
        <v>0</v>
      </c>
      <c r="P917" t="n">
        <v>0</v>
      </c>
      <c r="Q917" t="n">
        <v>0</v>
      </c>
      <c r="R917" s="2" t="inlineStr"/>
    </row>
    <row r="918" ht="15" customHeight="1">
      <c r="A918" t="inlineStr">
        <is>
          <t>A 47625-2023</t>
        </is>
      </c>
      <c r="B918" s="1" t="n">
        <v>45203</v>
      </c>
      <c r="C918" s="1" t="n">
        <v>46160</v>
      </c>
      <c r="D918" t="inlineStr">
        <is>
          <t>JÄMTLANDS LÄN</t>
        </is>
      </c>
      <c r="E918" t="inlineStr">
        <is>
          <t>KROKOM</t>
        </is>
      </c>
      <c r="G918" t="n">
        <v>1.1</v>
      </c>
      <c r="H918" t="n">
        <v>0</v>
      </c>
      <c r="I918" t="n">
        <v>0</v>
      </c>
      <c r="J918" t="n">
        <v>0</v>
      </c>
      <c r="K918" t="n">
        <v>0</v>
      </c>
      <c r="L918" t="n">
        <v>0</v>
      </c>
      <c r="M918" t="n">
        <v>0</v>
      </c>
      <c r="N918" t="n">
        <v>0</v>
      </c>
      <c r="O918" t="n">
        <v>0</v>
      </c>
      <c r="P918" t="n">
        <v>0</v>
      </c>
      <c r="Q918" t="n">
        <v>0</v>
      </c>
      <c r="R918" s="2" t="inlineStr"/>
    </row>
    <row r="919" ht="15" customHeight="1">
      <c r="A919" t="inlineStr">
        <is>
          <t>A 57152-2025</t>
        </is>
      </c>
      <c r="B919" s="1" t="n">
        <v>45979.50850694445</v>
      </c>
      <c r="C919" s="1" t="n">
        <v>46160</v>
      </c>
      <c r="D919" t="inlineStr">
        <is>
          <t>JÄMTLANDS LÄN</t>
        </is>
      </c>
      <c r="E919" t="inlineStr">
        <is>
          <t>KROKOM</t>
        </is>
      </c>
      <c r="G919" t="n">
        <v>2.4</v>
      </c>
      <c r="H919" t="n">
        <v>0</v>
      </c>
      <c r="I919" t="n">
        <v>0</v>
      </c>
      <c r="J919" t="n">
        <v>0</v>
      </c>
      <c r="K919" t="n">
        <v>0</v>
      </c>
      <c r="L919" t="n">
        <v>0</v>
      </c>
      <c r="M919" t="n">
        <v>0</v>
      </c>
      <c r="N919" t="n">
        <v>0</v>
      </c>
      <c r="O919" t="n">
        <v>0</v>
      </c>
      <c r="P919" t="n">
        <v>0</v>
      </c>
      <c r="Q919" t="n">
        <v>0</v>
      </c>
      <c r="R919" s="2" t="inlineStr"/>
    </row>
    <row r="920" ht="15" customHeight="1">
      <c r="A920" t="inlineStr">
        <is>
          <t>A 17185-2026</t>
        </is>
      </c>
      <c r="B920" s="1" t="n">
        <v>46117.4546412037</v>
      </c>
      <c r="C920" s="1" t="n">
        <v>46160</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58128-2025</t>
        </is>
      </c>
      <c r="B921" s="1" t="n">
        <v>45982.61541666667</v>
      </c>
      <c r="C921" s="1" t="n">
        <v>46160</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58129-2025</t>
        </is>
      </c>
      <c r="B922" s="1" t="n">
        <v>45982.61546296296</v>
      </c>
      <c r="C922" s="1" t="n">
        <v>46160</v>
      </c>
      <c r="D922" t="inlineStr">
        <is>
          <t>JÄMTLANDS LÄN</t>
        </is>
      </c>
      <c r="E922" t="inlineStr">
        <is>
          <t>KROKOM</t>
        </is>
      </c>
      <c r="G922" t="n">
        <v>1.5</v>
      </c>
      <c r="H922" t="n">
        <v>0</v>
      </c>
      <c r="I922" t="n">
        <v>0</v>
      </c>
      <c r="J922" t="n">
        <v>0</v>
      </c>
      <c r="K922" t="n">
        <v>0</v>
      </c>
      <c r="L922" t="n">
        <v>0</v>
      </c>
      <c r="M922" t="n">
        <v>0</v>
      </c>
      <c r="N922" t="n">
        <v>0</v>
      </c>
      <c r="O922" t="n">
        <v>0</v>
      </c>
      <c r="P922" t="n">
        <v>0</v>
      </c>
      <c r="Q922" t="n">
        <v>0</v>
      </c>
      <c r="R922" s="2" t="inlineStr"/>
    </row>
    <row r="923" ht="15" customHeight="1">
      <c r="A923" t="inlineStr">
        <is>
          <t>A 58131-2025</t>
        </is>
      </c>
      <c r="B923" s="1" t="n">
        <v>45982.61557870371</v>
      </c>
      <c r="C923" s="1" t="n">
        <v>46160</v>
      </c>
      <c r="D923" t="inlineStr">
        <is>
          <t>JÄMTLANDS LÄN</t>
        </is>
      </c>
      <c r="E923" t="inlineStr">
        <is>
          <t>KROKOM</t>
        </is>
      </c>
      <c r="G923" t="n">
        <v>1.1</v>
      </c>
      <c r="H923" t="n">
        <v>0</v>
      </c>
      <c r="I923" t="n">
        <v>0</v>
      </c>
      <c r="J923" t="n">
        <v>0</v>
      </c>
      <c r="K923" t="n">
        <v>0</v>
      </c>
      <c r="L923" t="n">
        <v>0</v>
      </c>
      <c r="M923" t="n">
        <v>0</v>
      </c>
      <c r="N923" t="n">
        <v>0</v>
      </c>
      <c r="O923" t="n">
        <v>0</v>
      </c>
      <c r="P923" t="n">
        <v>0</v>
      </c>
      <c r="Q923" t="n">
        <v>0</v>
      </c>
      <c r="R923" s="2" t="inlineStr"/>
    </row>
    <row r="924" ht="15" customHeight="1">
      <c r="A924" t="inlineStr">
        <is>
          <t>A 58130-2025</t>
        </is>
      </c>
      <c r="B924" s="1" t="n">
        <v>45982.61550925926</v>
      </c>
      <c r="C924" s="1" t="n">
        <v>46160</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58013-2025</t>
        </is>
      </c>
      <c r="B925" s="1" t="n">
        <v>45982.46936342592</v>
      </c>
      <c r="C925" s="1" t="n">
        <v>46160</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10467-2026</t>
        </is>
      </c>
      <c r="B926" s="1" t="n">
        <v>46077.46896990741</v>
      </c>
      <c r="C926" s="1" t="n">
        <v>46160</v>
      </c>
      <c r="D926" t="inlineStr">
        <is>
          <t>JÄMTLANDS LÄN</t>
        </is>
      </c>
      <c r="E926" t="inlineStr">
        <is>
          <t>KROKOM</t>
        </is>
      </c>
      <c r="G926" t="n">
        <v>13.5</v>
      </c>
      <c r="H926" t="n">
        <v>0</v>
      </c>
      <c r="I926" t="n">
        <v>0</v>
      </c>
      <c r="J926" t="n">
        <v>0</v>
      </c>
      <c r="K926" t="n">
        <v>0</v>
      </c>
      <c r="L926" t="n">
        <v>0</v>
      </c>
      <c r="M926" t="n">
        <v>0</v>
      </c>
      <c r="N926" t="n">
        <v>0</v>
      </c>
      <c r="O926" t="n">
        <v>0</v>
      </c>
      <c r="P926" t="n">
        <v>0</v>
      </c>
      <c r="Q926" t="n">
        <v>0</v>
      </c>
      <c r="R926" s="2" t="inlineStr"/>
    </row>
    <row r="927" ht="15" customHeight="1">
      <c r="A927" t="inlineStr">
        <is>
          <t>A 20742-2023</t>
        </is>
      </c>
      <c r="B927" s="1" t="n">
        <v>45055</v>
      </c>
      <c r="C927" s="1" t="n">
        <v>46160</v>
      </c>
      <c r="D927" t="inlineStr">
        <is>
          <t>JÄMTLANDS LÄN</t>
        </is>
      </c>
      <c r="E927" t="inlineStr">
        <is>
          <t>KROKOM</t>
        </is>
      </c>
      <c r="G927" t="n">
        <v>0.4</v>
      </c>
      <c r="H927" t="n">
        <v>0</v>
      </c>
      <c r="I927" t="n">
        <v>0</v>
      </c>
      <c r="J927" t="n">
        <v>0</v>
      </c>
      <c r="K927" t="n">
        <v>0</v>
      </c>
      <c r="L927" t="n">
        <v>0</v>
      </c>
      <c r="M927" t="n">
        <v>0</v>
      </c>
      <c r="N927" t="n">
        <v>0</v>
      </c>
      <c r="O927" t="n">
        <v>0</v>
      </c>
      <c r="P927" t="n">
        <v>0</v>
      </c>
      <c r="Q927" t="n">
        <v>0</v>
      </c>
      <c r="R927" s="2" t="inlineStr"/>
    </row>
    <row r="928" ht="15" customHeight="1">
      <c r="A928" t="inlineStr">
        <is>
          <t>A 58596-2025</t>
        </is>
      </c>
      <c r="B928" s="1" t="n">
        <v>45986.42089120371</v>
      </c>
      <c r="C928" s="1" t="n">
        <v>46160</v>
      </c>
      <c r="D928" t="inlineStr">
        <is>
          <t>JÄMTLANDS LÄN</t>
        </is>
      </c>
      <c r="E928" t="inlineStr">
        <is>
          <t>KROKOM</t>
        </is>
      </c>
      <c r="G928" t="n">
        <v>2.3</v>
      </c>
      <c r="H928" t="n">
        <v>0</v>
      </c>
      <c r="I928" t="n">
        <v>0</v>
      </c>
      <c r="J928" t="n">
        <v>0</v>
      </c>
      <c r="K928" t="n">
        <v>0</v>
      </c>
      <c r="L928" t="n">
        <v>0</v>
      </c>
      <c r="M928" t="n">
        <v>0</v>
      </c>
      <c r="N928" t="n">
        <v>0</v>
      </c>
      <c r="O928" t="n">
        <v>0</v>
      </c>
      <c r="P928" t="n">
        <v>0</v>
      </c>
      <c r="Q928" t="n">
        <v>0</v>
      </c>
      <c r="R928" s="2" t="inlineStr"/>
    </row>
    <row r="929" ht="15" customHeight="1">
      <c r="A929" t="inlineStr">
        <is>
          <t>A 10499-2026</t>
        </is>
      </c>
      <c r="B929" s="1" t="n">
        <v>46077</v>
      </c>
      <c r="C929" s="1" t="n">
        <v>46160</v>
      </c>
      <c r="D929" t="inlineStr">
        <is>
          <t>JÄMTLANDS LÄN</t>
        </is>
      </c>
      <c r="E929" t="inlineStr">
        <is>
          <t>KROKOM</t>
        </is>
      </c>
      <c r="G929" t="n">
        <v>0.7</v>
      </c>
      <c r="H929" t="n">
        <v>0</v>
      </c>
      <c r="I929" t="n">
        <v>0</v>
      </c>
      <c r="J929" t="n">
        <v>0</v>
      </c>
      <c r="K929" t="n">
        <v>0</v>
      </c>
      <c r="L929" t="n">
        <v>0</v>
      </c>
      <c r="M929" t="n">
        <v>0</v>
      </c>
      <c r="N929" t="n">
        <v>0</v>
      </c>
      <c r="O929" t="n">
        <v>0</v>
      </c>
      <c r="P929" t="n">
        <v>0</v>
      </c>
      <c r="Q929" t="n">
        <v>0</v>
      </c>
      <c r="R929" s="2" t="inlineStr"/>
    </row>
    <row r="930" ht="15" customHeight="1">
      <c r="A930" t="inlineStr">
        <is>
          <t>A 58186-2025</t>
        </is>
      </c>
      <c r="B930" s="1" t="n">
        <v>45983.47826388889</v>
      </c>
      <c r="C930" s="1" t="n">
        <v>46160</v>
      </c>
      <c r="D930" t="inlineStr">
        <is>
          <t>JÄMTLANDS LÄN</t>
        </is>
      </c>
      <c r="E930" t="inlineStr">
        <is>
          <t>KROKOM</t>
        </is>
      </c>
      <c r="G930" t="n">
        <v>7.9</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46160</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58591-2025</t>
        </is>
      </c>
      <c r="B932" s="1" t="n">
        <v>45986.40993055556</v>
      </c>
      <c r="C932" s="1" t="n">
        <v>46160</v>
      </c>
      <c r="D932" t="inlineStr">
        <is>
          <t>JÄMTLANDS LÄN</t>
        </is>
      </c>
      <c r="E932" t="inlineStr">
        <is>
          <t>KROKOM</t>
        </is>
      </c>
      <c r="G932" t="n">
        <v>2.1</v>
      </c>
      <c r="H932" t="n">
        <v>0</v>
      </c>
      <c r="I932" t="n">
        <v>0</v>
      </c>
      <c r="J932" t="n">
        <v>0</v>
      </c>
      <c r="K932" t="n">
        <v>0</v>
      </c>
      <c r="L932" t="n">
        <v>0</v>
      </c>
      <c r="M932" t="n">
        <v>0</v>
      </c>
      <c r="N932" t="n">
        <v>0</v>
      </c>
      <c r="O932" t="n">
        <v>0</v>
      </c>
      <c r="P932" t="n">
        <v>0</v>
      </c>
      <c r="Q932" t="n">
        <v>0</v>
      </c>
      <c r="R932" s="2" t="inlineStr"/>
    </row>
    <row r="933" ht="15" customHeight="1">
      <c r="A933" t="inlineStr">
        <is>
          <t>A 59152-2025</t>
        </is>
      </c>
      <c r="B933" s="1" t="n">
        <v>45988.53221064815</v>
      </c>
      <c r="C933" s="1" t="n">
        <v>46160</v>
      </c>
      <c r="D933" t="inlineStr">
        <is>
          <t>JÄMTLANDS LÄN</t>
        </is>
      </c>
      <c r="E933" t="inlineStr">
        <is>
          <t>KROKOM</t>
        </is>
      </c>
      <c r="G933" t="n">
        <v>3.8</v>
      </c>
      <c r="H933" t="n">
        <v>0</v>
      </c>
      <c r="I933" t="n">
        <v>0</v>
      </c>
      <c r="J933" t="n">
        <v>0</v>
      </c>
      <c r="K933" t="n">
        <v>0</v>
      </c>
      <c r="L933" t="n">
        <v>0</v>
      </c>
      <c r="M933" t="n">
        <v>0</v>
      </c>
      <c r="N933" t="n">
        <v>0</v>
      </c>
      <c r="O933" t="n">
        <v>0</v>
      </c>
      <c r="P933" t="n">
        <v>0</v>
      </c>
      <c r="Q933" t="n">
        <v>0</v>
      </c>
      <c r="R933" s="2" t="inlineStr"/>
    </row>
    <row r="934" ht="15" customHeight="1">
      <c r="A934" t="inlineStr">
        <is>
          <t>A 59151-2025</t>
        </is>
      </c>
      <c r="B934" s="1" t="n">
        <v>45988.53212962963</v>
      </c>
      <c r="C934" s="1" t="n">
        <v>46160</v>
      </c>
      <c r="D934" t="inlineStr">
        <is>
          <t>JÄMTLANDS LÄN</t>
        </is>
      </c>
      <c r="E934" t="inlineStr">
        <is>
          <t>KROKOM</t>
        </is>
      </c>
      <c r="G934" t="n">
        <v>1.7</v>
      </c>
      <c r="H934" t="n">
        <v>0</v>
      </c>
      <c r="I934" t="n">
        <v>0</v>
      </c>
      <c r="J934" t="n">
        <v>0</v>
      </c>
      <c r="K934" t="n">
        <v>0</v>
      </c>
      <c r="L934" t="n">
        <v>0</v>
      </c>
      <c r="M934" t="n">
        <v>0</v>
      </c>
      <c r="N934" t="n">
        <v>0</v>
      </c>
      <c r="O934" t="n">
        <v>0</v>
      </c>
      <c r="P934" t="n">
        <v>0</v>
      </c>
      <c r="Q934" t="n">
        <v>0</v>
      </c>
      <c r="R934" s="2" t="inlineStr"/>
    </row>
    <row r="935" ht="15" customHeight="1">
      <c r="A935" t="inlineStr">
        <is>
          <t>A 59087-2025</t>
        </is>
      </c>
      <c r="B935" s="1" t="n">
        <v>45988.44469907408</v>
      </c>
      <c r="C935" s="1" t="n">
        <v>46160</v>
      </c>
      <c r="D935" t="inlineStr">
        <is>
          <t>JÄMTLANDS LÄN</t>
        </is>
      </c>
      <c r="E935" t="inlineStr">
        <is>
          <t>KROKOM</t>
        </is>
      </c>
      <c r="G935" t="n">
        <v>5.4</v>
      </c>
      <c r="H935" t="n">
        <v>0</v>
      </c>
      <c r="I935" t="n">
        <v>0</v>
      </c>
      <c r="J935" t="n">
        <v>0</v>
      </c>
      <c r="K935" t="n">
        <v>0</v>
      </c>
      <c r="L935" t="n">
        <v>0</v>
      </c>
      <c r="M935" t="n">
        <v>0</v>
      </c>
      <c r="N935" t="n">
        <v>0</v>
      </c>
      <c r="O935" t="n">
        <v>0</v>
      </c>
      <c r="P935" t="n">
        <v>0</v>
      </c>
      <c r="Q935" t="n">
        <v>0</v>
      </c>
      <c r="R935" s="2" t="inlineStr"/>
    </row>
    <row r="936" ht="15" customHeight="1">
      <c r="A936" t="inlineStr">
        <is>
          <t>A 7391-2025</t>
        </is>
      </c>
      <c r="B936" s="1" t="n">
        <v>45705.33446759259</v>
      </c>
      <c r="C936" s="1" t="n">
        <v>46160</v>
      </c>
      <c r="D936" t="inlineStr">
        <is>
          <t>JÄMTLANDS LÄN</t>
        </is>
      </c>
      <c r="E936" t="inlineStr">
        <is>
          <t>KROKOM</t>
        </is>
      </c>
      <c r="F936" t="inlineStr">
        <is>
          <t>Övriga Aktiebolag</t>
        </is>
      </c>
      <c r="G936" t="n">
        <v>7.9</v>
      </c>
      <c r="H936" t="n">
        <v>0</v>
      </c>
      <c r="I936" t="n">
        <v>0</v>
      </c>
      <c r="J936" t="n">
        <v>0</v>
      </c>
      <c r="K936" t="n">
        <v>0</v>
      </c>
      <c r="L936" t="n">
        <v>0</v>
      </c>
      <c r="M936" t="n">
        <v>0</v>
      </c>
      <c r="N936" t="n">
        <v>0</v>
      </c>
      <c r="O936" t="n">
        <v>0</v>
      </c>
      <c r="P936" t="n">
        <v>0</v>
      </c>
      <c r="Q936" t="n">
        <v>0</v>
      </c>
      <c r="R936" s="2" t="inlineStr"/>
    </row>
    <row r="937" ht="15" customHeight="1">
      <c r="A937" t="inlineStr">
        <is>
          <t>A 55455-2022</t>
        </is>
      </c>
      <c r="B937" s="1" t="n">
        <v>44887</v>
      </c>
      <c r="C937" s="1" t="n">
        <v>46160</v>
      </c>
      <c r="D937" t="inlineStr">
        <is>
          <t>JÄMTLANDS LÄN</t>
        </is>
      </c>
      <c r="E937" t="inlineStr">
        <is>
          <t>KROKOM</t>
        </is>
      </c>
      <c r="F937" t="inlineStr">
        <is>
          <t>Övriga Aktiebolag</t>
        </is>
      </c>
      <c r="G937" t="n">
        <v>5.2</v>
      </c>
      <c r="H937" t="n">
        <v>0</v>
      </c>
      <c r="I937" t="n">
        <v>0</v>
      </c>
      <c r="J937" t="n">
        <v>0</v>
      </c>
      <c r="K937" t="n">
        <v>0</v>
      </c>
      <c r="L937" t="n">
        <v>0</v>
      </c>
      <c r="M937" t="n">
        <v>0</v>
      </c>
      <c r="N937" t="n">
        <v>0</v>
      </c>
      <c r="O937" t="n">
        <v>0</v>
      </c>
      <c r="P937" t="n">
        <v>0</v>
      </c>
      <c r="Q937" t="n">
        <v>0</v>
      </c>
      <c r="R937" s="2" t="inlineStr"/>
    </row>
    <row r="938" ht="15" customHeight="1">
      <c r="A938" t="inlineStr">
        <is>
          <t>A 58992-2025</t>
        </is>
      </c>
      <c r="B938" s="1" t="n">
        <v>45987</v>
      </c>
      <c r="C938" s="1" t="n">
        <v>46160</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59845-2025</t>
        </is>
      </c>
      <c r="B939" s="1" t="n">
        <v>45992.68405092593</v>
      </c>
      <c r="C939" s="1" t="n">
        <v>46160</v>
      </c>
      <c r="D939" t="inlineStr">
        <is>
          <t>JÄMTLANDS LÄN</t>
        </is>
      </c>
      <c r="E939" t="inlineStr">
        <is>
          <t>KROKOM</t>
        </is>
      </c>
      <c r="G939" t="n">
        <v>6.1</v>
      </c>
      <c r="H939" t="n">
        <v>0</v>
      </c>
      <c r="I939" t="n">
        <v>0</v>
      </c>
      <c r="J939" t="n">
        <v>0</v>
      </c>
      <c r="K939" t="n">
        <v>0</v>
      </c>
      <c r="L939" t="n">
        <v>0</v>
      </c>
      <c r="M939" t="n">
        <v>0</v>
      </c>
      <c r="N939" t="n">
        <v>0</v>
      </c>
      <c r="O939" t="n">
        <v>0</v>
      </c>
      <c r="P939" t="n">
        <v>0</v>
      </c>
      <c r="Q939" t="n">
        <v>0</v>
      </c>
      <c r="R939" s="2" t="inlineStr"/>
    </row>
    <row r="940" ht="15" customHeight="1">
      <c r="A940" t="inlineStr">
        <is>
          <t>A 59369-2025</t>
        </is>
      </c>
      <c r="B940" s="1" t="n">
        <v>45989.44903935185</v>
      </c>
      <c r="C940" s="1" t="n">
        <v>46160</v>
      </c>
      <c r="D940" t="inlineStr">
        <is>
          <t>JÄMTLANDS LÄN</t>
        </is>
      </c>
      <c r="E940" t="inlineStr">
        <is>
          <t>KROKOM</t>
        </is>
      </c>
      <c r="G940" t="n">
        <v>25.2</v>
      </c>
      <c r="H940" t="n">
        <v>0</v>
      </c>
      <c r="I940" t="n">
        <v>0</v>
      </c>
      <c r="J940" t="n">
        <v>0</v>
      </c>
      <c r="K940" t="n">
        <v>0</v>
      </c>
      <c r="L940" t="n">
        <v>0</v>
      </c>
      <c r="M940" t="n">
        <v>0</v>
      </c>
      <c r="N940" t="n">
        <v>0</v>
      </c>
      <c r="O940" t="n">
        <v>0</v>
      </c>
      <c r="P940" t="n">
        <v>0</v>
      </c>
      <c r="Q940" t="n">
        <v>0</v>
      </c>
      <c r="R940" s="2" t="inlineStr"/>
    </row>
    <row r="941" ht="15" customHeight="1">
      <c r="A941" t="inlineStr">
        <is>
          <t>A 59371-2025</t>
        </is>
      </c>
      <c r="B941" s="1" t="n">
        <v>45989.44918981481</v>
      </c>
      <c r="C941" s="1" t="n">
        <v>46160</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59335-2025</t>
        </is>
      </c>
      <c r="B942" s="1" t="n">
        <v>45989.36508101852</v>
      </c>
      <c r="C942" s="1" t="n">
        <v>46160</v>
      </c>
      <c r="D942" t="inlineStr">
        <is>
          <t>JÄMTLANDS LÄN</t>
        </is>
      </c>
      <c r="E942" t="inlineStr">
        <is>
          <t>KROKOM</t>
        </is>
      </c>
      <c r="G942" t="n">
        <v>2.2</v>
      </c>
      <c r="H942" t="n">
        <v>0</v>
      </c>
      <c r="I942" t="n">
        <v>0</v>
      </c>
      <c r="J942" t="n">
        <v>0</v>
      </c>
      <c r="K942" t="n">
        <v>0</v>
      </c>
      <c r="L942" t="n">
        <v>0</v>
      </c>
      <c r="M942" t="n">
        <v>0</v>
      </c>
      <c r="N942" t="n">
        <v>0</v>
      </c>
      <c r="O942" t="n">
        <v>0</v>
      </c>
      <c r="P942" t="n">
        <v>0</v>
      </c>
      <c r="Q942" t="n">
        <v>0</v>
      </c>
      <c r="R942" s="2" t="inlineStr"/>
    </row>
    <row r="943" ht="15" customHeight="1">
      <c r="A943" t="inlineStr">
        <is>
          <t>A 20735-2023</t>
        </is>
      </c>
      <c r="B943" s="1" t="n">
        <v>45055</v>
      </c>
      <c r="C943" s="1" t="n">
        <v>46160</v>
      </c>
      <c r="D943" t="inlineStr">
        <is>
          <t>JÄMTLANDS LÄN</t>
        </is>
      </c>
      <c r="E943" t="inlineStr">
        <is>
          <t>KROKOM</t>
        </is>
      </c>
      <c r="G943" t="n">
        <v>1.3</v>
      </c>
      <c r="H943" t="n">
        <v>0</v>
      </c>
      <c r="I943" t="n">
        <v>0</v>
      </c>
      <c r="J943" t="n">
        <v>0</v>
      </c>
      <c r="K943" t="n">
        <v>0</v>
      </c>
      <c r="L943" t="n">
        <v>0</v>
      </c>
      <c r="M943" t="n">
        <v>0</v>
      </c>
      <c r="N943" t="n">
        <v>0</v>
      </c>
      <c r="O943" t="n">
        <v>0</v>
      </c>
      <c r="P943" t="n">
        <v>0</v>
      </c>
      <c r="Q943" t="n">
        <v>0</v>
      </c>
      <c r="R943" s="2" t="inlineStr"/>
    </row>
    <row r="944" ht="15" customHeight="1">
      <c r="A944" t="inlineStr">
        <is>
          <t>A 59705-2025</t>
        </is>
      </c>
      <c r="B944" s="1" t="n">
        <v>45992.50228009259</v>
      </c>
      <c r="C944" s="1" t="n">
        <v>46160</v>
      </c>
      <c r="D944" t="inlineStr">
        <is>
          <t>JÄMTLANDS LÄN</t>
        </is>
      </c>
      <c r="E944" t="inlineStr">
        <is>
          <t>KROKOM</t>
        </is>
      </c>
      <c r="G944" t="n">
        <v>2.4</v>
      </c>
      <c r="H944" t="n">
        <v>0</v>
      </c>
      <c r="I944" t="n">
        <v>0</v>
      </c>
      <c r="J944" t="n">
        <v>0</v>
      </c>
      <c r="K944" t="n">
        <v>0</v>
      </c>
      <c r="L944" t="n">
        <v>0</v>
      </c>
      <c r="M944" t="n">
        <v>0</v>
      </c>
      <c r="N944" t="n">
        <v>0</v>
      </c>
      <c r="O944" t="n">
        <v>0</v>
      </c>
      <c r="P944" t="n">
        <v>0</v>
      </c>
      <c r="Q944" t="n">
        <v>0</v>
      </c>
      <c r="R944" s="2" t="inlineStr"/>
    </row>
    <row r="945" ht="15" customHeight="1">
      <c r="A945" t="inlineStr">
        <is>
          <t>A 59417-2025</t>
        </is>
      </c>
      <c r="B945" s="1" t="n">
        <v>45989.51085648148</v>
      </c>
      <c r="C945" s="1" t="n">
        <v>46160</v>
      </c>
      <c r="D945" t="inlineStr">
        <is>
          <t>JÄMTLANDS LÄN</t>
        </is>
      </c>
      <c r="E945" t="inlineStr">
        <is>
          <t>KROKOM</t>
        </is>
      </c>
      <c r="G945" t="n">
        <v>7.3</v>
      </c>
      <c r="H945" t="n">
        <v>0</v>
      </c>
      <c r="I945" t="n">
        <v>0</v>
      </c>
      <c r="J945" t="n">
        <v>0</v>
      </c>
      <c r="K945" t="n">
        <v>0</v>
      </c>
      <c r="L945" t="n">
        <v>0</v>
      </c>
      <c r="M945" t="n">
        <v>0</v>
      </c>
      <c r="N945" t="n">
        <v>0</v>
      </c>
      <c r="O945" t="n">
        <v>0</v>
      </c>
      <c r="P945" t="n">
        <v>0</v>
      </c>
      <c r="Q945" t="n">
        <v>0</v>
      </c>
      <c r="R945" s="2" t="inlineStr"/>
    </row>
    <row r="946" ht="15" customHeight="1">
      <c r="A946" t="inlineStr">
        <is>
          <t>A 61767-2024</t>
        </is>
      </c>
      <c r="B946" s="1" t="n">
        <v>45649.45143518518</v>
      </c>
      <c r="C946" s="1" t="n">
        <v>46160</v>
      </c>
      <c r="D946" t="inlineStr">
        <is>
          <t>JÄMTLANDS LÄN</t>
        </is>
      </c>
      <c r="E946" t="inlineStr">
        <is>
          <t>KROKOM</t>
        </is>
      </c>
      <c r="G946" t="n">
        <v>3.1</v>
      </c>
      <c r="H946" t="n">
        <v>0</v>
      </c>
      <c r="I946" t="n">
        <v>0</v>
      </c>
      <c r="J946" t="n">
        <v>0</v>
      </c>
      <c r="K946" t="n">
        <v>0</v>
      </c>
      <c r="L946" t="n">
        <v>0</v>
      </c>
      <c r="M946" t="n">
        <v>0</v>
      </c>
      <c r="N946" t="n">
        <v>0</v>
      </c>
      <c r="O946" t="n">
        <v>0</v>
      </c>
      <c r="P946" t="n">
        <v>0</v>
      </c>
      <c r="Q946" t="n">
        <v>0</v>
      </c>
      <c r="R946" s="2" t="inlineStr"/>
    </row>
    <row r="947" ht="15" customHeight="1">
      <c r="A947" t="inlineStr">
        <is>
          <t>A 23214-2024</t>
        </is>
      </c>
      <c r="B947" s="1" t="n">
        <v>45452.55271990741</v>
      </c>
      <c r="C947" s="1" t="n">
        <v>46160</v>
      </c>
      <c r="D947" t="inlineStr">
        <is>
          <t>JÄMTLANDS LÄN</t>
        </is>
      </c>
      <c r="E947" t="inlineStr">
        <is>
          <t>KROKOM</t>
        </is>
      </c>
      <c r="F947" t="inlineStr">
        <is>
          <t>Övriga Aktiebolag</t>
        </is>
      </c>
      <c r="G947" t="n">
        <v>0.4</v>
      </c>
      <c r="H947" t="n">
        <v>0</v>
      </c>
      <c r="I947" t="n">
        <v>0</v>
      </c>
      <c r="J947" t="n">
        <v>0</v>
      </c>
      <c r="K947" t="n">
        <v>0</v>
      </c>
      <c r="L947" t="n">
        <v>0</v>
      </c>
      <c r="M947" t="n">
        <v>0</v>
      </c>
      <c r="N947" t="n">
        <v>0</v>
      </c>
      <c r="O947" t="n">
        <v>0</v>
      </c>
      <c r="P947" t="n">
        <v>0</v>
      </c>
      <c r="Q947" t="n">
        <v>0</v>
      </c>
      <c r="R947" s="2" t="inlineStr"/>
    </row>
    <row r="948" ht="15" customHeight="1">
      <c r="A948" t="inlineStr">
        <is>
          <t>A 50177-2021</t>
        </is>
      </c>
      <c r="B948" s="1" t="n">
        <v>44456</v>
      </c>
      <c r="C948" s="1" t="n">
        <v>46160</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60176-2025</t>
        </is>
      </c>
      <c r="B949" s="1" t="n">
        <v>45994.45447916666</v>
      </c>
      <c r="C949" s="1" t="n">
        <v>46160</v>
      </c>
      <c r="D949" t="inlineStr">
        <is>
          <t>JÄMTLANDS LÄN</t>
        </is>
      </c>
      <c r="E949" t="inlineStr">
        <is>
          <t>KROKOM</t>
        </is>
      </c>
      <c r="G949" t="n">
        <v>9.4</v>
      </c>
      <c r="H949" t="n">
        <v>0</v>
      </c>
      <c r="I949" t="n">
        <v>0</v>
      </c>
      <c r="J949" t="n">
        <v>0</v>
      </c>
      <c r="K949" t="n">
        <v>0</v>
      </c>
      <c r="L949" t="n">
        <v>0</v>
      </c>
      <c r="M949" t="n">
        <v>0</v>
      </c>
      <c r="N949" t="n">
        <v>0</v>
      </c>
      <c r="O949" t="n">
        <v>0</v>
      </c>
      <c r="P949" t="n">
        <v>0</v>
      </c>
      <c r="Q949" t="n">
        <v>0</v>
      </c>
      <c r="R949" s="2" t="inlineStr"/>
    </row>
    <row r="950" ht="15" customHeight="1">
      <c r="A950" t="inlineStr">
        <is>
          <t>A 60281-2025</t>
        </is>
      </c>
      <c r="B950" s="1" t="n">
        <v>45994.639375</v>
      </c>
      <c r="C950" s="1" t="n">
        <v>46160</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15209-2025</t>
        </is>
      </c>
      <c r="B951" s="1" t="n">
        <v>45744</v>
      </c>
      <c r="C951" s="1" t="n">
        <v>46160</v>
      </c>
      <c r="D951" t="inlineStr">
        <is>
          <t>JÄMTLANDS LÄN</t>
        </is>
      </c>
      <c r="E951" t="inlineStr">
        <is>
          <t>KROKOM</t>
        </is>
      </c>
      <c r="G951" t="n">
        <v>1.6</v>
      </c>
      <c r="H951" t="n">
        <v>0</v>
      </c>
      <c r="I951" t="n">
        <v>0</v>
      </c>
      <c r="J951" t="n">
        <v>0</v>
      </c>
      <c r="K951" t="n">
        <v>0</v>
      </c>
      <c r="L951" t="n">
        <v>0</v>
      </c>
      <c r="M951" t="n">
        <v>0</v>
      </c>
      <c r="N951" t="n">
        <v>0</v>
      </c>
      <c r="O951" t="n">
        <v>0</v>
      </c>
      <c r="P951" t="n">
        <v>0</v>
      </c>
      <c r="Q951" t="n">
        <v>0</v>
      </c>
      <c r="R951" s="2" t="inlineStr"/>
    </row>
    <row r="952" ht="15" customHeight="1">
      <c r="A952" t="inlineStr">
        <is>
          <t>A 59922-2025</t>
        </is>
      </c>
      <c r="B952" s="1" t="n">
        <v>45993.38613425926</v>
      </c>
      <c r="C952" s="1" t="n">
        <v>46160</v>
      </c>
      <c r="D952" t="inlineStr">
        <is>
          <t>JÄMTLANDS LÄN</t>
        </is>
      </c>
      <c r="E952" t="inlineStr">
        <is>
          <t>KROKOM</t>
        </is>
      </c>
      <c r="G952" t="n">
        <v>7.8</v>
      </c>
      <c r="H952" t="n">
        <v>0</v>
      </c>
      <c r="I952" t="n">
        <v>0</v>
      </c>
      <c r="J952" t="n">
        <v>0</v>
      </c>
      <c r="K952" t="n">
        <v>0</v>
      </c>
      <c r="L952" t="n">
        <v>0</v>
      </c>
      <c r="M952" t="n">
        <v>0</v>
      </c>
      <c r="N952" t="n">
        <v>0</v>
      </c>
      <c r="O952" t="n">
        <v>0</v>
      </c>
      <c r="P952" t="n">
        <v>0</v>
      </c>
      <c r="Q952" t="n">
        <v>0</v>
      </c>
      <c r="R952" s="2" t="inlineStr"/>
    </row>
    <row r="953" ht="15" customHeight="1">
      <c r="A953" t="inlineStr">
        <is>
          <t>A 60222-2025</t>
        </is>
      </c>
      <c r="B953" s="1" t="n">
        <v>45994</v>
      </c>
      <c r="C953" s="1" t="n">
        <v>46160</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16548-2025</t>
        </is>
      </c>
      <c r="B954" s="1" t="n">
        <v>45751.6877662037</v>
      </c>
      <c r="C954" s="1" t="n">
        <v>46160</v>
      </c>
      <c r="D954" t="inlineStr">
        <is>
          <t>JÄMTLANDS LÄN</t>
        </is>
      </c>
      <c r="E954" t="inlineStr">
        <is>
          <t>KROKOM</t>
        </is>
      </c>
      <c r="F954" t="inlineStr">
        <is>
          <t>Övriga Aktiebolag</t>
        </is>
      </c>
      <c r="G954" t="n">
        <v>10.9</v>
      </c>
      <c r="H954" t="n">
        <v>0</v>
      </c>
      <c r="I954" t="n">
        <v>0</v>
      </c>
      <c r="J954" t="n">
        <v>0</v>
      </c>
      <c r="K954" t="n">
        <v>0</v>
      </c>
      <c r="L954" t="n">
        <v>0</v>
      </c>
      <c r="M954" t="n">
        <v>0</v>
      </c>
      <c r="N954" t="n">
        <v>0</v>
      </c>
      <c r="O954" t="n">
        <v>0</v>
      </c>
      <c r="P954" t="n">
        <v>0</v>
      </c>
      <c r="Q954" t="n">
        <v>0</v>
      </c>
      <c r="R954" s="2" t="inlineStr"/>
    </row>
    <row r="955" ht="15" customHeight="1">
      <c r="A955" t="inlineStr">
        <is>
          <t>A 16278-2025</t>
        </is>
      </c>
      <c r="B955" s="1" t="n">
        <v>45751.28243055556</v>
      </c>
      <c r="C955" s="1" t="n">
        <v>46160</v>
      </c>
      <c r="D955" t="inlineStr">
        <is>
          <t>JÄMTLANDS LÄN</t>
        </is>
      </c>
      <c r="E955" t="inlineStr">
        <is>
          <t>KROKOM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17446-2026</t>
        </is>
      </c>
      <c r="B956" s="1" t="n">
        <v>46120.44914351852</v>
      </c>
      <c r="C956" s="1" t="n">
        <v>46160</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60609-2025</t>
        </is>
      </c>
      <c r="B957" s="1" t="n">
        <v>45996.36501157407</v>
      </c>
      <c r="C957" s="1" t="n">
        <v>46160</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2828-2026</t>
        </is>
      </c>
      <c r="B958" s="1" t="n">
        <v>46036</v>
      </c>
      <c r="C958" s="1" t="n">
        <v>46160</v>
      </c>
      <c r="D958" t="inlineStr">
        <is>
          <t>JÄMTLANDS LÄN</t>
        </is>
      </c>
      <c r="E958" t="inlineStr">
        <is>
          <t>KROKOM</t>
        </is>
      </c>
      <c r="G958" t="n">
        <v>35.7</v>
      </c>
      <c r="H958" t="n">
        <v>0</v>
      </c>
      <c r="I958" t="n">
        <v>0</v>
      </c>
      <c r="J958" t="n">
        <v>0</v>
      </c>
      <c r="K958" t="n">
        <v>0</v>
      </c>
      <c r="L958" t="n">
        <v>0</v>
      </c>
      <c r="M958" t="n">
        <v>0</v>
      </c>
      <c r="N958" t="n">
        <v>0</v>
      </c>
      <c r="O958" t="n">
        <v>0</v>
      </c>
      <c r="P958" t="n">
        <v>0</v>
      </c>
      <c r="Q958" t="n">
        <v>0</v>
      </c>
      <c r="R958" s="2" t="inlineStr"/>
    </row>
    <row r="959" ht="15" customHeight="1">
      <c r="A959" t="inlineStr">
        <is>
          <t>A 12188-2024</t>
        </is>
      </c>
      <c r="B959" s="1" t="n">
        <v>45377</v>
      </c>
      <c r="C959" s="1" t="n">
        <v>46160</v>
      </c>
      <c r="D959" t="inlineStr">
        <is>
          <t>JÄMTLANDS LÄN</t>
        </is>
      </c>
      <c r="E959" t="inlineStr">
        <is>
          <t>KROKOM</t>
        </is>
      </c>
      <c r="G959" t="n">
        <v>7.9</v>
      </c>
      <c r="H959" t="n">
        <v>0</v>
      </c>
      <c r="I959" t="n">
        <v>0</v>
      </c>
      <c r="J959" t="n">
        <v>0</v>
      </c>
      <c r="K959" t="n">
        <v>0</v>
      </c>
      <c r="L959" t="n">
        <v>0</v>
      </c>
      <c r="M959" t="n">
        <v>0</v>
      </c>
      <c r="N959" t="n">
        <v>0</v>
      </c>
      <c r="O959" t="n">
        <v>0</v>
      </c>
      <c r="P959" t="n">
        <v>0</v>
      </c>
      <c r="Q959" t="n">
        <v>0</v>
      </c>
      <c r="R959" s="2" t="inlineStr"/>
    </row>
    <row r="960" ht="15" customHeight="1">
      <c r="A960" t="inlineStr">
        <is>
          <t>A 41497-2024</t>
        </is>
      </c>
      <c r="B960" s="1" t="n">
        <v>45560.45841435185</v>
      </c>
      <c r="C960" s="1" t="n">
        <v>46160</v>
      </c>
      <c r="D960" t="inlineStr">
        <is>
          <t>JÄMTLANDS LÄN</t>
        </is>
      </c>
      <c r="E960" t="inlineStr">
        <is>
          <t>KROKOM</t>
        </is>
      </c>
      <c r="F960" t="inlineStr">
        <is>
          <t>Övriga Aktiebolag</t>
        </is>
      </c>
      <c r="G960" t="n">
        <v>2.4</v>
      </c>
      <c r="H960" t="n">
        <v>0</v>
      </c>
      <c r="I960" t="n">
        <v>0</v>
      </c>
      <c r="J960" t="n">
        <v>0</v>
      </c>
      <c r="K960" t="n">
        <v>0</v>
      </c>
      <c r="L960" t="n">
        <v>0</v>
      </c>
      <c r="M960" t="n">
        <v>0</v>
      </c>
      <c r="N960" t="n">
        <v>0</v>
      </c>
      <c r="O960" t="n">
        <v>0</v>
      </c>
      <c r="P960" t="n">
        <v>0</v>
      </c>
      <c r="Q960" t="n">
        <v>0</v>
      </c>
      <c r="R960" s="2" t="inlineStr"/>
    </row>
    <row r="961" ht="15" customHeight="1">
      <c r="A961" t="inlineStr">
        <is>
          <t>A 60680-2023</t>
        </is>
      </c>
      <c r="B961" s="1" t="n">
        <v>45260</v>
      </c>
      <c r="C961" s="1" t="n">
        <v>46160</v>
      </c>
      <c r="D961" t="inlineStr">
        <is>
          <t>JÄMTLANDS LÄN</t>
        </is>
      </c>
      <c r="E961" t="inlineStr">
        <is>
          <t>KROKOM</t>
        </is>
      </c>
      <c r="G961" t="n">
        <v>1</v>
      </c>
      <c r="H961" t="n">
        <v>0</v>
      </c>
      <c r="I961" t="n">
        <v>0</v>
      </c>
      <c r="J961" t="n">
        <v>0</v>
      </c>
      <c r="K961" t="n">
        <v>0</v>
      </c>
      <c r="L961" t="n">
        <v>0</v>
      </c>
      <c r="M961" t="n">
        <v>0</v>
      </c>
      <c r="N961" t="n">
        <v>0</v>
      </c>
      <c r="O961" t="n">
        <v>0</v>
      </c>
      <c r="P961" t="n">
        <v>0</v>
      </c>
      <c r="Q961" t="n">
        <v>0</v>
      </c>
      <c r="R961" s="2" t="inlineStr"/>
    </row>
    <row r="962" ht="15" customHeight="1">
      <c r="A962" t="inlineStr">
        <is>
          <t>A 15831-2026</t>
        </is>
      </c>
      <c r="B962" s="1" t="n">
        <v>46107</v>
      </c>
      <c r="C962" s="1" t="n">
        <v>46160</v>
      </c>
      <c r="D962" t="inlineStr">
        <is>
          <t>JÄMTLANDS LÄN</t>
        </is>
      </c>
      <c r="E962" t="inlineStr">
        <is>
          <t>KROKOM</t>
        </is>
      </c>
      <c r="F962" t="inlineStr">
        <is>
          <t>Övriga Aktiebolag</t>
        </is>
      </c>
      <c r="G962" t="n">
        <v>3.3</v>
      </c>
      <c r="H962" t="n">
        <v>0</v>
      </c>
      <c r="I962" t="n">
        <v>0</v>
      </c>
      <c r="J962" t="n">
        <v>0</v>
      </c>
      <c r="K962" t="n">
        <v>0</v>
      </c>
      <c r="L962" t="n">
        <v>0</v>
      </c>
      <c r="M962" t="n">
        <v>0</v>
      </c>
      <c r="N962" t="n">
        <v>0</v>
      </c>
      <c r="O962" t="n">
        <v>0</v>
      </c>
      <c r="P962" t="n">
        <v>0</v>
      </c>
      <c r="Q962" t="n">
        <v>0</v>
      </c>
      <c r="R962" s="2" t="inlineStr"/>
      <c r="T962">
        <f>HYPERLINK("https://klasma.github.io/Logging_2309/kartor/A 15831-2026 karta.png", "A 15831-2026")</f>
        <v/>
      </c>
      <c r="V962">
        <f>HYPERLINK("https://klasma.github.io/Logging_2309/klagomål/A 15831-2026 FSC-klagomål.docx", "A 15831-2026")</f>
        <v/>
      </c>
      <c r="W962">
        <f>HYPERLINK("https://klasma.github.io/Logging_2309/klagomålsmail/A 15831-2026 FSC-klagomål mail.docx", "A 15831-2026")</f>
        <v/>
      </c>
      <c r="X962">
        <f>HYPERLINK("https://klasma.github.io/Logging_2309/tillsyn/A 15831-2026 tillsynsbegäran.docx", "A 15831-2026")</f>
        <v/>
      </c>
      <c r="Y962">
        <f>HYPERLINK("https://klasma.github.io/Logging_2309/tillsynsmail/A 15831-2026 tillsynsbegäran mail.docx", "A 15831-2026")</f>
        <v/>
      </c>
    </row>
    <row r="963" ht="15" customHeight="1">
      <c r="A963" t="inlineStr">
        <is>
          <t>A 60425-2025</t>
        </is>
      </c>
      <c r="B963" s="1" t="n">
        <v>45995.46976851852</v>
      </c>
      <c r="C963" s="1" t="n">
        <v>46160</v>
      </c>
      <c r="D963" t="inlineStr">
        <is>
          <t>JÄMTLANDS LÄN</t>
        </is>
      </c>
      <c r="E963" t="inlineStr">
        <is>
          <t>KROKOM</t>
        </is>
      </c>
      <c r="G963" t="n">
        <v>5.2</v>
      </c>
      <c r="H963" t="n">
        <v>0</v>
      </c>
      <c r="I963" t="n">
        <v>0</v>
      </c>
      <c r="J963" t="n">
        <v>0</v>
      </c>
      <c r="K963" t="n">
        <v>0</v>
      </c>
      <c r="L963" t="n">
        <v>0</v>
      </c>
      <c r="M963" t="n">
        <v>0</v>
      </c>
      <c r="N963" t="n">
        <v>0</v>
      </c>
      <c r="O963" t="n">
        <v>0</v>
      </c>
      <c r="P963" t="n">
        <v>0</v>
      </c>
      <c r="Q963" t="n">
        <v>0</v>
      </c>
      <c r="R963" s="2" t="inlineStr"/>
    </row>
    <row r="964" ht="15" customHeight="1">
      <c r="A964" t="inlineStr">
        <is>
          <t>A 60611-2025</t>
        </is>
      </c>
      <c r="B964" s="1" t="n">
        <v>45996.36534722222</v>
      </c>
      <c r="C964" s="1" t="n">
        <v>46160</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60462-2025</t>
        </is>
      </c>
      <c r="B965" s="1" t="n">
        <v>45995.55258101852</v>
      </c>
      <c r="C965" s="1" t="n">
        <v>46160</v>
      </c>
      <c r="D965" t="inlineStr">
        <is>
          <t>JÄMTLANDS LÄN</t>
        </is>
      </c>
      <c r="E965" t="inlineStr">
        <is>
          <t>KROKOM</t>
        </is>
      </c>
      <c r="G965" t="n">
        <v>11.7</v>
      </c>
      <c r="H965" t="n">
        <v>0</v>
      </c>
      <c r="I965" t="n">
        <v>0</v>
      </c>
      <c r="J965" t="n">
        <v>0</v>
      </c>
      <c r="K965" t="n">
        <v>0</v>
      </c>
      <c r="L965" t="n">
        <v>0</v>
      </c>
      <c r="M965" t="n">
        <v>0</v>
      </c>
      <c r="N965" t="n">
        <v>0</v>
      </c>
      <c r="O965" t="n">
        <v>0</v>
      </c>
      <c r="P965" t="n">
        <v>0</v>
      </c>
      <c r="Q965" t="n">
        <v>0</v>
      </c>
      <c r="R965" s="2" t="inlineStr"/>
    </row>
    <row r="966" ht="15" customHeight="1">
      <c r="A966" t="inlineStr">
        <is>
          <t>A 60610-2025</t>
        </is>
      </c>
      <c r="B966" s="1" t="n">
        <v>45996.36520833334</v>
      </c>
      <c r="C966" s="1" t="n">
        <v>46160</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71572-2021</t>
        </is>
      </c>
      <c r="B967" s="1" t="n">
        <v>44540</v>
      </c>
      <c r="C967" s="1" t="n">
        <v>46160</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61294-2025</t>
        </is>
      </c>
      <c r="B968" s="1" t="n">
        <v>46000</v>
      </c>
      <c r="C968" s="1" t="n">
        <v>46160</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61256-2025</t>
        </is>
      </c>
      <c r="B969" s="1" t="n">
        <v>46000</v>
      </c>
      <c r="C969" s="1" t="n">
        <v>46160</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17573-2026</t>
        </is>
      </c>
      <c r="B970" s="1" t="n">
        <v>46121.34517361111</v>
      </c>
      <c r="C970" s="1" t="n">
        <v>46160</v>
      </c>
      <c r="D970" t="inlineStr">
        <is>
          <t>JÄMTLANDS LÄN</t>
        </is>
      </c>
      <c r="E970" t="inlineStr">
        <is>
          <t>KROKOM</t>
        </is>
      </c>
      <c r="F970" t="inlineStr">
        <is>
          <t>SCA</t>
        </is>
      </c>
      <c r="G970" t="n">
        <v>25.6</v>
      </c>
      <c r="H970" t="n">
        <v>0</v>
      </c>
      <c r="I970" t="n">
        <v>0</v>
      </c>
      <c r="J970" t="n">
        <v>0</v>
      </c>
      <c r="K970" t="n">
        <v>0</v>
      </c>
      <c r="L970" t="n">
        <v>0</v>
      </c>
      <c r="M970" t="n">
        <v>0</v>
      </c>
      <c r="N970" t="n">
        <v>0</v>
      </c>
      <c r="O970" t="n">
        <v>0</v>
      </c>
      <c r="P970" t="n">
        <v>0</v>
      </c>
      <c r="Q970" t="n">
        <v>0</v>
      </c>
      <c r="R970" s="2" t="inlineStr"/>
    </row>
    <row r="971" ht="15" customHeight="1">
      <c r="A971" t="inlineStr">
        <is>
          <t>A 61198-2025</t>
        </is>
      </c>
      <c r="B971" s="1" t="n">
        <v>46000.60819444444</v>
      </c>
      <c r="C971" s="1" t="n">
        <v>46160</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14170-2024</t>
        </is>
      </c>
      <c r="B972" s="1" t="n">
        <v>45392</v>
      </c>
      <c r="C972" s="1" t="n">
        <v>46160</v>
      </c>
      <c r="D972" t="inlineStr">
        <is>
          <t>JÄMTLANDS LÄN</t>
        </is>
      </c>
      <c r="E972" t="inlineStr">
        <is>
          <t>KROKOM</t>
        </is>
      </c>
      <c r="G972" t="n">
        <v>4.9</v>
      </c>
      <c r="H972" t="n">
        <v>0</v>
      </c>
      <c r="I972" t="n">
        <v>0</v>
      </c>
      <c r="J972" t="n">
        <v>0</v>
      </c>
      <c r="K972" t="n">
        <v>0</v>
      </c>
      <c r="L972" t="n">
        <v>0</v>
      </c>
      <c r="M972" t="n">
        <v>0</v>
      </c>
      <c r="N972" t="n">
        <v>0</v>
      </c>
      <c r="O972" t="n">
        <v>0</v>
      </c>
      <c r="P972" t="n">
        <v>0</v>
      </c>
      <c r="Q972" t="n">
        <v>0</v>
      </c>
      <c r="R972" s="2" t="inlineStr"/>
    </row>
    <row r="973" ht="15" customHeight="1">
      <c r="A973" t="inlineStr">
        <is>
          <t>A 14171-2024</t>
        </is>
      </c>
      <c r="B973" s="1" t="n">
        <v>45392</v>
      </c>
      <c r="C973" s="1" t="n">
        <v>46160</v>
      </c>
      <c r="D973" t="inlineStr">
        <is>
          <t>JÄMTLANDS LÄN</t>
        </is>
      </c>
      <c r="E973" t="inlineStr">
        <is>
          <t>KROKOM</t>
        </is>
      </c>
      <c r="G973" t="n">
        <v>5.9</v>
      </c>
      <c r="H973" t="n">
        <v>0</v>
      </c>
      <c r="I973" t="n">
        <v>0</v>
      </c>
      <c r="J973" t="n">
        <v>0</v>
      </c>
      <c r="K973" t="n">
        <v>0</v>
      </c>
      <c r="L973" t="n">
        <v>0</v>
      </c>
      <c r="M973" t="n">
        <v>0</v>
      </c>
      <c r="N973" t="n">
        <v>0</v>
      </c>
      <c r="O973" t="n">
        <v>0</v>
      </c>
      <c r="P973" t="n">
        <v>0</v>
      </c>
      <c r="Q973" t="n">
        <v>0</v>
      </c>
      <c r="R973" s="2" t="inlineStr"/>
    </row>
    <row r="974" ht="15" customHeight="1">
      <c r="A974" t="inlineStr">
        <is>
          <t>A 4369-2025</t>
        </is>
      </c>
      <c r="B974" s="1" t="n">
        <v>45686.35247685185</v>
      </c>
      <c r="C974" s="1" t="n">
        <v>46160</v>
      </c>
      <c r="D974" t="inlineStr">
        <is>
          <t>JÄMTLANDS LÄN</t>
        </is>
      </c>
      <c r="E974" t="inlineStr">
        <is>
          <t>KROKOM</t>
        </is>
      </c>
      <c r="F974" t="inlineStr">
        <is>
          <t>SCA</t>
        </is>
      </c>
      <c r="G974" t="n">
        <v>45.4</v>
      </c>
      <c r="H974" t="n">
        <v>0</v>
      </c>
      <c r="I974" t="n">
        <v>0</v>
      </c>
      <c r="J974" t="n">
        <v>0</v>
      </c>
      <c r="K974" t="n">
        <v>0</v>
      </c>
      <c r="L974" t="n">
        <v>0</v>
      </c>
      <c r="M974" t="n">
        <v>0</v>
      </c>
      <c r="N974" t="n">
        <v>0</v>
      </c>
      <c r="O974" t="n">
        <v>0</v>
      </c>
      <c r="P974" t="n">
        <v>0</v>
      </c>
      <c r="Q974" t="n">
        <v>0</v>
      </c>
      <c r="R974" s="2" t="inlineStr"/>
    </row>
    <row r="975" ht="15" customHeight="1">
      <c r="A975" t="inlineStr">
        <is>
          <t>A 61052-2025</t>
        </is>
      </c>
      <c r="B975" s="1" t="n">
        <v>46000.32486111111</v>
      </c>
      <c r="C975" s="1" t="n">
        <v>46160</v>
      </c>
      <c r="D975" t="inlineStr">
        <is>
          <t>JÄMTLANDS LÄN</t>
        </is>
      </c>
      <c r="E975" t="inlineStr">
        <is>
          <t>KROKOM</t>
        </is>
      </c>
      <c r="F975" t="inlineStr">
        <is>
          <t>Övriga Aktiebolag</t>
        </is>
      </c>
      <c r="G975" t="n">
        <v>3.9</v>
      </c>
      <c r="H975" t="n">
        <v>0</v>
      </c>
      <c r="I975" t="n">
        <v>0</v>
      </c>
      <c r="J975" t="n">
        <v>0</v>
      </c>
      <c r="K975" t="n">
        <v>0</v>
      </c>
      <c r="L975" t="n">
        <v>0</v>
      </c>
      <c r="M975" t="n">
        <v>0</v>
      </c>
      <c r="N975" t="n">
        <v>0</v>
      </c>
      <c r="O975" t="n">
        <v>0</v>
      </c>
      <c r="P975" t="n">
        <v>0</v>
      </c>
      <c r="Q975" t="n">
        <v>0</v>
      </c>
      <c r="R975" s="2" t="inlineStr"/>
    </row>
    <row r="976" ht="15" customHeight="1">
      <c r="A976" t="inlineStr">
        <is>
          <t>A 60818-2025</t>
        </is>
      </c>
      <c r="B976" s="1" t="n">
        <v>45999.45039351852</v>
      </c>
      <c r="C976" s="1" t="n">
        <v>46160</v>
      </c>
      <c r="D976" t="inlineStr">
        <is>
          <t>JÄMTLANDS LÄN</t>
        </is>
      </c>
      <c r="E976" t="inlineStr">
        <is>
          <t>KROKOM</t>
        </is>
      </c>
      <c r="F976" t="inlineStr">
        <is>
          <t>Övriga Aktiebolag</t>
        </is>
      </c>
      <c r="G976" t="n">
        <v>6.7</v>
      </c>
      <c r="H976" t="n">
        <v>0</v>
      </c>
      <c r="I976" t="n">
        <v>0</v>
      </c>
      <c r="J976" t="n">
        <v>0</v>
      </c>
      <c r="K976" t="n">
        <v>0</v>
      </c>
      <c r="L976" t="n">
        <v>0</v>
      </c>
      <c r="M976" t="n">
        <v>0</v>
      </c>
      <c r="N976" t="n">
        <v>0</v>
      </c>
      <c r="O976" t="n">
        <v>0</v>
      </c>
      <c r="P976" t="n">
        <v>0</v>
      </c>
      <c r="Q976" t="n">
        <v>0</v>
      </c>
      <c r="R976" s="2" t="inlineStr"/>
    </row>
    <row r="977" ht="15" customHeight="1">
      <c r="A977" t="inlineStr">
        <is>
          <t>A 61206-2025</t>
        </is>
      </c>
      <c r="B977" s="1" t="n">
        <v>46000.6144212963</v>
      </c>
      <c r="C977" s="1" t="n">
        <v>46160</v>
      </c>
      <c r="D977" t="inlineStr">
        <is>
          <t>JÄMTLANDS LÄN</t>
        </is>
      </c>
      <c r="E977" t="inlineStr">
        <is>
          <t>KROKOM</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61219-2025</t>
        </is>
      </c>
      <c r="B978" s="1" t="n">
        <v>46000.62464120371</v>
      </c>
      <c r="C978" s="1" t="n">
        <v>46160</v>
      </c>
      <c r="D978" t="inlineStr">
        <is>
          <t>JÄMTLANDS LÄN</t>
        </is>
      </c>
      <c r="E978" t="inlineStr">
        <is>
          <t>KROKOM</t>
        </is>
      </c>
      <c r="F978" t="inlineStr">
        <is>
          <t>Övriga Aktiebolag</t>
        </is>
      </c>
      <c r="G978" t="n">
        <v>2</v>
      </c>
      <c r="H978" t="n">
        <v>0</v>
      </c>
      <c r="I978" t="n">
        <v>0</v>
      </c>
      <c r="J978" t="n">
        <v>0</v>
      </c>
      <c r="K978" t="n">
        <v>0</v>
      </c>
      <c r="L978" t="n">
        <v>0</v>
      </c>
      <c r="M978" t="n">
        <v>0</v>
      </c>
      <c r="N978" t="n">
        <v>0</v>
      </c>
      <c r="O978" t="n">
        <v>0</v>
      </c>
      <c r="P978" t="n">
        <v>0</v>
      </c>
      <c r="Q978" t="n">
        <v>0</v>
      </c>
      <c r="R978" s="2" t="inlineStr"/>
    </row>
    <row r="979" ht="15" customHeight="1">
      <c r="A979" t="inlineStr">
        <is>
          <t>A 61194-2025</t>
        </is>
      </c>
      <c r="B979" s="1" t="n">
        <v>46000.60290509259</v>
      </c>
      <c r="C979" s="1" t="n">
        <v>46160</v>
      </c>
      <c r="D979" t="inlineStr">
        <is>
          <t>JÄMTLANDS LÄN</t>
        </is>
      </c>
      <c r="E979" t="inlineStr">
        <is>
          <t>KROKOM</t>
        </is>
      </c>
      <c r="G979" t="n">
        <v>2.6</v>
      </c>
      <c r="H979" t="n">
        <v>0</v>
      </c>
      <c r="I979" t="n">
        <v>0</v>
      </c>
      <c r="J979" t="n">
        <v>0</v>
      </c>
      <c r="K979" t="n">
        <v>0</v>
      </c>
      <c r="L979" t="n">
        <v>0</v>
      </c>
      <c r="M979" t="n">
        <v>0</v>
      </c>
      <c r="N979" t="n">
        <v>0</v>
      </c>
      <c r="O979" t="n">
        <v>0</v>
      </c>
      <c r="P979" t="n">
        <v>0</v>
      </c>
      <c r="Q979" t="n">
        <v>0</v>
      </c>
      <c r="R979" s="2" t="inlineStr"/>
    </row>
    <row r="980" ht="15" customHeight="1">
      <c r="A980" t="inlineStr">
        <is>
          <t>A 18826-2023</t>
        </is>
      </c>
      <c r="B980" s="1" t="n">
        <v>45042</v>
      </c>
      <c r="C980" s="1" t="n">
        <v>46160</v>
      </c>
      <c r="D980" t="inlineStr">
        <is>
          <t>JÄMTLANDS LÄN</t>
        </is>
      </c>
      <c r="E980" t="inlineStr">
        <is>
          <t>KROKOM</t>
        </is>
      </c>
      <c r="G980" t="n">
        <v>17.1</v>
      </c>
      <c r="H980" t="n">
        <v>0</v>
      </c>
      <c r="I980" t="n">
        <v>0</v>
      </c>
      <c r="J980" t="n">
        <v>0</v>
      </c>
      <c r="K980" t="n">
        <v>0</v>
      </c>
      <c r="L980" t="n">
        <v>0</v>
      </c>
      <c r="M980" t="n">
        <v>0</v>
      </c>
      <c r="N980" t="n">
        <v>0</v>
      </c>
      <c r="O980" t="n">
        <v>0</v>
      </c>
      <c r="P980" t="n">
        <v>0</v>
      </c>
      <c r="Q980" t="n">
        <v>0</v>
      </c>
      <c r="R980" s="2" t="inlineStr"/>
    </row>
    <row r="981" ht="15" customHeight="1">
      <c r="A981" t="inlineStr">
        <is>
          <t>A 17447-2026</t>
        </is>
      </c>
      <c r="B981" s="1" t="n">
        <v>46120.44923611111</v>
      </c>
      <c r="C981" s="1" t="n">
        <v>46160</v>
      </c>
      <c r="D981" t="inlineStr">
        <is>
          <t>JÄMTLANDS LÄN</t>
        </is>
      </c>
      <c r="E981" t="inlineStr">
        <is>
          <t>KROKOM</t>
        </is>
      </c>
      <c r="G981" t="n">
        <v>4.5</v>
      </c>
      <c r="H981" t="n">
        <v>0</v>
      </c>
      <c r="I981" t="n">
        <v>0</v>
      </c>
      <c r="J981" t="n">
        <v>0</v>
      </c>
      <c r="K981" t="n">
        <v>0</v>
      </c>
      <c r="L981" t="n">
        <v>0</v>
      </c>
      <c r="M981" t="n">
        <v>0</v>
      </c>
      <c r="N981" t="n">
        <v>0</v>
      </c>
      <c r="O981" t="n">
        <v>0</v>
      </c>
      <c r="P981" t="n">
        <v>0</v>
      </c>
      <c r="Q981" t="n">
        <v>0</v>
      </c>
      <c r="R981" s="2" t="inlineStr"/>
    </row>
    <row r="982" ht="15" customHeight="1">
      <c r="A982" t="inlineStr">
        <is>
          <t>A 61402-2025</t>
        </is>
      </c>
      <c r="B982" s="1" t="n">
        <v>46001.48325231481</v>
      </c>
      <c r="C982" s="1" t="n">
        <v>46160</v>
      </c>
      <c r="D982" t="inlineStr">
        <is>
          <t>JÄMTLANDS LÄN</t>
        </is>
      </c>
      <c r="E982" t="inlineStr">
        <is>
          <t>KROKOM</t>
        </is>
      </c>
      <c r="G982" t="n">
        <v>11.5</v>
      </c>
      <c r="H982" t="n">
        <v>0</v>
      </c>
      <c r="I982" t="n">
        <v>0</v>
      </c>
      <c r="J982" t="n">
        <v>0</v>
      </c>
      <c r="K982" t="n">
        <v>0</v>
      </c>
      <c r="L982" t="n">
        <v>0</v>
      </c>
      <c r="M982" t="n">
        <v>0</v>
      </c>
      <c r="N982" t="n">
        <v>0</v>
      </c>
      <c r="O982" t="n">
        <v>0</v>
      </c>
      <c r="P982" t="n">
        <v>0</v>
      </c>
      <c r="Q982" t="n">
        <v>0</v>
      </c>
      <c r="R982" s="2" t="inlineStr"/>
    </row>
    <row r="983" ht="15" customHeight="1">
      <c r="A983" t="inlineStr">
        <is>
          <t>A 61575-2025</t>
        </is>
      </c>
      <c r="B983" s="1" t="n">
        <v>46002.32048611111</v>
      </c>
      <c r="C983" s="1" t="n">
        <v>46160</v>
      </c>
      <c r="D983" t="inlineStr">
        <is>
          <t>JÄMTLANDS LÄN</t>
        </is>
      </c>
      <c r="E983" t="inlineStr">
        <is>
          <t>KROKOM</t>
        </is>
      </c>
      <c r="F983" t="inlineStr">
        <is>
          <t>Övriga Aktiebolag</t>
        </is>
      </c>
      <c r="G983" t="n">
        <v>11.1</v>
      </c>
      <c r="H983" t="n">
        <v>0</v>
      </c>
      <c r="I983" t="n">
        <v>0</v>
      </c>
      <c r="J983" t="n">
        <v>0</v>
      </c>
      <c r="K983" t="n">
        <v>0</v>
      </c>
      <c r="L983" t="n">
        <v>0</v>
      </c>
      <c r="M983" t="n">
        <v>0</v>
      </c>
      <c r="N983" t="n">
        <v>0</v>
      </c>
      <c r="O983" t="n">
        <v>0</v>
      </c>
      <c r="P983" t="n">
        <v>0</v>
      </c>
      <c r="Q983" t="n">
        <v>0</v>
      </c>
      <c r="R983" s="2" t="inlineStr"/>
    </row>
    <row r="984" ht="15" customHeight="1">
      <c r="A984" t="inlineStr">
        <is>
          <t>A 3776-2026</t>
        </is>
      </c>
      <c r="B984" s="1" t="n">
        <v>46043</v>
      </c>
      <c r="C984" s="1" t="n">
        <v>46160</v>
      </c>
      <c r="D984" t="inlineStr">
        <is>
          <t>JÄMTLANDS LÄN</t>
        </is>
      </c>
      <c r="E984" t="inlineStr">
        <is>
          <t>KROKOM</t>
        </is>
      </c>
      <c r="G984" t="n">
        <v>4.1</v>
      </c>
      <c r="H984" t="n">
        <v>0</v>
      </c>
      <c r="I984" t="n">
        <v>0</v>
      </c>
      <c r="J984" t="n">
        <v>0</v>
      </c>
      <c r="K984" t="n">
        <v>0</v>
      </c>
      <c r="L984" t="n">
        <v>0</v>
      </c>
      <c r="M984" t="n">
        <v>0</v>
      </c>
      <c r="N984" t="n">
        <v>0</v>
      </c>
      <c r="O984" t="n">
        <v>0</v>
      </c>
      <c r="P984" t="n">
        <v>0</v>
      </c>
      <c r="Q984" t="n">
        <v>0</v>
      </c>
      <c r="R984" s="2" t="inlineStr"/>
    </row>
    <row r="985" ht="15" customHeight="1">
      <c r="A985" t="inlineStr">
        <is>
          <t>A 18124-2026</t>
        </is>
      </c>
      <c r="B985" s="1" t="n">
        <v>46125.58785879629</v>
      </c>
      <c r="C985" s="1" t="n">
        <v>46160</v>
      </c>
      <c r="D985" t="inlineStr">
        <is>
          <t>JÄMTLANDS LÄN</t>
        </is>
      </c>
      <c r="E985" t="inlineStr">
        <is>
          <t>KROKOM</t>
        </is>
      </c>
      <c r="G985" t="n">
        <v>0.7</v>
      </c>
      <c r="H985" t="n">
        <v>0</v>
      </c>
      <c r="I985" t="n">
        <v>0</v>
      </c>
      <c r="J985" t="n">
        <v>0</v>
      </c>
      <c r="K985" t="n">
        <v>0</v>
      </c>
      <c r="L985" t="n">
        <v>0</v>
      </c>
      <c r="M985" t="n">
        <v>0</v>
      </c>
      <c r="N985" t="n">
        <v>0</v>
      </c>
      <c r="O985" t="n">
        <v>0</v>
      </c>
      <c r="P985" t="n">
        <v>0</v>
      </c>
      <c r="Q985" t="n">
        <v>0</v>
      </c>
      <c r="R985" s="2" t="inlineStr"/>
    </row>
    <row r="986" ht="15" customHeight="1">
      <c r="A986" t="inlineStr">
        <is>
          <t>A 59668-2023</t>
        </is>
      </c>
      <c r="B986" s="1" t="n">
        <v>45254</v>
      </c>
      <c r="C986" s="1" t="n">
        <v>46160</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61161-2025</t>
        </is>
      </c>
      <c r="B987" s="1" t="n">
        <v>46000.55484953704</v>
      </c>
      <c r="C987" s="1" t="n">
        <v>46160</v>
      </c>
      <c r="D987" t="inlineStr">
        <is>
          <t>JÄMTLANDS LÄN</t>
        </is>
      </c>
      <c r="E987" t="inlineStr">
        <is>
          <t>KROKOM</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61044-2025</t>
        </is>
      </c>
      <c r="B988" s="1" t="n">
        <v>46000.28030092592</v>
      </c>
      <c r="C988" s="1" t="n">
        <v>46160</v>
      </c>
      <c r="D988" t="inlineStr">
        <is>
          <t>JÄMTLANDS LÄN</t>
        </is>
      </c>
      <c r="E988" t="inlineStr">
        <is>
          <t>KROKOM</t>
        </is>
      </c>
      <c r="F988" t="inlineStr">
        <is>
          <t>Övriga Aktiebolag</t>
        </is>
      </c>
      <c r="G988" t="n">
        <v>15.8</v>
      </c>
      <c r="H988" t="n">
        <v>0</v>
      </c>
      <c r="I988" t="n">
        <v>0</v>
      </c>
      <c r="J988" t="n">
        <v>0</v>
      </c>
      <c r="K988" t="n">
        <v>0</v>
      </c>
      <c r="L988" t="n">
        <v>0</v>
      </c>
      <c r="M988" t="n">
        <v>0</v>
      </c>
      <c r="N988" t="n">
        <v>0</v>
      </c>
      <c r="O988" t="n">
        <v>0</v>
      </c>
      <c r="P988" t="n">
        <v>0</v>
      </c>
      <c r="Q988" t="n">
        <v>0</v>
      </c>
      <c r="R988" s="2" t="inlineStr"/>
    </row>
    <row r="989" ht="15" customHeight="1">
      <c r="A989" t="inlineStr">
        <is>
          <t>A 61956-2025</t>
        </is>
      </c>
      <c r="B989" s="1" t="n">
        <v>46003.57759259259</v>
      </c>
      <c r="C989" s="1" t="n">
        <v>46160</v>
      </c>
      <c r="D989" t="inlineStr">
        <is>
          <t>JÄMTLANDS LÄN</t>
        </is>
      </c>
      <c r="E989" t="inlineStr">
        <is>
          <t>KROKOM</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61875-2025</t>
        </is>
      </c>
      <c r="B990" s="1" t="n">
        <v>46003.4094675926</v>
      </c>
      <c r="C990" s="1" t="n">
        <v>46160</v>
      </c>
      <c r="D990" t="inlineStr">
        <is>
          <t>JÄMTLANDS LÄN</t>
        </is>
      </c>
      <c r="E990" t="inlineStr">
        <is>
          <t>KROKOM</t>
        </is>
      </c>
      <c r="G990" t="n">
        <v>3.8</v>
      </c>
      <c r="H990" t="n">
        <v>0</v>
      </c>
      <c r="I990" t="n">
        <v>0</v>
      </c>
      <c r="J990" t="n">
        <v>0</v>
      </c>
      <c r="K990" t="n">
        <v>0</v>
      </c>
      <c r="L990" t="n">
        <v>0</v>
      </c>
      <c r="M990" t="n">
        <v>0</v>
      </c>
      <c r="N990" t="n">
        <v>0</v>
      </c>
      <c r="O990" t="n">
        <v>0</v>
      </c>
      <c r="P990" t="n">
        <v>0</v>
      </c>
      <c r="Q990" t="n">
        <v>0</v>
      </c>
      <c r="R990" s="2" t="inlineStr"/>
    </row>
    <row r="991" ht="15" customHeight="1">
      <c r="A991" t="inlineStr">
        <is>
          <t>A 61990-2025</t>
        </is>
      </c>
      <c r="B991" s="1" t="n">
        <v>46003</v>
      </c>
      <c r="C991" s="1" t="n">
        <v>46160</v>
      </c>
      <c r="D991" t="inlineStr">
        <is>
          <t>JÄMTLANDS LÄN</t>
        </is>
      </c>
      <c r="E991" t="inlineStr">
        <is>
          <t>KROKOM</t>
        </is>
      </c>
      <c r="G991" t="n">
        <v>7.9</v>
      </c>
      <c r="H991" t="n">
        <v>0</v>
      </c>
      <c r="I991" t="n">
        <v>0</v>
      </c>
      <c r="J991" t="n">
        <v>0</v>
      </c>
      <c r="K991" t="n">
        <v>0</v>
      </c>
      <c r="L991" t="n">
        <v>0</v>
      </c>
      <c r="M991" t="n">
        <v>0</v>
      </c>
      <c r="N991" t="n">
        <v>0</v>
      </c>
      <c r="O991" t="n">
        <v>0</v>
      </c>
      <c r="P991" t="n">
        <v>0</v>
      </c>
      <c r="Q991" t="n">
        <v>0</v>
      </c>
      <c r="R991" s="2" t="inlineStr"/>
    </row>
    <row r="992" ht="15" customHeight="1">
      <c r="A992" t="inlineStr">
        <is>
          <t>A 62041-2025</t>
        </is>
      </c>
      <c r="B992" s="1" t="n">
        <v>46005</v>
      </c>
      <c r="C992" s="1" t="n">
        <v>46160</v>
      </c>
      <c r="D992" t="inlineStr">
        <is>
          <t>JÄMTLANDS LÄN</t>
        </is>
      </c>
      <c r="E992" t="inlineStr">
        <is>
          <t>KROKOM</t>
        </is>
      </c>
      <c r="F992" t="inlineStr">
        <is>
          <t>Övriga Aktiebolag</t>
        </is>
      </c>
      <c r="G992" t="n">
        <v>1.1</v>
      </c>
      <c r="H992" t="n">
        <v>0</v>
      </c>
      <c r="I992" t="n">
        <v>0</v>
      </c>
      <c r="J992" t="n">
        <v>0</v>
      </c>
      <c r="K992" t="n">
        <v>0</v>
      </c>
      <c r="L992" t="n">
        <v>0</v>
      </c>
      <c r="M992" t="n">
        <v>0</v>
      </c>
      <c r="N992" t="n">
        <v>0</v>
      </c>
      <c r="O992" t="n">
        <v>0</v>
      </c>
      <c r="P992" t="n">
        <v>0</v>
      </c>
      <c r="Q992" t="n">
        <v>0</v>
      </c>
      <c r="R992" s="2" t="inlineStr"/>
    </row>
    <row r="993" ht="15" customHeight="1">
      <c r="A993" t="inlineStr">
        <is>
          <t>A 34502-2023</t>
        </is>
      </c>
      <c r="B993" s="1" t="n">
        <v>45133</v>
      </c>
      <c r="C993" s="1" t="n">
        <v>46160</v>
      </c>
      <c r="D993" t="inlineStr">
        <is>
          <t>JÄMTLANDS LÄN</t>
        </is>
      </c>
      <c r="E993" t="inlineStr">
        <is>
          <t>KROKOM</t>
        </is>
      </c>
      <c r="G993" t="n">
        <v>6.9</v>
      </c>
      <c r="H993" t="n">
        <v>0</v>
      </c>
      <c r="I993" t="n">
        <v>0</v>
      </c>
      <c r="J993" t="n">
        <v>0</v>
      </c>
      <c r="K993" t="n">
        <v>0</v>
      </c>
      <c r="L993" t="n">
        <v>0</v>
      </c>
      <c r="M993" t="n">
        <v>0</v>
      </c>
      <c r="N993" t="n">
        <v>0</v>
      </c>
      <c r="O993" t="n">
        <v>0</v>
      </c>
      <c r="P993" t="n">
        <v>0</v>
      </c>
      <c r="Q993" t="n">
        <v>0</v>
      </c>
      <c r="R993" s="2" t="inlineStr"/>
    </row>
    <row r="994" ht="15" customHeight="1">
      <c r="A994" t="inlineStr">
        <is>
          <t>A 17885-2026</t>
        </is>
      </c>
      <c r="B994" s="1" t="n">
        <v>46122.56135416667</v>
      </c>
      <c r="C994" s="1" t="n">
        <v>46160</v>
      </c>
      <c r="D994" t="inlineStr">
        <is>
          <t>JÄMTLANDS LÄN</t>
        </is>
      </c>
      <c r="E994" t="inlineStr">
        <is>
          <t>KROKOM</t>
        </is>
      </c>
      <c r="G994" t="n">
        <v>5.1</v>
      </c>
      <c r="H994" t="n">
        <v>0</v>
      </c>
      <c r="I994" t="n">
        <v>0</v>
      </c>
      <c r="J994" t="n">
        <v>0</v>
      </c>
      <c r="K994" t="n">
        <v>0</v>
      </c>
      <c r="L994" t="n">
        <v>0</v>
      </c>
      <c r="M994" t="n">
        <v>0</v>
      </c>
      <c r="N994" t="n">
        <v>0</v>
      </c>
      <c r="O994" t="n">
        <v>0</v>
      </c>
      <c r="P994" t="n">
        <v>0</v>
      </c>
      <c r="Q994" t="n">
        <v>0</v>
      </c>
      <c r="R994" s="2" t="inlineStr"/>
    </row>
    <row r="995" ht="15" customHeight="1">
      <c r="A995" t="inlineStr">
        <is>
          <t>A 71307-2021</t>
        </is>
      </c>
      <c r="B995" s="1" t="n">
        <v>44539</v>
      </c>
      <c r="C995" s="1" t="n">
        <v>46160</v>
      </c>
      <c r="D995" t="inlineStr">
        <is>
          <t>JÄMTLANDS LÄN</t>
        </is>
      </c>
      <c r="E995" t="inlineStr">
        <is>
          <t>KROKOM</t>
        </is>
      </c>
      <c r="G995" t="n">
        <v>21.5</v>
      </c>
      <c r="H995" t="n">
        <v>0</v>
      </c>
      <c r="I995" t="n">
        <v>0</v>
      </c>
      <c r="J995" t="n">
        <v>0</v>
      </c>
      <c r="K995" t="n">
        <v>0</v>
      </c>
      <c r="L995" t="n">
        <v>0</v>
      </c>
      <c r="M995" t="n">
        <v>0</v>
      </c>
      <c r="N995" t="n">
        <v>0</v>
      </c>
      <c r="O995" t="n">
        <v>0</v>
      </c>
      <c r="P995" t="n">
        <v>0</v>
      </c>
      <c r="Q995" t="n">
        <v>0</v>
      </c>
      <c r="R995" s="2" t="inlineStr"/>
    </row>
    <row r="996" ht="15" customHeight="1">
      <c r="A996" t="inlineStr">
        <is>
          <t>A 62000-2025</t>
        </is>
      </c>
      <c r="B996" s="1" t="n">
        <v>46003</v>
      </c>
      <c r="C996" s="1" t="n">
        <v>46160</v>
      </c>
      <c r="D996" t="inlineStr">
        <is>
          <t>JÄMTLANDS LÄN</t>
        </is>
      </c>
      <c r="E996" t="inlineStr">
        <is>
          <t>KROKOM</t>
        </is>
      </c>
      <c r="G996" t="n">
        <v>11.2</v>
      </c>
      <c r="H996" t="n">
        <v>0</v>
      </c>
      <c r="I996" t="n">
        <v>0</v>
      </c>
      <c r="J996" t="n">
        <v>0</v>
      </c>
      <c r="K996" t="n">
        <v>0</v>
      </c>
      <c r="L996" t="n">
        <v>0</v>
      </c>
      <c r="M996" t="n">
        <v>0</v>
      </c>
      <c r="N996" t="n">
        <v>0</v>
      </c>
      <c r="O996" t="n">
        <v>0</v>
      </c>
      <c r="P996" t="n">
        <v>0</v>
      </c>
      <c r="Q996" t="n">
        <v>0</v>
      </c>
      <c r="R996" s="2" t="inlineStr"/>
    </row>
    <row r="997" ht="15" customHeight="1">
      <c r="A997" t="inlineStr">
        <is>
          <t>A 57239-2023</t>
        </is>
      </c>
      <c r="B997" s="1" t="n">
        <v>45245.5478125</v>
      </c>
      <c r="C997" s="1" t="n">
        <v>46160</v>
      </c>
      <c r="D997" t="inlineStr">
        <is>
          <t>JÄMTLANDS LÄN</t>
        </is>
      </c>
      <c r="E997" t="inlineStr">
        <is>
          <t>KROKOM</t>
        </is>
      </c>
      <c r="F997" t="inlineStr">
        <is>
          <t>Övriga Aktiebolag</t>
        </is>
      </c>
      <c r="G997" t="n">
        <v>0.7</v>
      </c>
      <c r="H997" t="n">
        <v>0</v>
      </c>
      <c r="I997" t="n">
        <v>0</v>
      </c>
      <c r="J997" t="n">
        <v>0</v>
      </c>
      <c r="K997" t="n">
        <v>0</v>
      </c>
      <c r="L997" t="n">
        <v>0</v>
      </c>
      <c r="M997" t="n">
        <v>0</v>
      </c>
      <c r="N997" t="n">
        <v>0</v>
      </c>
      <c r="O997" t="n">
        <v>0</v>
      </c>
      <c r="P997" t="n">
        <v>0</v>
      </c>
      <c r="Q997" t="n">
        <v>0</v>
      </c>
      <c r="R997" s="2" t="inlineStr"/>
    </row>
    <row r="998" ht="15" customHeight="1">
      <c r="A998" t="inlineStr">
        <is>
          <t>A 11443-2026</t>
        </is>
      </c>
      <c r="B998" s="1" t="n">
        <v>46083.53049768518</v>
      </c>
      <c r="C998" s="1" t="n">
        <v>46160</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11639-2024</t>
        </is>
      </c>
      <c r="B999" s="1" t="n">
        <v>45373</v>
      </c>
      <c r="C999" s="1" t="n">
        <v>46160</v>
      </c>
      <c r="D999" t="inlineStr">
        <is>
          <t>JÄMTLANDS LÄN</t>
        </is>
      </c>
      <c r="E999" t="inlineStr">
        <is>
          <t>KROKOM</t>
        </is>
      </c>
      <c r="G999" t="n">
        <v>22.2</v>
      </c>
      <c r="H999" t="n">
        <v>0</v>
      </c>
      <c r="I999" t="n">
        <v>0</v>
      </c>
      <c r="J999" t="n">
        <v>0</v>
      </c>
      <c r="K999" t="n">
        <v>0</v>
      </c>
      <c r="L999" t="n">
        <v>0</v>
      </c>
      <c r="M999" t="n">
        <v>0</v>
      </c>
      <c r="N999" t="n">
        <v>0</v>
      </c>
      <c r="O999" t="n">
        <v>0</v>
      </c>
      <c r="P999" t="n">
        <v>0</v>
      </c>
      <c r="Q999" t="n">
        <v>0</v>
      </c>
      <c r="R999" s="2" t="inlineStr"/>
    </row>
    <row r="1000" ht="15" customHeight="1">
      <c r="A1000" t="inlineStr">
        <is>
          <t>A 17980-2026</t>
        </is>
      </c>
      <c r="B1000" s="1" t="n">
        <v>46124.49025462963</v>
      </c>
      <c r="C1000" s="1" t="n">
        <v>46160</v>
      </c>
      <c r="D1000" t="inlineStr">
        <is>
          <t>JÄMTLANDS LÄN</t>
        </is>
      </c>
      <c r="E1000" t="inlineStr">
        <is>
          <t>KROKOM</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62508-2025</t>
        </is>
      </c>
      <c r="B1001" s="1" t="n">
        <v>46007.59456018519</v>
      </c>
      <c r="C1001" s="1" t="n">
        <v>46160</v>
      </c>
      <c r="D1001" t="inlineStr">
        <is>
          <t>JÄMTLANDS LÄN</t>
        </is>
      </c>
      <c r="E1001" t="inlineStr">
        <is>
          <t>KROKOM</t>
        </is>
      </c>
      <c r="G1001" t="n">
        <v>44.9</v>
      </c>
      <c r="H1001" t="n">
        <v>0</v>
      </c>
      <c r="I1001" t="n">
        <v>0</v>
      </c>
      <c r="J1001" t="n">
        <v>0</v>
      </c>
      <c r="K1001" t="n">
        <v>0</v>
      </c>
      <c r="L1001" t="n">
        <v>0</v>
      </c>
      <c r="M1001" t="n">
        <v>0</v>
      </c>
      <c r="N1001" t="n">
        <v>0</v>
      </c>
      <c r="O1001" t="n">
        <v>0</v>
      </c>
      <c r="P1001" t="n">
        <v>0</v>
      </c>
      <c r="Q1001" t="n">
        <v>0</v>
      </c>
      <c r="R1001" s="2" t="inlineStr"/>
    </row>
    <row r="1002" ht="15" customHeight="1">
      <c r="A1002" t="inlineStr">
        <is>
          <t>A 62716-2025</t>
        </is>
      </c>
      <c r="B1002" s="1" t="n">
        <v>46008.53166666667</v>
      </c>
      <c r="C1002" s="1" t="n">
        <v>46160</v>
      </c>
      <c r="D1002" t="inlineStr">
        <is>
          <t>JÄMTLANDS LÄN</t>
        </is>
      </c>
      <c r="E1002" t="inlineStr">
        <is>
          <t>KROKOM</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42828-2023</t>
        </is>
      </c>
      <c r="B1003" s="1" t="n">
        <v>45182</v>
      </c>
      <c r="C1003" s="1" t="n">
        <v>46160</v>
      </c>
      <c r="D1003" t="inlineStr">
        <is>
          <t>JÄMTLANDS LÄN</t>
        </is>
      </c>
      <c r="E1003" t="inlineStr">
        <is>
          <t>KROKOM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62505-2025</t>
        </is>
      </c>
      <c r="B1004" s="1" t="n">
        <v>46007.59438657408</v>
      </c>
      <c r="C1004" s="1" t="n">
        <v>46160</v>
      </c>
      <c r="D1004" t="inlineStr">
        <is>
          <t>JÄMTLANDS LÄN</t>
        </is>
      </c>
      <c r="E1004" t="inlineStr">
        <is>
          <t>KROKOM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17981-2026</t>
        </is>
      </c>
      <c r="B1005" s="1" t="n">
        <v>46124.4903125</v>
      </c>
      <c r="C1005" s="1" t="n">
        <v>46160</v>
      </c>
      <c r="D1005" t="inlineStr">
        <is>
          <t>JÄMTLANDS LÄN</t>
        </is>
      </c>
      <c r="E1005" t="inlineStr">
        <is>
          <t>KROKOM</t>
        </is>
      </c>
      <c r="F1005" t="inlineStr">
        <is>
          <t>SCA</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17982-2026</t>
        </is>
      </c>
      <c r="B1006" s="1" t="n">
        <v>46124.49032407408</v>
      </c>
      <c r="C1006" s="1" t="n">
        <v>46160</v>
      </c>
      <c r="D1006" t="inlineStr">
        <is>
          <t>JÄMTLANDS LÄN</t>
        </is>
      </c>
      <c r="E1006" t="inlineStr">
        <is>
          <t>KROKOM</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62372-2025</t>
        </is>
      </c>
      <c r="B1007" s="1" t="n">
        <v>46007.34444444445</v>
      </c>
      <c r="C1007" s="1" t="n">
        <v>46160</v>
      </c>
      <c r="D1007" t="inlineStr">
        <is>
          <t>JÄMTLANDS LÄN</t>
        </is>
      </c>
      <c r="E1007" t="inlineStr">
        <is>
          <t>KROKOM</t>
        </is>
      </c>
      <c r="F1007" t="inlineStr">
        <is>
          <t>SCA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11511-2026</t>
        </is>
      </c>
      <c r="B1008" s="1" t="n">
        <v>46083.65688657408</v>
      </c>
      <c r="C1008" s="1" t="n">
        <v>46160</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62506-2025</t>
        </is>
      </c>
      <c r="B1009" s="1" t="n">
        <v>46007.59445601852</v>
      </c>
      <c r="C1009" s="1" t="n">
        <v>46160</v>
      </c>
      <c r="D1009" t="inlineStr">
        <is>
          <t>JÄMTLANDS LÄN</t>
        </is>
      </c>
      <c r="E1009" t="inlineStr">
        <is>
          <t>KROKOM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62507-2025</t>
        </is>
      </c>
      <c r="B1010" s="1" t="n">
        <v>46007.59450231482</v>
      </c>
      <c r="C1010" s="1" t="n">
        <v>46160</v>
      </c>
      <c r="D1010" t="inlineStr">
        <is>
          <t>JÄMTLANDS LÄN</t>
        </is>
      </c>
      <c r="E1010" t="inlineStr">
        <is>
          <t>KROKOM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62392-2025</t>
        </is>
      </c>
      <c r="B1011" s="1" t="n">
        <v>46007</v>
      </c>
      <c r="C1011" s="1" t="n">
        <v>46160</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62709-2025</t>
        </is>
      </c>
      <c r="B1012" s="1" t="n">
        <v>46008.51083333333</v>
      </c>
      <c r="C1012" s="1" t="n">
        <v>46160</v>
      </c>
      <c r="D1012" t="inlineStr">
        <is>
          <t>JÄMTLANDS LÄN</t>
        </is>
      </c>
      <c r="E1012" t="inlineStr">
        <is>
          <t>KROKOM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62710-2025</t>
        </is>
      </c>
      <c r="B1013" s="1" t="n">
        <v>46008.51097222222</v>
      </c>
      <c r="C1013" s="1" t="n">
        <v>46160</v>
      </c>
      <c r="D1013" t="inlineStr">
        <is>
          <t>JÄMTLANDS LÄN</t>
        </is>
      </c>
      <c r="E1013" t="inlineStr">
        <is>
          <t>KROKOM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9132-2023</t>
        </is>
      </c>
      <c r="B1014" s="1" t="n">
        <v>44974</v>
      </c>
      <c r="C1014" s="1" t="n">
        <v>46160</v>
      </c>
      <c r="D1014" t="inlineStr">
        <is>
          <t>JÄMTLANDS LÄN</t>
        </is>
      </c>
      <c r="E1014" t="inlineStr">
        <is>
          <t>KROKOM</t>
        </is>
      </c>
      <c r="F1014" t="inlineStr">
        <is>
          <t>SCA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57304-2021</t>
        </is>
      </c>
      <c r="B1015" s="1" t="n">
        <v>44483.42253472222</v>
      </c>
      <c r="C1015" s="1" t="n">
        <v>46160</v>
      </c>
      <c r="D1015" t="inlineStr">
        <is>
          <t>JÄMTLANDS LÄN</t>
        </is>
      </c>
      <c r="E1015" t="inlineStr">
        <is>
          <t>KROKOM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27440-2024</t>
        </is>
      </c>
      <c r="B1016" s="1" t="n">
        <v>45474</v>
      </c>
      <c r="C1016" s="1" t="n">
        <v>46160</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64764-2023</t>
        </is>
      </c>
      <c r="B1017" s="1" t="n">
        <v>45282</v>
      </c>
      <c r="C1017" s="1" t="n">
        <v>46160</v>
      </c>
      <c r="D1017" t="inlineStr">
        <is>
          <t>JÄMTLANDS LÄN</t>
        </is>
      </c>
      <c r="E1017" t="inlineStr">
        <is>
          <t>KROKOM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28595-2024</t>
        </is>
      </c>
      <c r="B1018" s="1" t="n">
        <v>45478.42063657408</v>
      </c>
      <c r="C1018" s="1" t="n">
        <v>46160</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65508-2021</t>
        </is>
      </c>
      <c r="B1019" s="1" t="n">
        <v>44516</v>
      </c>
      <c r="C1019" s="1" t="n">
        <v>46160</v>
      </c>
      <c r="D1019" t="inlineStr">
        <is>
          <t>JÄMTLANDS LÄN</t>
        </is>
      </c>
      <c r="E1019" t="inlineStr">
        <is>
          <t>KROKOM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18267-2026</t>
        </is>
      </c>
      <c r="B1020" s="1" t="n">
        <v>46126.3790625</v>
      </c>
      <c r="C1020" s="1" t="n">
        <v>46160</v>
      </c>
      <c r="D1020" t="inlineStr">
        <is>
          <t>JÄMTLANDS LÄN</t>
        </is>
      </c>
      <c r="E1020" t="inlineStr">
        <is>
          <t>KROKOM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12813-2023</t>
        </is>
      </c>
      <c r="B1021" s="1" t="n">
        <v>45000</v>
      </c>
      <c r="C1021" s="1" t="n">
        <v>46160</v>
      </c>
      <c r="D1021" t="inlineStr">
        <is>
          <t>JÄMTLANDS LÄN</t>
        </is>
      </c>
      <c r="E1021" t="inlineStr">
        <is>
          <t>KROKOM</t>
        </is>
      </c>
      <c r="G1021" t="n">
        <v>9.800000000000001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36439-2023</t>
        </is>
      </c>
      <c r="B1022" s="1" t="n">
        <v>45152</v>
      </c>
      <c r="C1022" s="1" t="n">
        <v>46160</v>
      </c>
      <c r="D1022" t="inlineStr">
        <is>
          <t>JÄMTLANDS LÄN</t>
        </is>
      </c>
      <c r="E1022" t="inlineStr">
        <is>
          <t>KROKOM</t>
        </is>
      </c>
      <c r="F1022" t="inlineStr">
        <is>
          <t>Övriga Aktiebolag</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45929-2025</t>
        </is>
      </c>
      <c r="B1023" s="1" t="n">
        <v>45923</v>
      </c>
      <c r="C1023" s="1" t="n">
        <v>46160</v>
      </c>
      <c r="D1023" t="inlineStr">
        <is>
          <t>JÄMTLANDS LÄN</t>
        </is>
      </c>
      <c r="E1023" t="inlineStr">
        <is>
          <t>KROKOM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18942-2025</t>
        </is>
      </c>
      <c r="B1024" s="1" t="n">
        <v>45764</v>
      </c>
      <c r="C1024" s="1" t="n">
        <v>46160</v>
      </c>
      <c r="D1024" t="inlineStr">
        <is>
          <t>JÄMTLANDS LÄN</t>
        </is>
      </c>
      <c r="E1024" t="inlineStr">
        <is>
          <t>KROKOM</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65-2026</t>
        </is>
      </c>
      <c r="B1025" s="1" t="n">
        <v>46014</v>
      </c>
      <c r="C1025" s="1" t="n">
        <v>46160</v>
      </c>
      <c r="D1025" t="inlineStr">
        <is>
          <t>JÄMTLANDS LÄN</t>
        </is>
      </c>
      <c r="E1025" t="inlineStr">
        <is>
          <t>KROKOM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692-2025</t>
        </is>
      </c>
      <c r="B1026" s="1" t="n">
        <v>45662</v>
      </c>
      <c r="C1026" s="1" t="n">
        <v>46160</v>
      </c>
      <c r="D1026" t="inlineStr">
        <is>
          <t>JÄMTLANDS LÄN</t>
        </is>
      </c>
      <c r="E1026" t="inlineStr">
        <is>
          <t>KROKOM</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31426-2025</t>
        </is>
      </c>
      <c r="B1027" s="1" t="n">
        <v>45833</v>
      </c>
      <c r="C1027" s="1" t="n">
        <v>46160</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31427-2025</t>
        </is>
      </c>
      <c r="B1028" s="1" t="n">
        <v>45833</v>
      </c>
      <c r="C1028" s="1" t="n">
        <v>46160</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6656-2026</t>
        </is>
      </c>
      <c r="B1029" s="1" t="n">
        <v>46056.56085648148</v>
      </c>
      <c r="C1029" s="1" t="n">
        <v>46160</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62739-2021</t>
        </is>
      </c>
      <c r="B1030" s="1" t="n">
        <v>44504</v>
      </c>
      <c r="C1030" s="1" t="n">
        <v>46160</v>
      </c>
      <c r="D1030" t="inlineStr">
        <is>
          <t>JÄMTLANDS LÄN</t>
        </is>
      </c>
      <c r="E1030" t="inlineStr">
        <is>
          <t>KROKOM</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18561-2026</t>
        </is>
      </c>
      <c r="B1031" s="1" t="n">
        <v>46126</v>
      </c>
      <c r="C1031" s="1" t="n">
        <v>46160</v>
      </c>
      <c r="D1031" t="inlineStr">
        <is>
          <t>JÄMTLANDS LÄN</t>
        </is>
      </c>
      <c r="E1031" t="inlineStr">
        <is>
          <t>KROKOM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11824-2026</t>
        </is>
      </c>
      <c r="B1032" s="1" t="n">
        <v>46085.39603009259</v>
      </c>
      <c r="C1032" s="1" t="n">
        <v>46160</v>
      </c>
      <c r="D1032" t="inlineStr">
        <is>
          <t>JÄMTLANDS LÄN</t>
        </is>
      </c>
      <c r="E1032" t="inlineStr">
        <is>
          <t>KROKOM</t>
        </is>
      </c>
      <c r="F1032" t="inlineStr">
        <is>
          <t>Övriga Aktiebolag</t>
        </is>
      </c>
      <c r="G1032" t="n">
        <v>31.2</v>
      </c>
      <c r="H1032" t="n">
        <v>0</v>
      </c>
      <c r="I1032" t="n">
        <v>0</v>
      </c>
      <c r="J1032" t="n">
        <v>0</v>
      </c>
      <c r="K1032" t="n">
        <v>0</v>
      </c>
      <c r="L1032" t="n">
        <v>0</v>
      </c>
      <c r="M1032" t="n">
        <v>0</v>
      </c>
      <c r="N1032" t="n">
        <v>0</v>
      </c>
      <c r="O1032" t="n">
        <v>0</v>
      </c>
      <c r="P1032" t="n">
        <v>0</v>
      </c>
      <c r="Q1032" t="n">
        <v>0</v>
      </c>
      <c r="R1032" s="2" t="inlineStr"/>
    </row>
    <row r="1033" ht="15" customHeight="1">
      <c r="A1033" t="inlineStr">
        <is>
          <t>A 39263-2024</t>
        </is>
      </c>
      <c r="B1033" s="1" t="n">
        <v>45551.34414351852</v>
      </c>
      <c r="C1033" s="1" t="n">
        <v>46160</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18568-2026</t>
        </is>
      </c>
      <c r="B1034" s="1" t="n">
        <v>46126</v>
      </c>
      <c r="C1034" s="1" t="n">
        <v>46160</v>
      </c>
      <c r="D1034" t="inlineStr">
        <is>
          <t>JÄMTLANDS LÄN</t>
        </is>
      </c>
      <c r="E1034" t="inlineStr">
        <is>
          <t>KROKOM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52313-2024</t>
        </is>
      </c>
      <c r="B1035" s="1" t="n">
        <v>45608.86341435185</v>
      </c>
      <c r="C1035" s="1" t="n">
        <v>46160</v>
      </c>
      <c r="D1035" t="inlineStr">
        <is>
          <t>JÄMTLANDS LÄN</t>
        </is>
      </c>
      <c r="E1035" t="inlineStr">
        <is>
          <t>KROKOM</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32692-2023</t>
        </is>
      </c>
      <c r="B1036" s="1" t="n">
        <v>45112</v>
      </c>
      <c r="C1036" s="1" t="n">
        <v>46160</v>
      </c>
      <c r="D1036" t="inlineStr">
        <is>
          <t>JÄMTLANDS LÄN</t>
        </is>
      </c>
      <c r="E1036" t="inlineStr">
        <is>
          <t>KROKOM</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17820-2024</t>
        </is>
      </c>
      <c r="B1037" s="1" t="n">
        <v>45418.94616898148</v>
      </c>
      <c r="C1037" s="1" t="n">
        <v>46160</v>
      </c>
      <c r="D1037" t="inlineStr">
        <is>
          <t>JÄMTLANDS LÄN</t>
        </is>
      </c>
      <c r="E1037" t="inlineStr">
        <is>
          <t>KROKOM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31601-2023</t>
        </is>
      </c>
      <c r="B1038" s="1" t="n">
        <v>45117</v>
      </c>
      <c r="C1038" s="1" t="n">
        <v>46160</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45777-2024</t>
        </is>
      </c>
      <c r="B1039" s="1" t="n">
        <v>45579.66459490741</v>
      </c>
      <c r="C1039" s="1" t="n">
        <v>46160</v>
      </c>
      <c r="D1039" t="inlineStr">
        <is>
          <t>JÄMTLANDS LÄN</t>
        </is>
      </c>
      <c r="E1039" t="inlineStr">
        <is>
          <t>KROKOM</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18907-2026</t>
        </is>
      </c>
      <c r="B1040" s="1" t="n">
        <v>46129.50225694444</v>
      </c>
      <c r="C1040" s="1" t="n">
        <v>46160</v>
      </c>
      <c r="D1040" t="inlineStr">
        <is>
          <t>JÄMTLANDS LÄN</t>
        </is>
      </c>
      <c r="E1040" t="inlineStr">
        <is>
          <t>KROKOM</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14029-2024</t>
        </is>
      </c>
      <c r="B1041" s="1" t="n">
        <v>45392</v>
      </c>
      <c r="C1041" s="1" t="n">
        <v>46160</v>
      </c>
      <c r="D1041" t="inlineStr">
        <is>
          <t>JÄMTLANDS LÄN</t>
        </is>
      </c>
      <c r="E1041" t="inlineStr">
        <is>
          <t>KROKOM</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56557-2021</t>
        </is>
      </c>
      <c r="B1042" s="1" t="n">
        <v>44480</v>
      </c>
      <c r="C1042" s="1" t="n">
        <v>46160</v>
      </c>
      <c r="D1042" t="inlineStr">
        <is>
          <t>JÄMTLANDS LÄN</t>
        </is>
      </c>
      <c r="E1042" t="inlineStr">
        <is>
          <t>KROKOM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18762-2026</t>
        </is>
      </c>
      <c r="B1043" s="1" t="n">
        <v>46128.56447916666</v>
      </c>
      <c r="C1043" s="1" t="n">
        <v>46160</v>
      </c>
      <c r="D1043" t="inlineStr">
        <is>
          <t>JÄMTLANDS LÄN</t>
        </is>
      </c>
      <c r="E1043" t="inlineStr">
        <is>
          <t>KROKOM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18921-2026</t>
        </is>
      </c>
      <c r="B1044" s="1" t="n">
        <v>46129.54364583334</v>
      </c>
      <c r="C1044" s="1" t="n">
        <v>46160</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18922-2026</t>
        </is>
      </c>
      <c r="B1045" s="1" t="n">
        <v>46127</v>
      </c>
      <c r="C1045" s="1" t="n">
        <v>46160</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12025-2026</t>
        </is>
      </c>
      <c r="B1046" s="1" t="n">
        <v>46085.82280092593</v>
      </c>
      <c r="C1046" s="1" t="n">
        <v>46160</v>
      </c>
      <c r="D1046" t="inlineStr">
        <is>
          <t>JÄMTLANDS LÄN</t>
        </is>
      </c>
      <c r="E1046" t="inlineStr">
        <is>
          <t>KROKOM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33653-2023</t>
        </is>
      </c>
      <c r="B1047" s="1" t="n">
        <v>45119</v>
      </c>
      <c r="C1047" s="1" t="n">
        <v>46160</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19104-2026</t>
        </is>
      </c>
      <c r="B1048" s="1" t="n">
        <v>46132.44505787037</v>
      </c>
      <c r="C1048" s="1" t="n">
        <v>46160</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19166-2026</t>
        </is>
      </c>
      <c r="B1049" s="1" t="n">
        <v>46132.58118055556</v>
      </c>
      <c r="C1049" s="1" t="n">
        <v>46160</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8167-2025</t>
        </is>
      </c>
      <c r="B1050" s="1" t="n">
        <v>45708</v>
      </c>
      <c r="C1050" s="1" t="n">
        <v>46160</v>
      </c>
      <c r="D1050" t="inlineStr">
        <is>
          <t>JÄMTLANDS LÄN</t>
        </is>
      </c>
      <c r="E1050" t="inlineStr">
        <is>
          <t>KROKOM</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42372-2023</t>
        </is>
      </c>
      <c r="B1051" s="1" t="n">
        <v>45180</v>
      </c>
      <c r="C1051" s="1" t="n">
        <v>46160</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7724-2025</t>
        </is>
      </c>
      <c r="B1052" s="1" t="n">
        <v>45706</v>
      </c>
      <c r="C1052" s="1" t="n">
        <v>46160</v>
      </c>
      <c r="D1052" t="inlineStr">
        <is>
          <t>JÄMTLANDS LÄN</t>
        </is>
      </c>
      <c r="E1052" t="inlineStr">
        <is>
          <t>KROKOM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12582-2026</t>
        </is>
      </c>
      <c r="B1053" s="1" t="n">
        <v>46090.67733796296</v>
      </c>
      <c r="C1053" s="1" t="n">
        <v>46160</v>
      </c>
      <c r="D1053" t="inlineStr">
        <is>
          <t>JÄMTLANDS LÄN</t>
        </is>
      </c>
      <c r="E1053" t="inlineStr">
        <is>
          <t>KROKOM</t>
        </is>
      </c>
      <c r="G1053" t="n">
        <v>24.3</v>
      </c>
      <c r="H1053" t="n">
        <v>0</v>
      </c>
      <c r="I1053" t="n">
        <v>0</v>
      </c>
      <c r="J1053" t="n">
        <v>0</v>
      </c>
      <c r="K1053" t="n">
        <v>0</v>
      </c>
      <c r="L1053" t="n">
        <v>0</v>
      </c>
      <c r="M1053" t="n">
        <v>0</v>
      </c>
      <c r="N1053" t="n">
        <v>0</v>
      </c>
      <c r="O1053" t="n">
        <v>0</v>
      </c>
      <c r="P1053" t="n">
        <v>0</v>
      </c>
      <c r="Q1053" t="n">
        <v>0</v>
      </c>
      <c r="R1053" s="2" t="inlineStr"/>
    </row>
    <row r="1054" ht="15" customHeight="1">
      <c r="A1054" t="inlineStr">
        <is>
          <t>A 29956-2025</t>
        </is>
      </c>
      <c r="B1054" s="1" t="n">
        <v>45826.4705787037</v>
      </c>
      <c r="C1054" s="1" t="n">
        <v>46160</v>
      </c>
      <c r="D1054" t="inlineStr">
        <is>
          <t>JÄMTLANDS LÄN</t>
        </is>
      </c>
      <c r="E1054" t="inlineStr">
        <is>
          <t>KROKOM</t>
        </is>
      </c>
      <c r="F1054" t="inlineStr">
        <is>
          <t>SCA</t>
        </is>
      </c>
      <c r="G1054" t="n">
        <v>16.1</v>
      </c>
      <c r="H1054" t="n">
        <v>0</v>
      </c>
      <c r="I1054" t="n">
        <v>0</v>
      </c>
      <c r="J1054" t="n">
        <v>0</v>
      </c>
      <c r="K1054" t="n">
        <v>0</v>
      </c>
      <c r="L1054" t="n">
        <v>0</v>
      </c>
      <c r="M1054" t="n">
        <v>0</v>
      </c>
      <c r="N1054" t="n">
        <v>0</v>
      </c>
      <c r="O1054" t="n">
        <v>0</v>
      </c>
      <c r="P1054" t="n">
        <v>0</v>
      </c>
      <c r="Q1054" t="n">
        <v>0</v>
      </c>
      <c r="R1054" s="2" t="inlineStr"/>
    </row>
    <row r="1055" ht="15" customHeight="1">
      <c r="A1055" t="inlineStr">
        <is>
          <t>A 19425-2026</t>
        </is>
      </c>
      <c r="B1055" s="1" t="n">
        <v>46133.61560185185</v>
      </c>
      <c r="C1055" s="1" t="n">
        <v>46160</v>
      </c>
      <c r="D1055" t="inlineStr">
        <is>
          <t>JÄMTLANDS LÄN</t>
        </is>
      </c>
      <c r="E1055" t="inlineStr">
        <is>
          <t>KROKOM</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19426-2026</t>
        </is>
      </c>
      <c r="B1056" s="1" t="n">
        <v>46133.61569444444</v>
      </c>
      <c r="C1056" s="1" t="n">
        <v>46160</v>
      </c>
      <c r="D1056" t="inlineStr">
        <is>
          <t>JÄMTLANDS LÄN</t>
        </is>
      </c>
      <c r="E1056" t="inlineStr">
        <is>
          <t>KROKOM</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1119-2025</t>
        </is>
      </c>
      <c r="B1057" s="1" t="n">
        <v>45666.65987268519</v>
      </c>
      <c r="C1057" s="1" t="n">
        <v>46160</v>
      </c>
      <c r="D1057" t="inlineStr">
        <is>
          <t>JÄMTLANDS LÄN</t>
        </is>
      </c>
      <c r="E1057" t="inlineStr">
        <is>
          <t>KROKOM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29986-2023</t>
        </is>
      </c>
      <c r="B1058" s="1" t="n">
        <v>45109.44534722222</v>
      </c>
      <c r="C1058" s="1" t="n">
        <v>46160</v>
      </c>
      <c r="D1058" t="inlineStr">
        <is>
          <t>JÄMTLANDS LÄN</t>
        </is>
      </c>
      <c r="E1058" t="inlineStr">
        <is>
          <t>KROKOM</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7079-2025</t>
        </is>
      </c>
      <c r="B1059" s="1" t="n">
        <v>45701</v>
      </c>
      <c r="C1059" s="1" t="n">
        <v>46160</v>
      </c>
      <c r="D1059" t="inlineStr">
        <is>
          <t>JÄMTLANDS LÄN</t>
        </is>
      </c>
      <c r="E1059" t="inlineStr">
        <is>
          <t>KROKOM</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8168-2025</t>
        </is>
      </c>
      <c r="B1060" s="1" t="n">
        <v>45708</v>
      </c>
      <c r="C1060" s="1" t="n">
        <v>46160</v>
      </c>
      <c r="D1060" t="inlineStr">
        <is>
          <t>JÄMTLANDS LÄN</t>
        </is>
      </c>
      <c r="E1060" t="inlineStr">
        <is>
          <t>KROKOM</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12554-2026</t>
        </is>
      </c>
      <c r="B1061" s="1" t="n">
        <v>46090.63807870371</v>
      </c>
      <c r="C1061" s="1" t="n">
        <v>46160</v>
      </c>
      <c r="D1061" t="inlineStr">
        <is>
          <t>JÄMTLANDS LÄN</t>
        </is>
      </c>
      <c r="E1061" t="inlineStr">
        <is>
          <t>KROKOM</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19842-2026</t>
        </is>
      </c>
      <c r="B1062" s="1" t="n">
        <v>46135.61270833333</v>
      </c>
      <c r="C1062" s="1" t="n">
        <v>46160</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19850-2026</t>
        </is>
      </c>
      <c r="B1063" s="1" t="n">
        <v>46135.6202662037</v>
      </c>
      <c r="C1063" s="1" t="n">
        <v>46160</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50738-2024</t>
        </is>
      </c>
      <c r="B1064" s="1" t="n">
        <v>45602.39862268518</v>
      </c>
      <c r="C1064" s="1" t="n">
        <v>46160</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50755-2024</t>
        </is>
      </c>
      <c r="B1065" s="1" t="n">
        <v>45602.42878472222</v>
      </c>
      <c r="C1065" s="1" t="n">
        <v>46160</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8369-2023</t>
        </is>
      </c>
      <c r="B1066" s="1" t="n">
        <v>44971</v>
      </c>
      <c r="C1066" s="1" t="n">
        <v>46160</v>
      </c>
      <c r="D1066" t="inlineStr">
        <is>
          <t>JÄMTLANDS LÄN</t>
        </is>
      </c>
      <c r="E1066" t="inlineStr">
        <is>
          <t>KROKOM</t>
        </is>
      </c>
      <c r="G1066" t="n">
        <v>47.2</v>
      </c>
      <c r="H1066" t="n">
        <v>0</v>
      </c>
      <c r="I1066" t="n">
        <v>0</v>
      </c>
      <c r="J1066" t="n">
        <v>0</v>
      </c>
      <c r="K1066" t="n">
        <v>0</v>
      </c>
      <c r="L1066" t="n">
        <v>0</v>
      </c>
      <c r="M1066" t="n">
        <v>0</v>
      </c>
      <c r="N1066" t="n">
        <v>0</v>
      </c>
      <c r="O1066" t="n">
        <v>0</v>
      </c>
      <c r="P1066" t="n">
        <v>0</v>
      </c>
      <c r="Q1066" t="n">
        <v>0</v>
      </c>
      <c r="R1066" s="2" t="inlineStr"/>
    </row>
    <row r="1067" ht="15" customHeight="1">
      <c r="A1067" t="inlineStr">
        <is>
          <t>A 56328-2023</t>
        </is>
      </c>
      <c r="B1067" s="1" t="n">
        <v>45243.33297453704</v>
      </c>
      <c r="C1067" s="1" t="n">
        <v>46160</v>
      </c>
      <c r="D1067" t="inlineStr">
        <is>
          <t>JÄMTLANDS LÄN</t>
        </is>
      </c>
      <c r="E1067" t="inlineStr">
        <is>
          <t>KROKOM</t>
        </is>
      </c>
      <c r="F1067" t="inlineStr">
        <is>
          <t>Övriga Aktiebolag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35257-2023</t>
        </is>
      </c>
      <c r="B1068" s="1" t="n">
        <v>45145.95255787037</v>
      </c>
      <c r="C1068" s="1" t="n">
        <v>46160</v>
      </c>
      <c r="D1068" t="inlineStr">
        <is>
          <t>JÄMTLANDS LÄN</t>
        </is>
      </c>
      <c r="E1068" t="inlineStr">
        <is>
          <t>KROKOM</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46785-2024</t>
        </is>
      </c>
      <c r="B1069" s="1" t="n">
        <v>45583.52885416667</v>
      </c>
      <c r="C1069" s="1" t="n">
        <v>46160</v>
      </c>
      <c r="D1069" t="inlineStr">
        <is>
          <t>JÄMTLANDS LÄN</t>
        </is>
      </c>
      <c r="E1069" t="inlineStr">
        <is>
          <t>KROKOM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19552-2026</t>
        </is>
      </c>
      <c r="B1070" s="1" t="n">
        <v>46134.40256944444</v>
      </c>
      <c r="C1070" s="1" t="n">
        <v>46160</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64299-2021</t>
        </is>
      </c>
      <c r="B1071" s="1" t="n">
        <v>44510.9491087963</v>
      </c>
      <c r="C1071" s="1" t="n">
        <v>46160</v>
      </c>
      <c r="D1071" t="inlineStr">
        <is>
          <t>JÄMTLANDS LÄN</t>
        </is>
      </c>
      <c r="E1071" t="inlineStr">
        <is>
          <t>KROKOM</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58487-2024</t>
        </is>
      </c>
      <c r="B1072" s="1" t="n">
        <v>45635.39820601852</v>
      </c>
      <c r="C1072" s="1" t="n">
        <v>46160</v>
      </c>
      <c r="D1072" t="inlineStr">
        <is>
          <t>JÄMTLANDS LÄN</t>
        </is>
      </c>
      <c r="E1072" t="inlineStr">
        <is>
          <t>KROKOM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19857-2026</t>
        </is>
      </c>
      <c r="B1073" s="1" t="n">
        <v>46135.63600694444</v>
      </c>
      <c r="C1073" s="1" t="n">
        <v>46160</v>
      </c>
      <c r="D1073" t="inlineStr">
        <is>
          <t>JÄMTLANDS LÄN</t>
        </is>
      </c>
      <c r="E1073" t="inlineStr">
        <is>
          <t>KROKOM</t>
        </is>
      </c>
      <c r="G1073" t="n">
        <v>17.4</v>
      </c>
      <c r="H1073" t="n">
        <v>0</v>
      </c>
      <c r="I1073" t="n">
        <v>0</v>
      </c>
      <c r="J1073" t="n">
        <v>0</v>
      </c>
      <c r="K1073" t="n">
        <v>0</v>
      </c>
      <c r="L1073" t="n">
        <v>0</v>
      </c>
      <c r="M1073" t="n">
        <v>0</v>
      </c>
      <c r="N1073" t="n">
        <v>0</v>
      </c>
      <c r="O1073" t="n">
        <v>0</v>
      </c>
      <c r="P1073" t="n">
        <v>0</v>
      </c>
      <c r="Q1073" t="n">
        <v>0</v>
      </c>
      <c r="R1073" s="2" t="inlineStr"/>
    </row>
    <row r="1074" ht="15" customHeight="1">
      <c r="A1074" t="inlineStr">
        <is>
          <t>A 18870-2026</t>
        </is>
      </c>
      <c r="B1074" s="1" t="n">
        <v>46129</v>
      </c>
      <c r="C1074" s="1" t="n">
        <v>46160</v>
      </c>
      <c r="D1074" t="inlineStr">
        <is>
          <t>JÄMTLANDS LÄN</t>
        </is>
      </c>
      <c r="E1074" t="inlineStr">
        <is>
          <t>KROKOM</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3231-2022</t>
        </is>
      </c>
      <c r="B1075" s="1" t="n">
        <v>44582</v>
      </c>
      <c r="C1075" s="1" t="n">
        <v>46160</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10646-2025</t>
        </is>
      </c>
      <c r="B1076" s="1" t="n">
        <v>45721.66456018519</v>
      </c>
      <c r="C1076" s="1" t="n">
        <v>46160</v>
      </c>
      <c r="D1076" t="inlineStr">
        <is>
          <t>JÄMTLANDS LÄN</t>
        </is>
      </c>
      <c r="E1076" t="inlineStr">
        <is>
          <t>KROKOM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29477-2024</t>
        </is>
      </c>
      <c r="B1077" s="1" t="n">
        <v>45484</v>
      </c>
      <c r="C1077" s="1" t="n">
        <v>46160</v>
      </c>
      <c r="D1077" t="inlineStr">
        <is>
          <t>JÄMTLANDS LÄN</t>
        </is>
      </c>
      <c r="E1077" t="inlineStr">
        <is>
          <t>KROKOM</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53540-2024</t>
        </is>
      </c>
      <c r="B1078" s="1" t="n">
        <v>45614.63575231482</v>
      </c>
      <c r="C1078" s="1" t="n">
        <v>46160</v>
      </c>
      <c r="D1078" t="inlineStr">
        <is>
          <t>JÄMTLANDS LÄN</t>
        </is>
      </c>
      <c r="E1078" t="inlineStr">
        <is>
          <t>KROKOM</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280-2025</t>
        </is>
      </c>
      <c r="B1079" s="1" t="n">
        <v>45660.49618055556</v>
      </c>
      <c r="C1079" s="1" t="n">
        <v>46160</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18874-2026</t>
        </is>
      </c>
      <c r="B1080" s="1" t="n">
        <v>46129</v>
      </c>
      <c r="C1080" s="1" t="n">
        <v>46160</v>
      </c>
      <c r="D1080" t="inlineStr">
        <is>
          <t>JÄMTLANDS LÄN</t>
        </is>
      </c>
      <c r="E1080" t="inlineStr">
        <is>
          <t>KROKOM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19984-2026</t>
        </is>
      </c>
      <c r="B1081" s="1" t="n">
        <v>46136.45210648148</v>
      </c>
      <c r="C1081" s="1" t="n">
        <v>46160</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39490-2022</t>
        </is>
      </c>
      <c r="B1082" s="1" t="n">
        <v>44818</v>
      </c>
      <c r="C1082" s="1" t="n">
        <v>46160</v>
      </c>
      <c r="D1082" t="inlineStr">
        <is>
          <t>JÄMTLANDS LÄN</t>
        </is>
      </c>
      <c r="E1082" t="inlineStr">
        <is>
          <t>KROKOM</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20342-2026</t>
        </is>
      </c>
      <c r="B1083" s="1" t="n">
        <v>46138</v>
      </c>
      <c r="C1083" s="1" t="n">
        <v>46160</v>
      </c>
      <c r="D1083" t="inlineStr">
        <is>
          <t>JÄMTLANDS LÄN</t>
        </is>
      </c>
      <c r="E1083" t="inlineStr">
        <is>
          <t>KROKOM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9043-2025</t>
        </is>
      </c>
      <c r="B1084" s="1" t="n">
        <v>45713</v>
      </c>
      <c r="C1084" s="1" t="n">
        <v>46160</v>
      </c>
      <c r="D1084" t="inlineStr">
        <is>
          <t>JÄMTLANDS LÄN</t>
        </is>
      </c>
      <c r="E1084" t="inlineStr">
        <is>
          <t>KROKOM</t>
        </is>
      </c>
      <c r="F1084" t="inlineStr">
        <is>
          <t>Övriga Aktiebolag</t>
        </is>
      </c>
      <c r="G1084" t="n">
        <v>43.6</v>
      </c>
      <c r="H1084" t="n">
        <v>0</v>
      </c>
      <c r="I1084" t="n">
        <v>0</v>
      </c>
      <c r="J1084" t="n">
        <v>0</v>
      </c>
      <c r="K1084" t="n">
        <v>0</v>
      </c>
      <c r="L1084" t="n">
        <v>0</v>
      </c>
      <c r="M1084" t="n">
        <v>0</v>
      </c>
      <c r="N1084" t="n">
        <v>0</v>
      </c>
      <c r="O1084" t="n">
        <v>0</v>
      </c>
      <c r="P1084" t="n">
        <v>0</v>
      </c>
      <c r="Q1084" t="n">
        <v>0</v>
      </c>
      <c r="R1084" s="2" t="inlineStr"/>
    </row>
    <row r="1085" ht="15" customHeight="1">
      <c r="A1085" t="inlineStr">
        <is>
          <t>A 27954-2024</t>
        </is>
      </c>
      <c r="B1085" s="1" t="n">
        <v>45476</v>
      </c>
      <c r="C1085" s="1" t="n">
        <v>46160</v>
      </c>
      <c r="D1085" t="inlineStr">
        <is>
          <t>JÄMTLANDS LÄN</t>
        </is>
      </c>
      <c r="E1085" t="inlineStr">
        <is>
          <t>KROKOM</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20274-2026</t>
        </is>
      </c>
      <c r="B1086" s="1" t="n">
        <v>46139.52574074074</v>
      </c>
      <c r="C1086" s="1" t="n">
        <v>46160</v>
      </c>
      <c r="D1086" t="inlineStr">
        <is>
          <t>JÄMTLANDS LÄN</t>
        </is>
      </c>
      <c r="E1086" t="inlineStr">
        <is>
          <t>KROKOM</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51060-2024</t>
        </is>
      </c>
      <c r="B1087" s="1" t="n">
        <v>45603.44815972223</v>
      </c>
      <c r="C1087" s="1" t="n">
        <v>46160</v>
      </c>
      <c r="D1087" t="inlineStr">
        <is>
          <t>JÄMTLANDS LÄN</t>
        </is>
      </c>
      <c r="E1087" t="inlineStr">
        <is>
          <t>KROKOM</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17285-2026</t>
        </is>
      </c>
      <c r="B1088" s="1" t="n">
        <v>46119.53811342592</v>
      </c>
      <c r="C1088" s="1" t="n">
        <v>46160</v>
      </c>
      <c r="D1088" t="inlineStr">
        <is>
          <t>JÄMTLANDS LÄN</t>
        </is>
      </c>
      <c r="E1088" t="inlineStr">
        <is>
          <t>KROKOM</t>
        </is>
      </c>
      <c r="G1088" t="n">
        <v>32.1</v>
      </c>
      <c r="H1088" t="n">
        <v>0</v>
      </c>
      <c r="I1088" t="n">
        <v>0</v>
      </c>
      <c r="J1088" t="n">
        <v>0</v>
      </c>
      <c r="K1088" t="n">
        <v>0</v>
      </c>
      <c r="L1088" t="n">
        <v>0</v>
      </c>
      <c r="M1088" t="n">
        <v>0</v>
      </c>
      <c r="N1088" t="n">
        <v>0</v>
      </c>
      <c r="O1088" t="n">
        <v>0</v>
      </c>
      <c r="P1088" t="n">
        <v>0</v>
      </c>
      <c r="Q1088" t="n">
        <v>0</v>
      </c>
      <c r="R1088" s="2" t="inlineStr"/>
    </row>
    <row r="1089" ht="15" customHeight="1">
      <c r="A1089" t="inlineStr">
        <is>
          <t>A 14218-2026</t>
        </is>
      </c>
      <c r="B1089" s="1" t="n">
        <v>46099</v>
      </c>
      <c r="C1089" s="1" t="n">
        <v>46160</v>
      </c>
      <c r="D1089" t="inlineStr">
        <is>
          <t>JÄMTLANDS LÄN</t>
        </is>
      </c>
      <c r="E1089" t="inlineStr">
        <is>
          <t>KROKOM</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74011-2021</t>
        </is>
      </c>
      <c r="B1090" s="1" t="n">
        <v>44557</v>
      </c>
      <c r="C1090" s="1" t="n">
        <v>46160</v>
      </c>
      <c r="D1090" t="inlineStr">
        <is>
          <t>JÄMTLANDS LÄN</t>
        </is>
      </c>
      <c r="E1090" t="inlineStr">
        <is>
          <t>KROKOM</t>
        </is>
      </c>
      <c r="G1090" t="n">
        <v>33.2</v>
      </c>
      <c r="H1090" t="n">
        <v>0</v>
      </c>
      <c r="I1090" t="n">
        <v>0</v>
      </c>
      <c r="J1090" t="n">
        <v>0</v>
      </c>
      <c r="K1090" t="n">
        <v>0</v>
      </c>
      <c r="L1090" t="n">
        <v>0</v>
      </c>
      <c r="M1090" t="n">
        <v>0</v>
      </c>
      <c r="N1090" t="n">
        <v>0</v>
      </c>
      <c r="O1090" t="n">
        <v>0</v>
      </c>
      <c r="P1090" t="n">
        <v>0</v>
      </c>
      <c r="Q1090" t="n">
        <v>0</v>
      </c>
      <c r="R1090" s="2" t="inlineStr"/>
    </row>
    <row r="1091" ht="15" customHeight="1">
      <c r="A1091" t="inlineStr">
        <is>
          <t>A 9313-2025</t>
        </is>
      </c>
      <c r="B1091" s="1" t="n">
        <v>45714.69212962963</v>
      </c>
      <c r="C1091" s="1" t="n">
        <v>46160</v>
      </c>
      <c r="D1091" t="inlineStr">
        <is>
          <t>JÄMTLANDS LÄN</t>
        </is>
      </c>
      <c r="E1091" t="inlineStr">
        <is>
          <t>KROKOM</t>
        </is>
      </c>
      <c r="F1091" t="inlineStr">
        <is>
          <t>Kyrkan</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15231-2022</t>
        </is>
      </c>
      <c r="B1092" s="1" t="n">
        <v>44658</v>
      </c>
      <c r="C1092" s="1" t="n">
        <v>46160</v>
      </c>
      <c r="D1092" t="inlineStr">
        <is>
          <t>JÄMTLANDS LÄN</t>
        </is>
      </c>
      <c r="E1092" t="inlineStr">
        <is>
          <t>KROKOM</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47721-2024</t>
        </is>
      </c>
      <c r="B1093" s="1" t="n">
        <v>45588</v>
      </c>
      <c r="C1093" s="1" t="n">
        <v>46160</v>
      </c>
      <c r="D1093" t="inlineStr">
        <is>
          <t>JÄMTLANDS LÄN</t>
        </is>
      </c>
      <c r="E1093" t="inlineStr">
        <is>
          <t>KROKOM</t>
        </is>
      </c>
      <c r="G1093" t="n">
        <v>19.2</v>
      </c>
      <c r="H1093" t="n">
        <v>0</v>
      </c>
      <c r="I1093" t="n">
        <v>0</v>
      </c>
      <c r="J1093" t="n">
        <v>0</v>
      </c>
      <c r="K1093" t="n">
        <v>0</v>
      </c>
      <c r="L1093" t="n">
        <v>0</v>
      </c>
      <c r="M1093" t="n">
        <v>0</v>
      </c>
      <c r="N1093" t="n">
        <v>0</v>
      </c>
      <c r="O1093" t="n">
        <v>0</v>
      </c>
      <c r="P1093" t="n">
        <v>0</v>
      </c>
      <c r="Q1093" t="n">
        <v>0</v>
      </c>
      <c r="R1093" s="2" t="inlineStr"/>
    </row>
    <row r="1094" ht="15" customHeight="1">
      <c r="A1094" t="inlineStr">
        <is>
          <t>A 13964-2026</t>
        </is>
      </c>
      <c r="B1094" s="1" t="n">
        <v>46098.57356481482</v>
      </c>
      <c r="C1094" s="1" t="n">
        <v>46160</v>
      </c>
      <c r="D1094" t="inlineStr">
        <is>
          <t>JÄMTLANDS LÄN</t>
        </is>
      </c>
      <c r="E1094" t="inlineStr">
        <is>
          <t>KROKOM</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41675-2024</t>
        </is>
      </c>
      <c r="B1095" s="1" t="n">
        <v>45560.6599537037</v>
      </c>
      <c r="C1095" s="1" t="n">
        <v>46160</v>
      </c>
      <c r="D1095" t="inlineStr">
        <is>
          <t>JÄMTLANDS LÄN</t>
        </is>
      </c>
      <c r="E1095" t="inlineStr">
        <is>
          <t>KROKOM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14294-2026</t>
        </is>
      </c>
      <c r="B1096" s="1" t="n">
        <v>46099.70056712963</v>
      </c>
      <c r="C1096" s="1" t="n">
        <v>46160</v>
      </c>
      <c r="D1096" t="inlineStr">
        <is>
          <t>JÄMTLANDS LÄN</t>
        </is>
      </c>
      <c r="E1096" t="inlineStr">
        <is>
          <t>KROKOM</t>
        </is>
      </c>
      <c r="G1096" t="n">
        <v>39.1</v>
      </c>
      <c r="H1096" t="n">
        <v>0</v>
      </c>
      <c r="I1096" t="n">
        <v>0</v>
      </c>
      <c r="J1096" t="n">
        <v>0</v>
      </c>
      <c r="K1096" t="n">
        <v>0</v>
      </c>
      <c r="L1096" t="n">
        <v>0</v>
      </c>
      <c r="M1096" t="n">
        <v>0</v>
      </c>
      <c r="N1096" t="n">
        <v>0</v>
      </c>
      <c r="O1096" t="n">
        <v>0</v>
      </c>
      <c r="P1096" t="n">
        <v>0</v>
      </c>
      <c r="Q1096" t="n">
        <v>0</v>
      </c>
      <c r="R1096" s="2" t="inlineStr"/>
    </row>
    <row r="1097" ht="15" customHeight="1">
      <c r="A1097" t="inlineStr">
        <is>
          <t>A 14301-2026</t>
        </is>
      </c>
      <c r="B1097" s="1" t="n">
        <v>46099.76976851852</v>
      </c>
      <c r="C1097" s="1" t="n">
        <v>46160</v>
      </c>
      <c r="D1097" t="inlineStr">
        <is>
          <t>JÄMTLANDS LÄN</t>
        </is>
      </c>
      <c r="E1097" t="inlineStr">
        <is>
          <t>KROKOM</t>
        </is>
      </c>
      <c r="G1097" t="n">
        <v>32.8</v>
      </c>
      <c r="H1097" t="n">
        <v>0</v>
      </c>
      <c r="I1097" t="n">
        <v>0</v>
      </c>
      <c r="J1097" t="n">
        <v>0</v>
      </c>
      <c r="K1097" t="n">
        <v>0</v>
      </c>
      <c r="L1097" t="n">
        <v>0</v>
      </c>
      <c r="M1097" t="n">
        <v>0</v>
      </c>
      <c r="N1097" t="n">
        <v>0</v>
      </c>
      <c r="O1097" t="n">
        <v>0</v>
      </c>
      <c r="P1097" t="n">
        <v>0</v>
      </c>
      <c r="Q1097" t="n">
        <v>0</v>
      </c>
      <c r="R1097" s="2" t="inlineStr"/>
    </row>
    <row r="1098" ht="15" customHeight="1">
      <c r="A1098" t="inlineStr">
        <is>
          <t>A 20876-2026</t>
        </is>
      </c>
      <c r="B1098" s="1" t="n">
        <v>46142.40315972222</v>
      </c>
      <c r="C1098" s="1" t="n">
        <v>46160</v>
      </c>
      <c r="D1098" t="inlineStr">
        <is>
          <t>JÄMTLANDS LÄN</t>
        </is>
      </c>
      <c r="E1098" t="inlineStr">
        <is>
          <t>KROKOM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20835-2026</t>
        </is>
      </c>
      <c r="B1099" s="1" t="n">
        <v>46142.26474537037</v>
      </c>
      <c r="C1099" s="1" t="n">
        <v>46160</v>
      </c>
      <c r="D1099" t="inlineStr">
        <is>
          <t>JÄMTLANDS LÄN</t>
        </is>
      </c>
      <c r="E1099" t="inlineStr">
        <is>
          <t>KROKOM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6342-2025</t>
        </is>
      </c>
      <c r="B1100" s="1" t="n">
        <v>45699</v>
      </c>
      <c r="C1100" s="1" t="n">
        <v>46160</v>
      </c>
      <c r="D1100" t="inlineStr">
        <is>
          <t>JÄMTLANDS LÄN</t>
        </is>
      </c>
      <c r="E1100" t="inlineStr">
        <is>
          <t>KROKOM</t>
        </is>
      </c>
      <c r="F1100" t="inlineStr">
        <is>
          <t>Övriga Aktiebolag</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10782-2023</t>
        </is>
      </c>
      <c r="B1101" s="1" t="n">
        <v>44988.94056712963</v>
      </c>
      <c r="C1101" s="1" t="n">
        <v>46160</v>
      </c>
      <c r="D1101" t="inlineStr">
        <is>
          <t>JÄMTLANDS LÄN</t>
        </is>
      </c>
      <c r="E1101" t="inlineStr">
        <is>
          <t>KROKOM</t>
        </is>
      </c>
      <c r="F1101" t="inlineStr">
        <is>
          <t>SCA</t>
        </is>
      </c>
      <c r="G1101" t="n">
        <v>68.8</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45198.42734953704</v>
      </c>
      <c r="C1102" s="1" t="n">
        <v>46160</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14782-2026</t>
        </is>
      </c>
      <c r="B1103" s="1" t="n">
        <v>46101.65737268519</v>
      </c>
      <c r="C1103" s="1" t="n">
        <v>46160</v>
      </c>
      <c r="D1103" t="inlineStr">
        <is>
          <t>JÄMTLANDS LÄN</t>
        </is>
      </c>
      <c r="E1103" t="inlineStr">
        <is>
          <t>KROKOM</t>
        </is>
      </c>
      <c r="G1103" t="n">
        <v>21.1</v>
      </c>
      <c r="H1103" t="n">
        <v>0</v>
      </c>
      <c r="I1103" t="n">
        <v>0</v>
      </c>
      <c r="J1103" t="n">
        <v>0</v>
      </c>
      <c r="K1103" t="n">
        <v>0</v>
      </c>
      <c r="L1103" t="n">
        <v>0</v>
      </c>
      <c r="M1103" t="n">
        <v>0</v>
      </c>
      <c r="N1103" t="n">
        <v>0</v>
      </c>
      <c r="O1103" t="n">
        <v>0</v>
      </c>
      <c r="P1103" t="n">
        <v>0</v>
      </c>
      <c r="Q1103" t="n">
        <v>0</v>
      </c>
      <c r="R1103" s="2" t="inlineStr"/>
    </row>
    <row r="1104" ht="15" customHeight="1">
      <c r="A1104" t="inlineStr">
        <is>
          <t>A 14305-2026</t>
        </is>
      </c>
      <c r="B1104" s="1" t="n">
        <v>46099.80190972222</v>
      </c>
      <c r="C1104" s="1" t="n">
        <v>46160</v>
      </c>
      <c r="D1104" t="inlineStr">
        <is>
          <t>JÄMTLANDS LÄN</t>
        </is>
      </c>
      <c r="E1104" t="inlineStr">
        <is>
          <t>KROKOM</t>
        </is>
      </c>
      <c r="G1104" t="n">
        <v>25.4</v>
      </c>
      <c r="H1104" t="n">
        <v>0</v>
      </c>
      <c r="I1104" t="n">
        <v>0</v>
      </c>
      <c r="J1104" t="n">
        <v>0</v>
      </c>
      <c r="K1104" t="n">
        <v>0</v>
      </c>
      <c r="L1104" t="n">
        <v>0</v>
      </c>
      <c r="M1104" t="n">
        <v>0</v>
      </c>
      <c r="N1104" t="n">
        <v>0</v>
      </c>
      <c r="O1104" t="n">
        <v>0</v>
      </c>
      <c r="P1104" t="n">
        <v>0</v>
      </c>
      <c r="Q1104" t="n">
        <v>0</v>
      </c>
      <c r="R1104" s="2" t="inlineStr"/>
    </row>
    <row r="1105" ht="15" customHeight="1">
      <c r="A1105" t="inlineStr">
        <is>
          <t>A 18476-2022</t>
        </is>
      </c>
      <c r="B1105" s="1" t="n">
        <v>44686</v>
      </c>
      <c r="C1105" s="1" t="n">
        <v>46160</v>
      </c>
      <c r="D1105" t="inlineStr">
        <is>
          <t>JÄMTLANDS LÄN</t>
        </is>
      </c>
      <c r="E1105" t="inlineStr">
        <is>
          <t>KROKOM</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44296-2024</t>
        </is>
      </c>
      <c r="B1106" s="1" t="n">
        <v>45573.54893518519</v>
      </c>
      <c r="C1106" s="1" t="n">
        <v>46160</v>
      </c>
      <c r="D1106" t="inlineStr">
        <is>
          <t>JÄMTLANDS LÄN</t>
        </is>
      </c>
      <c r="E1106" t="inlineStr">
        <is>
          <t>KROKOM</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19698-2024</t>
        </is>
      </c>
      <c r="B1107" s="1" t="n">
        <v>45432.54027777778</v>
      </c>
      <c r="C1107" s="1" t="n">
        <v>46160</v>
      </c>
      <c r="D1107" t="inlineStr">
        <is>
          <t>JÄMTLANDS LÄN</t>
        </is>
      </c>
      <c r="E1107" t="inlineStr">
        <is>
          <t>KROKOM</t>
        </is>
      </c>
      <c r="G1107" t="n">
        <v>15.9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46160</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20981-2026</t>
        </is>
      </c>
      <c r="B1109" s="1" t="n">
        <v>46142.58722222222</v>
      </c>
      <c r="C1109" s="1" t="n">
        <v>46160</v>
      </c>
      <c r="D1109" t="inlineStr">
        <is>
          <t>JÄMTLANDS LÄN</t>
        </is>
      </c>
      <c r="E1109" t="inlineStr">
        <is>
          <t>KROKOM</t>
        </is>
      </c>
      <c r="F1109" t="inlineStr">
        <is>
          <t>Övriga Aktiebolag</t>
        </is>
      </c>
      <c r="G1109" t="n">
        <v>9.4</v>
      </c>
      <c r="H1109" t="n">
        <v>0</v>
      </c>
      <c r="I1109" t="n">
        <v>0</v>
      </c>
      <c r="J1109" t="n">
        <v>0</v>
      </c>
      <c r="K1109" t="n">
        <v>0</v>
      </c>
      <c r="L1109" t="n">
        <v>0</v>
      </c>
      <c r="M1109" t="n">
        <v>0</v>
      </c>
      <c r="N1109" t="n">
        <v>0</v>
      </c>
      <c r="O1109" t="n">
        <v>0</v>
      </c>
      <c r="P1109" t="n">
        <v>0</v>
      </c>
      <c r="Q1109" t="n">
        <v>0</v>
      </c>
      <c r="R1109" s="2" t="inlineStr"/>
    </row>
    <row r="1110" ht="15" customHeight="1">
      <c r="A1110" t="inlineStr">
        <is>
          <t>A 14744-2026</t>
        </is>
      </c>
      <c r="B1110" s="1" t="n">
        <v>46101.6071875</v>
      </c>
      <c r="C1110" s="1" t="n">
        <v>46160</v>
      </c>
      <c r="D1110" t="inlineStr">
        <is>
          <t>JÄMTLANDS LÄN</t>
        </is>
      </c>
      <c r="E1110" t="inlineStr">
        <is>
          <t>KROKOM</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52590-2023</t>
        </is>
      </c>
      <c r="B1111" s="1" t="n">
        <v>45225.60212962963</v>
      </c>
      <c r="C1111" s="1" t="n">
        <v>46160</v>
      </c>
      <c r="D1111" t="inlineStr">
        <is>
          <t>JÄMTLANDS LÄN</t>
        </is>
      </c>
      <c r="E1111" t="inlineStr">
        <is>
          <t>KROKOM</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20739-2026</t>
        </is>
      </c>
      <c r="B1112" s="1" t="n">
        <v>46141.57081018519</v>
      </c>
      <c r="C1112" s="1" t="n">
        <v>46160</v>
      </c>
      <c r="D1112" t="inlineStr">
        <is>
          <t>JÄMTLANDS LÄN</t>
        </is>
      </c>
      <c r="E1112" t="inlineStr">
        <is>
          <t>KROKOM</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20866-2026</t>
        </is>
      </c>
      <c r="B1113" s="1" t="n">
        <v>46142.36953703704</v>
      </c>
      <c r="C1113" s="1" t="n">
        <v>46160</v>
      </c>
      <c r="D1113" t="inlineStr">
        <is>
          <t>JÄMTLANDS LÄN</t>
        </is>
      </c>
      <c r="E1113" t="inlineStr">
        <is>
          <t>KROKOM</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47838-2023</t>
        </is>
      </c>
      <c r="B1114" s="1" t="n">
        <v>45204</v>
      </c>
      <c r="C1114" s="1" t="n">
        <v>46160</v>
      </c>
      <c r="D1114" t="inlineStr">
        <is>
          <t>JÄMTLANDS LÄN</t>
        </is>
      </c>
      <c r="E1114" t="inlineStr">
        <is>
          <t>KROKOM</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5907-2025</t>
        </is>
      </c>
      <c r="B1115" s="1" t="n">
        <v>45695.4046875</v>
      </c>
      <c r="C1115" s="1" t="n">
        <v>46160</v>
      </c>
      <c r="D1115" t="inlineStr">
        <is>
          <t>JÄMTLANDS LÄN</t>
        </is>
      </c>
      <c r="E1115" t="inlineStr">
        <is>
          <t>KROKOM</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5920-2025</t>
        </is>
      </c>
      <c r="B1116" s="1" t="n">
        <v>45695.42418981482</v>
      </c>
      <c r="C1116" s="1" t="n">
        <v>46160</v>
      </c>
      <c r="D1116" t="inlineStr">
        <is>
          <t>JÄMTLANDS LÄN</t>
        </is>
      </c>
      <c r="E1116" t="inlineStr">
        <is>
          <t>KROKOM</t>
        </is>
      </c>
      <c r="F1116" t="inlineStr">
        <is>
          <t>Övriga Aktiebolag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15017-2026</t>
        </is>
      </c>
      <c r="B1117" s="1" t="n">
        <v>46104.62271990741</v>
      </c>
      <c r="C1117" s="1" t="n">
        <v>46160</v>
      </c>
      <c r="D1117" t="inlineStr">
        <is>
          <t>JÄMTLANDS LÄN</t>
        </is>
      </c>
      <c r="E1117" t="inlineStr">
        <is>
          <t>KROKOM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42393-2024</t>
        </is>
      </c>
      <c r="B1118" s="1" t="n">
        <v>45565.32449074074</v>
      </c>
      <c r="C1118" s="1" t="n">
        <v>46160</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21091-2026</t>
        </is>
      </c>
      <c r="B1119" s="1" t="n">
        <v>46146.45587962963</v>
      </c>
      <c r="C1119" s="1" t="n">
        <v>46160</v>
      </c>
      <c r="D1119" t="inlineStr">
        <is>
          <t>JÄMTLANDS LÄN</t>
        </is>
      </c>
      <c r="E1119" t="inlineStr">
        <is>
          <t>KROKOM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40221-2024</t>
        </is>
      </c>
      <c r="B1120" s="1" t="n">
        <v>45554.59550925926</v>
      </c>
      <c r="C1120" s="1" t="n">
        <v>46160</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15030-2026</t>
        </is>
      </c>
      <c r="B1121" s="1" t="n">
        <v>46104.64736111111</v>
      </c>
      <c r="C1121" s="1" t="n">
        <v>46160</v>
      </c>
      <c r="D1121" t="inlineStr">
        <is>
          <t>JÄMTLANDS LÄN</t>
        </is>
      </c>
      <c r="E1121" t="inlineStr">
        <is>
          <t>KROKOM</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21278-2026</t>
        </is>
      </c>
      <c r="B1122" s="1" t="n">
        <v>46147.44376157408</v>
      </c>
      <c r="C1122" s="1" t="n">
        <v>46160</v>
      </c>
      <c r="D1122" t="inlineStr">
        <is>
          <t>JÄMTLANDS LÄN</t>
        </is>
      </c>
      <c r="E1122" t="inlineStr">
        <is>
          <t>KROKOM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62131-2024</t>
        </is>
      </c>
      <c r="B1123" s="1" t="n">
        <v>45656</v>
      </c>
      <c r="C1123" s="1" t="n">
        <v>46160</v>
      </c>
      <c r="D1123" t="inlineStr">
        <is>
          <t>JÄMTLANDS LÄN</t>
        </is>
      </c>
      <c r="E1123" t="inlineStr">
        <is>
          <t>KROKOM</t>
        </is>
      </c>
      <c r="F1123" t="inlineStr">
        <is>
          <t>Övriga Aktiebolag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15310-2025</t>
        </is>
      </c>
      <c r="B1124" s="1" t="n">
        <v>45746.79134259259</v>
      </c>
      <c r="C1124" s="1" t="n">
        <v>46160</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21095-2026</t>
        </is>
      </c>
      <c r="B1125" s="1" t="n">
        <v>46146.46149305555</v>
      </c>
      <c r="C1125" s="1" t="n">
        <v>46160</v>
      </c>
      <c r="D1125" t="inlineStr">
        <is>
          <t>JÄMTLANDS LÄN</t>
        </is>
      </c>
      <c r="E1125" t="inlineStr">
        <is>
          <t>KROKOM</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9796-2025</t>
        </is>
      </c>
      <c r="B1126" s="1" t="n">
        <v>45716.55237268518</v>
      </c>
      <c r="C1126" s="1" t="n">
        <v>46160</v>
      </c>
      <c r="D1126" t="inlineStr">
        <is>
          <t>JÄMTLANDS LÄN</t>
        </is>
      </c>
      <c r="E1126" t="inlineStr">
        <is>
          <t>KROKOM</t>
        </is>
      </c>
      <c r="F1126" t="inlineStr">
        <is>
          <t>SCA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15110-2026</t>
        </is>
      </c>
      <c r="B1127" s="1" t="n">
        <v>46105.35745370371</v>
      </c>
      <c r="C1127" s="1" t="n">
        <v>46160</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1323-2025</t>
        </is>
      </c>
      <c r="B1128" s="1" t="n">
        <v>45667.57217592592</v>
      </c>
      <c r="C1128" s="1" t="n">
        <v>46160</v>
      </c>
      <c r="D1128" t="inlineStr">
        <is>
          <t>JÄMTLANDS LÄN</t>
        </is>
      </c>
      <c r="E1128" t="inlineStr">
        <is>
          <t>KROKOM</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15918-2026</t>
        </is>
      </c>
      <c r="B1129" s="1" t="n">
        <v>46107.65283564815</v>
      </c>
      <c r="C1129" s="1" t="n">
        <v>46160</v>
      </c>
      <c r="D1129" t="inlineStr">
        <is>
          <t>JÄMTLANDS LÄN</t>
        </is>
      </c>
      <c r="E1129" t="inlineStr">
        <is>
          <t>KROKOM</t>
        </is>
      </c>
      <c r="F1129" t="inlineStr">
        <is>
          <t>SCA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6524-2025</t>
        </is>
      </c>
      <c r="B1130" s="1" t="n">
        <v>45699.66576388889</v>
      </c>
      <c r="C1130" s="1" t="n">
        <v>46160</v>
      </c>
      <c r="D1130" t="inlineStr">
        <is>
          <t>JÄMTLANDS LÄN</t>
        </is>
      </c>
      <c r="E1130" t="inlineStr">
        <is>
          <t>KROKOM</t>
        </is>
      </c>
      <c r="F1130" t="inlineStr">
        <is>
          <t>Övriga Aktiebolag</t>
        </is>
      </c>
      <c r="G1130" t="n">
        <v>51.6</v>
      </c>
      <c r="H1130" t="n">
        <v>0</v>
      </c>
      <c r="I1130" t="n">
        <v>0</v>
      </c>
      <c r="J1130" t="n">
        <v>0</v>
      </c>
      <c r="K1130" t="n">
        <v>0</v>
      </c>
      <c r="L1130" t="n">
        <v>0</v>
      </c>
      <c r="M1130" t="n">
        <v>0</v>
      </c>
      <c r="N1130" t="n">
        <v>0</v>
      </c>
      <c r="O1130" t="n">
        <v>0</v>
      </c>
      <c r="P1130" t="n">
        <v>0</v>
      </c>
      <c r="Q1130" t="n">
        <v>0</v>
      </c>
      <c r="R1130" s="2" t="inlineStr"/>
    </row>
    <row r="1131" ht="15" customHeight="1">
      <c r="A1131" t="inlineStr">
        <is>
          <t>A 46046-2023</t>
        </is>
      </c>
      <c r="B1131" s="1" t="n">
        <v>45190</v>
      </c>
      <c r="C1131" s="1" t="n">
        <v>46160</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21595-2026</t>
        </is>
      </c>
      <c r="B1132" s="1" t="n">
        <v>46149.35878472222</v>
      </c>
      <c r="C1132" s="1" t="n">
        <v>46160</v>
      </c>
      <c r="D1132" t="inlineStr">
        <is>
          <t>JÄMTLANDS LÄN</t>
        </is>
      </c>
      <c r="E1132" t="inlineStr">
        <is>
          <t>KROKOM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4423-2025</t>
        </is>
      </c>
      <c r="B1133" s="1" t="n">
        <v>45686</v>
      </c>
      <c r="C1133" s="1" t="n">
        <v>46160</v>
      </c>
      <c r="D1133" t="inlineStr">
        <is>
          <t>JÄMTLANDS LÄN</t>
        </is>
      </c>
      <c r="E1133" t="inlineStr">
        <is>
          <t>KROKOM</t>
        </is>
      </c>
      <c r="G1133" t="n">
        <v>17.3</v>
      </c>
      <c r="H1133" t="n">
        <v>0</v>
      </c>
      <c r="I1133" t="n">
        <v>0</v>
      </c>
      <c r="J1133" t="n">
        <v>0</v>
      </c>
      <c r="K1133" t="n">
        <v>0</v>
      </c>
      <c r="L1133" t="n">
        <v>0</v>
      </c>
      <c r="M1133" t="n">
        <v>0</v>
      </c>
      <c r="N1133" t="n">
        <v>0</v>
      </c>
      <c r="O1133" t="n">
        <v>0</v>
      </c>
      <c r="P1133" t="n">
        <v>0</v>
      </c>
      <c r="Q1133" t="n">
        <v>0</v>
      </c>
      <c r="R1133" s="2" t="inlineStr"/>
    </row>
    <row r="1134" ht="15" customHeight="1">
      <c r="A1134" t="inlineStr">
        <is>
          <t>A 15867-2026</t>
        </is>
      </c>
      <c r="B1134" s="1" t="n">
        <v>46107.58662037037</v>
      </c>
      <c r="C1134" s="1" t="n">
        <v>46160</v>
      </c>
      <c r="D1134" t="inlineStr">
        <is>
          <t>JÄMTLANDS LÄN</t>
        </is>
      </c>
      <c r="E1134" t="inlineStr">
        <is>
          <t>KROKOM</t>
        </is>
      </c>
      <c r="F1134" t="inlineStr">
        <is>
          <t>SCA</t>
        </is>
      </c>
      <c r="G1134" t="n">
        <v>36.8</v>
      </c>
      <c r="H1134" t="n">
        <v>0</v>
      </c>
      <c r="I1134" t="n">
        <v>0</v>
      </c>
      <c r="J1134" t="n">
        <v>0</v>
      </c>
      <c r="K1134" t="n">
        <v>0</v>
      </c>
      <c r="L1134" t="n">
        <v>0</v>
      </c>
      <c r="M1134" t="n">
        <v>0</v>
      </c>
      <c r="N1134" t="n">
        <v>0</v>
      </c>
      <c r="O1134" t="n">
        <v>0</v>
      </c>
      <c r="P1134" t="n">
        <v>0</v>
      </c>
      <c r="Q1134" t="n">
        <v>0</v>
      </c>
      <c r="R1134" s="2" t="inlineStr"/>
    </row>
    <row r="1135" ht="15" customHeight="1">
      <c r="A1135" t="inlineStr">
        <is>
          <t>A 21684-2026</t>
        </is>
      </c>
      <c r="B1135" s="1" t="n">
        <v>46149.5087037037</v>
      </c>
      <c r="C1135" s="1" t="n">
        <v>46160</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21731-2026</t>
        </is>
      </c>
      <c r="B1136" s="1" t="n">
        <v>46149.63171296296</v>
      </c>
      <c r="C1136" s="1" t="n">
        <v>46160</v>
      </c>
      <c r="D1136" t="inlineStr">
        <is>
          <t>JÄMTLANDS LÄN</t>
        </is>
      </c>
      <c r="E1136" t="inlineStr">
        <is>
          <t>KROKOM</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41784-2023</t>
        </is>
      </c>
      <c r="B1137" s="1" t="n">
        <v>45176</v>
      </c>
      <c r="C1137" s="1" t="n">
        <v>46160</v>
      </c>
      <c r="D1137" t="inlineStr">
        <is>
          <t>JÄMTLANDS LÄN</t>
        </is>
      </c>
      <c r="E1137" t="inlineStr">
        <is>
          <t>KROKOM</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5785-2025</t>
        </is>
      </c>
      <c r="B1138" s="1" t="n">
        <v>45694.64416666667</v>
      </c>
      <c r="C1138" s="1" t="n">
        <v>46160</v>
      </c>
      <c r="D1138" t="inlineStr">
        <is>
          <t>JÄMTLANDS LÄN</t>
        </is>
      </c>
      <c r="E1138" t="inlineStr">
        <is>
          <t>KROKOM</t>
        </is>
      </c>
      <c r="F1138" t="inlineStr">
        <is>
          <t>Övriga Aktiebolag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21656-2026</t>
        </is>
      </c>
      <c r="B1139" s="1" t="n">
        <v>46149.45731481481</v>
      </c>
      <c r="C1139" s="1" t="n">
        <v>46160</v>
      </c>
      <c r="D1139" t="inlineStr">
        <is>
          <t>JÄMTLANDS LÄN</t>
        </is>
      </c>
      <c r="E1139" t="inlineStr">
        <is>
          <t>KROKOM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54975-2024</t>
        </is>
      </c>
      <c r="B1140" s="1" t="n">
        <v>45620.67667824074</v>
      </c>
      <c r="C1140" s="1" t="n">
        <v>46160</v>
      </c>
      <c r="D1140" t="inlineStr">
        <is>
          <t>JÄMTLANDS LÄN</t>
        </is>
      </c>
      <c r="E1140" t="inlineStr">
        <is>
          <t>KROKOM</t>
        </is>
      </c>
      <c r="G1140" t="n">
        <v>24.1</v>
      </c>
      <c r="H1140" t="n">
        <v>0</v>
      </c>
      <c r="I1140" t="n">
        <v>0</v>
      </c>
      <c r="J1140" t="n">
        <v>0</v>
      </c>
      <c r="K1140" t="n">
        <v>0</v>
      </c>
      <c r="L1140" t="n">
        <v>0</v>
      </c>
      <c r="M1140" t="n">
        <v>0</v>
      </c>
      <c r="N1140" t="n">
        <v>0</v>
      </c>
      <c r="O1140" t="n">
        <v>0</v>
      </c>
      <c r="P1140" t="n">
        <v>0</v>
      </c>
      <c r="Q1140" t="n">
        <v>0</v>
      </c>
      <c r="R1140" s="2" t="inlineStr"/>
    </row>
    <row r="1141" ht="15" customHeight="1">
      <c r="A1141" t="inlineStr">
        <is>
          <t>A 54043-2023</t>
        </is>
      </c>
      <c r="B1141" s="1" t="n">
        <v>45231</v>
      </c>
      <c r="C1141" s="1" t="n">
        <v>46160</v>
      </c>
      <c r="D1141" t="inlineStr">
        <is>
          <t>JÄMTLANDS LÄN</t>
        </is>
      </c>
      <c r="E1141" t="inlineStr">
        <is>
          <t>KROKOM</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15487-2026</t>
        </is>
      </c>
      <c r="B1142" s="1" t="n">
        <v>46106.45048611111</v>
      </c>
      <c r="C1142" s="1" t="n">
        <v>46160</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15524-2024</t>
        </is>
      </c>
      <c r="B1143" s="1" t="n">
        <v>45401.59133101852</v>
      </c>
      <c r="C1143" s="1" t="n">
        <v>46160</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5637-2025</t>
        </is>
      </c>
      <c r="B1144" s="1" t="n">
        <v>45693.67361111111</v>
      </c>
      <c r="C1144" s="1" t="n">
        <v>46160</v>
      </c>
      <c r="D1144" t="inlineStr">
        <is>
          <t>JÄMTLANDS LÄN</t>
        </is>
      </c>
      <c r="E1144" t="inlineStr">
        <is>
          <t>KROKOM</t>
        </is>
      </c>
      <c r="F1144" t="inlineStr">
        <is>
          <t>Övriga Aktiebolag</t>
        </is>
      </c>
      <c r="G1144" t="n">
        <v>57.8</v>
      </c>
      <c r="H1144" t="n">
        <v>0</v>
      </c>
      <c r="I1144" t="n">
        <v>0</v>
      </c>
      <c r="J1144" t="n">
        <v>0</v>
      </c>
      <c r="K1144" t="n">
        <v>0</v>
      </c>
      <c r="L1144" t="n">
        <v>0</v>
      </c>
      <c r="M1144" t="n">
        <v>0</v>
      </c>
      <c r="N1144" t="n">
        <v>0</v>
      </c>
      <c r="O1144" t="n">
        <v>0</v>
      </c>
      <c r="P1144" t="n">
        <v>0</v>
      </c>
      <c r="Q1144" t="n">
        <v>0</v>
      </c>
      <c r="R1144" s="2" t="inlineStr"/>
    </row>
    <row r="1145" ht="15" customHeight="1">
      <c r="A1145" t="inlineStr">
        <is>
          <t>A 21720-2026</t>
        </is>
      </c>
      <c r="B1145" s="1" t="n">
        <v>46149.59929398148</v>
      </c>
      <c r="C1145" s="1" t="n">
        <v>46160</v>
      </c>
      <c r="D1145" t="inlineStr">
        <is>
          <t>JÄMTLANDS LÄN</t>
        </is>
      </c>
      <c r="E1145" t="inlineStr">
        <is>
          <t>KROKOM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15878-2026</t>
        </is>
      </c>
      <c r="B1146" s="1" t="n">
        <v>46107.5972337963</v>
      </c>
      <c r="C1146" s="1" t="n">
        <v>46160</v>
      </c>
      <c r="D1146" t="inlineStr">
        <is>
          <t>JÄMTLANDS LÄN</t>
        </is>
      </c>
      <c r="E1146" t="inlineStr">
        <is>
          <t>KROKOM</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59620-2024</t>
        </is>
      </c>
      <c r="B1147" s="1" t="n">
        <v>45638.81385416666</v>
      </c>
      <c r="C1147" s="1" t="n">
        <v>46160</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7366-2025</t>
        </is>
      </c>
      <c r="B1148" s="1" t="n">
        <v>45704.71069444445</v>
      </c>
      <c r="C1148" s="1" t="n">
        <v>46160</v>
      </c>
      <c r="D1148" t="inlineStr">
        <is>
          <t>JÄMTLANDS LÄN</t>
        </is>
      </c>
      <c r="E1148" t="inlineStr">
        <is>
          <t>KROKOM</t>
        </is>
      </c>
      <c r="F1148" t="inlineStr">
        <is>
          <t>Övriga Aktiebolag</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16358-2026</t>
        </is>
      </c>
      <c r="B1149" s="1" t="n">
        <v>46111.60275462963</v>
      </c>
      <c r="C1149" s="1" t="n">
        <v>46160</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5364-2025</t>
        </is>
      </c>
      <c r="B1150" s="1" t="n">
        <v>45692.58106481482</v>
      </c>
      <c r="C1150" s="1" t="n">
        <v>46160</v>
      </c>
      <c r="D1150" t="inlineStr">
        <is>
          <t>JÄMTLANDS LÄN</t>
        </is>
      </c>
      <c r="E1150" t="inlineStr">
        <is>
          <t>KROKOM</t>
        </is>
      </c>
      <c r="G1150" t="n">
        <v>25.4</v>
      </c>
      <c r="H1150" t="n">
        <v>0</v>
      </c>
      <c r="I1150" t="n">
        <v>0</v>
      </c>
      <c r="J1150" t="n">
        <v>0</v>
      </c>
      <c r="K1150" t="n">
        <v>0</v>
      </c>
      <c r="L1150" t="n">
        <v>0</v>
      </c>
      <c r="M1150" t="n">
        <v>0</v>
      </c>
      <c r="N1150" t="n">
        <v>0</v>
      </c>
      <c r="O1150" t="n">
        <v>0</v>
      </c>
      <c r="P1150" t="n">
        <v>0</v>
      </c>
      <c r="Q1150" t="n">
        <v>0</v>
      </c>
      <c r="R1150" s="2" t="inlineStr"/>
    </row>
    <row r="1151" ht="15" customHeight="1">
      <c r="A1151" t="inlineStr">
        <is>
          <t>A 27616-2023</t>
        </is>
      </c>
      <c r="B1151" s="1" t="n">
        <v>45097</v>
      </c>
      <c r="C1151" s="1" t="n">
        <v>46160</v>
      </c>
      <c r="D1151" t="inlineStr">
        <is>
          <t>JÄMTLANDS LÄN</t>
        </is>
      </c>
      <c r="E1151" t="inlineStr">
        <is>
          <t>KROKOM</t>
        </is>
      </c>
      <c r="F1151" t="inlineStr">
        <is>
          <t>Övriga Aktiebolag</t>
        </is>
      </c>
      <c r="G1151" t="n">
        <v>13.3</v>
      </c>
      <c r="H1151" t="n">
        <v>0</v>
      </c>
      <c r="I1151" t="n">
        <v>0</v>
      </c>
      <c r="J1151" t="n">
        <v>0</v>
      </c>
      <c r="K1151" t="n">
        <v>0</v>
      </c>
      <c r="L1151" t="n">
        <v>0</v>
      </c>
      <c r="M1151" t="n">
        <v>0</v>
      </c>
      <c r="N1151" t="n">
        <v>0</v>
      </c>
      <c r="O1151" t="n">
        <v>0</v>
      </c>
      <c r="P1151" t="n">
        <v>0</v>
      </c>
      <c r="Q1151" t="n">
        <v>0</v>
      </c>
      <c r="R1151" s="2" t="inlineStr"/>
    </row>
    <row r="1152" ht="15" customHeight="1">
      <c r="A1152" t="inlineStr">
        <is>
          <t>A 22023-2026</t>
        </is>
      </c>
      <c r="B1152" s="1" t="n">
        <v>46153.41262731481</v>
      </c>
      <c r="C1152" s="1" t="n">
        <v>46160</v>
      </c>
      <c r="D1152" t="inlineStr">
        <is>
          <t>JÄMTLANDS LÄN</t>
        </is>
      </c>
      <c r="E1152" t="inlineStr">
        <is>
          <t>KROKOM</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55831-2024</t>
        </is>
      </c>
      <c r="B1153" s="1" t="n">
        <v>45623.48571759259</v>
      </c>
      <c r="C1153" s="1" t="n">
        <v>46160</v>
      </c>
      <c r="D1153" t="inlineStr">
        <is>
          <t>JÄMTLANDS LÄN</t>
        </is>
      </c>
      <c r="E1153" t="inlineStr">
        <is>
          <t>KROKOM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21949-2026</t>
        </is>
      </c>
      <c r="B1154" s="1" t="n">
        <v>46151.55252314815</v>
      </c>
      <c r="C1154" s="1" t="n">
        <v>46160</v>
      </c>
      <c r="D1154" t="inlineStr">
        <is>
          <t>JÄMTLANDS LÄN</t>
        </is>
      </c>
      <c r="E1154" t="inlineStr">
        <is>
          <t>KROKOM</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21868-2026</t>
        </is>
      </c>
      <c r="B1155" s="1" t="n">
        <v>46150.57586805556</v>
      </c>
      <c r="C1155" s="1" t="n">
        <v>46160</v>
      </c>
      <c r="D1155" t="inlineStr">
        <is>
          <t>JÄMTLANDS LÄN</t>
        </is>
      </c>
      <c r="E1155" t="inlineStr">
        <is>
          <t>KROKOM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7013-2025</t>
        </is>
      </c>
      <c r="B1156" s="1" t="n">
        <v>45701.60901620371</v>
      </c>
      <c r="C1156" s="1" t="n">
        <v>46160</v>
      </c>
      <c r="D1156" t="inlineStr">
        <is>
          <t>JÄMTLANDS LÄN</t>
        </is>
      </c>
      <c r="E1156" t="inlineStr">
        <is>
          <t>KROKOM</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5704-2025</t>
        </is>
      </c>
      <c r="B1157" s="1" t="n">
        <v>45694.43806712963</v>
      </c>
      <c r="C1157" s="1" t="n">
        <v>46160</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2782-2025</t>
        </is>
      </c>
      <c r="B1158" s="1" t="n">
        <v>45676</v>
      </c>
      <c r="C1158" s="1" t="n">
        <v>46160</v>
      </c>
      <c r="D1158" t="inlineStr">
        <is>
          <t>JÄMTLANDS LÄN</t>
        </is>
      </c>
      <c r="E1158" t="inlineStr">
        <is>
          <t>KROKOM</t>
        </is>
      </c>
      <c r="G1158" t="n">
        <v>18.6</v>
      </c>
      <c r="H1158" t="n">
        <v>0</v>
      </c>
      <c r="I1158" t="n">
        <v>0</v>
      </c>
      <c r="J1158" t="n">
        <v>0</v>
      </c>
      <c r="K1158" t="n">
        <v>0</v>
      </c>
      <c r="L1158" t="n">
        <v>0</v>
      </c>
      <c r="M1158" t="n">
        <v>0</v>
      </c>
      <c r="N1158" t="n">
        <v>0</v>
      </c>
      <c r="O1158" t="n">
        <v>0</v>
      </c>
      <c r="P1158" t="n">
        <v>0</v>
      </c>
      <c r="Q1158" t="n">
        <v>0</v>
      </c>
      <c r="R1158" s="2" t="inlineStr"/>
    </row>
    <row r="1159" ht="15" customHeight="1">
      <c r="A1159" t="inlineStr">
        <is>
          <t>A 18080-2025</t>
        </is>
      </c>
      <c r="B1159" s="1" t="n">
        <v>45761.50909722222</v>
      </c>
      <c r="C1159" s="1" t="n">
        <v>46160</v>
      </c>
      <c r="D1159" t="inlineStr">
        <is>
          <t>JÄMTLANDS LÄN</t>
        </is>
      </c>
      <c r="E1159" t="inlineStr">
        <is>
          <t>KROKOM</t>
        </is>
      </c>
      <c r="G1159" t="n">
        <v>21.9</v>
      </c>
      <c r="H1159" t="n">
        <v>0</v>
      </c>
      <c r="I1159" t="n">
        <v>0</v>
      </c>
      <c r="J1159" t="n">
        <v>0</v>
      </c>
      <c r="K1159" t="n">
        <v>0</v>
      </c>
      <c r="L1159" t="n">
        <v>0</v>
      </c>
      <c r="M1159" t="n">
        <v>0</v>
      </c>
      <c r="N1159" t="n">
        <v>0</v>
      </c>
      <c r="O1159" t="n">
        <v>0</v>
      </c>
      <c r="P1159" t="n">
        <v>0</v>
      </c>
      <c r="Q1159" t="n">
        <v>0</v>
      </c>
      <c r="R1159" s="2" t="inlineStr"/>
    </row>
    <row r="1160" ht="15" customHeight="1">
      <c r="A1160" t="inlineStr">
        <is>
          <t>A 21950-2026</t>
        </is>
      </c>
      <c r="B1160" s="1" t="n">
        <v>46151.61503472222</v>
      </c>
      <c r="C1160" s="1" t="n">
        <v>46160</v>
      </c>
      <c r="D1160" t="inlineStr">
        <is>
          <t>JÄMTLANDS LÄN</t>
        </is>
      </c>
      <c r="E1160" t="inlineStr">
        <is>
          <t>KROKOM</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51929-2023</t>
        </is>
      </c>
      <c r="B1161" s="1" t="n">
        <v>45216</v>
      </c>
      <c r="C1161" s="1" t="n">
        <v>46160</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10552-2025</t>
        </is>
      </c>
      <c r="B1162" s="1" t="n">
        <v>45721.5113425926</v>
      </c>
      <c r="C1162" s="1" t="n">
        <v>46160</v>
      </c>
      <c r="D1162" t="inlineStr">
        <is>
          <t>JÄMTLANDS LÄN</t>
        </is>
      </c>
      <c r="E1162" t="inlineStr">
        <is>
          <t>KROKOM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7556-2025</t>
        </is>
      </c>
      <c r="B1163" s="1" t="n">
        <v>45705</v>
      </c>
      <c r="C1163" s="1" t="n">
        <v>46160</v>
      </c>
      <c r="D1163" t="inlineStr">
        <is>
          <t>JÄMTLANDS LÄN</t>
        </is>
      </c>
      <c r="E1163" t="inlineStr">
        <is>
          <t>KROKOM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16387-2026</t>
        </is>
      </c>
      <c r="B1164" s="1" t="n">
        <v>46111.63244212963</v>
      </c>
      <c r="C1164" s="1" t="n">
        <v>46160</v>
      </c>
      <c r="D1164" t="inlineStr">
        <is>
          <t>JÄMTLANDS LÄN</t>
        </is>
      </c>
      <c r="E1164" t="inlineStr">
        <is>
          <t>KROKOM</t>
        </is>
      </c>
      <c r="F1164" t="inlineStr">
        <is>
          <t>Övriga Aktiebolag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53543-2024</t>
        </is>
      </c>
      <c r="B1165" s="1" t="n">
        <v>45614.63697916667</v>
      </c>
      <c r="C1165" s="1" t="n">
        <v>46160</v>
      </c>
      <c r="D1165" t="inlineStr">
        <is>
          <t>JÄMTLANDS LÄN</t>
        </is>
      </c>
      <c r="E1165" t="inlineStr">
        <is>
          <t>KROKOM</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22865-2022</t>
        </is>
      </c>
      <c r="B1166" s="1" t="n">
        <v>44715.48863425926</v>
      </c>
      <c r="C1166" s="1" t="n">
        <v>46160</v>
      </c>
      <c r="D1166" t="inlineStr">
        <is>
          <t>JÄMTLANDS LÄN</t>
        </is>
      </c>
      <c r="E1166" t="inlineStr">
        <is>
          <t>KROKOM</t>
        </is>
      </c>
      <c r="F1166" t="inlineStr">
        <is>
          <t>Övriga Aktiebolag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16013-2026</t>
        </is>
      </c>
      <c r="B1167" s="1" t="n">
        <v>46108.42672453704</v>
      </c>
      <c r="C1167" s="1" t="n">
        <v>46160</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16091-2026</t>
        </is>
      </c>
      <c r="B1168" s="1" t="n">
        <v>46108.57409722222</v>
      </c>
      <c r="C1168" s="1" t="n">
        <v>46160</v>
      </c>
      <c r="D1168" t="inlineStr">
        <is>
          <t>JÄMTLANDS LÄN</t>
        </is>
      </c>
      <c r="E1168" t="inlineStr">
        <is>
          <t>KROKOM</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16210-2026</t>
        </is>
      </c>
      <c r="B1169" s="1" t="n">
        <v>46111.41530092592</v>
      </c>
      <c r="C1169" s="1" t="n">
        <v>46160</v>
      </c>
      <c r="D1169" t="inlineStr">
        <is>
          <t>JÄMTLANDS LÄN</t>
        </is>
      </c>
      <c r="E1169" t="inlineStr">
        <is>
          <t>KROKOM</t>
        </is>
      </c>
      <c r="F1169" t="inlineStr">
        <is>
          <t>Övriga Aktiebolag</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5558-2025</t>
        </is>
      </c>
      <c r="B1170" s="1" t="n">
        <v>45693.48239583334</v>
      </c>
      <c r="C1170" s="1" t="n">
        <v>46160</v>
      </c>
      <c r="D1170" t="inlineStr">
        <is>
          <t>JÄMTLANDS LÄN</t>
        </is>
      </c>
      <c r="E1170" t="inlineStr">
        <is>
          <t>KROKOM</t>
        </is>
      </c>
      <c r="G1170" t="n">
        <v>31.1</v>
      </c>
      <c r="H1170" t="n">
        <v>0</v>
      </c>
      <c r="I1170" t="n">
        <v>0</v>
      </c>
      <c r="J1170" t="n">
        <v>0</v>
      </c>
      <c r="K1170" t="n">
        <v>0</v>
      </c>
      <c r="L1170" t="n">
        <v>0</v>
      </c>
      <c r="M1170" t="n">
        <v>0</v>
      </c>
      <c r="N1170" t="n">
        <v>0</v>
      </c>
      <c r="O1170" t="n">
        <v>0</v>
      </c>
      <c r="P1170" t="n">
        <v>0</v>
      </c>
      <c r="Q1170" t="n">
        <v>0</v>
      </c>
      <c r="R1170" s="2" t="inlineStr"/>
    </row>
    <row r="1171" ht="15" customHeight="1">
      <c r="A1171" t="inlineStr">
        <is>
          <t>A 6208-2025</t>
        </is>
      </c>
      <c r="B1171" s="1" t="n">
        <v>45698.4930787037</v>
      </c>
      <c r="C1171" s="1" t="n">
        <v>46160</v>
      </c>
      <c r="D1171" t="inlineStr">
        <is>
          <t>JÄMTLANDS LÄN</t>
        </is>
      </c>
      <c r="E1171" t="inlineStr">
        <is>
          <t>KROKOM</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22197-2026</t>
        </is>
      </c>
      <c r="B1172" s="1" t="n">
        <v>46153.65719907408</v>
      </c>
      <c r="C1172" s="1" t="n">
        <v>46160</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6245-2025</t>
        </is>
      </c>
      <c r="B1173" s="1" t="n">
        <v>45698.57129629629</v>
      </c>
      <c r="C1173" s="1" t="n">
        <v>46160</v>
      </c>
      <c r="D1173" t="inlineStr">
        <is>
          <t>JÄMTLANDS LÄN</t>
        </is>
      </c>
      <c r="E1173" t="inlineStr">
        <is>
          <t>KROKOM</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4383-2025</t>
        </is>
      </c>
      <c r="B1174" s="1" t="n">
        <v>45686.39777777778</v>
      </c>
      <c r="C1174" s="1" t="n">
        <v>46160</v>
      </c>
      <c r="D1174" t="inlineStr">
        <is>
          <t>JÄMTLANDS LÄN</t>
        </is>
      </c>
      <c r="E1174" t="inlineStr">
        <is>
          <t>KROKOM</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56538-2023</t>
        </is>
      </c>
      <c r="B1175" s="1" t="n">
        <v>45238</v>
      </c>
      <c r="C1175" s="1" t="n">
        <v>46160</v>
      </c>
      <c r="D1175" t="inlineStr">
        <is>
          <t>JÄMTLANDS LÄN</t>
        </is>
      </c>
      <c r="E1175" t="inlineStr">
        <is>
          <t>KROKOM</t>
        </is>
      </c>
      <c r="G1175" t="n">
        <v>17.7</v>
      </c>
      <c r="H1175" t="n">
        <v>0</v>
      </c>
      <c r="I1175" t="n">
        <v>0</v>
      </c>
      <c r="J1175" t="n">
        <v>0</v>
      </c>
      <c r="K1175" t="n">
        <v>0</v>
      </c>
      <c r="L1175" t="n">
        <v>0</v>
      </c>
      <c r="M1175" t="n">
        <v>0</v>
      </c>
      <c r="N1175" t="n">
        <v>0</v>
      </c>
      <c r="O1175" t="n">
        <v>0</v>
      </c>
      <c r="P1175" t="n">
        <v>0</v>
      </c>
      <c r="Q1175" t="n">
        <v>0</v>
      </c>
      <c r="R1175" s="2" t="inlineStr"/>
    </row>
    <row r="1176" ht="15" customHeight="1">
      <c r="A1176" t="inlineStr">
        <is>
          <t>A 15776-2025</t>
        </is>
      </c>
      <c r="B1176" s="1" t="n">
        <v>45748.59744212963</v>
      </c>
      <c r="C1176" s="1" t="n">
        <v>46160</v>
      </c>
      <c r="D1176" t="inlineStr">
        <is>
          <t>JÄMTLANDS LÄN</t>
        </is>
      </c>
      <c r="E1176" t="inlineStr">
        <is>
          <t>KROKOM</t>
        </is>
      </c>
      <c r="G1176" t="n">
        <v>46.5</v>
      </c>
      <c r="H1176" t="n">
        <v>0</v>
      </c>
      <c r="I1176" t="n">
        <v>0</v>
      </c>
      <c r="J1176" t="n">
        <v>0</v>
      </c>
      <c r="K1176" t="n">
        <v>0</v>
      </c>
      <c r="L1176" t="n">
        <v>0</v>
      </c>
      <c r="M1176" t="n">
        <v>0</v>
      </c>
      <c r="N1176" t="n">
        <v>0</v>
      </c>
      <c r="O1176" t="n">
        <v>0</v>
      </c>
      <c r="P1176" t="n">
        <v>0</v>
      </c>
      <c r="Q1176" t="n">
        <v>0</v>
      </c>
      <c r="R1176" s="2" t="inlineStr"/>
    </row>
    <row r="1177" ht="15" customHeight="1">
      <c r="A1177" t="inlineStr">
        <is>
          <t>A 16778-2026</t>
        </is>
      </c>
      <c r="B1177" s="1" t="n">
        <v>46113.45277777778</v>
      </c>
      <c r="C1177" s="1" t="n">
        <v>46160</v>
      </c>
      <c r="D1177" t="inlineStr">
        <is>
          <t>JÄMTLANDS LÄN</t>
        </is>
      </c>
      <c r="E1177" t="inlineStr">
        <is>
          <t>KROKOM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16666-2026</t>
        </is>
      </c>
      <c r="B1178" s="1" t="n">
        <v>46112.6597800926</v>
      </c>
      <c r="C1178" s="1" t="n">
        <v>46160</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22656-2026</t>
        </is>
      </c>
      <c r="B1179" s="1" t="n">
        <v>46155.68038194445</v>
      </c>
      <c r="C1179" s="1" t="n">
        <v>46160</v>
      </c>
      <c r="D1179" t="inlineStr">
        <is>
          <t>JÄMTLANDS LÄN</t>
        </is>
      </c>
      <c r="E1179" t="inlineStr">
        <is>
          <t>KROKOM</t>
        </is>
      </c>
      <c r="G1179" t="n">
        <v>67.09999999999999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10279-2025</t>
        </is>
      </c>
      <c r="B1180" s="1" t="n">
        <v>45720.40268518519</v>
      </c>
      <c r="C1180" s="1" t="n">
        <v>46160</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5533-2025</t>
        </is>
      </c>
      <c r="B1181" s="1" t="n">
        <v>45693</v>
      </c>
      <c r="C1181" s="1" t="n">
        <v>46160</v>
      </c>
      <c r="D1181" t="inlineStr">
        <is>
          <t>JÄMTLANDS LÄN</t>
        </is>
      </c>
      <c r="E1181" t="inlineStr">
        <is>
          <t>KROKOM</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40364-2023</t>
        </is>
      </c>
      <c r="B1182" s="1" t="n">
        <v>45168</v>
      </c>
      <c r="C1182" s="1" t="n">
        <v>46160</v>
      </c>
      <c r="D1182" t="inlineStr">
        <is>
          <t>JÄMTLANDS LÄN</t>
        </is>
      </c>
      <c r="E1182" t="inlineStr">
        <is>
          <t>KROKOM</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16627-2026</t>
        </is>
      </c>
      <c r="B1183" s="1" t="n">
        <v>46112</v>
      </c>
      <c r="C1183" s="1" t="n">
        <v>46160</v>
      </c>
      <c r="D1183" t="inlineStr">
        <is>
          <t>JÄMTLANDS LÄN</t>
        </is>
      </c>
      <c r="E1183" t="inlineStr">
        <is>
          <t>KROKOM</t>
        </is>
      </c>
      <c r="G1183" t="n">
        <v>19.6</v>
      </c>
      <c r="H1183" t="n">
        <v>0</v>
      </c>
      <c r="I1183" t="n">
        <v>0</v>
      </c>
      <c r="J1183" t="n">
        <v>0</v>
      </c>
      <c r="K1183" t="n">
        <v>0</v>
      </c>
      <c r="L1183" t="n">
        <v>0</v>
      </c>
      <c r="M1183" t="n">
        <v>0</v>
      </c>
      <c r="N1183" t="n">
        <v>0</v>
      </c>
      <c r="O1183" t="n">
        <v>0</v>
      </c>
      <c r="P1183" t="n">
        <v>0</v>
      </c>
      <c r="Q1183" t="n">
        <v>0</v>
      </c>
      <c r="R1183" s="2" t="inlineStr"/>
    </row>
    <row r="1184" ht="15" customHeight="1">
      <c r="A1184" t="inlineStr">
        <is>
          <t>A 34278-2022</t>
        </is>
      </c>
      <c r="B1184" s="1" t="n">
        <v>44792.27644675926</v>
      </c>
      <c r="C1184" s="1" t="n">
        <v>46160</v>
      </c>
      <c r="D1184" t="inlineStr">
        <is>
          <t>JÄMTLANDS LÄN</t>
        </is>
      </c>
      <c r="E1184" t="inlineStr">
        <is>
          <t>KROKOM</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29238-2022</t>
        </is>
      </c>
      <c r="B1185" s="1" t="n">
        <v>44750</v>
      </c>
      <c r="C1185" s="1" t="n">
        <v>46160</v>
      </c>
      <c r="D1185" t="inlineStr">
        <is>
          <t>JÄMTLANDS LÄN</t>
        </is>
      </c>
      <c r="E1185" t="inlineStr">
        <is>
          <t>KROKOM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23512-2022</t>
        </is>
      </c>
      <c r="B1186" s="1" t="n">
        <v>44721.39003472222</v>
      </c>
      <c r="C1186" s="1" t="n">
        <v>46160</v>
      </c>
      <c r="D1186" t="inlineStr">
        <is>
          <t>JÄMTLANDS LÄN</t>
        </is>
      </c>
      <c r="E1186" t="inlineStr">
        <is>
          <t>KROKOM</t>
        </is>
      </c>
      <c r="F1186" t="inlineStr">
        <is>
          <t>Övriga Aktiebolag</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24441-2022</t>
        </is>
      </c>
      <c r="B1187" s="1" t="n">
        <v>44726</v>
      </c>
      <c r="C1187" s="1" t="n">
        <v>46160</v>
      </c>
      <c r="D1187" t="inlineStr">
        <is>
          <t>JÄMTLANDS LÄN</t>
        </is>
      </c>
      <c r="E1187" t="inlineStr">
        <is>
          <t>KROKOM</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48769-2022</t>
        </is>
      </c>
      <c r="B1188" s="1" t="n">
        <v>44855</v>
      </c>
      <c r="C1188" s="1" t="n">
        <v>46160</v>
      </c>
      <c r="D1188" t="inlineStr">
        <is>
          <t>JÄMTLANDS LÄN</t>
        </is>
      </c>
      <c r="E1188" t="inlineStr">
        <is>
          <t>KROKOM</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48777-2022</t>
        </is>
      </c>
      <c r="B1189" s="1" t="n">
        <v>44855</v>
      </c>
      <c r="C1189" s="1" t="n">
        <v>46160</v>
      </c>
      <c r="D1189" t="inlineStr">
        <is>
          <t>JÄMTLANDS LÄN</t>
        </is>
      </c>
      <c r="E1189" t="inlineStr">
        <is>
          <t>KROKOM</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54491-2022</t>
        </is>
      </c>
      <c r="B1190" s="1" t="n">
        <v>44880</v>
      </c>
      <c r="C1190" s="1" t="n">
        <v>46160</v>
      </c>
      <c r="D1190" t="inlineStr">
        <is>
          <t>JÄMTLANDS LÄN</t>
        </is>
      </c>
      <c r="E1190" t="inlineStr">
        <is>
          <t>KROKOM</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27178-2022</t>
        </is>
      </c>
      <c r="B1191" s="1" t="n">
        <v>44741</v>
      </c>
      <c r="C1191" s="1" t="n">
        <v>46160</v>
      </c>
      <c r="D1191" t="inlineStr">
        <is>
          <t>JÄMTLANDS LÄN</t>
        </is>
      </c>
      <c r="E1191" t="inlineStr">
        <is>
          <t>KROKOM</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16129-2025</t>
        </is>
      </c>
      <c r="B1192" s="1" t="n">
        <v>45750.42650462963</v>
      </c>
      <c r="C1192" s="1" t="n">
        <v>46160</v>
      </c>
      <c r="D1192" t="inlineStr">
        <is>
          <t>JÄMTLANDS LÄN</t>
        </is>
      </c>
      <c r="E1192" t="inlineStr">
        <is>
          <t>KROKOM</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16898-2026</t>
        </is>
      </c>
      <c r="B1193" s="1" t="n">
        <v>46113</v>
      </c>
      <c r="C1193" s="1" t="n">
        <v>46160</v>
      </c>
      <c r="D1193" t="inlineStr">
        <is>
          <t>JÄMTLANDS LÄN</t>
        </is>
      </c>
      <c r="E1193" t="inlineStr">
        <is>
          <t>KROKOM</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24402-2022</t>
        </is>
      </c>
      <c r="B1194" s="1" t="n">
        <v>44726</v>
      </c>
      <c r="C1194" s="1" t="n">
        <v>46160</v>
      </c>
      <c r="D1194" t="inlineStr">
        <is>
          <t>JÄMTLANDS LÄN</t>
        </is>
      </c>
      <c r="E1194" t="inlineStr">
        <is>
          <t>KROKOM</t>
        </is>
      </c>
      <c r="G1194" t="n">
        <v>13.3</v>
      </c>
      <c r="H1194" t="n">
        <v>0</v>
      </c>
      <c r="I1194" t="n">
        <v>0</v>
      </c>
      <c r="J1194" t="n">
        <v>0</v>
      </c>
      <c r="K1194" t="n">
        <v>0</v>
      </c>
      <c r="L1194" t="n">
        <v>0</v>
      </c>
      <c r="M1194" t="n">
        <v>0</v>
      </c>
      <c r="N1194" t="n">
        <v>0</v>
      </c>
      <c r="O1194" t="n">
        <v>0</v>
      </c>
      <c r="P1194" t="n">
        <v>0</v>
      </c>
      <c r="Q1194" t="n">
        <v>0</v>
      </c>
      <c r="R1194" s="2" t="inlineStr"/>
    </row>
    <row r="1195" ht="15" customHeight="1">
      <c r="A1195" t="inlineStr">
        <is>
          <t>A 8880-2025</t>
        </is>
      </c>
      <c r="B1195" s="1" t="n">
        <v>45713.38028935185</v>
      </c>
      <c r="C1195" s="1" t="n">
        <v>46160</v>
      </c>
      <c r="D1195" t="inlineStr">
        <is>
          <t>JÄMTLANDS LÄN</t>
        </is>
      </c>
      <c r="E1195" t="inlineStr">
        <is>
          <t>KROKOM</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6804-2025</t>
        </is>
      </c>
      <c r="B1196" s="1" t="n">
        <v>45700.6833912037</v>
      </c>
      <c r="C1196" s="1" t="n">
        <v>46160</v>
      </c>
      <c r="D1196" t="inlineStr">
        <is>
          <t>JÄMTLANDS LÄN</t>
        </is>
      </c>
      <c r="E1196" t="inlineStr">
        <is>
          <t>KROKOM</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15231-2025</t>
        </is>
      </c>
      <c r="B1197" s="1" t="n">
        <v>45744.59894675926</v>
      </c>
      <c r="C1197" s="1" t="n">
        <v>46160</v>
      </c>
      <c r="D1197" t="inlineStr">
        <is>
          <t>JÄMTLANDS LÄN</t>
        </is>
      </c>
      <c r="E1197" t="inlineStr">
        <is>
          <t>KROKOM</t>
        </is>
      </c>
      <c r="F1197" t="inlineStr">
        <is>
          <t>Övriga Aktiebolag</t>
        </is>
      </c>
      <c r="G1197" t="n">
        <v>11.8</v>
      </c>
      <c r="H1197" t="n">
        <v>0</v>
      </c>
      <c r="I1197" t="n">
        <v>0</v>
      </c>
      <c r="J1197" t="n">
        <v>0</v>
      </c>
      <c r="K1197" t="n">
        <v>0</v>
      </c>
      <c r="L1197" t="n">
        <v>0</v>
      </c>
      <c r="M1197" t="n">
        <v>0</v>
      </c>
      <c r="N1197" t="n">
        <v>0</v>
      </c>
      <c r="O1197" t="n">
        <v>0</v>
      </c>
      <c r="P1197" t="n">
        <v>0</v>
      </c>
      <c r="Q1197" t="n">
        <v>0</v>
      </c>
      <c r="R1197" s="2" t="inlineStr"/>
    </row>
    <row r="1198" ht="15" customHeight="1">
      <c r="A1198" t="inlineStr">
        <is>
          <t>A 64174-2023</t>
        </is>
      </c>
      <c r="B1198" s="1" t="n">
        <v>45279</v>
      </c>
      <c r="C1198" s="1" t="n">
        <v>46160</v>
      </c>
      <c r="D1198" t="inlineStr">
        <is>
          <t>JÄMTLANDS LÄN</t>
        </is>
      </c>
      <c r="E1198" t="inlineStr">
        <is>
          <t>KROKOM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59973-2023</t>
        </is>
      </c>
      <c r="B1199" s="1" t="n">
        <v>45257</v>
      </c>
      <c r="C1199" s="1" t="n">
        <v>46160</v>
      </c>
      <c r="D1199" t="inlineStr">
        <is>
          <t>JÄMTLANDS LÄN</t>
        </is>
      </c>
      <c r="E1199" t="inlineStr">
        <is>
          <t>KROKOM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57856-2023</t>
        </is>
      </c>
      <c r="B1200" s="1" t="n">
        <v>45247</v>
      </c>
      <c r="C1200" s="1" t="n">
        <v>46160</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9022-2025</t>
        </is>
      </c>
      <c r="B1201" s="1" t="n">
        <v>45713.59623842593</v>
      </c>
      <c r="C1201" s="1" t="n">
        <v>46160</v>
      </c>
      <c r="D1201" t="inlineStr">
        <is>
          <t>JÄMTLANDS LÄN</t>
        </is>
      </c>
      <c r="E1201" t="inlineStr">
        <is>
          <t>KROKOM</t>
        </is>
      </c>
      <c r="F1201" t="inlineStr">
        <is>
          <t>Övriga Aktiebolag</t>
        </is>
      </c>
      <c r="G1201" t="n">
        <v>29.9</v>
      </c>
      <c r="H1201" t="n">
        <v>0</v>
      </c>
      <c r="I1201" t="n">
        <v>0</v>
      </c>
      <c r="J1201" t="n">
        <v>0</v>
      </c>
      <c r="K1201" t="n">
        <v>0</v>
      </c>
      <c r="L1201" t="n">
        <v>0</v>
      </c>
      <c r="M1201" t="n">
        <v>0</v>
      </c>
      <c r="N1201" t="n">
        <v>0</v>
      </c>
      <c r="O1201" t="n">
        <v>0</v>
      </c>
      <c r="P1201" t="n">
        <v>0</v>
      </c>
      <c r="Q1201" t="n">
        <v>0</v>
      </c>
      <c r="R1201" s="2" t="inlineStr"/>
    </row>
    <row r="1202" ht="15" customHeight="1">
      <c r="A1202" t="inlineStr">
        <is>
          <t>A 30160-2022</t>
        </is>
      </c>
      <c r="B1202" s="1" t="n">
        <v>44757</v>
      </c>
      <c r="C1202" s="1" t="n">
        <v>46160</v>
      </c>
      <c r="D1202" t="inlineStr">
        <is>
          <t>JÄMTLANDS LÄN</t>
        </is>
      </c>
      <c r="E1202" t="inlineStr">
        <is>
          <t>KROKOM</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1852-2025</t>
        </is>
      </c>
      <c r="B1203" s="1" t="n">
        <v>45671.59114583334</v>
      </c>
      <c r="C1203" s="1" t="n">
        <v>46160</v>
      </c>
      <c r="D1203" t="inlineStr">
        <is>
          <t>JÄMTLANDS LÄN</t>
        </is>
      </c>
      <c r="E1203" t="inlineStr">
        <is>
          <t>KROKOM</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21990-2022</t>
        </is>
      </c>
      <c r="B1204" s="1" t="n">
        <v>44711</v>
      </c>
      <c r="C1204" s="1" t="n">
        <v>46160</v>
      </c>
      <c r="D1204" t="inlineStr">
        <is>
          <t>JÄMTLANDS LÄN</t>
        </is>
      </c>
      <c r="E1204" t="inlineStr">
        <is>
          <t>KROKOM</t>
        </is>
      </c>
      <c r="F1204" t="inlineStr">
        <is>
          <t>Övriga Aktiebolag</t>
        </is>
      </c>
      <c r="G1204" t="n">
        <v>26.3</v>
      </c>
      <c r="H1204" t="n">
        <v>0</v>
      </c>
      <c r="I1204" t="n">
        <v>0</v>
      </c>
      <c r="J1204" t="n">
        <v>0</v>
      </c>
      <c r="K1204" t="n">
        <v>0</v>
      </c>
      <c r="L1204" t="n">
        <v>0</v>
      </c>
      <c r="M1204" t="n">
        <v>0</v>
      </c>
      <c r="N1204" t="n">
        <v>0</v>
      </c>
      <c r="O1204" t="n">
        <v>0</v>
      </c>
      <c r="P1204" t="n">
        <v>0</v>
      </c>
      <c r="Q1204" t="n">
        <v>0</v>
      </c>
      <c r="R1204" s="2" t="inlineStr"/>
    </row>
    <row r="1205" ht="15" customHeight="1">
      <c r="A1205" t="inlineStr">
        <is>
          <t>A 10842-2024</t>
        </is>
      </c>
      <c r="B1205" s="1" t="n">
        <v>45369</v>
      </c>
      <c r="C1205" s="1" t="n">
        <v>46160</v>
      </c>
      <c r="D1205" t="inlineStr">
        <is>
          <t>JÄMTLANDS LÄN</t>
        </is>
      </c>
      <c r="E1205" t="inlineStr">
        <is>
          <t>KROKOM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63532-2023</t>
        </is>
      </c>
      <c r="B1206" s="1" t="n">
        <v>45274</v>
      </c>
      <c r="C1206" s="1" t="n">
        <v>46160</v>
      </c>
      <c r="D1206" t="inlineStr">
        <is>
          <t>JÄMTLANDS LÄN</t>
        </is>
      </c>
      <c r="E1206" t="inlineStr">
        <is>
          <t>KROKOM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47587-2023</t>
        </is>
      </c>
      <c r="B1207" s="1" t="n">
        <v>45203.44248842593</v>
      </c>
      <c r="C1207" s="1" t="n">
        <v>46160</v>
      </c>
      <c r="D1207" t="inlineStr">
        <is>
          <t>JÄMTLANDS LÄN</t>
        </is>
      </c>
      <c r="E1207" t="inlineStr">
        <is>
          <t>KROKOM</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39127-2023</t>
        </is>
      </c>
      <c r="B1208" s="1" t="n">
        <v>45165.70483796296</v>
      </c>
      <c r="C1208" s="1" t="n">
        <v>46160</v>
      </c>
      <c r="D1208" t="inlineStr">
        <is>
          <t>JÄMTLANDS LÄN</t>
        </is>
      </c>
      <c r="E1208" t="inlineStr">
        <is>
          <t>KROKOM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22890-2024</t>
        </is>
      </c>
      <c r="B1209" s="1" t="n">
        <v>45448.67574074074</v>
      </c>
      <c r="C1209" s="1" t="n">
        <v>46160</v>
      </c>
      <c r="D1209" t="inlineStr">
        <is>
          <t>JÄMTLANDS LÄN</t>
        </is>
      </c>
      <c r="E1209" t="inlineStr">
        <is>
          <t>KROKOM</t>
        </is>
      </c>
      <c r="F1209" t="inlineStr">
        <is>
          <t>Övriga Aktiebolag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46753-2022</t>
        </is>
      </c>
      <c r="B1210" s="1" t="n">
        <v>44847</v>
      </c>
      <c r="C1210" s="1" t="n">
        <v>46160</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46761-2022</t>
        </is>
      </c>
      <c r="B1211" s="1" t="n">
        <v>44847</v>
      </c>
      <c r="C1211" s="1" t="n">
        <v>46160</v>
      </c>
      <c r="D1211" t="inlineStr">
        <is>
          <t>JÄMTLANDS LÄN</t>
        </is>
      </c>
      <c r="E1211" t="inlineStr">
        <is>
          <t>KROKOM</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48417-2022</t>
        </is>
      </c>
      <c r="B1212" s="1" t="n">
        <v>44858</v>
      </c>
      <c r="C1212" s="1" t="n">
        <v>46160</v>
      </c>
      <c r="D1212" t="inlineStr">
        <is>
          <t>JÄMTLANDS LÄN</t>
        </is>
      </c>
      <c r="E1212" t="inlineStr">
        <is>
          <t>KROKOM</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42369-2023</t>
        </is>
      </c>
      <c r="B1213" s="1" t="n">
        <v>45180</v>
      </c>
      <c r="C1213" s="1" t="n">
        <v>46160</v>
      </c>
      <c r="D1213" t="inlineStr">
        <is>
          <t>JÄMTLANDS LÄN</t>
        </is>
      </c>
      <c r="E1213" t="inlineStr">
        <is>
          <t>KROKOM</t>
        </is>
      </c>
      <c r="F1213" t="inlineStr">
        <is>
          <t>Övriga Aktiebolag</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16225-2025</t>
        </is>
      </c>
      <c r="B1214" s="1" t="n">
        <v>45750.6447800926</v>
      </c>
      <c r="C1214" s="1" t="n">
        <v>46160</v>
      </c>
      <c r="D1214" t="inlineStr">
        <is>
          <t>JÄMTLANDS LÄN</t>
        </is>
      </c>
      <c r="E1214" t="inlineStr">
        <is>
          <t>KROKOM</t>
        </is>
      </c>
      <c r="F1214" t="inlineStr">
        <is>
          <t>Övriga Aktiebolag</t>
        </is>
      </c>
      <c r="G1214" t="n">
        <v>11.5</v>
      </c>
      <c r="H1214" t="n">
        <v>0</v>
      </c>
      <c r="I1214" t="n">
        <v>0</v>
      </c>
      <c r="J1214" t="n">
        <v>0</v>
      </c>
      <c r="K1214" t="n">
        <v>0</v>
      </c>
      <c r="L1214" t="n">
        <v>0</v>
      </c>
      <c r="M1214" t="n">
        <v>0</v>
      </c>
      <c r="N1214" t="n">
        <v>0</v>
      </c>
      <c r="O1214" t="n">
        <v>0</v>
      </c>
      <c r="P1214" t="n">
        <v>0</v>
      </c>
      <c r="Q1214" t="n">
        <v>0</v>
      </c>
      <c r="R1214" s="2" t="inlineStr"/>
    </row>
    <row r="1215" ht="15" customHeight="1">
      <c r="A1215" t="inlineStr">
        <is>
          <t>A 17510-2025</t>
        </is>
      </c>
      <c r="B1215" s="1" t="n">
        <v>45757.56491898148</v>
      </c>
      <c r="C1215" s="1" t="n">
        <v>46160</v>
      </c>
      <c r="D1215" t="inlineStr">
        <is>
          <t>JÄMTLANDS LÄN</t>
        </is>
      </c>
      <c r="E1215" t="inlineStr">
        <is>
          <t>KROKOM</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15885-2023</t>
        </is>
      </c>
      <c r="B1216" s="1" t="n">
        <v>45022</v>
      </c>
      <c r="C1216" s="1" t="n">
        <v>46160</v>
      </c>
      <c r="D1216" t="inlineStr">
        <is>
          <t>JÄMTLANDS LÄN</t>
        </is>
      </c>
      <c r="E1216" t="inlineStr">
        <is>
          <t>KROKOM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46160</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7763-2024</t>
        </is>
      </c>
      <c r="B1218" s="1" t="n">
        <v>45348</v>
      </c>
      <c r="C1218" s="1" t="n">
        <v>46160</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42398-2024</t>
        </is>
      </c>
      <c r="B1219" s="1" t="n">
        <v>45565.33152777778</v>
      </c>
      <c r="C1219" s="1" t="n">
        <v>46160</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34720-2023</t>
        </is>
      </c>
      <c r="B1220" s="1" t="n">
        <v>45139</v>
      </c>
      <c r="C1220" s="1" t="n">
        <v>46160</v>
      </c>
      <c r="D1220" t="inlineStr">
        <is>
          <t>JÄMTLANDS LÄN</t>
        </is>
      </c>
      <c r="E1220" t="inlineStr">
        <is>
          <t>KROKOM</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72064-2021</t>
        </is>
      </c>
      <c r="B1221" s="1" t="n">
        <v>44544.49326388889</v>
      </c>
      <c r="C1221" s="1" t="n">
        <v>46160</v>
      </c>
      <c r="D1221" t="inlineStr">
        <is>
          <t>JÄMTLANDS LÄN</t>
        </is>
      </c>
      <c r="E1221" t="inlineStr">
        <is>
          <t>KROKOM</t>
        </is>
      </c>
      <c r="G1221" t="n">
        <v>18.7</v>
      </c>
      <c r="H1221" t="n">
        <v>0</v>
      </c>
      <c r="I1221" t="n">
        <v>0</v>
      </c>
      <c r="J1221" t="n">
        <v>0</v>
      </c>
      <c r="K1221" t="n">
        <v>0</v>
      </c>
      <c r="L1221" t="n">
        <v>0</v>
      </c>
      <c r="M1221" t="n">
        <v>0</v>
      </c>
      <c r="N1221" t="n">
        <v>0</v>
      </c>
      <c r="O1221" t="n">
        <v>0</v>
      </c>
      <c r="P1221" t="n">
        <v>0</v>
      </c>
      <c r="Q1221" t="n">
        <v>0</v>
      </c>
      <c r="R1221" s="2" t="inlineStr"/>
    </row>
    <row r="1222" ht="15" customHeight="1">
      <c r="A1222" t="inlineStr">
        <is>
          <t>A 25428-2022</t>
        </is>
      </c>
      <c r="B1222" s="1" t="n">
        <v>44732</v>
      </c>
      <c r="C1222" s="1" t="n">
        <v>46160</v>
      </c>
      <c r="D1222" t="inlineStr">
        <is>
          <t>JÄMTLANDS LÄN</t>
        </is>
      </c>
      <c r="E1222" t="inlineStr">
        <is>
          <t>KROKOM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50302-2022</t>
        </is>
      </c>
      <c r="B1223" s="1" t="n">
        <v>44865</v>
      </c>
      <c r="C1223" s="1" t="n">
        <v>46160</v>
      </c>
      <c r="D1223" t="inlineStr">
        <is>
          <t>JÄMTLANDS LÄN</t>
        </is>
      </c>
      <c r="E1223" t="inlineStr">
        <is>
          <t>KROKOM</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52240-2024</t>
        </is>
      </c>
      <c r="B1224" s="1" t="n">
        <v>45608.61923611111</v>
      </c>
      <c r="C1224" s="1" t="n">
        <v>46160</v>
      </c>
      <c r="D1224" t="inlineStr">
        <is>
          <t>JÄMTLANDS LÄN</t>
        </is>
      </c>
      <c r="E1224" t="inlineStr">
        <is>
          <t>KROKOM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50129-2024</t>
        </is>
      </c>
      <c r="B1225" s="1" t="n">
        <v>45600.433125</v>
      </c>
      <c r="C1225" s="1" t="n">
        <v>46160</v>
      </c>
      <c r="D1225" t="inlineStr">
        <is>
          <t>JÄMTLANDS LÄN</t>
        </is>
      </c>
      <c r="E1225" t="inlineStr">
        <is>
          <t>KROKOM</t>
        </is>
      </c>
      <c r="F1225" t="inlineStr">
        <is>
          <t>Övriga Aktiebolag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6991-2025</t>
        </is>
      </c>
      <c r="B1226" s="1" t="n">
        <v>45701.57363425926</v>
      </c>
      <c r="C1226" s="1" t="n">
        <v>46160</v>
      </c>
      <c r="D1226" t="inlineStr">
        <is>
          <t>JÄMTLANDS LÄN</t>
        </is>
      </c>
      <c r="E1226" t="inlineStr">
        <is>
          <t>KROKOM</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23832-2021</t>
        </is>
      </c>
      <c r="B1227" s="1" t="n">
        <v>44335</v>
      </c>
      <c r="C1227" s="1" t="n">
        <v>46160</v>
      </c>
      <c r="D1227" t="inlineStr">
        <is>
          <t>JÄMTLANDS LÄN</t>
        </is>
      </c>
      <c r="E1227" t="inlineStr">
        <is>
          <t>KROKOM</t>
        </is>
      </c>
      <c r="G1227" t="n">
        <v>20</v>
      </c>
      <c r="H1227" t="n">
        <v>0</v>
      </c>
      <c r="I1227" t="n">
        <v>0</v>
      </c>
      <c r="J1227" t="n">
        <v>0</v>
      </c>
      <c r="K1227" t="n">
        <v>0</v>
      </c>
      <c r="L1227" t="n">
        <v>0</v>
      </c>
      <c r="M1227" t="n">
        <v>0</v>
      </c>
      <c r="N1227" t="n">
        <v>0</v>
      </c>
      <c r="O1227" t="n">
        <v>0</v>
      </c>
      <c r="P1227" t="n">
        <v>0</v>
      </c>
      <c r="Q1227" t="n">
        <v>0</v>
      </c>
      <c r="R1227" s="2" t="inlineStr"/>
    </row>
    <row r="1228" ht="15" customHeight="1">
      <c r="A1228" t="inlineStr">
        <is>
          <t>A 52268-2022</t>
        </is>
      </c>
      <c r="B1228" s="1" t="n">
        <v>44873</v>
      </c>
      <c r="C1228" s="1" t="n">
        <v>46160</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c r="U1228">
        <f>HYPERLINK("https://klasma.github.io/Logging_2309/knärot/A 52268-2022 karta knärot.png", "A 52268-2022")</f>
        <v/>
      </c>
      <c r="V1228">
        <f>HYPERLINK("https://klasma.github.io/Logging_2309/klagomål/A 52268-2022 FSC-klagomål.docx", "A 52268-2022")</f>
        <v/>
      </c>
      <c r="W1228">
        <f>HYPERLINK("https://klasma.github.io/Logging_2309/klagomålsmail/A 52268-2022 FSC-klagomål mail.docx", "A 52268-2022")</f>
        <v/>
      </c>
      <c r="X1228">
        <f>HYPERLINK("https://klasma.github.io/Logging_2309/tillsyn/A 52268-2022 tillsynsbegäran.docx", "A 52268-2022")</f>
        <v/>
      </c>
      <c r="Y1228">
        <f>HYPERLINK("https://klasma.github.io/Logging_2309/tillsynsmail/A 52268-2022 tillsynsbegäran mail.docx", "A 52268-2022")</f>
        <v/>
      </c>
    </row>
    <row r="1229" ht="15" customHeight="1">
      <c r="A1229" t="inlineStr">
        <is>
          <t>A 58313-2022</t>
        </is>
      </c>
      <c r="B1229" s="1" t="n">
        <v>44901.54615740741</v>
      </c>
      <c r="C1229" s="1" t="n">
        <v>46160</v>
      </c>
      <c r="D1229" t="inlineStr">
        <is>
          <t>JÄMTLANDS LÄN</t>
        </is>
      </c>
      <c r="E1229" t="inlineStr">
        <is>
          <t>KROKOM</t>
        </is>
      </c>
      <c r="F1229" t="inlineStr">
        <is>
          <t>Övriga Aktiebolag</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15876-2025</t>
        </is>
      </c>
      <c r="B1230" s="1" t="n">
        <v>45749.38379629629</v>
      </c>
      <c r="C1230" s="1" t="n">
        <v>46160</v>
      </c>
      <c r="D1230" t="inlineStr">
        <is>
          <t>JÄMTLANDS LÄN</t>
        </is>
      </c>
      <c r="E1230" t="inlineStr">
        <is>
          <t>KROKOM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46644-2022</t>
        </is>
      </c>
      <c r="B1231" s="1" t="n">
        <v>44849.8044212963</v>
      </c>
      <c r="C1231" s="1" t="n">
        <v>46160</v>
      </c>
      <c r="D1231" t="inlineStr">
        <is>
          <t>JÄMTLANDS LÄN</t>
        </is>
      </c>
      <c r="E1231" t="inlineStr">
        <is>
          <t>KROKOM</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41439-2024</t>
        </is>
      </c>
      <c r="B1232" s="1" t="n">
        <v>45560.38056712963</v>
      </c>
      <c r="C1232" s="1" t="n">
        <v>46160</v>
      </c>
      <c r="D1232" t="inlineStr">
        <is>
          <t>JÄMTLANDS LÄN</t>
        </is>
      </c>
      <c r="E1232" t="inlineStr">
        <is>
          <t>KROKOM</t>
        </is>
      </c>
      <c r="F1232" t="inlineStr">
        <is>
          <t>Övriga Aktiebolag</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30728-2022</t>
        </is>
      </c>
      <c r="B1233" s="1" t="n">
        <v>44764</v>
      </c>
      <c r="C1233" s="1" t="n">
        <v>46160</v>
      </c>
      <c r="D1233" t="inlineStr">
        <is>
          <t>JÄMTLANDS LÄN</t>
        </is>
      </c>
      <c r="E1233" t="inlineStr">
        <is>
          <t>KROKOM</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30729-2022</t>
        </is>
      </c>
      <c r="B1234" s="1" t="n">
        <v>44764</v>
      </c>
      <c r="C1234" s="1" t="n">
        <v>46160</v>
      </c>
      <c r="D1234" t="inlineStr">
        <is>
          <t>JÄMTLANDS LÄN</t>
        </is>
      </c>
      <c r="E1234" t="inlineStr">
        <is>
          <t>KROKOM</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53771-2022</t>
        </is>
      </c>
      <c r="B1235" s="1" t="n">
        <v>44875</v>
      </c>
      <c r="C1235" s="1" t="n">
        <v>46160</v>
      </c>
      <c r="D1235" t="inlineStr">
        <is>
          <t>JÄMTLANDS LÄN</t>
        </is>
      </c>
      <c r="E1235" t="inlineStr">
        <is>
          <t>KROKOM</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7630-2023</t>
        </is>
      </c>
      <c r="B1236" s="1" t="n">
        <v>44972.55690972223</v>
      </c>
      <c r="C1236" s="1" t="n">
        <v>46160</v>
      </c>
      <c r="D1236" t="inlineStr">
        <is>
          <t>JÄMTLANDS LÄN</t>
        </is>
      </c>
      <c r="E1236" t="inlineStr">
        <is>
          <t>KROKOM</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26414-2024</t>
        </is>
      </c>
      <c r="B1237" s="1" t="n">
        <v>45469</v>
      </c>
      <c r="C1237" s="1" t="n">
        <v>46160</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40394-2024</t>
        </is>
      </c>
      <c r="B1238" s="1" t="n">
        <v>45555.43584490741</v>
      </c>
      <c r="C1238" s="1" t="n">
        <v>46160</v>
      </c>
      <c r="D1238" t="inlineStr">
        <is>
          <t>JÄMTLANDS LÄN</t>
        </is>
      </c>
      <c r="E1238" t="inlineStr">
        <is>
          <t>KROKOM</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50270-2023</t>
        </is>
      </c>
      <c r="B1239" s="1" t="n">
        <v>45216.3965625</v>
      </c>
      <c r="C1239" s="1" t="n">
        <v>46160</v>
      </c>
      <c r="D1239" t="inlineStr">
        <is>
          <t>JÄMTLANDS LÄN</t>
        </is>
      </c>
      <c r="E1239" t="inlineStr">
        <is>
          <t>KROKOM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57514-2023</t>
        </is>
      </c>
      <c r="B1240" s="1" t="n">
        <v>45246</v>
      </c>
      <c r="C1240" s="1" t="n">
        <v>46160</v>
      </c>
      <c r="D1240" t="inlineStr">
        <is>
          <t>JÄMTLANDS LÄN</t>
        </is>
      </c>
      <c r="E1240" t="inlineStr">
        <is>
          <t>KROKOM</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65236-2023</t>
        </is>
      </c>
      <c r="B1241" s="1" t="n">
        <v>45289</v>
      </c>
      <c r="C1241" s="1" t="n">
        <v>46160</v>
      </c>
      <c r="D1241" t="inlineStr">
        <is>
          <t>JÄMTLANDS LÄN</t>
        </is>
      </c>
      <c r="E1241" t="inlineStr">
        <is>
          <t>KROKOM</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12471-2024</t>
        </is>
      </c>
      <c r="B1242" s="1" t="n">
        <v>45378</v>
      </c>
      <c r="C1242" s="1" t="n">
        <v>46160</v>
      </c>
      <c r="D1242" t="inlineStr">
        <is>
          <t>JÄMTLANDS LÄN</t>
        </is>
      </c>
      <c r="E1242" t="inlineStr">
        <is>
          <t>KROKOM</t>
        </is>
      </c>
      <c r="G1242" t="n">
        <v>20.2</v>
      </c>
      <c r="H1242" t="n">
        <v>0</v>
      </c>
      <c r="I1242" t="n">
        <v>0</v>
      </c>
      <c r="J1242" t="n">
        <v>0</v>
      </c>
      <c r="K1242" t="n">
        <v>0</v>
      </c>
      <c r="L1242" t="n">
        <v>0</v>
      </c>
      <c r="M1242" t="n">
        <v>0</v>
      </c>
      <c r="N1242" t="n">
        <v>0</v>
      </c>
      <c r="O1242" t="n">
        <v>0</v>
      </c>
      <c r="P1242" t="n">
        <v>0</v>
      </c>
      <c r="Q1242" t="n">
        <v>0</v>
      </c>
      <c r="R1242" s="2" t="inlineStr"/>
    </row>
    <row r="1243" ht="15" customHeight="1">
      <c r="A1243" t="inlineStr">
        <is>
          <t>A 41971-2024</t>
        </is>
      </c>
      <c r="B1243" s="1" t="n">
        <v>45561.61509259259</v>
      </c>
      <c r="C1243" s="1" t="n">
        <v>46160</v>
      </c>
      <c r="D1243" t="inlineStr">
        <is>
          <t>JÄMTLANDS LÄN</t>
        </is>
      </c>
      <c r="E1243" t="inlineStr">
        <is>
          <t>KROKOM</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17591-2023</t>
        </is>
      </c>
      <c r="B1244" s="1" t="n">
        <v>45036</v>
      </c>
      <c r="C1244" s="1" t="n">
        <v>46160</v>
      </c>
      <c r="D1244" t="inlineStr">
        <is>
          <t>JÄMTLANDS LÄN</t>
        </is>
      </c>
      <c r="E1244" t="inlineStr">
        <is>
          <t>KROKOM</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17594-2023</t>
        </is>
      </c>
      <c r="B1245" s="1" t="n">
        <v>45036</v>
      </c>
      <c r="C1245" s="1" t="n">
        <v>46160</v>
      </c>
      <c r="D1245" t="inlineStr">
        <is>
          <t>JÄMTLANDS LÄN</t>
        </is>
      </c>
      <c r="E1245" t="inlineStr">
        <is>
          <t>KROKOM</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50951-2024</t>
        </is>
      </c>
      <c r="B1246" s="1" t="n">
        <v>45603.28460648148</v>
      </c>
      <c r="C1246" s="1" t="n">
        <v>46160</v>
      </c>
      <c r="D1246" t="inlineStr">
        <is>
          <t>JÄMTLANDS LÄN</t>
        </is>
      </c>
      <c r="E1246" t="inlineStr">
        <is>
          <t>KROKOM</t>
        </is>
      </c>
      <c r="F1246" t="inlineStr">
        <is>
          <t>SCA</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52666-2024</t>
        </is>
      </c>
      <c r="B1247" s="1" t="n">
        <v>45610.36561342593</v>
      </c>
      <c r="C1247" s="1" t="n">
        <v>46160</v>
      </c>
      <c r="D1247" t="inlineStr">
        <is>
          <t>JÄMTLANDS LÄN</t>
        </is>
      </c>
      <c r="E1247" t="inlineStr">
        <is>
          <t>KROKOM</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53916-2023</t>
        </is>
      </c>
      <c r="B1248" s="1" t="n">
        <v>45231</v>
      </c>
      <c r="C1248" s="1" t="n">
        <v>46160</v>
      </c>
      <c r="D1248" t="inlineStr">
        <is>
          <t>JÄMTLANDS LÄN</t>
        </is>
      </c>
      <c r="E1248" t="inlineStr">
        <is>
          <t>KROKOM</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58390-2021</t>
        </is>
      </c>
      <c r="B1249" s="1" t="n">
        <v>44488.47928240741</v>
      </c>
      <c r="C1249" s="1" t="n">
        <v>46160</v>
      </c>
      <c r="D1249" t="inlineStr">
        <is>
          <t>JÄMTLANDS LÄN</t>
        </is>
      </c>
      <c r="E1249" t="inlineStr">
        <is>
          <t>KROKOM</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29224-2023</t>
        </is>
      </c>
      <c r="B1250" s="1" t="n">
        <v>45097</v>
      </c>
      <c r="C1250" s="1" t="n">
        <v>46160</v>
      </c>
      <c r="D1250" t="inlineStr">
        <is>
          <t>JÄMTLANDS LÄN</t>
        </is>
      </c>
      <c r="E1250" t="inlineStr">
        <is>
          <t>KROKOM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52869-2023</t>
        </is>
      </c>
      <c r="B1251" s="1" t="n">
        <v>45226</v>
      </c>
      <c r="C1251" s="1" t="n">
        <v>46160</v>
      </c>
      <c r="D1251" t="inlineStr">
        <is>
          <t>JÄMTLANDS LÄN</t>
        </is>
      </c>
      <c r="E1251" t="inlineStr">
        <is>
          <t>KROKOM</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5722-2023</t>
        </is>
      </c>
      <c r="B1252" s="1" t="n">
        <v>44961</v>
      </c>
      <c r="C1252" s="1" t="n">
        <v>46160</v>
      </c>
      <c r="D1252" t="inlineStr">
        <is>
          <t>JÄMTLANDS LÄN</t>
        </is>
      </c>
      <c r="E1252" t="inlineStr">
        <is>
          <t>KROKOM</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36567-2021</t>
        </is>
      </c>
      <c r="B1253" s="1" t="n">
        <v>44391</v>
      </c>
      <c r="C1253" s="1" t="n">
        <v>46160</v>
      </c>
      <c r="D1253" t="inlineStr">
        <is>
          <t>JÄMTLANDS LÄN</t>
        </is>
      </c>
      <c r="E1253" t="inlineStr">
        <is>
          <t>KROKOM</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29936-2023</t>
        </is>
      </c>
      <c r="B1254" s="1" t="n">
        <v>45107</v>
      </c>
      <c r="C1254" s="1" t="n">
        <v>46160</v>
      </c>
      <c r="D1254" t="inlineStr">
        <is>
          <t>JÄMTLANDS LÄN</t>
        </is>
      </c>
      <c r="E1254" t="inlineStr">
        <is>
          <t>KROKOM</t>
        </is>
      </c>
      <c r="G1254" t="n">
        <v>77.40000000000001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55043-2024</t>
        </is>
      </c>
      <c r="B1255" s="1" t="n">
        <v>45621</v>
      </c>
      <c r="C1255" s="1" t="n">
        <v>46160</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60173-2024</t>
        </is>
      </c>
      <c r="B1256" s="1" t="n">
        <v>45642.63666666667</v>
      </c>
      <c r="C1256" s="1" t="n">
        <v>46160</v>
      </c>
      <c r="D1256" t="inlineStr">
        <is>
          <t>JÄMTLANDS LÄN</t>
        </is>
      </c>
      <c r="E1256" t="inlineStr">
        <is>
          <t>KROKOM</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42439-2023</t>
        </is>
      </c>
      <c r="B1257" s="1" t="n">
        <v>45180.6391087963</v>
      </c>
      <c r="C1257" s="1" t="n">
        <v>46160</v>
      </c>
      <c r="D1257" t="inlineStr">
        <is>
          <t>JÄMTLANDS LÄN</t>
        </is>
      </c>
      <c r="E1257" t="inlineStr">
        <is>
          <t>KROKOM</t>
        </is>
      </c>
      <c r="F1257" t="inlineStr">
        <is>
          <t>Övriga Aktiebolag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51939-2024</t>
        </is>
      </c>
      <c r="B1258" s="1" t="n">
        <v>45607.63211805555</v>
      </c>
      <c r="C1258" s="1" t="n">
        <v>46160</v>
      </c>
      <c r="D1258" t="inlineStr">
        <is>
          <t>JÄMTLANDS LÄN</t>
        </is>
      </c>
      <c r="E1258" t="inlineStr">
        <is>
          <t>KROKOM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36491-2021</t>
        </is>
      </c>
      <c r="B1259" s="1" t="n">
        <v>44390</v>
      </c>
      <c r="C1259" s="1" t="n">
        <v>46160</v>
      </c>
      <c r="D1259" t="inlineStr">
        <is>
          <t>JÄMTLANDS LÄN</t>
        </is>
      </c>
      <c r="E1259" t="inlineStr">
        <is>
          <t>KROKOM</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50881-2024</t>
        </is>
      </c>
      <c r="B1260" s="1" t="n">
        <v>45602.65599537037</v>
      </c>
      <c r="C1260" s="1" t="n">
        <v>46160</v>
      </c>
      <c r="D1260" t="inlineStr">
        <is>
          <t>JÄMTLANDS LÄN</t>
        </is>
      </c>
      <c r="E1260" t="inlineStr">
        <is>
          <t>KROKOM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46061-2023</t>
        </is>
      </c>
      <c r="B1261" s="1" t="n">
        <v>45190</v>
      </c>
      <c r="C1261" s="1" t="n">
        <v>46160</v>
      </c>
      <c r="D1261" t="inlineStr">
        <is>
          <t>JÄMTLANDS LÄN</t>
        </is>
      </c>
      <c r="E1261" t="inlineStr">
        <is>
          <t>KROKOM</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19478-2023</t>
        </is>
      </c>
      <c r="B1262" s="1" t="n">
        <v>45050</v>
      </c>
      <c r="C1262" s="1" t="n">
        <v>46160</v>
      </c>
      <c r="D1262" t="inlineStr">
        <is>
          <t>JÄMTLANDS LÄN</t>
        </is>
      </c>
      <c r="E1262" t="inlineStr">
        <is>
          <t>KROKOM</t>
        </is>
      </c>
      <c r="F1262" t="inlineStr">
        <is>
          <t>Övriga Aktiebolag</t>
        </is>
      </c>
      <c r="G1262" t="n">
        <v>22.2</v>
      </c>
      <c r="H1262" t="n">
        <v>0</v>
      </c>
      <c r="I1262" t="n">
        <v>0</v>
      </c>
      <c r="J1262" t="n">
        <v>0</v>
      </c>
      <c r="K1262" t="n">
        <v>0</v>
      </c>
      <c r="L1262" t="n">
        <v>0</v>
      </c>
      <c r="M1262" t="n">
        <v>0</v>
      </c>
      <c r="N1262" t="n">
        <v>0</v>
      </c>
      <c r="O1262" t="n">
        <v>0</v>
      </c>
      <c r="P1262" t="n">
        <v>0</v>
      </c>
      <c r="Q1262" t="n">
        <v>0</v>
      </c>
      <c r="R1262" s="2" t="inlineStr"/>
    </row>
    <row r="1263" ht="15" customHeight="1">
      <c r="A1263" t="inlineStr">
        <is>
          <t>A 23319-2024</t>
        </is>
      </c>
      <c r="B1263" s="1" t="n">
        <v>45453.45515046296</v>
      </c>
      <c r="C1263" s="1" t="n">
        <v>46160</v>
      </c>
      <c r="D1263" t="inlineStr">
        <is>
          <t>JÄMTLANDS LÄN</t>
        </is>
      </c>
      <c r="E1263" t="inlineStr">
        <is>
          <t>KROKOM</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20982-2023</t>
        </is>
      </c>
      <c r="B1264" s="1" t="n">
        <v>45056</v>
      </c>
      <c r="C1264" s="1" t="n">
        <v>46160</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50822-2024</t>
        </is>
      </c>
      <c r="B1265" s="1" t="n">
        <v>45602.57827546296</v>
      </c>
      <c r="C1265" s="1" t="n">
        <v>46160</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10588-2025</t>
        </is>
      </c>
      <c r="B1266" s="1" t="n">
        <v>45721.55653935186</v>
      </c>
      <c r="C1266" s="1" t="n">
        <v>46160</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44453-2023</t>
        </is>
      </c>
      <c r="B1267" s="1" t="n">
        <v>45189</v>
      </c>
      <c r="C1267" s="1" t="n">
        <v>46160</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23215-2024</t>
        </is>
      </c>
      <c r="B1268" s="1" t="n">
        <v>45452.56446759259</v>
      </c>
      <c r="C1268" s="1" t="n">
        <v>46160</v>
      </c>
      <c r="D1268" t="inlineStr">
        <is>
          <t>JÄMTLANDS LÄN</t>
        </is>
      </c>
      <c r="E1268" t="inlineStr">
        <is>
          <t>KROKOM</t>
        </is>
      </c>
      <c r="F1268" t="inlineStr">
        <is>
          <t>Övriga Aktiebolag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3329-2025</t>
        </is>
      </c>
      <c r="B1269" s="1" t="n">
        <v>45679.70027777777</v>
      </c>
      <c r="C1269" s="1" t="n">
        <v>46160</v>
      </c>
      <c r="D1269" t="inlineStr">
        <is>
          <t>JÄMTLANDS LÄN</t>
        </is>
      </c>
      <c r="E1269" t="inlineStr">
        <is>
          <t>KROKOM</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50255-2024</t>
        </is>
      </c>
      <c r="B1270" s="1" t="n">
        <v>45600.58076388889</v>
      </c>
      <c r="C1270" s="1" t="n">
        <v>46160</v>
      </c>
      <c r="D1270" t="inlineStr">
        <is>
          <t>JÄMTLANDS LÄN</t>
        </is>
      </c>
      <c r="E1270" t="inlineStr">
        <is>
          <t>KROKOM</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41700-2024</t>
        </is>
      </c>
      <c r="B1271" s="1" t="n">
        <v>45560.69164351852</v>
      </c>
      <c r="C1271" s="1" t="n">
        <v>46160</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59668-2022</t>
        </is>
      </c>
      <c r="B1272" s="1" t="n">
        <v>44908</v>
      </c>
      <c r="C1272" s="1" t="n">
        <v>46160</v>
      </c>
      <c r="D1272" t="inlineStr">
        <is>
          <t>JÄMTLANDS LÄN</t>
        </is>
      </c>
      <c r="E1272" t="inlineStr">
        <is>
          <t>KROKOM</t>
        </is>
      </c>
      <c r="F1272" t="inlineStr">
        <is>
          <t>Övriga Aktiebolag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47098-2024</t>
        </is>
      </c>
      <c r="B1273" s="1" t="n">
        <v>45586.53618055556</v>
      </c>
      <c r="C1273" s="1" t="n">
        <v>46160</v>
      </c>
      <c r="D1273" t="inlineStr">
        <is>
          <t>JÄMTLANDS LÄN</t>
        </is>
      </c>
      <c r="E1273" t="inlineStr">
        <is>
          <t>KROKOM</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24484-2024</t>
        </is>
      </c>
      <c r="B1274" s="1" t="n">
        <v>45459.55150462963</v>
      </c>
      <c r="C1274" s="1" t="n">
        <v>46160</v>
      </c>
      <c r="D1274" t="inlineStr">
        <is>
          <t>JÄMTLANDS LÄN</t>
        </is>
      </c>
      <c r="E1274" t="inlineStr">
        <is>
          <t>KROKOM</t>
        </is>
      </c>
      <c r="F1274" t="inlineStr">
        <is>
          <t>Övriga Aktiebolag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52213-2024</t>
        </is>
      </c>
      <c r="B1275" s="1" t="n">
        <v>45607</v>
      </c>
      <c r="C1275" s="1" t="n">
        <v>46160</v>
      </c>
      <c r="D1275" t="inlineStr">
        <is>
          <t>JÄMTLANDS LÄN</t>
        </is>
      </c>
      <c r="E1275" t="inlineStr">
        <is>
          <t>KROKOM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30016-2024</t>
        </is>
      </c>
      <c r="B1276" s="1" t="n">
        <v>45485</v>
      </c>
      <c r="C1276" s="1" t="n">
        <v>46160</v>
      </c>
      <c r="D1276" t="inlineStr">
        <is>
          <t>JÄMTLANDS LÄN</t>
        </is>
      </c>
      <c r="E1276" t="inlineStr">
        <is>
          <t>KROKOM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826-2025</t>
        </is>
      </c>
      <c r="B1277" s="1" t="n">
        <v>45665.57373842593</v>
      </c>
      <c r="C1277" s="1" t="n">
        <v>46160</v>
      </c>
      <c r="D1277" t="inlineStr">
        <is>
          <t>JÄMTLANDS LÄN</t>
        </is>
      </c>
      <c r="E1277" t="inlineStr">
        <is>
          <t>KROKOM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19634-2025</t>
        </is>
      </c>
      <c r="B1278" s="1" t="n">
        <v>45770.64677083334</v>
      </c>
      <c r="C1278" s="1" t="n">
        <v>46160</v>
      </c>
      <c r="D1278" t="inlineStr">
        <is>
          <t>JÄMTLANDS LÄN</t>
        </is>
      </c>
      <c r="E1278" t="inlineStr">
        <is>
          <t>KROKOM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53825-2024</t>
        </is>
      </c>
      <c r="B1279" s="1" t="n">
        <v>45615.61121527778</v>
      </c>
      <c r="C1279" s="1" t="n">
        <v>46160</v>
      </c>
      <c r="D1279" t="inlineStr">
        <is>
          <t>JÄMTLANDS LÄN</t>
        </is>
      </c>
      <c r="E1279" t="inlineStr">
        <is>
          <t>KROKOM</t>
        </is>
      </c>
      <c r="F1279" t="inlineStr">
        <is>
          <t>Övriga Aktiebolag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52237-2024</t>
        </is>
      </c>
      <c r="B1280" s="1" t="n">
        <v>45608.61606481481</v>
      </c>
      <c r="C1280" s="1" t="n">
        <v>46160</v>
      </c>
      <c r="D1280" t="inlineStr">
        <is>
          <t>JÄMTLANDS LÄN</t>
        </is>
      </c>
      <c r="E1280" t="inlineStr">
        <is>
          <t>KROKOM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48560-2024</t>
        </is>
      </c>
      <c r="B1281" s="1" t="n">
        <v>45593.38568287037</v>
      </c>
      <c r="C1281" s="1" t="n">
        <v>46160</v>
      </c>
      <c r="D1281" t="inlineStr">
        <is>
          <t>JÄMTLANDS LÄN</t>
        </is>
      </c>
      <c r="E1281" t="inlineStr">
        <is>
          <t>KROKOM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44594-2023</t>
        </is>
      </c>
      <c r="B1282" s="1" t="n">
        <v>45189.60987268519</v>
      </c>
      <c r="C1282" s="1" t="n">
        <v>46160</v>
      </c>
      <c r="D1282" t="inlineStr">
        <is>
          <t>JÄMTLANDS LÄN</t>
        </is>
      </c>
      <c r="E1282" t="inlineStr">
        <is>
          <t>KROKOM</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61776-2024</t>
        </is>
      </c>
      <c r="B1283" s="1" t="n">
        <v>45649.4634375</v>
      </c>
      <c r="C1283" s="1" t="n">
        <v>46160</v>
      </c>
      <c r="D1283" t="inlineStr">
        <is>
          <t>JÄMTLANDS LÄN</t>
        </is>
      </c>
      <c r="E1283" t="inlineStr">
        <is>
          <t>KROKOM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60491-2024</t>
        </is>
      </c>
      <c r="B1284" s="1" t="n">
        <v>45643.65354166667</v>
      </c>
      <c r="C1284" s="1" t="n">
        <v>46160</v>
      </c>
      <c r="D1284" t="inlineStr">
        <is>
          <t>JÄMTLANDS LÄN</t>
        </is>
      </c>
      <c r="E1284" t="inlineStr">
        <is>
          <t>KROKOM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57575-2024</t>
        </is>
      </c>
      <c r="B1285" s="1" t="n">
        <v>45630.47099537037</v>
      </c>
      <c r="C1285" s="1" t="n">
        <v>46160</v>
      </c>
      <c r="D1285" t="inlineStr">
        <is>
          <t>JÄMTLANDS LÄN</t>
        </is>
      </c>
      <c r="E1285" t="inlineStr">
        <is>
          <t>KROKOM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2257-2024</t>
        </is>
      </c>
      <c r="B1286" s="1" t="n">
        <v>45310</v>
      </c>
      <c r="C1286" s="1" t="n">
        <v>46160</v>
      </c>
      <c r="D1286" t="inlineStr">
        <is>
          <t>JÄMTLANDS LÄN</t>
        </is>
      </c>
      <c r="E1286" t="inlineStr">
        <is>
          <t>KROKOM</t>
        </is>
      </c>
      <c r="G1286" t="n">
        <v>14.5</v>
      </c>
      <c r="H1286" t="n">
        <v>0</v>
      </c>
      <c r="I1286" t="n">
        <v>0</v>
      </c>
      <c r="J1286" t="n">
        <v>0</v>
      </c>
      <c r="K1286" t="n">
        <v>0</v>
      </c>
      <c r="L1286" t="n">
        <v>0</v>
      </c>
      <c r="M1286" t="n">
        <v>0</v>
      </c>
      <c r="N1286" t="n">
        <v>0</v>
      </c>
      <c r="O1286" t="n">
        <v>0</v>
      </c>
      <c r="P1286" t="n">
        <v>0</v>
      </c>
      <c r="Q1286" t="n">
        <v>0</v>
      </c>
      <c r="R1286" s="2" t="inlineStr"/>
    </row>
    <row r="1287" ht="15" customHeight="1">
      <c r="A1287" t="inlineStr">
        <is>
          <t>A 38043-2023</t>
        </is>
      </c>
      <c r="B1287" s="1" t="n">
        <v>45160.66704861111</v>
      </c>
      <c r="C1287" s="1" t="n">
        <v>46160</v>
      </c>
      <c r="D1287" t="inlineStr">
        <is>
          <t>JÄMTLANDS LÄN</t>
        </is>
      </c>
      <c r="E1287" t="inlineStr">
        <is>
          <t>KROKOM</t>
        </is>
      </c>
      <c r="F1287" t="inlineStr">
        <is>
          <t>Övriga Aktiebolag</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50821-2024</t>
        </is>
      </c>
      <c r="B1288" s="1" t="n">
        <v>45602</v>
      </c>
      <c r="C1288" s="1" t="n">
        <v>46160</v>
      </c>
      <c r="D1288" t="inlineStr">
        <is>
          <t>JÄMTLANDS LÄN</t>
        </is>
      </c>
      <c r="E1288" t="inlineStr">
        <is>
          <t>KROKOM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35767-2024</t>
        </is>
      </c>
      <c r="B1289" s="1" t="n">
        <v>45532.58101851852</v>
      </c>
      <c r="C1289" s="1" t="n">
        <v>46160</v>
      </c>
      <c r="D1289" t="inlineStr">
        <is>
          <t>JÄMTLANDS LÄN</t>
        </is>
      </c>
      <c r="E1289" t="inlineStr">
        <is>
          <t>KROKOM</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17887-2025</t>
        </is>
      </c>
      <c r="B1290" s="1" t="n">
        <v>45758.66180555556</v>
      </c>
      <c r="C1290" s="1" t="n">
        <v>46160</v>
      </c>
      <c r="D1290" t="inlineStr">
        <is>
          <t>JÄMTLANDS LÄN</t>
        </is>
      </c>
      <c r="E1290" t="inlineStr">
        <is>
          <t>KROKOM</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17888-2025</t>
        </is>
      </c>
      <c r="B1291" s="1" t="n">
        <v>45758.67065972222</v>
      </c>
      <c r="C1291" s="1" t="n">
        <v>46160</v>
      </c>
      <c r="D1291" t="inlineStr">
        <is>
          <t>JÄMTLANDS LÄN</t>
        </is>
      </c>
      <c r="E1291" t="inlineStr">
        <is>
          <t>KROKOM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46160</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5402-2025</t>
        </is>
      </c>
      <c r="B1293" s="1" t="n">
        <v>45692.64298611111</v>
      </c>
      <c r="C1293" s="1" t="n">
        <v>46160</v>
      </c>
      <c r="D1293" t="inlineStr">
        <is>
          <t>JÄMTLANDS LÄN</t>
        </is>
      </c>
      <c r="E1293" t="inlineStr">
        <is>
          <t>KROKOM</t>
        </is>
      </c>
      <c r="G1293" t="n">
        <v>20.3</v>
      </c>
      <c r="H1293" t="n">
        <v>0</v>
      </c>
      <c r="I1293" t="n">
        <v>0</v>
      </c>
      <c r="J1293" t="n">
        <v>0</v>
      </c>
      <c r="K1293" t="n">
        <v>0</v>
      </c>
      <c r="L1293" t="n">
        <v>0</v>
      </c>
      <c r="M1293" t="n">
        <v>0</v>
      </c>
      <c r="N1293" t="n">
        <v>0</v>
      </c>
      <c r="O1293" t="n">
        <v>0</v>
      </c>
      <c r="P1293" t="n">
        <v>0</v>
      </c>
      <c r="Q1293" t="n">
        <v>0</v>
      </c>
      <c r="R1293" s="2" t="inlineStr"/>
    </row>
    <row r="1294" ht="15" customHeight="1">
      <c r="A1294" t="inlineStr">
        <is>
          <t>A 49046-2023</t>
        </is>
      </c>
      <c r="B1294" s="1" t="n">
        <v>45209</v>
      </c>
      <c r="C1294" s="1" t="n">
        <v>46160</v>
      </c>
      <c r="D1294" t="inlineStr">
        <is>
          <t>JÄMTLANDS LÄN</t>
        </is>
      </c>
      <c r="E1294" t="inlineStr">
        <is>
          <t>KROKOM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15422-2025</t>
        </is>
      </c>
      <c r="B1295" s="1" t="n">
        <v>45746</v>
      </c>
      <c r="C1295" s="1" t="n">
        <v>46160</v>
      </c>
      <c r="D1295" t="inlineStr">
        <is>
          <t>JÄMTLANDS LÄN</t>
        </is>
      </c>
      <c r="E1295" t="inlineStr">
        <is>
          <t>KROKOM</t>
        </is>
      </c>
      <c r="F1295" t="inlineStr">
        <is>
          <t>SCA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46160</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26805-2023</t>
        </is>
      </c>
      <c r="B1297" s="1" t="n">
        <v>45090</v>
      </c>
      <c r="C1297" s="1" t="n">
        <v>46160</v>
      </c>
      <c r="D1297" t="inlineStr">
        <is>
          <t>JÄMTLANDS LÄN</t>
        </is>
      </c>
      <c r="E1297" t="inlineStr">
        <is>
          <t>KROKOM</t>
        </is>
      </c>
      <c r="G1297" t="n">
        <v>20.4</v>
      </c>
      <c r="H1297" t="n">
        <v>0</v>
      </c>
      <c r="I1297" t="n">
        <v>0</v>
      </c>
      <c r="J1297" t="n">
        <v>0</v>
      </c>
      <c r="K1297" t="n">
        <v>0</v>
      </c>
      <c r="L1297" t="n">
        <v>0</v>
      </c>
      <c r="M1297" t="n">
        <v>0</v>
      </c>
      <c r="N1297" t="n">
        <v>0</v>
      </c>
      <c r="O1297" t="n">
        <v>0</v>
      </c>
      <c r="P1297" t="n">
        <v>0</v>
      </c>
      <c r="Q1297" t="n">
        <v>0</v>
      </c>
      <c r="R1297" s="2" t="inlineStr"/>
    </row>
    <row r="1298" ht="15" customHeight="1">
      <c r="A1298" t="inlineStr">
        <is>
          <t>A 40219-2024</t>
        </is>
      </c>
      <c r="B1298" s="1" t="n">
        <v>45554.59538194445</v>
      </c>
      <c r="C1298" s="1" t="n">
        <v>46160</v>
      </c>
      <c r="D1298" t="inlineStr">
        <is>
          <t>JÄMTLANDS LÄN</t>
        </is>
      </c>
      <c r="E1298" t="inlineStr">
        <is>
          <t>KROKOM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11403-2025</t>
        </is>
      </c>
      <c r="B1299" s="1" t="n">
        <v>45726.5827199074</v>
      </c>
      <c r="C1299" s="1" t="n">
        <v>46160</v>
      </c>
      <c r="D1299" t="inlineStr">
        <is>
          <t>JÄMTLANDS LÄN</t>
        </is>
      </c>
      <c r="E1299" t="inlineStr">
        <is>
          <t>KROKOM</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11436-2025</t>
        </is>
      </c>
      <c r="B1300" s="1" t="n">
        <v>45726.61520833334</v>
      </c>
      <c r="C1300" s="1" t="n">
        <v>46160</v>
      </c>
      <c r="D1300" t="inlineStr">
        <is>
          <t>JÄMTLANDS LÄN</t>
        </is>
      </c>
      <c r="E1300" t="inlineStr">
        <is>
          <t>KROKOM</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49875-2024</t>
        </is>
      </c>
      <c r="B1301" s="1" t="n">
        <v>45597.49638888889</v>
      </c>
      <c r="C1301" s="1" t="n">
        <v>46160</v>
      </c>
      <c r="D1301" t="inlineStr">
        <is>
          <t>JÄMTLANDS LÄN</t>
        </is>
      </c>
      <c r="E1301" t="inlineStr">
        <is>
          <t>KROKOM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64163-2023</t>
        </is>
      </c>
      <c r="B1302" s="1" t="n">
        <v>45279</v>
      </c>
      <c r="C1302" s="1" t="n">
        <v>46160</v>
      </c>
      <c r="D1302" t="inlineStr">
        <is>
          <t>JÄMTLANDS LÄN</t>
        </is>
      </c>
      <c r="E1302" t="inlineStr">
        <is>
          <t>KROKOM</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51345-2022</t>
        </is>
      </c>
      <c r="B1303" s="1" t="n">
        <v>44866</v>
      </c>
      <c r="C1303" s="1" t="n">
        <v>46160</v>
      </c>
      <c r="D1303" t="inlineStr">
        <is>
          <t>JÄMTLANDS LÄN</t>
        </is>
      </c>
      <c r="E1303" t="inlineStr">
        <is>
          <t>KROKOM</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11193-2024</t>
        </is>
      </c>
      <c r="B1304" s="1" t="n">
        <v>45371</v>
      </c>
      <c r="C1304" s="1" t="n">
        <v>46160</v>
      </c>
      <c r="D1304" t="inlineStr">
        <is>
          <t>JÄMTLANDS LÄN</t>
        </is>
      </c>
      <c r="E1304" t="inlineStr">
        <is>
          <t>KROKOM</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6347-2023</t>
        </is>
      </c>
      <c r="B1305" s="1" t="n">
        <v>44965</v>
      </c>
      <c r="C1305" s="1" t="n">
        <v>46160</v>
      </c>
      <c r="D1305" t="inlineStr">
        <is>
          <t>JÄMTLANDS LÄN</t>
        </is>
      </c>
      <c r="E1305" t="inlineStr">
        <is>
          <t>KROKOM</t>
        </is>
      </c>
      <c r="F1305" t="inlineStr">
        <is>
          <t>Övriga Aktiebolag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62413-2023</t>
        </is>
      </c>
      <c r="B1306" s="1" t="n">
        <v>45266</v>
      </c>
      <c r="C1306" s="1" t="n">
        <v>46160</v>
      </c>
      <c r="D1306" t="inlineStr">
        <is>
          <t>JÄMTLANDS LÄN</t>
        </is>
      </c>
      <c r="E1306" t="inlineStr">
        <is>
          <t>KROKOM</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57259-2023</t>
        </is>
      </c>
      <c r="B1307" s="1" t="n">
        <v>45245</v>
      </c>
      <c r="C1307" s="1" t="n">
        <v>46160</v>
      </c>
      <c r="D1307" t="inlineStr">
        <is>
          <t>JÄMTLANDS LÄN</t>
        </is>
      </c>
      <c r="E1307" t="inlineStr">
        <is>
          <t>KROKOM</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5173-2025</t>
        </is>
      </c>
      <c r="B1308" s="1" t="n">
        <v>45691.61996527778</v>
      </c>
      <c r="C1308" s="1" t="n">
        <v>46160</v>
      </c>
      <c r="D1308" t="inlineStr">
        <is>
          <t>JÄMTLANDS LÄN</t>
        </is>
      </c>
      <c r="E1308" t="inlineStr">
        <is>
          <t>KROKOM</t>
        </is>
      </c>
      <c r="F1308" t="inlineStr">
        <is>
          <t>Kyrkan</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10532-2025</t>
        </is>
      </c>
      <c r="B1309" s="1" t="n">
        <v>45721.4546412037</v>
      </c>
      <c r="C1309" s="1" t="n">
        <v>46160</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22258-2024</t>
        </is>
      </c>
      <c r="B1310" s="1" t="n">
        <v>45446.47634259259</v>
      </c>
      <c r="C1310" s="1" t="n">
        <v>46160</v>
      </c>
      <c r="D1310" t="inlineStr">
        <is>
          <t>JÄMTLANDS LÄN</t>
        </is>
      </c>
      <c r="E1310" t="inlineStr">
        <is>
          <t>KROKOM</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29484-2024</t>
        </is>
      </c>
      <c r="B1311" s="1" t="n">
        <v>45484</v>
      </c>
      <c r="C1311" s="1" t="n">
        <v>46160</v>
      </c>
      <c r="D1311" t="inlineStr">
        <is>
          <t>JÄMTLANDS LÄN</t>
        </is>
      </c>
      <c r="E1311" t="inlineStr">
        <is>
          <t>KROKOM</t>
        </is>
      </c>
      <c r="F1311" t="inlineStr">
        <is>
          <t>Övriga Aktiebolag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34902-2024</t>
        </is>
      </c>
      <c r="B1312" s="1" t="n">
        <v>45527.39858796296</v>
      </c>
      <c r="C1312" s="1" t="n">
        <v>46160</v>
      </c>
      <c r="D1312" t="inlineStr">
        <is>
          <t>JÄMTLANDS LÄN</t>
        </is>
      </c>
      <c r="E1312" t="inlineStr">
        <is>
          <t>KROKOM</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28780-2024</t>
        </is>
      </c>
      <c r="B1313" s="1" t="n">
        <v>45478.60708333334</v>
      </c>
      <c r="C1313" s="1" t="n">
        <v>46160</v>
      </c>
      <c r="D1313" t="inlineStr">
        <is>
          <t>JÄMTLANDS LÄN</t>
        </is>
      </c>
      <c r="E1313" t="inlineStr">
        <is>
          <t>KROKOM</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26693-2023</t>
        </is>
      </c>
      <c r="B1314" s="1" t="n">
        <v>45090</v>
      </c>
      <c r="C1314" s="1" t="n">
        <v>46160</v>
      </c>
      <c r="D1314" t="inlineStr">
        <is>
          <t>JÄMTLANDS LÄN</t>
        </is>
      </c>
      <c r="E1314" t="inlineStr">
        <is>
          <t>KROKOM</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17469-2024</t>
        </is>
      </c>
      <c r="B1315" s="1" t="n">
        <v>45415.45006944444</v>
      </c>
      <c r="C1315" s="1" t="n">
        <v>46160</v>
      </c>
      <c r="D1315" t="inlineStr">
        <is>
          <t>JÄMTLANDS LÄN</t>
        </is>
      </c>
      <c r="E1315" t="inlineStr">
        <is>
          <t>KROKOM</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17950-2025</t>
        </is>
      </c>
      <c r="B1316" s="1" t="n">
        <v>45760.81083333334</v>
      </c>
      <c r="C1316" s="1" t="n">
        <v>46160</v>
      </c>
      <c r="D1316" t="inlineStr">
        <is>
          <t>JÄMTLANDS LÄN</t>
        </is>
      </c>
      <c r="E1316" t="inlineStr">
        <is>
          <t>KROKOM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50391-2024</t>
        </is>
      </c>
      <c r="B1317" s="1" t="n">
        <v>45601.33743055556</v>
      </c>
      <c r="C1317" s="1" t="n">
        <v>46160</v>
      </c>
      <c r="D1317" t="inlineStr">
        <is>
          <t>JÄMTLANDS LÄN</t>
        </is>
      </c>
      <c r="E1317" t="inlineStr">
        <is>
          <t>KROKOM</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56927-2023</t>
        </is>
      </c>
      <c r="B1318" s="1" t="n">
        <v>45244</v>
      </c>
      <c r="C1318" s="1" t="n">
        <v>46160</v>
      </c>
      <c r="D1318" t="inlineStr">
        <is>
          <t>JÄMTLANDS LÄN</t>
        </is>
      </c>
      <c r="E1318" t="inlineStr">
        <is>
          <t>KROKOM</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4355-2024</t>
        </is>
      </c>
      <c r="B1319" s="1" t="n">
        <v>45324</v>
      </c>
      <c r="C1319" s="1" t="n">
        <v>46160</v>
      </c>
      <c r="D1319" t="inlineStr">
        <is>
          <t>JÄMTLANDS LÄN</t>
        </is>
      </c>
      <c r="E1319" t="inlineStr">
        <is>
          <t>KROKOM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18980-2025</t>
        </is>
      </c>
      <c r="B1320" s="1" t="n">
        <v>45764.55260416667</v>
      </c>
      <c r="C1320" s="1" t="n">
        <v>46160</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50782-2023</t>
        </is>
      </c>
      <c r="B1321" s="1" t="n">
        <v>45217</v>
      </c>
      <c r="C1321" s="1" t="n">
        <v>46160</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39126-2023</t>
        </is>
      </c>
      <c r="B1322" s="1" t="n">
        <v>45165.69965277778</v>
      </c>
      <c r="C1322" s="1" t="n">
        <v>46160</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47635-2023</t>
        </is>
      </c>
      <c r="B1323" s="1" t="n">
        <v>45203</v>
      </c>
      <c r="C1323" s="1" t="n">
        <v>46160</v>
      </c>
      <c r="D1323" t="inlineStr">
        <is>
          <t>JÄMTLANDS LÄN</t>
        </is>
      </c>
      <c r="E1323" t="inlineStr">
        <is>
          <t>KROKOM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4354-2025</t>
        </is>
      </c>
      <c r="B1324" s="1" t="n">
        <v>45686.32671296296</v>
      </c>
      <c r="C1324" s="1" t="n">
        <v>46160</v>
      </c>
      <c r="D1324" t="inlineStr">
        <is>
          <t>JÄMTLANDS LÄN</t>
        </is>
      </c>
      <c r="E1324" t="inlineStr">
        <is>
          <t>KROKOM</t>
        </is>
      </c>
      <c r="F1324" t="inlineStr">
        <is>
          <t>SCA</t>
        </is>
      </c>
      <c r="G1324" t="n">
        <v>12.8</v>
      </c>
      <c r="H1324" t="n">
        <v>0</v>
      </c>
      <c r="I1324" t="n">
        <v>0</v>
      </c>
      <c r="J1324" t="n">
        <v>0</v>
      </c>
      <c r="K1324" t="n">
        <v>0</v>
      </c>
      <c r="L1324" t="n">
        <v>0</v>
      </c>
      <c r="M1324" t="n">
        <v>0</v>
      </c>
      <c r="N1324" t="n">
        <v>0</v>
      </c>
      <c r="O1324" t="n">
        <v>0</v>
      </c>
      <c r="P1324" t="n">
        <v>0</v>
      </c>
      <c r="Q1324" t="n">
        <v>0</v>
      </c>
      <c r="R1324" s="2" t="inlineStr"/>
    </row>
    <row r="1325" ht="15" customHeight="1">
      <c r="A1325" t="inlineStr">
        <is>
          <t>A 7072-2025</t>
        </is>
      </c>
      <c r="B1325" s="1" t="n">
        <v>45701</v>
      </c>
      <c r="C1325" s="1" t="n">
        <v>46160</v>
      </c>
      <c r="D1325" t="inlineStr">
        <is>
          <t>JÄMTLANDS LÄN</t>
        </is>
      </c>
      <c r="E1325" t="inlineStr">
        <is>
          <t>KROKOM</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9623-2025</t>
        </is>
      </c>
      <c r="B1326" s="1" t="n">
        <v>45715</v>
      </c>
      <c r="C1326" s="1" t="n">
        <v>46160</v>
      </c>
      <c r="D1326" t="inlineStr">
        <is>
          <t>JÄMTLANDS LÄN</t>
        </is>
      </c>
      <c r="E1326" t="inlineStr">
        <is>
          <t>KROKOM</t>
        </is>
      </c>
      <c r="F1326" t="inlineStr">
        <is>
          <t>Kyrkan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5498-2025</t>
        </is>
      </c>
      <c r="B1327" s="1" t="n">
        <v>45693</v>
      </c>
      <c r="C1327" s="1" t="n">
        <v>46160</v>
      </c>
      <c r="D1327" t="inlineStr">
        <is>
          <t>JÄMTLANDS LÄN</t>
        </is>
      </c>
      <c r="E1327" t="inlineStr">
        <is>
          <t>KROKOM</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8784-2025</t>
        </is>
      </c>
      <c r="B1328" s="1" t="n">
        <v>45712</v>
      </c>
      <c r="C1328" s="1" t="n">
        <v>46160</v>
      </c>
      <c r="D1328" t="inlineStr">
        <is>
          <t>JÄMTLANDS LÄN</t>
        </is>
      </c>
      <c r="E1328" t="inlineStr">
        <is>
          <t>KROKOM</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21027-2025</t>
        </is>
      </c>
      <c r="B1329" s="1" t="n">
        <v>45777</v>
      </c>
      <c r="C1329" s="1" t="n">
        <v>46160</v>
      </c>
      <c r="D1329" t="inlineStr">
        <is>
          <t>JÄMTLANDS LÄN</t>
        </is>
      </c>
      <c r="E1329" t="inlineStr">
        <is>
          <t>KROKOM</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21239-2025</t>
        </is>
      </c>
      <c r="B1330" s="1" t="n">
        <v>45779.56659722222</v>
      </c>
      <c r="C1330" s="1" t="n">
        <v>46160</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21276-2025</t>
        </is>
      </c>
      <c r="B1331" s="1" t="n">
        <v>45779.63834490741</v>
      </c>
      <c r="C1331" s="1" t="n">
        <v>46160</v>
      </c>
      <c r="D1331" t="inlineStr">
        <is>
          <t>JÄMTLANDS LÄN</t>
        </is>
      </c>
      <c r="E1331" t="inlineStr">
        <is>
          <t>KROKOM</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21254-2025</t>
        </is>
      </c>
      <c r="B1332" s="1" t="n">
        <v>45779.57626157408</v>
      </c>
      <c r="C1332" s="1" t="n">
        <v>46160</v>
      </c>
      <c r="D1332" t="inlineStr">
        <is>
          <t>JÄMTLANDS LÄN</t>
        </is>
      </c>
      <c r="E1332" t="inlineStr">
        <is>
          <t>KROKOM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21280-2025</t>
        </is>
      </c>
      <c r="B1333" s="1" t="n">
        <v>45779.65980324074</v>
      </c>
      <c r="C1333" s="1" t="n">
        <v>46160</v>
      </c>
      <c r="D1333" t="inlineStr">
        <is>
          <t>JÄMTLANDS LÄN</t>
        </is>
      </c>
      <c r="E1333" t="inlineStr">
        <is>
          <t>KROKOM</t>
        </is>
      </c>
      <c r="G1333" t="n">
        <v>30.9</v>
      </c>
      <c r="H1333" t="n">
        <v>0</v>
      </c>
      <c r="I1333" t="n">
        <v>0</v>
      </c>
      <c r="J1333" t="n">
        <v>0</v>
      </c>
      <c r="K1333" t="n">
        <v>0</v>
      </c>
      <c r="L1333" t="n">
        <v>0</v>
      </c>
      <c r="M1333" t="n">
        <v>0</v>
      </c>
      <c r="N1333" t="n">
        <v>0</v>
      </c>
      <c r="O1333" t="n">
        <v>0</v>
      </c>
      <c r="P1333" t="n">
        <v>0</v>
      </c>
      <c r="Q1333" t="n">
        <v>0</v>
      </c>
      <c r="R1333" s="2" t="inlineStr"/>
    </row>
    <row r="1334" ht="15" customHeight="1">
      <c r="A1334" t="inlineStr">
        <is>
          <t>A 21172-2025</t>
        </is>
      </c>
      <c r="B1334" s="1" t="n">
        <v>45779.42630787037</v>
      </c>
      <c r="C1334" s="1" t="n">
        <v>46160</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21240-2025</t>
        </is>
      </c>
      <c r="B1335" s="1" t="n">
        <v>45779.5674074074</v>
      </c>
      <c r="C1335" s="1" t="n">
        <v>46160</v>
      </c>
      <c r="D1335" t="inlineStr">
        <is>
          <t>JÄMTLANDS LÄN</t>
        </is>
      </c>
      <c r="E1335" t="inlineStr">
        <is>
          <t>KROKOM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6068-2025</t>
        </is>
      </c>
      <c r="B1336" s="1" t="n">
        <v>45696</v>
      </c>
      <c r="C1336" s="1" t="n">
        <v>46160</v>
      </c>
      <c r="D1336" t="inlineStr">
        <is>
          <t>JÄMTLANDS LÄN</t>
        </is>
      </c>
      <c r="E1336" t="inlineStr">
        <is>
          <t>KROKOM</t>
        </is>
      </c>
      <c r="F1336" t="inlineStr">
        <is>
          <t>Övriga Aktiebolag</t>
        </is>
      </c>
      <c r="G1336" t="n">
        <v>17.2</v>
      </c>
      <c r="H1336" t="n">
        <v>0</v>
      </c>
      <c r="I1336" t="n">
        <v>0</v>
      </c>
      <c r="J1336" t="n">
        <v>0</v>
      </c>
      <c r="K1336" t="n">
        <v>0</v>
      </c>
      <c r="L1336" t="n">
        <v>0</v>
      </c>
      <c r="M1336" t="n">
        <v>0</v>
      </c>
      <c r="N1336" t="n">
        <v>0</v>
      </c>
      <c r="O1336" t="n">
        <v>0</v>
      </c>
      <c r="P1336" t="n">
        <v>0</v>
      </c>
      <c r="Q1336" t="n">
        <v>0</v>
      </c>
      <c r="R1336" s="2" t="inlineStr"/>
    </row>
    <row r="1337" ht="15" customHeight="1">
      <c r="A1337" t="inlineStr">
        <is>
          <t>A 21654-2025</t>
        </is>
      </c>
      <c r="B1337" s="1" t="n">
        <v>45783.45121527778</v>
      </c>
      <c r="C1337" s="1" t="n">
        <v>46160</v>
      </c>
      <c r="D1337" t="inlineStr">
        <is>
          <t>JÄMTLANDS LÄN</t>
        </is>
      </c>
      <c r="E1337" t="inlineStr">
        <is>
          <t>KROKOM</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21643-2025</t>
        </is>
      </c>
      <c r="B1338" s="1" t="n">
        <v>45783.43409722222</v>
      </c>
      <c r="C1338" s="1" t="n">
        <v>46160</v>
      </c>
      <c r="D1338" t="inlineStr">
        <is>
          <t>JÄMTLANDS LÄN</t>
        </is>
      </c>
      <c r="E1338" t="inlineStr">
        <is>
          <t>KROKOM</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8872-2025</t>
        </is>
      </c>
      <c r="B1339" s="1" t="n">
        <v>45713.37111111111</v>
      </c>
      <c r="C1339" s="1" t="n">
        <v>46160</v>
      </c>
      <c r="D1339" t="inlineStr">
        <is>
          <t>JÄMTLANDS LÄN</t>
        </is>
      </c>
      <c r="E1339" t="inlineStr">
        <is>
          <t>KROKOM</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4707-2025</t>
        </is>
      </c>
      <c r="B1340" s="1" t="n">
        <v>45688.38393518519</v>
      </c>
      <c r="C1340" s="1" t="n">
        <v>46160</v>
      </c>
      <c r="D1340" t="inlineStr">
        <is>
          <t>JÄMTLANDS LÄN</t>
        </is>
      </c>
      <c r="E1340" t="inlineStr">
        <is>
          <t>KROKOM</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22297-2025</t>
        </is>
      </c>
      <c r="B1341" s="1" t="n">
        <v>45786.35219907408</v>
      </c>
      <c r="C1341" s="1" t="n">
        <v>46160</v>
      </c>
      <c r="D1341" t="inlineStr">
        <is>
          <t>JÄMTLANDS LÄN</t>
        </is>
      </c>
      <c r="E1341" t="inlineStr">
        <is>
          <t>KROKOM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22122-2025</t>
        </is>
      </c>
      <c r="B1342" s="1" t="n">
        <v>45785.52112268518</v>
      </c>
      <c r="C1342" s="1" t="n">
        <v>46160</v>
      </c>
      <c r="D1342" t="inlineStr">
        <is>
          <t>JÄMTLANDS LÄN</t>
        </is>
      </c>
      <c r="E1342" t="inlineStr">
        <is>
          <t>KROKOM</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22132-2025</t>
        </is>
      </c>
      <c r="B1343" s="1" t="n">
        <v>45785.5403125</v>
      </c>
      <c r="C1343" s="1" t="n">
        <v>46160</v>
      </c>
      <c r="D1343" t="inlineStr">
        <is>
          <t>JÄMTLANDS LÄN</t>
        </is>
      </c>
      <c r="E1343" t="inlineStr">
        <is>
          <t>KROKOM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22136-2025</t>
        </is>
      </c>
      <c r="B1344" s="1" t="n">
        <v>45785.54635416667</v>
      </c>
      <c r="C1344" s="1" t="n">
        <v>46160</v>
      </c>
      <c r="D1344" t="inlineStr">
        <is>
          <t>JÄMTLANDS LÄN</t>
        </is>
      </c>
      <c r="E1344" t="inlineStr">
        <is>
          <t>KROKOM</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22304-2025</t>
        </is>
      </c>
      <c r="B1345" s="1" t="n">
        <v>45786</v>
      </c>
      <c r="C1345" s="1" t="n">
        <v>46160</v>
      </c>
      <c r="D1345" t="inlineStr">
        <is>
          <t>JÄMTLANDS LÄN</t>
        </is>
      </c>
      <c r="E1345" t="inlineStr">
        <is>
          <t>KROKOM</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22499-2025</t>
        </is>
      </c>
      <c r="B1346" s="1" t="n">
        <v>45786.65702546296</v>
      </c>
      <c r="C1346" s="1" t="n">
        <v>46160</v>
      </c>
      <c r="D1346" t="inlineStr">
        <is>
          <t>JÄMTLANDS LÄN</t>
        </is>
      </c>
      <c r="E1346" t="inlineStr">
        <is>
          <t>KROKOM</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22503-2025</t>
        </is>
      </c>
      <c r="B1347" s="1" t="n">
        <v>45786.66140046297</v>
      </c>
      <c r="C1347" s="1" t="n">
        <v>46160</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9388-2025</t>
        </is>
      </c>
      <c r="B1348" s="1" t="n">
        <v>45715</v>
      </c>
      <c r="C1348" s="1" t="n">
        <v>46160</v>
      </c>
      <c r="D1348" t="inlineStr">
        <is>
          <t>JÄMTLANDS LÄN</t>
        </is>
      </c>
      <c r="E1348" t="inlineStr">
        <is>
          <t>KROKOM</t>
        </is>
      </c>
      <c r="F1348" t="inlineStr">
        <is>
          <t>Övriga Aktiebolag</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22115-2025</t>
        </is>
      </c>
      <c r="B1349" s="1" t="n">
        <v>45785.51092592593</v>
      </c>
      <c r="C1349" s="1" t="n">
        <v>46160</v>
      </c>
      <c r="D1349" t="inlineStr">
        <is>
          <t>JÄMTLANDS LÄN</t>
        </is>
      </c>
      <c r="E1349" t="inlineStr">
        <is>
          <t>KROKOM</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22731-2025</t>
        </is>
      </c>
      <c r="B1350" s="1" t="n">
        <v>45789.58238425926</v>
      </c>
      <c r="C1350" s="1" t="n">
        <v>46160</v>
      </c>
      <c r="D1350" t="inlineStr">
        <is>
          <t>JÄMTLANDS LÄN</t>
        </is>
      </c>
      <c r="E1350" t="inlineStr">
        <is>
          <t>KROKOM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22751-2025</t>
        </is>
      </c>
      <c r="B1351" s="1" t="n">
        <v>45789.61349537037</v>
      </c>
      <c r="C1351" s="1" t="n">
        <v>46160</v>
      </c>
      <c r="D1351" t="inlineStr">
        <is>
          <t>JÄMTLANDS LÄN</t>
        </is>
      </c>
      <c r="E1351" t="inlineStr">
        <is>
          <t>KROKOM</t>
        </is>
      </c>
      <c r="G1351" t="n">
        <v>4.5</v>
      </c>
      <c r="H1351" t="n">
        <v>0</v>
      </c>
      <c r="I1351" t="n">
        <v>0</v>
      </c>
      <c r="J1351" t="n">
        <v>0</v>
      </c>
      <c r="K1351" t="n">
        <v>0</v>
      </c>
      <c r="L1351" t="n">
        <v>0</v>
      </c>
      <c r="M1351" t="n">
        <v>0</v>
      </c>
      <c r="N1351" t="n">
        <v>0</v>
      </c>
      <c r="O1351" t="n">
        <v>0</v>
      </c>
      <c r="P1351" t="n">
        <v>0</v>
      </c>
      <c r="Q1351" t="n">
        <v>0</v>
      </c>
      <c r="R1351" s="2" t="inlineStr"/>
    </row>
    <row r="1352">
      <c r="A1352" t="inlineStr">
        <is>
          <t>A 58136-2024</t>
        </is>
      </c>
      <c r="B1352" s="1" t="n">
        <v>45632</v>
      </c>
      <c r="C1352" s="1" t="n">
        <v>46160</v>
      </c>
      <c r="D1352" t="inlineStr">
        <is>
          <t>JÄMTLANDS LÄN</t>
        </is>
      </c>
      <c r="E1352" t="inlineStr">
        <is>
          <t>KROKOM</t>
        </is>
      </c>
      <c r="G1352" t="n">
        <v>3.3</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2026-05-18T11:01:38Z</dcterms:created>
  <dcterms:modified xmlns:dcterms="http://purl.org/dc/terms/" xmlns:xsi="http://www.w3.org/2001/XMLSchema-instance" xsi:type="dcterms:W3CDTF">2026-05-18T11:01:39Z</dcterms:modified>
</cp:coreProperties>
</file>