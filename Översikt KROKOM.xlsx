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45349</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45349</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45349</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45349</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45349</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45349</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45349</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45349</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45349</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45349</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45349</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45349</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45349</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45349</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45349</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45349</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45349</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45349</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45349</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43567-2018</t>
        </is>
      </c>
      <c r="B21" s="1" t="n">
        <v>43357</v>
      </c>
      <c r="C21" s="1" t="n">
        <v>45349</v>
      </c>
      <c r="D21" t="inlineStr">
        <is>
          <t>JÄMTLANDS LÄN</t>
        </is>
      </c>
      <c r="E21" t="inlineStr">
        <is>
          <t>KROKOM</t>
        </is>
      </c>
      <c r="F21" t="inlineStr">
        <is>
          <t>Övriga Aktiebolag</t>
        </is>
      </c>
      <c r="G21" t="n">
        <v>33.9</v>
      </c>
      <c r="H21" t="n">
        <v>0</v>
      </c>
      <c r="I21" t="n">
        <v>6</v>
      </c>
      <c r="J21" t="n">
        <v>5</v>
      </c>
      <c r="K21" t="n">
        <v>0</v>
      </c>
      <c r="L21" t="n">
        <v>0</v>
      </c>
      <c r="M21" t="n">
        <v>0</v>
      </c>
      <c r="N21" t="n">
        <v>0</v>
      </c>
      <c r="O21" t="n">
        <v>5</v>
      </c>
      <c r="P21" t="n">
        <v>0</v>
      </c>
      <c r="Q21" t="n">
        <v>11</v>
      </c>
      <c r="R21" s="2" t="inlineStr">
        <is>
          <t>Brunpudrad nållav
Garnlav
Gränsticka
Kolflarnlav
Skrovellav
Bårdlav
Gulnål
Gytterlav
Luddlav
Skinnlav
Stuplav</t>
        </is>
      </c>
      <c r="S21">
        <f>HYPERLINK("https://klasma.github.io/Logging_2309/artfynd/A 43567-2018 artfynd.xlsx", "A 43567-2018")</f>
        <v/>
      </c>
      <c r="T21">
        <f>HYPERLINK("https://klasma.github.io/Logging_2309/kartor/A 43567-2018 karta.png", "A 43567-2018")</f>
        <v/>
      </c>
      <c r="V21">
        <f>HYPERLINK("https://klasma.github.io/Logging_2309/klagomål/A 43567-2018 FSC-klagomål.docx", "A 43567-2018")</f>
        <v/>
      </c>
      <c r="W21">
        <f>HYPERLINK("https://klasma.github.io/Logging_2309/klagomålsmail/A 43567-2018 FSC-klagomål mail.docx", "A 43567-2018")</f>
        <v/>
      </c>
      <c r="X21">
        <f>HYPERLINK("https://klasma.github.io/Logging_2309/tillsyn/A 43567-2018 tillsynsbegäran.docx", "A 43567-2018")</f>
        <v/>
      </c>
      <c r="Y21">
        <f>HYPERLINK("https://klasma.github.io/Logging_2309/tillsynsmail/A 43567-2018 tillsynsbegäran mail.docx", "A 43567-2018")</f>
        <v/>
      </c>
    </row>
    <row r="22" ht="15" customHeight="1">
      <c r="A22" t="inlineStr">
        <is>
          <t>A 28971-2021</t>
        </is>
      </c>
      <c r="B22" s="1" t="n">
        <v>44358</v>
      </c>
      <c r="C22" s="1" t="n">
        <v>45349</v>
      </c>
      <c r="D22" t="inlineStr">
        <is>
          <t>JÄMTLANDS LÄN</t>
        </is>
      </c>
      <c r="E22" t="inlineStr">
        <is>
          <t>KROKOM</t>
        </is>
      </c>
      <c r="G22" t="n">
        <v>5.7</v>
      </c>
      <c r="H22" t="n">
        <v>1</v>
      </c>
      <c r="I22" t="n">
        <v>1</v>
      </c>
      <c r="J22" t="n">
        <v>6</v>
      </c>
      <c r="K22" t="n">
        <v>4</v>
      </c>
      <c r="L22" t="n">
        <v>0</v>
      </c>
      <c r="M22" t="n">
        <v>0</v>
      </c>
      <c r="N22" t="n">
        <v>0</v>
      </c>
      <c r="O22" t="n">
        <v>10</v>
      </c>
      <c r="P22" t="n">
        <v>4</v>
      </c>
      <c r="Q22" t="n">
        <v>11</v>
      </c>
      <c r="R22" s="2" t="inlineStr">
        <is>
          <t>Doftticka
Kristallticka
Norsk näverlav
Rynkskinn
Gränsticka
Lunglav
Skrovellav
Solfjäderlav
Stjärntagging
Ullticka
Skruvkällmossa</t>
        </is>
      </c>
      <c r="S22">
        <f>HYPERLINK("https://klasma.github.io/Logging_2309/artfynd/A 28971-2021 artfynd.xlsx", "A 28971-2021")</f>
        <v/>
      </c>
      <c r="T22">
        <f>HYPERLINK("https://klasma.github.io/Logging_2309/kartor/A 28971-2021 karta.png", "A 28971-2021")</f>
        <v/>
      </c>
      <c r="V22">
        <f>HYPERLINK("https://klasma.github.io/Logging_2309/klagomål/A 28971-2021 FSC-klagomål.docx", "A 28971-2021")</f>
        <v/>
      </c>
      <c r="W22">
        <f>HYPERLINK("https://klasma.github.io/Logging_2309/klagomålsmail/A 28971-2021 FSC-klagomål mail.docx", "A 28971-2021")</f>
        <v/>
      </c>
      <c r="X22">
        <f>HYPERLINK("https://klasma.github.io/Logging_2309/tillsyn/A 28971-2021 tillsynsbegäran.docx", "A 28971-2021")</f>
        <v/>
      </c>
      <c r="Y22">
        <f>HYPERLINK("https://klasma.github.io/Logging_2309/tillsynsmail/A 28971-2021 tillsynsbegäran mail.docx", "A 28971-2021")</f>
        <v/>
      </c>
    </row>
    <row r="23" ht="15" customHeight="1">
      <c r="A23" t="inlineStr">
        <is>
          <t>A 33485-2021</t>
        </is>
      </c>
      <c r="B23" s="1" t="n">
        <v>44377</v>
      </c>
      <c r="C23" s="1" t="n">
        <v>45349</v>
      </c>
      <c r="D23" t="inlineStr">
        <is>
          <t>JÄMTLANDS LÄN</t>
        </is>
      </c>
      <c r="E23" t="inlineStr">
        <is>
          <t>KROKOM</t>
        </is>
      </c>
      <c r="G23" t="n">
        <v>7.4</v>
      </c>
      <c r="H23" t="n">
        <v>3</v>
      </c>
      <c r="I23" t="n">
        <v>1</v>
      </c>
      <c r="J23" t="n">
        <v>8</v>
      </c>
      <c r="K23" t="n">
        <v>2</v>
      </c>
      <c r="L23" t="n">
        <v>0</v>
      </c>
      <c r="M23" t="n">
        <v>0</v>
      </c>
      <c r="N23" t="n">
        <v>0</v>
      </c>
      <c r="O23" t="n">
        <v>10</v>
      </c>
      <c r="P23" t="n">
        <v>2</v>
      </c>
      <c r="Q23" t="n">
        <v>11</v>
      </c>
      <c r="R23" s="2" t="inlineStr">
        <is>
          <t>Grantickeporing
Knärot
Garnlav
Granticka
Gränsticka
Spillkråka
Tretåig hackspett
Ullticka
Vitgrynig nållav
Äggvaxskivling
Korallblylav</t>
        </is>
      </c>
      <c r="S23">
        <f>HYPERLINK("https://klasma.github.io/Logging_2309/artfynd/A 33485-2021 artfynd.xlsx", "A 33485-2021")</f>
        <v/>
      </c>
      <c r="T23">
        <f>HYPERLINK("https://klasma.github.io/Logging_2309/kartor/A 33485-2021 karta.png", "A 33485-2021")</f>
        <v/>
      </c>
      <c r="U23">
        <f>HYPERLINK("https://klasma.github.io/Logging_2309/knärot/A 33485-2021 karta knärot.png", "A 33485-2021")</f>
        <v/>
      </c>
      <c r="V23">
        <f>HYPERLINK("https://klasma.github.io/Logging_2309/klagomål/A 33485-2021 FSC-klagomål.docx", "A 33485-2021")</f>
        <v/>
      </c>
      <c r="W23">
        <f>HYPERLINK("https://klasma.github.io/Logging_2309/klagomålsmail/A 33485-2021 FSC-klagomål mail.docx", "A 33485-2021")</f>
        <v/>
      </c>
      <c r="X23">
        <f>HYPERLINK("https://klasma.github.io/Logging_2309/tillsyn/A 33485-2021 tillsynsbegäran.docx", "A 33485-2021")</f>
        <v/>
      </c>
      <c r="Y23">
        <f>HYPERLINK("https://klasma.github.io/Logging_2309/tillsynsmail/A 33485-2021 tillsynsbegäran mail.docx", "A 33485-2021")</f>
        <v/>
      </c>
      <c r="Z23">
        <f>HYPERLINK("https://klasma.github.io/Logging_2309/fåglar/A 33485-2021 prioriterade fågelarter.docx", "A 33485-2021")</f>
        <v/>
      </c>
    </row>
    <row r="24" ht="15" customHeight="1">
      <c r="A24" t="inlineStr">
        <is>
          <t>A 55352-2021</t>
        </is>
      </c>
      <c r="B24" s="1" t="n">
        <v>44475</v>
      </c>
      <c r="C24" s="1" t="n">
        <v>45349</v>
      </c>
      <c r="D24" t="inlineStr">
        <is>
          <t>JÄMTLANDS LÄN</t>
        </is>
      </c>
      <c r="E24" t="inlineStr">
        <is>
          <t>KROKOM</t>
        </is>
      </c>
      <c r="G24" t="n">
        <v>1.5</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55352-2021 artfynd.xlsx", "A 55352-2021")</f>
        <v/>
      </c>
      <c r="T24">
        <f>HYPERLINK("https://klasma.github.io/Logging_2309/kartor/A 55352-2021 karta.png", "A 55352-2021")</f>
        <v/>
      </c>
      <c r="U24">
        <f>HYPERLINK("https://klasma.github.io/Logging_2309/knärot/A 55352-2021 karta knärot.png", "A 55352-2021")</f>
        <v/>
      </c>
      <c r="V24">
        <f>HYPERLINK("https://klasma.github.io/Logging_2309/klagomål/A 55352-2021 FSC-klagomål.docx", "A 55352-2021")</f>
        <v/>
      </c>
      <c r="W24">
        <f>HYPERLINK("https://klasma.github.io/Logging_2309/klagomålsmail/A 55352-2021 FSC-klagomål mail.docx", "A 55352-2021")</f>
        <v/>
      </c>
      <c r="X24">
        <f>HYPERLINK("https://klasma.github.io/Logging_2309/tillsyn/A 55352-2021 tillsynsbegäran.docx", "A 55352-2021")</f>
        <v/>
      </c>
      <c r="Y24">
        <f>HYPERLINK("https://klasma.github.io/Logging_2309/tillsynsmail/A 55352-2021 tillsynsbegäran mail.docx", "A 55352-2021")</f>
        <v/>
      </c>
      <c r="Z24">
        <f>HYPERLINK("https://klasma.github.io/Logging_2309/fåglar/A 55352-2021 prioriterade fågelarter.docx", "A 55352-2021")</f>
        <v/>
      </c>
    </row>
    <row r="25" ht="15" customHeight="1">
      <c r="A25" t="inlineStr">
        <is>
          <t>A 43194-2022</t>
        </is>
      </c>
      <c r="B25" s="1" t="n">
        <v>44834</v>
      </c>
      <c r="C25" s="1" t="n">
        <v>45349</v>
      </c>
      <c r="D25" t="inlineStr">
        <is>
          <t>JÄMTLANDS LÄN</t>
        </is>
      </c>
      <c r="E25" t="inlineStr">
        <is>
          <t>KROKOM</t>
        </is>
      </c>
      <c r="G25" t="n">
        <v>3.9</v>
      </c>
      <c r="H25" t="n">
        <v>3</v>
      </c>
      <c r="I25" t="n">
        <v>1</v>
      </c>
      <c r="J25" t="n">
        <v>8</v>
      </c>
      <c r="K25" t="n">
        <v>2</v>
      </c>
      <c r="L25" t="n">
        <v>0</v>
      </c>
      <c r="M25" t="n">
        <v>0</v>
      </c>
      <c r="N25" t="n">
        <v>0</v>
      </c>
      <c r="O25" t="n">
        <v>10</v>
      </c>
      <c r="P25" t="n">
        <v>2</v>
      </c>
      <c r="Q25" t="n">
        <v>11</v>
      </c>
      <c r="R25" s="2" t="inlineStr">
        <is>
          <t>Blackticka
Knärot
Garnlav
Granticka
Järpe
Liten svartspik
Lunglav
Tretåig hackspett
Ullticka
Vitgrynig nållav
Stuplav</t>
        </is>
      </c>
      <c r="S25">
        <f>HYPERLINK("https://klasma.github.io/Logging_2309/artfynd/A 43194-2022 artfynd.xlsx", "A 43194-2022")</f>
        <v/>
      </c>
      <c r="T25">
        <f>HYPERLINK("https://klasma.github.io/Logging_2309/kartor/A 43194-2022 karta.png", "A 43194-2022")</f>
        <v/>
      </c>
      <c r="U25">
        <f>HYPERLINK("https://klasma.github.io/Logging_2309/knärot/A 43194-2022 karta knärot.png", "A 43194-2022")</f>
        <v/>
      </c>
      <c r="V25">
        <f>HYPERLINK("https://klasma.github.io/Logging_2309/klagomål/A 43194-2022 FSC-klagomål.docx", "A 43194-2022")</f>
        <v/>
      </c>
      <c r="W25">
        <f>HYPERLINK("https://klasma.github.io/Logging_2309/klagomålsmail/A 43194-2022 FSC-klagomål mail.docx", "A 43194-2022")</f>
        <v/>
      </c>
      <c r="X25">
        <f>HYPERLINK("https://klasma.github.io/Logging_2309/tillsyn/A 43194-2022 tillsynsbegäran.docx", "A 43194-2022")</f>
        <v/>
      </c>
      <c r="Y25">
        <f>HYPERLINK("https://klasma.github.io/Logging_2309/tillsynsmail/A 43194-2022 tillsynsbegäran mail.docx", "A 43194-2022")</f>
        <v/>
      </c>
      <c r="Z25">
        <f>HYPERLINK("https://klasma.github.io/Logging_2309/fåglar/A 43194-2022 prioriterade fågelarter.docx", "A 43194-2022")</f>
        <v/>
      </c>
    </row>
    <row r="26" ht="15" customHeight="1">
      <c r="A26" t="inlineStr">
        <is>
          <t>A 68085-2019</t>
        </is>
      </c>
      <c r="B26" s="1" t="n">
        <v>43816</v>
      </c>
      <c r="C26" s="1" t="n">
        <v>45349</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45349</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45349</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45349</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45349</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45349</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45349</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45349</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45349</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45349</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45349</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45349</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45349</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45349</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45349</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45349</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45349</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45349</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45349</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45349</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45349</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3134-2024</t>
        </is>
      </c>
      <c r="B47" s="1" t="n">
        <v>45316</v>
      </c>
      <c r="C47" s="1" t="n">
        <v>45349</v>
      </c>
      <c r="D47" t="inlineStr">
        <is>
          <t>JÄMTLANDS LÄN</t>
        </is>
      </c>
      <c r="E47" t="inlineStr">
        <is>
          <t>KROKOM</t>
        </is>
      </c>
      <c r="G47" t="n">
        <v>11.2</v>
      </c>
      <c r="H47" t="n">
        <v>2</v>
      </c>
      <c r="I47" t="n">
        <v>1</v>
      </c>
      <c r="J47" t="n">
        <v>5</v>
      </c>
      <c r="K47" t="n">
        <v>1</v>
      </c>
      <c r="L47" t="n">
        <v>0</v>
      </c>
      <c r="M47" t="n">
        <v>0</v>
      </c>
      <c r="N47" t="n">
        <v>0</v>
      </c>
      <c r="O47" t="n">
        <v>6</v>
      </c>
      <c r="P47" t="n">
        <v>1</v>
      </c>
      <c r="Q47" t="n">
        <v>7</v>
      </c>
      <c r="R47" s="2" t="inlineStr">
        <is>
          <t>Sprickporing
Garnlav
Granticka
Månlåsbräken
Spillkråka
Tretåig hackspett
Vedticka</t>
        </is>
      </c>
      <c r="S47">
        <f>HYPERLINK("https://klasma.github.io/Logging_2309/artfynd/A 3134-2024 artfynd.xlsx", "A 3134-2024")</f>
        <v/>
      </c>
      <c r="T47">
        <f>HYPERLINK("https://klasma.github.io/Logging_2309/kartor/A 3134-2024 karta.png", "A 3134-2024")</f>
        <v/>
      </c>
      <c r="V47">
        <f>HYPERLINK("https://klasma.github.io/Logging_2309/klagomål/A 3134-2024 FSC-klagomål.docx", "A 3134-2024")</f>
        <v/>
      </c>
      <c r="W47">
        <f>HYPERLINK("https://klasma.github.io/Logging_2309/klagomålsmail/A 3134-2024 FSC-klagomål mail.docx", "A 3134-2024")</f>
        <v/>
      </c>
      <c r="X47">
        <f>HYPERLINK("https://klasma.github.io/Logging_2309/tillsyn/A 3134-2024 tillsynsbegäran.docx", "A 3134-2024")</f>
        <v/>
      </c>
      <c r="Y47">
        <f>HYPERLINK("https://klasma.github.io/Logging_2309/tillsynsmail/A 3134-2024 tillsynsbegäran mail.docx", "A 3134-2024")</f>
        <v/>
      </c>
      <c r="Z47">
        <f>HYPERLINK("https://klasma.github.io/Logging_2309/fåglar/A 3134-2024 prioriterade fågelarter.docx", "A 3134-2024")</f>
        <v/>
      </c>
    </row>
    <row r="48" ht="15" customHeight="1">
      <c r="A48" t="inlineStr">
        <is>
          <t>A 68314-2019</t>
        </is>
      </c>
      <c r="B48" s="1" t="n">
        <v>43817</v>
      </c>
      <c r="C48" s="1" t="n">
        <v>45349</v>
      </c>
      <c r="D48" t="inlineStr">
        <is>
          <t>JÄMTLANDS LÄN</t>
        </is>
      </c>
      <c r="E48" t="inlineStr">
        <is>
          <t>KROKOM</t>
        </is>
      </c>
      <c r="F48" t="inlineStr">
        <is>
          <t>SCA</t>
        </is>
      </c>
      <c r="G48" t="n">
        <v>12.6</v>
      </c>
      <c r="H48" t="n">
        <v>0</v>
      </c>
      <c r="I48" t="n">
        <v>1</v>
      </c>
      <c r="J48" t="n">
        <v>3</v>
      </c>
      <c r="K48" t="n">
        <v>2</v>
      </c>
      <c r="L48" t="n">
        <v>0</v>
      </c>
      <c r="M48" t="n">
        <v>0</v>
      </c>
      <c r="N48" t="n">
        <v>0</v>
      </c>
      <c r="O48" t="n">
        <v>5</v>
      </c>
      <c r="P48" t="n">
        <v>2</v>
      </c>
      <c r="Q48" t="n">
        <v>6</v>
      </c>
      <c r="R48" s="2" t="inlineStr">
        <is>
          <t>Gräddporing
Rynkskinn
Doftskinn
Tallticka
Vedtrappmossa
Korallblylav</t>
        </is>
      </c>
      <c r="S48">
        <f>HYPERLINK("https://klasma.github.io/Logging_2309/artfynd/A 68314-2019 artfynd.xlsx", "A 68314-2019")</f>
        <v/>
      </c>
      <c r="T48">
        <f>HYPERLINK("https://klasma.github.io/Logging_2309/kartor/A 68314-2019 karta.png", "A 68314-2019")</f>
        <v/>
      </c>
      <c r="V48">
        <f>HYPERLINK("https://klasma.github.io/Logging_2309/klagomål/A 68314-2019 FSC-klagomål.docx", "A 68314-2019")</f>
        <v/>
      </c>
      <c r="W48">
        <f>HYPERLINK("https://klasma.github.io/Logging_2309/klagomålsmail/A 68314-2019 FSC-klagomål mail.docx", "A 68314-2019")</f>
        <v/>
      </c>
      <c r="X48">
        <f>HYPERLINK("https://klasma.github.io/Logging_2309/tillsyn/A 68314-2019 tillsynsbegäran.docx", "A 68314-2019")</f>
        <v/>
      </c>
      <c r="Y48">
        <f>HYPERLINK("https://klasma.github.io/Logging_2309/tillsynsmail/A 68314-2019 tillsynsbegäran mail.docx", "A 68314-2019")</f>
        <v/>
      </c>
    </row>
    <row r="49" ht="15" customHeight="1">
      <c r="A49" t="inlineStr">
        <is>
          <t>A 31537-2020</t>
        </is>
      </c>
      <c r="B49" s="1" t="n">
        <v>44013</v>
      </c>
      <c r="C49" s="1" t="n">
        <v>45349</v>
      </c>
      <c r="D49" t="inlineStr">
        <is>
          <t>JÄMTLANDS LÄN</t>
        </is>
      </c>
      <c r="E49" t="inlineStr">
        <is>
          <t>KROKOM</t>
        </is>
      </c>
      <c r="G49" t="n">
        <v>5</v>
      </c>
      <c r="H49" t="n">
        <v>2</v>
      </c>
      <c r="I49" t="n">
        <v>1</v>
      </c>
      <c r="J49" t="n">
        <v>4</v>
      </c>
      <c r="K49" t="n">
        <v>1</v>
      </c>
      <c r="L49" t="n">
        <v>0</v>
      </c>
      <c r="M49" t="n">
        <v>0</v>
      </c>
      <c r="N49" t="n">
        <v>0</v>
      </c>
      <c r="O49" t="n">
        <v>5</v>
      </c>
      <c r="P49" t="n">
        <v>1</v>
      </c>
      <c r="Q49" t="n">
        <v>6</v>
      </c>
      <c r="R49" s="2" t="inlineStr">
        <is>
          <t>Knärot
Garnlav
Gränsticka
Tretåig hackspett
Ullticka
Korallblylav</t>
        </is>
      </c>
      <c r="S49">
        <f>HYPERLINK("https://klasma.github.io/Logging_2309/artfynd/A 31537-2020 artfynd.xlsx", "A 31537-2020")</f>
        <v/>
      </c>
      <c r="T49">
        <f>HYPERLINK("https://klasma.github.io/Logging_2309/kartor/A 31537-2020 karta.png", "A 31537-2020")</f>
        <v/>
      </c>
      <c r="U49">
        <f>HYPERLINK("https://klasma.github.io/Logging_2309/knärot/A 31537-2020 karta knärot.png", "A 31537-2020")</f>
        <v/>
      </c>
      <c r="V49">
        <f>HYPERLINK("https://klasma.github.io/Logging_2309/klagomål/A 31537-2020 FSC-klagomål.docx", "A 31537-2020")</f>
        <v/>
      </c>
      <c r="W49">
        <f>HYPERLINK("https://klasma.github.io/Logging_2309/klagomålsmail/A 31537-2020 FSC-klagomål mail.docx", "A 31537-2020")</f>
        <v/>
      </c>
      <c r="X49">
        <f>HYPERLINK("https://klasma.github.io/Logging_2309/tillsyn/A 31537-2020 tillsynsbegäran.docx", "A 31537-2020")</f>
        <v/>
      </c>
      <c r="Y49">
        <f>HYPERLINK("https://klasma.github.io/Logging_2309/tillsynsmail/A 31537-2020 tillsynsbegäran mail.docx", "A 31537-2020")</f>
        <v/>
      </c>
      <c r="Z49">
        <f>HYPERLINK("https://klasma.github.io/Logging_2309/fåglar/A 31537-2020 prioriterade fågelarter.docx", "A 31537-2020")</f>
        <v/>
      </c>
    </row>
    <row r="50" ht="15" customHeight="1">
      <c r="A50" t="inlineStr">
        <is>
          <t>A 61315-2020</t>
        </is>
      </c>
      <c r="B50" s="1" t="n">
        <v>44155</v>
      </c>
      <c r="C50" s="1" t="n">
        <v>45349</v>
      </c>
      <c r="D50" t="inlineStr">
        <is>
          <t>JÄMTLANDS LÄN</t>
        </is>
      </c>
      <c r="E50" t="inlineStr">
        <is>
          <t>KROKOM</t>
        </is>
      </c>
      <c r="F50" t="inlineStr">
        <is>
          <t>Övriga Aktiebolag</t>
        </is>
      </c>
      <c r="G50" t="n">
        <v>56.4</v>
      </c>
      <c r="H50" t="n">
        <v>0</v>
      </c>
      <c r="I50" t="n">
        <v>3</v>
      </c>
      <c r="J50" t="n">
        <v>3</v>
      </c>
      <c r="K50" t="n">
        <v>0</v>
      </c>
      <c r="L50" t="n">
        <v>0</v>
      </c>
      <c r="M50" t="n">
        <v>0</v>
      </c>
      <c r="N50" t="n">
        <v>0</v>
      </c>
      <c r="O50" t="n">
        <v>3</v>
      </c>
      <c r="P50" t="n">
        <v>0</v>
      </c>
      <c r="Q50" t="n">
        <v>6</v>
      </c>
      <c r="R50" s="2" t="inlineStr">
        <is>
          <t>Gammelgransskål
Granticka
Vitgrynig nållav
Barkkornlav
Skinnlav
Vedticka</t>
        </is>
      </c>
      <c r="S50">
        <f>HYPERLINK("https://klasma.github.io/Logging_2309/artfynd/A 61315-2020 artfynd.xlsx", "A 61315-2020")</f>
        <v/>
      </c>
      <c r="T50">
        <f>HYPERLINK("https://klasma.github.io/Logging_2309/kartor/A 61315-2020 karta.png", "A 61315-2020")</f>
        <v/>
      </c>
      <c r="V50">
        <f>HYPERLINK("https://klasma.github.io/Logging_2309/klagomål/A 61315-2020 FSC-klagomål.docx", "A 61315-2020")</f>
        <v/>
      </c>
      <c r="W50">
        <f>HYPERLINK("https://klasma.github.io/Logging_2309/klagomålsmail/A 61315-2020 FSC-klagomål mail.docx", "A 61315-2020")</f>
        <v/>
      </c>
      <c r="X50">
        <f>HYPERLINK("https://klasma.github.io/Logging_2309/tillsyn/A 61315-2020 tillsynsbegäran.docx", "A 61315-2020")</f>
        <v/>
      </c>
      <c r="Y50">
        <f>HYPERLINK("https://klasma.github.io/Logging_2309/tillsynsmail/A 61315-2020 tillsynsbegäran mail.docx", "A 61315-2020")</f>
        <v/>
      </c>
    </row>
    <row r="51" ht="15" customHeight="1">
      <c r="A51" t="inlineStr">
        <is>
          <t>A 11786-2021</t>
        </is>
      </c>
      <c r="B51" s="1" t="n">
        <v>44265</v>
      </c>
      <c r="C51" s="1" t="n">
        <v>45349</v>
      </c>
      <c r="D51" t="inlineStr">
        <is>
          <t>JÄMTLANDS LÄN</t>
        </is>
      </c>
      <c r="E51" t="inlineStr">
        <is>
          <t>KROKOM</t>
        </is>
      </c>
      <c r="G51" t="n">
        <v>6.1</v>
      </c>
      <c r="H51" t="n">
        <v>2</v>
      </c>
      <c r="I51" t="n">
        <v>1</v>
      </c>
      <c r="J51" t="n">
        <v>4</v>
      </c>
      <c r="K51" t="n">
        <v>1</v>
      </c>
      <c r="L51" t="n">
        <v>0</v>
      </c>
      <c r="M51" t="n">
        <v>0</v>
      </c>
      <c r="N51" t="n">
        <v>0</v>
      </c>
      <c r="O51" t="n">
        <v>5</v>
      </c>
      <c r="P51" t="n">
        <v>1</v>
      </c>
      <c r="Q51" t="n">
        <v>6</v>
      </c>
      <c r="R51" s="2" t="inlineStr">
        <is>
          <t>Sprickporing
Garnlav
Granticka
Spillkråka
Tretåig hackspett
Vedticka</t>
        </is>
      </c>
      <c r="S51">
        <f>HYPERLINK("https://klasma.github.io/Logging_2309/artfynd/A 11786-2021 artfynd.xlsx", "A 11786-2021")</f>
        <v/>
      </c>
      <c r="T51">
        <f>HYPERLINK("https://klasma.github.io/Logging_2309/kartor/A 11786-2021 karta.png", "A 11786-2021")</f>
        <v/>
      </c>
      <c r="V51">
        <f>HYPERLINK("https://klasma.github.io/Logging_2309/klagomål/A 11786-2021 FSC-klagomål.docx", "A 11786-2021")</f>
        <v/>
      </c>
      <c r="W51">
        <f>HYPERLINK("https://klasma.github.io/Logging_2309/klagomålsmail/A 11786-2021 FSC-klagomål mail.docx", "A 11786-2021")</f>
        <v/>
      </c>
      <c r="X51">
        <f>HYPERLINK("https://klasma.github.io/Logging_2309/tillsyn/A 11786-2021 tillsynsbegäran.docx", "A 11786-2021")</f>
        <v/>
      </c>
      <c r="Y51">
        <f>HYPERLINK("https://klasma.github.io/Logging_2309/tillsynsmail/A 11786-2021 tillsynsbegäran mail.docx", "A 11786-2021")</f>
        <v/>
      </c>
      <c r="Z51">
        <f>HYPERLINK("https://klasma.github.io/Logging_2309/fåglar/A 11786-2021 prioriterade fågelarter.docx", "A 11786-2021")</f>
        <v/>
      </c>
    </row>
    <row r="52" ht="15" customHeight="1">
      <c r="A52" t="inlineStr">
        <is>
          <t>A 12925-2021</t>
        </is>
      </c>
      <c r="B52" s="1" t="n">
        <v>44271</v>
      </c>
      <c r="C52" s="1" t="n">
        <v>45349</v>
      </c>
      <c r="D52" t="inlineStr">
        <is>
          <t>JÄMTLANDS LÄN</t>
        </is>
      </c>
      <c r="E52" t="inlineStr">
        <is>
          <t>KROKOM</t>
        </is>
      </c>
      <c r="G52" t="n">
        <v>12</v>
      </c>
      <c r="H52" t="n">
        <v>0</v>
      </c>
      <c r="I52" t="n">
        <v>5</v>
      </c>
      <c r="J52" t="n">
        <v>1</v>
      </c>
      <c r="K52" t="n">
        <v>0</v>
      </c>
      <c r="L52" t="n">
        <v>0</v>
      </c>
      <c r="M52" t="n">
        <v>0</v>
      </c>
      <c r="N52" t="n">
        <v>0</v>
      </c>
      <c r="O52" t="n">
        <v>1</v>
      </c>
      <c r="P52" t="n">
        <v>0</v>
      </c>
      <c r="Q52" t="n">
        <v>6</v>
      </c>
      <c r="R52" s="2" t="inlineStr">
        <is>
          <t>Flattoppad klubbsvamp
Barrfagerspindling
Diskvaxskivling
Kryddspindling
Strimspindling
Svavelriska</t>
        </is>
      </c>
      <c r="S52">
        <f>HYPERLINK("https://klasma.github.io/Logging_2309/artfynd/A 12925-2021 artfynd.xlsx", "A 12925-2021")</f>
        <v/>
      </c>
      <c r="T52">
        <f>HYPERLINK("https://klasma.github.io/Logging_2309/kartor/A 12925-2021 karta.png", "A 12925-2021")</f>
        <v/>
      </c>
      <c r="V52">
        <f>HYPERLINK("https://klasma.github.io/Logging_2309/klagomål/A 12925-2021 FSC-klagomål.docx", "A 12925-2021")</f>
        <v/>
      </c>
      <c r="W52">
        <f>HYPERLINK("https://klasma.github.io/Logging_2309/klagomålsmail/A 12925-2021 FSC-klagomål mail.docx", "A 12925-2021")</f>
        <v/>
      </c>
      <c r="X52">
        <f>HYPERLINK("https://klasma.github.io/Logging_2309/tillsyn/A 12925-2021 tillsynsbegäran.docx", "A 12925-2021")</f>
        <v/>
      </c>
      <c r="Y52">
        <f>HYPERLINK("https://klasma.github.io/Logging_2309/tillsynsmail/A 12925-2021 tillsynsbegäran mail.docx", "A 12925-2021")</f>
        <v/>
      </c>
    </row>
    <row r="53" ht="15" customHeight="1">
      <c r="A53" t="inlineStr">
        <is>
          <t>A 56194-2021</t>
        </is>
      </c>
      <c r="B53" s="1" t="n">
        <v>44477</v>
      </c>
      <c r="C53" s="1" t="n">
        <v>45349</v>
      </c>
      <c r="D53" t="inlineStr">
        <is>
          <t>JÄMTLANDS LÄN</t>
        </is>
      </c>
      <c r="E53" t="inlineStr">
        <is>
          <t>KROKOM</t>
        </is>
      </c>
      <c r="F53" t="inlineStr">
        <is>
          <t>Övriga Aktiebolag</t>
        </is>
      </c>
      <c r="G53" t="n">
        <v>25.1</v>
      </c>
      <c r="H53" t="n">
        <v>0</v>
      </c>
      <c r="I53" t="n">
        <v>5</v>
      </c>
      <c r="J53" t="n">
        <v>1</v>
      </c>
      <c r="K53" t="n">
        <v>0</v>
      </c>
      <c r="L53" t="n">
        <v>0</v>
      </c>
      <c r="M53" t="n">
        <v>0</v>
      </c>
      <c r="N53" t="n">
        <v>0</v>
      </c>
      <c r="O53" t="n">
        <v>1</v>
      </c>
      <c r="P53" t="n">
        <v>0</v>
      </c>
      <c r="Q53" t="n">
        <v>6</v>
      </c>
      <c r="R53" s="2" t="inlineStr">
        <is>
          <t>Lunglav
Granriska
Kambräken
Korallblylav
Luddlav
Västlig hakmossa</t>
        </is>
      </c>
      <c r="S53">
        <f>HYPERLINK("https://klasma.github.io/Logging_2309/artfynd/A 56194-2021 artfynd.xlsx", "A 56194-2021")</f>
        <v/>
      </c>
      <c r="T53">
        <f>HYPERLINK("https://klasma.github.io/Logging_2309/kartor/A 56194-2021 karta.png", "A 56194-2021")</f>
        <v/>
      </c>
      <c r="V53">
        <f>HYPERLINK("https://klasma.github.io/Logging_2309/klagomål/A 56194-2021 FSC-klagomål.docx", "A 56194-2021")</f>
        <v/>
      </c>
      <c r="W53">
        <f>HYPERLINK("https://klasma.github.io/Logging_2309/klagomålsmail/A 56194-2021 FSC-klagomål mail.docx", "A 56194-2021")</f>
        <v/>
      </c>
      <c r="X53">
        <f>HYPERLINK("https://klasma.github.io/Logging_2309/tillsyn/A 56194-2021 tillsynsbegäran.docx", "A 56194-2021")</f>
        <v/>
      </c>
      <c r="Y53">
        <f>HYPERLINK("https://klasma.github.io/Logging_2309/tillsynsmail/A 56194-2021 tillsynsbegäran mail.docx", "A 56194-2021")</f>
        <v/>
      </c>
    </row>
    <row r="54" ht="15" customHeight="1">
      <c r="A54" t="inlineStr">
        <is>
          <t>A 60004-2021</t>
        </is>
      </c>
      <c r="B54" s="1" t="n">
        <v>44494</v>
      </c>
      <c r="C54" s="1" t="n">
        <v>45349</v>
      </c>
      <c r="D54" t="inlineStr">
        <is>
          <t>JÄMTLANDS LÄN</t>
        </is>
      </c>
      <c r="E54" t="inlineStr">
        <is>
          <t>KROKOM</t>
        </is>
      </c>
      <c r="F54" t="inlineStr">
        <is>
          <t>SCA</t>
        </is>
      </c>
      <c r="G54" t="n">
        <v>5.8</v>
      </c>
      <c r="H54" t="n">
        <v>3</v>
      </c>
      <c r="I54" t="n">
        <v>3</v>
      </c>
      <c r="J54" t="n">
        <v>1</v>
      </c>
      <c r="K54" t="n">
        <v>1</v>
      </c>
      <c r="L54" t="n">
        <v>0</v>
      </c>
      <c r="M54" t="n">
        <v>0</v>
      </c>
      <c r="N54" t="n">
        <v>0</v>
      </c>
      <c r="O54" t="n">
        <v>2</v>
      </c>
      <c r="P54" t="n">
        <v>1</v>
      </c>
      <c r="Q54" t="n">
        <v>6</v>
      </c>
      <c r="R54" s="2" t="inlineStr">
        <is>
          <t>Knärot
Ullticka
Diskvaxskivling
Guckusko
Svavelriska
Blåsippa</t>
        </is>
      </c>
      <c r="S54">
        <f>HYPERLINK("https://klasma.github.io/Logging_2309/artfynd/A 60004-2021 artfynd.xlsx", "A 60004-2021")</f>
        <v/>
      </c>
      <c r="T54">
        <f>HYPERLINK("https://klasma.github.io/Logging_2309/kartor/A 60004-2021 karta.png", "A 60004-2021")</f>
        <v/>
      </c>
      <c r="U54">
        <f>HYPERLINK("https://klasma.github.io/Logging_2309/knärot/A 60004-2021 karta knärot.png", "A 60004-2021")</f>
        <v/>
      </c>
      <c r="V54">
        <f>HYPERLINK("https://klasma.github.io/Logging_2309/klagomål/A 60004-2021 FSC-klagomål.docx", "A 60004-2021")</f>
        <v/>
      </c>
      <c r="W54">
        <f>HYPERLINK("https://klasma.github.io/Logging_2309/klagomålsmail/A 60004-2021 FSC-klagomål mail.docx", "A 60004-2021")</f>
        <v/>
      </c>
      <c r="X54">
        <f>HYPERLINK("https://klasma.github.io/Logging_2309/tillsyn/A 60004-2021 tillsynsbegäran.docx", "A 60004-2021")</f>
        <v/>
      </c>
      <c r="Y54">
        <f>HYPERLINK("https://klasma.github.io/Logging_2309/tillsynsmail/A 60004-2021 tillsynsbegäran mail.docx", "A 60004-2021")</f>
        <v/>
      </c>
    </row>
    <row r="55" ht="15" customHeight="1">
      <c r="A55" t="inlineStr">
        <is>
          <t>A 70205-2021</t>
        </is>
      </c>
      <c r="B55" s="1" t="n">
        <v>44534</v>
      </c>
      <c r="C55" s="1" t="n">
        <v>45349</v>
      </c>
      <c r="D55" t="inlineStr">
        <is>
          <t>JÄMTLANDS LÄN</t>
        </is>
      </c>
      <c r="E55" t="inlineStr">
        <is>
          <t>KROKOM</t>
        </is>
      </c>
      <c r="F55" t="inlineStr">
        <is>
          <t>SCA</t>
        </is>
      </c>
      <c r="G55" t="n">
        <v>5.4</v>
      </c>
      <c r="H55" t="n">
        <v>0</v>
      </c>
      <c r="I55" t="n">
        <v>1</v>
      </c>
      <c r="J55" t="n">
        <v>5</v>
      </c>
      <c r="K55" t="n">
        <v>0</v>
      </c>
      <c r="L55" t="n">
        <v>0</v>
      </c>
      <c r="M55" t="n">
        <v>0</v>
      </c>
      <c r="N55" t="n">
        <v>0</v>
      </c>
      <c r="O55" t="n">
        <v>5</v>
      </c>
      <c r="P55" t="n">
        <v>0</v>
      </c>
      <c r="Q55" t="n">
        <v>6</v>
      </c>
      <c r="R55" s="2" t="inlineStr">
        <is>
          <t>Garnlav
Granticka
Harticka
Skrovellav
Ullticka
Trådticka</t>
        </is>
      </c>
      <c r="S55">
        <f>HYPERLINK("https://klasma.github.io/Logging_2309/artfynd/A 70205-2021 artfynd.xlsx", "A 70205-2021")</f>
        <v/>
      </c>
      <c r="T55">
        <f>HYPERLINK("https://klasma.github.io/Logging_2309/kartor/A 70205-2021 karta.png", "A 70205-2021")</f>
        <v/>
      </c>
      <c r="V55">
        <f>HYPERLINK("https://klasma.github.io/Logging_2309/klagomål/A 70205-2021 FSC-klagomål.docx", "A 70205-2021")</f>
        <v/>
      </c>
      <c r="W55">
        <f>HYPERLINK("https://klasma.github.io/Logging_2309/klagomålsmail/A 70205-2021 FSC-klagomål mail.docx", "A 70205-2021")</f>
        <v/>
      </c>
      <c r="X55">
        <f>HYPERLINK("https://klasma.github.io/Logging_2309/tillsyn/A 70205-2021 tillsynsbegäran.docx", "A 70205-2021")</f>
        <v/>
      </c>
      <c r="Y55">
        <f>HYPERLINK("https://klasma.github.io/Logging_2309/tillsynsmail/A 70205-2021 tillsynsbegäran mail.docx", "A 70205-2021")</f>
        <v/>
      </c>
    </row>
    <row r="56" ht="15" customHeight="1">
      <c r="A56" t="inlineStr">
        <is>
          <t>A 35158-2022</t>
        </is>
      </c>
      <c r="B56" s="1" t="n">
        <v>44797</v>
      </c>
      <c r="C56" s="1" t="n">
        <v>45349</v>
      </c>
      <c r="D56" t="inlineStr">
        <is>
          <t>JÄMTLANDS LÄN</t>
        </is>
      </c>
      <c r="E56" t="inlineStr">
        <is>
          <t>KROKOM</t>
        </is>
      </c>
      <c r="G56" t="n">
        <v>17.5</v>
      </c>
      <c r="H56" t="n">
        <v>1</v>
      </c>
      <c r="I56" t="n">
        <v>2</v>
      </c>
      <c r="J56" t="n">
        <v>4</v>
      </c>
      <c r="K56" t="n">
        <v>0</v>
      </c>
      <c r="L56" t="n">
        <v>0</v>
      </c>
      <c r="M56" t="n">
        <v>0</v>
      </c>
      <c r="N56" t="n">
        <v>0</v>
      </c>
      <c r="O56" t="n">
        <v>4</v>
      </c>
      <c r="P56" t="n">
        <v>0</v>
      </c>
      <c r="Q56" t="n">
        <v>6</v>
      </c>
      <c r="R56" s="2" t="inlineStr">
        <is>
          <t>Lunglav
Skrovellav
Ullticka
Vitgrynig nållav
Grönkulla
Vedticka</t>
        </is>
      </c>
      <c r="S56">
        <f>HYPERLINK("https://klasma.github.io/Logging_2309/artfynd/A 35158-2022 artfynd.xlsx", "A 35158-2022")</f>
        <v/>
      </c>
      <c r="T56">
        <f>HYPERLINK("https://klasma.github.io/Logging_2309/kartor/A 35158-2022 karta.png", "A 35158-2022")</f>
        <v/>
      </c>
      <c r="V56">
        <f>HYPERLINK("https://klasma.github.io/Logging_2309/klagomål/A 35158-2022 FSC-klagomål.docx", "A 35158-2022")</f>
        <v/>
      </c>
      <c r="W56">
        <f>HYPERLINK("https://klasma.github.io/Logging_2309/klagomålsmail/A 35158-2022 FSC-klagomål mail.docx", "A 35158-2022")</f>
        <v/>
      </c>
      <c r="X56">
        <f>HYPERLINK("https://klasma.github.io/Logging_2309/tillsyn/A 35158-2022 tillsynsbegäran.docx", "A 35158-2022")</f>
        <v/>
      </c>
      <c r="Y56">
        <f>HYPERLINK("https://klasma.github.io/Logging_2309/tillsynsmail/A 35158-2022 tillsynsbegäran mail.docx", "A 35158-2022")</f>
        <v/>
      </c>
    </row>
    <row r="57" ht="15" customHeight="1">
      <c r="A57" t="inlineStr">
        <is>
          <t>A 43190-2022</t>
        </is>
      </c>
      <c r="B57" s="1" t="n">
        <v>44834</v>
      </c>
      <c r="C57" s="1" t="n">
        <v>45349</v>
      </c>
      <c r="D57" t="inlineStr">
        <is>
          <t>JÄMTLANDS LÄN</t>
        </is>
      </c>
      <c r="E57" t="inlineStr">
        <is>
          <t>KROKOM</t>
        </is>
      </c>
      <c r="G57" t="n">
        <v>6.8</v>
      </c>
      <c r="H57" t="n">
        <v>2</v>
      </c>
      <c r="I57" t="n">
        <v>2</v>
      </c>
      <c r="J57" t="n">
        <v>3</v>
      </c>
      <c r="K57" t="n">
        <v>1</v>
      </c>
      <c r="L57" t="n">
        <v>0</v>
      </c>
      <c r="M57" t="n">
        <v>0</v>
      </c>
      <c r="N57" t="n">
        <v>0</v>
      </c>
      <c r="O57" t="n">
        <v>4</v>
      </c>
      <c r="P57" t="n">
        <v>1</v>
      </c>
      <c r="Q57" t="n">
        <v>6</v>
      </c>
      <c r="R57" s="2" t="inlineStr">
        <is>
          <t>Knärot
Lunglav
Talltita
Ullticka
Bårdlav
Skinnlav</t>
        </is>
      </c>
      <c r="S57">
        <f>HYPERLINK("https://klasma.github.io/Logging_2309/artfynd/A 43190-2022 artfynd.xlsx", "A 43190-2022")</f>
        <v/>
      </c>
      <c r="T57">
        <f>HYPERLINK("https://klasma.github.io/Logging_2309/kartor/A 43190-2022 karta.png", "A 43190-2022")</f>
        <v/>
      </c>
      <c r="U57">
        <f>HYPERLINK("https://klasma.github.io/Logging_2309/knärot/A 43190-2022 karta knärot.png", "A 43190-2022")</f>
        <v/>
      </c>
      <c r="V57">
        <f>HYPERLINK("https://klasma.github.io/Logging_2309/klagomål/A 43190-2022 FSC-klagomål.docx", "A 43190-2022")</f>
        <v/>
      </c>
      <c r="W57">
        <f>HYPERLINK("https://klasma.github.io/Logging_2309/klagomålsmail/A 43190-2022 FSC-klagomål mail.docx", "A 43190-2022")</f>
        <v/>
      </c>
      <c r="X57">
        <f>HYPERLINK("https://klasma.github.io/Logging_2309/tillsyn/A 43190-2022 tillsynsbegäran.docx", "A 43190-2022")</f>
        <v/>
      </c>
      <c r="Y57">
        <f>HYPERLINK("https://klasma.github.io/Logging_2309/tillsynsmail/A 43190-2022 tillsynsbegäran mail.docx", "A 43190-2022")</f>
        <v/>
      </c>
      <c r="Z57">
        <f>HYPERLINK("https://klasma.github.io/Logging_2309/fåglar/A 43190-2022 prioriterade fågelarter.docx", "A 43190-2022")</f>
        <v/>
      </c>
    </row>
    <row r="58" ht="15" customHeight="1">
      <c r="A58" t="inlineStr">
        <is>
          <t>A 56247-2022</t>
        </is>
      </c>
      <c r="B58" s="1" t="n">
        <v>44890</v>
      </c>
      <c r="C58" s="1" t="n">
        <v>45349</v>
      </c>
      <c r="D58" t="inlineStr">
        <is>
          <t>JÄMTLANDS LÄN</t>
        </is>
      </c>
      <c r="E58" t="inlineStr">
        <is>
          <t>KROKOM</t>
        </is>
      </c>
      <c r="F58" t="inlineStr">
        <is>
          <t>Övriga Aktiebolag</t>
        </is>
      </c>
      <c r="G58" t="n">
        <v>40.3</v>
      </c>
      <c r="H58" t="n">
        <v>3</v>
      </c>
      <c r="I58" t="n">
        <v>2</v>
      </c>
      <c r="J58" t="n">
        <v>4</v>
      </c>
      <c r="K58" t="n">
        <v>0</v>
      </c>
      <c r="L58" t="n">
        <v>0</v>
      </c>
      <c r="M58" t="n">
        <v>0</v>
      </c>
      <c r="N58" t="n">
        <v>0</v>
      </c>
      <c r="O58" t="n">
        <v>4</v>
      </c>
      <c r="P58" t="n">
        <v>0</v>
      </c>
      <c r="Q58" t="n">
        <v>6</v>
      </c>
      <c r="R58" s="2" t="inlineStr">
        <is>
          <t>Gammelgransskål
Granticka
Spillkråka
Tretåig hackspett
Spindelblomster
Trådticka</t>
        </is>
      </c>
      <c r="S58">
        <f>HYPERLINK("https://klasma.github.io/Logging_2309/artfynd/A 56247-2022 artfynd.xlsx", "A 56247-2022")</f>
        <v/>
      </c>
      <c r="T58">
        <f>HYPERLINK("https://klasma.github.io/Logging_2309/kartor/A 56247-2022 karta.png", "A 56247-2022")</f>
        <v/>
      </c>
      <c r="V58">
        <f>HYPERLINK("https://klasma.github.io/Logging_2309/klagomål/A 56247-2022 FSC-klagomål.docx", "A 56247-2022")</f>
        <v/>
      </c>
      <c r="W58">
        <f>HYPERLINK("https://klasma.github.io/Logging_2309/klagomålsmail/A 56247-2022 FSC-klagomål mail.docx", "A 56247-2022")</f>
        <v/>
      </c>
      <c r="X58">
        <f>HYPERLINK("https://klasma.github.io/Logging_2309/tillsyn/A 56247-2022 tillsynsbegäran.docx", "A 56247-2022")</f>
        <v/>
      </c>
      <c r="Y58">
        <f>HYPERLINK("https://klasma.github.io/Logging_2309/tillsynsmail/A 56247-2022 tillsynsbegäran mail.docx", "A 56247-2022")</f>
        <v/>
      </c>
      <c r="Z58">
        <f>HYPERLINK("https://klasma.github.io/Logging_2309/fåglar/A 56247-2022 prioriterade fågelarter.docx", "A 56247-2022")</f>
        <v/>
      </c>
    </row>
    <row r="59" ht="15" customHeight="1">
      <c r="A59" t="inlineStr">
        <is>
          <t>A 42385-2023</t>
        </is>
      </c>
      <c r="B59" s="1" t="n">
        <v>45180</v>
      </c>
      <c r="C59" s="1" t="n">
        <v>45349</v>
      </c>
      <c r="D59" t="inlineStr">
        <is>
          <t>JÄMTLANDS LÄN</t>
        </is>
      </c>
      <c r="E59" t="inlineStr">
        <is>
          <t>KROKOM</t>
        </is>
      </c>
      <c r="F59" t="inlineStr">
        <is>
          <t>Övriga Aktiebolag</t>
        </is>
      </c>
      <c r="G59" t="n">
        <v>7.7</v>
      </c>
      <c r="H59" t="n">
        <v>1</v>
      </c>
      <c r="I59" t="n">
        <v>0</v>
      </c>
      <c r="J59" t="n">
        <v>4</v>
      </c>
      <c r="K59" t="n">
        <v>2</v>
      </c>
      <c r="L59" t="n">
        <v>0</v>
      </c>
      <c r="M59" t="n">
        <v>0</v>
      </c>
      <c r="N59" t="n">
        <v>0</v>
      </c>
      <c r="O59" t="n">
        <v>6</v>
      </c>
      <c r="P59" t="n">
        <v>2</v>
      </c>
      <c r="Q59" t="n">
        <v>6</v>
      </c>
      <c r="R59" s="2" t="inlineStr">
        <is>
          <t>Fjällfotad musseron
Goliatmusseron
Grantaggsvamp
Skrovlig taggsvamp
Tallriska
Tretåig hackspett</t>
        </is>
      </c>
      <c r="S59">
        <f>HYPERLINK("https://klasma.github.io/Logging_2309/artfynd/A 42385-2023 artfynd.xlsx", "A 42385-2023")</f>
        <v/>
      </c>
      <c r="T59">
        <f>HYPERLINK("https://klasma.github.io/Logging_2309/kartor/A 42385-2023 karta.png", "A 42385-2023")</f>
        <v/>
      </c>
      <c r="V59">
        <f>HYPERLINK("https://klasma.github.io/Logging_2309/klagomål/A 42385-2023 FSC-klagomål.docx", "A 42385-2023")</f>
        <v/>
      </c>
      <c r="W59">
        <f>HYPERLINK("https://klasma.github.io/Logging_2309/klagomålsmail/A 42385-2023 FSC-klagomål mail.docx", "A 42385-2023")</f>
        <v/>
      </c>
      <c r="X59">
        <f>HYPERLINK("https://klasma.github.io/Logging_2309/tillsyn/A 42385-2023 tillsynsbegäran.docx", "A 42385-2023")</f>
        <v/>
      </c>
      <c r="Y59">
        <f>HYPERLINK("https://klasma.github.io/Logging_2309/tillsynsmail/A 42385-2023 tillsynsbegäran mail.docx", "A 42385-2023")</f>
        <v/>
      </c>
      <c r="Z59">
        <f>HYPERLINK("https://klasma.github.io/Logging_2309/fåglar/A 42385-2023 prioriterade fågelarter.docx", "A 42385-2023")</f>
        <v/>
      </c>
    </row>
    <row r="60" ht="15" customHeight="1">
      <c r="A60" t="inlineStr">
        <is>
          <t>A 50389-2023</t>
        </is>
      </c>
      <c r="B60" s="1" t="n">
        <v>45209</v>
      </c>
      <c r="C60" s="1" t="n">
        <v>45349</v>
      </c>
      <c r="D60" t="inlineStr">
        <is>
          <t>JÄMTLANDS LÄN</t>
        </is>
      </c>
      <c r="E60" t="inlineStr">
        <is>
          <t>KROKOM</t>
        </is>
      </c>
      <c r="G60" t="n">
        <v>14.7</v>
      </c>
      <c r="H60" t="n">
        <v>2</v>
      </c>
      <c r="I60" t="n">
        <v>1</v>
      </c>
      <c r="J60" t="n">
        <v>5</v>
      </c>
      <c r="K60" t="n">
        <v>0</v>
      </c>
      <c r="L60" t="n">
        <v>0</v>
      </c>
      <c r="M60" t="n">
        <v>0</v>
      </c>
      <c r="N60" t="n">
        <v>0</v>
      </c>
      <c r="O60" t="n">
        <v>5</v>
      </c>
      <c r="P60" t="n">
        <v>0</v>
      </c>
      <c r="Q60" t="n">
        <v>6</v>
      </c>
      <c r="R60" s="2" t="inlineStr">
        <is>
          <t>Doftskinn
Garnlav
Harticka
Spillkråka
Tretåig hackspett
Trådticka</t>
        </is>
      </c>
      <c r="S60">
        <f>HYPERLINK("https://klasma.github.io/Logging_2309/artfynd/A 50389-2023 artfynd.xlsx", "A 50389-2023")</f>
        <v/>
      </c>
      <c r="T60">
        <f>HYPERLINK("https://klasma.github.io/Logging_2309/kartor/A 50389-2023 karta.png", "A 50389-2023")</f>
        <v/>
      </c>
      <c r="V60">
        <f>HYPERLINK("https://klasma.github.io/Logging_2309/klagomål/A 50389-2023 FSC-klagomål.docx", "A 50389-2023")</f>
        <v/>
      </c>
      <c r="W60">
        <f>HYPERLINK("https://klasma.github.io/Logging_2309/klagomålsmail/A 50389-2023 FSC-klagomål mail.docx", "A 50389-2023")</f>
        <v/>
      </c>
      <c r="X60">
        <f>HYPERLINK("https://klasma.github.io/Logging_2309/tillsyn/A 50389-2023 tillsynsbegäran.docx", "A 50389-2023")</f>
        <v/>
      </c>
      <c r="Y60">
        <f>HYPERLINK("https://klasma.github.io/Logging_2309/tillsynsmail/A 50389-2023 tillsynsbegäran mail.docx", "A 50389-2023")</f>
        <v/>
      </c>
      <c r="Z60">
        <f>HYPERLINK("https://klasma.github.io/Logging_2309/fåglar/A 50389-2023 prioriterade fågelarter.docx", "A 50389-2023")</f>
        <v/>
      </c>
    </row>
    <row r="61" ht="15" customHeight="1">
      <c r="A61" t="inlineStr">
        <is>
          <t>A 3604-2019</t>
        </is>
      </c>
      <c r="B61" s="1" t="n">
        <v>43474</v>
      </c>
      <c r="C61" s="1" t="n">
        <v>45349</v>
      </c>
      <c r="D61" t="inlineStr">
        <is>
          <t>JÄMTLANDS LÄN</t>
        </is>
      </c>
      <c r="E61" t="inlineStr">
        <is>
          <t>KROKOM</t>
        </is>
      </c>
      <c r="G61" t="n">
        <v>5.8</v>
      </c>
      <c r="H61" t="n">
        <v>0</v>
      </c>
      <c r="I61" t="n">
        <v>0</v>
      </c>
      <c r="J61" t="n">
        <v>4</v>
      </c>
      <c r="K61" t="n">
        <v>1</v>
      </c>
      <c r="L61" t="n">
        <v>0</v>
      </c>
      <c r="M61" t="n">
        <v>0</v>
      </c>
      <c r="N61" t="n">
        <v>0</v>
      </c>
      <c r="O61" t="n">
        <v>5</v>
      </c>
      <c r="P61" t="n">
        <v>1</v>
      </c>
      <c r="Q61" t="n">
        <v>5</v>
      </c>
      <c r="R61" s="2" t="inlineStr">
        <is>
          <t>Norsk näverlav
Gränsticka
Ullticka
Vedtrappmossa
Vitskaftad svartspik</t>
        </is>
      </c>
      <c r="S61">
        <f>HYPERLINK("https://klasma.github.io/Logging_2309/artfynd/A 3604-2019 artfynd.xlsx", "A 3604-2019")</f>
        <v/>
      </c>
      <c r="T61">
        <f>HYPERLINK("https://klasma.github.io/Logging_2309/kartor/A 3604-2019 karta.png", "A 3604-2019")</f>
        <v/>
      </c>
      <c r="V61">
        <f>HYPERLINK("https://klasma.github.io/Logging_2309/klagomål/A 3604-2019 FSC-klagomål.docx", "A 3604-2019")</f>
        <v/>
      </c>
      <c r="W61">
        <f>HYPERLINK("https://klasma.github.io/Logging_2309/klagomålsmail/A 3604-2019 FSC-klagomål mail.docx", "A 3604-2019")</f>
        <v/>
      </c>
      <c r="X61">
        <f>HYPERLINK("https://klasma.github.io/Logging_2309/tillsyn/A 3604-2019 tillsynsbegäran.docx", "A 3604-2019")</f>
        <v/>
      </c>
      <c r="Y61">
        <f>HYPERLINK("https://klasma.github.io/Logging_2309/tillsynsmail/A 3604-2019 tillsynsbegäran mail.docx", "A 3604-2019")</f>
        <v/>
      </c>
    </row>
    <row r="62" ht="15" customHeight="1">
      <c r="A62" t="inlineStr">
        <is>
          <t>A 52018-2019</t>
        </is>
      </c>
      <c r="B62" s="1" t="n">
        <v>43734</v>
      </c>
      <c r="C62" s="1" t="n">
        <v>45349</v>
      </c>
      <c r="D62" t="inlineStr">
        <is>
          <t>JÄMTLANDS LÄN</t>
        </is>
      </c>
      <c r="E62" t="inlineStr">
        <is>
          <t>KROKOM</t>
        </is>
      </c>
      <c r="G62" t="n">
        <v>1.5</v>
      </c>
      <c r="H62" t="n">
        <v>0</v>
      </c>
      <c r="I62" t="n">
        <v>0</v>
      </c>
      <c r="J62" t="n">
        <v>5</v>
      </c>
      <c r="K62" t="n">
        <v>0</v>
      </c>
      <c r="L62" t="n">
        <v>0</v>
      </c>
      <c r="M62" t="n">
        <v>0</v>
      </c>
      <c r="N62" t="n">
        <v>0</v>
      </c>
      <c r="O62" t="n">
        <v>5</v>
      </c>
      <c r="P62" t="n">
        <v>0</v>
      </c>
      <c r="Q62" t="n">
        <v>5</v>
      </c>
      <c r="R62" s="2" t="inlineStr">
        <is>
          <t>Doftskinn
Garnlav
Kavernularia
Liten svartspik
Vitgrynig nållav</t>
        </is>
      </c>
      <c r="S62">
        <f>HYPERLINK("https://klasma.github.io/Logging_2309/artfynd/A 52018-2019 artfynd.xlsx", "A 52018-2019")</f>
        <v/>
      </c>
      <c r="T62">
        <f>HYPERLINK("https://klasma.github.io/Logging_2309/kartor/A 52018-2019 karta.png", "A 52018-2019")</f>
        <v/>
      </c>
      <c r="V62">
        <f>HYPERLINK("https://klasma.github.io/Logging_2309/klagomål/A 52018-2019 FSC-klagomål.docx", "A 52018-2019")</f>
        <v/>
      </c>
      <c r="W62">
        <f>HYPERLINK("https://klasma.github.io/Logging_2309/klagomålsmail/A 52018-2019 FSC-klagomål mail.docx", "A 52018-2019")</f>
        <v/>
      </c>
      <c r="X62">
        <f>HYPERLINK("https://klasma.github.io/Logging_2309/tillsyn/A 52018-2019 tillsynsbegäran.docx", "A 52018-2019")</f>
        <v/>
      </c>
      <c r="Y62">
        <f>HYPERLINK("https://klasma.github.io/Logging_2309/tillsynsmail/A 52018-2019 tillsynsbegäran mail.docx", "A 52018-2019")</f>
        <v/>
      </c>
    </row>
    <row r="63" ht="15" customHeight="1">
      <c r="A63" t="inlineStr">
        <is>
          <t>A 68312-2019</t>
        </is>
      </c>
      <c r="B63" s="1" t="n">
        <v>43817</v>
      </c>
      <c r="C63" s="1" t="n">
        <v>45349</v>
      </c>
      <c r="D63" t="inlineStr">
        <is>
          <t>JÄMTLANDS LÄN</t>
        </is>
      </c>
      <c r="E63" t="inlineStr">
        <is>
          <t>KROKOM</t>
        </is>
      </c>
      <c r="F63" t="inlineStr">
        <is>
          <t>SCA</t>
        </is>
      </c>
      <c r="G63" t="n">
        <v>4.4</v>
      </c>
      <c r="H63" t="n">
        <v>1</v>
      </c>
      <c r="I63" t="n">
        <v>2</v>
      </c>
      <c r="J63" t="n">
        <v>2</v>
      </c>
      <c r="K63" t="n">
        <v>1</v>
      </c>
      <c r="L63" t="n">
        <v>0</v>
      </c>
      <c r="M63" t="n">
        <v>0</v>
      </c>
      <c r="N63" t="n">
        <v>0</v>
      </c>
      <c r="O63" t="n">
        <v>3</v>
      </c>
      <c r="P63" t="n">
        <v>1</v>
      </c>
      <c r="Q63" t="n">
        <v>5</v>
      </c>
      <c r="R63" s="2" t="inlineStr">
        <is>
          <t>Goliatmusseron
Lunglav
Skrovellav
Bårdlav
Plattlummer</t>
        </is>
      </c>
      <c r="S63">
        <f>HYPERLINK("https://klasma.github.io/Logging_2309/artfynd/A 68312-2019 artfynd.xlsx", "A 68312-2019")</f>
        <v/>
      </c>
      <c r="T63">
        <f>HYPERLINK("https://klasma.github.io/Logging_2309/kartor/A 68312-2019 karta.png", "A 68312-2019")</f>
        <v/>
      </c>
      <c r="V63">
        <f>HYPERLINK("https://klasma.github.io/Logging_2309/klagomål/A 68312-2019 FSC-klagomål.docx", "A 68312-2019")</f>
        <v/>
      </c>
      <c r="W63">
        <f>HYPERLINK("https://klasma.github.io/Logging_2309/klagomålsmail/A 68312-2019 FSC-klagomål mail.docx", "A 68312-2019")</f>
        <v/>
      </c>
      <c r="X63">
        <f>HYPERLINK("https://klasma.github.io/Logging_2309/tillsyn/A 68312-2019 tillsynsbegäran.docx", "A 68312-2019")</f>
        <v/>
      </c>
      <c r="Y63">
        <f>HYPERLINK("https://klasma.github.io/Logging_2309/tillsynsmail/A 68312-2019 tillsynsbegäran mail.docx", "A 68312-2019")</f>
        <v/>
      </c>
    </row>
    <row r="64" ht="15" customHeight="1">
      <c r="A64" t="inlineStr">
        <is>
          <t>A 16575-2020</t>
        </is>
      </c>
      <c r="B64" s="1" t="n">
        <v>43920</v>
      </c>
      <c r="C64" s="1" t="n">
        <v>45349</v>
      </c>
      <c r="D64" t="inlineStr">
        <is>
          <t>JÄMTLANDS LÄN</t>
        </is>
      </c>
      <c r="E64" t="inlineStr">
        <is>
          <t>KROKOM</t>
        </is>
      </c>
      <c r="G64" t="n">
        <v>14.6</v>
      </c>
      <c r="H64" t="n">
        <v>0</v>
      </c>
      <c r="I64" t="n">
        <v>2</v>
      </c>
      <c r="J64" t="n">
        <v>3</v>
      </c>
      <c r="K64" t="n">
        <v>0</v>
      </c>
      <c r="L64" t="n">
        <v>0</v>
      </c>
      <c r="M64" t="n">
        <v>0</v>
      </c>
      <c r="N64" t="n">
        <v>0</v>
      </c>
      <c r="O64" t="n">
        <v>3</v>
      </c>
      <c r="P64" t="n">
        <v>0</v>
      </c>
      <c r="Q64" t="n">
        <v>5</v>
      </c>
      <c r="R64" s="2" t="inlineStr">
        <is>
          <t>Garnlav
Lunglav
Skrovellav
Bårdlav
Norrlandslav</t>
        </is>
      </c>
      <c r="S64">
        <f>HYPERLINK("https://klasma.github.io/Logging_2309/artfynd/A 16575-2020 artfynd.xlsx", "A 16575-2020")</f>
        <v/>
      </c>
      <c r="T64">
        <f>HYPERLINK("https://klasma.github.io/Logging_2309/kartor/A 16575-2020 karta.png", "A 16575-2020")</f>
        <v/>
      </c>
      <c r="V64">
        <f>HYPERLINK("https://klasma.github.io/Logging_2309/klagomål/A 16575-2020 FSC-klagomål.docx", "A 16575-2020")</f>
        <v/>
      </c>
      <c r="W64">
        <f>HYPERLINK("https://klasma.github.io/Logging_2309/klagomålsmail/A 16575-2020 FSC-klagomål mail.docx", "A 16575-2020")</f>
        <v/>
      </c>
      <c r="X64">
        <f>HYPERLINK("https://klasma.github.io/Logging_2309/tillsyn/A 16575-2020 tillsynsbegäran.docx", "A 16575-2020")</f>
        <v/>
      </c>
      <c r="Y64">
        <f>HYPERLINK("https://klasma.github.io/Logging_2309/tillsynsmail/A 16575-2020 tillsynsbegäran mail.docx", "A 16575-2020")</f>
        <v/>
      </c>
    </row>
    <row r="65" ht="15" customHeight="1">
      <c r="A65" t="inlineStr">
        <is>
          <t>A 59619-2020</t>
        </is>
      </c>
      <c r="B65" s="1" t="n">
        <v>44150</v>
      </c>
      <c r="C65" s="1" t="n">
        <v>45349</v>
      </c>
      <c r="D65" t="inlineStr">
        <is>
          <t>JÄMTLANDS LÄN</t>
        </is>
      </c>
      <c r="E65" t="inlineStr">
        <is>
          <t>KROKOM</t>
        </is>
      </c>
      <c r="G65" t="n">
        <v>11.3</v>
      </c>
      <c r="H65" t="n">
        <v>1</v>
      </c>
      <c r="I65" t="n">
        <v>0</v>
      </c>
      <c r="J65" t="n">
        <v>5</v>
      </c>
      <c r="K65" t="n">
        <v>0</v>
      </c>
      <c r="L65" t="n">
        <v>0</v>
      </c>
      <c r="M65" t="n">
        <v>0</v>
      </c>
      <c r="N65" t="n">
        <v>0</v>
      </c>
      <c r="O65" t="n">
        <v>5</v>
      </c>
      <c r="P65" t="n">
        <v>0</v>
      </c>
      <c r="Q65" t="n">
        <v>5</v>
      </c>
      <c r="R65" s="2" t="inlineStr">
        <is>
          <t>Brunpudrad nållav
Granticka
Liten svartspik
Tretåig hackspett
Vitgrynig nållav</t>
        </is>
      </c>
      <c r="S65">
        <f>HYPERLINK("https://klasma.github.io/Logging_2309/artfynd/A 59619-2020 artfynd.xlsx", "A 59619-2020")</f>
        <v/>
      </c>
      <c r="T65">
        <f>HYPERLINK("https://klasma.github.io/Logging_2309/kartor/A 59619-2020 karta.png", "A 59619-2020")</f>
        <v/>
      </c>
      <c r="V65">
        <f>HYPERLINK("https://klasma.github.io/Logging_2309/klagomål/A 59619-2020 FSC-klagomål.docx", "A 59619-2020")</f>
        <v/>
      </c>
      <c r="W65">
        <f>HYPERLINK("https://klasma.github.io/Logging_2309/klagomålsmail/A 59619-2020 FSC-klagomål mail.docx", "A 59619-2020")</f>
        <v/>
      </c>
      <c r="X65">
        <f>HYPERLINK("https://klasma.github.io/Logging_2309/tillsyn/A 59619-2020 tillsynsbegäran.docx", "A 59619-2020")</f>
        <v/>
      </c>
      <c r="Y65">
        <f>HYPERLINK("https://klasma.github.io/Logging_2309/tillsynsmail/A 59619-2020 tillsynsbegäran mail.docx", "A 59619-2020")</f>
        <v/>
      </c>
      <c r="Z65">
        <f>HYPERLINK("https://klasma.github.io/Logging_2309/fåglar/A 59619-2020 prioriterade fågelarter.docx", "A 59619-2020")</f>
        <v/>
      </c>
    </row>
    <row r="66" ht="15" customHeight="1">
      <c r="A66" t="inlineStr">
        <is>
          <t>A 68491-2020</t>
        </is>
      </c>
      <c r="B66" s="1" t="n">
        <v>44183</v>
      </c>
      <c r="C66" s="1" t="n">
        <v>45349</v>
      </c>
      <c r="D66" t="inlineStr">
        <is>
          <t>JÄMTLANDS LÄN</t>
        </is>
      </c>
      <c r="E66" t="inlineStr">
        <is>
          <t>KROKOM</t>
        </is>
      </c>
      <c r="G66" t="n">
        <v>30.6</v>
      </c>
      <c r="H66" t="n">
        <v>1</v>
      </c>
      <c r="I66" t="n">
        <v>4</v>
      </c>
      <c r="J66" t="n">
        <v>1</v>
      </c>
      <c r="K66" t="n">
        <v>0</v>
      </c>
      <c r="L66" t="n">
        <v>0</v>
      </c>
      <c r="M66" t="n">
        <v>0</v>
      </c>
      <c r="N66" t="n">
        <v>0</v>
      </c>
      <c r="O66" t="n">
        <v>1</v>
      </c>
      <c r="P66" t="n">
        <v>0</v>
      </c>
      <c r="Q66" t="n">
        <v>5</v>
      </c>
      <c r="R66" s="2" t="inlineStr">
        <is>
          <t>Grynig filtlav
Bårdlav
Platt fjädermossa
Plattlummer
Vedticka</t>
        </is>
      </c>
      <c r="S66">
        <f>HYPERLINK("https://klasma.github.io/Logging_2309/artfynd/A 68491-2020 artfynd.xlsx", "A 68491-2020")</f>
        <v/>
      </c>
      <c r="T66">
        <f>HYPERLINK("https://klasma.github.io/Logging_2309/kartor/A 68491-2020 karta.png", "A 68491-2020")</f>
        <v/>
      </c>
      <c r="V66">
        <f>HYPERLINK("https://klasma.github.io/Logging_2309/klagomål/A 68491-2020 FSC-klagomål.docx", "A 68491-2020")</f>
        <v/>
      </c>
      <c r="W66">
        <f>HYPERLINK("https://klasma.github.io/Logging_2309/klagomålsmail/A 68491-2020 FSC-klagomål mail.docx", "A 68491-2020")</f>
        <v/>
      </c>
      <c r="X66">
        <f>HYPERLINK("https://klasma.github.io/Logging_2309/tillsyn/A 68491-2020 tillsynsbegäran.docx", "A 68491-2020")</f>
        <v/>
      </c>
      <c r="Y66">
        <f>HYPERLINK("https://klasma.github.io/Logging_2309/tillsynsmail/A 68491-2020 tillsynsbegäran mail.docx", "A 68491-2020")</f>
        <v/>
      </c>
    </row>
    <row r="67" ht="15" customHeight="1">
      <c r="A67" t="inlineStr">
        <is>
          <t>A 69486-2020</t>
        </is>
      </c>
      <c r="B67" s="1" t="n">
        <v>44194</v>
      </c>
      <c r="C67" s="1" t="n">
        <v>45349</v>
      </c>
      <c r="D67" t="inlineStr">
        <is>
          <t>JÄMTLANDS LÄN</t>
        </is>
      </c>
      <c r="E67" t="inlineStr">
        <is>
          <t>KROKOM</t>
        </is>
      </c>
      <c r="G67" t="n">
        <v>26.3</v>
      </c>
      <c r="H67" t="n">
        <v>2</v>
      </c>
      <c r="I67" t="n">
        <v>4</v>
      </c>
      <c r="J67" t="n">
        <v>0</v>
      </c>
      <c r="K67" t="n">
        <v>0</v>
      </c>
      <c r="L67" t="n">
        <v>0</v>
      </c>
      <c r="M67" t="n">
        <v>0</v>
      </c>
      <c r="N67" t="n">
        <v>0</v>
      </c>
      <c r="O67" t="n">
        <v>0</v>
      </c>
      <c r="P67" t="n">
        <v>0</v>
      </c>
      <c r="Q67" t="n">
        <v>5</v>
      </c>
      <c r="R67" s="2" t="inlineStr">
        <is>
          <t>Axag
Gräsull
Tvåblad
Ögonpyrola
Brudsporre</t>
        </is>
      </c>
      <c r="S67">
        <f>HYPERLINK("https://klasma.github.io/Logging_2309/artfynd/A 69486-2020 artfynd.xlsx", "A 69486-2020")</f>
        <v/>
      </c>
      <c r="T67">
        <f>HYPERLINK("https://klasma.github.io/Logging_2309/kartor/A 69486-2020 karta.png", "A 69486-2020")</f>
        <v/>
      </c>
      <c r="V67">
        <f>HYPERLINK("https://klasma.github.io/Logging_2309/klagomål/A 69486-2020 FSC-klagomål.docx", "A 69486-2020")</f>
        <v/>
      </c>
      <c r="W67">
        <f>HYPERLINK("https://klasma.github.io/Logging_2309/klagomålsmail/A 69486-2020 FSC-klagomål mail.docx", "A 69486-2020")</f>
        <v/>
      </c>
      <c r="X67">
        <f>HYPERLINK("https://klasma.github.io/Logging_2309/tillsyn/A 69486-2020 tillsynsbegäran.docx", "A 69486-2020")</f>
        <v/>
      </c>
      <c r="Y67">
        <f>HYPERLINK("https://klasma.github.io/Logging_2309/tillsynsmail/A 69486-2020 tillsynsbegäran mail.docx", "A 69486-2020")</f>
        <v/>
      </c>
    </row>
    <row r="68" ht="15" customHeight="1">
      <c r="A68" t="inlineStr">
        <is>
          <t>A 48914-2021</t>
        </is>
      </c>
      <c r="B68" s="1" t="n">
        <v>44452</v>
      </c>
      <c r="C68" s="1" t="n">
        <v>45349</v>
      </c>
      <c r="D68" t="inlineStr">
        <is>
          <t>JÄMTLANDS LÄN</t>
        </is>
      </c>
      <c r="E68" t="inlineStr">
        <is>
          <t>KROKOM</t>
        </is>
      </c>
      <c r="G68" t="n">
        <v>20.4</v>
      </c>
      <c r="H68" t="n">
        <v>1</v>
      </c>
      <c r="I68" t="n">
        <v>2</v>
      </c>
      <c r="J68" t="n">
        <v>3</v>
      </c>
      <c r="K68" t="n">
        <v>0</v>
      </c>
      <c r="L68" t="n">
        <v>0</v>
      </c>
      <c r="M68" t="n">
        <v>0</v>
      </c>
      <c r="N68" t="n">
        <v>0</v>
      </c>
      <c r="O68" t="n">
        <v>3</v>
      </c>
      <c r="P68" t="n">
        <v>0</v>
      </c>
      <c r="Q68" t="n">
        <v>5</v>
      </c>
      <c r="R68" s="2" t="inlineStr">
        <is>
          <t>Brunpudrad nållav
Granticka
Rödbrun blekspik
Gulnål
Spindelblomster</t>
        </is>
      </c>
      <c r="S68">
        <f>HYPERLINK("https://klasma.github.io/Logging_2309/artfynd/A 48914-2021 artfynd.xlsx", "A 48914-2021")</f>
        <v/>
      </c>
      <c r="T68">
        <f>HYPERLINK("https://klasma.github.io/Logging_2309/kartor/A 48914-2021 karta.png", "A 48914-2021")</f>
        <v/>
      </c>
      <c r="V68">
        <f>HYPERLINK("https://klasma.github.io/Logging_2309/klagomål/A 48914-2021 FSC-klagomål.docx", "A 48914-2021")</f>
        <v/>
      </c>
      <c r="W68">
        <f>HYPERLINK("https://klasma.github.io/Logging_2309/klagomålsmail/A 48914-2021 FSC-klagomål mail.docx", "A 48914-2021")</f>
        <v/>
      </c>
      <c r="X68">
        <f>HYPERLINK("https://klasma.github.io/Logging_2309/tillsyn/A 48914-2021 tillsynsbegäran.docx", "A 48914-2021")</f>
        <v/>
      </c>
      <c r="Y68">
        <f>HYPERLINK("https://klasma.github.io/Logging_2309/tillsynsmail/A 48914-2021 tillsynsbegäran mail.docx", "A 48914-2021")</f>
        <v/>
      </c>
    </row>
    <row r="69" ht="15" customHeight="1">
      <c r="A69" t="inlineStr">
        <is>
          <t>A 64303-2021</t>
        </is>
      </c>
      <c r="B69" s="1" t="n">
        <v>44510</v>
      </c>
      <c r="C69" s="1" t="n">
        <v>45349</v>
      </c>
      <c r="D69" t="inlineStr">
        <is>
          <t>JÄMTLANDS LÄN</t>
        </is>
      </c>
      <c r="E69" t="inlineStr">
        <is>
          <t>KROKOM</t>
        </is>
      </c>
      <c r="G69" t="n">
        <v>9.4</v>
      </c>
      <c r="H69" t="n">
        <v>2</v>
      </c>
      <c r="I69" t="n">
        <v>0</v>
      </c>
      <c r="J69" t="n">
        <v>5</v>
      </c>
      <c r="K69" t="n">
        <v>0</v>
      </c>
      <c r="L69" t="n">
        <v>0</v>
      </c>
      <c r="M69" t="n">
        <v>0</v>
      </c>
      <c r="N69" t="n">
        <v>0</v>
      </c>
      <c r="O69" t="n">
        <v>5</v>
      </c>
      <c r="P69" t="n">
        <v>0</v>
      </c>
      <c r="Q69" t="n">
        <v>5</v>
      </c>
      <c r="R69" s="2" t="inlineStr">
        <is>
          <t>Garnlav
Lunglav
Skrovellav
Spillkråka
Tretåig hackspett</t>
        </is>
      </c>
      <c r="S69">
        <f>HYPERLINK("https://klasma.github.io/Logging_2309/artfynd/A 64303-2021 artfynd.xlsx", "A 64303-2021")</f>
        <v/>
      </c>
      <c r="T69">
        <f>HYPERLINK("https://klasma.github.io/Logging_2309/kartor/A 64303-2021 karta.png", "A 64303-2021")</f>
        <v/>
      </c>
      <c r="V69">
        <f>HYPERLINK("https://klasma.github.io/Logging_2309/klagomål/A 64303-2021 FSC-klagomål.docx", "A 64303-2021")</f>
        <v/>
      </c>
      <c r="W69">
        <f>HYPERLINK("https://klasma.github.io/Logging_2309/klagomålsmail/A 64303-2021 FSC-klagomål mail.docx", "A 64303-2021")</f>
        <v/>
      </c>
      <c r="X69">
        <f>HYPERLINK("https://klasma.github.io/Logging_2309/tillsyn/A 64303-2021 tillsynsbegäran.docx", "A 64303-2021")</f>
        <v/>
      </c>
      <c r="Y69">
        <f>HYPERLINK("https://klasma.github.io/Logging_2309/tillsynsmail/A 64303-2021 tillsynsbegäran mail.docx", "A 64303-2021")</f>
        <v/>
      </c>
      <c r="Z69">
        <f>HYPERLINK("https://klasma.github.io/Logging_2309/fåglar/A 64303-2021 prioriterade fågelarter.docx", "A 64303-2021")</f>
        <v/>
      </c>
    </row>
    <row r="70" ht="15" customHeight="1">
      <c r="A70" t="inlineStr">
        <is>
          <t>A 65187-2021</t>
        </is>
      </c>
      <c r="B70" s="1" t="n">
        <v>44515</v>
      </c>
      <c r="C70" s="1" t="n">
        <v>45349</v>
      </c>
      <c r="D70" t="inlineStr">
        <is>
          <t>JÄMTLANDS LÄN</t>
        </is>
      </c>
      <c r="E70" t="inlineStr">
        <is>
          <t>KROKOM</t>
        </is>
      </c>
      <c r="F70" t="inlineStr">
        <is>
          <t>Kyrkan</t>
        </is>
      </c>
      <c r="G70" t="n">
        <v>27.3</v>
      </c>
      <c r="H70" t="n">
        <v>1</v>
      </c>
      <c r="I70" t="n">
        <v>2</v>
      </c>
      <c r="J70" t="n">
        <v>2</v>
      </c>
      <c r="K70" t="n">
        <v>0</v>
      </c>
      <c r="L70" t="n">
        <v>0</v>
      </c>
      <c r="M70" t="n">
        <v>0</v>
      </c>
      <c r="N70" t="n">
        <v>0</v>
      </c>
      <c r="O70" t="n">
        <v>2</v>
      </c>
      <c r="P70" t="n">
        <v>0</v>
      </c>
      <c r="Q70" t="n">
        <v>5</v>
      </c>
      <c r="R70" s="2" t="inlineStr">
        <is>
          <t>Flattoppad klubbsvamp
Skrovellav
Kransrams
Svart trolldruva
Blåsippa</t>
        </is>
      </c>
      <c r="S70">
        <f>HYPERLINK("https://klasma.github.io/Logging_2309/artfynd/A 65187-2021 artfynd.xlsx", "A 65187-2021")</f>
        <v/>
      </c>
      <c r="T70">
        <f>HYPERLINK("https://klasma.github.io/Logging_2309/kartor/A 65187-2021 karta.png", "A 65187-2021")</f>
        <v/>
      </c>
      <c r="V70">
        <f>HYPERLINK("https://klasma.github.io/Logging_2309/klagomål/A 65187-2021 FSC-klagomål.docx", "A 65187-2021")</f>
        <v/>
      </c>
      <c r="W70">
        <f>HYPERLINK("https://klasma.github.io/Logging_2309/klagomålsmail/A 65187-2021 FSC-klagomål mail.docx", "A 65187-2021")</f>
        <v/>
      </c>
      <c r="X70">
        <f>HYPERLINK("https://klasma.github.io/Logging_2309/tillsyn/A 65187-2021 tillsynsbegäran.docx", "A 65187-2021")</f>
        <v/>
      </c>
      <c r="Y70">
        <f>HYPERLINK("https://klasma.github.io/Logging_2309/tillsynsmail/A 65187-2021 tillsynsbegäran mail.docx", "A 65187-2021")</f>
        <v/>
      </c>
    </row>
    <row r="71" ht="15" customHeight="1">
      <c r="A71" t="inlineStr">
        <is>
          <t>A 71570-2021</t>
        </is>
      </c>
      <c r="B71" s="1" t="n">
        <v>44540</v>
      </c>
      <c r="C71" s="1" t="n">
        <v>45349</v>
      </c>
      <c r="D71" t="inlineStr">
        <is>
          <t>JÄMTLANDS LÄN</t>
        </is>
      </c>
      <c r="E71" t="inlineStr">
        <is>
          <t>KROKOM</t>
        </is>
      </c>
      <c r="G71" t="n">
        <v>0.6</v>
      </c>
      <c r="H71" t="n">
        <v>0</v>
      </c>
      <c r="I71" t="n">
        <v>3</v>
      </c>
      <c r="J71" t="n">
        <v>1</v>
      </c>
      <c r="K71" t="n">
        <v>1</v>
      </c>
      <c r="L71" t="n">
        <v>0</v>
      </c>
      <c r="M71" t="n">
        <v>0</v>
      </c>
      <c r="N71" t="n">
        <v>0</v>
      </c>
      <c r="O71" t="n">
        <v>2</v>
      </c>
      <c r="P71" t="n">
        <v>1</v>
      </c>
      <c r="Q71" t="n">
        <v>5</v>
      </c>
      <c r="R71" s="2" t="inlineStr">
        <is>
          <t>Läderdoftande fingersvamp
Gultoppig fingersvamp
Droppklibbskivling
Fjällig taggsvamp s.str.
Ögonpyrola</t>
        </is>
      </c>
      <c r="S71">
        <f>HYPERLINK("https://klasma.github.io/Logging_2309/artfynd/A 71570-2021 artfynd.xlsx", "A 71570-2021")</f>
        <v/>
      </c>
      <c r="T71">
        <f>HYPERLINK("https://klasma.github.io/Logging_2309/kartor/A 71570-2021 karta.png", "A 71570-2021")</f>
        <v/>
      </c>
      <c r="V71">
        <f>HYPERLINK("https://klasma.github.io/Logging_2309/klagomål/A 71570-2021 FSC-klagomål.docx", "A 71570-2021")</f>
        <v/>
      </c>
      <c r="W71">
        <f>HYPERLINK("https://klasma.github.io/Logging_2309/klagomålsmail/A 71570-2021 FSC-klagomål mail.docx", "A 71570-2021")</f>
        <v/>
      </c>
      <c r="X71">
        <f>HYPERLINK("https://klasma.github.io/Logging_2309/tillsyn/A 71570-2021 tillsynsbegäran.docx", "A 71570-2021")</f>
        <v/>
      </c>
      <c r="Y71">
        <f>HYPERLINK("https://klasma.github.io/Logging_2309/tillsynsmail/A 71570-2021 tillsynsbegäran mail.docx", "A 71570-2021")</f>
        <v/>
      </c>
    </row>
    <row r="72" ht="15" customHeight="1">
      <c r="A72" t="inlineStr">
        <is>
          <t>A 74005-2021</t>
        </is>
      </c>
      <c r="B72" s="1" t="n">
        <v>44557</v>
      </c>
      <c r="C72" s="1" t="n">
        <v>45349</v>
      </c>
      <c r="D72" t="inlineStr">
        <is>
          <t>JÄMTLANDS LÄN</t>
        </is>
      </c>
      <c r="E72" t="inlineStr">
        <is>
          <t>KROKOM</t>
        </is>
      </c>
      <c r="G72" t="n">
        <v>19.9</v>
      </c>
      <c r="H72" t="n">
        <v>1</v>
      </c>
      <c r="I72" t="n">
        <v>1</v>
      </c>
      <c r="J72" t="n">
        <v>4</v>
      </c>
      <c r="K72" t="n">
        <v>0</v>
      </c>
      <c r="L72" t="n">
        <v>0</v>
      </c>
      <c r="M72" t="n">
        <v>0</v>
      </c>
      <c r="N72" t="n">
        <v>0</v>
      </c>
      <c r="O72" t="n">
        <v>4</v>
      </c>
      <c r="P72" t="n">
        <v>0</v>
      </c>
      <c r="Q72" t="n">
        <v>5</v>
      </c>
      <c r="R72" s="2" t="inlineStr">
        <is>
          <t>Doftskinn
Gammelgransskål
Garnlav
Gränsticka
Spindelblomster</t>
        </is>
      </c>
      <c r="S72">
        <f>HYPERLINK("https://klasma.github.io/Logging_2309/artfynd/A 74005-2021 artfynd.xlsx", "A 74005-2021")</f>
        <v/>
      </c>
      <c r="T72">
        <f>HYPERLINK("https://klasma.github.io/Logging_2309/kartor/A 74005-2021 karta.png", "A 74005-2021")</f>
        <v/>
      </c>
      <c r="V72">
        <f>HYPERLINK("https://klasma.github.io/Logging_2309/klagomål/A 74005-2021 FSC-klagomål.docx", "A 74005-2021")</f>
        <v/>
      </c>
      <c r="W72">
        <f>HYPERLINK("https://klasma.github.io/Logging_2309/klagomålsmail/A 74005-2021 FSC-klagomål mail.docx", "A 74005-2021")</f>
        <v/>
      </c>
      <c r="X72">
        <f>HYPERLINK("https://klasma.github.io/Logging_2309/tillsyn/A 74005-2021 tillsynsbegäran.docx", "A 74005-2021")</f>
        <v/>
      </c>
      <c r="Y72">
        <f>HYPERLINK("https://klasma.github.io/Logging_2309/tillsynsmail/A 74005-2021 tillsynsbegäran mail.docx", "A 74005-2021")</f>
        <v/>
      </c>
    </row>
    <row r="73" ht="15" customHeight="1">
      <c r="A73" t="inlineStr">
        <is>
          <t>A 58784-2022</t>
        </is>
      </c>
      <c r="B73" s="1" t="n">
        <v>44895</v>
      </c>
      <c r="C73" s="1" t="n">
        <v>45349</v>
      </c>
      <c r="D73" t="inlineStr">
        <is>
          <t>JÄMTLANDS LÄN</t>
        </is>
      </c>
      <c r="E73" t="inlineStr">
        <is>
          <t>KROKOM</t>
        </is>
      </c>
      <c r="G73" t="n">
        <v>19.9</v>
      </c>
      <c r="H73" t="n">
        <v>3</v>
      </c>
      <c r="I73" t="n">
        <v>0</v>
      </c>
      <c r="J73" t="n">
        <v>4</v>
      </c>
      <c r="K73" t="n">
        <v>1</v>
      </c>
      <c r="L73" t="n">
        <v>0</v>
      </c>
      <c r="M73" t="n">
        <v>0</v>
      </c>
      <c r="N73" t="n">
        <v>0</v>
      </c>
      <c r="O73" t="n">
        <v>5</v>
      </c>
      <c r="P73" t="n">
        <v>1</v>
      </c>
      <c r="Q73" t="n">
        <v>5</v>
      </c>
      <c r="R73" s="2" t="inlineStr">
        <is>
          <t>Tallbit
Garnlav
Lunglav
Spillkråka
Tretåig hackspett</t>
        </is>
      </c>
      <c r="S73">
        <f>HYPERLINK("https://klasma.github.io/Logging_2309/artfynd/A 58784-2022 artfynd.xlsx", "A 58784-2022")</f>
        <v/>
      </c>
      <c r="T73">
        <f>HYPERLINK("https://klasma.github.io/Logging_2309/kartor/A 58784-2022 karta.png", "A 58784-2022")</f>
        <v/>
      </c>
      <c r="V73">
        <f>HYPERLINK("https://klasma.github.io/Logging_2309/klagomål/A 58784-2022 FSC-klagomål.docx", "A 58784-2022")</f>
        <v/>
      </c>
      <c r="W73">
        <f>HYPERLINK("https://klasma.github.io/Logging_2309/klagomålsmail/A 58784-2022 FSC-klagomål mail.docx", "A 58784-2022")</f>
        <v/>
      </c>
      <c r="X73">
        <f>HYPERLINK("https://klasma.github.io/Logging_2309/tillsyn/A 58784-2022 tillsynsbegäran.docx", "A 58784-2022")</f>
        <v/>
      </c>
      <c r="Y73">
        <f>HYPERLINK("https://klasma.github.io/Logging_2309/tillsynsmail/A 58784-2022 tillsynsbegäran mail.docx", "A 58784-2022")</f>
        <v/>
      </c>
      <c r="Z73">
        <f>HYPERLINK("https://klasma.github.io/Logging_2309/fåglar/A 58784-2022 prioriterade fågelarter.docx", "A 58784-2022")</f>
        <v/>
      </c>
    </row>
    <row r="74" ht="15" customHeight="1">
      <c r="A74" t="inlineStr">
        <is>
          <t>A 25286-2023</t>
        </is>
      </c>
      <c r="B74" s="1" t="n">
        <v>45079</v>
      </c>
      <c r="C74" s="1" t="n">
        <v>45349</v>
      </c>
      <c r="D74" t="inlineStr">
        <is>
          <t>JÄMTLANDS LÄN</t>
        </is>
      </c>
      <c r="E74" t="inlineStr">
        <is>
          <t>KROKOM</t>
        </is>
      </c>
      <c r="G74" t="n">
        <v>11.4</v>
      </c>
      <c r="H74" t="n">
        <v>1</v>
      </c>
      <c r="I74" t="n">
        <v>2</v>
      </c>
      <c r="J74" t="n">
        <v>3</v>
      </c>
      <c r="K74" t="n">
        <v>0</v>
      </c>
      <c r="L74" t="n">
        <v>0</v>
      </c>
      <c r="M74" t="n">
        <v>0</v>
      </c>
      <c r="N74" t="n">
        <v>0</v>
      </c>
      <c r="O74" t="n">
        <v>3</v>
      </c>
      <c r="P74" t="n">
        <v>0</v>
      </c>
      <c r="Q74" t="n">
        <v>5</v>
      </c>
      <c r="R74" s="2" t="inlineStr">
        <is>
          <t>Garnlav
Gränsticka
Spillkråka
Blodticka
Trådticka</t>
        </is>
      </c>
      <c r="S74">
        <f>HYPERLINK("https://klasma.github.io/Logging_2309/artfynd/A 25286-2023 artfynd.xlsx", "A 25286-2023")</f>
        <v/>
      </c>
      <c r="T74">
        <f>HYPERLINK("https://klasma.github.io/Logging_2309/kartor/A 25286-2023 karta.png", "A 25286-2023")</f>
        <v/>
      </c>
      <c r="V74">
        <f>HYPERLINK("https://klasma.github.io/Logging_2309/klagomål/A 25286-2023 FSC-klagomål.docx", "A 25286-2023")</f>
        <v/>
      </c>
      <c r="W74">
        <f>HYPERLINK("https://klasma.github.io/Logging_2309/klagomålsmail/A 25286-2023 FSC-klagomål mail.docx", "A 25286-2023")</f>
        <v/>
      </c>
      <c r="X74">
        <f>HYPERLINK("https://klasma.github.io/Logging_2309/tillsyn/A 25286-2023 tillsynsbegäran.docx", "A 25286-2023")</f>
        <v/>
      </c>
      <c r="Y74">
        <f>HYPERLINK("https://klasma.github.io/Logging_2309/tillsynsmail/A 25286-2023 tillsynsbegäran mail.docx", "A 25286-2023")</f>
        <v/>
      </c>
      <c r="Z74">
        <f>HYPERLINK("https://klasma.github.io/Logging_2309/fåglar/A 25286-2023 prioriterade fågelarter.docx", "A 25286-2023")</f>
        <v/>
      </c>
    </row>
    <row r="75" ht="15" customHeight="1">
      <c r="A75" t="inlineStr">
        <is>
          <t>A 36192-2019</t>
        </is>
      </c>
      <c r="B75" s="1" t="n">
        <v>43669</v>
      </c>
      <c r="C75" s="1" t="n">
        <v>45349</v>
      </c>
      <c r="D75" t="inlineStr">
        <is>
          <t>JÄMTLANDS LÄN</t>
        </is>
      </c>
      <c r="E75" t="inlineStr">
        <is>
          <t>KROKOM</t>
        </is>
      </c>
      <c r="G75" t="n">
        <v>2.6</v>
      </c>
      <c r="H75" t="n">
        <v>3</v>
      </c>
      <c r="I75" t="n">
        <v>1</v>
      </c>
      <c r="J75" t="n">
        <v>1</v>
      </c>
      <c r="K75" t="n">
        <v>0</v>
      </c>
      <c r="L75" t="n">
        <v>0</v>
      </c>
      <c r="M75" t="n">
        <v>0</v>
      </c>
      <c r="N75" t="n">
        <v>0</v>
      </c>
      <c r="O75" t="n">
        <v>1</v>
      </c>
      <c r="P75" t="n">
        <v>0</v>
      </c>
      <c r="Q75" t="n">
        <v>4</v>
      </c>
      <c r="R75" s="2" t="inlineStr">
        <is>
          <t>Rosenfink
Svart trolldruva
Blåsippa
Gullviva</t>
        </is>
      </c>
      <c r="S75">
        <f>HYPERLINK("https://klasma.github.io/Logging_2309/artfynd/A 36192-2019 artfynd.xlsx", "A 36192-2019")</f>
        <v/>
      </c>
      <c r="T75">
        <f>HYPERLINK("https://klasma.github.io/Logging_2309/kartor/A 36192-2019 karta.png", "A 36192-2019")</f>
        <v/>
      </c>
      <c r="V75">
        <f>HYPERLINK("https://klasma.github.io/Logging_2309/klagomål/A 36192-2019 FSC-klagomål.docx", "A 36192-2019")</f>
        <v/>
      </c>
      <c r="W75">
        <f>HYPERLINK("https://klasma.github.io/Logging_2309/klagomålsmail/A 36192-2019 FSC-klagomål mail.docx", "A 36192-2019")</f>
        <v/>
      </c>
      <c r="X75">
        <f>HYPERLINK("https://klasma.github.io/Logging_2309/tillsyn/A 36192-2019 tillsynsbegäran.docx", "A 36192-2019")</f>
        <v/>
      </c>
      <c r="Y75">
        <f>HYPERLINK("https://klasma.github.io/Logging_2309/tillsynsmail/A 36192-2019 tillsynsbegäran mail.docx", "A 36192-2019")</f>
        <v/>
      </c>
      <c r="Z75">
        <f>HYPERLINK("https://klasma.github.io/Logging_2309/fåglar/A 36192-2019 prioriterade fågelarter.docx", "A 36192-2019")</f>
        <v/>
      </c>
    </row>
    <row r="76" ht="15" customHeight="1">
      <c r="A76" t="inlineStr">
        <is>
          <t>A 36209-2019</t>
        </is>
      </c>
      <c r="B76" s="1" t="n">
        <v>43669</v>
      </c>
      <c r="C76" s="1" t="n">
        <v>45349</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36209-2019 artfynd.xlsx", "A 36209-2019")</f>
        <v/>
      </c>
      <c r="T76">
        <f>HYPERLINK("https://klasma.github.io/Logging_2309/kartor/A 36209-2019 karta.png", "A 36209-2019")</f>
        <v/>
      </c>
      <c r="V76">
        <f>HYPERLINK("https://klasma.github.io/Logging_2309/klagomål/A 36209-2019 FSC-klagomål.docx", "A 36209-2019")</f>
        <v/>
      </c>
      <c r="W76">
        <f>HYPERLINK("https://klasma.github.io/Logging_2309/klagomålsmail/A 36209-2019 FSC-klagomål mail.docx", "A 36209-2019")</f>
        <v/>
      </c>
      <c r="X76">
        <f>HYPERLINK("https://klasma.github.io/Logging_2309/tillsyn/A 36209-2019 tillsynsbegäran.docx", "A 36209-2019")</f>
        <v/>
      </c>
      <c r="Y76">
        <f>HYPERLINK("https://klasma.github.io/Logging_2309/tillsynsmail/A 36209-2019 tillsynsbegäran mail.docx", "A 36209-2019")</f>
        <v/>
      </c>
      <c r="Z76">
        <f>HYPERLINK("https://klasma.github.io/Logging_2309/fåglar/A 36209-2019 prioriterade fågelarter.docx", "A 36209-2019")</f>
        <v/>
      </c>
    </row>
    <row r="77" ht="15" customHeight="1">
      <c r="A77" t="inlineStr">
        <is>
          <t>A 36377-2019</t>
        </is>
      </c>
      <c r="B77" s="1" t="n">
        <v>43670</v>
      </c>
      <c r="C77" s="1" t="n">
        <v>45349</v>
      </c>
      <c r="D77" t="inlineStr">
        <is>
          <t>JÄMTLANDS LÄN</t>
        </is>
      </c>
      <c r="E77" t="inlineStr">
        <is>
          <t>KROKOM</t>
        </is>
      </c>
      <c r="G77" t="n">
        <v>36.9</v>
      </c>
      <c r="H77" t="n">
        <v>0</v>
      </c>
      <c r="I77" t="n">
        <v>3</v>
      </c>
      <c r="J77" t="n">
        <v>1</v>
      </c>
      <c r="K77" t="n">
        <v>0</v>
      </c>
      <c r="L77" t="n">
        <v>0</v>
      </c>
      <c r="M77" t="n">
        <v>0</v>
      </c>
      <c r="N77" t="n">
        <v>0</v>
      </c>
      <c r="O77" t="n">
        <v>1</v>
      </c>
      <c r="P77" t="n">
        <v>0</v>
      </c>
      <c r="Q77" t="n">
        <v>4</v>
      </c>
      <c r="R77" s="2" t="inlineStr">
        <is>
          <t>Doftskinn
Dvärghäxört
Kambräken
Mörk husmossa</t>
        </is>
      </c>
      <c r="S77">
        <f>HYPERLINK("https://klasma.github.io/Logging_2309/artfynd/A 36377-2019 artfynd.xlsx", "A 36377-2019")</f>
        <v/>
      </c>
      <c r="T77">
        <f>HYPERLINK("https://klasma.github.io/Logging_2309/kartor/A 36377-2019 karta.png", "A 36377-2019")</f>
        <v/>
      </c>
      <c r="V77">
        <f>HYPERLINK("https://klasma.github.io/Logging_2309/klagomål/A 36377-2019 FSC-klagomål.docx", "A 36377-2019")</f>
        <v/>
      </c>
      <c r="W77">
        <f>HYPERLINK("https://klasma.github.io/Logging_2309/klagomålsmail/A 36377-2019 FSC-klagomål mail.docx", "A 36377-2019")</f>
        <v/>
      </c>
      <c r="X77">
        <f>HYPERLINK("https://klasma.github.io/Logging_2309/tillsyn/A 36377-2019 tillsynsbegäran.docx", "A 36377-2019")</f>
        <v/>
      </c>
      <c r="Y77">
        <f>HYPERLINK("https://klasma.github.io/Logging_2309/tillsynsmail/A 36377-2019 tillsynsbegäran mail.docx", "A 36377-2019")</f>
        <v/>
      </c>
    </row>
    <row r="78" ht="15" customHeight="1">
      <c r="A78" t="inlineStr">
        <is>
          <t>A 43202-2019</t>
        </is>
      </c>
      <c r="B78" s="1" t="n">
        <v>43705</v>
      </c>
      <c r="C78" s="1" t="n">
        <v>45349</v>
      </c>
      <c r="D78" t="inlineStr">
        <is>
          <t>JÄMTLANDS LÄN</t>
        </is>
      </c>
      <c r="E78" t="inlineStr">
        <is>
          <t>KROKOM</t>
        </is>
      </c>
      <c r="F78" t="inlineStr">
        <is>
          <t>SCA</t>
        </is>
      </c>
      <c r="G78" t="n">
        <v>4.3</v>
      </c>
      <c r="H78" t="n">
        <v>0</v>
      </c>
      <c r="I78" t="n">
        <v>1</v>
      </c>
      <c r="J78" t="n">
        <v>2</v>
      </c>
      <c r="K78" t="n">
        <v>1</v>
      </c>
      <c r="L78" t="n">
        <v>0</v>
      </c>
      <c r="M78" t="n">
        <v>0</v>
      </c>
      <c r="N78" t="n">
        <v>0</v>
      </c>
      <c r="O78" t="n">
        <v>3</v>
      </c>
      <c r="P78" t="n">
        <v>1</v>
      </c>
      <c r="Q78" t="n">
        <v>4</v>
      </c>
      <c r="R78" s="2" t="inlineStr">
        <is>
          <t>Gräddporing
Nordtagging
Vedtrappmossa
Luddlav</t>
        </is>
      </c>
      <c r="S78">
        <f>HYPERLINK("https://klasma.github.io/Logging_2309/artfynd/A 43202-2019 artfynd.xlsx", "A 43202-2019")</f>
        <v/>
      </c>
      <c r="T78">
        <f>HYPERLINK("https://klasma.github.io/Logging_2309/kartor/A 43202-2019 karta.png", "A 43202-2019")</f>
        <v/>
      </c>
      <c r="V78">
        <f>HYPERLINK("https://klasma.github.io/Logging_2309/klagomål/A 43202-2019 FSC-klagomål.docx", "A 43202-2019")</f>
        <v/>
      </c>
      <c r="W78">
        <f>HYPERLINK("https://klasma.github.io/Logging_2309/klagomålsmail/A 43202-2019 FSC-klagomål mail.docx", "A 43202-2019")</f>
        <v/>
      </c>
      <c r="X78">
        <f>HYPERLINK("https://klasma.github.io/Logging_2309/tillsyn/A 43202-2019 tillsynsbegäran.docx", "A 43202-2019")</f>
        <v/>
      </c>
      <c r="Y78">
        <f>HYPERLINK("https://klasma.github.io/Logging_2309/tillsynsmail/A 43202-2019 tillsynsbegäran mail.docx", "A 43202-2019")</f>
        <v/>
      </c>
    </row>
    <row r="79" ht="15" customHeight="1">
      <c r="A79" t="inlineStr">
        <is>
          <t>A 49140-2019</t>
        </is>
      </c>
      <c r="B79" s="1" t="n">
        <v>43731</v>
      </c>
      <c r="C79" s="1" t="n">
        <v>45349</v>
      </c>
      <c r="D79" t="inlineStr">
        <is>
          <t>JÄMTLANDS LÄN</t>
        </is>
      </c>
      <c r="E79" t="inlineStr">
        <is>
          <t>KROKOM</t>
        </is>
      </c>
      <c r="G79" t="n">
        <v>13.3</v>
      </c>
      <c r="H79" t="n">
        <v>1</v>
      </c>
      <c r="I79" t="n">
        <v>1</v>
      </c>
      <c r="J79" t="n">
        <v>3</v>
      </c>
      <c r="K79" t="n">
        <v>0</v>
      </c>
      <c r="L79" t="n">
        <v>0</v>
      </c>
      <c r="M79" t="n">
        <v>0</v>
      </c>
      <c r="N79" t="n">
        <v>0</v>
      </c>
      <c r="O79" t="n">
        <v>3</v>
      </c>
      <c r="P79" t="n">
        <v>0</v>
      </c>
      <c r="Q79" t="n">
        <v>4</v>
      </c>
      <c r="R79" s="2" t="inlineStr">
        <is>
          <t>Granticka
Skogshare
Tretåig hackspett
Trådticka</t>
        </is>
      </c>
      <c r="S79">
        <f>HYPERLINK("https://klasma.github.io/Logging_2309/artfynd/A 49140-2019 artfynd.xlsx", "A 49140-2019")</f>
        <v/>
      </c>
      <c r="T79">
        <f>HYPERLINK("https://klasma.github.io/Logging_2309/kartor/A 49140-2019 karta.png", "A 49140-2019")</f>
        <v/>
      </c>
      <c r="V79">
        <f>HYPERLINK("https://klasma.github.io/Logging_2309/klagomål/A 49140-2019 FSC-klagomål.docx", "A 49140-2019")</f>
        <v/>
      </c>
      <c r="W79">
        <f>HYPERLINK("https://klasma.github.io/Logging_2309/klagomålsmail/A 49140-2019 FSC-klagomål mail.docx", "A 49140-2019")</f>
        <v/>
      </c>
      <c r="X79">
        <f>HYPERLINK("https://klasma.github.io/Logging_2309/tillsyn/A 49140-2019 tillsynsbegäran.docx", "A 49140-2019")</f>
        <v/>
      </c>
      <c r="Y79">
        <f>HYPERLINK("https://klasma.github.io/Logging_2309/tillsynsmail/A 49140-2019 tillsynsbegäran mail.docx", "A 49140-2019")</f>
        <v/>
      </c>
      <c r="Z79">
        <f>HYPERLINK("https://klasma.github.io/Logging_2309/fåglar/A 49140-2019 prioriterade fågelarter.docx", "A 49140-2019")</f>
        <v/>
      </c>
    </row>
    <row r="80" ht="15" customHeight="1">
      <c r="A80" t="inlineStr">
        <is>
          <t>A 49169-2019</t>
        </is>
      </c>
      <c r="B80" s="1" t="n">
        <v>43731</v>
      </c>
      <c r="C80" s="1" t="n">
        <v>45349</v>
      </c>
      <c r="D80" t="inlineStr">
        <is>
          <t>JÄMTLANDS LÄN</t>
        </is>
      </c>
      <c r="E80" t="inlineStr">
        <is>
          <t>KROKOM</t>
        </is>
      </c>
      <c r="G80" t="n">
        <v>3.5</v>
      </c>
      <c r="H80" t="n">
        <v>1</v>
      </c>
      <c r="I80" t="n">
        <v>1</v>
      </c>
      <c r="J80" t="n">
        <v>3</v>
      </c>
      <c r="K80" t="n">
        <v>0</v>
      </c>
      <c r="L80" t="n">
        <v>0</v>
      </c>
      <c r="M80" t="n">
        <v>0</v>
      </c>
      <c r="N80" t="n">
        <v>0</v>
      </c>
      <c r="O80" t="n">
        <v>3</v>
      </c>
      <c r="P80" t="n">
        <v>0</v>
      </c>
      <c r="Q80" t="n">
        <v>4</v>
      </c>
      <c r="R80" s="2" t="inlineStr">
        <is>
          <t>Granticka
Tretåig hackspett
Ullticka
Trådticka</t>
        </is>
      </c>
      <c r="S80">
        <f>HYPERLINK("https://klasma.github.io/Logging_2309/artfynd/A 49169-2019 artfynd.xlsx", "A 49169-2019")</f>
        <v/>
      </c>
      <c r="T80">
        <f>HYPERLINK("https://klasma.github.io/Logging_2309/kartor/A 49169-2019 karta.png", "A 49169-2019")</f>
        <v/>
      </c>
      <c r="V80">
        <f>HYPERLINK("https://klasma.github.io/Logging_2309/klagomål/A 49169-2019 FSC-klagomål.docx", "A 49169-2019")</f>
        <v/>
      </c>
      <c r="W80">
        <f>HYPERLINK("https://klasma.github.io/Logging_2309/klagomålsmail/A 49169-2019 FSC-klagomål mail.docx", "A 49169-2019")</f>
        <v/>
      </c>
      <c r="X80">
        <f>HYPERLINK("https://klasma.github.io/Logging_2309/tillsyn/A 49169-2019 tillsynsbegäran.docx", "A 49169-2019")</f>
        <v/>
      </c>
      <c r="Y80">
        <f>HYPERLINK("https://klasma.github.io/Logging_2309/tillsynsmail/A 49169-2019 tillsynsbegäran mail.docx", "A 49169-2019")</f>
        <v/>
      </c>
      <c r="Z80">
        <f>HYPERLINK("https://klasma.github.io/Logging_2309/fåglar/A 49169-2019 prioriterade fågelarter.docx", "A 49169-2019")</f>
        <v/>
      </c>
    </row>
    <row r="81" ht="15" customHeight="1">
      <c r="A81" t="inlineStr">
        <is>
          <t>A 49097-2019</t>
        </is>
      </c>
      <c r="B81" s="1" t="n">
        <v>43731</v>
      </c>
      <c r="C81" s="1" t="n">
        <v>45349</v>
      </c>
      <c r="D81" t="inlineStr">
        <is>
          <t>JÄMTLANDS LÄN</t>
        </is>
      </c>
      <c r="E81" t="inlineStr">
        <is>
          <t>KROKOM</t>
        </is>
      </c>
      <c r="G81" t="n">
        <v>31.3</v>
      </c>
      <c r="H81" t="n">
        <v>0</v>
      </c>
      <c r="I81" t="n">
        <v>0</v>
      </c>
      <c r="J81" t="n">
        <v>4</v>
      </c>
      <c r="K81" t="n">
        <v>0</v>
      </c>
      <c r="L81" t="n">
        <v>0</v>
      </c>
      <c r="M81" t="n">
        <v>0</v>
      </c>
      <c r="N81" t="n">
        <v>0</v>
      </c>
      <c r="O81" t="n">
        <v>4</v>
      </c>
      <c r="P81" t="n">
        <v>0</v>
      </c>
      <c r="Q81" t="n">
        <v>4</v>
      </c>
      <c r="R81" s="2" t="inlineStr">
        <is>
          <t>Garnlav
Granticka
Gränsticka
Vitgrynig nållav</t>
        </is>
      </c>
      <c r="S81">
        <f>HYPERLINK("https://klasma.github.io/Logging_2309/artfynd/A 49097-2019 artfynd.xlsx", "A 49097-2019")</f>
        <v/>
      </c>
      <c r="T81">
        <f>HYPERLINK("https://klasma.github.io/Logging_2309/kartor/A 49097-2019 karta.png", "A 49097-2019")</f>
        <v/>
      </c>
      <c r="V81">
        <f>HYPERLINK("https://klasma.github.io/Logging_2309/klagomål/A 49097-2019 FSC-klagomål.docx", "A 49097-2019")</f>
        <v/>
      </c>
      <c r="W81">
        <f>HYPERLINK("https://klasma.github.io/Logging_2309/klagomålsmail/A 49097-2019 FSC-klagomål mail.docx", "A 49097-2019")</f>
        <v/>
      </c>
      <c r="X81">
        <f>HYPERLINK("https://klasma.github.io/Logging_2309/tillsyn/A 49097-2019 tillsynsbegäran.docx", "A 49097-2019")</f>
        <v/>
      </c>
      <c r="Y81">
        <f>HYPERLINK("https://klasma.github.io/Logging_2309/tillsynsmail/A 49097-2019 tillsynsbegäran mail.docx", "A 49097-2019")</f>
        <v/>
      </c>
    </row>
    <row r="82" ht="15" customHeight="1">
      <c r="A82" t="inlineStr">
        <is>
          <t>A 68086-2019</t>
        </is>
      </c>
      <c r="B82" s="1" t="n">
        <v>43816</v>
      </c>
      <c r="C82" s="1" t="n">
        <v>45349</v>
      </c>
      <c r="D82" t="inlineStr">
        <is>
          <t>JÄMTLANDS LÄN</t>
        </is>
      </c>
      <c r="E82" t="inlineStr">
        <is>
          <t>KROKOM</t>
        </is>
      </c>
      <c r="F82" t="inlineStr">
        <is>
          <t>SCA</t>
        </is>
      </c>
      <c r="G82" t="n">
        <v>2.5</v>
      </c>
      <c r="H82" t="n">
        <v>0</v>
      </c>
      <c r="I82" t="n">
        <v>0</v>
      </c>
      <c r="J82" t="n">
        <v>4</v>
      </c>
      <c r="K82" t="n">
        <v>0</v>
      </c>
      <c r="L82" t="n">
        <v>0</v>
      </c>
      <c r="M82" t="n">
        <v>0</v>
      </c>
      <c r="N82" t="n">
        <v>0</v>
      </c>
      <c r="O82" t="n">
        <v>4</v>
      </c>
      <c r="P82" t="n">
        <v>0</v>
      </c>
      <c r="Q82" t="n">
        <v>4</v>
      </c>
      <c r="R82" s="2" t="inlineStr">
        <is>
          <t>Garnlav
Lunglav
Skrovellav
Tallticka</t>
        </is>
      </c>
      <c r="S82">
        <f>HYPERLINK("https://klasma.github.io/Logging_2309/artfynd/A 68086-2019 artfynd.xlsx", "A 68086-2019")</f>
        <v/>
      </c>
      <c r="T82">
        <f>HYPERLINK("https://klasma.github.io/Logging_2309/kartor/A 68086-2019 karta.png", "A 68086-2019")</f>
        <v/>
      </c>
      <c r="V82">
        <f>HYPERLINK("https://klasma.github.io/Logging_2309/klagomål/A 68086-2019 FSC-klagomål.docx", "A 68086-2019")</f>
        <v/>
      </c>
      <c r="W82">
        <f>HYPERLINK("https://klasma.github.io/Logging_2309/klagomålsmail/A 68086-2019 FSC-klagomål mail.docx", "A 68086-2019")</f>
        <v/>
      </c>
      <c r="X82">
        <f>HYPERLINK("https://klasma.github.io/Logging_2309/tillsyn/A 68086-2019 tillsynsbegäran.docx", "A 68086-2019")</f>
        <v/>
      </c>
      <c r="Y82">
        <f>HYPERLINK("https://klasma.github.io/Logging_2309/tillsynsmail/A 68086-2019 tillsynsbegäran mail.docx", "A 68086-2019")</f>
        <v/>
      </c>
    </row>
    <row r="83" ht="15" customHeight="1">
      <c r="A83" t="inlineStr">
        <is>
          <t>A 68311-2019</t>
        </is>
      </c>
      <c r="B83" s="1" t="n">
        <v>43817</v>
      </c>
      <c r="C83" s="1" t="n">
        <v>45349</v>
      </c>
      <c r="D83" t="inlineStr">
        <is>
          <t>JÄMTLANDS LÄN</t>
        </is>
      </c>
      <c r="E83" t="inlineStr">
        <is>
          <t>KROKOM</t>
        </is>
      </c>
      <c r="F83" t="inlineStr">
        <is>
          <t>SCA</t>
        </is>
      </c>
      <c r="G83" t="n">
        <v>5.7</v>
      </c>
      <c r="H83" t="n">
        <v>0</v>
      </c>
      <c r="I83" t="n">
        <v>1</v>
      </c>
      <c r="J83" t="n">
        <v>3</v>
      </c>
      <c r="K83" t="n">
        <v>0</v>
      </c>
      <c r="L83" t="n">
        <v>0</v>
      </c>
      <c r="M83" t="n">
        <v>0</v>
      </c>
      <c r="N83" t="n">
        <v>0</v>
      </c>
      <c r="O83" t="n">
        <v>3</v>
      </c>
      <c r="P83" t="n">
        <v>0</v>
      </c>
      <c r="Q83" t="n">
        <v>4</v>
      </c>
      <c r="R83" s="2" t="inlineStr">
        <is>
          <t>Garnlav
Kolflarnlav
Vedskivlav
Norrlandslav</t>
        </is>
      </c>
      <c r="S83">
        <f>HYPERLINK("https://klasma.github.io/Logging_2309/artfynd/A 68311-2019 artfynd.xlsx", "A 68311-2019")</f>
        <v/>
      </c>
      <c r="T83">
        <f>HYPERLINK("https://klasma.github.io/Logging_2309/kartor/A 68311-2019 karta.png", "A 68311-2019")</f>
        <v/>
      </c>
      <c r="V83">
        <f>HYPERLINK("https://klasma.github.io/Logging_2309/klagomål/A 68311-2019 FSC-klagomål.docx", "A 68311-2019")</f>
        <v/>
      </c>
      <c r="W83">
        <f>HYPERLINK("https://klasma.github.io/Logging_2309/klagomålsmail/A 68311-2019 FSC-klagomål mail.docx", "A 68311-2019")</f>
        <v/>
      </c>
      <c r="X83">
        <f>HYPERLINK("https://klasma.github.io/Logging_2309/tillsyn/A 68311-2019 tillsynsbegäran.docx", "A 68311-2019")</f>
        <v/>
      </c>
      <c r="Y83">
        <f>HYPERLINK("https://klasma.github.io/Logging_2309/tillsynsmail/A 68311-2019 tillsynsbegäran mail.docx", "A 68311-2019")</f>
        <v/>
      </c>
    </row>
    <row r="84" ht="15" customHeight="1">
      <c r="A84" t="inlineStr">
        <is>
          <t>A 65901-2020</t>
        </is>
      </c>
      <c r="B84" s="1" t="n">
        <v>44174</v>
      </c>
      <c r="C84" s="1" t="n">
        <v>45349</v>
      </c>
      <c r="D84" t="inlineStr">
        <is>
          <t>JÄMTLANDS LÄN</t>
        </is>
      </c>
      <c r="E84" t="inlineStr">
        <is>
          <t>KROKOM</t>
        </is>
      </c>
      <c r="G84" t="n">
        <v>9.699999999999999</v>
      </c>
      <c r="H84" t="n">
        <v>0</v>
      </c>
      <c r="I84" t="n">
        <v>4</v>
      </c>
      <c r="J84" t="n">
        <v>0</v>
      </c>
      <c r="K84" t="n">
        <v>0</v>
      </c>
      <c r="L84" t="n">
        <v>0</v>
      </c>
      <c r="M84" t="n">
        <v>0</v>
      </c>
      <c r="N84" t="n">
        <v>0</v>
      </c>
      <c r="O84" t="n">
        <v>0</v>
      </c>
      <c r="P84" t="n">
        <v>0</v>
      </c>
      <c r="Q84" t="n">
        <v>4</v>
      </c>
      <c r="R84" s="2" t="inlineStr">
        <is>
          <t>Barrfagerspindling
Diskvaxskivling
Kryddspindling
Tibast</t>
        </is>
      </c>
      <c r="S84">
        <f>HYPERLINK("https://klasma.github.io/Logging_2309/artfynd/A 65901-2020 artfynd.xlsx", "A 65901-2020")</f>
        <v/>
      </c>
      <c r="T84">
        <f>HYPERLINK("https://klasma.github.io/Logging_2309/kartor/A 65901-2020 karta.png", "A 65901-2020")</f>
        <v/>
      </c>
      <c r="V84">
        <f>HYPERLINK("https://klasma.github.io/Logging_2309/klagomål/A 65901-2020 FSC-klagomål.docx", "A 65901-2020")</f>
        <v/>
      </c>
      <c r="W84">
        <f>HYPERLINK("https://klasma.github.io/Logging_2309/klagomålsmail/A 65901-2020 FSC-klagomål mail.docx", "A 65901-2020")</f>
        <v/>
      </c>
      <c r="X84">
        <f>HYPERLINK("https://klasma.github.io/Logging_2309/tillsyn/A 65901-2020 tillsynsbegäran.docx", "A 65901-2020")</f>
        <v/>
      </c>
      <c r="Y84">
        <f>HYPERLINK("https://klasma.github.io/Logging_2309/tillsynsmail/A 65901-2020 tillsynsbegäran mail.docx", "A 65901-2020")</f>
        <v/>
      </c>
    </row>
    <row r="85" ht="15" customHeight="1">
      <c r="A85" t="inlineStr">
        <is>
          <t>A 64302-2021</t>
        </is>
      </c>
      <c r="B85" s="1" t="n">
        <v>44510</v>
      </c>
      <c r="C85" s="1" t="n">
        <v>45349</v>
      </c>
      <c r="D85" t="inlineStr">
        <is>
          <t>JÄMTLANDS LÄN</t>
        </is>
      </c>
      <c r="E85" t="inlineStr">
        <is>
          <t>KROKOM</t>
        </is>
      </c>
      <c r="G85" t="n">
        <v>2.4</v>
      </c>
      <c r="H85" t="n">
        <v>1</v>
      </c>
      <c r="I85" t="n">
        <v>0</v>
      </c>
      <c r="J85" t="n">
        <v>4</v>
      </c>
      <c r="K85" t="n">
        <v>0</v>
      </c>
      <c r="L85" t="n">
        <v>0</v>
      </c>
      <c r="M85" t="n">
        <v>0</v>
      </c>
      <c r="N85" t="n">
        <v>0</v>
      </c>
      <c r="O85" t="n">
        <v>4</v>
      </c>
      <c r="P85" t="n">
        <v>0</v>
      </c>
      <c r="Q85" t="n">
        <v>4</v>
      </c>
      <c r="R85" s="2" t="inlineStr">
        <is>
          <t>Garnlav
Lunglav
Skrovellav
Tretåig hackspett</t>
        </is>
      </c>
      <c r="S85">
        <f>HYPERLINK("https://klasma.github.io/Logging_2309/artfynd/A 64302-2021 artfynd.xlsx", "A 64302-2021")</f>
        <v/>
      </c>
      <c r="T85">
        <f>HYPERLINK("https://klasma.github.io/Logging_2309/kartor/A 64302-2021 karta.png", "A 64302-2021")</f>
        <v/>
      </c>
      <c r="V85">
        <f>HYPERLINK("https://klasma.github.io/Logging_2309/klagomål/A 64302-2021 FSC-klagomål.docx", "A 64302-2021")</f>
        <v/>
      </c>
      <c r="W85">
        <f>HYPERLINK("https://klasma.github.io/Logging_2309/klagomålsmail/A 64302-2021 FSC-klagomål mail.docx", "A 64302-2021")</f>
        <v/>
      </c>
      <c r="X85">
        <f>HYPERLINK("https://klasma.github.io/Logging_2309/tillsyn/A 64302-2021 tillsynsbegäran.docx", "A 64302-2021")</f>
        <v/>
      </c>
      <c r="Y85">
        <f>HYPERLINK("https://klasma.github.io/Logging_2309/tillsynsmail/A 64302-2021 tillsynsbegäran mail.docx", "A 64302-2021")</f>
        <v/>
      </c>
      <c r="Z85">
        <f>HYPERLINK("https://klasma.github.io/Logging_2309/fåglar/A 64302-2021 prioriterade fågelarter.docx", "A 64302-2021")</f>
        <v/>
      </c>
    </row>
    <row r="86" ht="15" customHeight="1">
      <c r="A86" t="inlineStr">
        <is>
          <t>A 73935-2021</t>
        </is>
      </c>
      <c r="B86" s="1" t="n">
        <v>44553</v>
      </c>
      <c r="C86" s="1" t="n">
        <v>45349</v>
      </c>
      <c r="D86" t="inlineStr">
        <is>
          <t>JÄMTLANDS LÄN</t>
        </is>
      </c>
      <c r="E86" t="inlineStr">
        <is>
          <t>KROKOM</t>
        </is>
      </c>
      <c r="G86" t="n">
        <v>391.3</v>
      </c>
      <c r="H86" t="n">
        <v>3</v>
      </c>
      <c r="I86" t="n">
        <v>0</v>
      </c>
      <c r="J86" t="n">
        <v>2</v>
      </c>
      <c r="K86" t="n">
        <v>0</v>
      </c>
      <c r="L86" t="n">
        <v>0</v>
      </c>
      <c r="M86" t="n">
        <v>0</v>
      </c>
      <c r="N86" t="n">
        <v>0</v>
      </c>
      <c r="O86" t="n">
        <v>2</v>
      </c>
      <c r="P86" t="n">
        <v>0</v>
      </c>
      <c r="Q86" t="n">
        <v>4</v>
      </c>
      <c r="R86" s="2" t="inlineStr">
        <is>
          <t>Doftskinn
Tretåig hackspett
Nattviol
Revlummer</t>
        </is>
      </c>
      <c r="S86">
        <f>HYPERLINK("https://klasma.github.io/Logging_2309/artfynd/A 73935-2021 artfynd.xlsx", "A 73935-2021")</f>
        <v/>
      </c>
      <c r="T86">
        <f>HYPERLINK("https://klasma.github.io/Logging_2309/kartor/A 73935-2021 karta.png", "A 73935-2021")</f>
        <v/>
      </c>
      <c r="V86">
        <f>HYPERLINK("https://klasma.github.io/Logging_2309/klagomål/A 73935-2021 FSC-klagomål.docx", "A 73935-2021")</f>
        <v/>
      </c>
      <c r="W86">
        <f>HYPERLINK("https://klasma.github.io/Logging_2309/klagomålsmail/A 73935-2021 FSC-klagomål mail.docx", "A 73935-2021")</f>
        <v/>
      </c>
      <c r="X86">
        <f>HYPERLINK("https://klasma.github.io/Logging_2309/tillsyn/A 73935-2021 tillsynsbegäran.docx", "A 73935-2021")</f>
        <v/>
      </c>
      <c r="Y86">
        <f>HYPERLINK("https://klasma.github.io/Logging_2309/tillsynsmail/A 73935-2021 tillsynsbegäran mail.docx", "A 73935-2021")</f>
        <v/>
      </c>
      <c r="Z86">
        <f>HYPERLINK("https://klasma.github.io/Logging_2309/fåglar/A 73935-2021 prioriterade fågelarter.docx", "A 73935-2021")</f>
        <v/>
      </c>
    </row>
    <row r="87" ht="15" customHeight="1">
      <c r="A87" t="inlineStr">
        <is>
          <t>A 23994-2022</t>
        </is>
      </c>
      <c r="B87" s="1" t="n">
        <v>44722</v>
      </c>
      <c r="C87" s="1" t="n">
        <v>45349</v>
      </c>
      <c r="D87" t="inlineStr">
        <is>
          <t>JÄMTLANDS LÄN</t>
        </is>
      </c>
      <c r="E87" t="inlineStr">
        <is>
          <t>KROKOM</t>
        </is>
      </c>
      <c r="F87" t="inlineStr">
        <is>
          <t>SCA</t>
        </is>
      </c>
      <c r="G87" t="n">
        <v>13.4</v>
      </c>
      <c r="H87" t="n">
        <v>0</v>
      </c>
      <c r="I87" t="n">
        <v>1</v>
      </c>
      <c r="J87" t="n">
        <v>3</v>
      </c>
      <c r="K87" t="n">
        <v>0</v>
      </c>
      <c r="L87" t="n">
        <v>0</v>
      </c>
      <c r="M87" t="n">
        <v>0</v>
      </c>
      <c r="N87" t="n">
        <v>0</v>
      </c>
      <c r="O87" t="n">
        <v>3</v>
      </c>
      <c r="P87" t="n">
        <v>0</v>
      </c>
      <c r="Q87" t="n">
        <v>4</v>
      </c>
      <c r="R87" s="2" t="inlineStr">
        <is>
          <t>Garnlav
Lunglav
Skrovellav
Korallblylav</t>
        </is>
      </c>
      <c r="S87">
        <f>HYPERLINK("https://klasma.github.io/Logging_2309/artfynd/A 23994-2022 artfynd.xlsx", "A 23994-2022")</f>
        <v/>
      </c>
      <c r="T87">
        <f>HYPERLINK("https://klasma.github.io/Logging_2309/kartor/A 23994-2022 karta.png", "A 23994-2022")</f>
        <v/>
      </c>
      <c r="V87">
        <f>HYPERLINK("https://klasma.github.io/Logging_2309/klagomål/A 23994-2022 FSC-klagomål.docx", "A 23994-2022")</f>
        <v/>
      </c>
      <c r="W87">
        <f>HYPERLINK("https://klasma.github.io/Logging_2309/klagomålsmail/A 23994-2022 FSC-klagomål mail.docx", "A 23994-2022")</f>
        <v/>
      </c>
      <c r="X87">
        <f>HYPERLINK("https://klasma.github.io/Logging_2309/tillsyn/A 23994-2022 tillsynsbegäran.docx", "A 23994-2022")</f>
        <v/>
      </c>
      <c r="Y87">
        <f>HYPERLINK("https://klasma.github.io/Logging_2309/tillsynsmail/A 23994-2022 tillsynsbegäran mail.docx", "A 23994-2022")</f>
        <v/>
      </c>
    </row>
    <row r="88" ht="15" customHeight="1">
      <c r="A88" t="inlineStr">
        <is>
          <t>A 23991-2022</t>
        </is>
      </c>
      <c r="B88" s="1" t="n">
        <v>44722</v>
      </c>
      <c r="C88" s="1" t="n">
        <v>45349</v>
      </c>
      <c r="D88" t="inlineStr">
        <is>
          <t>JÄMTLANDS LÄN</t>
        </is>
      </c>
      <c r="E88" t="inlineStr">
        <is>
          <t>KROKOM</t>
        </is>
      </c>
      <c r="F88" t="inlineStr">
        <is>
          <t>SCA</t>
        </is>
      </c>
      <c r="G88" t="n">
        <v>9</v>
      </c>
      <c r="H88" t="n">
        <v>1</v>
      </c>
      <c r="I88" t="n">
        <v>1</v>
      </c>
      <c r="J88" t="n">
        <v>2</v>
      </c>
      <c r="K88" t="n">
        <v>1</v>
      </c>
      <c r="L88" t="n">
        <v>0</v>
      </c>
      <c r="M88" t="n">
        <v>0</v>
      </c>
      <c r="N88" t="n">
        <v>0</v>
      </c>
      <c r="O88" t="n">
        <v>3</v>
      </c>
      <c r="P88" t="n">
        <v>1</v>
      </c>
      <c r="Q88" t="n">
        <v>4</v>
      </c>
      <c r="R88" s="2" t="inlineStr">
        <is>
          <t>Knärot
Gammelgransskål
Granticka
Kransrams</t>
        </is>
      </c>
      <c r="S88">
        <f>HYPERLINK("https://klasma.github.io/Logging_2309/artfynd/A 23991-2022 artfynd.xlsx", "A 23991-2022")</f>
        <v/>
      </c>
      <c r="T88">
        <f>HYPERLINK("https://klasma.github.io/Logging_2309/kartor/A 23991-2022 karta.png", "A 23991-2022")</f>
        <v/>
      </c>
      <c r="U88">
        <f>HYPERLINK("https://klasma.github.io/Logging_2309/knärot/A 23991-2022 karta knärot.png", "A 23991-2022")</f>
        <v/>
      </c>
      <c r="V88">
        <f>HYPERLINK("https://klasma.github.io/Logging_2309/klagomål/A 23991-2022 FSC-klagomål.docx", "A 23991-2022")</f>
        <v/>
      </c>
      <c r="W88">
        <f>HYPERLINK("https://klasma.github.io/Logging_2309/klagomålsmail/A 23991-2022 FSC-klagomål mail.docx", "A 23991-2022")</f>
        <v/>
      </c>
      <c r="X88">
        <f>HYPERLINK("https://klasma.github.io/Logging_2309/tillsyn/A 23991-2022 tillsynsbegäran.docx", "A 23991-2022")</f>
        <v/>
      </c>
      <c r="Y88">
        <f>HYPERLINK("https://klasma.github.io/Logging_2309/tillsynsmail/A 23991-2022 tillsynsbegäran mail.docx", "A 23991-2022")</f>
        <v/>
      </c>
    </row>
    <row r="89" ht="15" customHeight="1">
      <c r="A89" t="inlineStr">
        <is>
          <t>A 25029-2022</t>
        </is>
      </c>
      <c r="B89" s="1" t="n">
        <v>44728</v>
      </c>
      <c r="C89" s="1" t="n">
        <v>45349</v>
      </c>
      <c r="D89" t="inlineStr">
        <is>
          <t>JÄMTLANDS LÄN</t>
        </is>
      </c>
      <c r="E89" t="inlineStr">
        <is>
          <t>KROKOM</t>
        </is>
      </c>
      <c r="F89" t="inlineStr">
        <is>
          <t>SCA</t>
        </is>
      </c>
      <c r="G89" t="n">
        <v>41.5</v>
      </c>
      <c r="H89" t="n">
        <v>3</v>
      </c>
      <c r="I89" t="n">
        <v>0</v>
      </c>
      <c r="J89" t="n">
        <v>2</v>
      </c>
      <c r="K89" t="n">
        <v>1</v>
      </c>
      <c r="L89" t="n">
        <v>0</v>
      </c>
      <c r="M89" t="n">
        <v>0</v>
      </c>
      <c r="N89" t="n">
        <v>0</v>
      </c>
      <c r="O89" t="n">
        <v>3</v>
      </c>
      <c r="P89" t="n">
        <v>1</v>
      </c>
      <c r="Q89" t="n">
        <v>4</v>
      </c>
      <c r="R89" s="2" t="inlineStr">
        <is>
          <t>Knärot
Skrovellav
Spillkråka
Fläcknycklar</t>
        </is>
      </c>
      <c r="S89">
        <f>HYPERLINK("https://klasma.github.io/Logging_2309/artfynd/A 25029-2022 artfynd.xlsx", "A 25029-2022")</f>
        <v/>
      </c>
      <c r="T89">
        <f>HYPERLINK("https://klasma.github.io/Logging_2309/kartor/A 25029-2022 karta.png", "A 25029-2022")</f>
        <v/>
      </c>
      <c r="U89">
        <f>HYPERLINK("https://klasma.github.io/Logging_2309/knärot/A 25029-2022 karta knärot.png", "A 25029-2022")</f>
        <v/>
      </c>
      <c r="V89">
        <f>HYPERLINK("https://klasma.github.io/Logging_2309/klagomål/A 25029-2022 FSC-klagomål.docx", "A 25029-2022")</f>
        <v/>
      </c>
      <c r="W89">
        <f>HYPERLINK("https://klasma.github.io/Logging_2309/klagomålsmail/A 25029-2022 FSC-klagomål mail.docx", "A 25029-2022")</f>
        <v/>
      </c>
      <c r="X89">
        <f>HYPERLINK("https://klasma.github.io/Logging_2309/tillsyn/A 25029-2022 tillsynsbegäran.docx", "A 25029-2022")</f>
        <v/>
      </c>
      <c r="Y89">
        <f>HYPERLINK("https://klasma.github.io/Logging_2309/tillsynsmail/A 25029-2022 tillsynsbegäran mail.docx", "A 25029-2022")</f>
        <v/>
      </c>
      <c r="Z89">
        <f>HYPERLINK("https://klasma.github.io/Logging_2309/fåglar/A 25029-2022 prioriterade fågelarter.docx", "A 25029-2022")</f>
        <v/>
      </c>
    </row>
    <row r="90" ht="15" customHeight="1">
      <c r="A90" t="inlineStr">
        <is>
          <t>A 53363-2022</t>
        </is>
      </c>
      <c r="B90" s="1" t="n">
        <v>44879</v>
      </c>
      <c r="C90" s="1" t="n">
        <v>45349</v>
      </c>
      <c r="D90" t="inlineStr">
        <is>
          <t>JÄMTLANDS LÄN</t>
        </is>
      </c>
      <c r="E90" t="inlineStr">
        <is>
          <t>KROKOM</t>
        </is>
      </c>
      <c r="F90" t="inlineStr">
        <is>
          <t>Kyrkan</t>
        </is>
      </c>
      <c r="G90" t="n">
        <v>13.3</v>
      </c>
      <c r="H90" t="n">
        <v>1</v>
      </c>
      <c r="I90" t="n">
        <v>0</v>
      </c>
      <c r="J90" t="n">
        <v>4</v>
      </c>
      <c r="K90" t="n">
        <v>0</v>
      </c>
      <c r="L90" t="n">
        <v>0</v>
      </c>
      <c r="M90" t="n">
        <v>0</v>
      </c>
      <c r="N90" t="n">
        <v>0</v>
      </c>
      <c r="O90" t="n">
        <v>4</v>
      </c>
      <c r="P90" t="n">
        <v>0</v>
      </c>
      <c r="Q90" t="n">
        <v>4</v>
      </c>
      <c r="R90" s="2" t="inlineStr">
        <is>
          <t>Garnlav
Lunglav
Skrovellav
Tretåig hackspett</t>
        </is>
      </c>
      <c r="S90">
        <f>HYPERLINK("https://klasma.github.io/Logging_2309/artfynd/A 53363-2022 artfynd.xlsx", "A 53363-2022")</f>
        <v/>
      </c>
      <c r="T90">
        <f>HYPERLINK("https://klasma.github.io/Logging_2309/kartor/A 53363-2022 karta.png", "A 53363-2022")</f>
        <v/>
      </c>
      <c r="V90">
        <f>HYPERLINK("https://klasma.github.io/Logging_2309/klagomål/A 53363-2022 FSC-klagomål.docx", "A 53363-2022")</f>
        <v/>
      </c>
      <c r="W90">
        <f>HYPERLINK("https://klasma.github.io/Logging_2309/klagomålsmail/A 53363-2022 FSC-klagomål mail.docx", "A 53363-2022")</f>
        <v/>
      </c>
      <c r="X90">
        <f>HYPERLINK("https://klasma.github.io/Logging_2309/tillsyn/A 53363-2022 tillsynsbegäran.docx", "A 53363-2022")</f>
        <v/>
      </c>
      <c r="Y90">
        <f>HYPERLINK("https://klasma.github.io/Logging_2309/tillsynsmail/A 53363-2022 tillsynsbegäran mail.docx", "A 53363-2022")</f>
        <v/>
      </c>
      <c r="Z90">
        <f>HYPERLINK("https://klasma.github.io/Logging_2309/fåglar/A 53363-2022 prioriterade fågelarter.docx", "A 53363-2022")</f>
        <v/>
      </c>
    </row>
    <row r="91" ht="15" customHeight="1">
      <c r="A91" t="inlineStr">
        <is>
          <t>A 57295-2022</t>
        </is>
      </c>
      <c r="B91" s="1" t="n">
        <v>44895</v>
      </c>
      <c r="C91" s="1" t="n">
        <v>45349</v>
      </c>
      <c r="D91" t="inlineStr">
        <is>
          <t>JÄMTLANDS LÄN</t>
        </is>
      </c>
      <c r="E91" t="inlineStr">
        <is>
          <t>KROKOM</t>
        </is>
      </c>
      <c r="G91" t="n">
        <v>36.3</v>
      </c>
      <c r="H91" t="n">
        <v>2</v>
      </c>
      <c r="I91" t="n">
        <v>0</v>
      </c>
      <c r="J91" t="n">
        <v>3</v>
      </c>
      <c r="K91" t="n">
        <v>1</v>
      </c>
      <c r="L91" t="n">
        <v>0</v>
      </c>
      <c r="M91" t="n">
        <v>0</v>
      </c>
      <c r="N91" t="n">
        <v>0</v>
      </c>
      <c r="O91" t="n">
        <v>4</v>
      </c>
      <c r="P91" t="n">
        <v>1</v>
      </c>
      <c r="Q91" t="n">
        <v>4</v>
      </c>
      <c r="R91" s="2" t="inlineStr">
        <is>
          <t>Doftticka
Garnlav
Lunglav
Tretåig hackspett</t>
        </is>
      </c>
      <c r="S91">
        <f>HYPERLINK("https://klasma.github.io/Logging_2309/artfynd/A 57295-2022 artfynd.xlsx", "A 57295-2022")</f>
        <v/>
      </c>
      <c r="T91">
        <f>HYPERLINK("https://klasma.github.io/Logging_2309/kartor/A 57295-2022 karta.png", "A 57295-2022")</f>
        <v/>
      </c>
      <c r="V91">
        <f>HYPERLINK("https://klasma.github.io/Logging_2309/klagomål/A 57295-2022 FSC-klagomål.docx", "A 57295-2022")</f>
        <v/>
      </c>
      <c r="W91">
        <f>HYPERLINK("https://klasma.github.io/Logging_2309/klagomålsmail/A 57295-2022 FSC-klagomål mail.docx", "A 57295-2022")</f>
        <v/>
      </c>
      <c r="X91">
        <f>HYPERLINK("https://klasma.github.io/Logging_2309/tillsyn/A 57295-2022 tillsynsbegäran.docx", "A 57295-2022")</f>
        <v/>
      </c>
      <c r="Y91">
        <f>HYPERLINK("https://klasma.github.io/Logging_2309/tillsynsmail/A 57295-2022 tillsynsbegäran mail.docx", "A 57295-2022")</f>
        <v/>
      </c>
      <c r="Z91">
        <f>HYPERLINK("https://klasma.github.io/Logging_2309/fåglar/A 57295-2022 prioriterade fågelarter.docx", "A 57295-2022")</f>
        <v/>
      </c>
    </row>
    <row r="92" ht="15" customHeight="1">
      <c r="A92" t="inlineStr">
        <is>
          <t>A 59039-2022</t>
        </is>
      </c>
      <c r="B92" s="1" t="n">
        <v>44903</v>
      </c>
      <c r="C92" s="1" t="n">
        <v>45349</v>
      </c>
      <c r="D92" t="inlineStr">
        <is>
          <t>JÄMTLANDS LÄN</t>
        </is>
      </c>
      <c r="E92" t="inlineStr">
        <is>
          <t>KROKOM</t>
        </is>
      </c>
      <c r="F92" t="inlineStr">
        <is>
          <t>SCA</t>
        </is>
      </c>
      <c r="G92" t="n">
        <v>2.5</v>
      </c>
      <c r="H92" t="n">
        <v>0</v>
      </c>
      <c r="I92" t="n">
        <v>0</v>
      </c>
      <c r="J92" t="n">
        <v>4</v>
      </c>
      <c r="K92" t="n">
        <v>0</v>
      </c>
      <c r="L92" t="n">
        <v>0</v>
      </c>
      <c r="M92" t="n">
        <v>0</v>
      </c>
      <c r="N92" t="n">
        <v>0</v>
      </c>
      <c r="O92" t="n">
        <v>4</v>
      </c>
      <c r="P92" t="n">
        <v>0</v>
      </c>
      <c r="Q92" t="n">
        <v>4</v>
      </c>
      <c r="R92" s="2" t="inlineStr">
        <is>
          <t>Garnlav
Lunglav
Skrovellav
Tallticka</t>
        </is>
      </c>
      <c r="S92">
        <f>HYPERLINK("https://klasma.github.io/Logging_2309/artfynd/A 59039-2022 artfynd.xlsx", "A 59039-2022")</f>
        <v/>
      </c>
      <c r="T92">
        <f>HYPERLINK("https://klasma.github.io/Logging_2309/kartor/A 59039-2022 karta.png", "A 59039-2022")</f>
        <v/>
      </c>
      <c r="V92">
        <f>HYPERLINK("https://klasma.github.io/Logging_2309/klagomål/A 59039-2022 FSC-klagomål.docx", "A 59039-2022")</f>
        <v/>
      </c>
      <c r="W92">
        <f>HYPERLINK("https://klasma.github.io/Logging_2309/klagomålsmail/A 59039-2022 FSC-klagomål mail.docx", "A 59039-2022")</f>
        <v/>
      </c>
      <c r="X92">
        <f>HYPERLINK("https://klasma.github.io/Logging_2309/tillsyn/A 59039-2022 tillsynsbegäran.docx", "A 59039-2022")</f>
        <v/>
      </c>
      <c r="Y92">
        <f>HYPERLINK("https://klasma.github.io/Logging_2309/tillsynsmail/A 59039-2022 tillsynsbegäran mail.docx", "A 59039-2022")</f>
        <v/>
      </c>
    </row>
    <row r="93" ht="15" customHeight="1">
      <c r="A93" t="inlineStr">
        <is>
          <t>A 60566-2022</t>
        </is>
      </c>
      <c r="B93" s="1" t="n">
        <v>44904</v>
      </c>
      <c r="C93" s="1" t="n">
        <v>45349</v>
      </c>
      <c r="D93" t="inlineStr">
        <is>
          <t>JÄMTLANDS LÄN</t>
        </is>
      </c>
      <c r="E93" t="inlineStr">
        <is>
          <t>KROKOM</t>
        </is>
      </c>
      <c r="G93" t="n">
        <v>7.1</v>
      </c>
      <c r="H93" t="n">
        <v>1</v>
      </c>
      <c r="I93" t="n">
        <v>0</v>
      </c>
      <c r="J93" t="n">
        <v>3</v>
      </c>
      <c r="K93" t="n">
        <v>1</v>
      </c>
      <c r="L93" t="n">
        <v>0</v>
      </c>
      <c r="M93" t="n">
        <v>0</v>
      </c>
      <c r="N93" t="n">
        <v>0</v>
      </c>
      <c r="O93" t="n">
        <v>4</v>
      </c>
      <c r="P93" t="n">
        <v>1</v>
      </c>
      <c r="Q93" t="n">
        <v>4</v>
      </c>
      <c r="R93" s="2" t="inlineStr">
        <is>
          <t>Fjällfotad fingersvamp
Lunglav
Småflikig brosklav
Talltita</t>
        </is>
      </c>
      <c r="S93">
        <f>HYPERLINK("https://klasma.github.io/Logging_2309/artfynd/A 60566-2022 artfynd.xlsx", "A 60566-2022")</f>
        <v/>
      </c>
      <c r="T93">
        <f>HYPERLINK("https://klasma.github.io/Logging_2309/kartor/A 60566-2022 karta.png", "A 60566-2022")</f>
        <v/>
      </c>
      <c r="V93">
        <f>HYPERLINK("https://klasma.github.io/Logging_2309/klagomål/A 60566-2022 FSC-klagomål.docx", "A 60566-2022")</f>
        <v/>
      </c>
      <c r="W93">
        <f>HYPERLINK("https://klasma.github.io/Logging_2309/klagomålsmail/A 60566-2022 FSC-klagomål mail.docx", "A 60566-2022")</f>
        <v/>
      </c>
      <c r="X93">
        <f>HYPERLINK("https://klasma.github.io/Logging_2309/tillsyn/A 60566-2022 tillsynsbegäran.docx", "A 60566-2022")</f>
        <v/>
      </c>
      <c r="Y93">
        <f>HYPERLINK("https://klasma.github.io/Logging_2309/tillsynsmail/A 60566-2022 tillsynsbegäran mail.docx", "A 60566-2022")</f>
        <v/>
      </c>
      <c r="Z93">
        <f>HYPERLINK("https://klasma.github.io/Logging_2309/fåglar/A 60566-2022 prioriterade fågelarter.docx", "A 60566-2022")</f>
        <v/>
      </c>
    </row>
    <row r="94" ht="15" customHeight="1">
      <c r="A94" t="inlineStr">
        <is>
          <t>A 6682-2023</t>
        </is>
      </c>
      <c r="B94" s="1" t="n">
        <v>44966</v>
      </c>
      <c r="C94" s="1" t="n">
        <v>45349</v>
      </c>
      <c r="D94" t="inlineStr">
        <is>
          <t>JÄMTLANDS LÄN</t>
        </is>
      </c>
      <c r="E94" t="inlineStr">
        <is>
          <t>KROKOM</t>
        </is>
      </c>
      <c r="G94" t="n">
        <v>22.8</v>
      </c>
      <c r="H94" t="n">
        <v>1</v>
      </c>
      <c r="I94" t="n">
        <v>0</v>
      </c>
      <c r="J94" t="n">
        <v>4</v>
      </c>
      <c r="K94" t="n">
        <v>0</v>
      </c>
      <c r="L94" t="n">
        <v>0</v>
      </c>
      <c r="M94" t="n">
        <v>0</v>
      </c>
      <c r="N94" t="n">
        <v>0</v>
      </c>
      <c r="O94" t="n">
        <v>4</v>
      </c>
      <c r="P94" t="n">
        <v>0</v>
      </c>
      <c r="Q94" t="n">
        <v>4</v>
      </c>
      <c r="R94" s="2" t="inlineStr">
        <is>
          <t>Garnlav
Granticka
Lunglav
Tretåig hackspett</t>
        </is>
      </c>
      <c r="S94">
        <f>HYPERLINK("https://klasma.github.io/Logging_2309/artfynd/A 6682-2023 artfynd.xlsx", "A 6682-2023")</f>
        <v/>
      </c>
      <c r="T94">
        <f>HYPERLINK("https://klasma.github.io/Logging_2309/kartor/A 6682-2023 karta.png", "A 6682-2023")</f>
        <v/>
      </c>
      <c r="V94">
        <f>HYPERLINK("https://klasma.github.io/Logging_2309/klagomål/A 6682-2023 FSC-klagomål.docx", "A 6682-2023")</f>
        <v/>
      </c>
      <c r="W94">
        <f>HYPERLINK("https://klasma.github.io/Logging_2309/klagomålsmail/A 6682-2023 FSC-klagomål mail.docx", "A 6682-2023")</f>
        <v/>
      </c>
      <c r="X94">
        <f>HYPERLINK("https://klasma.github.io/Logging_2309/tillsyn/A 6682-2023 tillsynsbegäran.docx", "A 6682-2023")</f>
        <v/>
      </c>
      <c r="Y94">
        <f>HYPERLINK("https://klasma.github.io/Logging_2309/tillsynsmail/A 6682-2023 tillsynsbegäran mail.docx", "A 6682-2023")</f>
        <v/>
      </c>
      <c r="Z94">
        <f>HYPERLINK("https://klasma.github.io/Logging_2309/fåglar/A 6682-2023 prioriterade fågelarter.docx", "A 6682-2023")</f>
        <v/>
      </c>
    </row>
    <row r="95" ht="15" customHeight="1">
      <c r="A95" t="inlineStr">
        <is>
          <t>A 40179-2023</t>
        </is>
      </c>
      <c r="B95" s="1" t="n">
        <v>45169</v>
      </c>
      <c r="C95" s="1" t="n">
        <v>45349</v>
      </c>
      <c r="D95" t="inlineStr">
        <is>
          <t>JÄMTLANDS LÄN</t>
        </is>
      </c>
      <c r="E95" t="inlineStr">
        <is>
          <t>KROKOM</t>
        </is>
      </c>
      <c r="F95" t="inlineStr">
        <is>
          <t>Övriga Aktiebolag</t>
        </is>
      </c>
      <c r="G95" t="n">
        <v>2.8</v>
      </c>
      <c r="H95" t="n">
        <v>1</v>
      </c>
      <c r="I95" t="n">
        <v>1</v>
      </c>
      <c r="J95" t="n">
        <v>3</v>
      </c>
      <c r="K95" t="n">
        <v>0</v>
      </c>
      <c r="L95" t="n">
        <v>0</v>
      </c>
      <c r="M95" t="n">
        <v>0</v>
      </c>
      <c r="N95" t="n">
        <v>0</v>
      </c>
      <c r="O95" t="n">
        <v>3</v>
      </c>
      <c r="P95" t="n">
        <v>0</v>
      </c>
      <c r="Q95" t="n">
        <v>4</v>
      </c>
      <c r="R95" s="2" t="inlineStr">
        <is>
          <t>Grantaggsvamp
Orange taggsvamp
Tretåig hackspett
Tallfingersvamp</t>
        </is>
      </c>
      <c r="S95">
        <f>HYPERLINK("https://klasma.github.io/Logging_2309/artfynd/A 40179-2023 artfynd.xlsx", "A 40179-2023")</f>
        <v/>
      </c>
      <c r="T95">
        <f>HYPERLINK("https://klasma.github.io/Logging_2309/kartor/A 40179-2023 karta.png", "A 40179-2023")</f>
        <v/>
      </c>
      <c r="V95">
        <f>HYPERLINK("https://klasma.github.io/Logging_2309/klagomål/A 40179-2023 FSC-klagomål.docx", "A 40179-2023")</f>
        <v/>
      </c>
      <c r="W95">
        <f>HYPERLINK("https://klasma.github.io/Logging_2309/klagomålsmail/A 40179-2023 FSC-klagomål mail.docx", "A 40179-2023")</f>
        <v/>
      </c>
      <c r="X95">
        <f>HYPERLINK("https://klasma.github.io/Logging_2309/tillsyn/A 40179-2023 tillsynsbegäran.docx", "A 40179-2023")</f>
        <v/>
      </c>
      <c r="Y95">
        <f>HYPERLINK("https://klasma.github.io/Logging_2309/tillsynsmail/A 40179-2023 tillsynsbegäran mail.docx", "A 40179-2023")</f>
        <v/>
      </c>
      <c r="Z95">
        <f>HYPERLINK("https://klasma.github.io/Logging_2309/fåglar/A 40179-2023 prioriterade fågelarter.docx", "A 40179-2023")</f>
        <v/>
      </c>
    </row>
    <row r="96" ht="15" customHeight="1">
      <c r="A96" t="inlineStr">
        <is>
          <t>A 46055-2023</t>
        </is>
      </c>
      <c r="B96" s="1" t="n">
        <v>45190</v>
      </c>
      <c r="C96" s="1" t="n">
        <v>45349</v>
      </c>
      <c r="D96" t="inlineStr">
        <is>
          <t>JÄMTLANDS LÄN</t>
        </is>
      </c>
      <c r="E96" t="inlineStr">
        <is>
          <t>KROKOM</t>
        </is>
      </c>
      <c r="G96" t="n">
        <v>11.8</v>
      </c>
      <c r="H96" t="n">
        <v>2</v>
      </c>
      <c r="I96" t="n">
        <v>0</v>
      </c>
      <c r="J96" t="n">
        <v>3</v>
      </c>
      <c r="K96" t="n">
        <v>0</v>
      </c>
      <c r="L96" t="n">
        <v>0</v>
      </c>
      <c r="M96" t="n">
        <v>0</v>
      </c>
      <c r="N96" t="n">
        <v>0</v>
      </c>
      <c r="O96" t="n">
        <v>3</v>
      </c>
      <c r="P96" t="n">
        <v>0</v>
      </c>
      <c r="Q96" t="n">
        <v>4</v>
      </c>
      <c r="R96" s="2" t="inlineStr">
        <is>
          <t>Garnlav
Lunglav
Tretåig hackspett
Lavskrika</t>
        </is>
      </c>
      <c r="S96">
        <f>HYPERLINK("https://klasma.github.io/Logging_2309/artfynd/A 46055-2023 artfynd.xlsx", "A 46055-2023")</f>
        <v/>
      </c>
      <c r="T96">
        <f>HYPERLINK("https://klasma.github.io/Logging_2309/kartor/A 46055-2023 karta.png", "A 46055-2023")</f>
        <v/>
      </c>
      <c r="V96">
        <f>HYPERLINK("https://klasma.github.io/Logging_2309/klagomål/A 46055-2023 FSC-klagomål.docx", "A 46055-2023")</f>
        <v/>
      </c>
      <c r="W96">
        <f>HYPERLINK("https://klasma.github.io/Logging_2309/klagomålsmail/A 46055-2023 FSC-klagomål mail.docx", "A 46055-2023")</f>
        <v/>
      </c>
      <c r="X96">
        <f>HYPERLINK("https://klasma.github.io/Logging_2309/tillsyn/A 46055-2023 tillsynsbegäran.docx", "A 46055-2023")</f>
        <v/>
      </c>
      <c r="Y96">
        <f>HYPERLINK("https://klasma.github.io/Logging_2309/tillsynsmail/A 46055-2023 tillsynsbegäran mail.docx", "A 46055-2023")</f>
        <v/>
      </c>
      <c r="Z96">
        <f>HYPERLINK("https://klasma.github.io/Logging_2309/fåglar/A 46055-2023 prioriterade fågelarter.docx", "A 46055-2023")</f>
        <v/>
      </c>
    </row>
    <row r="97" ht="15" customHeight="1">
      <c r="A97" t="inlineStr">
        <is>
          <t>A 50218-2023</t>
        </is>
      </c>
      <c r="B97" s="1" t="n">
        <v>45215</v>
      </c>
      <c r="C97" s="1" t="n">
        <v>45349</v>
      </c>
      <c r="D97" t="inlineStr">
        <is>
          <t>JÄMTLANDS LÄN</t>
        </is>
      </c>
      <c r="E97" t="inlineStr">
        <is>
          <t>KROKOM</t>
        </is>
      </c>
      <c r="G97" t="n">
        <v>5.6</v>
      </c>
      <c r="H97" t="n">
        <v>2</v>
      </c>
      <c r="I97" t="n">
        <v>0</v>
      </c>
      <c r="J97" t="n">
        <v>4</v>
      </c>
      <c r="K97" t="n">
        <v>0</v>
      </c>
      <c r="L97" t="n">
        <v>0</v>
      </c>
      <c r="M97" t="n">
        <v>0</v>
      </c>
      <c r="N97" t="n">
        <v>0</v>
      </c>
      <c r="O97" t="n">
        <v>4</v>
      </c>
      <c r="P97" t="n">
        <v>0</v>
      </c>
      <c r="Q97" t="n">
        <v>4</v>
      </c>
      <c r="R97" s="2" t="inlineStr">
        <is>
          <t>Garnlav
Granticka
Spillkråka
Tretåig hackspett</t>
        </is>
      </c>
      <c r="S97">
        <f>HYPERLINK("https://klasma.github.io/Logging_2309/artfynd/A 50218-2023 artfynd.xlsx", "A 50218-2023")</f>
        <v/>
      </c>
      <c r="T97">
        <f>HYPERLINK("https://klasma.github.io/Logging_2309/kartor/A 50218-2023 karta.png", "A 50218-2023")</f>
        <v/>
      </c>
      <c r="V97">
        <f>HYPERLINK("https://klasma.github.io/Logging_2309/klagomål/A 50218-2023 FSC-klagomål.docx", "A 50218-2023")</f>
        <v/>
      </c>
      <c r="W97">
        <f>HYPERLINK("https://klasma.github.io/Logging_2309/klagomålsmail/A 50218-2023 FSC-klagomål mail.docx", "A 50218-2023")</f>
        <v/>
      </c>
      <c r="X97">
        <f>HYPERLINK("https://klasma.github.io/Logging_2309/tillsyn/A 50218-2023 tillsynsbegäran.docx", "A 50218-2023")</f>
        <v/>
      </c>
      <c r="Y97">
        <f>HYPERLINK("https://klasma.github.io/Logging_2309/tillsynsmail/A 50218-2023 tillsynsbegäran mail.docx", "A 50218-2023")</f>
        <v/>
      </c>
      <c r="Z97">
        <f>HYPERLINK("https://klasma.github.io/Logging_2309/fåglar/A 50218-2023 prioriterade fågelarter.docx", "A 50218-2023")</f>
        <v/>
      </c>
    </row>
    <row r="98" ht="15" customHeight="1">
      <c r="A98" t="inlineStr">
        <is>
          <t>A 2256-2024</t>
        </is>
      </c>
      <c r="B98" s="1" t="n">
        <v>45310</v>
      </c>
      <c r="C98" s="1" t="n">
        <v>45349</v>
      </c>
      <c r="D98" t="inlineStr">
        <is>
          <t>JÄMTLANDS LÄN</t>
        </is>
      </c>
      <c r="E98" t="inlineStr">
        <is>
          <t>KROKOM</t>
        </is>
      </c>
      <c r="G98" t="n">
        <v>29.6</v>
      </c>
      <c r="H98" t="n">
        <v>1</v>
      </c>
      <c r="I98" t="n">
        <v>1</v>
      </c>
      <c r="J98" t="n">
        <v>2</v>
      </c>
      <c r="K98" t="n">
        <v>0</v>
      </c>
      <c r="L98" t="n">
        <v>0</v>
      </c>
      <c r="M98" t="n">
        <v>0</v>
      </c>
      <c r="N98" t="n">
        <v>0</v>
      </c>
      <c r="O98" t="n">
        <v>2</v>
      </c>
      <c r="P98" t="n">
        <v>0</v>
      </c>
      <c r="Q98" t="n">
        <v>4</v>
      </c>
      <c r="R98" s="2" t="inlineStr">
        <is>
          <t>Garnlav
Gränsticka
Stuplav
Revlummer</t>
        </is>
      </c>
      <c r="S98">
        <f>HYPERLINK("https://klasma.github.io/Logging_2309/artfynd/A 2256-2024 artfynd.xlsx", "A 2256-2024")</f>
        <v/>
      </c>
      <c r="T98">
        <f>HYPERLINK("https://klasma.github.io/Logging_2309/kartor/A 2256-2024 karta.png", "A 2256-2024")</f>
        <v/>
      </c>
      <c r="V98">
        <f>HYPERLINK("https://klasma.github.io/Logging_2309/klagomål/A 2256-2024 FSC-klagomål.docx", "A 2256-2024")</f>
        <v/>
      </c>
      <c r="W98">
        <f>HYPERLINK("https://klasma.github.io/Logging_2309/klagomålsmail/A 2256-2024 FSC-klagomål mail.docx", "A 2256-2024")</f>
        <v/>
      </c>
      <c r="X98">
        <f>HYPERLINK("https://klasma.github.io/Logging_2309/tillsyn/A 2256-2024 tillsynsbegäran.docx", "A 2256-2024")</f>
        <v/>
      </c>
      <c r="Y98">
        <f>HYPERLINK("https://klasma.github.io/Logging_2309/tillsynsmail/A 2256-2024 tillsynsbegäran mail.docx", "A 2256-2024")</f>
        <v/>
      </c>
    </row>
    <row r="99" ht="15" customHeight="1">
      <c r="A99" t="inlineStr">
        <is>
          <t>A 56744-2018</t>
        </is>
      </c>
      <c r="B99" s="1" t="n">
        <v>43402</v>
      </c>
      <c r="C99" s="1" t="n">
        <v>45349</v>
      </c>
      <c r="D99" t="inlineStr">
        <is>
          <t>JÄMTLANDS LÄN</t>
        </is>
      </c>
      <c r="E99" t="inlineStr">
        <is>
          <t>KROKOM</t>
        </is>
      </c>
      <c r="G99" t="n">
        <v>5.9</v>
      </c>
      <c r="H99" t="n">
        <v>1</v>
      </c>
      <c r="I99" t="n">
        <v>1</v>
      </c>
      <c r="J99" t="n">
        <v>1</v>
      </c>
      <c r="K99" t="n">
        <v>0</v>
      </c>
      <c r="L99" t="n">
        <v>0</v>
      </c>
      <c r="M99" t="n">
        <v>0</v>
      </c>
      <c r="N99" t="n">
        <v>0</v>
      </c>
      <c r="O99" t="n">
        <v>1</v>
      </c>
      <c r="P99" t="n">
        <v>0</v>
      </c>
      <c r="Q99" t="n">
        <v>3</v>
      </c>
      <c r="R99" s="2" t="inlineStr">
        <is>
          <t>Garnlav
Luddlav
Revlummer</t>
        </is>
      </c>
      <c r="S99">
        <f>HYPERLINK("https://klasma.github.io/Logging_2309/artfynd/A 56744-2018 artfynd.xlsx", "A 56744-2018")</f>
        <v/>
      </c>
      <c r="T99">
        <f>HYPERLINK("https://klasma.github.io/Logging_2309/kartor/A 56744-2018 karta.png", "A 56744-2018")</f>
        <v/>
      </c>
      <c r="V99">
        <f>HYPERLINK("https://klasma.github.io/Logging_2309/klagomål/A 56744-2018 FSC-klagomål.docx", "A 56744-2018")</f>
        <v/>
      </c>
      <c r="W99">
        <f>HYPERLINK("https://klasma.github.io/Logging_2309/klagomålsmail/A 56744-2018 FSC-klagomål mail.docx", "A 56744-2018")</f>
        <v/>
      </c>
      <c r="X99">
        <f>HYPERLINK("https://klasma.github.io/Logging_2309/tillsyn/A 56744-2018 tillsynsbegäran.docx", "A 56744-2018")</f>
        <v/>
      </c>
      <c r="Y99">
        <f>HYPERLINK("https://klasma.github.io/Logging_2309/tillsynsmail/A 56744-2018 tillsynsbegäran mail.docx", "A 56744-2018")</f>
        <v/>
      </c>
    </row>
    <row r="100" ht="15" customHeight="1">
      <c r="A100" t="inlineStr">
        <is>
          <t>A 5935-2019</t>
        </is>
      </c>
      <c r="B100" s="1" t="n">
        <v>43490</v>
      </c>
      <c r="C100" s="1" t="n">
        <v>45349</v>
      </c>
      <c r="D100" t="inlineStr">
        <is>
          <t>JÄMTLANDS LÄN</t>
        </is>
      </c>
      <c r="E100" t="inlineStr">
        <is>
          <t>KROKOM</t>
        </is>
      </c>
      <c r="G100" t="n">
        <v>7</v>
      </c>
      <c r="H100" t="n">
        <v>1</v>
      </c>
      <c r="I100" t="n">
        <v>1</v>
      </c>
      <c r="J100" t="n">
        <v>2</v>
      </c>
      <c r="K100" t="n">
        <v>0</v>
      </c>
      <c r="L100" t="n">
        <v>0</v>
      </c>
      <c r="M100" t="n">
        <v>0</v>
      </c>
      <c r="N100" t="n">
        <v>0</v>
      </c>
      <c r="O100" t="n">
        <v>2</v>
      </c>
      <c r="P100" t="n">
        <v>0</v>
      </c>
      <c r="Q100" t="n">
        <v>3</v>
      </c>
      <c r="R100" s="2" t="inlineStr">
        <is>
          <t>Garnlav
Ullticka
Guckusko</t>
        </is>
      </c>
      <c r="S100">
        <f>HYPERLINK("https://klasma.github.io/Logging_2309/artfynd/A 5935-2019 artfynd.xlsx", "A 5935-2019")</f>
        <v/>
      </c>
      <c r="T100">
        <f>HYPERLINK("https://klasma.github.io/Logging_2309/kartor/A 5935-2019 karta.png", "A 5935-2019")</f>
        <v/>
      </c>
      <c r="V100">
        <f>HYPERLINK("https://klasma.github.io/Logging_2309/klagomål/A 5935-2019 FSC-klagomål.docx", "A 5935-2019")</f>
        <v/>
      </c>
      <c r="W100">
        <f>HYPERLINK("https://klasma.github.io/Logging_2309/klagomålsmail/A 5935-2019 FSC-klagomål mail.docx", "A 5935-2019")</f>
        <v/>
      </c>
      <c r="X100">
        <f>HYPERLINK("https://klasma.github.io/Logging_2309/tillsyn/A 5935-2019 tillsynsbegäran.docx", "A 5935-2019")</f>
        <v/>
      </c>
      <c r="Y100">
        <f>HYPERLINK("https://klasma.github.io/Logging_2309/tillsynsmail/A 5935-2019 tillsynsbegäran mail.docx", "A 5935-2019")</f>
        <v/>
      </c>
    </row>
    <row r="101" ht="15" customHeight="1">
      <c r="A101" t="inlineStr">
        <is>
          <t>A 45683-2019</t>
        </is>
      </c>
      <c r="B101" s="1" t="n">
        <v>43717</v>
      </c>
      <c r="C101" s="1" t="n">
        <v>45349</v>
      </c>
      <c r="D101" t="inlineStr">
        <is>
          <t>JÄMTLANDS LÄN</t>
        </is>
      </c>
      <c r="E101" t="inlineStr">
        <is>
          <t>KROKOM</t>
        </is>
      </c>
      <c r="G101" t="n">
        <v>4.6</v>
      </c>
      <c r="H101" t="n">
        <v>2</v>
      </c>
      <c r="I101" t="n">
        <v>0</v>
      </c>
      <c r="J101" t="n">
        <v>2</v>
      </c>
      <c r="K101" t="n">
        <v>1</v>
      </c>
      <c r="L101" t="n">
        <v>0</v>
      </c>
      <c r="M101" t="n">
        <v>0</v>
      </c>
      <c r="N101" t="n">
        <v>0</v>
      </c>
      <c r="O101" t="n">
        <v>3</v>
      </c>
      <c r="P101" t="n">
        <v>1</v>
      </c>
      <c r="Q101" t="n">
        <v>3</v>
      </c>
      <c r="R101" s="2" t="inlineStr">
        <is>
          <t>Knärot
Gränsticka
Tretåig hackspett</t>
        </is>
      </c>
      <c r="S101">
        <f>HYPERLINK("https://klasma.github.io/Logging_2309/artfynd/A 45683-2019 artfynd.xlsx", "A 45683-2019")</f>
        <v/>
      </c>
      <c r="T101">
        <f>HYPERLINK("https://klasma.github.io/Logging_2309/kartor/A 45683-2019 karta.png", "A 45683-2019")</f>
        <v/>
      </c>
      <c r="U101">
        <f>HYPERLINK("https://klasma.github.io/Logging_2309/knärot/A 45683-2019 karta knärot.png", "A 45683-2019")</f>
        <v/>
      </c>
      <c r="V101">
        <f>HYPERLINK("https://klasma.github.io/Logging_2309/klagomål/A 45683-2019 FSC-klagomål.docx", "A 45683-2019")</f>
        <v/>
      </c>
      <c r="W101">
        <f>HYPERLINK("https://klasma.github.io/Logging_2309/klagomålsmail/A 45683-2019 FSC-klagomål mail.docx", "A 45683-2019")</f>
        <v/>
      </c>
      <c r="X101">
        <f>HYPERLINK("https://klasma.github.io/Logging_2309/tillsyn/A 45683-2019 tillsynsbegäran.docx", "A 45683-2019")</f>
        <v/>
      </c>
      <c r="Y101">
        <f>HYPERLINK("https://klasma.github.io/Logging_2309/tillsynsmail/A 45683-2019 tillsynsbegäran mail.docx", "A 45683-2019")</f>
        <v/>
      </c>
      <c r="Z101">
        <f>HYPERLINK("https://klasma.github.io/Logging_2309/fåglar/A 45683-2019 prioriterade fågelarter.docx", "A 45683-2019")</f>
        <v/>
      </c>
    </row>
    <row r="102" ht="15" customHeight="1">
      <c r="A102" t="inlineStr">
        <is>
          <t>A 57028-2019</t>
        </is>
      </c>
      <c r="B102" s="1" t="n">
        <v>43766</v>
      </c>
      <c r="C102" s="1" t="n">
        <v>45349</v>
      </c>
      <c r="D102" t="inlineStr">
        <is>
          <t>JÄMTLANDS LÄN</t>
        </is>
      </c>
      <c r="E102" t="inlineStr">
        <is>
          <t>KROKOM</t>
        </is>
      </c>
      <c r="G102" t="n">
        <v>13.6</v>
      </c>
      <c r="H102" t="n">
        <v>0</v>
      </c>
      <c r="I102" t="n">
        <v>1</v>
      </c>
      <c r="J102" t="n">
        <v>1</v>
      </c>
      <c r="K102" t="n">
        <v>1</v>
      </c>
      <c r="L102" t="n">
        <v>0</v>
      </c>
      <c r="M102" t="n">
        <v>0</v>
      </c>
      <c r="N102" t="n">
        <v>0</v>
      </c>
      <c r="O102" t="n">
        <v>2</v>
      </c>
      <c r="P102" t="n">
        <v>1</v>
      </c>
      <c r="Q102" t="n">
        <v>3</v>
      </c>
      <c r="R102" s="2" t="inlineStr">
        <is>
          <t>Liten sotlav
Rödbrun blekspik
Rostfläck</t>
        </is>
      </c>
      <c r="S102">
        <f>HYPERLINK("https://klasma.github.io/Logging_2309/artfynd/A 57028-2019 artfynd.xlsx", "A 57028-2019")</f>
        <v/>
      </c>
      <c r="T102">
        <f>HYPERLINK("https://klasma.github.io/Logging_2309/kartor/A 57028-2019 karta.png", "A 57028-2019")</f>
        <v/>
      </c>
      <c r="V102">
        <f>HYPERLINK("https://klasma.github.io/Logging_2309/klagomål/A 57028-2019 FSC-klagomål.docx", "A 57028-2019")</f>
        <v/>
      </c>
      <c r="W102">
        <f>HYPERLINK("https://klasma.github.io/Logging_2309/klagomålsmail/A 57028-2019 FSC-klagomål mail.docx", "A 57028-2019")</f>
        <v/>
      </c>
      <c r="X102">
        <f>HYPERLINK("https://klasma.github.io/Logging_2309/tillsyn/A 57028-2019 tillsynsbegäran.docx", "A 57028-2019")</f>
        <v/>
      </c>
      <c r="Y102">
        <f>HYPERLINK("https://klasma.github.io/Logging_2309/tillsynsmail/A 57028-2019 tillsynsbegäran mail.docx", "A 57028-2019")</f>
        <v/>
      </c>
    </row>
    <row r="103" ht="15" customHeight="1">
      <c r="A103" t="inlineStr">
        <is>
          <t>A 53354-2021</t>
        </is>
      </c>
      <c r="B103" s="1" t="n">
        <v>44468</v>
      </c>
      <c r="C103" s="1" t="n">
        <v>45349</v>
      </c>
      <c r="D103" t="inlineStr">
        <is>
          <t>JÄMTLANDS LÄN</t>
        </is>
      </c>
      <c r="E103" t="inlineStr">
        <is>
          <t>KROKOM</t>
        </is>
      </c>
      <c r="F103" t="inlineStr">
        <is>
          <t>Kyrkan</t>
        </is>
      </c>
      <c r="G103" t="n">
        <v>7.8</v>
      </c>
      <c r="H103" t="n">
        <v>0</v>
      </c>
      <c r="I103" t="n">
        <v>1</v>
      </c>
      <c r="J103" t="n">
        <v>2</v>
      </c>
      <c r="K103" t="n">
        <v>0</v>
      </c>
      <c r="L103" t="n">
        <v>0</v>
      </c>
      <c r="M103" t="n">
        <v>0</v>
      </c>
      <c r="N103" t="n">
        <v>0</v>
      </c>
      <c r="O103" t="n">
        <v>2</v>
      </c>
      <c r="P103" t="n">
        <v>0</v>
      </c>
      <c r="Q103" t="n">
        <v>3</v>
      </c>
      <c r="R103" s="2" t="inlineStr">
        <is>
          <t>Granticka
Lunglav
Stuplav</t>
        </is>
      </c>
      <c r="S103">
        <f>HYPERLINK("https://klasma.github.io/Logging_2309/artfynd/A 53354-2021 artfynd.xlsx", "A 53354-2021")</f>
        <v/>
      </c>
      <c r="T103">
        <f>HYPERLINK("https://klasma.github.io/Logging_2309/kartor/A 53354-2021 karta.png", "A 53354-2021")</f>
        <v/>
      </c>
      <c r="V103">
        <f>HYPERLINK("https://klasma.github.io/Logging_2309/klagomål/A 53354-2021 FSC-klagomål.docx", "A 53354-2021")</f>
        <v/>
      </c>
      <c r="W103">
        <f>HYPERLINK("https://klasma.github.io/Logging_2309/klagomålsmail/A 53354-2021 FSC-klagomål mail.docx", "A 53354-2021")</f>
        <v/>
      </c>
      <c r="X103">
        <f>HYPERLINK("https://klasma.github.io/Logging_2309/tillsyn/A 53354-2021 tillsynsbegäran.docx", "A 53354-2021")</f>
        <v/>
      </c>
      <c r="Y103">
        <f>HYPERLINK("https://klasma.github.io/Logging_2309/tillsynsmail/A 53354-2021 tillsynsbegäran mail.docx", "A 53354-2021")</f>
        <v/>
      </c>
    </row>
    <row r="104" ht="15" customHeight="1">
      <c r="A104" t="inlineStr">
        <is>
          <t>A 64300-2021</t>
        </is>
      </c>
      <c r="B104" s="1" t="n">
        <v>44510</v>
      </c>
      <c r="C104" s="1" t="n">
        <v>45349</v>
      </c>
      <c r="D104" t="inlineStr">
        <is>
          <t>JÄMTLANDS LÄN</t>
        </is>
      </c>
      <c r="E104" t="inlineStr">
        <is>
          <t>KROKOM</t>
        </is>
      </c>
      <c r="G104" t="n">
        <v>8.6</v>
      </c>
      <c r="H104" t="n">
        <v>0</v>
      </c>
      <c r="I104" t="n">
        <v>0</v>
      </c>
      <c r="J104" t="n">
        <v>3</v>
      </c>
      <c r="K104" t="n">
        <v>0</v>
      </c>
      <c r="L104" t="n">
        <v>0</v>
      </c>
      <c r="M104" t="n">
        <v>0</v>
      </c>
      <c r="N104" t="n">
        <v>0</v>
      </c>
      <c r="O104" t="n">
        <v>3</v>
      </c>
      <c r="P104" t="n">
        <v>0</v>
      </c>
      <c r="Q104" t="n">
        <v>3</v>
      </c>
      <c r="R104" s="2" t="inlineStr">
        <is>
          <t>Garnlav
Lunglav
Skrovellav</t>
        </is>
      </c>
      <c r="S104">
        <f>HYPERLINK("https://klasma.github.io/Logging_2309/artfynd/A 64300-2021 artfynd.xlsx", "A 64300-2021")</f>
        <v/>
      </c>
      <c r="T104">
        <f>HYPERLINK("https://klasma.github.io/Logging_2309/kartor/A 64300-2021 karta.png", "A 64300-2021")</f>
        <v/>
      </c>
      <c r="V104">
        <f>HYPERLINK("https://klasma.github.io/Logging_2309/klagomål/A 64300-2021 FSC-klagomål.docx", "A 64300-2021")</f>
        <v/>
      </c>
      <c r="W104">
        <f>HYPERLINK("https://klasma.github.io/Logging_2309/klagomålsmail/A 64300-2021 FSC-klagomål mail.docx", "A 64300-2021")</f>
        <v/>
      </c>
      <c r="X104">
        <f>HYPERLINK("https://klasma.github.io/Logging_2309/tillsyn/A 64300-2021 tillsynsbegäran.docx", "A 64300-2021")</f>
        <v/>
      </c>
      <c r="Y104">
        <f>HYPERLINK("https://klasma.github.io/Logging_2309/tillsynsmail/A 64300-2021 tillsynsbegäran mail.docx", "A 64300-2021")</f>
        <v/>
      </c>
    </row>
    <row r="105" ht="15" customHeight="1">
      <c r="A105" t="inlineStr">
        <is>
          <t>A 71573-2021</t>
        </is>
      </c>
      <c r="B105" s="1" t="n">
        <v>44540</v>
      </c>
      <c r="C105" s="1" t="n">
        <v>45349</v>
      </c>
      <c r="D105" t="inlineStr">
        <is>
          <t>JÄMTLANDS LÄN</t>
        </is>
      </c>
      <c r="E105" t="inlineStr">
        <is>
          <t>KROKOM</t>
        </is>
      </c>
      <c r="G105" t="n">
        <v>1</v>
      </c>
      <c r="H105" t="n">
        <v>0</v>
      </c>
      <c r="I105" t="n">
        <v>2</v>
      </c>
      <c r="J105" t="n">
        <v>1</v>
      </c>
      <c r="K105" t="n">
        <v>0</v>
      </c>
      <c r="L105" t="n">
        <v>0</v>
      </c>
      <c r="M105" t="n">
        <v>0</v>
      </c>
      <c r="N105" t="n">
        <v>0</v>
      </c>
      <c r="O105" t="n">
        <v>1</v>
      </c>
      <c r="P105" t="n">
        <v>0</v>
      </c>
      <c r="Q105" t="n">
        <v>3</v>
      </c>
      <c r="R105" s="2" t="inlineStr">
        <is>
          <t>Doftskinn
Fjällig taggsvamp s.str.
Svavelriska</t>
        </is>
      </c>
      <c r="S105">
        <f>HYPERLINK("https://klasma.github.io/Logging_2309/artfynd/A 71573-2021 artfynd.xlsx", "A 71573-2021")</f>
        <v/>
      </c>
      <c r="T105">
        <f>HYPERLINK("https://klasma.github.io/Logging_2309/kartor/A 71573-2021 karta.png", "A 71573-2021")</f>
        <v/>
      </c>
      <c r="V105">
        <f>HYPERLINK("https://klasma.github.io/Logging_2309/klagomål/A 71573-2021 FSC-klagomål.docx", "A 71573-2021")</f>
        <v/>
      </c>
      <c r="W105">
        <f>HYPERLINK("https://klasma.github.io/Logging_2309/klagomålsmail/A 71573-2021 FSC-klagomål mail.docx", "A 71573-2021")</f>
        <v/>
      </c>
      <c r="X105">
        <f>HYPERLINK("https://klasma.github.io/Logging_2309/tillsyn/A 71573-2021 tillsynsbegäran.docx", "A 71573-2021")</f>
        <v/>
      </c>
      <c r="Y105">
        <f>HYPERLINK("https://klasma.github.io/Logging_2309/tillsynsmail/A 71573-2021 tillsynsbegäran mail.docx", "A 71573-2021")</f>
        <v/>
      </c>
    </row>
    <row r="106" ht="15" customHeight="1">
      <c r="A106" t="inlineStr">
        <is>
          <t>A 30068-2022</t>
        </is>
      </c>
      <c r="B106" s="1" t="n">
        <v>44757</v>
      </c>
      <c r="C106" s="1" t="n">
        <v>45349</v>
      </c>
      <c r="D106" t="inlineStr">
        <is>
          <t>JÄMTLANDS LÄN</t>
        </is>
      </c>
      <c r="E106" t="inlineStr">
        <is>
          <t>KROKOM</t>
        </is>
      </c>
      <c r="G106" t="n">
        <v>5</v>
      </c>
      <c r="H106" t="n">
        <v>1</v>
      </c>
      <c r="I106" t="n">
        <v>0</v>
      </c>
      <c r="J106" t="n">
        <v>3</v>
      </c>
      <c r="K106" t="n">
        <v>0</v>
      </c>
      <c r="L106" t="n">
        <v>0</v>
      </c>
      <c r="M106" t="n">
        <v>0</v>
      </c>
      <c r="N106" t="n">
        <v>0</v>
      </c>
      <c r="O106" t="n">
        <v>3</v>
      </c>
      <c r="P106" t="n">
        <v>0</v>
      </c>
      <c r="Q106" t="n">
        <v>3</v>
      </c>
      <c r="R106" s="2" t="inlineStr">
        <is>
          <t>Gränsticka
Tretåig hackspett
Ullticka</t>
        </is>
      </c>
      <c r="S106">
        <f>HYPERLINK("https://klasma.github.io/Logging_2309/artfynd/A 30068-2022 artfynd.xlsx", "A 30068-2022")</f>
        <v/>
      </c>
      <c r="T106">
        <f>HYPERLINK("https://klasma.github.io/Logging_2309/kartor/A 30068-2022 karta.png", "A 30068-2022")</f>
        <v/>
      </c>
      <c r="V106">
        <f>HYPERLINK("https://klasma.github.io/Logging_2309/klagomål/A 30068-2022 FSC-klagomål.docx", "A 30068-2022")</f>
        <v/>
      </c>
      <c r="W106">
        <f>HYPERLINK("https://klasma.github.io/Logging_2309/klagomålsmail/A 30068-2022 FSC-klagomål mail.docx", "A 30068-2022")</f>
        <v/>
      </c>
      <c r="X106">
        <f>HYPERLINK("https://klasma.github.io/Logging_2309/tillsyn/A 30068-2022 tillsynsbegäran.docx", "A 30068-2022")</f>
        <v/>
      </c>
      <c r="Y106">
        <f>HYPERLINK("https://klasma.github.io/Logging_2309/tillsynsmail/A 30068-2022 tillsynsbegäran mail.docx", "A 30068-2022")</f>
        <v/>
      </c>
      <c r="Z106">
        <f>HYPERLINK("https://klasma.github.io/Logging_2309/fåglar/A 30068-2022 prioriterade fågelarter.docx", "A 30068-2022")</f>
        <v/>
      </c>
    </row>
    <row r="107" ht="15" customHeight="1">
      <c r="A107" t="inlineStr">
        <is>
          <t>A 30069-2022</t>
        </is>
      </c>
      <c r="B107" s="1" t="n">
        <v>44757</v>
      </c>
      <c r="C107" s="1" t="n">
        <v>45349</v>
      </c>
      <c r="D107" t="inlineStr">
        <is>
          <t>JÄMTLANDS LÄN</t>
        </is>
      </c>
      <c r="E107" t="inlineStr">
        <is>
          <t>KROKOM</t>
        </is>
      </c>
      <c r="G107" t="n">
        <v>0.7</v>
      </c>
      <c r="H107" t="n">
        <v>1</v>
      </c>
      <c r="I107" t="n">
        <v>0</v>
      </c>
      <c r="J107" t="n">
        <v>2</v>
      </c>
      <c r="K107" t="n">
        <v>1</v>
      </c>
      <c r="L107" t="n">
        <v>0</v>
      </c>
      <c r="M107" t="n">
        <v>0</v>
      </c>
      <c r="N107" t="n">
        <v>0</v>
      </c>
      <c r="O107" t="n">
        <v>3</v>
      </c>
      <c r="P107" t="n">
        <v>1</v>
      </c>
      <c r="Q107" t="n">
        <v>3</v>
      </c>
      <c r="R107" s="2" t="inlineStr">
        <is>
          <t>Rynkskinn
Granticka
Tretåig hackspett</t>
        </is>
      </c>
      <c r="S107">
        <f>HYPERLINK("https://klasma.github.io/Logging_2309/artfynd/A 30069-2022 artfynd.xlsx", "A 30069-2022")</f>
        <v/>
      </c>
      <c r="T107">
        <f>HYPERLINK("https://klasma.github.io/Logging_2309/kartor/A 30069-2022 karta.png", "A 30069-2022")</f>
        <v/>
      </c>
      <c r="V107">
        <f>HYPERLINK("https://klasma.github.io/Logging_2309/klagomål/A 30069-2022 FSC-klagomål.docx", "A 30069-2022")</f>
        <v/>
      </c>
      <c r="W107">
        <f>HYPERLINK("https://klasma.github.io/Logging_2309/klagomålsmail/A 30069-2022 FSC-klagomål mail.docx", "A 30069-2022")</f>
        <v/>
      </c>
      <c r="X107">
        <f>HYPERLINK("https://klasma.github.io/Logging_2309/tillsyn/A 30069-2022 tillsynsbegäran.docx", "A 30069-2022")</f>
        <v/>
      </c>
      <c r="Y107">
        <f>HYPERLINK("https://klasma.github.io/Logging_2309/tillsynsmail/A 30069-2022 tillsynsbegäran mail.docx", "A 30069-2022")</f>
        <v/>
      </c>
      <c r="Z107">
        <f>HYPERLINK("https://klasma.github.io/Logging_2309/fåglar/A 30069-2022 prioriterade fågelarter.docx", "A 30069-2022")</f>
        <v/>
      </c>
    </row>
    <row r="108" ht="15" customHeight="1">
      <c r="A108" t="inlineStr">
        <is>
          <t>A 44869-2022</t>
        </is>
      </c>
      <c r="B108" s="1" t="n">
        <v>44841</v>
      </c>
      <c r="C108" s="1" t="n">
        <v>45349</v>
      </c>
      <c r="D108" t="inlineStr">
        <is>
          <t>JÄMTLANDS LÄN</t>
        </is>
      </c>
      <c r="E108" t="inlineStr">
        <is>
          <t>KROKOM</t>
        </is>
      </c>
      <c r="G108" t="n">
        <v>4.5</v>
      </c>
      <c r="H108" t="n">
        <v>1</v>
      </c>
      <c r="I108" t="n">
        <v>0</v>
      </c>
      <c r="J108" t="n">
        <v>1</v>
      </c>
      <c r="K108" t="n">
        <v>2</v>
      </c>
      <c r="L108" t="n">
        <v>0</v>
      </c>
      <c r="M108" t="n">
        <v>0</v>
      </c>
      <c r="N108" t="n">
        <v>0</v>
      </c>
      <c r="O108" t="n">
        <v>3</v>
      </c>
      <c r="P108" t="n">
        <v>2</v>
      </c>
      <c r="Q108" t="n">
        <v>3</v>
      </c>
      <c r="R108" s="2" t="inlineStr">
        <is>
          <t>Knärot
Ulltickeporing
Lunglav</t>
        </is>
      </c>
      <c r="S108">
        <f>HYPERLINK("https://klasma.github.io/Logging_2309/artfynd/A 44869-2022 artfynd.xlsx", "A 44869-2022")</f>
        <v/>
      </c>
      <c r="T108">
        <f>HYPERLINK("https://klasma.github.io/Logging_2309/kartor/A 44869-2022 karta.png", "A 44869-2022")</f>
        <v/>
      </c>
      <c r="U108">
        <f>HYPERLINK("https://klasma.github.io/Logging_2309/knärot/A 44869-2022 karta knärot.png", "A 44869-2022")</f>
        <v/>
      </c>
      <c r="V108">
        <f>HYPERLINK("https://klasma.github.io/Logging_2309/klagomål/A 44869-2022 FSC-klagomål.docx", "A 44869-2022")</f>
        <v/>
      </c>
      <c r="W108">
        <f>HYPERLINK("https://klasma.github.io/Logging_2309/klagomålsmail/A 44869-2022 FSC-klagomål mail.docx", "A 44869-2022")</f>
        <v/>
      </c>
      <c r="X108">
        <f>HYPERLINK("https://klasma.github.io/Logging_2309/tillsyn/A 44869-2022 tillsynsbegäran.docx", "A 44869-2022")</f>
        <v/>
      </c>
      <c r="Y108">
        <f>HYPERLINK("https://klasma.github.io/Logging_2309/tillsynsmail/A 44869-2022 tillsynsbegäran mail.docx", "A 44869-2022")</f>
        <v/>
      </c>
    </row>
    <row r="109" ht="15" customHeight="1">
      <c r="A109" t="inlineStr">
        <is>
          <t>A 51663-2022</t>
        </is>
      </c>
      <c r="B109" s="1" t="n">
        <v>44867</v>
      </c>
      <c r="C109" s="1" t="n">
        <v>45349</v>
      </c>
      <c r="D109" t="inlineStr">
        <is>
          <t>JÄMTLANDS LÄN</t>
        </is>
      </c>
      <c r="E109" t="inlineStr">
        <is>
          <t>KROKOM</t>
        </is>
      </c>
      <c r="G109" t="n">
        <v>28.5</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HYPERLINK("https://klasma.github.io/Logging_2309/artfynd/A 51663-2022 artfynd.xlsx", "A 51663-2022")</f>
        <v/>
      </c>
      <c r="T109">
        <f>HYPERLINK("https://klasma.github.io/Logging_2309/kartor/A 51663-2022 karta.png", "A 51663-2022")</f>
        <v/>
      </c>
      <c r="V109">
        <f>HYPERLINK("https://klasma.github.io/Logging_2309/klagomål/A 51663-2022 FSC-klagomål.docx", "A 51663-2022")</f>
        <v/>
      </c>
      <c r="W109">
        <f>HYPERLINK("https://klasma.github.io/Logging_2309/klagomålsmail/A 51663-2022 FSC-klagomål mail.docx", "A 51663-2022")</f>
        <v/>
      </c>
      <c r="X109">
        <f>HYPERLINK("https://klasma.github.io/Logging_2309/tillsyn/A 51663-2022 tillsynsbegäran.docx", "A 51663-2022")</f>
        <v/>
      </c>
      <c r="Y109">
        <f>HYPERLINK("https://klasma.github.io/Logging_2309/tillsynsmail/A 51663-2022 tillsynsbegäran mail.docx", "A 51663-2022")</f>
        <v/>
      </c>
      <c r="Z109">
        <f>HYPERLINK("https://klasma.github.io/Logging_2309/fåglar/A 51663-2022 prioriterade fågelarter.docx", "A 51663-2022")</f>
        <v/>
      </c>
    </row>
    <row r="110" ht="15" customHeight="1">
      <c r="A110" t="inlineStr">
        <is>
          <t>A 52264-2022</t>
        </is>
      </c>
      <c r="B110" s="1" t="n">
        <v>44873</v>
      </c>
      <c r="C110" s="1" t="n">
        <v>45349</v>
      </c>
      <c r="D110" t="inlineStr">
        <is>
          <t>JÄMTLANDS LÄN</t>
        </is>
      </c>
      <c r="E110" t="inlineStr">
        <is>
          <t>KROKOM</t>
        </is>
      </c>
      <c r="G110" t="n">
        <v>4.1</v>
      </c>
      <c r="H110" t="n">
        <v>2</v>
      </c>
      <c r="I110" t="n">
        <v>0</v>
      </c>
      <c r="J110" t="n">
        <v>2</v>
      </c>
      <c r="K110" t="n">
        <v>1</v>
      </c>
      <c r="L110" t="n">
        <v>0</v>
      </c>
      <c r="M110" t="n">
        <v>0</v>
      </c>
      <c r="N110" t="n">
        <v>0</v>
      </c>
      <c r="O110" t="n">
        <v>3</v>
      </c>
      <c r="P110" t="n">
        <v>1</v>
      </c>
      <c r="Q110" t="n">
        <v>3</v>
      </c>
      <c r="R110" s="2" t="inlineStr">
        <is>
          <t>Knärot
Tretåig hackspett
Ullticka</t>
        </is>
      </c>
      <c r="S110">
        <f>HYPERLINK("https://klasma.github.io/Logging_2309/artfynd/A 52264-2022 artfynd.xlsx", "A 52264-2022")</f>
        <v/>
      </c>
      <c r="T110">
        <f>HYPERLINK("https://klasma.github.io/Logging_2309/kartor/A 52264-2022 karta.png", "A 52264-2022")</f>
        <v/>
      </c>
      <c r="U110">
        <f>HYPERLINK("https://klasma.github.io/Logging_2309/knärot/A 52264-2022 karta knärot.png", "A 52264-2022")</f>
        <v/>
      </c>
      <c r="V110">
        <f>HYPERLINK("https://klasma.github.io/Logging_2309/klagomål/A 52264-2022 FSC-klagomål.docx", "A 52264-2022")</f>
        <v/>
      </c>
      <c r="W110">
        <f>HYPERLINK("https://klasma.github.io/Logging_2309/klagomålsmail/A 52264-2022 FSC-klagomål mail.docx", "A 52264-2022")</f>
        <v/>
      </c>
      <c r="X110">
        <f>HYPERLINK("https://klasma.github.io/Logging_2309/tillsyn/A 52264-2022 tillsynsbegäran.docx", "A 52264-2022")</f>
        <v/>
      </c>
      <c r="Y110">
        <f>HYPERLINK("https://klasma.github.io/Logging_2309/tillsynsmail/A 52264-2022 tillsynsbegäran mail.docx", "A 52264-2022")</f>
        <v/>
      </c>
      <c r="Z110">
        <f>HYPERLINK("https://klasma.github.io/Logging_2309/fåglar/A 52264-2022 prioriterade fågelarter.docx", "A 52264-2022")</f>
        <v/>
      </c>
    </row>
    <row r="111" ht="15" customHeight="1">
      <c r="A111" t="inlineStr">
        <is>
          <t>A 46013-2023</t>
        </is>
      </c>
      <c r="B111" s="1" t="n">
        <v>45196</v>
      </c>
      <c r="C111" s="1" t="n">
        <v>45349</v>
      </c>
      <c r="D111" t="inlineStr">
        <is>
          <t>JÄMTLANDS LÄN</t>
        </is>
      </c>
      <c r="E111" t="inlineStr">
        <is>
          <t>KROKOM</t>
        </is>
      </c>
      <c r="G111" t="n">
        <v>8.1</v>
      </c>
      <c r="H111" t="n">
        <v>1</v>
      </c>
      <c r="I111" t="n">
        <v>2</v>
      </c>
      <c r="J111" t="n">
        <v>0</v>
      </c>
      <c r="K111" t="n">
        <v>0</v>
      </c>
      <c r="L111" t="n">
        <v>0</v>
      </c>
      <c r="M111" t="n">
        <v>0</v>
      </c>
      <c r="N111" t="n">
        <v>0</v>
      </c>
      <c r="O111" t="n">
        <v>0</v>
      </c>
      <c r="P111" t="n">
        <v>0</v>
      </c>
      <c r="Q111" t="n">
        <v>3</v>
      </c>
      <c r="R111" s="2" t="inlineStr">
        <is>
          <t>Svavelriska
Underviol
Blåsippa</t>
        </is>
      </c>
      <c r="S111">
        <f>HYPERLINK("https://klasma.github.io/Logging_2309/artfynd/A 46013-2023 artfynd.xlsx", "A 46013-2023")</f>
        <v/>
      </c>
      <c r="T111">
        <f>HYPERLINK("https://klasma.github.io/Logging_2309/kartor/A 46013-2023 karta.png", "A 46013-2023")</f>
        <v/>
      </c>
      <c r="V111">
        <f>HYPERLINK("https://klasma.github.io/Logging_2309/klagomål/A 46013-2023 FSC-klagomål.docx", "A 46013-2023")</f>
        <v/>
      </c>
      <c r="W111">
        <f>HYPERLINK("https://klasma.github.io/Logging_2309/klagomålsmail/A 46013-2023 FSC-klagomål mail.docx", "A 46013-2023")</f>
        <v/>
      </c>
      <c r="X111">
        <f>HYPERLINK("https://klasma.github.io/Logging_2309/tillsyn/A 46013-2023 tillsynsbegäran.docx", "A 46013-2023")</f>
        <v/>
      </c>
      <c r="Y111">
        <f>HYPERLINK("https://klasma.github.io/Logging_2309/tillsynsmail/A 46013-2023 tillsynsbegäran mail.docx", "A 46013-2023")</f>
        <v/>
      </c>
    </row>
    <row r="112" ht="15" customHeight="1">
      <c r="A112" t="inlineStr">
        <is>
          <t>A 54494-2023</t>
        </is>
      </c>
      <c r="B112" s="1" t="n">
        <v>45233</v>
      </c>
      <c r="C112" s="1" t="n">
        <v>45349</v>
      </c>
      <c r="D112" t="inlineStr">
        <is>
          <t>JÄMTLANDS LÄN</t>
        </is>
      </c>
      <c r="E112" t="inlineStr">
        <is>
          <t>KROKOM</t>
        </is>
      </c>
      <c r="G112" t="n">
        <v>6.2</v>
      </c>
      <c r="H112" t="n">
        <v>1</v>
      </c>
      <c r="I112" t="n">
        <v>2</v>
      </c>
      <c r="J112" t="n">
        <v>0</v>
      </c>
      <c r="K112" t="n">
        <v>0</v>
      </c>
      <c r="L112" t="n">
        <v>0</v>
      </c>
      <c r="M112" t="n">
        <v>0</v>
      </c>
      <c r="N112" t="n">
        <v>0</v>
      </c>
      <c r="O112" t="n">
        <v>0</v>
      </c>
      <c r="P112" t="n">
        <v>0</v>
      </c>
      <c r="Q112" t="n">
        <v>3</v>
      </c>
      <c r="R112" s="2" t="inlineStr">
        <is>
          <t>Finbräken
Tibast
Blåsippa</t>
        </is>
      </c>
      <c r="S112">
        <f>HYPERLINK("https://klasma.github.io/Logging_2309/artfynd/A 54494-2023 artfynd.xlsx", "A 54494-2023")</f>
        <v/>
      </c>
      <c r="T112">
        <f>HYPERLINK("https://klasma.github.io/Logging_2309/kartor/A 54494-2023 karta.png", "A 54494-2023")</f>
        <v/>
      </c>
      <c r="V112">
        <f>HYPERLINK("https://klasma.github.io/Logging_2309/klagomål/A 54494-2023 FSC-klagomål.docx", "A 54494-2023")</f>
        <v/>
      </c>
      <c r="W112">
        <f>HYPERLINK("https://klasma.github.io/Logging_2309/klagomålsmail/A 54494-2023 FSC-klagomål mail.docx", "A 54494-2023")</f>
        <v/>
      </c>
      <c r="X112">
        <f>HYPERLINK("https://klasma.github.io/Logging_2309/tillsyn/A 54494-2023 tillsynsbegäran.docx", "A 54494-2023")</f>
        <v/>
      </c>
      <c r="Y112">
        <f>HYPERLINK("https://klasma.github.io/Logging_2309/tillsynsmail/A 54494-2023 tillsynsbegäran mail.docx", "A 54494-2023")</f>
        <v/>
      </c>
    </row>
    <row r="113" ht="15" customHeight="1">
      <c r="A113" t="inlineStr">
        <is>
          <t>A 42165-2018</t>
        </is>
      </c>
      <c r="B113" s="1" t="n">
        <v>43353</v>
      </c>
      <c r="C113" s="1" t="n">
        <v>45349</v>
      </c>
      <c r="D113" t="inlineStr">
        <is>
          <t>JÄMTLANDS LÄN</t>
        </is>
      </c>
      <c r="E113" t="inlineStr">
        <is>
          <t>KROKOM</t>
        </is>
      </c>
      <c r="G113" t="n">
        <v>2.9</v>
      </c>
      <c r="H113" t="n">
        <v>2</v>
      </c>
      <c r="I113" t="n">
        <v>0</v>
      </c>
      <c r="J113" t="n">
        <v>1</v>
      </c>
      <c r="K113" t="n">
        <v>0</v>
      </c>
      <c r="L113" t="n">
        <v>0</v>
      </c>
      <c r="M113" t="n">
        <v>0</v>
      </c>
      <c r="N113" t="n">
        <v>0</v>
      </c>
      <c r="O113" t="n">
        <v>1</v>
      </c>
      <c r="P113" t="n">
        <v>0</v>
      </c>
      <c r="Q113" t="n">
        <v>2</v>
      </c>
      <c r="R113" s="2" t="inlineStr">
        <is>
          <t>Buskskvätta
Törnskata</t>
        </is>
      </c>
      <c r="S113">
        <f>HYPERLINK("https://klasma.github.io/Logging_2309/artfynd/A 42165-2018 artfynd.xlsx", "A 42165-2018")</f>
        <v/>
      </c>
      <c r="T113">
        <f>HYPERLINK("https://klasma.github.io/Logging_2309/kartor/A 42165-2018 karta.png", "A 42165-2018")</f>
        <v/>
      </c>
      <c r="V113">
        <f>HYPERLINK("https://klasma.github.io/Logging_2309/klagomål/A 42165-2018 FSC-klagomål.docx", "A 42165-2018")</f>
        <v/>
      </c>
      <c r="W113">
        <f>HYPERLINK("https://klasma.github.io/Logging_2309/klagomålsmail/A 42165-2018 FSC-klagomål mail.docx", "A 42165-2018")</f>
        <v/>
      </c>
      <c r="X113">
        <f>HYPERLINK("https://klasma.github.io/Logging_2309/tillsyn/A 42165-2018 tillsynsbegäran.docx", "A 42165-2018")</f>
        <v/>
      </c>
      <c r="Y113">
        <f>HYPERLINK("https://klasma.github.io/Logging_2309/tillsynsmail/A 42165-2018 tillsynsbegäran mail.docx", "A 42165-2018")</f>
        <v/>
      </c>
      <c r="Z113">
        <f>HYPERLINK("https://klasma.github.io/Logging_2309/fåglar/A 42165-2018 prioriterade fågelarter.docx", "A 42165-2018")</f>
        <v/>
      </c>
    </row>
    <row r="114" ht="15" customHeight="1">
      <c r="A114" t="inlineStr">
        <is>
          <t>A 45382-2018</t>
        </is>
      </c>
      <c r="B114" s="1" t="n">
        <v>43362</v>
      </c>
      <c r="C114" s="1" t="n">
        <v>45349</v>
      </c>
      <c r="D114" t="inlineStr">
        <is>
          <t>JÄMTLANDS LÄN</t>
        </is>
      </c>
      <c r="E114" t="inlineStr">
        <is>
          <t>KROKOM</t>
        </is>
      </c>
      <c r="G114" t="n">
        <v>8.199999999999999</v>
      </c>
      <c r="H114" t="n">
        <v>0</v>
      </c>
      <c r="I114" t="n">
        <v>1</v>
      </c>
      <c r="J114" t="n">
        <v>1</v>
      </c>
      <c r="K114" t="n">
        <v>0</v>
      </c>
      <c r="L114" t="n">
        <v>0</v>
      </c>
      <c r="M114" t="n">
        <v>0</v>
      </c>
      <c r="N114" t="n">
        <v>0</v>
      </c>
      <c r="O114" t="n">
        <v>1</v>
      </c>
      <c r="P114" t="n">
        <v>0</v>
      </c>
      <c r="Q114" t="n">
        <v>2</v>
      </c>
      <c r="R114" s="2" t="inlineStr">
        <is>
          <t>Gammelgransskål
Stuplav</t>
        </is>
      </c>
      <c r="S114">
        <f>HYPERLINK("https://klasma.github.io/Logging_2309/artfynd/A 45382-2018 artfynd.xlsx", "A 45382-2018")</f>
        <v/>
      </c>
      <c r="T114">
        <f>HYPERLINK("https://klasma.github.io/Logging_2309/kartor/A 45382-2018 karta.png", "A 45382-2018")</f>
        <v/>
      </c>
      <c r="V114">
        <f>HYPERLINK("https://klasma.github.io/Logging_2309/klagomål/A 45382-2018 FSC-klagomål.docx", "A 45382-2018")</f>
        <v/>
      </c>
      <c r="W114">
        <f>HYPERLINK("https://klasma.github.io/Logging_2309/klagomålsmail/A 45382-2018 FSC-klagomål mail.docx", "A 45382-2018")</f>
        <v/>
      </c>
      <c r="X114">
        <f>HYPERLINK("https://klasma.github.io/Logging_2309/tillsyn/A 45382-2018 tillsynsbegäran.docx", "A 45382-2018")</f>
        <v/>
      </c>
      <c r="Y114">
        <f>HYPERLINK("https://klasma.github.io/Logging_2309/tillsynsmail/A 45382-2018 tillsynsbegäran mail.docx", "A 45382-2018")</f>
        <v/>
      </c>
    </row>
    <row r="115" ht="15" customHeight="1">
      <c r="A115" t="inlineStr">
        <is>
          <t>A 65468-2018</t>
        </is>
      </c>
      <c r="B115" s="1" t="n">
        <v>43433</v>
      </c>
      <c r="C115" s="1" t="n">
        <v>45349</v>
      </c>
      <c r="D115" t="inlineStr">
        <is>
          <t>JÄMTLANDS LÄN</t>
        </is>
      </c>
      <c r="E115" t="inlineStr">
        <is>
          <t>KROKOM</t>
        </is>
      </c>
      <c r="G115" t="n">
        <v>1.5</v>
      </c>
      <c r="H115" t="n">
        <v>2</v>
      </c>
      <c r="I115" t="n">
        <v>0</v>
      </c>
      <c r="J115" t="n">
        <v>0</v>
      </c>
      <c r="K115" t="n">
        <v>1</v>
      </c>
      <c r="L115" t="n">
        <v>0</v>
      </c>
      <c r="M115" t="n">
        <v>0</v>
      </c>
      <c r="N115" t="n">
        <v>0</v>
      </c>
      <c r="O115" t="n">
        <v>1</v>
      </c>
      <c r="P115" t="n">
        <v>1</v>
      </c>
      <c r="Q115" t="n">
        <v>2</v>
      </c>
      <c r="R115" s="2" t="inlineStr">
        <is>
          <t>Knärot
Blåsippa</t>
        </is>
      </c>
      <c r="S115">
        <f>HYPERLINK("https://klasma.github.io/Logging_2309/artfynd/A 65468-2018 artfynd.xlsx", "A 65468-2018")</f>
        <v/>
      </c>
      <c r="T115">
        <f>HYPERLINK("https://klasma.github.io/Logging_2309/kartor/A 65468-2018 karta.png", "A 65468-2018")</f>
        <v/>
      </c>
      <c r="U115">
        <f>HYPERLINK("https://klasma.github.io/Logging_2309/knärot/A 65468-2018 karta knärot.png", "A 65468-2018")</f>
        <v/>
      </c>
      <c r="V115">
        <f>HYPERLINK("https://klasma.github.io/Logging_2309/klagomål/A 65468-2018 FSC-klagomål.docx", "A 65468-2018")</f>
        <v/>
      </c>
      <c r="W115">
        <f>HYPERLINK("https://klasma.github.io/Logging_2309/klagomålsmail/A 65468-2018 FSC-klagomål mail.docx", "A 65468-2018")</f>
        <v/>
      </c>
      <c r="X115">
        <f>HYPERLINK("https://klasma.github.io/Logging_2309/tillsyn/A 65468-2018 tillsynsbegäran.docx", "A 65468-2018")</f>
        <v/>
      </c>
      <c r="Y115">
        <f>HYPERLINK("https://klasma.github.io/Logging_2309/tillsynsmail/A 65468-2018 tillsynsbegäran mail.docx", "A 65468-2018")</f>
        <v/>
      </c>
    </row>
    <row r="116" ht="15" customHeight="1">
      <c r="A116" t="inlineStr">
        <is>
          <t>A 8909-2019</t>
        </is>
      </c>
      <c r="B116" s="1" t="n">
        <v>43503</v>
      </c>
      <c r="C116" s="1" t="n">
        <v>45349</v>
      </c>
      <c r="D116" t="inlineStr">
        <is>
          <t>JÄMTLANDS LÄN</t>
        </is>
      </c>
      <c r="E116" t="inlineStr">
        <is>
          <t>KROKOM</t>
        </is>
      </c>
      <c r="F116" t="inlineStr">
        <is>
          <t>Övriga Aktiebolag</t>
        </is>
      </c>
      <c r="G116" t="n">
        <v>22.7</v>
      </c>
      <c r="H116" t="n">
        <v>0</v>
      </c>
      <c r="I116" t="n">
        <v>1</v>
      </c>
      <c r="J116" t="n">
        <v>1</v>
      </c>
      <c r="K116" t="n">
        <v>0</v>
      </c>
      <c r="L116" t="n">
        <v>0</v>
      </c>
      <c r="M116" t="n">
        <v>0</v>
      </c>
      <c r="N116" t="n">
        <v>0</v>
      </c>
      <c r="O116" t="n">
        <v>1</v>
      </c>
      <c r="P116" t="n">
        <v>0</v>
      </c>
      <c r="Q116" t="n">
        <v>2</v>
      </c>
      <c r="R116" s="2" t="inlineStr">
        <is>
          <t>Granticka
Luddlav</t>
        </is>
      </c>
      <c r="S116">
        <f>HYPERLINK("https://klasma.github.io/Logging_2309/artfynd/A 8909-2019 artfynd.xlsx", "A 8909-2019")</f>
        <v/>
      </c>
      <c r="T116">
        <f>HYPERLINK("https://klasma.github.io/Logging_2309/kartor/A 8909-2019 karta.png", "A 8909-2019")</f>
        <v/>
      </c>
      <c r="V116">
        <f>HYPERLINK("https://klasma.github.io/Logging_2309/klagomål/A 8909-2019 FSC-klagomål.docx", "A 8909-2019")</f>
        <v/>
      </c>
      <c r="W116">
        <f>HYPERLINK("https://klasma.github.io/Logging_2309/klagomålsmail/A 8909-2019 FSC-klagomål mail.docx", "A 8909-2019")</f>
        <v/>
      </c>
      <c r="X116">
        <f>HYPERLINK("https://klasma.github.io/Logging_2309/tillsyn/A 8909-2019 tillsynsbegäran.docx", "A 8909-2019")</f>
        <v/>
      </c>
      <c r="Y116">
        <f>HYPERLINK("https://klasma.github.io/Logging_2309/tillsynsmail/A 8909-2019 tillsynsbegäran mail.docx", "A 8909-2019")</f>
        <v/>
      </c>
    </row>
    <row r="117" ht="15" customHeight="1">
      <c r="A117" t="inlineStr">
        <is>
          <t>A 25930-2019</t>
        </is>
      </c>
      <c r="B117" s="1" t="n">
        <v>43608</v>
      </c>
      <c r="C117" s="1" t="n">
        <v>45349</v>
      </c>
      <c r="D117" t="inlineStr">
        <is>
          <t>JÄMTLANDS LÄN</t>
        </is>
      </c>
      <c r="E117" t="inlineStr">
        <is>
          <t>KROKOM</t>
        </is>
      </c>
      <c r="F117" t="inlineStr">
        <is>
          <t>Övriga Aktiebolag</t>
        </is>
      </c>
      <c r="G117" t="n">
        <v>34.6</v>
      </c>
      <c r="H117" t="n">
        <v>0</v>
      </c>
      <c r="I117" t="n">
        <v>2</v>
      </c>
      <c r="J117" t="n">
        <v>0</v>
      </c>
      <c r="K117" t="n">
        <v>0</v>
      </c>
      <c r="L117" t="n">
        <v>0</v>
      </c>
      <c r="M117" t="n">
        <v>0</v>
      </c>
      <c r="N117" t="n">
        <v>0</v>
      </c>
      <c r="O117" t="n">
        <v>0</v>
      </c>
      <c r="P117" t="n">
        <v>0</v>
      </c>
      <c r="Q117" t="n">
        <v>2</v>
      </c>
      <c r="R117" s="2" t="inlineStr">
        <is>
          <t>Finbräken
Kransrams</t>
        </is>
      </c>
      <c r="S117">
        <f>HYPERLINK("https://klasma.github.io/Logging_2309/artfynd/A 25930-2019 artfynd.xlsx", "A 25930-2019")</f>
        <v/>
      </c>
      <c r="T117">
        <f>HYPERLINK("https://klasma.github.io/Logging_2309/kartor/A 25930-2019 karta.png", "A 25930-2019")</f>
        <v/>
      </c>
      <c r="V117">
        <f>HYPERLINK("https://klasma.github.io/Logging_2309/klagomål/A 25930-2019 FSC-klagomål.docx", "A 25930-2019")</f>
        <v/>
      </c>
      <c r="W117">
        <f>HYPERLINK("https://klasma.github.io/Logging_2309/klagomålsmail/A 25930-2019 FSC-klagomål mail.docx", "A 25930-2019")</f>
        <v/>
      </c>
      <c r="X117">
        <f>HYPERLINK("https://klasma.github.io/Logging_2309/tillsyn/A 25930-2019 tillsynsbegäran.docx", "A 25930-2019")</f>
        <v/>
      </c>
      <c r="Y117">
        <f>HYPERLINK("https://klasma.github.io/Logging_2309/tillsynsmail/A 25930-2019 tillsynsbegäran mail.docx", "A 25930-2019")</f>
        <v/>
      </c>
    </row>
    <row r="118" ht="15" customHeight="1">
      <c r="A118" t="inlineStr">
        <is>
          <t>A 37877-2019</t>
        </is>
      </c>
      <c r="B118" s="1" t="n">
        <v>43682</v>
      </c>
      <c r="C118" s="1" t="n">
        <v>45349</v>
      </c>
      <c r="D118" t="inlineStr">
        <is>
          <t>JÄMTLANDS LÄN</t>
        </is>
      </c>
      <c r="E118" t="inlineStr">
        <is>
          <t>KROKOM</t>
        </is>
      </c>
      <c r="F118" t="inlineStr">
        <is>
          <t>SCA</t>
        </is>
      </c>
      <c r="G118" t="n">
        <v>4.1</v>
      </c>
      <c r="H118" t="n">
        <v>0</v>
      </c>
      <c r="I118" t="n">
        <v>1</v>
      </c>
      <c r="J118" t="n">
        <v>1</v>
      </c>
      <c r="K118" t="n">
        <v>0</v>
      </c>
      <c r="L118" t="n">
        <v>0</v>
      </c>
      <c r="M118" t="n">
        <v>0</v>
      </c>
      <c r="N118" t="n">
        <v>0</v>
      </c>
      <c r="O118" t="n">
        <v>1</v>
      </c>
      <c r="P118" t="n">
        <v>0</v>
      </c>
      <c r="Q118" t="n">
        <v>2</v>
      </c>
      <c r="R118" s="2" t="inlineStr">
        <is>
          <t>Skrovellav
Luddlav</t>
        </is>
      </c>
      <c r="S118">
        <f>HYPERLINK("https://klasma.github.io/Logging_2309/artfynd/A 37877-2019 artfynd.xlsx", "A 37877-2019")</f>
        <v/>
      </c>
      <c r="T118">
        <f>HYPERLINK("https://klasma.github.io/Logging_2309/kartor/A 37877-2019 karta.png", "A 37877-2019")</f>
        <v/>
      </c>
      <c r="V118">
        <f>HYPERLINK("https://klasma.github.io/Logging_2309/klagomål/A 37877-2019 FSC-klagomål.docx", "A 37877-2019")</f>
        <v/>
      </c>
      <c r="W118">
        <f>HYPERLINK("https://klasma.github.io/Logging_2309/klagomålsmail/A 37877-2019 FSC-klagomål mail.docx", "A 37877-2019")</f>
        <v/>
      </c>
      <c r="X118">
        <f>HYPERLINK("https://klasma.github.io/Logging_2309/tillsyn/A 37877-2019 tillsynsbegäran.docx", "A 37877-2019")</f>
        <v/>
      </c>
      <c r="Y118">
        <f>HYPERLINK("https://klasma.github.io/Logging_2309/tillsynsmail/A 37877-2019 tillsynsbegäran mail.docx", "A 37877-2019")</f>
        <v/>
      </c>
    </row>
    <row r="119" ht="15" customHeight="1">
      <c r="A119" t="inlineStr">
        <is>
          <t>A 67215-2019</t>
        </is>
      </c>
      <c r="B119" s="1" t="n">
        <v>43811</v>
      </c>
      <c r="C119" s="1" t="n">
        <v>45349</v>
      </c>
      <c r="D119" t="inlineStr">
        <is>
          <t>JÄMTLANDS LÄN</t>
        </is>
      </c>
      <c r="E119" t="inlineStr">
        <is>
          <t>KROKOM</t>
        </is>
      </c>
      <c r="G119" t="n">
        <v>6.7</v>
      </c>
      <c r="H119" t="n">
        <v>0</v>
      </c>
      <c r="I119" t="n">
        <v>1</v>
      </c>
      <c r="J119" t="n">
        <v>0</v>
      </c>
      <c r="K119" t="n">
        <v>1</v>
      </c>
      <c r="L119" t="n">
        <v>0</v>
      </c>
      <c r="M119" t="n">
        <v>0</v>
      </c>
      <c r="N119" t="n">
        <v>0</v>
      </c>
      <c r="O119" t="n">
        <v>1</v>
      </c>
      <c r="P119" t="n">
        <v>1</v>
      </c>
      <c r="Q119" t="n">
        <v>2</v>
      </c>
      <c r="R119" s="2" t="inlineStr">
        <is>
          <t>Blåfotad fagerspindling
Svavelriska</t>
        </is>
      </c>
      <c r="S119">
        <f>HYPERLINK("https://klasma.github.io/Logging_2309/artfynd/A 67215-2019 artfynd.xlsx", "A 67215-2019")</f>
        <v/>
      </c>
      <c r="T119">
        <f>HYPERLINK("https://klasma.github.io/Logging_2309/kartor/A 67215-2019 karta.png", "A 67215-2019")</f>
        <v/>
      </c>
      <c r="V119">
        <f>HYPERLINK("https://klasma.github.io/Logging_2309/klagomål/A 67215-2019 FSC-klagomål.docx", "A 67215-2019")</f>
        <v/>
      </c>
      <c r="W119">
        <f>HYPERLINK("https://klasma.github.io/Logging_2309/klagomålsmail/A 67215-2019 FSC-klagomål mail.docx", "A 67215-2019")</f>
        <v/>
      </c>
      <c r="X119">
        <f>HYPERLINK("https://klasma.github.io/Logging_2309/tillsyn/A 67215-2019 tillsynsbegäran.docx", "A 67215-2019")</f>
        <v/>
      </c>
      <c r="Y119">
        <f>HYPERLINK("https://klasma.github.io/Logging_2309/tillsynsmail/A 67215-2019 tillsynsbegäran mail.docx", "A 67215-2019")</f>
        <v/>
      </c>
    </row>
    <row r="120" ht="15" customHeight="1">
      <c r="A120" t="inlineStr">
        <is>
          <t>A 68075-2019</t>
        </is>
      </c>
      <c r="B120" s="1" t="n">
        <v>43816</v>
      </c>
      <c r="C120" s="1" t="n">
        <v>45349</v>
      </c>
      <c r="D120" t="inlineStr">
        <is>
          <t>JÄMTLANDS LÄN</t>
        </is>
      </c>
      <c r="E120" t="inlineStr">
        <is>
          <t>KROKOM</t>
        </is>
      </c>
      <c r="F120" t="inlineStr">
        <is>
          <t>SCA</t>
        </is>
      </c>
      <c r="G120" t="n">
        <v>11.3</v>
      </c>
      <c r="H120" t="n">
        <v>0</v>
      </c>
      <c r="I120" t="n">
        <v>0</v>
      </c>
      <c r="J120" t="n">
        <v>2</v>
      </c>
      <c r="K120" t="n">
        <v>0</v>
      </c>
      <c r="L120" t="n">
        <v>0</v>
      </c>
      <c r="M120" t="n">
        <v>0</v>
      </c>
      <c r="N120" t="n">
        <v>0</v>
      </c>
      <c r="O120" t="n">
        <v>2</v>
      </c>
      <c r="P120" t="n">
        <v>0</v>
      </c>
      <c r="Q120" t="n">
        <v>2</v>
      </c>
      <c r="R120" s="2" t="inlineStr">
        <is>
          <t>Garnlav
Lunglav</t>
        </is>
      </c>
      <c r="S120">
        <f>HYPERLINK("https://klasma.github.io/Logging_2309/artfynd/A 68075-2019 artfynd.xlsx", "A 68075-2019")</f>
        <v/>
      </c>
      <c r="T120">
        <f>HYPERLINK("https://klasma.github.io/Logging_2309/kartor/A 68075-2019 karta.png", "A 68075-2019")</f>
        <v/>
      </c>
      <c r="V120">
        <f>HYPERLINK("https://klasma.github.io/Logging_2309/klagomål/A 68075-2019 FSC-klagomål.docx", "A 68075-2019")</f>
        <v/>
      </c>
      <c r="W120">
        <f>HYPERLINK("https://klasma.github.io/Logging_2309/klagomålsmail/A 68075-2019 FSC-klagomål mail.docx", "A 68075-2019")</f>
        <v/>
      </c>
      <c r="X120">
        <f>HYPERLINK("https://klasma.github.io/Logging_2309/tillsyn/A 68075-2019 tillsynsbegäran.docx", "A 68075-2019")</f>
        <v/>
      </c>
      <c r="Y120">
        <f>HYPERLINK("https://klasma.github.io/Logging_2309/tillsynsmail/A 68075-2019 tillsynsbegäran mail.docx", "A 68075-2019")</f>
        <v/>
      </c>
    </row>
    <row r="121" ht="15" customHeight="1">
      <c r="A121" t="inlineStr">
        <is>
          <t>A 54387-2020</t>
        </is>
      </c>
      <c r="B121" s="1" t="n">
        <v>44123</v>
      </c>
      <c r="C121" s="1" t="n">
        <v>45349</v>
      </c>
      <c r="D121" t="inlineStr">
        <is>
          <t>JÄMTLANDS LÄN</t>
        </is>
      </c>
      <c r="E121" t="inlineStr">
        <is>
          <t>KROKOM</t>
        </is>
      </c>
      <c r="G121" t="n">
        <v>4.3</v>
      </c>
      <c r="H121" t="n">
        <v>1</v>
      </c>
      <c r="I121" t="n">
        <v>1</v>
      </c>
      <c r="J121" t="n">
        <v>0</v>
      </c>
      <c r="K121" t="n">
        <v>0</v>
      </c>
      <c r="L121" t="n">
        <v>1</v>
      </c>
      <c r="M121" t="n">
        <v>0</v>
      </c>
      <c r="N121" t="n">
        <v>0</v>
      </c>
      <c r="O121" t="n">
        <v>1</v>
      </c>
      <c r="P121" t="n">
        <v>1</v>
      </c>
      <c r="Q121" t="n">
        <v>2</v>
      </c>
      <c r="R121" s="2" t="inlineStr">
        <is>
          <t>Violett guldvinge
Luddlav</t>
        </is>
      </c>
      <c r="S121">
        <f>HYPERLINK("https://klasma.github.io/Logging_2309/artfynd/A 54387-2020 artfynd.xlsx", "A 54387-2020")</f>
        <v/>
      </c>
      <c r="T121">
        <f>HYPERLINK("https://klasma.github.io/Logging_2309/kartor/A 54387-2020 karta.png", "A 54387-2020")</f>
        <v/>
      </c>
      <c r="V121">
        <f>HYPERLINK("https://klasma.github.io/Logging_2309/klagomål/A 54387-2020 FSC-klagomål.docx", "A 54387-2020")</f>
        <v/>
      </c>
      <c r="W121">
        <f>HYPERLINK("https://klasma.github.io/Logging_2309/klagomålsmail/A 54387-2020 FSC-klagomål mail.docx", "A 54387-2020")</f>
        <v/>
      </c>
      <c r="X121">
        <f>HYPERLINK("https://klasma.github.io/Logging_2309/tillsyn/A 54387-2020 tillsynsbegäran.docx", "A 54387-2020")</f>
        <v/>
      </c>
      <c r="Y121">
        <f>HYPERLINK("https://klasma.github.io/Logging_2309/tillsynsmail/A 54387-2020 tillsynsbegäran mail.docx", "A 54387-2020")</f>
        <v/>
      </c>
    </row>
    <row r="122" ht="15" customHeight="1">
      <c r="A122" t="inlineStr">
        <is>
          <t>A 62641-2020</t>
        </is>
      </c>
      <c r="B122" s="1" t="n">
        <v>44161</v>
      </c>
      <c r="C122" s="1" t="n">
        <v>45349</v>
      </c>
      <c r="D122" t="inlineStr">
        <is>
          <t>JÄMTLANDS LÄN</t>
        </is>
      </c>
      <c r="E122" t="inlineStr">
        <is>
          <t>KROKOM</t>
        </is>
      </c>
      <c r="G122" t="n">
        <v>5.3</v>
      </c>
      <c r="H122" t="n">
        <v>1</v>
      </c>
      <c r="I122" t="n">
        <v>1</v>
      </c>
      <c r="J122" t="n">
        <v>0</v>
      </c>
      <c r="K122" t="n">
        <v>0</v>
      </c>
      <c r="L122" t="n">
        <v>0</v>
      </c>
      <c r="M122" t="n">
        <v>0</v>
      </c>
      <c r="N122" t="n">
        <v>0</v>
      </c>
      <c r="O122" t="n">
        <v>0</v>
      </c>
      <c r="P122" t="n">
        <v>0</v>
      </c>
      <c r="Q122" t="n">
        <v>2</v>
      </c>
      <c r="R122" s="2" t="inlineStr">
        <is>
          <t>Svavelriska
Blåsippa</t>
        </is>
      </c>
      <c r="S122">
        <f>HYPERLINK("https://klasma.github.io/Logging_2309/artfynd/A 62641-2020 artfynd.xlsx", "A 62641-2020")</f>
        <v/>
      </c>
      <c r="T122">
        <f>HYPERLINK("https://klasma.github.io/Logging_2309/kartor/A 62641-2020 karta.png", "A 62641-2020")</f>
        <v/>
      </c>
      <c r="V122">
        <f>HYPERLINK("https://klasma.github.io/Logging_2309/klagomål/A 62641-2020 FSC-klagomål.docx", "A 62641-2020")</f>
        <v/>
      </c>
      <c r="W122">
        <f>HYPERLINK("https://klasma.github.io/Logging_2309/klagomålsmail/A 62641-2020 FSC-klagomål mail.docx", "A 62641-2020")</f>
        <v/>
      </c>
      <c r="X122">
        <f>HYPERLINK("https://klasma.github.io/Logging_2309/tillsyn/A 62641-2020 tillsynsbegäran.docx", "A 62641-2020")</f>
        <v/>
      </c>
      <c r="Y122">
        <f>HYPERLINK("https://klasma.github.io/Logging_2309/tillsynsmail/A 62641-2020 tillsynsbegäran mail.docx", "A 62641-2020")</f>
        <v/>
      </c>
    </row>
    <row r="123" ht="15" customHeight="1">
      <c r="A123" t="inlineStr">
        <is>
          <t>A 1698-2021</t>
        </is>
      </c>
      <c r="B123" s="1" t="n">
        <v>44209</v>
      </c>
      <c r="C123" s="1" t="n">
        <v>45349</v>
      </c>
      <c r="D123" t="inlineStr">
        <is>
          <t>JÄMTLANDS LÄN</t>
        </is>
      </c>
      <c r="E123" t="inlineStr">
        <is>
          <t>KROKOM</t>
        </is>
      </c>
      <c r="G123" t="n">
        <v>21</v>
      </c>
      <c r="H123" t="n">
        <v>2</v>
      </c>
      <c r="I123" t="n">
        <v>0</v>
      </c>
      <c r="J123" t="n">
        <v>2</v>
      </c>
      <c r="K123" t="n">
        <v>0</v>
      </c>
      <c r="L123" t="n">
        <v>0</v>
      </c>
      <c r="M123" t="n">
        <v>0</v>
      </c>
      <c r="N123" t="n">
        <v>0</v>
      </c>
      <c r="O123" t="n">
        <v>2</v>
      </c>
      <c r="P123" t="n">
        <v>0</v>
      </c>
      <c r="Q123" t="n">
        <v>2</v>
      </c>
      <c r="R123" s="2" t="inlineStr">
        <is>
          <t>Spillkråka
Tretåig hackspett</t>
        </is>
      </c>
      <c r="S123">
        <f>HYPERLINK("https://klasma.github.io/Logging_2309/artfynd/A 1698-2021 artfynd.xlsx", "A 1698-2021")</f>
        <v/>
      </c>
      <c r="T123">
        <f>HYPERLINK("https://klasma.github.io/Logging_2309/kartor/A 1698-2021 karta.png", "A 1698-2021")</f>
        <v/>
      </c>
      <c r="V123">
        <f>HYPERLINK("https://klasma.github.io/Logging_2309/klagomål/A 1698-2021 FSC-klagomål.docx", "A 1698-2021")</f>
        <v/>
      </c>
      <c r="W123">
        <f>HYPERLINK("https://klasma.github.io/Logging_2309/klagomålsmail/A 1698-2021 FSC-klagomål mail.docx", "A 1698-2021")</f>
        <v/>
      </c>
      <c r="X123">
        <f>HYPERLINK("https://klasma.github.io/Logging_2309/tillsyn/A 1698-2021 tillsynsbegäran.docx", "A 1698-2021")</f>
        <v/>
      </c>
      <c r="Y123">
        <f>HYPERLINK("https://klasma.github.io/Logging_2309/tillsynsmail/A 1698-2021 tillsynsbegäran mail.docx", "A 1698-2021")</f>
        <v/>
      </c>
      <c r="Z123">
        <f>HYPERLINK("https://klasma.github.io/Logging_2309/fåglar/A 1698-2021 prioriterade fågelarter.docx", "A 1698-2021")</f>
        <v/>
      </c>
    </row>
    <row r="124" ht="15" customHeight="1">
      <c r="A124" t="inlineStr">
        <is>
          <t>A 14589-2021</t>
        </is>
      </c>
      <c r="B124" s="1" t="n">
        <v>44279</v>
      </c>
      <c r="C124" s="1" t="n">
        <v>45349</v>
      </c>
      <c r="D124" t="inlineStr">
        <is>
          <t>JÄMTLANDS LÄN</t>
        </is>
      </c>
      <c r="E124" t="inlineStr">
        <is>
          <t>KROKOM</t>
        </is>
      </c>
      <c r="G124" t="n">
        <v>8.800000000000001</v>
      </c>
      <c r="H124" t="n">
        <v>2</v>
      </c>
      <c r="I124" t="n">
        <v>0</v>
      </c>
      <c r="J124" t="n">
        <v>1</v>
      </c>
      <c r="K124" t="n">
        <v>0</v>
      </c>
      <c r="L124" t="n">
        <v>0</v>
      </c>
      <c r="M124" t="n">
        <v>0</v>
      </c>
      <c r="N124" t="n">
        <v>0</v>
      </c>
      <c r="O124" t="n">
        <v>1</v>
      </c>
      <c r="P124" t="n">
        <v>0</v>
      </c>
      <c r="Q124" t="n">
        <v>2</v>
      </c>
      <c r="R124" s="2" t="inlineStr">
        <is>
          <t>Utter
Fläcknycklar</t>
        </is>
      </c>
      <c r="S124">
        <f>HYPERLINK("https://klasma.github.io/Logging_2309/artfynd/A 14589-2021 artfynd.xlsx", "A 14589-2021")</f>
        <v/>
      </c>
      <c r="T124">
        <f>HYPERLINK("https://klasma.github.io/Logging_2309/kartor/A 14589-2021 karta.png", "A 14589-2021")</f>
        <v/>
      </c>
      <c r="V124">
        <f>HYPERLINK("https://klasma.github.io/Logging_2309/klagomål/A 14589-2021 FSC-klagomål.docx", "A 14589-2021")</f>
        <v/>
      </c>
      <c r="W124">
        <f>HYPERLINK("https://klasma.github.io/Logging_2309/klagomålsmail/A 14589-2021 FSC-klagomål mail.docx", "A 14589-2021")</f>
        <v/>
      </c>
      <c r="X124">
        <f>HYPERLINK("https://klasma.github.io/Logging_2309/tillsyn/A 14589-2021 tillsynsbegäran.docx", "A 14589-2021")</f>
        <v/>
      </c>
      <c r="Y124">
        <f>HYPERLINK("https://klasma.github.io/Logging_2309/tillsynsmail/A 14589-2021 tillsynsbegäran mail.docx", "A 14589-2021")</f>
        <v/>
      </c>
    </row>
    <row r="125" ht="15" customHeight="1">
      <c r="A125" t="inlineStr">
        <is>
          <t>A 20981-2021</t>
        </is>
      </c>
      <c r="B125" s="1" t="n">
        <v>44316</v>
      </c>
      <c r="C125" s="1" t="n">
        <v>45349</v>
      </c>
      <c r="D125" t="inlineStr">
        <is>
          <t>JÄMTLANDS LÄN</t>
        </is>
      </c>
      <c r="E125" t="inlineStr">
        <is>
          <t>KROKOM</t>
        </is>
      </c>
      <c r="G125" t="n">
        <v>27.4</v>
      </c>
      <c r="H125" t="n">
        <v>0</v>
      </c>
      <c r="I125" t="n">
        <v>1</v>
      </c>
      <c r="J125" t="n">
        <v>1</v>
      </c>
      <c r="K125" t="n">
        <v>0</v>
      </c>
      <c r="L125" t="n">
        <v>0</v>
      </c>
      <c r="M125" t="n">
        <v>0</v>
      </c>
      <c r="N125" t="n">
        <v>0</v>
      </c>
      <c r="O125" t="n">
        <v>1</v>
      </c>
      <c r="P125" t="n">
        <v>0</v>
      </c>
      <c r="Q125" t="n">
        <v>2</v>
      </c>
      <c r="R125" s="2" t="inlineStr">
        <is>
          <t>Harticka
Trådticka</t>
        </is>
      </c>
      <c r="S125">
        <f>HYPERLINK("https://klasma.github.io/Logging_2309/artfynd/A 20981-2021 artfynd.xlsx", "A 20981-2021")</f>
        <v/>
      </c>
      <c r="T125">
        <f>HYPERLINK("https://klasma.github.io/Logging_2309/kartor/A 20981-2021 karta.png", "A 20981-2021")</f>
        <v/>
      </c>
      <c r="V125">
        <f>HYPERLINK("https://klasma.github.io/Logging_2309/klagomål/A 20981-2021 FSC-klagomål.docx", "A 20981-2021")</f>
        <v/>
      </c>
      <c r="W125">
        <f>HYPERLINK("https://klasma.github.io/Logging_2309/klagomålsmail/A 20981-2021 FSC-klagomål mail.docx", "A 20981-2021")</f>
        <v/>
      </c>
      <c r="X125">
        <f>HYPERLINK("https://klasma.github.io/Logging_2309/tillsyn/A 20981-2021 tillsynsbegäran.docx", "A 20981-2021")</f>
        <v/>
      </c>
      <c r="Y125">
        <f>HYPERLINK("https://klasma.github.io/Logging_2309/tillsynsmail/A 20981-2021 tillsynsbegäran mail.docx", "A 20981-2021")</f>
        <v/>
      </c>
    </row>
    <row r="126" ht="15" customHeight="1">
      <c r="A126" t="inlineStr">
        <is>
          <t>A 28151-2021</t>
        </is>
      </c>
      <c r="B126" s="1" t="n">
        <v>44355</v>
      </c>
      <c r="C126" s="1" t="n">
        <v>45349</v>
      </c>
      <c r="D126" t="inlineStr">
        <is>
          <t>JÄMTLANDS LÄN</t>
        </is>
      </c>
      <c r="E126" t="inlineStr">
        <is>
          <t>KROKOM</t>
        </is>
      </c>
      <c r="G126" t="n">
        <v>19.6</v>
      </c>
      <c r="H126" t="n">
        <v>0</v>
      </c>
      <c r="I126" t="n">
        <v>0</v>
      </c>
      <c r="J126" t="n">
        <v>2</v>
      </c>
      <c r="K126" t="n">
        <v>0</v>
      </c>
      <c r="L126" t="n">
        <v>0</v>
      </c>
      <c r="M126" t="n">
        <v>0</v>
      </c>
      <c r="N126" t="n">
        <v>0</v>
      </c>
      <c r="O126" t="n">
        <v>2</v>
      </c>
      <c r="P126" t="n">
        <v>0</v>
      </c>
      <c r="Q126" t="n">
        <v>2</v>
      </c>
      <c r="R126" s="2" t="inlineStr">
        <is>
          <t>Granticka
Lunglav</t>
        </is>
      </c>
      <c r="S126">
        <f>HYPERLINK("https://klasma.github.io/Logging_2309/artfynd/A 28151-2021 artfynd.xlsx", "A 28151-2021")</f>
        <v/>
      </c>
      <c r="T126">
        <f>HYPERLINK("https://klasma.github.io/Logging_2309/kartor/A 28151-2021 karta.png", "A 28151-2021")</f>
        <v/>
      </c>
      <c r="V126">
        <f>HYPERLINK("https://klasma.github.io/Logging_2309/klagomål/A 28151-2021 FSC-klagomål.docx", "A 28151-2021")</f>
        <v/>
      </c>
      <c r="W126">
        <f>HYPERLINK("https://klasma.github.io/Logging_2309/klagomålsmail/A 28151-2021 FSC-klagomål mail.docx", "A 28151-2021")</f>
        <v/>
      </c>
      <c r="X126">
        <f>HYPERLINK("https://klasma.github.io/Logging_2309/tillsyn/A 28151-2021 tillsynsbegäran.docx", "A 28151-2021")</f>
        <v/>
      </c>
      <c r="Y126">
        <f>HYPERLINK("https://klasma.github.io/Logging_2309/tillsynsmail/A 28151-2021 tillsynsbegäran mail.docx", "A 28151-2021")</f>
        <v/>
      </c>
    </row>
    <row r="127" ht="15" customHeight="1">
      <c r="A127" t="inlineStr">
        <is>
          <t>A 33874-2021</t>
        </is>
      </c>
      <c r="B127" s="1" t="n">
        <v>44378</v>
      </c>
      <c r="C127" s="1" t="n">
        <v>45349</v>
      </c>
      <c r="D127" t="inlineStr">
        <is>
          <t>JÄMTLANDS LÄN</t>
        </is>
      </c>
      <c r="E127" t="inlineStr">
        <is>
          <t>KROKOM</t>
        </is>
      </c>
      <c r="G127" t="n">
        <v>5.9</v>
      </c>
      <c r="H127" t="n">
        <v>1</v>
      </c>
      <c r="I127" t="n">
        <v>2</v>
      </c>
      <c r="J127" t="n">
        <v>0</v>
      </c>
      <c r="K127" t="n">
        <v>0</v>
      </c>
      <c r="L127" t="n">
        <v>0</v>
      </c>
      <c r="M127" t="n">
        <v>0</v>
      </c>
      <c r="N127" t="n">
        <v>0</v>
      </c>
      <c r="O127" t="n">
        <v>0</v>
      </c>
      <c r="P127" t="n">
        <v>0</v>
      </c>
      <c r="Q127" t="n">
        <v>2</v>
      </c>
      <c r="R127" s="2" t="inlineStr">
        <is>
          <t>Kransrams
Tvåblad</t>
        </is>
      </c>
      <c r="S127">
        <f>HYPERLINK("https://klasma.github.io/Logging_2309/artfynd/A 33874-2021 artfynd.xlsx", "A 33874-2021")</f>
        <v/>
      </c>
      <c r="T127">
        <f>HYPERLINK("https://klasma.github.io/Logging_2309/kartor/A 33874-2021 karta.png", "A 33874-2021")</f>
        <v/>
      </c>
      <c r="V127">
        <f>HYPERLINK("https://klasma.github.io/Logging_2309/klagomål/A 33874-2021 FSC-klagomål.docx", "A 33874-2021")</f>
        <v/>
      </c>
      <c r="W127">
        <f>HYPERLINK("https://klasma.github.io/Logging_2309/klagomålsmail/A 33874-2021 FSC-klagomål mail.docx", "A 33874-2021")</f>
        <v/>
      </c>
      <c r="X127">
        <f>HYPERLINK("https://klasma.github.io/Logging_2309/tillsyn/A 33874-2021 tillsynsbegäran.docx", "A 33874-2021")</f>
        <v/>
      </c>
      <c r="Y127">
        <f>HYPERLINK("https://klasma.github.io/Logging_2309/tillsynsmail/A 33874-2021 tillsynsbegäran mail.docx", "A 33874-2021")</f>
        <v/>
      </c>
    </row>
    <row r="128" ht="15" customHeight="1">
      <c r="A128" t="inlineStr">
        <is>
          <t>A 67700-2021</t>
        </is>
      </c>
      <c r="B128" s="1" t="n">
        <v>44524</v>
      </c>
      <c r="C128" s="1" t="n">
        <v>45349</v>
      </c>
      <c r="D128" t="inlineStr">
        <is>
          <t>JÄMTLANDS LÄN</t>
        </is>
      </c>
      <c r="E128" t="inlineStr">
        <is>
          <t>KROKOM</t>
        </is>
      </c>
      <c r="F128" t="inlineStr">
        <is>
          <t>SCA</t>
        </is>
      </c>
      <c r="G128" t="n">
        <v>1.3</v>
      </c>
      <c r="H128" t="n">
        <v>1</v>
      </c>
      <c r="I128" t="n">
        <v>0</v>
      </c>
      <c r="J128" t="n">
        <v>1</v>
      </c>
      <c r="K128" t="n">
        <v>0</v>
      </c>
      <c r="L128" t="n">
        <v>0</v>
      </c>
      <c r="M128" t="n">
        <v>0</v>
      </c>
      <c r="N128" t="n">
        <v>0</v>
      </c>
      <c r="O128" t="n">
        <v>1</v>
      </c>
      <c r="P128" t="n">
        <v>0</v>
      </c>
      <c r="Q128" t="n">
        <v>2</v>
      </c>
      <c r="R128" s="2" t="inlineStr">
        <is>
          <t>Lunglav
Blåsippa</t>
        </is>
      </c>
      <c r="S128">
        <f>HYPERLINK("https://klasma.github.io/Logging_2309/artfynd/A 67700-2021 artfynd.xlsx", "A 67700-2021")</f>
        <v/>
      </c>
      <c r="T128">
        <f>HYPERLINK("https://klasma.github.io/Logging_2309/kartor/A 67700-2021 karta.png", "A 67700-2021")</f>
        <v/>
      </c>
      <c r="V128">
        <f>HYPERLINK("https://klasma.github.io/Logging_2309/klagomål/A 67700-2021 FSC-klagomål.docx", "A 67700-2021")</f>
        <v/>
      </c>
      <c r="W128">
        <f>HYPERLINK("https://klasma.github.io/Logging_2309/klagomålsmail/A 67700-2021 FSC-klagomål mail.docx", "A 67700-2021")</f>
        <v/>
      </c>
      <c r="X128">
        <f>HYPERLINK("https://klasma.github.io/Logging_2309/tillsyn/A 67700-2021 tillsynsbegäran.docx", "A 67700-2021")</f>
        <v/>
      </c>
      <c r="Y128">
        <f>HYPERLINK("https://klasma.github.io/Logging_2309/tillsynsmail/A 67700-2021 tillsynsbegäran mail.docx", "A 67700-2021")</f>
        <v/>
      </c>
    </row>
    <row r="129" ht="15" customHeight="1">
      <c r="A129" t="inlineStr">
        <is>
          <t>A 71571-2021</t>
        </is>
      </c>
      <c r="B129" s="1" t="n">
        <v>44540</v>
      </c>
      <c r="C129" s="1" t="n">
        <v>45349</v>
      </c>
      <c r="D129" t="inlineStr">
        <is>
          <t>JÄMTLANDS LÄN</t>
        </is>
      </c>
      <c r="E129" t="inlineStr">
        <is>
          <t>KROKOM</t>
        </is>
      </c>
      <c r="G129" t="n">
        <v>0.7</v>
      </c>
      <c r="H129" t="n">
        <v>0</v>
      </c>
      <c r="I129" t="n">
        <v>1</v>
      </c>
      <c r="J129" t="n">
        <v>1</v>
      </c>
      <c r="K129" t="n">
        <v>0</v>
      </c>
      <c r="L129" t="n">
        <v>0</v>
      </c>
      <c r="M129" t="n">
        <v>0</v>
      </c>
      <c r="N129" t="n">
        <v>0</v>
      </c>
      <c r="O129" t="n">
        <v>1</v>
      </c>
      <c r="P129" t="n">
        <v>0</v>
      </c>
      <c r="Q129" t="n">
        <v>2</v>
      </c>
      <c r="R129" s="2" t="inlineStr">
        <is>
          <t>Skrovellav
Kryddspindling</t>
        </is>
      </c>
      <c r="S129">
        <f>HYPERLINK("https://klasma.github.io/Logging_2309/artfynd/A 71571-2021 artfynd.xlsx", "A 71571-2021")</f>
        <v/>
      </c>
      <c r="T129">
        <f>HYPERLINK("https://klasma.github.io/Logging_2309/kartor/A 71571-2021 karta.png", "A 71571-2021")</f>
        <v/>
      </c>
      <c r="V129">
        <f>HYPERLINK("https://klasma.github.io/Logging_2309/klagomål/A 71571-2021 FSC-klagomål.docx", "A 71571-2021")</f>
        <v/>
      </c>
      <c r="W129">
        <f>HYPERLINK("https://klasma.github.io/Logging_2309/klagomålsmail/A 71571-2021 FSC-klagomål mail.docx", "A 71571-2021")</f>
        <v/>
      </c>
      <c r="X129">
        <f>HYPERLINK("https://klasma.github.io/Logging_2309/tillsyn/A 71571-2021 tillsynsbegäran.docx", "A 71571-2021")</f>
        <v/>
      </c>
      <c r="Y129">
        <f>HYPERLINK("https://klasma.github.io/Logging_2309/tillsynsmail/A 71571-2021 tillsynsbegäran mail.docx", "A 71571-2021")</f>
        <v/>
      </c>
    </row>
    <row r="130" ht="15" customHeight="1">
      <c r="A130" t="inlineStr">
        <is>
          <t>A 30060-2022</t>
        </is>
      </c>
      <c r="B130" s="1" t="n">
        <v>44757</v>
      </c>
      <c r="C130" s="1" t="n">
        <v>45349</v>
      </c>
      <c r="D130" t="inlineStr">
        <is>
          <t>JÄMTLANDS LÄN</t>
        </is>
      </c>
      <c r="E130" t="inlineStr">
        <is>
          <t>KROKOM</t>
        </is>
      </c>
      <c r="G130" t="n">
        <v>0.6</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HYPERLINK("https://klasma.github.io/Logging_2309/artfynd/A 30060-2022 artfynd.xlsx", "A 30060-2022")</f>
        <v/>
      </c>
      <c r="T130">
        <f>HYPERLINK("https://klasma.github.io/Logging_2309/kartor/A 30060-2022 karta.png", "A 30060-2022")</f>
        <v/>
      </c>
      <c r="V130">
        <f>HYPERLINK("https://klasma.github.io/Logging_2309/klagomål/A 30060-2022 FSC-klagomål.docx", "A 30060-2022")</f>
        <v/>
      </c>
      <c r="W130">
        <f>HYPERLINK("https://klasma.github.io/Logging_2309/klagomålsmail/A 30060-2022 FSC-klagomål mail.docx", "A 30060-2022")</f>
        <v/>
      </c>
      <c r="X130">
        <f>HYPERLINK("https://klasma.github.io/Logging_2309/tillsyn/A 30060-2022 tillsynsbegäran.docx", "A 30060-2022")</f>
        <v/>
      </c>
      <c r="Y130">
        <f>HYPERLINK("https://klasma.github.io/Logging_2309/tillsynsmail/A 30060-2022 tillsynsbegäran mail.docx", "A 30060-2022")</f>
        <v/>
      </c>
      <c r="Z130">
        <f>HYPERLINK("https://klasma.github.io/Logging_2309/fåglar/A 30060-2022 prioriterade fågelarter.docx", "A 30060-2022")</f>
        <v/>
      </c>
    </row>
    <row r="131" ht="15" customHeight="1">
      <c r="A131" t="inlineStr">
        <is>
          <t>A 54189-2022</t>
        </is>
      </c>
      <c r="B131" s="1" t="n">
        <v>44879</v>
      </c>
      <c r="C131" s="1" t="n">
        <v>45349</v>
      </c>
      <c r="D131" t="inlineStr">
        <is>
          <t>JÄMTLANDS LÄN</t>
        </is>
      </c>
      <c r="E131" t="inlineStr">
        <is>
          <t>KROKOM</t>
        </is>
      </c>
      <c r="G131" t="n">
        <v>24.1</v>
      </c>
      <c r="H131" t="n">
        <v>0</v>
      </c>
      <c r="I131" t="n">
        <v>0</v>
      </c>
      <c r="J131" t="n">
        <v>1</v>
      </c>
      <c r="K131" t="n">
        <v>1</v>
      </c>
      <c r="L131" t="n">
        <v>0</v>
      </c>
      <c r="M131" t="n">
        <v>0</v>
      </c>
      <c r="N131" t="n">
        <v>0</v>
      </c>
      <c r="O131" t="n">
        <v>2</v>
      </c>
      <c r="P131" t="n">
        <v>1</v>
      </c>
      <c r="Q131" t="n">
        <v>2</v>
      </c>
      <c r="R131" s="2" t="inlineStr">
        <is>
          <t>Ulltickeporing
Ullticka</t>
        </is>
      </c>
      <c r="S131">
        <f>HYPERLINK("https://klasma.github.io/Logging_2309/artfynd/A 54189-2022 artfynd.xlsx", "A 54189-2022")</f>
        <v/>
      </c>
      <c r="T131">
        <f>HYPERLINK("https://klasma.github.io/Logging_2309/kartor/A 54189-2022 karta.png", "A 54189-2022")</f>
        <v/>
      </c>
      <c r="V131">
        <f>HYPERLINK("https://klasma.github.io/Logging_2309/klagomål/A 54189-2022 FSC-klagomål.docx", "A 54189-2022")</f>
        <v/>
      </c>
      <c r="W131">
        <f>HYPERLINK("https://klasma.github.io/Logging_2309/klagomålsmail/A 54189-2022 FSC-klagomål mail.docx", "A 54189-2022")</f>
        <v/>
      </c>
      <c r="X131">
        <f>HYPERLINK("https://klasma.github.io/Logging_2309/tillsyn/A 54189-2022 tillsynsbegäran.docx", "A 54189-2022")</f>
        <v/>
      </c>
      <c r="Y131">
        <f>HYPERLINK("https://klasma.github.io/Logging_2309/tillsynsmail/A 54189-2022 tillsynsbegäran mail.docx", "A 54189-2022")</f>
        <v/>
      </c>
    </row>
    <row r="132" ht="15" customHeight="1">
      <c r="A132" t="inlineStr">
        <is>
          <t>A 52021-2023</t>
        </is>
      </c>
      <c r="B132" s="1" t="n">
        <v>45223</v>
      </c>
      <c r="C132" s="1" t="n">
        <v>45349</v>
      </c>
      <c r="D132" t="inlineStr">
        <is>
          <t>JÄMTLANDS LÄN</t>
        </is>
      </c>
      <c r="E132" t="inlineStr">
        <is>
          <t>KROKOM</t>
        </is>
      </c>
      <c r="F132" t="inlineStr">
        <is>
          <t>Övriga Aktiebolag</t>
        </is>
      </c>
      <c r="G132" t="n">
        <v>1.5</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HYPERLINK("https://klasma.github.io/Logging_2309/artfynd/A 52021-2023 artfynd.xlsx", "A 52021-2023")</f>
        <v/>
      </c>
      <c r="T132">
        <f>HYPERLINK("https://klasma.github.io/Logging_2309/kartor/A 52021-2023 karta.png", "A 52021-2023")</f>
        <v/>
      </c>
      <c r="V132">
        <f>HYPERLINK("https://klasma.github.io/Logging_2309/klagomål/A 52021-2023 FSC-klagomål.docx", "A 52021-2023")</f>
        <v/>
      </c>
      <c r="W132">
        <f>HYPERLINK("https://klasma.github.io/Logging_2309/klagomålsmail/A 52021-2023 FSC-klagomål mail.docx", "A 52021-2023")</f>
        <v/>
      </c>
      <c r="X132">
        <f>HYPERLINK("https://klasma.github.io/Logging_2309/tillsyn/A 52021-2023 tillsynsbegäran.docx", "A 52021-2023")</f>
        <v/>
      </c>
      <c r="Y132">
        <f>HYPERLINK("https://klasma.github.io/Logging_2309/tillsynsmail/A 52021-2023 tillsynsbegäran mail.docx", "A 52021-2023")</f>
        <v/>
      </c>
      <c r="Z132">
        <f>HYPERLINK("https://klasma.github.io/Logging_2309/fåglar/A 52021-2023 prioriterade fågelarter.docx", "A 52021-2023")</f>
        <v/>
      </c>
    </row>
    <row r="133" ht="15" customHeight="1">
      <c r="A133" t="inlineStr">
        <is>
          <t>A 56476-2023</t>
        </is>
      </c>
      <c r="B133" s="1" t="n">
        <v>45243</v>
      </c>
      <c r="C133" s="1" t="n">
        <v>45349</v>
      </c>
      <c r="D133" t="inlineStr">
        <is>
          <t>JÄMTLANDS LÄN</t>
        </is>
      </c>
      <c r="E133" t="inlineStr">
        <is>
          <t>KROKOM</t>
        </is>
      </c>
      <c r="G133" t="n">
        <v>19.8</v>
      </c>
      <c r="H133" t="n">
        <v>0</v>
      </c>
      <c r="I133" t="n">
        <v>0</v>
      </c>
      <c r="J133" t="n">
        <v>2</v>
      </c>
      <c r="K133" t="n">
        <v>0</v>
      </c>
      <c r="L133" t="n">
        <v>0</v>
      </c>
      <c r="M133" t="n">
        <v>0</v>
      </c>
      <c r="N133" t="n">
        <v>0</v>
      </c>
      <c r="O133" t="n">
        <v>2</v>
      </c>
      <c r="P133" t="n">
        <v>0</v>
      </c>
      <c r="Q133" t="n">
        <v>2</v>
      </c>
      <c r="R133" s="2" t="inlineStr">
        <is>
          <t>Gammelgransskål
Gränsticka</t>
        </is>
      </c>
      <c r="S133">
        <f>HYPERLINK("https://klasma.github.io/Logging_2309/artfynd/A 56476-2023 artfynd.xlsx", "A 56476-2023")</f>
        <v/>
      </c>
      <c r="T133">
        <f>HYPERLINK("https://klasma.github.io/Logging_2309/kartor/A 56476-2023 karta.png", "A 56476-2023")</f>
        <v/>
      </c>
      <c r="V133">
        <f>HYPERLINK("https://klasma.github.io/Logging_2309/klagomål/A 56476-2023 FSC-klagomål.docx", "A 56476-2023")</f>
        <v/>
      </c>
      <c r="W133">
        <f>HYPERLINK("https://klasma.github.io/Logging_2309/klagomålsmail/A 56476-2023 FSC-klagomål mail.docx", "A 56476-2023")</f>
        <v/>
      </c>
      <c r="X133">
        <f>HYPERLINK("https://klasma.github.io/Logging_2309/tillsyn/A 56476-2023 tillsynsbegäran.docx", "A 56476-2023")</f>
        <v/>
      </c>
      <c r="Y133">
        <f>HYPERLINK("https://klasma.github.io/Logging_2309/tillsynsmail/A 56476-2023 tillsynsbegäran mail.docx", "A 56476-2023")</f>
        <v/>
      </c>
    </row>
    <row r="134" ht="15" customHeight="1">
      <c r="A134" t="inlineStr">
        <is>
          <t>A 62118-2023</t>
        </is>
      </c>
      <c r="B134" s="1" t="n">
        <v>45267</v>
      </c>
      <c r="C134" s="1" t="n">
        <v>45349</v>
      </c>
      <c r="D134" t="inlineStr">
        <is>
          <t>JÄMTLANDS LÄN</t>
        </is>
      </c>
      <c r="E134" t="inlineStr">
        <is>
          <t>KROKOM</t>
        </is>
      </c>
      <c r="G134" t="n">
        <v>5.3</v>
      </c>
      <c r="H134" t="n">
        <v>2</v>
      </c>
      <c r="I134" t="n">
        <v>0</v>
      </c>
      <c r="J134" t="n">
        <v>0</v>
      </c>
      <c r="K134" t="n">
        <v>2</v>
      </c>
      <c r="L134" t="n">
        <v>0</v>
      </c>
      <c r="M134" t="n">
        <v>0</v>
      </c>
      <c r="N134" t="n">
        <v>0</v>
      </c>
      <c r="O134" t="n">
        <v>2</v>
      </c>
      <c r="P134" t="n">
        <v>2</v>
      </c>
      <c r="Q134" t="n">
        <v>2</v>
      </c>
      <c r="R134" s="2" t="inlineStr">
        <is>
          <t>Doftticka
Knärot</t>
        </is>
      </c>
      <c r="S134">
        <f>HYPERLINK("https://klasma.github.io/Logging_2309/artfynd/A 62118-2023 artfynd.xlsx", "A 62118-2023")</f>
        <v/>
      </c>
      <c r="T134">
        <f>HYPERLINK("https://klasma.github.io/Logging_2309/kartor/A 62118-2023 karta.png", "A 62118-2023")</f>
        <v/>
      </c>
      <c r="U134">
        <f>HYPERLINK("https://klasma.github.io/Logging_2309/knärot/A 62118-2023 karta knärot.png", "A 62118-2023")</f>
        <v/>
      </c>
      <c r="V134">
        <f>HYPERLINK("https://klasma.github.io/Logging_2309/klagomål/A 62118-2023 FSC-klagomål.docx", "A 62118-2023")</f>
        <v/>
      </c>
      <c r="W134">
        <f>HYPERLINK("https://klasma.github.io/Logging_2309/klagomålsmail/A 62118-2023 FSC-klagomål mail.docx", "A 62118-2023")</f>
        <v/>
      </c>
      <c r="X134">
        <f>HYPERLINK("https://klasma.github.io/Logging_2309/tillsyn/A 62118-2023 tillsynsbegäran.docx", "A 62118-2023")</f>
        <v/>
      </c>
      <c r="Y134">
        <f>HYPERLINK("https://klasma.github.io/Logging_2309/tillsynsmail/A 62118-2023 tillsynsbegäran mail.docx", "A 62118-2023")</f>
        <v/>
      </c>
    </row>
    <row r="135" ht="15" customHeight="1">
      <c r="A135" t="inlineStr">
        <is>
          <t>A 35917-2018</t>
        </is>
      </c>
      <c r="B135" s="1" t="n">
        <v>43327</v>
      </c>
      <c r="C135" s="1" t="n">
        <v>45349</v>
      </c>
      <c r="D135" t="inlineStr">
        <is>
          <t>JÄMTLANDS LÄN</t>
        </is>
      </c>
      <c r="E135" t="inlineStr">
        <is>
          <t>KROKOM</t>
        </is>
      </c>
      <c r="G135" t="n">
        <v>11.2</v>
      </c>
      <c r="H135" t="n">
        <v>1</v>
      </c>
      <c r="I135" t="n">
        <v>0</v>
      </c>
      <c r="J135" t="n">
        <v>1</v>
      </c>
      <c r="K135" t="n">
        <v>0</v>
      </c>
      <c r="L135" t="n">
        <v>0</v>
      </c>
      <c r="M135" t="n">
        <v>0</v>
      </c>
      <c r="N135" t="n">
        <v>0</v>
      </c>
      <c r="O135" t="n">
        <v>1</v>
      </c>
      <c r="P135" t="n">
        <v>0</v>
      </c>
      <c r="Q135" t="n">
        <v>1</v>
      </c>
      <c r="R135" s="2" t="inlineStr">
        <is>
          <t>Tretåig hackspett</t>
        </is>
      </c>
      <c r="S135">
        <f>HYPERLINK("https://klasma.github.io/Logging_2309/artfynd/A 35917-2018 artfynd.xlsx", "A 35917-2018")</f>
        <v/>
      </c>
      <c r="T135">
        <f>HYPERLINK("https://klasma.github.io/Logging_2309/kartor/A 35917-2018 karta.png", "A 35917-2018")</f>
        <v/>
      </c>
      <c r="V135">
        <f>HYPERLINK("https://klasma.github.io/Logging_2309/klagomål/A 35917-2018 FSC-klagomål.docx", "A 35917-2018")</f>
        <v/>
      </c>
      <c r="W135">
        <f>HYPERLINK("https://klasma.github.io/Logging_2309/klagomålsmail/A 35917-2018 FSC-klagomål mail.docx", "A 35917-2018")</f>
        <v/>
      </c>
      <c r="X135">
        <f>HYPERLINK("https://klasma.github.io/Logging_2309/tillsyn/A 35917-2018 tillsynsbegäran.docx", "A 35917-2018")</f>
        <v/>
      </c>
      <c r="Y135">
        <f>HYPERLINK("https://klasma.github.io/Logging_2309/tillsynsmail/A 35917-2018 tillsynsbegäran mail.docx", "A 35917-2018")</f>
        <v/>
      </c>
      <c r="Z135">
        <f>HYPERLINK("https://klasma.github.io/Logging_2309/fåglar/A 35917-2018 prioriterade fågelarter.docx", "A 35917-2018")</f>
        <v/>
      </c>
    </row>
    <row r="136" ht="15" customHeight="1">
      <c r="A136" t="inlineStr">
        <is>
          <t>A 61187-2018</t>
        </is>
      </c>
      <c r="B136" s="1" t="n">
        <v>43412</v>
      </c>
      <c r="C136" s="1" t="n">
        <v>45349</v>
      </c>
      <c r="D136" t="inlineStr">
        <is>
          <t>JÄMTLANDS LÄN</t>
        </is>
      </c>
      <c r="E136" t="inlineStr">
        <is>
          <t>KROKOM</t>
        </is>
      </c>
      <c r="G136" t="n">
        <v>2</v>
      </c>
      <c r="H136" t="n">
        <v>1</v>
      </c>
      <c r="I136" t="n">
        <v>0</v>
      </c>
      <c r="J136" t="n">
        <v>0</v>
      </c>
      <c r="K136" t="n">
        <v>0</v>
      </c>
      <c r="L136" t="n">
        <v>0</v>
      </c>
      <c r="M136" t="n">
        <v>0</v>
      </c>
      <c r="N136" t="n">
        <v>0</v>
      </c>
      <c r="O136" t="n">
        <v>0</v>
      </c>
      <c r="P136" t="n">
        <v>0</v>
      </c>
      <c r="Q136" t="n">
        <v>1</v>
      </c>
      <c r="R136" s="2" t="inlineStr">
        <is>
          <t>Fläcknycklar</t>
        </is>
      </c>
      <c r="S136">
        <f>HYPERLINK("https://klasma.github.io/Logging_2309/artfynd/A 61187-2018 artfynd.xlsx", "A 61187-2018")</f>
        <v/>
      </c>
      <c r="T136">
        <f>HYPERLINK("https://klasma.github.io/Logging_2309/kartor/A 61187-2018 karta.png", "A 61187-2018")</f>
        <v/>
      </c>
      <c r="V136">
        <f>HYPERLINK("https://klasma.github.io/Logging_2309/klagomål/A 61187-2018 FSC-klagomål.docx", "A 61187-2018")</f>
        <v/>
      </c>
      <c r="W136">
        <f>HYPERLINK("https://klasma.github.io/Logging_2309/klagomålsmail/A 61187-2018 FSC-klagomål mail.docx", "A 61187-2018")</f>
        <v/>
      </c>
      <c r="X136">
        <f>HYPERLINK("https://klasma.github.io/Logging_2309/tillsyn/A 61187-2018 tillsynsbegäran.docx", "A 61187-2018")</f>
        <v/>
      </c>
      <c r="Y136">
        <f>HYPERLINK("https://klasma.github.io/Logging_2309/tillsynsmail/A 61187-2018 tillsynsbegäran mail.docx", "A 61187-2018")</f>
        <v/>
      </c>
    </row>
    <row r="137" ht="15" customHeight="1">
      <c r="A137" t="inlineStr">
        <is>
          <t>A 9736-2019</t>
        </is>
      </c>
      <c r="B137" s="1" t="n">
        <v>43508</v>
      </c>
      <c r="C137" s="1" t="n">
        <v>45349</v>
      </c>
      <c r="D137" t="inlineStr">
        <is>
          <t>JÄMTLANDS LÄN</t>
        </is>
      </c>
      <c r="E137" t="inlineStr">
        <is>
          <t>KROKOM</t>
        </is>
      </c>
      <c r="G137" t="n">
        <v>1</v>
      </c>
      <c r="H137" t="n">
        <v>0</v>
      </c>
      <c r="I137" t="n">
        <v>1</v>
      </c>
      <c r="J137" t="n">
        <v>0</v>
      </c>
      <c r="K137" t="n">
        <v>0</v>
      </c>
      <c r="L137" t="n">
        <v>0</v>
      </c>
      <c r="M137" t="n">
        <v>0</v>
      </c>
      <c r="N137" t="n">
        <v>0</v>
      </c>
      <c r="O137" t="n">
        <v>0</v>
      </c>
      <c r="P137" t="n">
        <v>0</v>
      </c>
      <c r="Q137" t="n">
        <v>1</v>
      </c>
      <c r="R137" s="2" t="inlineStr">
        <is>
          <t>Barkkornlav</t>
        </is>
      </c>
      <c r="S137">
        <f>HYPERLINK("https://klasma.github.io/Logging_2309/artfynd/A 9736-2019 artfynd.xlsx", "A 9736-2019")</f>
        <v/>
      </c>
      <c r="T137">
        <f>HYPERLINK("https://klasma.github.io/Logging_2309/kartor/A 9736-2019 karta.png", "A 9736-2019")</f>
        <v/>
      </c>
      <c r="V137">
        <f>HYPERLINK("https://klasma.github.io/Logging_2309/klagomål/A 9736-2019 FSC-klagomål.docx", "A 9736-2019")</f>
        <v/>
      </c>
      <c r="W137">
        <f>HYPERLINK("https://klasma.github.io/Logging_2309/klagomålsmail/A 9736-2019 FSC-klagomål mail.docx", "A 9736-2019")</f>
        <v/>
      </c>
      <c r="X137">
        <f>HYPERLINK("https://klasma.github.io/Logging_2309/tillsyn/A 9736-2019 tillsynsbegäran.docx", "A 9736-2019")</f>
        <v/>
      </c>
      <c r="Y137">
        <f>HYPERLINK("https://klasma.github.io/Logging_2309/tillsynsmail/A 9736-2019 tillsynsbegäran mail.docx", "A 9736-2019")</f>
        <v/>
      </c>
    </row>
    <row r="138" ht="15" customHeight="1">
      <c r="A138" t="inlineStr">
        <is>
          <t>A 30819-2019</t>
        </is>
      </c>
      <c r="B138" s="1" t="n">
        <v>43636</v>
      </c>
      <c r="C138" s="1" t="n">
        <v>45349</v>
      </c>
      <c r="D138" t="inlineStr">
        <is>
          <t>JÄMTLANDS LÄN</t>
        </is>
      </c>
      <c r="E138" t="inlineStr">
        <is>
          <t>KROKOM</t>
        </is>
      </c>
      <c r="G138" t="n">
        <v>18.8</v>
      </c>
      <c r="H138" t="n">
        <v>0</v>
      </c>
      <c r="I138" t="n">
        <v>1</v>
      </c>
      <c r="J138" t="n">
        <v>0</v>
      </c>
      <c r="K138" t="n">
        <v>0</v>
      </c>
      <c r="L138" t="n">
        <v>0</v>
      </c>
      <c r="M138" t="n">
        <v>0</v>
      </c>
      <c r="N138" t="n">
        <v>0</v>
      </c>
      <c r="O138" t="n">
        <v>0</v>
      </c>
      <c r="P138" t="n">
        <v>0</v>
      </c>
      <c r="Q138" t="n">
        <v>1</v>
      </c>
      <c r="R138" s="2" t="inlineStr">
        <is>
          <t>Ögonpyrola</t>
        </is>
      </c>
      <c r="S138">
        <f>HYPERLINK("https://klasma.github.io/Logging_2309/artfynd/A 30819-2019 artfynd.xlsx", "A 30819-2019")</f>
        <v/>
      </c>
      <c r="T138">
        <f>HYPERLINK("https://klasma.github.io/Logging_2309/kartor/A 30819-2019 karta.png", "A 30819-2019")</f>
        <v/>
      </c>
      <c r="V138">
        <f>HYPERLINK("https://klasma.github.io/Logging_2309/klagomål/A 30819-2019 FSC-klagomål.docx", "A 30819-2019")</f>
        <v/>
      </c>
      <c r="W138">
        <f>HYPERLINK("https://klasma.github.io/Logging_2309/klagomålsmail/A 30819-2019 FSC-klagomål mail.docx", "A 30819-2019")</f>
        <v/>
      </c>
      <c r="X138">
        <f>HYPERLINK("https://klasma.github.io/Logging_2309/tillsyn/A 30819-2019 tillsynsbegäran.docx", "A 30819-2019")</f>
        <v/>
      </c>
      <c r="Y138">
        <f>HYPERLINK("https://klasma.github.io/Logging_2309/tillsynsmail/A 30819-2019 tillsynsbegäran mail.docx", "A 30819-2019")</f>
        <v/>
      </c>
    </row>
    <row r="139" ht="15" customHeight="1">
      <c r="A139" t="inlineStr">
        <is>
          <t>A 31910-2019</t>
        </is>
      </c>
      <c r="B139" s="1" t="n">
        <v>43642</v>
      </c>
      <c r="C139" s="1" t="n">
        <v>45349</v>
      </c>
      <c r="D139" t="inlineStr">
        <is>
          <t>JÄMTLANDS LÄN</t>
        </is>
      </c>
      <c r="E139" t="inlineStr">
        <is>
          <t>KROKOM</t>
        </is>
      </c>
      <c r="G139" t="n">
        <v>5</v>
      </c>
      <c r="H139" t="n">
        <v>0</v>
      </c>
      <c r="I139" t="n">
        <v>0</v>
      </c>
      <c r="J139" t="n">
        <v>1</v>
      </c>
      <c r="K139" t="n">
        <v>0</v>
      </c>
      <c r="L139" t="n">
        <v>0</v>
      </c>
      <c r="M139" t="n">
        <v>0</v>
      </c>
      <c r="N139" t="n">
        <v>0</v>
      </c>
      <c r="O139" t="n">
        <v>1</v>
      </c>
      <c r="P139" t="n">
        <v>0</v>
      </c>
      <c r="Q139" t="n">
        <v>1</v>
      </c>
      <c r="R139" s="2" t="inlineStr">
        <is>
          <t>Lunglav</t>
        </is>
      </c>
      <c r="S139">
        <f>HYPERLINK("https://klasma.github.io/Logging_2309/artfynd/A 31910-2019 artfynd.xlsx", "A 31910-2019")</f>
        <v/>
      </c>
      <c r="T139">
        <f>HYPERLINK("https://klasma.github.io/Logging_2309/kartor/A 31910-2019 karta.png", "A 31910-2019")</f>
        <v/>
      </c>
      <c r="V139">
        <f>HYPERLINK("https://klasma.github.io/Logging_2309/klagomål/A 31910-2019 FSC-klagomål.docx", "A 31910-2019")</f>
        <v/>
      </c>
      <c r="W139">
        <f>HYPERLINK("https://klasma.github.io/Logging_2309/klagomålsmail/A 31910-2019 FSC-klagomål mail.docx", "A 31910-2019")</f>
        <v/>
      </c>
      <c r="X139">
        <f>HYPERLINK("https://klasma.github.io/Logging_2309/tillsyn/A 31910-2019 tillsynsbegäran.docx", "A 31910-2019")</f>
        <v/>
      </c>
      <c r="Y139">
        <f>HYPERLINK("https://klasma.github.io/Logging_2309/tillsynsmail/A 31910-2019 tillsynsbegäran mail.docx", "A 31910-2019")</f>
        <v/>
      </c>
    </row>
    <row r="140" ht="15" customHeight="1">
      <c r="A140" t="inlineStr">
        <is>
          <t>A 42629-2019</t>
        </is>
      </c>
      <c r="B140" s="1" t="n">
        <v>43704</v>
      </c>
      <c r="C140" s="1" t="n">
        <v>45349</v>
      </c>
      <c r="D140" t="inlineStr">
        <is>
          <t>JÄMTLANDS LÄN</t>
        </is>
      </c>
      <c r="E140" t="inlineStr">
        <is>
          <t>KROKOM</t>
        </is>
      </c>
      <c r="G140" t="n">
        <v>7.5</v>
      </c>
      <c r="H140" t="n">
        <v>0</v>
      </c>
      <c r="I140" t="n">
        <v>0</v>
      </c>
      <c r="J140" t="n">
        <v>1</v>
      </c>
      <c r="K140" t="n">
        <v>0</v>
      </c>
      <c r="L140" t="n">
        <v>0</v>
      </c>
      <c r="M140" t="n">
        <v>0</v>
      </c>
      <c r="N140" t="n">
        <v>0</v>
      </c>
      <c r="O140" t="n">
        <v>1</v>
      </c>
      <c r="P140" t="n">
        <v>0</v>
      </c>
      <c r="Q140" t="n">
        <v>1</v>
      </c>
      <c r="R140" s="2" t="inlineStr">
        <is>
          <t>Brunklöver</t>
        </is>
      </c>
      <c r="S140">
        <f>HYPERLINK("https://klasma.github.io/Logging_2309/artfynd/A 42629-2019 artfynd.xlsx", "A 42629-2019")</f>
        <v/>
      </c>
      <c r="T140">
        <f>HYPERLINK("https://klasma.github.io/Logging_2309/kartor/A 42629-2019 karta.png", "A 42629-2019")</f>
        <v/>
      </c>
      <c r="V140">
        <f>HYPERLINK("https://klasma.github.io/Logging_2309/klagomål/A 42629-2019 FSC-klagomål.docx", "A 42629-2019")</f>
        <v/>
      </c>
      <c r="W140">
        <f>HYPERLINK("https://klasma.github.io/Logging_2309/klagomålsmail/A 42629-2019 FSC-klagomål mail.docx", "A 42629-2019")</f>
        <v/>
      </c>
      <c r="X140">
        <f>HYPERLINK("https://klasma.github.io/Logging_2309/tillsyn/A 42629-2019 tillsynsbegäran.docx", "A 42629-2019")</f>
        <v/>
      </c>
      <c r="Y140">
        <f>HYPERLINK("https://klasma.github.io/Logging_2309/tillsynsmail/A 42629-2019 tillsynsbegäran mail.docx", "A 42629-2019")</f>
        <v/>
      </c>
    </row>
    <row r="141" ht="15" customHeight="1">
      <c r="A141" t="inlineStr">
        <is>
          <t>A 50132-2019</t>
        </is>
      </c>
      <c r="B141" s="1" t="n">
        <v>43734</v>
      </c>
      <c r="C141" s="1" t="n">
        <v>45349</v>
      </c>
      <c r="D141" t="inlineStr">
        <is>
          <t>JÄMTLANDS LÄN</t>
        </is>
      </c>
      <c r="E141" t="inlineStr">
        <is>
          <t>KROKOM</t>
        </is>
      </c>
      <c r="G141" t="n">
        <v>1.8</v>
      </c>
      <c r="H141" t="n">
        <v>0</v>
      </c>
      <c r="I141" t="n">
        <v>0</v>
      </c>
      <c r="J141" t="n">
        <v>1</v>
      </c>
      <c r="K141" t="n">
        <v>0</v>
      </c>
      <c r="L141" t="n">
        <v>0</v>
      </c>
      <c r="M141" t="n">
        <v>0</v>
      </c>
      <c r="N141" t="n">
        <v>0</v>
      </c>
      <c r="O141" t="n">
        <v>1</v>
      </c>
      <c r="P141" t="n">
        <v>0</v>
      </c>
      <c r="Q141" t="n">
        <v>1</v>
      </c>
      <c r="R141" s="2" t="inlineStr">
        <is>
          <t>Vitgrynig nållav</t>
        </is>
      </c>
      <c r="S141">
        <f>HYPERLINK("https://klasma.github.io/Logging_2309/artfynd/A 50132-2019 artfynd.xlsx", "A 50132-2019")</f>
        <v/>
      </c>
      <c r="T141">
        <f>HYPERLINK("https://klasma.github.io/Logging_2309/kartor/A 50132-2019 karta.png", "A 50132-2019")</f>
        <v/>
      </c>
      <c r="V141">
        <f>HYPERLINK("https://klasma.github.io/Logging_2309/klagomål/A 50132-2019 FSC-klagomål.docx", "A 50132-2019")</f>
        <v/>
      </c>
      <c r="W141">
        <f>HYPERLINK("https://klasma.github.io/Logging_2309/klagomålsmail/A 50132-2019 FSC-klagomål mail.docx", "A 50132-2019")</f>
        <v/>
      </c>
      <c r="X141">
        <f>HYPERLINK("https://klasma.github.io/Logging_2309/tillsyn/A 50132-2019 tillsynsbegäran.docx", "A 50132-2019")</f>
        <v/>
      </c>
      <c r="Y141">
        <f>HYPERLINK("https://klasma.github.io/Logging_2309/tillsynsmail/A 50132-2019 tillsynsbegäran mail.docx", "A 50132-2019")</f>
        <v/>
      </c>
    </row>
    <row r="142" ht="15" customHeight="1">
      <c r="A142" t="inlineStr">
        <is>
          <t>A 61347-2019</t>
        </is>
      </c>
      <c r="B142" s="1" t="n">
        <v>43783</v>
      </c>
      <c r="C142" s="1" t="n">
        <v>45349</v>
      </c>
      <c r="D142" t="inlineStr">
        <is>
          <t>JÄMTLANDS LÄN</t>
        </is>
      </c>
      <c r="E142" t="inlineStr">
        <is>
          <t>KROKOM</t>
        </is>
      </c>
      <c r="F142" t="inlineStr">
        <is>
          <t>Allmännings- och besparingsskogar</t>
        </is>
      </c>
      <c r="G142" t="n">
        <v>20.7</v>
      </c>
      <c r="H142" t="n">
        <v>1</v>
      </c>
      <c r="I142" t="n">
        <v>0</v>
      </c>
      <c r="J142" t="n">
        <v>0</v>
      </c>
      <c r="K142" t="n">
        <v>1</v>
      </c>
      <c r="L142" t="n">
        <v>0</v>
      </c>
      <c r="M142" t="n">
        <v>0</v>
      </c>
      <c r="N142" t="n">
        <v>0</v>
      </c>
      <c r="O142" t="n">
        <v>1</v>
      </c>
      <c r="P142" t="n">
        <v>1</v>
      </c>
      <c r="Q142" t="n">
        <v>1</v>
      </c>
      <c r="R142" s="2" t="inlineStr">
        <is>
          <t>Knärot</t>
        </is>
      </c>
      <c r="S142">
        <f>HYPERLINK("https://klasma.github.io/Logging_2309/artfynd/A 61347-2019 artfynd.xlsx", "A 61347-2019")</f>
        <v/>
      </c>
      <c r="T142">
        <f>HYPERLINK("https://klasma.github.io/Logging_2309/kartor/A 61347-2019 karta.png", "A 61347-2019")</f>
        <v/>
      </c>
      <c r="U142">
        <f>HYPERLINK("https://klasma.github.io/Logging_2309/knärot/A 61347-2019 karta knärot.png", "A 61347-2019")</f>
        <v/>
      </c>
      <c r="V142">
        <f>HYPERLINK("https://klasma.github.io/Logging_2309/klagomål/A 61347-2019 FSC-klagomål.docx", "A 61347-2019")</f>
        <v/>
      </c>
      <c r="W142">
        <f>HYPERLINK("https://klasma.github.io/Logging_2309/klagomålsmail/A 61347-2019 FSC-klagomål mail.docx", "A 61347-2019")</f>
        <v/>
      </c>
      <c r="X142">
        <f>HYPERLINK("https://klasma.github.io/Logging_2309/tillsyn/A 61347-2019 tillsynsbegäran.docx", "A 61347-2019")</f>
        <v/>
      </c>
      <c r="Y142">
        <f>HYPERLINK("https://klasma.github.io/Logging_2309/tillsynsmail/A 61347-2019 tillsynsbegäran mail.docx", "A 61347-2019")</f>
        <v/>
      </c>
    </row>
    <row r="143" ht="15" customHeight="1">
      <c r="A143" t="inlineStr">
        <is>
          <t>A 67827-2019</t>
        </is>
      </c>
      <c r="B143" s="1" t="n">
        <v>43815</v>
      </c>
      <c r="C143" s="1" t="n">
        <v>45349</v>
      </c>
      <c r="D143" t="inlineStr">
        <is>
          <t>JÄMTLANDS LÄN</t>
        </is>
      </c>
      <c r="E143" t="inlineStr">
        <is>
          <t>KROKOM</t>
        </is>
      </c>
      <c r="F143" t="inlineStr">
        <is>
          <t>SCA</t>
        </is>
      </c>
      <c r="G143" t="n">
        <v>2.9</v>
      </c>
      <c r="H143" t="n">
        <v>0</v>
      </c>
      <c r="I143" t="n">
        <v>0</v>
      </c>
      <c r="J143" t="n">
        <v>1</v>
      </c>
      <c r="K143" t="n">
        <v>0</v>
      </c>
      <c r="L143" t="n">
        <v>0</v>
      </c>
      <c r="M143" t="n">
        <v>0</v>
      </c>
      <c r="N143" t="n">
        <v>0</v>
      </c>
      <c r="O143" t="n">
        <v>1</v>
      </c>
      <c r="P143" t="n">
        <v>0</v>
      </c>
      <c r="Q143" t="n">
        <v>1</v>
      </c>
      <c r="R143" s="2" t="inlineStr">
        <is>
          <t>Garnlav</t>
        </is>
      </c>
      <c r="S143">
        <f>HYPERLINK("https://klasma.github.io/Logging_2309/artfynd/A 67827-2019 artfynd.xlsx", "A 67827-2019")</f>
        <v/>
      </c>
      <c r="T143">
        <f>HYPERLINK("https://klasma.github.io/Logging_2309/kartor/A 67827-2019 karta.png", "A 67827-2019")</f>
        <v/>
      </c>
      <c r="V143">
        <f>HYPERLINK("https://klasma.github.io/Logging_2309/klagomål/A 67827-2019 FSC-klagomål.docx", "A 67827-2019")</f>
        <v/>
      </c>
      <c r="W143">
        <f>HYPERLINK("https://klasma.github.io/Logging_2309/klagomålsmail/A 67827-2019 FSC-klagomål mail.docx", "A 67827-2019")</f>
        <v/>
      </c>
      <c r="X143">
        <f>HYPERLINK("https://klasma.github.io/Logging_2309/tillsyn/A 67827-2019 tillsynsbegäran.docx", "A 67827-2019")</f>
        <v/>
      </c>
      <c r="Y143">
        <f>HYPERLINK("https://klasma.github.io/Logging_2309/tillsynsmail/A 67827-2019 tillsynsbegäran mail.docx", "A 67827-2019")</f>
        <v/>
      </c>
    </row>
    <row r="144" ht="15" customHeight="1">
      <c r="A144" t="inlineStr">
        <is>
          <t>A 4626-2020</t>
        </is>
      </c>
      <c r="B144" s="1" t="n">
        <v>43858</v>
      </c>
      <c r="C144" s="1" t="n">
        <v>45349</v>
      </c>
      <c r="D144" t="inlineStr">
        <is>
          <t>JÄMTLANDS LÄN</t>
        </is>
      </c>
      <c r="E144" t="inlineStr">
        <is>
          <t>KROKOM</t>
        </is>
      </c>
      <c r="G144" t="n">
        <v>12.2</v>
      </c>
      <c r="H144" t="n">
        <v>0</v>
      </c>
      <c r="I144" t="n">
        <v>0</v>
      </c>
      <c r="J144" t="n">
        <v>1</v>
      </c>
      <c r="K144" t="n">
        <v>0</v>
      </c>
      <c r="L144" t="n">
        <v>0</v>
      </c>
      <c r="M144" t="n">
        <v>0</v>
      </c>
      <c r="N144" t="n">
        <v>0</v>
      </c>
      <c r="O144" t="n">
        <v>1</v>
      </c>
      <c r="P144" t="n">
        <v>0</v>
      </c>
      <c r="Q144" t="n">
        <v>1</v>
      </c>
      <c r="R144" s="2" t="inlineStr">
        <is>
          <t>Gränsticka</t>
        </is>
      </c>
      <c r="S144">
        <f>HYPERLINK("https://klasma.github.io/Logging_2309/artfynd/A 4626-2020 artfynd.xlsx", "A 4626-2020")</f>
        <v/>
      </c>
      <c r="T144">
        <f>HYPERLINK("https://klasma.github.io/Logging_2309/kartor/A 4626-2020 karta.png", "A 4626-2020")</f>
        <v/>
      </c>
      <c r="V144">
        <f>HYPERLINK("https://klasma.github.io/Logging_2309/klagomål/A 4626-2020 FSC-klagomål.docx", "A 4626-2020")</f>
        <v/>
      </c>
      <c r="W144">
        <f>HYPERLINK("https://klasma.github.io/Logging_2309/klagomålsmail/A 4626-2020 FSC-klagomål mail.docx", "A 4626-2020")</f>
        <v/>
      </c>
      <c r="X144">
        <f>HYPERLINK("https://klasma.github.io/Logging_2309/tillsyn/A 4626-2020 tillsynsbegäran.docx", "A 4626-2020")</f>
        <v/>
      </c>
      <c r="Y144">
        <f>HYPERLINK("https://klasma.github.io/Logging_2309/tillsynsmail/A 4626-2020 tillsynsbegäran mail.docx", "A 4626-2020")</f>
        <v/>
      </c>
    </row>
    <row r="145" ht="15" customHeight="1">
      <c r="A145" t="inlineStr">
        <is>
          <t>A 7950-2020</t>
        </is>
      </c>
      <c r="B145" s="1" t="n">
        <v>43873</v>
      </c>
      <c r="C145" s="1" t="n">
        <v>45349</v>
      </c>
      <c r="D145" t="inlineStr">
        <is>
          <t>JÄMTLANDS LÄN</t>
        </is>
      </c>
      <c r="E145" t="inlineStr">
        <is>
          <t>KROKOM</t>
        </is>
      </c>
      <c r="G145" t="n">
        <v>0.2</v>
      </c>
      <c r="H145" t="n">
        <v>0</v>
      </c>
      <c r="I145" t="n">
        <v>0</v>
      </c>
      <c r="J145" t="n">
        <v>1</v>
      </c>
      <c r="K145" t="n">
        <v>0</v>
      </c>
      <c r="L145" t="n">
        <v>0</v>
      </c>
      <c r="M145" t="n">
        <v>0</v>
      </c>
      <c r="N145" t="n">
        <v>0</v>
      </c>
      <c r="O145" t="n">
        <v>1</v>
      </c>
      <c r="P145" t="n">
        <v>0</v>
      </c>
      <c r="Q145" t="n">
        <v>1</v>
      </c>
      <c r="R145" s="2" t="inlineStr">
        <is>
          <t>Månlåsbräken</t>
        </is>
      </c>
      <c r="S145">
        <f>HYPERLINK("https://klasma.github.io/Logging_2309/artfynd/A 7950-2020 artfynd.xlsx", "A 7950-2020")</f>
        <v/>
      </c>
      <c r="T145">
        <f>HYPERLINK("https://klasma.github.io/Logging_2309/kartor/A 7950-2020 karta.png", "A 7950-2020")</f>
        <v/>
      </c>
      <c r="V145">
        <f>HYPERLINK("https://klasma.github.io/Logging_2309/klagomål/A 7950-2020 FSC-klagomål.docx", "A 7950-2020")</f>
        <v/>
      </c>
      <c r="W145">
        <f>HYPERLINK("https://klasma.github.io/Logging_2309/klagomålsmail/A 7950-2020 FSC-klagomål mail.docx", "A 7950-2020")</f>
        <v/>
      </c>
      <c r="X145">
        <f>HYPERLINK("https://klasma.github.io/Logging_2309/tillsyn/A 7950-2020 tillsynsbegäran.docx", "A 7950-2020")</f>
        <v/>
      </c>
      <c r="Y145">
        <f>HYPERLINK("https://klasma.github.io/Logging_2309/tillsynsmail/A 7950-2020 tillsynsbegäran mail.docx", "A 7950-2020")</f>
        <v/>
      </c>
    </row>
    <row r="146" ht="15" customHeight="1">
      <c r="A146" t="inlineStr">
        <is>
          <t>A 8934-2020</t>
        </is>
      </c>
      <c r="B146" s="1" t="n">
        <v>43878</v>
      </c>
      <c r="C146" s="1" t="n">
        <v>45349</v>
      </c>
      <c r="D146" t="inlineStr">
        <is>
          <t>JÄMTLANDS LÄN</t>
        </is>
      </c>
      <c r="E146" t="inlineStr">
        <is>
          <t>KROKOM</t>
        </is>
      </c>
      <c r="F146" t="inlineStr">
        <is>
          <t>SCA</t>
        </is>
      </c>
      <c r="G146" t="n">
        <v>2.5</v>
      </c>
      <c r="H146" t="n">
        <v>0</v>
      </c>
      <c r="I146" t="n">
        <v>0</v>
      </c>
      <c r="J146" t="n">
        <v>1</v>
      </c>
      <c r="K146" t="n">
        <v>0</v>
      </c>
      <c r="L146" t="n">
        <v>0</v>
      </c>
      <c r="M146" t="n">
        <v>0</v>
      </c>
      <c r="N146" t="n">
        <v>0</v>
      </c>
      <c r="O146" t="n">
        <v>1</v>
      </c>
      <c r="P146" t="n">
        <v>0</v>
      </c>
      <c r="Q146" t="n">
        <v>1</v>
      </c>
      <c r="R146" s="2" t="inlineStr">
        <is>
          <t>Doftskinn</t>
        </is>
      </c>
      <c r="S146">
        <f>HYPERLINK("https://klasma.github.io/Logging_2309/artfynd/A 8934-2020 artfynd.xlsx", "A 8934-2020")</f>
        <v/>
      </c>
      <c r="T146">
        <f>HYPERLINK("https://klasma.github.io/Logging_2309/kartor/A 8934-2020 karta.png", "A 8934-2020")</f>
        <v/>
      </c>
      <c r="V146">
        <f>HYPERLINK("https://klasma.github.io/Logging_2309/klagomål/A 8934-2020 FSC-klagomål.docx", "A 8934-2020")</f>
        <v/>
      </c>
      <c r="W146">
        <f>HYPERLINK("https://klasma.github.io/Logging_2309/klagomålsmail/A 8934-2020 FSC-klagomål mail.docx", "A 8934-2020")</f>
        <v/>
      </c>
      <c r="X146">
        <f>HYPERLINK("https://klasma.github.io/Logging_2309/tillsyn/A 8934-2020 tillsynsbegäran.docx", "A 8934-2020")</f>
        <v/>
      </c>
      <c r="Y146">
        <f>HYPERLINK("https://klasma.github.io/Logging_2309/tillsynsmail/A 8934-2020 tillsynsbegäran mail.docx", "A 8934-2020")</f>
        <v/>
      </c>
    </row>
    <row r="147" ht="15" customHeight="1">
      <c r="A147" t="inlineStr">
        <is>
          <t>A 18776-2020</t>
        </is>
      </c>
      <c r="B147" s="1" t="n">
        <v>43930</v>
      </c>
      <c r="C147" s="1" t="n">
        <v>45349</v>
      </c>
      <c r="D147" t="inlineStr">
        <is>
          <t>JÄMTLANDS LÄN</t>
        </is>
      </c>
      <c r="E147" t="inlineStr">
        <is>
          <t>KROKOM</t>
        </is>
      </c>
      <c r="G147" t="n">
        <v>5.3</v>
      </c>
      <c r="H147" t="n">
        <v>0</v>
      </c>
      <c r="I147" t="n">
        <v>0</v>
      </c>
      <c r="J147" t="n">
        <v>0</v>
      </c>
      <c r="K147" t="n">
        <v>0</v>
      </c>
      <c r="L147" t="n">
        <v>1</v>
      </c>
      <c r="M147" t="n">
        <v>0</v>
      </c>
      <c r="N147" t="n">
        <v>0</v>
      </c>
      <c r="O147" t="n">
        <v>1</v>
      </c>
      <c r="P147" t="n">
        <v>1</v>
      </c>
      <c r="Q147" t="n">
        <v>1</v>
      </c>
      <c r="R147" s="2" t="inlineStr">
        <is>
          <t>Bredgentiana</t>
        </is>
      </c>
      <c r="S147">
        <f>HYPERLINK("https://klasma.github.io/Logging_2309/artfynd/A 18776-2020 artfynd.xlsx", "A 18776-2020")</f>
        <v/>
      </c>
      <c r="T147">
        <f>HYPERLINK("https://klasma.github.io/Logging_2309/kartor/A 18776-2020 karta.png", "A 18776-2020")</f>
        <v/>
      </c>
      <c r="V147">
        <f>HYPERLINK("https://klasma.github.io/Logging_2309/klagomål/A 18776-2020 FSC-klagomål.docx", "A 18776-2020")</f>
        <v/>
      </c>
      <c r="W147">
        <f>HYPERLINK("https://klasma.github.io/Logging_2309/klagomålsmail/A 18776-2020 FSC-klagomål mail.docx", "A 18776-2020")</f>
        <v/>
      </c>
      <c r="X147">
        <f>HYPERLINK("https://klasma.github.io/Logging_2309/tillsyn/A 18776-2020 tillsynsbegäran.docx", "A 18776-2020")</f>
        <v/>
      </c>
      <c r="Y147">
        <f>HYPERLINK("https://klasma.github.io/Logging_2309/tillsynsmail/A 18776-2020 tillsynsbegäran mail.docx", "A 18776-2020")</f>
        <v/>
      </c>
    </row>
    <row r="148" ht="15" customHeight="1">
      <c r="A148" t="inlineStr">
        <is>
          <t>A 21547-2020</t>
        </is>
      </c>
      <c r="B148" s="1" t="n">
        <v>43956</v>
      </c>
      <c r="C148" s="1" t="n">
        <v>45349</v>
      </c>
      <c r="D148" t="inlineStr">
        <is>
          <t>JÄMTLANDS LÄN</t>
        </is>
      </c>
      <c r="E148" t="inlineStr">
        <is>
          <t>KROKOM</t>
        </is>
      </c>
      <c r="G148" t="n">
        <v>18.4</v>
      </c>
      <c r="H148" t="n">
        <v>0</v>
      </c>
      <c r="I148" t="n">
        <v>0</v>
      </c>
      <c r="J148" t="n">
        <v>1</v>
      </c>
      <c r="K148" t="n">
        <v>0</v>
      </c>
      <c r="L148" t="n">
        <v>0</v>
      </c>
      <c r="M148" t="n">
        <v>0</v>
      </c>
      <c r="N148" t="n">
        <v>0</v>
      </c>
      <c r="O148" t="n">
        <v>1</v>
      </c>
      <c r="P148" t="n">
        <v>0</v>
      </c>
      <c r="Q148" t="n">
        <v>1</v>
      </c>
      <c r="R148" s="2" t="inlineStr">
        <is>
          <t>Gränsticka</t>
        </is>
      </c>
      <c r="S148">
        <f>HYPERLINK("https://klasma.github.io/Logging_2309/artfynd/A 21547-2020 artfynd.xlsx", "A 21547-2020")</f>
        <v/>
      </c>
      <c r="T148">
        <f>HYPERLINK("https://klasma.github.io/Logging_2309/kartor/A 21547-2020 karta.png", "A 21547-2020")</f>
        <v/>
      </c>
      <c r="V148">
        <f>HYPERLINK("https://klasma.github.io/Logging_2309/klagomål/A 21547-2020 FSC-klagomål.docx", "A 21547-2020")</f>
        <v/>
      </c>
      <c r="W148">
        <f>HYPERLINK("https://klasma.github.io/Logging_2309/klagomålsmail/A 21547-2020 FSC-klagomål mail.docx", "A 21547-2020")</f>
        <v/>
      </c>
      <c r="X148">
        <f>HYPERLINK("https://klasma.github.io/Logging_2309/tillsyn/A 21547-2020 tillsynsbegäran.docx", "A 21547-2020")</f>
        <v/>
      </c>
      <c r="Y148">
        <f>HYPERLINK("https://klasma.github.io/Logging_2309/tillsynsmail/A 21547-2020 tillsynsbegäran mail.docx", "A 21547-2020")</f>
        <v/>
      </c>
    </row>
    <row r="149" ht="15" customHeight="1">
      <c r="A149" t="inlineStr">
        <is>
          <t>A 39569-2020</t>
        </is>
      </c>
      <c r="B149" s="1" t="n">
        <v>44064</v>
      </c>
      <c r="C149" s="1" t="n">
        <v>45349</v>
      </c>
      <c r="D149" t="inlineStr">
        <is>
          <t>JÄMTLANDS LÄN</t>
        </is>
      </c>
      <c r="E149" t="inlineStr">
        <is>
          <t>KROKOM</t>
        </is>
      </c>
      <c r="G149" t="n">
        <v>1.4</v>
      </c>
      <c r="H149" t="n">
        <v>0</v>
      </c>
      <c r="I149" t="n">
        <v>0</v>
      </c>
      <c r="J149" t="n">
        <v>1</v>
      </c>
      <c r="K149" t="n">
        <v>0</v>
      </c>
      <c r="L149" t="n">
        <v>0</v>
      </c>
      <c r="M149" t="n">
        <v>0</v>
      </c>
      <c r="N149" t="n">
        <v>0</v>
      </c>
      <c r="O149" t="n">
        <v>1</v>
      </c>
      <c r="P149" t="n">
        <v>0</v>
      </c>
      <c r="Q149" t="n">
        <v>1</v>
      </c>
      <c r="R149" s="2" t="inlineStr">
        <is>
          <t>Gränsticka</t>
        </is>
      </c>
      <c r="S149">
        <f>HYPERLINK("https://klasma.github.io/Logging_2309/artfynd/A 39569-2020 artfynd.xlsx", "A 39569-2020")</f>
        <v/>
      </c>
      <c r="T149">
        <f>HYPERLINK("https://klasma.github.io/Logging_2309/kartor/A 39569-2020 karta.png", "A 39569-2020")</f>
        <v/>
      </c>
      <c r="V149">
        <f>HYPERLINK("https://klasma.github.io/Logging_2309/klagomål/A 39569-2020 FSC-klagomål.docx", "A 39569-2020")</f>
        <v/>
      </c>
      <c r="W149">
        <f>HYPERLINK("https://klasma.github.io/Logging_2309/klagomålsmail/A 39569-2020 FSC-klagomål mail.docx", "A 39569-2020")</f>
        <v/>
      </c>
      <c r="X149">
        <f>HYPERLINK("https://klasma.github.io/Logging_2309/tillsyn/A 39569-2020 tillsynsbegäran.docx", "A 39569-2020")</f>
        <v/>
      </c>
      <c r="Y149">
        <f>HYPERLINK("https://klasma.github.io/Logging_2309/tillsynsmail/A 39569-2020 tillsynsbegäran mail.docx", "A 39569-2020")</f>
        <v/>
      </c>
    </row>
    <row r="150" ht="15" customHeight="1">
      <c r="A150" t="inlineStr">
        <is>
          <t>A 42493-2020</t>
        </is>
      </c>
      <c r="B150" s="1" t="n">
        <v>44075</v>
      </c>
      <c r="C150" s="1" t="n">
        <v>45349</v>
      </c>
      <c r="D150" t="inlineStr">
        <is>
          <t>JÄMTLANDS LÄN</t>
        </is>
      </c>
      <c r="E150" t="inlineStr">
        <is>
          <t>KROKOM</t>
        </is>
      </c>
      <c r="G150" t="n">
        <v>20.6</v>
      </c>
      <c r="H150" t="n">
        <v>1</v>
      </c>
      <c r="I150" t="n">
        <v>0</v>
      </c>
      <c r="J150" t="n">
        <v>1</v>
      </c>
      <c r="K150" t="n">
        <v>0</v>
      </c>
      <c r="L150" t="n">
        <v>0</v>
      </c>
      <c r="M150" t="n">
        <v>0</v>
      </c>
      <c r="N150" t="n">
        <v>0</v>
      </c>
      <c r="O150" t="n">
        <v>1</v>
      </c>
      <c r="P150" t="n">
        <v>0</v>
      </c>
      <c r="Q150" t="n">
        <v>1</v>
      </c>
      <c r="R150" s="2" t="inlineStr">
        <is>
          <t>Tretåig hackspett</t>
        </is>
      </c>
      <c r="S150">
        <f>HYPERLINK("https://klasma.github.io/Logging_2309/artfynd/A 42493-2020 artfynd.xlsx", "A 42493-2020")</f>
        <v/>
      </c>
      <c r="T150">
        <f>HYPERLINK("https://klasma.github.io/Logging_2309/kartor/A 42493-2020 karta.png", "A 42493-2020")</f>
        <v/>
      </c>
      <c r="V150">
        <f>HYPERLINK("https://klasma.github.io/Logging_2309/klagomål/A 42493-2020 FSC-klagomål.docx", "A 42493-2020")</f>
        <v/>
      </c>
      <c r="W150">
        <f>HYPERLINK("https://klasma.github.io/Logging_2309/klagomålsmail/A 42493-2020 FSC-klagomål mail.docx", "A 42493-2020")</f>
        <v/>
      </c>
      <c r="X150">
        <f>HYPERLINK("https://klasma.github.io/Logging_2309/tillsyn/A 42493-2020 tillsynsbegäran.docx", "A 42493-2020")</f>
        <v/>
      </c>
      <c r="Y150">
        <f>HYPERLINK("https://klasma.github.io/Logging_2309/tillsynsmail/A 42493-2020 tillsynsbegäran mail.docx", "A 42493-2020")</f>
        <v/>
      </c>
      <c r="Z150">
        <f>HYPERLINK("https://klasma.github.io/Logging_2309/fåglar/A 42493-2020 prioriterade fågelarter.docx", "A 42493-2020")</f>
        <v/>
      </c>
    </row>
    <row r="151" ht="15" customHeight="1">
      <c r="A151" t="inlineStr">
        <is>
          <t>A 45626-2020</t>
        </is>
      </c>
      <c r="B151" s="1" t="n">
        <v>44090</v>
      </c>
      <c r="C151" s="1" t="n">
        <v>45349</v>
      </c>
      <c r="D151" t="inlineStr">
        <is>
          <t>JÄMTLANDS LÄN</t>
        </is>
      </c>
      <c r="E151" t="inlineStr">
        <is>
          <t>KROKOM</t>
        </is>
      </c>
      <c r="G151" t="n">
        <v>1</v>
      </c>
      <c r="H151" t="n">
        <v>0</v>
      </c>
      <c r="I151" t="n">
        <v>0</v>
      </c>
      <c r="J151" t="n">
        <v>1</v>
      </c>
      <c r="K151" t="n">
        <v>0</v>
      </c>
      <c r="L151" t="n">
        <v>0</v>
      </c>
      <c r="M151" t="n">
        <v>0</v>
      </c>
      <c r="N151" t="n">
        <v>0</v>
      </c>
      <c r="O151" t="n">
        <v>1</v>
      </c>
      <c r="P151" t="n">
        <v>0</v>
      </c>
      <c r="Q151" t="n">
        <v>1</v>
      </c>
      <c r="R151" s="2" t="inlineStr">
        <is>
          <t>Dofttaggsvamp</t>
        </is>
      </c>
      <c r="S151">
        <f>HYPERLINK("https://klasma.github.io/Logging_2309/artfynd/A 45626-2020 artfynd.xlsx", "A 45626-2020")</f>
        <v/>
      </c>
      <c r="T151">
        <f>HYPERLINK("https://klasma.github.io/Logging_2309/kartor/A 45626-2020 karta.png", "A 45626-2020")</f>
        <v/>
      </c>
      <c r="V151">
        <f>HYPERLINK("https://klasma.github.io/Logging_2309/klagomål/A 45626-2020 FSC-klagomål.docx", "A 45626-2020")</f>
        <v/>
      </c>
      <c r="W151">
        <f>HYPERLINK("https://klasma.github.io/Logging_2309/klagomålsmail/A 45626-2020 FSC-klagomål mail.docx", "A 45626-2020")</f>
        <v/>
      </c>
      <c r="X151">
        <f>HYPERLINK("https://klasma.github.io/Logging_2309/tillsyn/A 45626-2020 tillsynsbegäran.docx", "A 45626-2020")</f>
        <v/>
      </c>
      <c r="Y151">
        <f>HYPERLINK("https://klasma.github.io/Logging_2309/tillsynsmail/A 45626-2020 tillsynsbegäran mail.docx", "A 45626-2020")</f>
        <v/>
      </c>
    </row>
    <row r="152" ht="15" customHeight="1">
      <c r="A152" t="inlineStr">
        <is>
          <t>A 47459-2020</t>
        </is>
      </c>
      <c r="B152" s="1" t="n">
        <v>44097</v>
      </c>
      <c r="C152" s="1" t="n">
        <v>45349</v>
      </c>
      <c r="D152" t="inlineStr">
        <is>
          <t>JÄMTLANDS LÄN</t>
        </is>
      </c>
      <c r="E152" t="inlineStr">
        <is>
          <t>KROKOM</t>
        </is>
      </c>
      <c r="F152" t="inlineStr">
        <is>
          <t>SCA</t>
        </is>
      </c>
      <c r="G152" t="n">
        <v>1.7</v>
      </c>
      <c r="H152" t="n">
        <v>0</v>
      </c>
      <c r="I152" t="n">
        <v>0</v>
      </c>
      <c r="J152" t="n">
        <v>1</v>
      </c>
      <c r="K152" t="n">
        <v>0</v>
      </c>
      <c r="L152" t="n">
        <v>0</v>
      </c>
      <c r="M152" t="n">
        <v>0</v>
      </c>
      <c r="N152" t="n">
        <v>0</v>
      </c>
      <c r="O152" t="n">
        <v>1</v>
      </c>
      <c r="P152" t="n">
        <v>0</v>
      </c>
      <c r="Q152" t="n">
        <v>1</v>
      </c>
      <c r="R152" s="2" t="inlineStr">
        <is>
          <t>Skrovellav</t>
        </is>
      </c>
      <c r="S152">
        <f>HYPERLINK("https://klasma.github.io/Logging_2309/artfynd/A 47459-2020 artfynd.xlsx", "A 47459-2020")</f>
        <v/>
      </c>
      <c r="T152">
        <f>HYPERLINK("https://klasma.github.io/Logging_2309/kartor/A 47459-2020 karta.png", "A 47459-2020")</f>
        <v/>
      </c>
      <c r="V152">
        <f>HYPERLINK("https://klasma.github.io/Logging_2309/klagomål/A 47459-2020 FSC-klagomål.docx", "A 47459-2020")</f>
        <v/>
      </c>
      <c r="W152">
        <f>HYPERLINK("https://klasma.github.io/Logging_2309/klagomålsmail/A 47459-2020 FSC-klagomål mail.docx", "A 47459-2020")</f>
        <v/>
      </c>
      <c r="X152">
        <f>HYPERLINK("https://klasma.github.io/Logging_2309/tillsyn/A 47459-2020 tillsynsbegäran.docx", "A 47459-2020")</f>
        <v/>
      </c>
      <c r="Y152">
        <f>HYPERLINK("https://klasma.github.io/Logging_2309/tillsynsmail/A 47459-2020 tillsynsbegäran mail.docx", "A 47459-2020")</f>
        <v/>
      </c>
    </row>
    <row r="153" ht="15" customHeight="1">
      <c r="A153" t="inlineStr">
        <is>
          <t>A 48863-2020</t>
        </is>
      </c>
      <c r="B153" s="1" t="n">
        <v>44099</v>
      </c>
      <c r="C153" s="1" t="n">
        <v>45349</v>
      </c>
      <c r="D153" t="inlineStr">
        <is>
          <t>JÄMTLANDS LÄN</t>
        </is>
      </c>
      <c r="E153" t="inlineStr">
        <is>
          <t>KROKOM</t>
        </is>
      </c>
      <c r="F153" t="inlineStr">
        <is>
          <t>SCA</t>
        </is>
      </c>
      <c r="G153" t="n">
        <v>7.2</v>
      </c>
      <c r="H153" t="n">
        <v>0</v>
      </c>
      <c r="I153" t="n">
        <v>0</v>
      </c>
      <c r="J153" t="n">
        <v>0</v>
      </c>
      <c r="K153" t="n">
        <v>1</v>
      </c>
      <c r="L153" t="n">
        <v>0</v>
      </c>
      <c r="M153" t="n">
        <v>0</v>
      </c>
      <c r="N153" t="n">
        <v>0</v>
      </c>
      <c r="O153" t="n">
        <v>1</v>
      </c>
      <c r="P153" t="n">
        <v>1</v>
      </c>
      <c r="Q153" t="n">
        <v>1</v>
      </c>
      <c r="R153" s="2" t="inlineStr">
        <is>
          <t>Fläckporing</t>
        </is>
      </c>
      <c r="S153">
        <f>HYPERLINK("https://klasma.github.io/Logging_2309/artfynd/A 48863-2020 artfynd.xlsx", "A 48863-2020")</f>
        <v/>
      </c>
      <c r="T153">
        <f>HYPERLINK("https://klasma.github.io/Logging_2309/kartor/A 48863-2020 karta.png", "A 48863-2020")</f>
        <v/>
      </c>
      <c r="V153">
        <f>HYPERLINK("https://klasma.github.io/Logging_2309/klagomål/A 48863-2020 FSC-klagomål.docx", "A 48863-2020")</f>
        <v/>
      </c>
      <c r="W153">
        <f>HYPERLINK("https://klasma.github.io/Logging_2309/klagomålsmail/A 48863-2020 FSC-klagomål mail.docx", "A 48863-2020")</f>
        <v/>
      </c>
      <c r="X153">
        <f>HYPERLINK("https://klasma.github.io/Logging_2309/tillsyn/A 48863-2020 tillsynsbegäran.docx", "A 48863-2020")</f>
        <v/>
      </c>
      <c r="Y153">
        <f>HYPERLINK("https://klasma.github.io/Logging_2309/tillsynsmail/A 48863-2020 tillsynsbegäran mail.docx", "A 48863-2020")</f>
        <v/>
      </c>
    </row>
    <row r="154" ht="15" customHeight="1">
      <c r="A154" t="inlineStr">
        <is>
          <t>A 56202-2020</t>
        </is>
      </c>
      <c r="B154" s="1" t="n">
        <v>44133</v>
      </c>
      <c r="C154" s="1" t="n">
        <v>45349</v>
      </c>
      <c r="D154" t="inlineStr">
        <is>
          <t>JÄMTLANDS LÄN</t>
        </is>
      </c>
      <c r="E154" t="inlineStr">
        <is>
          <t>KROKOM</t>
        </is>
      </c>
      <c r="G154" t="n">
        <v>0.2</v>
      </c>
      <c r="H154" t="n">
        <v>1</v>
      </c>
      <c r="I154" t="n">
        <v>0</v>
      </c>
      <c r="J154" t="n">
        <v>1</v>
      </c>
      <c r="K154" t="n">
        <v>0</v>
      </c>
      <c r="L154" t="n">
        <v>0</v>
      </c>
      <c r="M154" t="n">
        <v>0</v>
      </c>
      <c r="N154" t="n">
        <v>0</v>
      </c>
      <c r="O154" t="n">
        <v>1</v>
      </c>
      <c r="P154" t="n">
        <v>0</v>
      </c>
      <c r="Q154" t="n">
        <v>1</v>
      </c>
      <c r="R154" s="2" t="inlineStr">
        <is>
          <t>Tretåig hackspett</t>
        </is>
      </c>
      <c r="S154">
        <f>HYPERLINK("https://klasma.github.io/Logging_2309/artfynd/A 56202-2020 artfynd.xlsx", "A 56202-2020")</f>
        <v/>
      </c>
      <c r="T154">
        <f>HYPERLINK("https://klasma.github.io/Logging_2309/kartor/A 56202-2020 karta.png", "A 56202-2020")</f>
        <v/>
      </c>
      <c r="V154">
        <f>HYPERLINK("https://klasma.github.io/Logging_2309/klagomål/A 56202-2020 FSC-klagomål.docx", "A 56202-2020")</f>
        <v/>
      </c>
      <c r="W154">
        <f>HYPERLINK("https://klasma.github.io/Logging_2309/klagomålsmail/A 56202-2020 FSC-klagomål mail.docx", "A 56202-2020")</f>
        <v/>
      </c>
      <c r="X154">
        <f>HYPERLINK("https://klasma.github.io/Logging_2309/tillsyn/A 56202-2020 tillsynsbegäran.docx", "A 56202-2020")</f>
        <v/>
      </c>
      <c r="Y154">
        <f>HYPERLINK("https://klasma.github.io/Logging_2309/tillsynsmail/A 56202-2020 tillsynsbegäran mail.docx", "A 56202-2020")</f>
        <v/>
      </c>
      <c r="Z154">
        <f>HYPERLINK("https://klasma.github.io/Logging_2309/fåglar/A 56202-2020 prioriterade fågelarter.docx", "A 56202-2020")</f>
        <v/>
      </c>
    </row>
    <row r="155" ht="15" customHeight="1">
      <c r="A155" t="inlineStr">
        <is>
          <t>A 61054-2020</t>
        </is>
      </c>
      <c r="B155" s="1" t="n">
        <v>44154</v>
      </c>
      <c r="C155" s="1" t="n">
        <v>45349</v>
      </c>
      <c r="D155" t="inlineStr">
        <is>
          <t>JÄMTLANDS LÄN</t>
        </is>
      </c>
      <c r="E155" t="inlineStr">
        <is>
          <t>KROKOM</t>
        </is>
      </c>
      <c r="F155" t="inlineStr">
        <is>
          <t>Övriga Aktiebolag</t>
        </is>
      </c>
      <c r="G155" t="n">
        <v>1.2</v>
      </c>
      <c r="H155" t="n">
        <v>1</v>
      </c>
      <c r="I155" t="n">
        <v>1</v>
      </c>
      <c r="J155" t="n">
        <v>0</v>
      </c>
      <c r="K155" t="n">
        <v>0</v>
      </c>
      <c r="L155" t="n">
        <v>0</v>
      </c>
      <c r="M155" t="n">
        <v>0</v>
      </c>
      <c r="N155" t="n">
        <v>0</v>
      </c>
      <c r="O155" t="n">
        <v>0</v>
      </c>
      <c r="P155" t="n">
        <v>0</v>
      </c>
      <c r="Q155" t="n">
        <v>1</v>
      </c>
      <c r="R155" s="2" t="inlineStr">
        <is>
          <t>Korallrot</t>
        </is>
      </c>
      <c r="S155">
        <f>HYPERLINK("https://klasma.github.io/Logging_2309/artfynd/A 61054-2020 artfynd.xlsx", "A 61054-2020")</f>
        <v/>
      </c>
      <c r="T155">
        <f>HYPERLINK("https://klasma.github.io/Logging_2309/kartor/A 61054-2020 karta.png", "A 61054-2020")</f>
        <v/>
      </c>
      <c r="V155">
        <f>HYPERLINK("https://klasma.github.io/Logging_2309/klagomål/A 61054-2020 FSC-klagomål.docx", "A 61054-2020")</f>
        <v/>
      </c>
      <c r="W155">
        <f>HYPERLINK("https://klasma.github.io/Logging_2309/klagomålsmail/A 61054-2020 FSC-klagomål mail.docx", "A 61054-2020")</f>
        <v/>
      </c>
      <c r="X155">
        <f>HYPERLINK("https://klasma.github.io/Logging_2309/tillsyn/A 61054-2020 tillsynsbegäran.docx", "A 61054-2020")</f>
        <v/>
      </c>
      <c r="Y155">
        <f>HYPERLINK("https://klasma.github.io/Logging_2309/tillsynsmail/A 61054-2020 tillsynsbegäran mail.docx", "A 61054-2020")</f>
        <v/>
      </c>
    </row>
    <row r="156" ht="15" customHeight="1">
      <c r="A156" t="inlineStr">
        <is>
          <t>A 1112-2021</t>
        </is>
      </c>
      <c r="B156" s="1" t="n">
        <v>44207</v>
      </c>
      <c r="C156" s="1" t="n">
        <v>45349</v>
      </c>
      <c r="D156" t="inlineStr">
        <is>
          <t>JÄMTLANDS LÄN</t>
        </is>
      </c>
      <c r="E156" t="inlineStr">
        <is>
          <t>KROKOM</t>
        </is>
      </c>
      <c r="F156" t="inlineStr">
        <is>
          <t>Övriga Aktiebolag</t>
        </is>
      </c>
      <c r="G156" t="n">
        <v>90.7</v>
      </c>
      <c r="H156" t="n">
        <v>0</v>
      </c>
      <c r="I156" t="n">
        <v>1</v>
      </c>
      <c r="J156" t="n">
        <v>0</v>
      </c>
      <c r="K156" t="n">
        <v>0</v>
      </c>
      <c r="L156" t="n">
        <v>0</v>
      </c>
      <c r="M156" t="n">
        <v>0</v>
      </c>
      <c r="N156" t="n">
        <v>0</v>
      </c>
      <c r="O156" t="n">
        <v>0</v>
      </c>
      <c r="P156" t="n">
        <v>0</v>
      </c>
      <c r="Q156" t="n">
        <v>1</v>
      </c>
      <c r="R156" s="2" t="inlineStr">
        <is>
          <t>Kambräken</t>
        </is>
      </c>
      <c r="S156">
        <f>HYPERLINK("https://klasma.github.io/Logging_2309/artfynd/A 1112-2021 artfynd.xlsx", "A 1112-2021")</f>
        <v/>
      </c>
      <c r="T156">
        <f>HYPERLINK("https://klasma.github.io/Logging_2309/kartor/A 1112-2021 karta.png", "A 1112-2021")</f>
        <v/>
      </c>
      <c r="V156">
        <f>HYPERLINK("https://klasma.github.io/Logging_2309/klagomål/A 1112-2021 FSC-klagomål.docx", "A 1112-2021")</f>
        <v/>
      </c>
      <c r="W156">
        <f>HYPERLINK("https://klasma.github.io/Logging_2309/klagomålsmail/A 1112-2021 FSC-klagomål mail.docx", "A 1112-2021")</f>
        <v/>
      </c>
      <c r="X156">
        <f>HYPERLINK("https://klasma.github.io/Logging_2309/tillsyn/A 1112-2021 tillsynsbegäran.docx", "A 1112-2021")</f>
        <v/>
      </c>
      <c r="Y156">
        <f>HYPERLINK("https://klasma.github.io/Logging_2309/tillsynsmail/A 1112-2021 tillsynsbegäran mail.docx", "A 1112-2021")</f>
        <v/>
      </c>
    </row>
    <row r="157" ht="15" customHeight="1">
      <c r="A157" t="inlineStr">
        <is>
          <t>A 5527-2021</t>
        </is>
      </c>
      <c r="B157" s="1" t="n">
        <v>44230</v>
      </c>
      <c r="C157" s="1" t="n">
        <v>45349</v>
      </c>
      <c r="D157" t="inlineStr">
        <is>
          <t>JÄMTLANDS LÄN</t>
        </is>
      </c>
      <c r="E157" t="inlineStr">
        <is>
          <t>KROKOM</t>
        </is>
      </c>
      <c r="G157" t="n">
        <v>17.8</v>
      </c>
      <c r="H157" t="n">
        <v>1</v>
      </c>
      <c r="I157" t="n">
        <v>1</v>
      </c>
      <c r="J157" t="n">
        <v>0</v>
      </c>
      <c r="K157" t="n">
        <v>0</v>
      </c>
      <c r="L157" t="n">
        <v>0</v>
      </c>
      <c r="M157" t="n">
        <v>0</v>
      </c>
      <c r="N157" t="n">
        <v>0</v>
      </c>
      <c r="O157" t="n">
        <v>0</v>
      </c>
      <c r="P157" t="n">
        <v>0</v>
      </c>
      <c r="Q157" t="n">
        <v>1</v>
      </c>
      <c r="R157" s="2" t="inlineStr">
        <is>
          <t>Guckusko</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row>
    <row r="158" ht="15" customHeight="1">
      <c r="A158" t="inlineStr">
        <is>
          <t>A 11780-2021</t>
        </is>
      </c>
      <c r="B158" s="1" t="n">
        <v>44265</v>
      </c>
      <c r="C158" s="1" t="n">
        <v>45349</v>
      </c>
      <c r="D158" t="inlineStr">
        <is>
          <t>JÄMTLANDS LÄN</t>
        </is>
      </c>
      <c r="E158" t="inlineStr">
        <is>
          <t>KROKOM</t>
        </is>
      </c>
      <c r="G158" t="n">
        <v>1.3</v>
      </c>
      <c r="H158" t="n">
        <v>1</v>
      </c>
      <c r="I158" t="n">
        <v>0</v>
      </c>
      <c r="J158" t="n">
        <v>1</v>
      </c>
      <c r="K158" t="n">
        <v>0</v>
      </c>
      <c r="L158" t="n">
        <v>0</v>
      </c>
      <c r="M158" t="n">
        <v>0</v>
      </c>
      <c r="N158" t="n">
        <v>0</v>
      </c>
      <c r="O158" t="n">
        <v>1</v>
      </c>
      <c r="P158" t="n">
        <v>0</v>
      </c>
      <c r="Q158" t="n">
        <v>1</v>
      </c>
      <c r="R158" s="2" t="inlineStr">
        <is>
          <t>Tretåig hackspett</t>
        </is>
      </c>
      <c r="S158">
        <f>HYPERLINK("https://klasma.github.io/Logging_2309/artfynd/A 11780-2021 artfynd.xlsx", "A 11780-2021")</f>
        <v/>
      </c>
      <c r="T158">
        <f>HYPERLINK("https://klasma.github.io/Logging_2309/kartor/A 11780-2021 karta.png", "A 11780-2021")</f>
        <v/>
      </c>
      <c r="V158">
        <f>HYPERLINK("https://klasma.github.io/Logging_2309/klagomål/A 11780-2021 FSC-klagomål.docx", "A 11780-2021")</f>
        <v/>
      </c>
      <c r="W158">
        <f>HYPERLINK("https://klasma.github.io/Logging_2309/klagomålsmail/A 11780-2021 FSC-klagomål mail.docx", "A 11780-2021")</f>
        <v/>
      </c>
      <c r="X158">
        <f>HYPERLINK("https://klasma.github.io/Logging_2309/tillsyn/A 11780-2021 tillsynsbegäran.docx", "A 11780-2021")</f>
        <v/>
      </c>
      <c r="Y158">
        <f>HYPERLINK("https://klasma.github.io/Logging_2309/tillsynsmail/A 11780-2021 tillsynsbegäran mail.docx", "A 11780-2021")</f>
        <v/>
      </c>
      <c r="Z158">
        <f>HYPERLINK("https://klasma.github.io/Logging_2309/fåglar/A 11780-2021 prioriterade fågelarter.docx", "A 11780-2021")</f>
        <v/>
      </c>
    </row>
    <row r="159" ht="15" customHeight="1">
      <c r="A159" t="inlineStr">
        <is>
          <t>A 19282-2021</t>
        </is>
      </c>
      <c r="B159" s="1" t="n">
        <v>44308</v>
      </c>
      <c r="C159" s="1" t="n">
        <v>45349</v>
      </c>
      <c r="D159" t="inlineStr">
        <is>
          <t>JÄMTLANDS LÄN</t>
        </is>
      </c>
      <c r="E159" t="inlineStr">
        <is>
          <t>KROKOM</t>
        </is>
      </c>
      <c r="G159" t="n">
        <v>2</v>
      </c>
      <c r="H159" t="n">
        <v>0</v>
      </c>
      <c r="I159" t="n">
        <v>0</v>
      </c>
      <c r="J159" t="n">
        <v>1</v>
      </c>
      <c r="K159" t="n">
        <v>0</v>
      </c>
      <c r="L159" t="n">
        <v>0</v>
      </c>
      <c r="M159" t="n">
        <v>0</v>
      </c>
      <c r="N159" t="n">
        <v>0</v>
      </c>
      <c r="O159" t="n">
        <v>1</v>
      </c>
      <c r="P159" t="n">
        <v>0</v>
      </c>
      <c r="Q159" t="n">
        <v>1</v>
      </c>
      <c r="R159" s="2" t="inlineStr">
        <is>
          <t>Garnlav</t>
        </is>
      </c>
      <c r="S159">
        <f>HYPERLINK("https://klasma.github.io/Logging_2309/artfynd/A 19282-2021 artfynd.xlsx", "A 19282-2021")</f>
        <v/>
      </c>
      <c r="T159">
        <f>HYPERLINK("https://klasma.github.io/Logging_2309/kartor/A 19282-2021 karta.png", "A 19282-2021")</f>
        <v/>
      </c>
      <c r="V159">
        <f>HYPERLINK("https://klasma.github.io/Logging_2309/klagomål/A 19282-2021 FSC-klagomål.docx", "A 19282-2021")</f>
        <v/>
      </c>
      <c r="W159">
        <f>HYPERLINK("https://klasma.github.io/Logging_2309/klagomålsmail/A 19282-2021 FSC-klagomål mail.docx", "A 19282-2021")</f>
        <v/>
      </c>
      <c r="X159">
        <f>HYPERLINK("https://klasma.github.io/Logging_2309/tillsyn/A 19282-2021 tillsynsbegäran.docx", "A 19282-2021")</f>
        <v/>
      </c>
      <c r="Y159">
        <f>HYPERLINK("https://klasma.github.io/Logging_2309/tillsynsmail/A 19282-2021 tillsynsbegäran mail.docx", "A 19282-2021")</f>
        <v/>
      </c>
    </row>
    <row r="160" ht="15" customHeight="1">
      <c r="A160" t="inlineStr">
        <is>
          <t>A 46787-2021</t>
        </is>
      </c>
      <c r="B160" s="1" t="n">
        <v>44445</v>
      </c>
      <c r="C160" s="1" t="n">
        <v>45349</v>
      </c>
      <c r="D160" t="inlineStr">
        <is>
          <t>JÄMTLANDS LÄN</t>
        </is>
      </c>
      <c r="E160" t="inlineStr">
        <is>
          <t>KROKOM</t>
        </is>
      </c>
      <c r="F160" t="inlineStr">
        <is>
          <t>SCA</t>
        </is>
      </c>
      <c r="G160" t="n">
        <v>4.6</v>
      </c>
      <c r="H160" t="n">
        <v>0</v>
      </c>
      <c r="I160" t="n">
        <v>0</v>
      </c>
      <c r="J160" t="n">
        <v>1</v>
      </c>
      <c r="K160" t="n">
        <v>0</v>
      </c>
      <c r="L160" t="n">
        <v>0</v>
      </c>
      <c r="M160" t="n">
        <v>0</v>
      </c>
      <c r="N160" t="n">
        <v>0</v>
      </c>
      <c r="O160" t="n">
        <v>1</v>
      </c>
      <c r="P160" t="n">
        <v>0</v>
      </c>
      <c r="Q160" t="n">
        <v>1</v>
      </c>
      <c r="R160" s="2" t="inlineStr">
        <is>
          <t>Gammelgransskål</t>
        </is>
      </c>
      <c r="S160">
        <f>HYPERLINK("https://klasma.github.io/Logging_2309/artfynd/A 46787-2021 artfynd.xlsx", "A 46787-2021")</f>
        <v/>
      </c>
      <c r="T160">
        <f>HYPERLINK("https://klasma.github.io/Logging_2309/kartor/A 46787-2021 karta.png", "A 46787-2021")</f>
        <v/>
      </c>
      <c r="V160">
        <f>HYPERLINK("https://klasma.github.io/Logging_2309/klagomål/A 46787-2021 FSC-klagomål.docx", "A 46787-2021")</f>
        <v/>
      </c>
      <c r="W160">
        <f>HYPERLINK("https://klasma.github.io/Logging_2309/klagomålsmail/A 46787-2021 FSC-klagomål mail.docx", "A 46787-2021")</f>
        <v/>
      </c>
      <c r="X160">
        <f>HYPERLINK("https://klasma.github.io/Logging_2309/tillsyn/A 46787-2021 tillsynsbegäran.docx", "A 46787-2021")</f>
        <v/>
      </c>
      <c r="Y160">
        <f>HYPERLINK("https://klasma.github.io/Logging_2309/tillsynsmail/A 46787-2021 tillsynsbegäran mail.docx", "A 46787-2021")</f>
        <v/>
      </c>
    </row>
    <row r="161" ht="15" customHeight="1">
      <c r="A161" t="inlineStr">
        <is>
          <t>A 46785-2021</t>
        </is>
      </c>
      <c r="B161" s="1" t="n">
        <v>44445</v>
      </c>
      <c r="C161" s="1" t="n">
        <v>45349</v>
      </c>
      <c r="D161" t="inlineStr">
        <is>
          <t>JÄMTLANDS LÄN</t>
        </is>
      </c>
      <c r="E161" t="inlineStr">
        <is>
          <t>KROKOM</t>
        </is>
      </c>
      <c r="F161" t="inlineStr">
        <is>
          <t>SCA</t>
        </is>
      </c>
      <c r="G161" t="n">
        <v>1.5</v>
      </c>
      <c r="H161" t="n">
        <v>0</v>
      </c>
      <c r="I161" t="n">
        <v>0</v>
      </c>
      <c r="J161" t="n">
        <v>1</v>
      </c>
      <c r="K161" t="n">
        <v>0</v>
      </c>
      <c r="L161" t="n">
        <v>0</v>
      </c>
      <c r="M161" t="n">
        <v>0</v>
      </c>
      <c r="N161" t="n">
        <v>0</v>
      </c>
      <c r="O161" t="n">
        <v>1</v>
      </c>
      <c r="P161" t="n">
        <v>0</v>
      </c>
      <c r="Q161" t="n">
        <v>1</v>
      </c>
      <c r="R161" s="2" t="inlineStr">
        <is>
          <t>Harticka</t>
        </is>
      </c>
      <c r="S161">
        <f>HYPERLINK("https://klasma.github.io/Logging_2309/artfynd/A 46785-2021 artfynd.xlsx", "A 46785-2021")</f>
        <v/>
      </c>
      <c r="T161">
        <f>HYPERLINK("https://klasma.github.io/Logging_2309/kartor/A 46785-2021 karta.png", "A 46785-2021")</f>
        <v/>
      </c>
      <c r="V161">
        <f>HYPERLINK("https://klasma.github.io/Logging_2309/klagomål/A 46785-2021 FSC-klagomål.docx", "A 46785-2021")</f>
        <v/>
      </c>
      <c r="W161">
        <f>HYPERLINK("https://klasma.github.io/Logging_2309/klagomålsmail/A 46785-2021 FSC-klagomål mail.docx", "A 46785-2021")</f>
        <v/>
      </c>
      <c r="X161">
        <f>HYPERLINK("https://klasma.github.io/Logging_2309/tillsyn/A 46785-2021 tillsynsbegäran.docx", "A 46785-2021")</f>
        <v/>
      </c>
      <c r="Y161">
        <f>HYPERLINK("https://klasma.github.io/Logging_2309/tillsynsmail/A 46785-2021 tillsynsbegäran mail.docx", "A 46785-2021")</f>
        <v/>
      </c>
    </row>
    <row r="162" ht="15" customHeight="1">
      <c r="A162" t="inlineStr">
        <is>
          <t>A 54547-2021</t>
        </is>
      </c>
      <c r="B162" s="1" t="n">
        <v>44473</v>
      </c>
      <c r="C162" s="1" t="n">
        <v>45349</v>
      </c>
      <c r="D162" t="inlineStr">
        <is>
          <t>JÄMTLANDS LÄN</t>
        </is>
      </c>
      <c r="E162" t="inlineStr">
        <is>
          <t>KROKOM</t>
        </is>
      </c>
      <c r="G162" t="n">
        <v>8</v>
      </c>
      <c r="H162" t="n">
        <v>0</v>
      </c>
      <c r="I162" t="n">
        <v>0</v>
      </c>
      <c r="J162" t="n">
        <v>1</v>
      </c>
      <c r="K162" t="n">
        <v>0</v>
      </c>
      <c r="L162" t="n">
        <v>0</v>
      </c>
      <c r="M162" t="n">
        <v>0</v>
      </c>
      <c r="N162" t="n">
        <v>0</v>
      </c>
      <c r="O162" t="n">
        <v>1</v>
      </c>
      <c r="P162" t="n">
        <v>0</v>
      </c>
      <c r="Q162" t="n">
        <v>1</v>
      </c>
      <c r="R162" s="2" t="inlineStr">
        <is>
          <t>Luddfingersvamp</t>
        </is>
      </c>
      <c r="S162">
        <f>HYPERLINK("https://klasma.github.io/Logging_2309/artfynd/A 54547-2021 artfynd.xlsx", "A 54547-2021")</f>
        <v/>
      </c>
      <c r="T162">
        <f>HYPERLINK("https://klasma.github.io/Logging_2309/kartor/A 54547-2021 karta.png", "A 54547-2021")</f>
        <v/>
      </c>
      <c r="V162">
        <f>HYPERLINK("https://klasma.github.io/Logging_2309/klagomål/A 54547-2021 FSC-klagomål.docx", "A 54547-2021")</f>
        <v/>
      </c>
      <c r="W162">
        <f>HYPERLINK("https://klasma.github.io/Logging_2309/klagomålsmail/A 54547-2021 FSC-klagomål mail.docx", "A 54547-2021")</f>
        <v/>
      </c>
      <c r="X162">
        <f>HYPERLINK("https://klasma.github.io/Logging_2309/tillsyn/A 54547-2021 tillsynsbegäran.docx", "A 54547-2021")</f>
        <v/>
      </c>
      <c r="Y162">
        <f>HYPERLINK("https://klasma.github.io/Logging_2309/tillsynsmail/A 54547-2021 tillsynsbegäran mail.docx", "A 54547-2021")</f>
        <v/>
      </c>
    </row>
    <row r="163" ht="15" customHeight="1">
      <c r="A163" t="inlineStr">
        <is>
          <t>A 60006-2021</t>
        </is>
      </c>
      <c r="B163" s="1" t="n">
        <v>44494</v>
      </c>
      <c r="C163" s="1" t="n">
        <v>45349</v>
      </c>
      <c r="D163" t="inlineStr">
        <is>
          <t>JÄMTLANDS LÄN</t>
        </is>
      </c>
      <c r="E163" t="inlineStr">
        <is>
          <t>KROKOM</t>
        </is>
      </c>
      <c r="F163" t="inlineStr">
        <is>
          <t>SCA</t>
        </is>
      </c>
      <c r="G163" t="n">
        <v>7.5</v>
      </c>
      <c r="H163" t="n">
        <v>0</v>
      </c>
      <c r="I163" t="n">
        <v>0</v>
      </c>
      <c r="J163" t="n">
        <v>1</v>
      </c>
      <c r="K163" t="n">
        <v>0</v>
      </c>
      <c r="L163" t="n">
        <v>0</v>
      </c>
      <c r="M163" t="n">
        <v>0</v>
      </c>
      <c r="N163" t="n">
        <v>0</v>
      </c>
      <c r="O163" t="n">
        <v>1</v>
      </c>
      <c r="P163" t="n">
        <v>0</v>
      </c>
      <c r="Q163" t="n">
        <v>1</v>
      </c>
      <c r="R163" s="2" t="inlineStr">
        <is>
          <t>Flattoppad klubbsvamp</t>
        </is>
      </c>
      <c r="S163">
        <f>HYPERLINK("https://klasma.github.io/Logging_2309/artfynd/A 60006-2021 artfynd.xlsx", "A 60006-2021")</f>
        <v/>
      </c>
      <c r="T163">
        <f>HYPERLINK("https://klasma.github.io/Logging_2309/kartor/A 60006-2021 karta.png", "A 60006-2021")</f>
        <v/>
      </c>
      <c r="V163">
        <f>HYPERLINK("https://klasma.github.io/Logging_2309/klagomål/A 60006-2021 FSC-klagomål.docx", "A 60006-2021")</f>
        <v/>
      </c>
      <c r="W163">
        <f>HYPERLINK("https://klasma.github.io/Logging_2309/klagomålsmail/A 60006-2021 FSC-klagomål mail.docx", "A 60006-2021")</f>
        <v/>
      </c>
      <c r="X163">
        <f>HYPERLINK("https://klasma.github.io/Logging_2309/tillsyn/A 60006-2021 tillsynsbegäran.docx", "A 60006-2021")</f>
        <v/>
      </c>
      <c r="Y163">
        <f>HYPERLINK("https://klasma.github.io/Logging_2309/tillsynsmail/A 60006-2021 tillsynsbegäran mail.docx", "A 60006-2021")</f>
        <v/>
      </c>
    </row>
    <row r="164" ht="15" customHeight="1">
      <c r="A164" t="inlineStr">
        <is>
          <t>A 64301-2021</t>
        </is>
      </c>
      <c r="B164" s="1" t="n">
        <v>44510</v>
      </c>
      <c r="C164" s="1" t="n">
        <v>45349</v>
      </c>
      <c r="D164" t="inlineStr">
        <is>
          <t>JÄMTLANDS LÄN</t>
        </is>
      </c>
      <c r="E164" t="inlineStr">
        <is>
          <t>KROKOM</t>
        </is>
      </c>
      <c r="G164" t="n">
        <v>3.3</v>
      </c>
      <c r="H164" t="n">
        <v>1</v>
      </c>
      <c r="I164" t="n">
        <v>0</v>
      </c>
      <c r="J164" t="n">
        <v>1</v>
      </c>
      <c r="K164" t="n">
        <v>0</v>
      </c>
      <c r="L164" t="n">
        <v>0</v>
      </c>
      <c r="M164" t="n">
        <v>0</v>
      </c>
      <c r="N164" t="n">
        <v>0</v>
      </c>
      <c r="O164" t="n">
        <v>1</v>
      </c>
      <c r="P164" t="n">
        <v>0</v>
      </c>
      <c r="Q164" t="n">
        <v>1</v>
      </c>
      <c r="R164" s="2" t="inlineStr">
        <is>
          <t>Tretåig hackspett</t>
        </is>
      </c>
      <c r="S164">
        <f>HYPERLINK("https://klasma.github.io/Logging_2309/artfynd/A 64301-2021 artfynd.xlsx", "A 64301-2021")</f>
        <v/>
      </c>
      <c r="T164">
        <f>HYPERLINK("https://klasma.github.io/Logging_2309/kartor/A 64301-2021 karta.png", "A 64301-2021")</f>
        <v/>
      </c>
      <c r="V164">
        <f>HYPERLINK("https://klasma.github.io/Logging_2309/klagomål/A 64301-2021 FSC-klagomål.docx", "A 64301-2021")</f>
        <v/>
      </c>
      <c r="W164">
        <f>HYPERLINK("https://klasma.github.io/Logging_2309/klagomålsmail/A 64301-2021 FSC-klagomål mail.docx", "A 64301-2021")</f>
        <v/>
      </c>
      <c r="X164">
        <f>HYPERLINK("https://klasma.github.io/Logging_2309/tillsyn/A 64301-2021 tillsynsbegäran.docx", "A 64301-2021")</f>
        <v/>
      </c>
      <c r="Y164">
        <f>HYPERLINK("https://klasma.github.io/Logging_2309/tillsynsmail/A 64301-2021 tillsynsbegäran mail.docx", "A 64301-2021")</f>
        <v/>
      </c>
      <c r="Z164">
        <f>HYPERLINK("https://klasma.github.io/Logging_2309/fåglar/A 64301-2021 prioriterade fågelarter.docx", "A 64301-2021")</f>
        <v/>
      </c>
    </row>
    <row r="165" ht="15" customHeight="1">
      <c r="A165" t="inlineStr">
        <is>
          <t>A 64951-2021</t>
        </is>
      </c>
      <c r="B165" s="1" t="n">
        <v>44512</v>
      </c>
      <c r="C165" s="1" t="n">
        <v>45349</v>
      </c>
      <c r="D165" t="inlineStr">
        <is>
          <t>JÄMTLANDS LÄN</t>
        </is>
      </c>
      <c r="E165" t="inlineStr">
        <is>
          <t>KROKOM</t>
        </is>
      </c>
      <c r="F165" t="inlineStr">
        <is>
          <t>SCA</t>
        </is>
      </c>
      <c r="G165" t="n">
        <v>2.5</v>
      </c>
      <c r="H165" t="n">
        <v>0</v>
      </c>
      <c r="I165" t="n">
        <v>1</v>
      </c>
      <c r="J165" t="n">
        <v>0</v>
      </c>
      <c r="K165" t="n">
        <v>0</v>
      </c>
      <c r="L165" t="n">
        <v>0</v>
      </c>
      <c r="M165" t="n">
        <v>0</v>
      </c>
      <c r="N165" t="n">
        <v>0</v>
      </c>
      <c r="O165" t="n">
        <v>0</v>
      </c>
      <c r="P165" t="n">
        <v>0</v>
      </c>
      <c r="Q165" t="n">
        <v>1</v>
      </c>
      <c r="R165" s="2" t="inlineStr">
        <is>
          <t>Kransrams</t>
        </is>
      </c>
      <c r="S165">
        <f>HYPERLINK("https://klasma.github.io/Logging_2309/artfynd/A 64951-2021 artfynd.xlsx", "A 64951-2021")</f>
        <v/>
      </c>
      <c r="T165">
        <f>HYPERLINK("https://klasma.github.io/Logging_2309/kartor/A 64951-2021 karta.png", "A 64951-2021")</f>
        <v/>
      </c>
      <c r="V165">
        <f>HYPERLINK("https://klasma.github.io/Logging_2309/klagomål/A 64951-2021 FSC-klagomål.docx", "A 64951-2021")</f>
        <v/>
      </c>
      <c r="W165">
        <f>HYPERLINK("https://klasma.github.io/Logging_2309/klagomålsmail/A 64951-2021 FSC-klagomål mail.docx", "A 64951-2021")</f>
        <v/>
      </c>
      <c r="X165">
        <f>HYPERLINK("https://klasma.github.io/Logging_2309/tillsyn/A 64951-2021 tillsynsbegäran.docx", "A 64951-2021")</f>
        <v/>
      </c>
      <c r="Y165">
        <f>HYPERLINK("https://klasma.github.io/Logging_2309/tillsynsmail/A 64951-2021 tillsynsbegäran mail.docx", "A 64951-2021")</f>
        <v/>
      </c>
    </row>
    <row r="166" ht="15" customHeight="1">
      <c r="A166" t="inlineStr">
        <is>
          <t>A 64968-2021</t>
        </is>
      </c>
      <c r="B166" s="1" t="n">
        <v>44512</v>
      </c>
      <c r="C166" s="1" t="n">
        <v>45349</v>
      </c>
      <c r="D166" t="inlineStr">
        <is>
          <t>JÄMTLANDS LÄN</t>
        </is>
      </c>
      <c r="E166" t="inlineStr">
        <is>
          <t>KROKOM</t>
        </is>
      </c>
      <c r="F166" t="inlineStr">
        <is>
          <t>SCA</t>
        </is>
      </c>
      <c r="G166" t="n">
        <v>3.2</v>
      </c>
      <c r="H166" t="n">
        <v>0</v>
      </c>
      <c r="I166" t="n">
        <v>0</v>
      </c>
      <c r="J166" t="n">
        <v>1</v>
      </c>
      <c r="K166" t="n">
        <v>0</v>
      </c>
      <c r="L166" t="n">
        <v>0</v>
      </c>
      <c r="M166" t="n">
        <v>0</v>
      </c>
      <c r="N166" t="n">
        <v>0</v>
      </c>
      <c r="O166" t="n">
        <v>1</v>
      </c>
      <c r="P166" t="n">
        <v>0</v>
      </c>
      <c r="Q166" t="n">
        <v>1</v>
      </c>
      <c r="R166" s="2" t="inlineStr">
        <is>
          <t>Skrovellav</t>
        </is>
      </c>
      <c r="S166">
        <f>HYPERLINK("https://klasma.github.io/Logging_2309/artfynd/A 64968-2021 artfynd.xlsx", "A 64968-2021")</f>
        <v/>
      </c>
      <c r="T166">
        <f>HYPERLINK("https://klasma.github.io/Logging_2309/kartor/A 64968-2021 karta.png", "A 64968-2021")</f>
        <v/>
      </c>
      <c r="V166">
        <f>HYPERLINK("https://klasma.github.io/Logging_2309/klagomål/A 64968-2021 FSC-klagomål.docx", "A 64968-2021")</f>
        <v/>
      </c>
      <c r="W166">
        <f>HYPERLINK("https://klasma.github.io/Logging_2309/klagomålsmail/A 64968-2021 FSC-klagomål mail.docx", "A 64968-2021")</f>
        <v/>
      </c>
      <c r="X166">
        <f>HYPERLINK("https://klasma.github.io/Logging_2309/tillsyn/A 64968-2021 tillsynsbegäran.docx", "A 64968-2021")</f>
        <v/>
      </c>
      <c r="Y166">
        <f>HYPERLINK("https://klasma.github.io/Logging_2309/tillsynsmail/A 64968-2021 tillsynsbegäran mail.docx", "A 64968-2021")</f>
        <v/>
      </c>
    </row>
    <row r="167" ht="15" customHeight="1">
      <c r="A167" t="inlineStr">
        <is>
          <t>A 67701-2021</t>
        </is>
      </c>
      <c r="B167" s="1" t="n">
        <v>44524</v>
      </c>
      <c r="C167" s="1" t="n">
        <v>45349</v>
      </c>
      <c r="D167" t="inlineStr">
        <is>
          <t>JÄMTLANDS LÄN</t>
        </is>
      </c>
      <c r="E167" t="inlineStr">
        <is>
          <t>KROKOM</t>
        </is>
      </c>
      <c r="F167" t="inlineStr">
        <is>
          <t>SCA</t>
        </is>
      </c>
      <c r="G167" t="n">
        <v>3.1</v>
      </c>
      <c r="H167" t="n">
        <v>0</v>
      </c>
      <c r="I167" t="n">
        <v>1</v>
      </c>
      <c r="J167" t="n">
        <v>0</v>
      </c>
      <c r="K167" t="n">
        <v>0</v>
      </c>
      <c r="L167" t="n">
        <v>0</v>
      </c>
      <c r="M167" t="n">
        <v>0</v>
      </c>
      <c r="N167" t="n">
        <v>0</v>
      </c>
      <c r="O167" t="n">
        <v>0</v>
      </c>
      <c r="P167" t="n">
        <v>0</v>
      </c>
      <c r="Q167" t="n">
        <v>1</v>
      </c>
      <c r="R167" s="2" t="inlineStr">
        <is>
          <t>Trådticka</t>
        </is>
      </c>
      <c r="S167">
        <f>HYPERLINK("https://klasma.github.io/Logging_2309/artfynd/A 67701-2021 artfynd.xlsx", "A 67701-2021")</f>
        <v/>
      </c>
      <c r="T167">
        <f>HYPERLINK("https://klasma.github.io/Logging_2309/kartor/A 67701-2021 karta.png", "A 67701-2021")</f>
        <v/>
      </c>
      <c r="V167">
        <f>HYPERLINK("https://klasma.github.io/Logging_2309/klagomål/A 67701-2021 FSC-klagomål.docx", "A 67701-2021")</f>
        <v/>
      </c>
      <c r="W167">
        <f>HYPERLINK("https://klasma.github.io/Logging_2309/klagomålsmail/A 67701-2021 FSC-klagomål mail.docx", "A 67701-2021")</f>
        <v/>
      </c>
      <c r="X167">
        <f>HYPERLINK("https://klasma.github.io/Logging_2309/tillsyn/A 67701-2021 tillsynsbegäran.docx", "A 67701-2021")</f>
        <v/>
      </c>
      <c r="Y167">
        <f>HYPERLINK("https://klasma.github.io/Logging_2309/tillsynsmail/A 67701-2021 tillsynsbegäran mail.docx", "A 67701-2021")</f>
        <v/>
      </c>
    </row>
    <row r="168" ht="15" customHeight="1">
      <c r="A168" t="inlineStr">
        <is>
          <t>A 69137-2021</t>
        </is>
      </c>
      <c r="B168" s="1" t="n">
        <v>44530</v>
      </c>
      <c r="C168" s="1" t="n">
        <v>45349</v>
      </c>
      <c r="D168" t="inlineStr">
        <is>
          <t>JÄMTLANDS LÄN</t>
        </is>
      </c>
      <c r="E168" t="inlineStr">
        <is>
          <t>KROKOM</t>
        </is>
      </c>
      <c r="F168" t="inlineStr">
        <is>
          <t>SCA</t>
        </is>
      </c>
      <c r="G168" t="n">
        <v>30.5</v>
      </c>
      <c r="H168" t="n">
        <v>0</v>
      </c>
      <c r="I168" t="n">
        <v>0</v>
      </c>
      <c r="J168" t="n">
        <v>1</v>
      </c>
      <c r="K168" t="n">
        <v>0</v>
      </c>
      <c r="L168" t="n">
        <v>0</v>
      </c>
      <c r="M168" t="n">
        <v>0</v>
      </c>
      <c r="N168" t="n">
        <v>0</v>
      </c>
      <c r="O168" t="n">
        <v>1</v>
      </c>
      <c r="P168" t="n">
        <v>0</v>
      </c>
      <c r="Q168" t="n">
        <v>1</v>
      </c>
      <c r="R168" s="2" t="inlineStr">
        <is>
          <t>Garnlav</t>
        </is>
      </c>
      <c r="S168">
        <f>HYPERLINK("https://klasma.github.io/Logging_2309/artfynd/A 69137-2021 artfynd.xlsx", "A 69137-2021")</f>
        <v/>
      </c>
      <c r="T168">
        <f>HYPERLINK("https://klasma.github.io/Logging_2309/kartor/A 69137-2021 karta.png", "A 69137-2021")</f>
        <v/>
      </c>
      <c r="V168">
        <f>HYPERLINK("https://klasma.github.io/Logging_2309/klagomål/A 69137-2021 FSC-klagomål.docx", "A 69137-2021")</f>
        <v/>
      </c>
      <c r="W168">
        <f>HYPERLINK("https://klasma.github.io/Logging_2309/klagomålsmail/A 69137-2021 FSC-klagomål mail.docx", "A 69137-2021")</f>
        <v/>
      </c>
      <c r="X168">
        <f>HYPERLINK("https://klasma.github.io/Logging_2309/tillsyn/A 69137-2021 tillsynsbegäran.docx", "A 69137-2021")</f>
        <v/>
      </c>
      <c r="Y168">
        <f>HYPERLINK("https://klasma.github.io/Logging_2309/tillsynsmail/A 69137-2021 tillsynsbegäran mail.docx", "A 69137-2021")</f>
        <v/>
      </c>
    </row>
    <row r="169" ht="15" customHeight="1">
      <c r="A169" t="inlineStr">
        <is>
          <t>A 71575-2021</t>
        </is>
      </c>
      <c r="B169" s="1" t="n">
        <v>44540</v>
      </c>
      <c r="C169" s="1" t="n">
        <v>45349</v>
      </c>
      <c r="D169" t="inlineStr">
        <is>
          <t>JÄMTLANDS LÄN</t>
        </is>
      </c>
      <c r="E169" t="inlineStr">
        <is>
          <t>KROKOM</t>
        </is>
      </c>
      <c r="G169" t="n">
        <v>0.9</v>
      </c>
      <c r="H169" t="n">
        <v>0</v>
      </c>
      <c r="I169" t="n">
        <v>0</v>
      </c>
      <c r="J169" t="n">
        <v>1</v>
      </c>
      <c r="K169" t="n">
        <v>0</v>
      </c>
      <c r="L169" t="n">
        <v>0</v>
      </c>
      <c r="M169" t="n">
        <v>0</v>
      </c>
      <c r="N169" t="n">
        <v>0</v>
      </c>
      <c r="O169" t="n">
        <v>1</v>
      </c>
      <c r="P169" t="n">
        <v>0</v>
      </c>
      <c r="Q169" t="n">
        <v>1</v>
      </c>
      <c r="R169" s="2" t="inlineStr">
        <is>
          <t>Gultoppig fingersvamp</t>
        </is>
      </c>
      <c r="S169">
        <f>HYPERLINK("https://klasma.github.io/Logging_2309/artfynd/A 71575-2021 artfynd.xlsx", "A 71575-2021")</f>
        <v/>
      </c>
      <c r="T169">
        <f>HYPERLINK("https://klasma.github.io/Logging_2309/kartor/A 71575-2021 karta.png", "A 71575-2021")</f>
        <v/>
      </c>
      <c r="V169">
        <f>HYPERLINK("https://klasma.github.io/Logging_2309/klagomål/A 71575-2021 FSC-klagomål.docx", "A 71575-2021")</f>
        <v/>
      </c>
      <c r="W169">
        <f>HYPERLINK("https://klasma.github.io/Logging_2309/klagomålsmail/A 71575-2021 FSC-klagomål mail.docx", "A 71575-2021")</f>
        <v/>
      </c>
      <c r="X169">
        <f>HYPERLINK("https://klasma.github.io/Logging_2309/tillsyn/A 71575-2021 tillsynsbegäran.docx", "A 71575-2021")</f>
        <v/>
      </c>
      <c r="Y169">
        <f>HYPERLINK("https://klasma.github.io/Logging_2309/tillsynsmail/A 71575-2021 tillsynsbegäran mail.docx", "A 71575-2021")</f>
        <v/>
      </c>
    </row>
    <row r="170" ht="15" customHeight="1">
      <c r="A170" t="inlineStr">
        <is>
          <t>A 71574-2021</t>
        </is>
      </c>
      <c r="B170" s="1" t="n">
        <v>44540</v>
      </c>
      <c r="C170" s="1" t="n">
        <v>45349</v>
      </c>
      <c r="D170" t="inlineStr">
        <is>
          <t>JÄMTLANDS LÄN</t>
        </is>
      </c>
      <c r="E170" t="inlineStr">
        <is>
          <t>KROKOM</t>
        </is>
      </c>
      <c r="G170" t="n">
        <v>1.1</v>
      </c>
      <c r="H170" t="n">
        <v>1</v>
      </c>
      <c r="I170" t="n">
        <v>1</v>
      </c>
      <c r="J170" t="n">
        <v>0</v>
      </c>
      <c r="K170" t="n">
        <v>0</v>
      </c>
      <c r="L170" t="n">
        <v>0</v>
      </c>
      <c r="M170" t="n">
        <v>0</v>
      </c>
      <c r="N170" t="n">
        <v>0</v>
      </c>
      <c r="O170" t="n">
        <v>0</v>
      </c>
      <c r="P170" t="n">
        <v>0</v>
      </c>
      <c r="Q170" t="n">
        <v>1</v>
      </c>
      <c r="R170" s="2" t="inlineStr">
        <is>
          <t>Spindelblomster</t>
        </is>
      </c>
      <c r="S170">
        <f>HYPERLINK("https://klasma.github.io/Logging_2309/artfynd/A 71574-2021 artfynd.xlsx", "A 71574-2021")</f>
        <v/>
      </c>
      <c r="T170">
        <f>HYPERLINK("https://klasma.github.io/Logging_2309/kartor/A 71574-2021 karta.png", "A 71574-2021")</f>
        <v/>
      </c>
      <c r="V170">
        <f>HYPERLINK("https://klasma.github.io/Logging_2309/klagomål/A 71574-2021 FSC-klagomål.docx", "A 71574-2021")</f>
        <v/>
      </c>
      <c r="W170">
        <f>HYPERLINK("https://klasma.github.io/Logging_2309/klagomålsmail/A 71574-2021 FSC-klagomål mail.docx", "A 71574-2021")</f>
        <v/>
      </c>
      <c r="X170">
        <f>HYPERLINK("https://klasma.github.io/Logging_2309/tillsyn/A 71574-2021 tillsynsbegäran.docx", "A 71574-2021")</f>
        <v/>
      </c>
      <c r="Y170">
        <f>HYPERLINK("https://klasma.github.io/Logging_2309/tillsynsmail/A 71574-2021 tillsynsbegäran mail.docx", "A 71574-2021")</f>
        <v/>
      </c>
    </row>
    <row r="171" ht="15" customHeight="1">
      <c r="A171" t="inlineStr">
        <is>
          <t>A 806-2022</t>
        </is>
      </c>
      <c r="B171" s="1" t="n">
        <v>44568</v>
      </c>
      <c r="C171" s="1" t="n">
        <v>45349</v>
      </c>
      <c r="D171" t="inlineStr">
        <is>
          <t>JÄMTLANDS LÄN</t>
        </is>
      </c>
      <c r="E171" t="inlineStr">
        <is>
          <t>KROKOM</t>
        </is>
      </c>
      <c r="G171" t="n">
        <v>46.8</v>
      </c>
      <c r="H171" t="n">
        <v>1</v>
      </c>
      <c r="I171" t="n">
        <v>0</v>
      </c>
      <c r="J171" t="n">
        <v>1</v>
      </c>
      <c r="K171" t="n">
        <v>0</v>
      </c>
      <c r="L171" t="n">
        <v>0</v>
      </c>
      <c r="M171" t="n">
        <v>0</v>
      </c>
      <c r="N171" t="n">
        <v>0</v>
      </c>
      <c r="O171" t="n">
        <v>1</v>
      </c>
      <c r="P171" t="n">
        <v>0</v>
      </c>
      <c r="Q171" t="n">
        <v>1</v>
      </c>
      <c r="R171" s="2" t="inlineStr">
        <is>
          <t>Tretåig hackspett</t>
        </is>
      </c>
      <c r="S171">
        <f>HYPERLINK("https://klasma.github.io/Logging_2309/artfynd/A 806-2022 artfynd.xlsx", "A 806-2022")</f>
        <v/>
      </c>
      <c r="T171">
        <f>HYPERLINK("https://klasma.github.io/Logging_2309/kartor/A 806-2022 karta.png", "A 806-2022")</f>
        <v/>
      </c>
      <c r="V171">
        <f>HYPERLINK("https://klasma.github.io/Logging_2309/klagomål/A 806-2022 FSC-klagomål.docx", "A 806-2022")</f>
        <v/>
      </c>
      <c r="W171">
        <f>HYPERLINK("https://klasma.github.io/Logging_2309/klagomålsmail/A 806-2022 FSC-klagomål mail.docx", "A 806-2022")</f>
        <v/>
      </c>
      <c r="X171">
        <f>HYPERLINK("https://klasma.github.io/Logging_2309/tillsyn/A 806-2022 tillsynsbegäran.docx", "A 806-2022")</f>
        <v/>
      </c>
      <c r="Y171">
        <f>HYPERLINK("https://klasma.github.io/Logging_2309/tillsynsmail/A 806-2022 tillsynsbegäran mail.docx", "A 806-2022")</f>
        <v/>
      </c>
      <c r="Z171">
        <f>HYPERLINK("https://klasma.github.io/Logging_2309/fåglar/A 806-2022 prioriterade fågelarter.docx", "A 806-2022")</f>
        <v/>
      </c>
    </row>
    <row r="172" ht="15" customHeight="1">
      <c r="A172" t="inlineStr">
        <is>
          <t>A 814-2022</t>
        </is>
      </c>
      <c r="B172" s="1" t="n">
        <v>44568</v>
      </c>
      <c r="C172" s="1" t="n">
        <v>45349</v>
      </c>
      <c r="D172" t="inlineStr">
        <is>
          <t>JÄMTLANDS LÄN</t>
        </is>
      </c>
      <c r="E172" t="inlineStr">
        <is>
          <t>KROKOM</t>
        </is>
      </c>
      <c r="G172" t="n">
        <v>2.6</v>
      </c>
      <c r="H172" t="n">
        <v>1</v>
      </c>
      <c r="I172" t="n">
        <v>0</v>
      </c>
      <c r="J172" t="n">
        <v>1</v>
      </c>
      <c r="K172" t="n">
        <v>0</v>
      </c>
      <c r="L172" t="n">
        <v>0</v>
      </c>
      <c r="M172" t="n">
        <v>0</v>
      </c>
      <c r="N172" t="n">
        <v>0</v>
      </c>
      <c r="O172" t="n">
        <v>1</v>
      </c>
      <c r="P172" t="n">
        <v>0</v>
      </c>
      <c r="Q172" t="n">
        <v>1</v>
      </c>
      <c r="R172" s="2" t="inlineStr">
        <is>
          <t>Tretåig hackspett</t>
        </is>
      </c>
      <c r="S172">
        <f>HYPERLINK("https://klasma.github.io/Logging_2309/artfynd/A 814-2022 artfynd.xlsx", "A 814-2022")</f>
        <v/>
      </c>
      <c r="T172">
        <f>HYPERLINK("https://klasma.github.io/Logging_2309/kartor/A 814-2022 karta.png", "A 814-2022")</f>
        <v/>
      </c>
      <c r="V172">
        <f>HYPERLINK("https://klasma.github.io/Logging_2309/klagomål/A 814-2022 FSC-klagomål.docx", "A 814-2022")</f>
        <v/>
      </c>
      <c r="W172">
        <f>HYPERLINK("https://klasma.github.io/Logging_2309/klagomålsmail/A 814-2022 FSC-klagomål mail.docx", "A 814-2022")</f>
        <v/>
      </c>
      <c r="X172">
        <f>HYPERLINK("https://klasma.github.io/Logging_2309/tillsyn/A 814-2022 tillsynsbegäran.docx", "A 814-2022")</f>
        <v/>
      </c>
      <c r="Y172">
        <f>HYPERLINK("https://klasma.github.io/Logging_2309/tillsynsmail/A 814-2022 tillsynsbegäran mail.docx", "A 814-2022")</f>
        <v/>
      </c>
      <c r="Z172">
        <f>HYPERLINK("https://klasma.github.io/Logging_2309/fåglar/A 814-2022 prioriterade fågelarter.docx", "A 814-2022")</f>
        <v/>
      </c>
    </row>
    <row r="173" ht="15" customHeight="1">
      <c r="A173" t="inlineStr">
        <is>
          <t>A 7005-2022</t>
        </is>
      </c>
      <c r="B173" s="1" t="n">
        <v>44603</v>
      </c>
      <c r="C173" s="1" t="n">
        <v>45349</v>
      </c>
      <c r="D173" t="inlineStr">
        <is>
          <t>JÄMTLANDS LÄN</t>
        </is>
      </c>
      <c r="E173" t="inlineStr">
        <is>
          <t>KROKOM</t>
        </is>
      </c>
      <c r="G173" t="n">
        <v>46</v>
      </c>
      <c r="H173" t="n">
        <v>0</v>
      </c>
      <c r="I173" t="n">
        <v>1</v>
      </c>
      <c r="J173" t="n">
        <v>0</v>
      </c>
      <c r="K173" t="n">
        <v>0</v>
      </c>
      <c r="L173" t="n">
        <v>0</v>
      </c>
      <c r="M173" t="n">
        <v>0</v>
      </c>
      <c r="N173" t="n">
        <v>0</v>
      </c>
      <c r="O173" t="n">
        <v>0</v>
      </c>
      <c r="P173" t="n">
        <v>0</v>
      </c>
      <c r="Q173" t="n">
        <v>1</v>
      </c>
      <c r="R173" s="2" t="inlineStr">
        <is>
          <t>Stuplav</t>
        </is>
      </c>
      <c r="S173">
        <f>HYPERLINK("https://klasma.github.io/Logging_2309/artfynd/A 7005-2022 artfynd.xlsx", "A 7005-2022")</f>
        <v/>
      </c>
      <c r="T173">
        <f>HYPERLINK("https://klasma.github.io/Logging_2309/kartor/A 7005-2022 karta.png", "A 7005-2022")</f>
        <v/>
      </c>
      <c r="V173">
        <f>HYPERLINK("https://klasma.github.io/Logging_2309/klagomål/A 7005-2022 FSC-klagomål.docx", "A 7005-2022")</f>
        <v/>
      </c>
      <c r="W173">
        <f>HYPERLINK("https://klasma.github.io/Logging_2309/klagomålsmail/A 7005-2022 FSC-klagomål mail.docx", "A 7005-2022")</f>
        <v/>
      </c>
      <c r="X173">
        <f>HYPERLINK("https://klasma.github.io/Logging_2309/tillsyn/A 7005-2022 tillsynsbegäran.docx", "A 7005-2022")</f>
        <v/>
      </c>
      <c r="Y173">
        <f>HYPERLINK("https://klasma.github.io/Logging_2309/tillsynsmail/A 7005-2022 tillsynsbegäran mail.docx", "A 7005-2022")</f>
        <v/>
      </c>
    </row>
    <row r="174" ht="15" customHeight="1">
      <c r="A174" t="inlineStr">
        <is>
          <t>A 18032-2022</t>
        </is>
      </c>
      <c r="B174" s="1" t="n">
        <v>44683</v>
      </c>
      <c r="C174" s="1" t="n">
        <v>45349</v>
      </c>
      <c r="D174" t="inlineStr">
        <is>
          <t>JÄMTLANDS LÄN</t>
        </is>
      </c>
      <c r="E174" t="inlineStr">
        <is>
          <t>KROKOM</t>
        </is>
      </c>
      <c r="G174" t="n">
        <v>15.8</v>
      </c>
      <c r="H174" t="n">
        <v>0</v>
      </c>
      <c r="I174" t="n">
        <v>0</v>
      </c>
      <c r="J174" t="n">
        <v>1</v>
      </c>
      <c r="K174" t="n">
        <v>0</v>
      </c>
      <c r="L174" t="n">
        <v>0</v>
      </c>
      <c r="M174" t="n">
        <v>0</v>
      </c>
      <c r="N174" t="n">
        <v>0</v>
      </c>
      <c r="O174" t="n">
        <v>1</v>
      </c>
      <c r="P174" t="n">
        <v>0</v>
      </c>
      <c r="Q174" t="n">
        <v>1</v>
      </c>
      <c r="R174" s="2" t="inlineStr">
        <is>
          <t>Brunklöver</t>
        </is>
      </c>
      <c r="S174">
        <f>HYPERLINK("https://klasma.github.io/Logging_2309/artfynd/A 18032-2022 artfynd.xlsx", "A 18032-2022")</f>
        <v/>
      </c>
      <c r="T174">
        <f>HYPERLINK("https://klasma.github.io/Logging_2309/kartor/A 18032-2022 karta.png", "A 18032-2022")</f>
        <v/>
      </c>
      <c r="V174">
        <f>HYPERLINK("https://klasma.github.io/Logging_2309/klagomål/A 18032-2022 FSC-klagomål.docx", "A 18032-2022")</f>
        <v/>
      </c>
      <c r="W174">
        <f>HYPERLINK("https://klasma.github.io/Logging_2309/klagomålsmail/A 18032-2022 FSC-klagomål mail.docx", "A 18032-2022")</f>
        <v/>
      </c>
      <c r="X174">
        <f>HYPERLINK("https://klasma.github.io/Logging_2309/tillsyn/A 18032-2022 tillsynsbegäran.docx", "A 18032-2022")</f>
        <v/>
      </c>
      <c r="Y174">
        <f>HYPERLINK("https://klasma.github.io/Logging_2309/tillsynsmail/A 18032-2022 tillsynsbegäran mail.docx", "A 18032-2022")</f>
        <v/>
      </c>
    </row>
    <row r="175" ht="15" customHeight="1">
      <c r="A175" t="inlineStr">
        <is>
          <t>A 25041-2022</t>
        </is>
      </c>
      <c r="B175" s="1" t="n">
        <v>44728</v>
      </c>
      <c r="C175" s="1" t="n">
        <v>45349</v>
      </c>
      <c r="D175" t="inlineStr">
        <is>
          <t>JÄMTLANDS LÄN</t>
        </is>
      </c>
      <c r="E175" t="inlineStr">
        <is>
          <t>KROKOM</t>
        </is>
      </c>
      <c r="F175" t="inlineStr">
        <is>
          <t>SCA</t>
        </is>
      </c>
      <c r="G175" t="n">
        <v>5.5</v>
      </c>
      <c r="H175" t="n">
        <v>0</v>
      </c>
      <c r="I175" t="n">
        <v>0</v>
      </c>
      <c r="J175" t="n">
        <v>1</v>
      </c>
      <c r="K175" t="n">
        <v>0</v>
      </c>
      <c r="L175" t="n">
        <v>0</v>
      </c>
      <c r="M175" t="n">
        <v>0</v>
      </c>
      <c r="N175" t="n">
        <v>0</v>
      </c>
      <c r="O175" t="n">
        <v>1</v>
      </c>
      <c r="P175" t="n">
        <v>0</v>
      </c>
      <c r="Q175" t="n">
        <v>1</v>
      </c>
      <c r="R175" s="2" t="inlineStr">
        <is>
          <t>Harticka</t>
        </is>
      </c>
      <c r="S175">
        <f>HYPERLINK("https://klasma.github.io/Logging_2309/artfynd/A 25041-2022 artfynd.xlsx", "A 25041-2022")</f>
        <v/>
      </c>
      <c r="T175">
        <f>HYPERLINK("https://klasma.github.io/Logging_2309/kartor/A 25041-2022 karta.png", "A 25041-2022")</f>
        <v/>
      </c>
      <c r="V175">
        <f>HYPERLINK("https://klasma.github.io/Logging_2309/klagomål/A 25041-2022 FSC-klagomål.docx", "A 25041-2022")</f>
        <v/>
      </c>
      <c r="W175">
        <f>HYPERLINK("https://klasma.github.io/Logging_2309/klagomålsmail/A 25041-2022 FSC-klagomål mail.docx", "A 25041-2022")</f>
        <v/>
      </c>
      <c r="X175">
        <f>HYPERLINK("https://klasma.github.io/Logging_2309/tillsyn/A 25041-2022 tillsynsbegäran.docx", "A 25041-2022")</f>
        <v/>
      </c>
      <c r="Y175">
        <f>HYPERLINK("https://klasma.github.io/Logging_2309/tillsynsmail/A 25041-2022 tillsynsbegäran mail.docx", "A 25041-2022")</f>
        <v/>
      </c>
    </row>
    <row r="176" ht="15" customHeight="1">
      <c r="A176" t="inlineStr">
        <is>
          <t>A 27579-2022</t>
        </is>
      </c>
      <c r="B176" s="1" t="n">
        <v>44742</v>
      </c>
      <c r="C176" s="1" t="n">
        <v>45349</v>
      </c>
      <c r="D176" t="inlineStr">
        <is>
          <t>JÄMTLANDS LÄN</t>
        </is>
      </c>
      <c r="E176" t="inlineStr">
        <is>
          <t>KROKOM</t>
        </is>
      </c>
      <c r="F176" t="inlineStr">
        <is>
          <t>SCA</t>
        </is>
      </c>
      <c r="G176" t="n">
        <v>1.5</v>
      </c>
      <c r="H176" t="n">
        <v>0</v>
      </c>
      <c r="I176" t="n">
        <v>0</v>
      </c>
      <c r="J176" t="n">
        <v>1</v>
      </c>
      <c r="K176" t="n">
        <v>0</v>
      </c>
      <c r="L176" t="n">
        <v>0</v>
      </c>
      <c r="M176" t="n">
        <v>0</v>
      </c>
      <c r="N176" t="n">
        <v>0</v>
      </c>
      <c r="O176" t="n">
        <v>1</v>
      </c>
      <c r="P176" t="n">
        <v>0</v>
      </c>
      <c r="Q176" t="n">
        <v>1</v>
      </c>
      <c r="R176" s="2" t="inlineStr">
        <is>
          <t>Lunglav</t>
        </is>
      </c>
      <c r="S176">
        <f>HYPERLINK("https://klasma.github.io/Logging_2309/artfynd/A 27579-2022 artfynd.xlsx", "A 27579-2022")</f>
        <v/>
      </c>
      <c r="T176">
        <f>HYPERLINK("https://klasma.github.io/Logging_2309/kartor/A 27579-2022 karta.png", "A 27579-2022")</f>
        <v/>
      </c>
      <c r="V176">
        <f>HYPERLINK("https://klasma.github.io/Logging_2309/klagomål/A 27579-2022 FSC-klagomål.docx", "A 27579-2022")</f>
        <v/>
      </c>
      <c r="W176">
        <f>HYPERLINK("https://klasma.github.io/Logging_2309/klagomålsmail/A 27579-2022 FSC-klagomål mail.docx", "A 27579-2022")</f>
        <v/>
      </c>
      <c r="X176">
        <f>HYPERLINK("https://klasma.github.io/Logging_2309/tillsyn/A 27579-2022 tillsynsbegäran.docx", "A 27579-2022")</f>
        <v/>
      </c>
      <c r="Y176">
        <f>HYPERLINK("https://klasma.github.io/Logging_2309/tillsynsmail/A 27579-2022 tillsynsbegäran mail.docx", "A 27579-2022")</f>
        <v/>
      </c>
    </row>
    <row r="177" ht="15" customHeight="1">
      <c r="A177" t="inlineStr">
        <is>
          <t>A 28490-2022</t>
        </is>
      </c>
      <c r="B177" s="1" t="n">
        <v>44747</v>
      </c>
      <c r="C177" s="1" t="n">
        <v>45349</v>
      </c>
      <c r="D177" t="inlineStr">
        <is>
          <t>JÄMTLANDS LÄN</t>
        </is>
      </c>
      <c r="E177" t="inlineStr">
        <is>
          <t>KROKOM</t>
        </is>
      </c>
      <c r="F177" t="inlineStr">
        <is>
          <t>SCA</t>
        </is>
      </c>
      <c r="G177" t="n">
        <v>57.9</v>
      </c>
      <c r="H177" t="n">
        <v>0</v>
      </c>
      <c r="I177" t="n">
        <v>0</v>
      </c>
      <c r="J177" t="n">
        <v>1</v>
      </c>
      <c r="K177" t="n">
        <v>0</v>
      </c>
      <c r="L177" t="n">
        <v>0</v>
      </c>
      <c r="M177" t="n">
        <v>0</v>
      </c>
      <c r="N177" t="n">
        <v>0</v>
      </c>
      <c r="O177" t="n">
        <v>1</v>
      </c>
      <c r="P177" t="n">
        <v>0</v>
      </c>
      <c r="Q177" t="n">
        <v>1</v>
      </c>
      <c r="R177" s="2" t="inlineStr">
        <is>
          <t>Kolflarnlav</t>
        </is>
      </c>
      <c r="S177">
        <f>HYPERLINK("https://klasma.github.io/Logging_2309/artfynd/A 28490-2022 artfynd.xlsx", "A 28490-2022")</f>
        <v/>
      </c>
      <c r="T177">
        <f>HYPERLINK("https://klasma.github.io/Logging_2309/kartor/A 28490-2022 karta.png", "A 28490-2022")</f>
        <v/>
      </c>
      <c r="V177">
        <f>HYPERLINK("https://klasma.github.io/Logging_2309/klagomål/A 28490-2022 FSC-klagomål.docx", "A 28490-2022")</f>
        <v/>
      </c>
      <c r="W177">
        <f>HYPERLINK("https://klasma.github.io/Logging_2309/klagomålsmail/A 28490-2022 FSC-klagomål mail.docx", "A 28490-2022")</f>
        <v/>
      </c>
      <c r="X177">
        <f>HYPERLINK("https://klasma.github.io/Logging_2309/tillsyn/A 28490-2022 tillsynsbegäran.docx", "A 28490-2022")</f>
        <v/>
      </c>
      <c r="Y177">
        <f>HYPERLINK("https://klasma.github.io/Logging_2309/tillsynsmail/A 28490-2022 tillsynsbegäran mail.docx", "A 28490-2022")</f>
        <v/>
      </c>
    </row>
    <row r="178" ht="15" customHeight="1">
      <c r="A178" t="inlineStr">
        <is>
          <t>A 33316-2022</t>
        </is>
      </c>
      <c r="B178" s="1" t="n">
        <v>44788</v>
      </c>
      <c r="C178" s="1" t="n">
        <v>45349</v>
      </c>
      <c r="D178" t="inlineStr">
        <is>
          <t>JÄMTLANDS LÄN</t>
        </is>
      </c>
      <c r="E178" t="inlineStr">
        <is>
          <t>KROKOM</t>
        </is>
      </c>
      <c r="G178" t="n">
        <v>10.4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33316-2022 artfynd.xlsx", "A 33316-2022")</f>
        <v/>
      </c>
      <c r="T178">
        <f>HYPERLINK("https://klasma.github.io/Logging_2309/kartor/A 33316-2022 karta.png", "A 33316-2022")</f>
        <v/>
      </c>
      <c r="V178">
        <f>HYPERLINK("https://klasma.github.io/Logging_2309/klagomål/A 33316-2022 FSC-klagomål.docx", "A 33316-2022")</f>
        <v/>
      </c>
      <c r="W178">
        <f>HYPERLINK("https://klasma.github.io/Logging_2309/klagomålsmail/A 33316-2022 FSC-klagomål mail.docx", "A 33316-2022")</f>
        <v/>
      </c>
      <c r="X178">
        <f>HYPERLINK("https://klasma.github.io/Logging_2309/tillsyn/A 33316-2022 tillsynsbegäran.docx", "A 33316-2022")</f>
        <v/>
      </c>
      <c r="Y178">
        <f>HYPERLINK("https://klasma.github.io/Logging_2309/tillsynsmail/A 33316-2022 tillsynsbegäran mail.docx", "A 33316-2022")</f>
        <v/>
      </c>
      <c r="Z178">
        <f>HYPERLINK("https://klasma.github.io/Logging_2309/fåglar/A 33316-2022 prioriterade fågelarter.docx", "A 33316-2022")</f>
        <v/>
      </c>
    </row>
    <row r="179" ht="15" customHeight="1">
      <c r="A179" t="inlineStr">
        <is>
          <t>A 35246-2022</t>
        </is>
      </c>
      <c r="B179" s="1" t="n">
        <v>44797</v>
      </c>
      <c r="C179" s="1" t="n">
        <v>45349</v>
      </c>
      <c r="D179" t="inlineStr">
        <is>
          <t>JÄMTLANDS LÄN</t>
        </is>
      </c>
      <c r="E179" t="inlineStr">
        <is>
          <t>KROKOM</t>
        </is>
      </c>
      <c r="G179" t="n">
        <v>29.4</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45595-2022</t>
        </is>
      </c>
      <c r="B180" s="1" t="n">
        <v>44845</v>
      </c>
      <c r="C180" s="1" t="n">
        <v>45349</v>
      </c>
      <c r="D180" t="inlineStr">
        <is>
          <t>JÄMTLANDS LÄN</t>
        </is>
      </c>
      <c r="E180" t="inlineStr">
        <is>
          <t>KROKOM</t>
        </is>
      </c>
      <c r="G180" t="n">
        <v>10.2</v>
      </c>
      <c r="H180" t="n">
        <v>1</v>
      </c>
      <c r="I180" t="n">
        <v>0</v>
      </c>
      <c r="J180" t="n">
        <v>0</v>
      </c>
      <c r="K180" t="n">
        <v>0</v>
      </c>
      <c r="L180" t="n">
        <v>0</v>
      </c>
      <c r="M180" t="n">
        <v>0</v>
      </c>
      <c r="N180" t="n">
        <v>0</v>
      </c>
      <c r="O180" t="n">
        <v>0</v>
      </c>
      <c r="P180" t="n">
        <v>0</v>
      </c>
      <c r="Q180" t="n">
        <v>1</v>
      </c>
      <c r="R180" s="2" t="inlineStr">
        <is>
          <t>Revlummer</t>
        </is>
      </c>
      <c r="S180">
        <f>HYPERLINK("https://klasma.github.io/Logging_2309/artfynd/A 45595-2022 artfynd.xlsx", "A 45595-2022")</f>
        <v/>
      </c>
      <c r="T180">
        <f>HYPERLINK("https://klasma.github.io/Logging_2309/kartor/A 45595-2022 karta.png", "A 45595-2022")</f>
        <v/>
      </c>
      <c r="V180">
        <f>HYPERLINK("https://klasma.github.io/Logging_2309/klagomål/A 45595-2022 FSC-klagomål.docx", "A 45595-2022")</f>
        <v/>
      </c>
      <c r="W180">
        <f>HYPERLINK("https://klasma.github.io/Logging_2309/klagomålsmail/A 45595-2022 FSC-klagomål mail.docx", "A 45595-2022")</f>
        <v/>
      </c>
      <c r="X180">
        <f>HYPERLINK("https://klasma.github.io/Logging_2309/tillsyn/A 45595-2022 tillsynsbegäran.docx", "A 45595-2022")</f>
        <v/>
      </c>
      <c r="Y180">
        <f>HYPERLINK("https://klasma.github.io/Logging_2309/tillsynsmail/A 45595-2022 tillsynsbegäran mail.docx", "A 45595-2022")</f>
        <v/>
      </c>
    </row>
    <row r="181" ht="15" customHeight="1">
      <c r="A181" t="inlineStr">
        <is>
          <t>A 15430-2023</t>
        </is>
      </c>
      <c r="B181" s="1" t="n">
        <v>45020</v>
      </c>
      <c r="C181" s="1" t="n">
        <v>45349</v>
      </c>
      <c r="D181" t="inlineStr">
        <is>
          <t>JÄMTLANDS LÄN</t>
        </is>
      </c>
      <c r="E181" t="inlineStr">
        <is>
          <t>KROKOM</t>
        </is>
      </c>
      <c r="G181" t="n">
        <v>31.8</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15430-2023 artfynd.xlsx", "A 15430-2023")</f>
        <v/>
      </c>
      <c r="T181">
        <f>HYPERLINK("https://klasma.github.io/Logging_2309/kartor/A 15430-2023 karta.png", "A 15430-2023")</f>
        <v/>
      </c>
      <c r="V181">
        <f>HYPERLINK("https://klasma.github.io/Logging_2309/klagomål/A 15430-2023 FSC-klagomål.docx", "A 15430-2023")</f>
        <v/>
      </c>
      <c r="W181">
        <f>HYPERLINK("https://klasma.github.io/Logging_2309/klagomålsmail/A 15430-2023 FSC-klagomål mail.docx", "A 15430-2023")</f>
        <v/>
      </c>
      <c r="X181">
        <f>HYPERLINK("https://klasma.github.io/Logging_2309/tillsyn/A 15430-2023 tillsynsbegäran.docx", "A 15430-2023")</f>
        <v/>
      </c>
      <c r="Y181">
        <f>HYPERLINK("https://klasma.github.io/Logging_2309/tillsynsmail/A 15430-2023 tillsynsbegäran mail.docx", "A 15430-2023")</f>
        <v/>
      </c>
      <c r="Z181">
        <f>HYPERLINK("https://klasma.github.io/Logging_2309/fåglar/A 15430-2023 prioriterade fågelarter.docx", "A 15430-2023")</f>
        <v/>
      </c>
    </row>
    <row r="182" ht="15" customHeight="1">
      <c r="A182" t="inlineStr">
        <is>
          <t>A 25285-2023</t>
        </is>
      </c>
      <c r="B182" s="1" t="n">
        <v>45079</v>
      </c>
      <c r="C182" s="1" t="n">
        <v>45349</v>
      </c>
      <c r="D182" t="inlineStr">
        <is>
          <t>JÄMTLANDS LÄN</t>
        </is>
      </c>
      <c r="E182" t="inlineStr">
        <is>
          <t>KROKOM</t>
        </is>
      </c>
      <c r="G182" t="n">
        <v>14.9</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25285-2023 artfynd.xlsx", "A 25285-2023")</f>
        <v/>
      </c>
      <c r="T182">
        <f>HYPERLINK("https://klasma.github.io/Logging_2309/kartor/A 25285-2023 karta.png", "A 25285-2023")</f>
        <v/>
      </c>
      <c r="V182">
        <f>HYPERLINK("https://klasma.github.io/Logging_2309/klagomål/A 25285-2023 FSC-klagomål.docx", "A 25285-2023")</f>
        <v/>
      </c>
      <c r="W182">
        <f>HYPERLINK("https://klasma.github.io/Logging_2309/klagomålsmail/A 25285-2023 FSC-klagomål mail.docx", "A 25285-2023")</f>
        <v/>
      </c>
      <c r="X182">
        <f>HYPERLINK("https://klasma.github.io/Logging_2309/tillsyn/A 25285-2023 tillsynsbegäran.docx", "A 25285-2023")</f>
        <v/>
      </c>
      <c r="Y182">
        <f>HYPERLINK("https://klasma.github.io/Logging_2309/tillsynsmail/A 25285-2023 tillsynsbegäran mail.docx", "A 25285-2023")</f>
        <v/>
      </c>
      <c r="Z182">
        <f>HYPERLINK("https://klasma.github.io/Logging_2309/fåglar/A 25285-2023 prioriterade fågelarter.docx", "A 25285-2023")</f>
        <v/>
      </c>
    </row>
    <row r="183" ht="15" customHeight="1">
      <c r="A183" t="inlineStr">
        <is>
          <t>A 32756-2023</t>
        </is>
      </c>
      <c r="B183" s="1" t="n">
        <v>45123</v>
      </c>
      <c r="C183" s="1" t="n">
        <v>45349</v>
      </c>
      <c r="D183" t="inlineStr">
        <is>
          <t>JÄMTLANDS LÄN</t>
        </is>
      </c>
      <c r="E183" t="inlineStr">
        <is>
          <t>KROKOM</t>
        </is>
      </c>
      <c r="F183" t="inlineStr">
        <is>
          <t>Övriga Aktiebolag</t>
        </is>
      </c>
      <c r="G183" t="n">
        <v>6.8</v>
      </c>
      <c r="H183" t="n">
        <v>0</v>
      </c>
      <c r="I183" t="n">
        <v>1</v>
      </c>
      <c r="J183" t="n">
        <v>0</v>
      </c>
      <c r="K183" t="n">
        <v>0</v>
      </c>
      <c r="L183" t="n">
        <v>0</v>
      </c>
      <c r="M183" t="n">
        <v>0</v>
      </c>
      <c r="N183" t="n">
        <v>0</v>
      </c>
      <c r="O183" t="n">
        <v>0</v>
      </c>
      <c r="P183" t="n">
        <v>0</v>
      </c>
      <c r="Q183" t="n">
        <v>1</v>
      </c>
      <c r="R183" s="2" t="inlineStr">
        <is>
          <t>Kransrams</t>
        </is>
      </c>
      <c r="S183">
        <f>HYPERLINK("https://klasma.github.io/Logging_2309/artfynd/A 32756-2023 artfynd.xlsx", "A 32756-2023")</f>
        <v/>
      </c>
      <c r="T183">
        <f>HYPERLINK("https://klasma.github.io/Logging_2309/kartor/A 32756-2023 karta.png", "A 32756-2023")</f>
        <v/>
      </c>
      <c r="V183">
        <f>HYPERLINK("https://klasma.github.io/Logging_2309/klagomål/A 32756-2023 FSC-klagomål.docx", "A 32756-2023")</f>
        <v/>
      </c>
      <c r="W183">
        <f>HYPERLINK("https://klasma.github.io/Logging_2309/klagomålsmail/A 32756-2023 FSC-klagomål mail.docx", "A 32756-2023")</f>
        <v/>
      </c>
      <c r="X183">
        <f>HYPERLINK("https://klasma.github.io/Logging_2309/tillsyn/A 32756-2023 tillsynsbegäran.docx", "A 32756-2023")</f>
        <v/>
      </c>
      <c r="Y183">
        <f>HYPERLINK("https://klasma.github.io/Logging_2309/tillsynsmail/A 32756-2023 tillsynsbegäran mail.docx", "A 32756-2023")</f>
        <v/>
      </c>
    </row>
    <row r="184" ht="15" customHeight="1">
      <c r="A184" t="inlineStr">
        <is>
          <t>A 36639-2023</t>
        </is>
      </c>
      <c r="B184" s="1" t="n">
        <v>45153</v>
      </c>
      <c r="C184" s="1" t="n">
        <v>45349</v>
      </c>
      <c r="D184" t="inlineStr">
        <is>
          <t>JÄMTLANDS LÄN</t>
        </is>
      </c>
      <c r="E184" t="inlineStr">
        <is>
          <t>KROKOM</t>
        </is>
      </c>
      <c r="F184" t="inlineStr">
        <is>
          <t>Övriga Aktiebolag</t>
        </is>
      </c>
      <c r="G184" t="n">
        <v>5.5</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36639-2023 artfynd.xlsx", "A 36639-2023")</f>
        <v/>
      </c>
      <c r="T184">
        <f>HYPERLINK("https://klasma.github.io/Logging_2309/kartor/A 36639-2023 karta.png", "A 36639-2023")</f>
        <v/>
      </c>
      <c r="V184">
        <f>HYPERLINK("https://klasma.github.io/Logging_2309/klagomål/A 36639-2023 FSC-klagomål.docx", "A 36639-2023")</f>
        <v/>
      </c>
      <c r="W184">
        <f>HYPERLINK("https://klasma.github.io/Logging_2309/klagomålsmail/A 36639-2023 FSC-klagomål mail.docx", "A 36639-2023")</f>
        <v/>
      </c>
      <c r="X184">
        <f>HYPERLINK("https://klasma.github.io/Logging_2309/tillsyn/A 36639-2023 tillsynsbegäran.docx", "A 36639-2023")</f>
        <v/>
      </c>
      <c r="Y184">
        <f>HYPERLINK("https://klasma.github.io/Logging_2309/tillsynsmail/A 36639-2023 tillsynsbegäran mail.docx", "A 36639-2023")</f>
        <v/>
      </c>
      <c r="Z184">
        <f>HYPERLINK("https://klasma.github.io/Logging_2309/fåglar/A 36639-2023 prioriterade fågelarter.docx", "A 36639-2023")</f>
        <v/>
      </c>
    </row>
    <row r="185" ht="15" customHeight="1">
      <c r="A185" t="inlineStr">
        <is>
          <t>A 42156-2023</t>
        </is>
      </c>
      <c r="B185" s="1" t="n">
        <v>45177</v>
      </c>
      <c r="C185" s="1" t="n">
        <v>45349</v>
      </c>
      <c r="D185" t="inlineStr">
        <is>
          <t>JÄMTLANDS LÄN</t>
        </is>
      </c>
      <c r="E185" t="inlineStr">
        <is>
          <t>KROKOM</t>
        </is>
      </c>
      <c r="G185" t="n">
        <v>1</v>
      </c>
      <c r="H185" t="n">
        <v>0</v>
      </c>
      <c r="I185" t="n">
        <v>0</v>
      </c>
      <c r="J185" t="n">
        <v>1</v>
      </c>
      <c r="K185" t="n">
        <v>0</v>
      </c>
      <c r="L185" t="n">
        <v>0</v>
      </c>
      <c r="M185" t="n">
        <v>0</v>
      </c>
      <c r="N185" t="n">
        <v>0</v>
      </c>
      <c r="O185" t="n">
        <v>1</v>
      </c>
      <c r="P185" t="n">
        <v>0</v>
      </c>
      <c r="Q185" t="n">
        <v>1</v>
      </c>
      <c r="R185" s="2" t="inlineStr">
        <is>
          <t>Granticka</t>
        </is>
      </c>
      <c r="S185">
        <f>HYPERLINK("https://klasma.github.io/Logging_2309/artfynd/A 42156-2023 artfynd.xlsx", "A 42156-2023")</f>
        <v/>
      </c>
      <c r="T185">
        <f>HYPERLINK("https://klasma.github.io/Logging_2309/kartor/A 42156-2023 karta.png", "A 42156-2023")</f>
        <v/>
      </c>
      <c r="V185">
        <f>HYPERLINK("https://klasma.github.io/Logging_2309/klagomål/A 42156-2023 FSC-klagomål.docx", "A 42156-2023")</f>
        <v/>
      </c>
      <c r="W185">
        <f>HYPERLINK("https://klasma.github.io/Logging_2309/klagomålsmail/A 42156-2023 FSC-klagomål mail.docx", "A 42156-2023")</f>
        <v/>
      </c>
      <c r="X185">
        <f>HYPERLINK("https://klasma.github.io/Logging_2309/tillsyn/A 42156-2023 tillsynsbegäran.docx", "A 42156-2023")</f>
        <v/>
      </c>
      <c r="Y185">
        <f>HYPERLINK("https://klasma.github.io/Logging_2309/tillsynsmail/A 42156-2023 tillsynsbegäran mail.docx", "A 42156-2023")</f>
        <v/>
      </c>
    </row>
    <row r="186" ht="15" customHeight="1">
      <c r="A186" t="inlineStr">
        <is>
          <t>A 42258-2023</t>
        </is>
      </c>
      <c r="B186" s="1" t="n">
        <v>45180</v>
      </c>
      <c r="C186" s="1" t="n">
        <v>45349</v>
      </c>
      <c r="D186" t="inlineStr">
        <is>
          <t>JÄMTLANDS LÄN</t>
        </is>
      </c>
      <c r="E186" t="inlineStr">
        <is>
          <t>KROKOM</t>
        </is>
      </c>
      <c r="F186" t="inlineStr">
        <is>
          <t>Övriga Aktiebolag</t>
        </is>
      </c>
      <c r="G186" t="n">
        <v>0.2</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42258-2023 artfynd.xlsx", "A 42258-2023")</f>
        <v/>
      </c>
      <c r="T186">
        <f>HYPERLINK("https://klasma.github.io/Logging_2309/kartor/A 42258-2023 karta.png", "A 42258-2023")</f>
        <v/>
      </c>
      <c r="V186">
        <f>HYPERLINK("https://klasma.github.io/Logging_2309/klagomål/A 42258-2023 FSC-klagomål.docx", "A 42258-2023")</f>
        <v/>
      </c>
      <c r="W186">
        <f>HYPERLINK("https://klasma.github.io/Logging_2309/klagomålsmail/A 42258-2023 FSC-klagomål mail.docx", "A 42258-2023")</f>
        <v/>
      </c>
      <c r="X186">
        <f>HYPERLINK("https://klasma.github.io/Logging_2309/tillsyn/A 42258-2023 tillsynsbegäran.docx", "A 42258-2023")</f>
        <v/>
      </c>
      <c r="Y186">
        <f>HYPERLINK("https://klasma.github.io/Logging_2309/tillsynsmail/A 42258-2023 tillsynsbegäran mail.docx", "A 42258-2023")</f>
        <v/>
      </c>
      <c r="Z186">
        <f>HYPERLINK("https://klasma.github.io/Logging_2309/fåglar/A 42258-2023 prioriterade fågelarter.docx", "A 42258-2023")</f>
        <v/>
      </c>
    </row>
    <row r="187" ht="15" customHeight="1">
      <c r="A187" t="inlineStr">
        <is>
          <t>A 47338-2023</t>
        </is>
      </c>
      <c r="B187" s="1" t="n">
        <v>45196</v>
      </c>
      <c r="C187" s="1" t="n">
        <v>45349</v>
      </c>
      <c r="D187" t="inlineStr">
        <is>
          <t>JÄMTLANDS LÄN</t>
        </is>
      </c>
      <c r="E187" t="inlineStr">
        <is>
          <t>KROKOM</t>
        </is>
      </c>
      <c r="G187" t="n">
        <v>13</v>
      </c>
      <c r="H187" t="n">
        <v>0</v>
      </c>
      <c r="I187" t="n">
        <v>1</v>
      </c>
      <c r="J187" t="n">
        <v>0</v>
      </c>
      <c r="K187" t="n">
        <v>0</v>
      </c>
      <c r="L187" t="n">
        <v>0</v>
      </c>
      <c r="M187" t="n">
        <v>0</v>
      </c>
      <c r="N187" t="n">
        <v>0</v>
      </c>
      <c r="O187" t="n">
        <v>0</v>
      </c>
      <c r="P187" t="n">
        <v>0</v>
      </c>
      <c r="Q187" t="n">
        <v>1</v>
      </c>
      <c r="R187" s="2" t="inlineStr">
        <is>
          <t>Skinnlav</t>
        </is>
      </c>
      <c r="S187">
        <f>HYPERLINK("https://klasma.github.io/Logging_2309/artfynd/A 47338-2023 artfynd.xlsx", "A 47338-2023")</f>
        <v/>
      </c>
      <c r="T187">
        <f>HYPERLINK("https://klasma.github.io/Logging_2309/kartor/A 47338-2023 karta.png", "A 47338-2023")</f>
        <v/>
      </c>
      <c r="V187">
        <f>HYPERLINK("https://klasma.github.io/Logging_2309/klagomål/A 47338-2023 FSC-klagomål.docx", "A 47338-2023")</f>
        <v/>
      </c>
      <c r="W187">
        <f>HYPERLINK("https://klasma.github.io/Logging_2309/klagomålsmail/A 47338-2023 FSC-klagomål mail.docx", "A 47338-2023")</f>
        <v/>
      </c>
      <c r="X187">
        <f>HYPERLINK("https://klasma.github.io/Logging_2309/tillsyn/A 47338-2023 tillsynsbegäran.docx", "A 47338-2023")</f>
        <v/>
      </c>
      <c r="Y187">
        <f>HYPERLINK("https://klasma.github.io/Logging_2309/tillsynsmail/A 47338-2023 tillsynsbegäran mail.docx", "A 47338-2023")</f>
        <v/>
      </c>
    </row>
    <row r="188" ht="15" customHeight="1">
      <c r="A188" t="inlineStr">
        <is>
          <t>A 56572-2023</t>
        </is>
      </c>
      <c r="B188" s="1" t="n">
        <v>45243</v>
      </c>
      <c r="C188" s="1" t="n">
        <v>45349</v>
      </c>
      <c r="D188" t="inlineStr">
        <is>
          <t>JÄMTLANDS LÄN</t>
        </is>
      </c>
      <c r="E188" t="inlineStr">
        <is>
          <t>KROKOM</t>
        </is>
      </c>
      <c r="F188" t="inlineStr">
        <is>
          <t>Övriga Aktiebolag</t>
        </is>
      </c>
      <c r="G188" t="n">
        <v>0.8</v>
      </c>
      <c r="H188" t="n">
        <v>1</v>
      </c>
      <c r="I188" t="n">
        <v>0</v>
      </c>
      <c r="J188" t="n">
        <v>0</v>
      </c>
      <c r="K188" t="n">
        <v>0</v>
      </c>
      <c r="L188" t="n">
        <v>0</v>
      </c>
      <c r="M188" t="n">
        <v>0</v>
      </c>
      <c r="N188" t="n">
        <v>0</v>
      </c>
      <c r="O188" t="n">
        <v>0</v>
      </c>
      <c r="P188" t="n">
        <v>0</v>
      </c>
      <c r="Q188" t="n">
        <v>1</v>
      </c>
      <c r="R188" s="2" t="inlineStr">
        <is>
          <t>Vanlig groda</t>
        </is>
      </c>
      <c r="S188">
        <f>HYPERLINK("https://klasma.github.io/Logging_2309/artfynd/A 56572-2023 artfynd.xlsx", "A 56572-2023")</f>
        <v/>
      </c>
      <c r="T188">
        <f>HYPERLINK("https://klasma.github.io/Logging_2309/kartor/A 56572-2023 karta.png", "A 56572-2023")</f>
        <v/>
      </c>
      <c r="V188">
        <f>HYPERLINK("https://klasma.github.io/Logging_2309/klagomål/A 56572-2023 FSC-klagomål.docx", "A 56572-2023")</f>
        <v/>
      </c>
      <c r="W188">
        <f>HYPERLINK("https://klasma.github.io/Logging_2309/klagomålsmail/A 56572-2023 FSC-klagomål mail.docx", "A 56572-2023")</f>
        <v/>
      </c>
      <c r="X188">
        <f>HYPERLINK("https://klasma.github.io/Logging_2309/tillsyn/A 56572-2023 tillsynsbegäran.docx", "A 56572-2023")</f>
        <v/>
      </c>
      <c r="Y188">
        <f>HYPERLINK("https://klasma.github.io/Logging_2309/tillsynsmail/A 56572-2023 tillsynsbegäran mail.docx", "A 56572-2023")</f>
        <v/>
      </c>
    </row>
    <row r="189" ht="15" customHeight="1">
      <c r="A189" t="inlineStr">
        <is>
          <t>A 56628-2023</t>
        </is>
      </c>
      <c r="B189" s="1" t="n">
        <v>45243</v>
      </c>
      <c r="C189" s="1" t="n">
        <v>45349</v>
      </c>
      <c r="D189" t="inlineStr">
        <is>
          <t>JÄMTLANDS LÄN</t>
        </is>
      </c>
      <c r="E189" t="inlineStr">
        <is>
          <t>KROKOM</t>
        </is>
      </c>
      <c r="G189" t="n">
        <v>17.8</v>
      </c>
      <c r="H189" t="n">
        <v>1</v>
      </c>
      <c r="I189" t="n">
        <v>0</v>
      </c>
      <c r="J189" t="n">
        <v>0</v>
      </c>
      <c r="K189" t="n">
        <v>0</v>
      </c>
      <c r="L189" t="n">
        <v>0</v>
      </c>
      <c r="M189" t="n">
        <v>0</v>
      </c>
      <c r="N189" t="n">
        <v>0</v>
      </c>
      <c r="O189" t="n">
        <v>0</v>
      </c>
      <c r="P189" t="n">
        <v>0</v>
      </c>
      <c r="Q189" t="n">
        <v>1</v>
      </c>
      <c r="R189" s="2" t="inlineStr">
        <is>
          <t>Blåsippa</t>
        </is>
      </c>
      <c r="S189">
        <f>HYPERLINK("https://klasma.github.io/Logging_2309/artfynd/A 56628-2023 artfynd.xlsx", "A 56628-2023")</f>
        <v/>
      </c>
      <c r="T189">
        <f>HYPERLINK("https://klasma.github.io/Logging_2309/kartor/A 56628-2023 karta.png", "A 56628-2023")</f>
        <v/>
      </c>
      <c r="V189">
        <f>HYPERLINK("https://klasma.github.io/Logging_2309/klagomål/A 56628-2023 FSC-klagomål.docx", "A 56628-2023")</f>
        <v/>
      </c>
      <c r="W189">
        <f>HYPERLINK("https://klasma.github.io/Logging_2309/klagomålsmail/A 56628-2023 FSC-klagomål mail.docx", "A 56628-2023")</f>
        <v/>
      </c>
      <c r="X189">
        <f>HYPERLINK("https://klasma.github.io/Logging_2309/tillsyn/A 56628-2023 tillsynsbegäran.docx", "A 56628-2023")</f>
        <v/>
      </c>
      <c r="Y189">
        <f>HYPERLINK("https://klasma.github.io/Logging_2309/tillsynsmail/A 56628-2023 tillsynsbegäran mail.docx", "A 56628-2023")</f>
        <v/>
      </c>
    </row>
    <row r="190" ht="15" customHeight="1">
      <c r="A190" t="inlineStr">
        <is>
          <t>A 62936-2023</t>
        </is>
      </c>
      <c r="B190" s="1" t="n">
        <v>45271</v>
      </c>
      <c r="C190" s="1" t="n">
        <v>45349</v>
      </c>
      <c r="D190" t="inlineStr">
        <is>
          <t>JÄMTLANDS LÄN</t>
        </is>
      </c>
      <c r="E190" t="inlineStr">
        <is>
          <t>KROKOM</t>
        </is>
      </c>
      <c r="G190" t="n">
        <v>46.4</v>
      </c>
      <c r="H190" t="n">
        <v>0</v>
      </c>
      <c r="I190" t="n">
        <v>1</v>
      </c>
      <c r="J190" t="n">
        <v>0</v>
      </c>
      <c r="K190" t="n">
        <v>0</v>
      </c>
      <c r="L190" t="n">
        <v>0</v>
      </c>
      <c r="M190" t="n">
        <v>0</v>
      </c>
      <c r="N190" t="n">
        <v>0</v>
      </c>
      <c r="O190" t="n">
        <v>0</v>
      </c>
      <c r="P190" t="n">
        <v>0</v>
      </c>
      <c r="Q190" t="n">
        <v>1</v>
      </c>
      <c r="R190" s="2" t="inlineStr">
        <is>
          <t>Stuplav</t>
        </is>
      </c>
      <c r="S190">
        <f>HYPERLINK("https://klasma.github.io/Logging_2309/artfynd/A 62936-2023 artfynd.xlsx", "A 62936-2023")</f>
        <v/>
      </c>
      <c r="T190">
        <f>HYPERLINK("https://klasma.github.io/Logging_2309/kartor/A 62936-2023 karta.png", "A 62936-2023")</f>
        <v/>
      </c>
      <c r="V190">
        <f>HYPERLINK("https://klasma.github.io/Logging_2309/klagomål/A 62936-2023 FSC-klagomål.docx", "A 62936-2023")</f>
        <v/>
      </c>
      <c r="W190">
        <f>HYPERLINK("https://klasma.github.io/Logging_2309/klagomålsmail/A 62936-2023 FSC-klagomål mail.docx", "A 62936-2023")</f>
        <v/>
      </c>
      <c r="X190">
        <f>HYPERLINK("https://klasma.github.io/Logging_2309/tillsyn/A 62936-2023 tillsynsbegäran.docx", "A 62936-2023")</f>
        <v/>
      </c>
      <c r="Y190">
        <f>HYPERLINK("https://klasma.github.io/Logging_2309/tillsynsmail/A 62936-2023 tillsynsbegäran mail.docx", "A 62936-2023")</f>
        <v/>
      </c>
    </row>
    <row r="191" ht="15" customHeight="1">
      <c r="A191" t="inlineStr">
        <is>
          <t>A 36530-2018</t>
        </is>
      </c>
      <c r="B191" s="1" t="n">
        <v>43328</v>
      </c>
      <c r="C191" s="1" t="n">
        <v>45349</v>
      </c>
      <c r="D191" t="inlineStr">
        <is>
          <t>JÄMTLANDS LÄN</t>
        </is>
      </c>
      <c r="E191" t="inlineStr">
        <is>
          <t>KROKOM</t>
        </is>
      </c>
      <c r="G191" t="n">
        <v>5.7</v>
      </c>
      <c r="H191" t="n">
        <v>0</v>
      </c>
      <c r="I191" t="n">
        <v>0</v>
      </c>
      <c r="J191" t="n">
        <v>0</v>
      </c>
      <c r="K191" t="n">
        <v>0</v>
      </c>
      <c r="L191" t="n">
        <v>0</v>
      </c>
      <c r="M191" t="n">
        <v>0</v>
      </c>
      <c r="N191" t="n">
        <v>0</v>
      </c>
      <c r="O191" t="n">
        <v>0</v>
      </c>
      <c r="P191" t="n">
        <v>0</v>
      </c>
      <c r="Q191" t="n">
        <v>0</v>
      </c>
      <c r="R191" s="2" t="inlineStr"/>
    </row>
    <row r="192" ht="15" customHeight="1">
      <c r="A192" t="inlineStr">
        <is>
          <t>A 37954-2018</t>
        </is>
      </c>
      <c r="B192" s="1" t="n">
        <v>43334</v>
      </c>
      <c r="C192" s="1" t="n">
        <v>45349</v>
      </c>
      <c r="D192" t="inlineStr">
        <is>
          <t>JÄMTLANDS LÄN</t>
        </is>
      </c>
      <c r="E192" t="inlineStr">
        <is>
          <t>KROKOM</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37698-2018</t>
        </is>
      </c>
      <c r="B193" s="1" t="n">
        <v>43335</v>
      </c>
      <c r="C193" s="1" t="n">
        <v>45349</v>
      </c>
      <c r="D193" t="inlineStr">
        <is>
          <t>JÄMTLANDS LÄN</t>
        </is>
      </c>
      <c r="E193" t="inlineStr">
        <is>
          <t>KROKOM</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37779-2018</t>
        </is>
      </c>
      <c r="B194" s="1" t="n">
        <v>43335</v>
      </c>
      <c r="C194" s="1" t="n">
        <v>45349</v>
      </c>
      <c r="D194" t="inlineStr">
        <is>
          <t>JÄMTLANDS LÄN</t>
        </is>
      </c>
      <c r="E194" t="inlineStr">
        <is>
          <t>KROKOM</t>
        </is>
      </c>
      <c r="F194" t="inlineStr">
        <is>
          <t>Övriga Aktiebolag</t>
        </is>
      </c>
      <c r="G194" t="n">
        <v>32.2</v>
      </c>
      <c r="H194" t="n">
        <v>0</v>
      </c>
      <c r="I194" t="n">
        <v>0</v>
      </c>
      <c r="J194" t="n">
        <v>0</v>
      </c>
      <c r="K194" t="n">
        <v>0</v>
      </c>
      <c r="L194" t="n">
        <v>0</v>
      </c>
      <c r="M194" t="n">
        <v>0</v>
      </c>
      <c r="N194" t="n">
        <v>0</v>
      </c>
      <c r="O194" t="n">
        <v>0</v>
      </c>
      <c r="P194" t="n">
        <v>0</v>
      </c>
      <c r="Q194" t="n">
        <v>0</v>
      </c>
      <c r="R194" s="2" t="inlineStr"/>
    </row>
    <row r="195" ht="15" customHeight="1">
      <c r="A195" t="inlineStr">
        <is>
          <t>A 39048-2018</t>
        </is>
      </c>
      <c r="B195" s="1" t="n">
        <v>43340</v>
      </c>
      <c r="C195" s="1" t="n">
        <v>45349</v>
      </c>
      <c r="D195" t="inlineStr">
        <is>
          <t>JÄMTLANDS LÄN</t>
        </is>
      </c>
      <c r="E195" t="inlineStr">
        <is>
          <t>KROKOM</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39668-2018</t>
        </is>
      </c>
      <c r="B196" s="1" t="n">
        <v>43342</v>
      </c>
      <c r="C196" s="1" t="n">
        <v>45349</v>
      </c>
      <c r="D196" t="inlineStr">
        <is>
          <t>JÄMTLANDS LÄN</t>
        </is>
      </c>
      <c r="E196" t="inlineStr">
        <is>
          <t>KROKOM</t>
        </is>
      </c>
      <c r="G196" t="n">
        <v>0.6</v>
      </c>
      <c r="H196" t="n">
        <v>0</v>
      </c>
      <c r="I196" t="n">
        <v>0</v>
      </c>
      <c r="J196" t="n">
        <v>0</v>
      </c>
      <c r="K196" t="n">
        <v>0</v>
      </c>
      <c r="L196" t="n">
        <v>0</v>
      </c>
      <c r="M196" t="n">
        <v>0</v>
      </c>
      <c r="N196" t="n">
        <v>0</v>
      </c>
      <c r="O196" t="n">
        <v>0</v>
      </c>
      <c r="P196" t="n">
        <v>0</v>
      </c>
      <c r="Q196" t="n">
        <v>0</v>
      </c>
      <c r="R196" s="2" t="inlineStr"/>
    </row>
    <row r="197" ht="15" customHeight="1">
      <c r="A197" t="inlineStr">
        <is>
          <t>A 39775-2018</t>
        </is>
      </c>
      <c r="B197" s="1" t="n">
        <v>43342</v>
      </c>
      <c r="C197" s="1" t="n">
        <v>45349</v>
      </c>
      <c r="D197" t="inlineStr">
        <is>
          <t>JÄMTLANDS LÄN</t>
        </is>
      </c>
      <c r="E197" t="inlineStr">
        <is>
          <t>KROKOM</t>
        </is>
      </c>
      <c r="G197" t="n">
        <v>2.6</v>
      </c>
      <c r="H197" t="n">
        <v>0</v>
      </c>
      <c r="I197" t="n">
        <v>0</v>
      </c>
      <c r="J197" t="n">
        <v>0</v>
      </c>
      <c r="K197" t="n">
        <v>0</v>
      </c>
      <c r="L197" t="n">
        <v>0</v>
      </c>
      <c r="M197" t="n">
        <v>0</v>
      </c>
      <c r="N197" t="n">
        <v>0</v>
      </c>
      <c r="O197" t="n">
        <v>0</v>
      </c>
      <c r="P197" t="n">
        <v>0</v>
      </c>
      <c r="Q197" t="n">
        <v>0</v>
      </c>
      <c r="R197" s="2" t="inlineStr"/>
    </row>
    <row r="198" ht="15" customHeight="1">
      <c r="A198" t="inlineStr">
        <is>
          <t>A 40873-2018</t>
        </is>
      </c>
      <c r="B198" s="1" t="n">
        <v>43346</v>
      </c>
      <c r="C198" s="1" t="n">
        <v>45349</v>
      </c>
      <c r="D198" t="inlineStr">
        <is>
          <t>JÄMTLANDS LÄN</t>
        </is>
      </c>
      <c r="E198" t="inlineStr">
        <is>
          <t>KROKOM</t>
        </is>
      </c>
      <c r="G198" t="n">
        <v>2.5</v>
      </c>
      <c r="H198" t="n">
        <v>0</v>
      </c>
      <c r="I198" t="n">
        <v>0</v>
      </c>
      <c r="J198" t="n">
        <v>0</v>
      </c>
      <c r="K198" t="n">
        <v>0</v>
      </c>
      <c r="L198" t="n">
        <v>0</v>
      </c>
      <c r="M198" t="n">
        <v>0</v>
      </c>
      <c r="N198" t="n">
        <v>0</v>
      </c>
      <c r="O198" t="n">
        <v>0</v>
      </c>
      <c r="P198" t="n">
        <v>0</v>
      </c>
      <c r="Q198" t="n">
        <v>0</v>
      </c>
      <c r="R198" s="2" t="inlineStr"/>
    </row>
    <row r="199" ht="15" customHeight="1">
      <c r="A199" t="inlineStr">
        <is>
          <t>A 42654-2018</t>
        </is>
      </c>
      <c r="B199" s="1" t="n">
        <v>43350</v>
      </c>
      <c r="C199" s="1" t="n">
        <v>45349</v>
      </c>
      <c r="D199" t="inlineStr">
        <is>
          <t>JÄMTLANDS LÄN</t>
        </is>
      </c>
      <c r="E199" t="inlineStr">
        <is>
          <t>KROKOM</t>
        </is>
      </c>
      <c r="G199" t="n">
        <v>4.7</v>
      </c>
      <c r="H199" t="n">
        <v>0</v>
      </c>
      <c r="I199" t="n">
        <v>0</v>
      </c>
      <c r="J199" t="n">
        <v>0</v>
      </c>
      <c r="K199" t="n">
        <v>0</v>
      </c>
      <c r="L199" t="n">
        <v>0</v>
      </c>
      <c r="M199" t="n">
        <v>0</v>
      </c>
      <c r="N199" t="n">
        <v>0</v>
      </c>
      <c r="O199" t="n">
        <v>0</v>
      </c>
      <c r="P199" t="n">
        <v>0</v>
      </c>
      <c r="Q199" t="n">
        <v>0</v>
      </c>
      <c r="R199" s="2" t="inlineStr"/>
    </row>
    <row r="200" ht="15" customHeight="1">
      <c r="A200" t="inlineStr">
        <is>
          <t>A 42660-2018</t>
        </is>
      </c>
      <c r="B200" s="1" t="n">
        <v>43350</v>
      </c>
      <c r="C200" s="1" t="n">
        <v>45349</v>
      </c>
      <c r="D200" t="inlineStr">
        <is>
          <t>JÄMTLANDS LÄN</t>
        </is>
      </c>
      <c r="E200" t="inlineStr">
        <is>
          <t>KROKOM</t>
        </is>
      </c>
      <c r="G200" t="n">
        <v>6.6</v>
      </c>
      <c r="H200" t="n">
        <v>0</v>
      </c>
      <c r="I200" t="n">
        <v>0</v>
      </c>
      <c r="J200" t="n">
        <v>0</v>
      </c>
      <c r="K200" t="n">
        <v>0</v>
      </c>
      <c r="L200" t="n">
        <v>0</v>
      </c>
      <c r="M200" t="n">
        <v>0</v>
      </c>
      <c r="N200" t="n">
        <v>0</v>
      </c>
      <c r="O200" t="n">
        <v>0</v>
      </c>
      <c r="P200" t="n">
        <v>0</v>
      </c>
      <c r="Q200" t="n">
        <v>0</v>
      </c>
      <c r="R200" s="2" t="inlineStr"/>
    </row>
    <row r="201" ht="15" customHeight="1">
      <c r="A201" t="inlineStr">
        <is>
          <t>A 42173-2018</t>
        </is>
      </c>
      <c r="B201" s="1" t="n">
        <v>43353</v>
      </c>
      <c r="C201" s="1" t="n">
        <v>45349</v>
      </c>
      <c r="D201" t="inlineStr">
        <is>
          <t>JÄMTLANDS LÄN</t>
        </is>
      </c>
      <c r="E201" t="inlineStr">
        <is>
          <t>KROKOM</t>
        </is>
      </c>
      <c r="G201" t="n">
        <v>0.8</v>
      </c>
      <c r="H201" t="n">
        <v>0</v>
      </c>
      <c r="I201" t="n">
        <v>0</v>
      </c>
      <c r="J201" t="n">
        <v>0</v>
      </c>
      <c r="K201" t="n">
        <v>0</v>
      </c>
      <c r="L201" t="n">
        <v>0</v>
      </c>
      <c r="M201" t="n">
        <v>0</v>
      </c>
      <c r="N201" t="n">
        <v>0</v>
      </c>
      <c r="O201" t="n">
        <v>0</v>
      </c>
      <c r="P201" t="n">
        <v>0</v>
      </c>
      <c r="Q201" t="n">
        <v>0</v>
      </c>
      <c r="R201" s="2" t="inlineStr"/>
    </row>
    <row r="202" ht="15" customHeight="1">
      <c r="A202" t="inlineStr">
        <is>
          <t>A 43619-2018</t>
        </is>
      </c>
      <c r="B202" s="1" t="n">
        <v>43357</v>
      </c>
      <c r="C202" s="1" t="n">
        <v>45349</v>
      </c>
      <c r="D202" t="inlineStr">
        <is>
          <t>JÄMTLANDS LÄN</t>
        </is>
      </c>
      <c r="E202" t="inlineStr">
        <is>
          <t>KROKOM</t>
        </is>
      </c>
      <c r="G202" t="n">
        <v>30.5</v>
      </c>
      <c r="H202" t="n">
        <v>0</v>
      </c>
      <c r="I202" t="n">
        <v>0</v>
      </c>
      <c r="J202" t="n">
        <v>0</v>
      </c>
      <c r="K202" t="n">
        <v>0</v>
      </c>
      <c r="L202" t="n">
        <v>0</v>
      </c>
      <c r="M202" t="n">
        <v>0</v>
      </c>
      <c r="N202" t="n">
        <v>0</v>
      </c>
      <c r="O202" t="n">
        <v>0</v>
      </c>
      <c r="P202" t="n">
        <v>0</v>
      </c>
      <c r="Q202" t="n">
        <v>0</v>
      </c>
      <c r="R202" s="2" t="inlineStr"/>
    </row>
    <row r="203" ht="15" customHeight="1">
      <c r="A203" t="inlineStr">
        <is>
          <t>A 43773-2018</t>
        </is>
      </c>
      <c r="B203" s="1" t="n">
        <v>43357</v>
      </c>
      <c r="C203" s="1" t="n">
        <v>45349</v>
      </c>
      <c r="D203" t="inlineStr">
        <is>
          <t>JÄMTLANDS LÄN</t>
        </is>
      </c>
      <c r="E203" t="inlineStr">
        <is>
          <t>KROKOM</t>
        </is>
      </c>
      <c r="G203" t="n">
        <v>2.6</v>
      </c>
      <c r="H203" t="n">
        <v>0</v>
      </c>
      <c r="I203" t="n">
        <v>0</v>
      </c>
      <c r="J203" t="n">
        <v>0</v>
      </c>
      <c r="K203" t="n">
        <v>0</v>
      </c>
      <c r="L203" t="n">
        <v>0</v>
      </c>
      <c r="M203" t="n">
        <v>0</v>
      </c>
      <c r="N203" t="n">
        <v>0</v>
      </c>
      <c r="O203" t="n">
        <v>0</v>
      </c>
      <c r="P203" t="n">
        <v>0</v>
      </c>
      <c r="Q203" t="n">
        <v>0</v>
      </c>
      <c r="R203" s="2" t="inlineStr"/>
    </row>
    <row r="204" ht="15" customHeight="1">
      <c r="A204" t="inlineStr">
        <is>
          <t>A 45885-2018</t>
        </is>
      </c>
      <c r="B204" s="1" t="n">
        <v>43362</v>
      </c>
      <c r="C204" s="1" t="n">
        <v>45349</v>
      </c>
      <c r="D204" t="inlineStr">
        <is>
          <t>JÄMTLANDS LÄN</t>
        </is>
      </c>
      <c r="E204" t="inlineStr">
        <is>
          <t>KROKOM</t>
        </is>
      </c>
      <c r="G204" t="n">
        <v>1</v>
      </c>
      <c r="H204" t="n">
        <v>0</v>
      </c>
      <c r="I204" t="n">
        <v>0</v>
      </c>
      <c r="J204" t="n">
        <v>0</v>
      </c>
      <c r="K204" t="n">
        <v>0</v>
      </c>
      <c r="L204" t="n">
        <v>0</v>
      </c>
      <c r="M204" t="n">
        <v>0</v>
      </c>
      <c r="N204" t="n">
        <v>0</v>
      </c>
      <c r="O204" t="n">
        <v>0</v>
      </c>
      <c r="P204" t="n">
        <v>0</v>
      </c>
      <c r="Q204" t="n">
        <v>0</v>
      </c>
      <c r="R204" s="2" t="inlineStr"/>
    </row>
    <row r="205" ht="15" customHeight="1">
      <c r="A205" t="inlineStr">
        <is>
          <t>A 45894-2018</t>
        </is>
      </c>
      <c r="B205" s="1" t="n">
        <v>43362</v>
      </c>
      <c r="C205" s="1" t="n">
        <v>45349</v>
      </c>
      <c r="D205" t="inlineStr">
        <is>
          <t>JÄMTLANDS LÄN</t>
        </is>
      </c>
      <c r="E205" t="inlineStr">
        <is>
          <t>KROKOM</t>
        </is>
      </c>
      <c r="G205" t="n">
        <v>6.8</v>
      </c>
      <c r="H205" t="n">
        <v>0</v>
      </c>
      <c r="I205" t="n">
        <v>0</v>
      </c>
      <c r="J205" t="n">
        <v>0</v>
      </c>
      <c r="K205" t="n">
        <v>0</v>
      </c>
      <c r="L205" t="n">
        <v>0</v>
      </c>
      <c r="M205" t="n">
        <v>0</v>
      </c>
      <c r="N205" t="n">
        <v>0</v>
      </c>
      <c r="O205" t="n">
        <v>0</v>
      </c>
      <c r="P205" t="n">
        <v>0</v>
      </c>
      <c r="Q205" t="n">
        <v>0</v>
      </c>
      <c r="R205" s="2" t="inlineStr"/>
    </row>
    <row r="206" ht="15" customHeight="1">
      <c r="A206" t="inlineStr">
        <is>
          <t>A 45886-2018</t>
        </is>
      </c>
      <c r="B206" s="1" t="n">
        <v>43362</v>
      </c>
      <c r="C206" s="1" t="n">
        <v>45349</v>
      </c>
      <c r="D206" t="inlineStr">
        <is>
          <t>JÄMTLANDS LÄN</t>
        </is>
      </c>
      <c r="E206" t="inlineStr">
        <is>
          <t>KROKOM</t>
        </is>
      </c>
      <c r="G206" t="n">
        <v>18.5</v>
      </c>
      <c r="H206" t="n">
        <v>0</v>
      </c>
      <c r="I206" t="n">
        <v>0</v>
      </c>
      <c r="J206" t="n">
        <v>0</v>
      </c>
      <c r="K206" t="n">
        <v>0</v>
      </c>
      <c r="L206" t="n">
        <v>0</v>
      </c>
      <c r="M206" t="n">
        <v>0</v>
      </c>
      <c r="N206" t="n">
        <v>0</v>
      </c>
      <c r="O206" t="n">
        <v>0</v>
      </c>
      <c r="P206" t="n">
        <v>0</v>
      </c>
      <c r="Q206" t="n">
        <v>0</v>
      </c>
      <c r="R206" s="2" t="inlineStr"/>
    </row>
    <row r="207" ht="15" customHeight="1">
      <c r="A207" t="inlineStr">
        <is>
          <t>A 45745-2018</t>
        </is>
      </c>
      <c r="B207" s="1" t="n">
        <v>43364</v>
      </c>
      <c r="C207" s="1" t="n">
        <v>45349</v>
      </c>
      <c r="D207" t="inlineStr">
        <is>
          <t>JÄMTLANDS LÄN</t>
        </is>
      </c>
      <c r="E207" t="inlineStr">
        <is>
          <t>KROKOM</t>
        </is>
      </c>
      <c r="G207" t="n">
        <v>15</v>
      </c>
      <c r="H207" t="n">
        <v>0</v>
      </c>
      <c r="I207" t="n">
        <v>0</v>
      </c>
      <c r="J207" t="n">
        <v>0</v>
      </c>
      <c r="K207" t="n">
        <v>0</v>
      </c>
      <c r="L207" t="n">
        <v>0</v>
      </c>
      <c r="M207" t="n">
        <v>0</v>
      </c>
      <c r="N207" t="n">
        <v>0</v>
      </c>
      <c r="O207" t="n">
        <v>0</v>
      </c>
      <c r="P207" t="n">
        <v>0</v>
      </c>
      <c r="Q207" t="n">
        <v>0</v>
      </c>
      <c r="R207" s="2" t="inlineStr"/>
    </row>
    <row r="208" ht="15" customHeight="1">
      <c r="A208" t="inlineStr">
        <is>
          <t>A 72678-2018</t>
        </is>
      </c>
      <c r="B208" s="1" t="n">
        <v>43389</v>
      </c>
      <c r="C208" s="1" t="n">
        <v>45349</v>
      </c>
      <c r="D208" t="inlineStr">
        <is>
          <t>JÄMTLANDS LÄN</t>
        </is>
      </c>
      <c r="E208" t="inlineStr">
        <is>
          <t>KROKOM</t>
        </is>
      </c>
      <c r="G208" t="n">
        <v>1.1</v>
      </c>
      <c r="H208" t="n">
        <v>0</v>
      </c>
      <c r="I208" t="n">
        <v>0</v>
      </c>
      <c r="J208" t="n">
        <v>0</v>
      </c>
      <c r="K208" t="n">
        <v>0</v>
      </c>
      <c r="L208" t="n">
        <v>0</v>
      </c>
      <c r="M208" t="n">
        <v>0</v>
      </c>
      <c r="N208" t="n">
        <v>0</v>
      </c>
      <c r="O208" t="n">
        <v>0</v>
      </c>
      <c r="P208" t="n">
        <v>0</v>
      </c>
      <c r="Q208" t="n">
        <v>0</v>
      </c>
      <c r="R208" s="2" t="inlineStr"/>
    </row>
    <row r="209" ht="15" customHeight="1">
      <c r="A209" t="inlineStr">
        <is>
          <t>A 54083-2018</t>
        </is>
      </c>
      <c r="B209" s="1" t="n">
        <v>43392</v>
      </c>
      <c r="C209" s="1" t="n">
        <v>45349</v>
      </c>
      <c r="D209" t="inlineStr">
        <is>
          <t>JÄMTLANDS LÄN</t>
        </is>
      </c>
      <c r="E209" t="inlineStr">
        <is>
          <t>KROKOM</t>
        </is>
      </c>
      <c r="G209" t="n">
        <v>12</v>
      </c>
      <c r="H209" t="n">
        <v>0</v>
      </c>
      <c r="I209" t="n">
        <v>0</v>
      </c>
      <c r="J209" t="n">
        <v>0</v>
      </c>
      <c r="K209" t="n">
        <v>0</v>
      </c>
      <c r="L209" t="n">
        <v>0</v>
      </c>
      <c r="M209" t="n">
        <v>0</v>
      </c>
      <c r="N209" t="n">
        <v>0</v>
      </c>
      <c r="O209" t="n">
        <v>0</v>
      </c>
      <c r="P209" t="n">
        <v>0</v>
      </c>
      <c r="Q209" t="n">
        <v>0</v>
      </c>
      <c r="R209" s="2" t="inlineStr"/>
    </row>
    <row r="210" ht="15" customHeight="1">
      <c r="A210" t="inlineStr">
        <is>
          <t>A 60253-2018</t>
        </is>
      </c>
      <c r="B210" s="1" t="n">
        <v>43412</v>
      </c>
      <c r="C210" s="1" t="n">
        <v>45349</v>
      </c>
      <c r="D210" t="inlineStr">
        <is>
          <t>JÄMTLANDS LÄN</t>
        </is>
      </c>
      <c r="E210" t="inlineStr">
        <is>
          <t>KROKOM</t>
        </is>
      </c>
      <c r="F210" t="inlineStr">
        <is>
          <t>Övriga Aktiebolag</t>
        </is>
      </c>
      <c r="G210" t="n">
        <v>33.6</v>
      </c>
      <c r="H210" t="n">
        <v>0</v>
      </c>
      <c r="I210" t="n">
        <v>0</v>
      </c>
      <c r="J210" t="n">
        <v>0</v>
      </c>
      <c r="K210" t="n">
        <v>0</v>
      </c>
      <c r="L210" t="n">
        <v>0</v>
      </c>
      <c r="M210" t="n">
        <v>0</v>
      </c>
      <c r="N210" t="n">
        <v>0</v>
      </c>
      <c r="O210" t="n">
        <v>0</v>
      </c>
      <c r="P210" t="n">
        <v>0</v>
      </c>
      <c r="Q210" t="n">
        <v>0</v>
      </c>
      <c r="R210" s="2" t="inlineStr"/>
    </row>
    <row r="211" ht="15" customHeight="1">
      <c r="A211" t="inlineStr">
        <is>
          <t>A 61191-2018</t>
        </is>
      </c>
      <c r="B211" s="1" t="n">
        <v>43412</v>
      </c>
      <c r="C211" s="1" t="n">
        <v>45349</v>
      </c>
      <c r="D211" t="inlineStr">
        <is>
          <t>JÄMTLANDS LÄN</t>
        </is>
      </c>
      <c r="E211" t="inlineStr">
        <is>
          <t>KROKOM</t>
        </is>
      </c>
      <c r="G211" t="n">
        <v>1.5</v>
      </c>
      <c r="H211" t="n">
        <v>0</v>
      </c>
      <c r="I211" t="n">
        <v>0</v>
      </c>
      <c r="J211" t="n">
        <v>0</v>
      </c>
      <c r="K211" t="n">
        <v>0</v>
      </c>
      <c r="L211" t="n">
        <v>0</v>
      </c>
      <c r="M211" t="n">
        <v>0</v>
      </c>
      <c r="N211" t="n">
        <v>0</v>
      </c>
      <c r="O211" t="n">
        <v>0</v>
      </c>
      <c r="P211" t="n">
        <v>0</v>
      </c>
      <c r="Q211" t="n">
        <v>0</v>
      </c>
      <c r="R211" s="2" t="inlineStr"/>
    </row>
    <row r="212" ht="15" customHeight="1">
      <c r="A212" t="inlineStr">
        <is>
          <t>A 61197-2018</t>
        </is>
      </c>
      <c r="B212" s="1" t="n">
        <v>43412</v>
      </c>
      <c r="C212" s="1" t="n">
        <v>45349</v>
      </c>
      <c r="D212" t="inlineStr">
        <is>
          <t>JÄMTLANDS LÄN</t>
        </is>
      </c>
      <c r="E212" t="inlineStr">
        <is>
          <t>KROKOM</t>
        </is>
      </c>
      <c r="G212" t="n">
        <v>3.5</v>
      </c>
      <c r="H212" t="n">
        <v>0</v>
      </c>
      <c r="I212" t="n">
        <v>0</v>
      </c>
      <c r="J212" t="n">
        <v>0</v>
      </c>
      <c r="K212" t="n">
        <v>0</v>
      </c>
      <c r="L212" t="n">
        <v>0</v>
      </c>
      <c r="M212" t="n">
        <v>0</v>
      </c>
      <c r="N212" t="n">
        <v>0</v>
      </c>
      <c r="O212" t="n">
        <v>0</v>
      </c>
      <c r="P212" t="n">
        <v>0</v>
      </c>
      <c r="Q212" t="n">
        <v>0</v>
      </c>
      <c r="R212" s="2" t="inlineStr"/>
    </row>
    <row r="213" ht="15" customHeight="1">
      <c r="A213" t="inlineStr">
        <is>
          <t>A 61879-2018</t>
        </is>
      </c>
      <c r="B213" s="1" t="n">
        <v>43413</v>
      </c>
      <c r="C213" s="1" t="n">
        <v>45349</v>
      </c>
      <c r="D213" t="inlineStr">
        <is>
          <t>JÄMTLANDS LÄN</t>
        </is>
      </c>
      <c r="E213" t="inlineStr">
        <is>
          <t>KROKOM</t>
        </is>
      </c>
      <c r="F213" t="inlineStr">
        <is>
          <t>Övriga Aktiebolag</t>
        </is>
      </c>
      <c r="G213" t="n">
        <v>28</v>
      </c>
      <c r="H213" t="n">
        <v>0</v>
      </c>
      <c r="I213" t="n">
        <v>0</v>
      </c>
      <c r="J213" t="n">
        <v>0</v>
      </c>
      <c r="K213" t="n">
        <v>0</v>
      </c>
      <c r="L213" t="n">
        <v>0</v>
      </c>
      <c r="M213" t="n">
        <v>0</v>
      </c>
      <c r="N213" t="n">
        <v>0</v>
      </c>
      <c r="O213" t="n">
        <v>0</v>
      </c>
      <c r="P213" t="n">
        <v>0</v>
      </c>
      <c r="Q213" t="n">
        <v>0</v>
      </c>
      <c r="R213" s="2" t="inlineStr"/>
    </row>
    <row r="214" ht="15" customHeight="1">
      <c r="A214" t="inlineStr">
        <is>
          <t>A 62713-2018</t>
        </is>
      </c>
      <c r="B214" s="1" t="n">
        <v>43413</v>
      </c>
      <c r="C214" s="1" t="n">
        <v>45349</v>
      </c>
      <c r="D214" t="inlineStr">
        <is>
          <t>JÄMTLANDS LÄN</t>
        </is>
      </c>
      <c r="E214" t="inlineStr">
        <is>
          <t>KROKOM</t>
        </is>
      </c>
      <c r="F214" t="inlineStr">
        <is>
          <t>Övriga Aktiebolag</t>
        </is>
      </c>
      <c r="G214" t="n">
        <v>2.5</v>
      </c>
      <c r="H214" t="n">
        <v>0</v>
      </c>
      <c r="I214" t="n">
        <v>0</v>
      </c>
      <c r="J214" t="n">
        <v>0</v>
      </c>
      <c r="K214" t="n">
        <v>0</v>
      </c>
      <c r="L214" t="n">
        <v>0</v>
      </c>
      <c r="M214" t="n">
        <v>0</v>
      </c>
      <c r="N214" t="n">
        <v>0</v>
      </c>
      <c r="O214" t="n">
        <v>0</v>
      </c>
      <c r="P214" t="n">
        <v>0</v>
      </c>
      <c r="Q214" t="n">
        <v>0</v>
      </c>
      <c r="R214" s="2" t="inlineStr"/>
    </row>
    <row r="215" ht="15" customHeight="1">
      <c r="A215" t="inlineStr">
        <is>
          <t>A 62724-2018</t>
        </is>
      </c>
      <c r="B215" s="1" t="n">
        <v>43413</v>
      </c>
      <c r="C215" s="1" t="n">
        <v>45349</v>
      </c>
      <c r="D215" t="inlineStr">
        <is>
          <t>JÄMTLANDS LÄN</t>
        </is>
      </c>
      <c r="E215" t="inlineStr">
        <is>
          <t>KROKOM</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60511-2018</t>
        </is>
      </c>
      <c r="B216" s="1" t="n">
        <v>43420</v>
      </c>
      <c r="C216" s="1" t="n">
        <v>45349</v>
      </c>
      <c r="D216" t="inlineStr">
        <is>
          <t>JÄMTLANDS LÄN</t>
        </is>
      </c>
      <c r="E216" t="inlineStr">
        <is>
          <t>KROKOM</t>
        </is>
      </c>
      <c r="F216" t="inlineStr">
        <is>
          <t>Övriga Aktiebolag</t>
        </is>
      </c>
      <c r="G216" t="n">
        <v>5.8</v>
      </c>
      <c r="H216" t="n">
        <v>0</v>
      </c>
      <c r="I216" t="n">
        <v>0</v>
      </c>
      <c r="J216" t="n">
        <v>0</v>
      </c>
      <c r="K216" t="n">
        <v>0</v>
      </c>
      <c r="L216" t="n">
        <v>0</v>
      </c>
      <c r="M216" t="n">
        <v>0</v>
      </c>
      <c r="N216" t="n">
        <v>0</v>
      </c>
      <c r="O216" t="n">
        <v>0</v>
      </c>
      <c r="P216" t="n">
        <v>0</v>
      </c>
      <c r="Q216" t="n">
        <v>0</v>
      </c>
      <c r="R216" s="2" t="inlineStr"/>
    </row>
    <row r="217" ht="15" customHeight="1">
      <c r="A217" t="inlineStr">
        <is>
          <t>A 61262-2018</t>
        </is>
      </c>
      <c r="B217" s="1" t="n">
        <v>43423</v>
      </c>
      <c r="C217" s="1" t="n">
        <v>45349</v>
      </c>
      <c r="D217" t="inlineStr">
        <is>
          <t>JÄMTLANDS LÄN</t>
        </is>
      </c>
      <c r="E217" t="inlineStr">
        <is>
          <t>KROKOM</t>
        </is>
      </c>
      <c r="G217" t="n">
        <v>0.1</v>
      </c>
      <c r="H217" t="n">
        <v>0</v>
      </c>
      <c r="I217" t="n">
        <v>0</v>
      </c>
      <c r="J217" t="n">
        <v>0</v>
      </c>
      <c r="K217" t="n">
        <v>0</v>
      </c>
      <c r="L217" t="n">
        <v>0</v>
      </c>
      <c r="M217" t="n">
        <v>0</v>
      </c>
      <c r="N217" t="n">
        <v>0</v>
      </c>
      <c r="O217" t="n">
        <v>0</v>
      </c>
      <c r="P217" t="n">
        <v>0</v>
      </c>
      <c r="Q217" t="n">
        <v>0</v>
      </c>
      <c r="R217" s="2" t="inlineStr"/>
    </row>
    <row r="218" ht="15" customHeight="1">
      <c r="A218" t="inlineStr">
        <is>
          <t>A 61261-2018</t>
        </is>
      </c>
      <c r="B218" s="1" t="n">
        <v>43423</v>
      </c>
      <c r="C218" s="1" t="n">
        <v>45349</v>
      </c>
      <c r="D218" t="inlineStr">
        <is>
          <t>JÄMTLANDS LÄN</t>
        </is>
      </c>
      <c r="E218" t="inlineStr">
        <is>
          <t>KROKOM</t>
        </is>
      </c>
      <c r="G218" t="n">
        <v>1.1</v>
      </c>
      <c r="H218" t="n">
        <v>0</v>
      </c>
      <c r="I218" t="n">
        <v>0</v>
      </c>
      <c r="J218" t="n">
        <v>0</v>
      </c>
      <c r="K218" t="n">
        <v>0</v>
      </c>
      <c r="L218" t="n">
        <v>0</v>
      </c>
      <c r="M218" t="n">
        <v>0</v>
      </c>
      <c r="N218" t="n">
        <v>0</v>
      </c>
      <c r="O218" t="n">
        <v>0</v>
      </c>
      <c r="P218" t="n">
        <v>0</v>
      </c>
      <c r="Q218" t="n">
        <v>0</v>
      </c>
      <c r="R218" s="2" t="inlineStr"/>
    </row>
    <row r="219" ht="15" customHeight="1">
      <c r="A219" t="inlineStr">
        <is>
          <t>A 61811-2018</t>
        </is>
      </c>
      <c r="B219" s="1" t="n">
        <v>43425</v>
      </c>
      <c r="C219" s="1" t="n">
        <v>45349</v>
      </c>
      <c r="D219" t="inlineStr">
        <is>
          <t>JÄMTLANDS LÄN</t>
        </is>
      </c>
      <c r="E219" t="inlineStr">
        <is>
          <t>KROKOM</t>
        </is>
      </c>
      <c r="F219" t="inlineStr">
        <is>
          <t>Övriga Aktiebolag</t>
        </is>
      </c>
      <c r="G219" t="n">
        <v>53.4</v>
      </c>
      <c r="H219" t="n">
        <v>0</v>
      </c>
      <c r="I219" t="n">
        <v>0</v>
      </c>
      <c r="J219" t="n">
        <v>0</v>
      </c>
      <c r="K219" t="n">
        <v>0</v>
      </c>
      <c r="L219" t="n">
        <v>0</v>
      </c>
      <c r="M219" t="n">
        <v>0</v>
      </c>
      <c r="N219" t="n">
        <v>0</v>
      </c>
      <c r="O219" t="n">
        <v>0</v>
      </c>
      <c r="P219" t="n">
        <v>0</v>
      </c>
      <c r="Q219" t="n">
        <v>0</v>
      </c>
      <c r="R219" s="2" t="inlineStr"/>
    </row>
    <row r="220" ht="15" customHeight="1">
      <c r="A220" t="inlineStr">
        <is>
          <t>A 63658-2018</t>
        </is>
      </c>
      <c r="B220" s="1" t="n">
        <v>43427</v>
      </c>
      <c r="C220" s="1" t="n">
        <v>45349</v>
      </c>
      <c r="D220" t="inlineStr">
        <is>
          <t>JÄMTLANDS LÄN</t>
        </is>
      </c>
      <c r="E220" t="inlineStr">
        <is>
          <t>KROKOM</t>
        </is>
      </c>
      <c r="F220" t="inlineStr">
        <is>
          <t>Övriga Aktiebolag</t>
        </is>
      </c>
      <c r="G220" t="n">
        <v>18.9</v>
      </c>
      <c r="H220" t="n">
        <v>0</v>
      </c>
      <c r="I220" t="n">
        <v>0</v>
      </c>
      <c r="J220" t="n">
        <v>0</v>
      </c>
      <c r="K220" t="n">
        <v>0</v>
      </c>
      <c r="L220" t="n">
        <v>0</v>
      </c>
      <c r="M220" t="n">
        <v>0</v>
      </c>
      <c r="N220" t="n">
        <v>0</v>
      </c>
      <c r="O220" t="n">
        <v>0</v>
      </c>
      <c r="P220" t="n">
        <v>0</v>
      </c>
      <c r="Q220" t="n">
        <v>0</v>
      </c>
      <c r="R220" s="2" t="inlineStr"/>
    </row>
    <row r="221" ht="15" customHeight="1">
      <c r="A221" t="inlineStr">
        <is>
          <t>A 64245-2018</t>
        </is>
      </c>
      <c r="B221" s="1" t="n">
        <v>43430</v>
      </c>
      <c r="C221" s="1" t="n">
        <v>45349</v>
      </c>
      <c r="D221" t="inlineStr">
        <is>
          <t>JÄMTLANDS LÄN</t>
        </is>
      </c>
      <c r="E221" t="inlineStr">
        <is>
          <t>KROKOM</t>
        </is>
      </c>
      <c r="F221" t="inlineStr">
        <is>
          <t>Övriga Aktiebolag</t>
        </is>
      </c>
      <c r="G221" t="n">
        <v>3.6</v>
      </c>
      <c r="H221" t="n">
        <v>0</v>
      </c>
      <c r="I221" t="n">
        <v>0</v>
      </c>
      <c r="J221" t="n">
        <v>0</v>
      </c>
      <c r="K221" t="n">
        <v>0</v>
      </c>
      <c r="L221" t="n">
        <v>0</v>
      </c>
      <c r="M221" t="n">
        <v>0</v>
      </c>
      <c r="N221" t="n">
        <v>0</v>
      </c>
      <c r="O221" t="n">
        <v>0</v>
      </c>
      <c r="P221" t="n">
        <v>0</v>
      </c>
      <c r="Q221" t="n">
        <v>0</v>
      </c>
      <c r="R221" s="2" t="inlineStr"/>
    </row>
    <row r="222" ht="15" customHeight="1">
      <c r="A222" t="inlineStr">
        <is>
          <t>A 64924-2018</t>
        </is>
      </c>
      <c r="B222" s="1" t="n">
        <v>43431</v>
      </c>
      <c r="C222" s="1" t="n">
        <v>45349</v>
      </c>
      <c r="D222" t="inlineStr">
        <is>
          <t>JÄMTLANDS LÄN</t>
        </is>
      </c>
      <c r="E222" t="inlineStr">
        <is>
          <t>KROKOM</t>
        </is>
      </c>
      <c r="G222" t="n">
        <v>19.7</v>
      </c>
      <c r="H222" t="n">
        <v>0</v>
      </c>
      <c r="I222" t="n">
        <v>0</v>
      </c>
      <c r="J222" t="n">
        <v>0</v>
      </c>
      <c r="K222" t="n">
        <v>0</v>
      </c>
      <c r="L222" t="n">
        <v>0</v>
      </c>
      <c r="M222" t="n">
        <v>0</v>
      </c>
      <c r="N222" t="n">
        <v>0</v>
      </c>
      <c r="O222" t="n">
        <v>0</v>
      </c>
      <c r="P222" t="n">
        <v>0</v>
      </c>
      <c r="Q222" t="n">
        <v>0</v>
      </c>
      <c r="R222" s="2" t="inlineStr"/>
    </row>
    <row r="223" ht="15" customHeight="1">
      <c r="A223" t="inlineStr">
        <is>
          <t>A 65034-2018</t>
        </is>
      </c>
      <c r="B223" s="1" t="n">
        <v>43432</v>
      </c>
      <c r="C223" s="1" t="n">
        <v>45349</v>
      </c>
      <c r="D223" t="inlineStr">
        <is>
          <t>JÄMTLANDS LÄN</t>
        </is>
      </c>
      <c r="E223" t="inlineStr">
        <is>
          <t>KROKOM</t>
        </is>
      </c>
      <c r="G223" t="n">
        <v>1.5</v>
      </c>
      <c r="H223" t="n">
        <v>0</v>
      </c>
      <c r="I223" t="n">
        <v>0</v>
      </c>
      <c r="J223" t="n">
        <v>0</v>
      </c>
      <c r="K223" t="n">
        <v>0</v>
      </c>
      <c r="L223" t="n">
        <v>0</v>
      </c>
      <c r="M223" t="n">
        <v>0</v>
      </c>
      <c r="N223" t="n">
        <v>0</v>
      </c>
      <c r="O223" t="n">
        <v>0</v>
      </c>
      <c r="P223" t="n">
        <v>0</v>
      </c>
      <c r="Q223" t="n">
        <v>0</v>
      </c>
      <c r="R223" s="2" t="inlineStr"/>
    </row>
    <row r="224" ht="15" customHeight="1">
      <c r="A224" t="inlineStr">
        <is>
          <t>A 65588-2018</t>
        </is>
      </c>
      <c r="B224" s="1" t="n">
        <v>43433</v>
      </c>
      <c r="C224" s="1" t="n">
        <v>45349</v>
      </c>
      <c r="D224" t="inlineStr">
        <is>
          <t>JÄMTLANDS LÄN</t>
        </is>
      </c>
      <c r="E224" t="inlineStr">
        <is>
          <t>KROKOM</t>
        </is>
      </c>
      <c r="G224" t="n">
        <v>3.4</v>
      </c>
      <c r="H224" t="n">
        <v>0</v>
      </c>
      <c r="I224" t="n">
        <v>0</v>
      </c>
      <c r="J224" t="n">
        <v>0</v>
      </c>
      <c r="K224" t="n">
        <v>0</v>
      </c>
      <c r="L224" t="n">
        <v>0</v>
      </c>
      <c r="M224" t="n">
        <v>0</v>
      </c>
      <c r="N224" t="n">
        <v>0</v>
      </c>
      <c r="O224" t="n">
        <v>0</v>
      </c>
      <c r="P224" t="n">
        <v>0</v>
      </c>
      <c r="Q224" t="n">
        <v>0</v>
      </c>
      <c r="R224" s="2" t="inlineStr"/>
    </row>
    <row r="225" ht="15" customHeight="1">
      <c r="A225" t="inlineStr">
        <is>
          <t>A 66809-2018</t>
        </is>
      </c>
      <c r="B225" s="1" t="n">
        <v>43437</v>
      </c>
      <c r="C225" s="1" t="n">
        <v>45349</v>
      </c>
      <c r="D225" t="inlineStr">
        <is>
          <t>JÄMTLANDS LÄN</t>
        </is>
      </c>
      <c r="E225" t="inlineStr">
        <is>
          <t>KROKOM</t>
        </is>
      </c>
      <c r="G225" t="n">
        <v>6.1</v>
      </c>
      <c r="H225" t="n">
        <v>0</v>
      </c>
      <c r="I225" t="n">
        <v>0</v>
      </c>
      <c r="J225" t="n">
        <v>0</v>
      </c>
      <c r="K225" t="n">
        <v>0</v>
      </c>
      <c r="L225" t="n">
        <v>0</v>
      </c>
      <c r="M225" t="n">
        <v>0</v>
      </c>
      <c r="N225" t="n">
        <v>0</v>
      </c>
      <c r="O225" t="n">
        <v>0</v>
      </c>
      <c r="P225" t="n">
        <v>0</v>
      </c>
      <c r="Q225" t="n">
        <v>0</v>
      </c>
      <c r="R225" s="2" t="inlineStr"/>
    </row>
    <row r="226" ht="15" customHeight="1">
      <c r="A226" t="inlineStr">
        <is>
          <t>A 68536-2018</t>
        </is>
      </c>
      <c r="B226" s="1" t="n">
        <v>43439</v>
      </c>
      <c r="C226" s="1" t="n">
        <v>45349</v>
      </c>
      <c r="D226" t="inlineStr">
        <is>
          <t>JÄMTLANDS LÄN</t>
        </is>
      </c>
      <c r="E226" t="inlineStr">
        <is>
          <t>KROKOM</t>
        </is>
      </c>
      <c r="G226" t="n">
        <v>3.9</v>
      </c>
      <c r="H226" t="n">
        <v>0</v>
      </c>
      <c r="I226" t="n">
        <v>0</v>
      </c>
      <c r="J226" t="n">
        <v>0</v>
      </c>
      <c r="K226" t="n">
        <v>0</v>
      </c>
      <c r="L226" t="n">
        <v>0</v>
      </c>
      <c r="M226" t="n">
        <v>0</v>
      </c>
      <c r="N226" t="n">
        <v>0</v>
      </c>
      <c r="O226" t="n">
        <v>0</v>
      </c>
      <c r="P226" t="n">
        <v>0</v>
      </c>
      <c r="Q226" t="n">
        <v>0</v>
      </c>
      <c r="R226" s="2" t="inlineStr"/>
    </row>
    <row r="227" ht="15" customHeight="1">
      <c r="A227" t="inlineStr">
        <is>
          <t>A 67627-2018</t>
        </is>
      </c>
      <c r="B227" s="1" t="n">
        <v>43440</v>
      </c>
      <c r="C227" s="1" t="n">
        <v>45349</v>
      </c>
      <c r="D227" t="inlineStr">
        <is>
          <t>JÄMTLANDS LÄN</t>
        </is>
      </c>
      <c r="E227" t="inlineStr">
        <is>
          <t>KROKOM</t>
        </is>
      </c>
      <c r="G227" t="n">
        <v>0.8</v>
      </c>
      <c r="H227" t="n">
        <v>0</v>
      </c>
      <c r="I227" t="n">
        <v>0</v>
      </c>
      <c r="J227" t="n">
        <v>0</v>
      </c>
      <c r="K227" t="n">
        <v>0</v>
      </c>
      <c r="L227" t="n">
        <v>0</v>
      </c>
      <c r="M227" t="n">
        <v>0</v>
      </c>
      <c r="N227" t="n">
        <v>0</v>
      </c>
      <c r="O227" t="n">
        <v>0</v>
      </c>
      <c r="P227" t="n">
        <v>0</v>
      </c>
      <c r="Q227" t="n">
        <v>0</v>
      </c>
      <c r="R227" s="2" t="inlineStr"/>
    </row>
    <row r="228" ht="15" customHeight="1">
      <c r="A228" t="inlineStr">
        <is>
          <t>A 68317-2018</t>
        </is>
      </c>
      <c r="B228" s="1" t="n">
        <v>43441</v>
      </c>
      <c r="C228" s="1" t="n">
        <v>45349</v>
      </c>
      <c r="D228" t="inlineStr">
        <is>
          <t>JÄMTLANDS LÄN</t>
        </is>
      </c>
      <c r="E228" t="inlineStr">
        <is>
          <t>KROKOM</t>
        </is>
      </c>
      <c r="G228" t="n">
        <v>1.6</v>
      </c>
      <c r="H228" t="n">
        <v>0</v>
      </c>
      <c r="I228" t="n">
        <v>0</v>
      </c>
      <c r="J228" t="n">
        <v>0</v>
      </c>
      <c r="K228" t="n">
        <v>0</v>
      </c>
      <c r="L228" t="n">
        <v>0</v>
      </c>
      <c r="M228" t="n">
        <v>0</v>
      </c>
      <c r="N228" t="n">
        <v>0</v>
      </c>
      <c r="O228" t="n">
        <v>0</v>
      </c>
      <c r="P228" t="n">
        <v>0</v>
      </c>
      <c r="Q228" t="n">
        <v>0</v>
      </c>
      <c r="R228" s="2" t="inlineStr"/>
    </row>
    <row r="229" ht="15" customHeight="1">
      <c r="A229" t="inlineStr">
        <is>
          <t>A 68324-2018</t>
        </is>
      </c>
      <c r="B229" s="1" t="n">
        <v>43441</v>
      </c>
      <c r="C229" s="1" t="n">
        <v>45349</v>
      </c>
      <c r="D229" t="inlineStr">
        <is>
          <t>JÄMTLANDS LÄN</t>
        </is>
      </c>
      <c r="E229" t="inlineStr">
        <is>
          <t>KROKOM</t>
        </is>
      </c>
      <c r="G229" t="n">
        <v>1.7</v>
      </c>
      <c r="H229" t="n">
        <v>0</v>
      </c>
      <c r="I229" t="n">
        <v>0</v>
      </c>
      <c r="J229" t="n">
        <v>0</v>
      </c>
      <c r="K229" t="n">
        <v>0</v>
      </c>
      <c r="L229" t="n">
        <v>0</v>
      </c>
      <c r="M229" t="n">
        <v>0</v>
      </c>
      <c r="N229" t="n">
        <v>0</v>
      </c>
      <c r="O229" t="n">
        <v>0</v>
      </c>
      <c r="P229" t="n">
        <v>0</v>
      </c>
      <c r="Q229" t="n">
        <v>0</v>
      </c>
      <c r="R229" s="2" t="inlineStr"/>
    </row>
    <row r="230" ht="15" customHeight="1">
      <c r="A230" t="inlineStr">
        <is>
          <t>A 69865-2018</t>
        </is>
      </c>
      <c r="B230" s="1" t="n">
        <v>43447</v>
      </c>
      <c r="C230" s="1" t="n">
        <v>45349</v>
      </c>
      <c r="D230" t="inlineStr">
        <is>
          <t>JÄMTLANDS LÄN</t>
        </is>
      </c>
      <c r="E230" t="inlineStr">
        <is>
          <t>KROKOM</t>
        </is>
      </c>
      <c r="G230" t="n">
        <v>0.8</v>
      </c>
      <c r="H230" t="n">
        <v>0</v>
      </c>
      <c r="I230" t="n">
        <v>0</v>
      </c>
      <c r="J230" t="n">
        <v>0</v>
      </c>
      <c r="K230" t="n">
        <v>0</v>
      </c>
      <c r="L230" t="n">
        <v>0</v>
      </c>
      <c r="M230" t="n">
        <v>0</v>
      </c>
      <c r="N230" t="n">
        <v>0</v>
      </c>
      <c r="O230" t="n">
        <v>0</v>
      </c>
      <c r="P230" t="n">
        <v>0</v>
      </c>
      <c r="Q230" t="n">
        <v>0</v>
      </c>
      <c r="R230" s="2" t="inlineStr"/>
    </row>
    <row r="231" ht="15" customHeight="1">
      <c r="A231" t="inlineStr">
        <is>
          <t>A 71193-2018</t>
        </is>
      </c>
      <c r="B231" s="1" t="n">
        <v>43453</v>
      </c>
      <c r="C231" s="1" t="n">
        <v>45349</v>
      </c>
      <c r="D231" t="inlineStr">
        <is>
          <t>JÄMTLANDS LÄN</t>
        </is>
      </c>
      <c r="E231" t="inlineStr">
        <is>
          <t>KROKOM</t>
        </is>
      </c>
      <c r="G231" t="n">
        <v>10.3</v>
      </c>
      <c r="H231" t="n">
        <v>0</v>
      </c>
      <c r="I231" t="n">
        <v>0</v>
      </c>
      <c r="J231" t="n">
        <v>0</v>
      </c>
      <c r="K231" t="n">
        <v>0</v>
      </c>
      <c r="L231" t="n">
        <v>0</v>
      </c>
      <c r="M231" t="n">
        <v>0</v>
      </c>
      <c r="N231" t="n">
        <v>0</v>
      </c>
      <c r="O231" t="n">
        <v>0</v>
      </c>
      <c r="P231" t="n">
        <v>0</v>
      </c>
      <c r="Q231" t="n">
        <v>0</v>
      </c>
      <c r="R231" s="2" t="inlineStr"/>
    </row>
    <row r="232" ht="15" customHeight="1">
      <c r="A232" t="inlineStr">
        <is>
          <t>A 72221-2018</t>
        </is>
      </c>
      <c r="B232" s="1" t="n">
        <v>43453</v>
      </c>
      <c r="C232" s="1" t="n">
        <v>45349</v>
      </c>
      <c r="D232" t="inlineStr">
        <is>
          <t>JÄMTLANDS LÄN</t>
        </is>
      </c>
      <c r="E232" t="inlineStr">
        <is>
          <t>KROKOM</t>
        </is>
      </c>
      <c r="G232" t="n">
        <v>1.5</v>
      </c>
      <c r="H232" t="n">
        <v>0</v>
      </c>
      <c r="I232" t="n">
        <v>0</v>
      </c>
      <c r="J232" t="n">
        <v>0</v>
      </c>
      <c r="K232" t="n">
        <v>0</v>
      </c>
      <c r="L232" t="n">
        <v>0</v>
      </c>
      <c r="M232" t="n">
        <v>0</v>
      </c>
      <c r="N232" t="n">
        <v>0</v>
      </c>
      <c r="O232" t="n">
        <v>0</v>
      </c>
      <c r="P232" t="n">
        <v>0</v>
      </c>
      <c r="Q232" t="n">
        <v>0</v>
      </c>
      <c r="R232" s="2" t="inlineStr"/>
    </row>
    <row r="233" ht="15" customHeight="1">
      <c r="A233" t="inlineStr">
        <is>
          <t>A 981-2019</t>
        </is>
      </c>
      <c r="B233" s="1" t="n">
        <v>43455</v>
      </c>
      <c r="C233" s="1" t="n">
        <v>45349</v>
      </c>
      <c r="D233" t="inlineStr">
        <is>
          <t>JÄMTLANDS LÄN</t>
        </is>
      </c>
      <c r="E233" t="inlineStr">
        <is>
          <t>KROKOM</t>
        </is>
      </c>
      <c r="G233" t="n">
        <v>0.5</v>
      </c>
      <c r="H233" t="n">
        <v>0</v>
      </c>
      <c r="I233" t="n">
        <v>0</v>
      </c>
      <c r="J233" t="n">
        <v>0</v>
      </c>
      <c r="K233" t="n">
        <v>0</v>
      </c>
      <c r="L233" t="n">
        <v>0</v>
      </c>
      <c r="M233" t="n">
        <v>0</v>
      </c>
      <c r="N233" t="n">
        <v>0</v>
      </c>
      <c r="O233" t="n">
        <v>0</v>
      </c>
      <c r="P233" t="n">
        <v>0</v>
      </c>
      <c r="Q233" t="n">
        <v>0</v>
      </c>
      <c r="R233" s="2" t="inlineStr"/>
    </row>
    <row r="234" ht="15" customHeight="1">
      <c r="A234" t="inlineStr">
        <is>
          <t>A 881-2019</t>
        </is>
      </c>
      <c r="B234" s="1" t="n">
        <v>43455</v>
      </c>
      <c r="C234" s="1" t="n">
        <v>45349</v>
      </c>
      <c r="D234" t="inlineStr">
        <is>
          <t>JÄMTLANDS LÄN</t>
        </is>
      </c>
      <c r="E234" t="inlineStr">
        <is>
          <t>KROKOM</t>
        </is>
      </c>
      <c r="G234" t="n">
        <v>2.5</v>
      </c>
      <c r="H234" t="n">
        <v>0</v>
      </c>
      <c r="I234" t="n">
        <v>0</v>
      </c>
      <c r="J234" t="n">
        <v>0</v>
      </c>
      <c r="K234" t="n">
        <v>0</v>
      </c>
      <c r="L234" t="n">
        <v>0</v>
      </c>
      <c r="M234" t="n">
        <v>0</v>
      </c>
      <c r="N234" t="n">
        <v>0</v>
      </c>
      <c r="O234" t="n">
        <v>0</v>
      </c>
      <c r="P234" t="n">
        <v>0</v>
      </c>
      <c r="Q234" t="n">
        <v>0</v>
      </c>
      <c r="R234" s="2" t="inlineStr"/>
    </row>
    <row r="235" ht="15" customHeight="1">
      <c r="A235" t="inlineStr">
        <is>
          <t>A 1046-2019</t>
        </is>
      </c>
      <c r="B235" s="1" t="n">
        <v>43455</v>
      </c>
      <c r="C235" s="1" t="n">
        <v>45349</v>
      </c>
      <c r="D235" t="inlineStr">
        <is>
          <t>JÄMTLANDS LÄN</t>
        </is>
      </c>
      <c r="E235" t="inlineStr">
        <is>
          <t>KROKOM</t>
        </is>
      </c>
      <c r="G235" t="n">
        <v>0.8</v>
      </c>
      <c r="H235" t="n">
        <v>0</v>
      </c>
      <c r="I235" t="n">
        <v>0</v>
      </c>
      <c r="J235" t="n">
        <v>0</v>
      </c>
      <c r="K235" t="n">
        <v>0</v>
      </c>
      <c r="L235" t="n">
        <v>0</v>
      </c>
      <c r="M235" t="n">
        <v>0</v>
      </c>
      <c r="N235" t="n">
        <v>0</v>
      </c>
      <c r="O235" t="n">
        <v>0</v>
      </c>
      <c r="P235" t="n">
        <v>0</v>
      </c>
      <c r="Q235" t="n">
        <v>0</v>
      </c>
      <c r="R235" s="2" t="inlineStr"/>
    </row>
    <row r="236" ht="15" customHeight="1">
      <c r="A236" t="inlineStr">
        <is>
          <t>A 72601-2018</t>
        </is>
      </c>
      <c r="B236" s="1" t="n">
        <v>43463</v>
      </c>
      <c r="C236" s="1" t="n">
        <v>45349</v>
      </c>
      <c r="D236" t="inlineStr">
        <is>
          <t>JÄMTLANDS LÄN</t>
        </is>
      </c>
      <c r="E236" t="inlineStr">
        <is>
          <t>KROKOM</t>
        </is>
      </c>
      <c r="G236" t="n">
        <v>5.3</v>
      </c>
      <c r="H236" t="n">
        <v>0</v>
      </c>
      <c r="I236" t="n">
        <v>0</v>
      </c>
      <c r="J236" t="n">
        <v>0</v>
      </c>
      <c r="K236" t="n">
        <v>0</v>
      </c>
      <c r="L236" t="n">
        <v>0</v>
      </c>
      <c r="M236" t="n">
        <v>0</v>
      </c>
      <c r="N236" t="n">
        <v>0</v>
      </c>
      <c r="O236" t="n">
        <v>0</v>
      </c>
      <c r="P236" t="n">
        <v>0</v>
      </c>
      <c r="Q236" t="n">
        <v>0</v>
      </c>
      <c r="R236" s="2" t="inlineStr"/>
    </row>
    <row r="237" ht="15" customHeight="1">
      <c r="A237" t="inlineStr">
        <is>
          <t>A 249-2019</t>
        </is>
      </c>
      <c r="B237" s="1" t="n">
        <v>43468</v>
      </c>
      <c r="C237" s="1" t="n">
        <v>45349</v>
      </c>
      <c r="D237" t="inlineStr">
        <is>
          <t>JÄMTLANDS LÄN</t>
        </is>
      </c>
      <c r="E237" t="inlineStr">
        <is>
          <t>KROKOM</t>
        </is>
      </c>
      <c r="G237" t="n">
        <v>15.7</v>
      </c>
      <c r="H237" t="n">
        <v>0</v>
      </c>
      <c r="I237" t="n">
        <v>0</v>
      </c>
      <c r="J237" t="n">
        <v>0</v>
      </c>
      <c r="K237" t="n">
        <v>0</v>
      </c>
      <c r="L237" t="n">
        <v>0</v>
      </c>
      <c r="M237" t="n">
        <v>0</v>
      </c>
      <c r="N237" t="n">
        <v>0</v>
      </c>
      <c r="O237" t="n">
        <v>0</v>
      </c>
      <c r="P237" t="n">
        <v>0</v>
      </c>
      <c r="Q237" t="n">
        <v>0</v>
      </c>
      <c r="R237" s="2" t="inlineStr"/>
    </row>
    <row r="238" ht="15" customHeight="1">
      <c r="A238" t="inlineStr">
        <is>
          <t>A 1706-2019</t>
        </is>
      </c>
      <c r="B238" s="1" t="n">
        <v>43474</v>
      </c>
      <c r="C238" s="1" t="n">
        <v>45349</v>
      </c>
      <c r="D238" t="inlineStr">
        <is>
          <t>JÄMTLANDS LÄN</t>
        </is>
      </c>
      <c r="E238" t="inlineStr">
        <is>
          <t>KROKOM</t>
        </is>
      </c>
      <c r="G238" t="n">
        <v>2.2</v>
      </c>
      <c r="H238" t="n">
        <v>0</v>
      </c>
      <c r="I238" t="n">
        <v>0</v>
      </c>
      <c r="J238" t="n">
        <v>0</v>
      </c>
      <c r="K238" t="n">
        <v>0</v>
      </c>
      <c r="L238" t="n">
        <v>0</v>
      </c>
      <c r="M238" t="n">
        <v>0</v>
      </c>
      <c r="N238" t="n">
        <v>0</v>
      </c>
      <c r="O238" t="n">
        <v>0</v>
      </c>
      <c r="P238" t="n">
        <v>0</v>
      </c>
      <c r="Q238" t="n">
        <v>0</v>
      </c>
      <c r="R238" s="2" t="inlineStr"/>
    </row>
    <row r="239" ht="15" customHeight="1">
      <c r="A239" t="inlineStr">
        <is>
          <t>A 3722-2019</t>
        </is>
      </c>
      <c r="B239" s="1" t="n">
        <v>43474</v>
      </c>
      <c r="C239" s="1" t="n">
        <v>45349</v>
      </c>
      <c r="D239" t="inlineStr">
        <is>
          <t>JÄMTLANDS LÄN</t>
        </is>
      </c>
      <c r="E239" t="inlineStr">
        <is>
          <t>KROKOM</t>
        </is>
      </c>
      <c r="G239" t="n">
        <v>0.7</v>
      </c>
      <c r="H239" t="n">
        <v>0</v>
      </c>
      <c r="I239" t="n">
        <v>0</v>
      </c>
      <c r="J239" t="n">
        <v>0</v>
      </c>
      <c r="K239" t="n">
        <v>0</v>
      </c>
      <c r="L239" t="n">
        <v>0</v>
      </c>
      <c r="M239" t="n">
        <v>0</v>
      </c>
      <c r="N239" t="n">
        <v>0</v>
      </c>
      <c r="O239" t="n">
        <v>0</v>
      </c>
      <c r="P239" t="n">
        <v>0</v>
      </c>
      <c r="Q239" t="n">
        <v>0</v>
      </c>
      <c r="R239" s="2" t="inlineStr"/>
    </row>
    <row r="240" ht="15" customHeight="1">
      <c r="A240" t="inlineStr">
        <is>
          <t>A 1713-2019</t>
        </is>
      </c>
      <c r="B240" s="1" t="n">
        <v>43474</v>
      </c>
      <c r="C240" s="1" t="n">
        <v>45349</v>
      </c>
      <c r="D240" t="inlineStr">
        <is>
          <t>JÄMTLANDS LÄN</t>
        </is>
      </c>
      <c r="E240" t="inlineStr">
        <is>
          <t>KROKOM</t>
        </is>
      </c>
      <c r="G240" t="n">
        <v>6.3</v>
      </c>
      <c r="H240" t="n">
        <v>0</v>
      </c>
      <c r="I240" t="n">
        <v>0</v>
      </c>
      <c r="J240" t="n">
        <v>0</v>
      </c>
      <c r="K240" t="n">
        <v>0</v>
      </c>
      <c r="L240" t="n">
        <v>0</v>
      </c>
      <c r="M240" t="n">
        <v>0</v>
      </c>
      <c r="N240" t="n">
        <v>0</v>
      </c>
      <c r="O240" t="n">
        <v>0</v>
      </c>
      <c r="P240" t="n">
        <v>0</v>
      </c>
      <c r="Q240" t="n">
        <v>0</v>
      </c>
      <c r="R240" s="2" t="inlineStr"/>
    </row>
    <row r="241" ht="15" customHeight="1">
      <c r="A241" t="inlineStr">
        <is>
          <t>A 2430-2019</t>
        </is>
      </c>
      <c r="B241" s="1" t="n">
        <v>43476</v>
      </c>
      <c r="C241" s="1" t="n">
        <v>45349</v>
      </c>
      <c r="D241" t="inlineStr">
        <is>
          <t>JÄMTLANDS LÄN</t>
        </is>
      </c>
      <c r="E241" t="inlineStr">
        <is>
          <t>KROKOM</t>
        </is>
      </c>
      <c r="G241" t="n">
        <v>2.9</v>
      </c>
      <c r="H241" t="n">
        <v>0</v>
      </c>
      <c r="I241" t="n">
        <v>0</v>
      </c>
      <c r="J241" t="n">
        <v>0</v>
      </c>
      <c r="K241" t="n">
        <v>0</v>
      </c>
      <c r="L241" t="n">
        <v>0</v>
      </c>
      <c r="M241" t="n">
        <v>0</v>
      </c>
      <c r="N241" t="n">
        <v>0</v>
      </c>
      <c r="O241" t="n">
        <v>0</v>
      </c>
      <c r="P241" t="n">
        <v>0</v>
      </c>
      <c r="Q241" t="n">
        <v>0</v>
      </c>
      <c r="R241" s="2" t="inlineStr"/>
    </row>
    <row r="242" ht="15" customHeight="1">
      <c r="A242" t="inlineStr">
        <is>
          <t>A 2502-2019</t>
        </is>
      </c>
      <c r="B242" s="1" t="n">
        <v>43476</v>
      </c>
      <c r="C242" s="1" t="n">
        <v>45349</v>
      </c>
      <c r="D242" t="inlineStr">
        <is>
          <t>JÄMTLANDS LÄN</t>
        </is>
      </c>
      <c r="E242" t="inlineStr">
        <is>
          <t>KROKOM</t>
        </is>
      </c>
      <c r="G242" t="n">
        <v>4</v>
      </c>
      <c r="H242" t="n">
        <v>0</v>
      </c>
      <c r="I242" t="n">
        <v>0</v>
      </c>
      <c r="J242" t="n">
        <v>0</v>
      </c>
      <c r="K242" t="n">
        <v>0</v>
      </c>
      <c r="L242" t="n">
        <v>0</v>
      </c>
      <c r="M242" t="n">
        <v>0</v>
      </c>
      <c r="N242" t="n">
        <v>0</v>
      </c>
      <c r="O242" t="n">
        <v>0</v>
      </c>
      <c r="P242" t="n">
        <v>0</v>
      </c>
      <c r="Q242" t="n">
        <v>0</v>
      </c>
      <c r="R242" s="2" t="inlineStr"/>
    </row>
    <row r="243" ht="15" customHeight="1">
      <c r="A243" t="inlineStr">
        <is>
          <t>A 2616-2019</t>
        </is>
      </c>
      <c r="B243" s="1" t="n">
        <v>43477</v>
      </c>
      <c r="C243" s="1" t="n">
        <v>45349</v>
      </c>
      <c r="D243" t="inlineStr">
        <is>
          <t>JÄMTLANDS LÄN</t>
        </is>
      </c>
      <c r="E243" t="inlineStr">
        <is>
          <t>KROKOM</t>
        </is>
      </c>
      <c r="G243" t="n">
        <v>2.1</v>
      </c>
      <c r="H243" t="n">
        <v>0</v>
      </c>
      <c r="I243" t="n">
        <v>0</v>
      </c>
      <c r="J243" t="n">
        <v>0</v>
      </c>
      <c r="K243" t="n">
        <v>0</v>
      </c>
      <c r="L243" t="n">
        <v>0</v>
      </c>
      <c r="M243" t="n">
        <v>0</v>
      </c>
      <c r="N243" t="n">
        <v>0</v>
      </c>
      <c r="O243" t="n">
        <v>0</v>
      </c>
      <c r="P243" t="n">
        <v>0</v>
      </c>
      <c r="Q243" t="n">
        <v>0</v>
      </c>
      <c r="R243" s="2" t="inlineStr"/>
    </row>
    <row r="244" ht="15" customHeight="1">
      <c r="A244" t="inlineStr">
        <is>
          <t>A 4477-2019</t>
        </is>
      </c>
      <c r="B244" s="1" t="n">
        <v>43479</v>
      </c>
      <c r="C244" s="1" t="n">
        <v>45349</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5510-2019</t>
        </is>
      </c>
      <c r="B245" s="1" t="n">
        <v>43482</v>
      </c>
      <c r="C245" s="1" t="n">
        <v>45349</v>
      </c>
      <c r="D245" t="inlineStr">
        <is>
          <t>JÄMTLANDS LÄN</t>
        </is>
      </c>
      <c r="E245" t="inlineStr">
        <is>
          <t>KROKOM</t>
        </is>
      </c>
      <c r="G245" t="n">
        <v>3.3</v>
      </c>
      <c r="H245" t="n">
        <v>0</v>
      </c>
      <c r="I245" t="n">
        <v>0</v>
      </c>
      <c r="J245" t="n">
        <v>0</v>
      </c>
      <c r="K245" t="n">
        <v>0</v>
      </c>
      <c r="L245" t="n">
        <v>0</v>
      </c>
      <c r="M245" t="n">
        <v>0</v>
      </c>
      <c r="N245" t="n">
        <v>0</v>
      </c>
      <c r="O245" t="n">
        <v>0</v>
      </c>
      <c r="P245" t="n">
        <v>0</v>
      </c>
      <c r="Q245" t="n">
        <v>0</v>
      </c>
      <c r="R245" s="2" t="inlineStr"/>
    </row>
    <row r="246" ht="15" customHeight="1">
      <c r="A246" t="inlineStr">
        <is>
          <t>A 5509-2019</t>
        </is>
      </c>
      <c r="B246" s="1" t="n">
        <v>43482</v>
      </c>
      <c r="C246" s="1" t="n">
        <v>45349</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5215-2019</t>
        </is>
      </c>
      <c r="B247" s="1" t="n">
        <v>43488</v>
      </c>
      <c r="C247" s="1" t="n">
        <v>45349</v>
      </c>
      <c r="D247" t="inlineStr">
        <is>
          <t>JÄMTLANDS LÄN</t>
        </is>
      </c>
      <c r="E247" t="inlineStr">
        <is>
          <t>KROKOM</t>
        </is>
      </c>
      <c r="G247" t="n">
        <v>8.9</v>
      </c>
      <c r="H247" t="n">
        <v>0</v>
      </c>
      <c r="I247" t="n">
        <v>0</v>
      </c>
      <c r="J247" t="n">
        <v>0</v>
      </c>
      <c r="K247" t="n">
        <v>0</v>
      </c>
      <c r="L247" t="n">
        <v>0</v>
      </c>
      <c r="M247" t="n">
        <v>0</v>
      </c>
      <c r="N247" t="n">
        <v>0</v>
      </c>
      <c r="O247" t="n">
        <v>0</v>
      </c>
      <c r="P247" t="n">
        <v>0</v>
      </c>
      <c r="Q247" t="n">
        <v>0</v>
      </c>
      <c r="R247" s="2" t="inlineStr"/>
    </row>
    <row r="248" ht="15" customHeight="1">
      <c r="A248" t="inlineStr">
        <is>
          <t>A 5770-2019</t>
        </is>
      </c>
      <c r="B248" s="1" t="n">
        <v>43490</v>
      </c>
      <c r="C248" s="1" t="n">
        <v>45349</v>
      </c>
      <c r="D248" t="inlineStr">
        <is>
          <t>JÄMTLANDS LÄN</t>
        </is>
      </c>
      <c r="E248" t="inlineStr">
        <is>
          <t>KROKOM</t>
        </is>
      </c>
      <c r="G248" t="n">
        <v>1.4</v>
      </c>
      <c r="H248" t="n">
        <v>0</v>
      </c>
      <c r="I248" t="n">
        <v>0</v>
      </c>
      <c r="J248" t="n">
        <v>0</v>
      </c>
      <c r="K248" t="n">
        <v>0</v>
      </c>
      <c r="L248" t="n">
        <v>0</v>
      </c>
      <c r="M248" t="n">
        <v>0</v>
      </c>
      <c r="N248" t="n">
        <v>0</v>
      </c>
      <c r="O248" t="n">
        <v>0</v>
      </c>
      <c r="P248" t="n">
        <v>0</v>
      </c>
      <c r="Q248" t="n">
        <v>0</v>
      </c>
      <c r="R248" s="2" t="inlineStr"/>
    </row>
    <row r="249" ht="15" customHeight="1">
      <c r="A249" t="inlineStr">
        <is>
          <t>A 7469-2019</t>
        </is>
      </c>
      <c r="B249" s="1" t="n">
        <v>43497</v>
      </c>
      <c r="C249" s="1" t="n">
        <v>45349</v>
      </c>
      <c r="D249" t="inlineStr">
        <is>
          <t>JÄMTLANDS LÄN</t>
        </is>
      </c>
      <c r="E249" t="inlineStr">
        <is>
          <t>KROKOM</t>
        </is>
      </c>
      <c r="G249" t="n">
        <v>2.5</v>
      </c>
      <c r="H249" t="n">
        <v>0</v>
      </c>
      <c r="I249" t="n">
        <v>0</v>
      </c>
      <c r="J249" t="n">
        <v>0</v>
      </c>
      <c r="K249" t="n">
        <v>0</v>
      </c>
      <c r="L249" t="n">
        <v>0</v>
      </c>
      <c r="M249" t="n">
        <v>0</v>
      </c>
      <c r="N249" t="n">
        <v>0</v>
      </c>
      <c r="O249" t="n">
        <v>0</v>
      </c>
      <c r="P249" t="n">
        <v>0</v>
      </c>
      <c r="Q249" t="n">
        <v>0</v>
      </c>
      <c r="R249" s="2" t="inlineStr"/>
    </row>
    <row r="250" ht="15" customHeight="1">
      <c r="A250" t="inlineStr">
        <is>
          <t>A 8489-2019</t>
        </is>
      </c>
      <c r="B250" s="1" t="n">
        <v>43500</v>
      </c>
      <c r="C250" s="1" t="n">
        <v>45349</v>
      </c>
      <c r="D250" t="inlineStr">
        <is>
          <t>JÄMTLANDS LÄN</t>
        </is>
      </c>
      <c r="E250" t="inlineStr">
        <is>
          <t>KROKOM</t>
        </is>
      </c>
      <c r="G250" t="n">
        <v>18.1</v>
      </c>
      <c r="H250" t="n">
        <v>0</v>
      </c>
      <c r="I250" t="n">
        <v>0</v>
      </c>
      <c r="J250" t="n">
        <v>0</v>
      </c>
      <c r="K250" t="n">
        <v>0</v>
      </c>
      <c r="L250" t="n">
        <v>0</v>
      </c>
      <c r="M250" t="n">
        <v>0</v>
      </c>
      <c r="N250" t="n">
        <v>0</v>
      </c>
      <c r="O250" t="n">
        <v>0</v>
      </c>
      <c r="P250" t="n">
        <v>0</v>
      </c>
      <c r="Q250" t="n">
        <v>0</v>
      </c>
      <c r="R250" s="2" t="inlineStr"/>
    </row>
    <row r="251" ht="15" customHeight="1">
      <c r="A251" t="inlineStr">
        <is>
          <t>A 8915-2019</t>
        </is>
      </c>
      <c r="B251" s="1" t="n">
        <v>43503</v>
      </c>
      <c r="C251" s="1" t="n">
        <v>45349</v>
      </c>
      <c r="D251" t="inlineStr">
        <is>
          <t>JÄMTLANDS LÄN</t>
        </is>
      </c>
      <c r="E251" t="inlineStr">
        <is>
          <t>KROKOM</t>
        </is>
      </c>
      <c r="F251" t="inlineStr">
        <is>
          <t>SCA</t>
        </is>
      </c>
      <c r="G251" t="n">
        <v>7.8</v>
      </c>
      <c r="H251" t="n">
        <v>0</v>
      </c>
      <c r="I251" t="n">
        <v>0</v>
      </c>
      <c r="J251" t="n">
        <v>0</v>
      </c>
      <c r="K251" t="n">
        <v>0</v>
      </c>
      <c r="L251" t="n">
        <v>0</v>
      </c>
      <c r="M251" t="n">
        <v>0</v>
      </c>
      <c r="N251" t="n">
        <v>0</v>
      </c>
      <c r="O251" t="n">
        <v>0</v>
      </c>
      <c r="P251" t="n">
        <v>0</v>
      </c>
      <c r="Q251" t="n">
        <v>0</v>
      </c>
      <c r="R251" s="2" t="inlineStr"/>
    </row>
    <row r="252" ht="15" customHeight="1">
      <c r="A252" t="inlineStr">
        <is>
          <t>A 8911-2019</t>
        </is>
      </c>
      <c r="B252" s="1" t="n">
        <v>43503</v>
      </c>
      <c r="C252" s="1" t="n">
        <v>45349</v>
      </c>
      <c r="D252" t="inlineStr">
        <is>
          <t>JÄMTLANDS LÄN</t>
        </is>
      </c>
      <c r="E252" t="inlineStr">
        <is>
          <t>KROKOM</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8917-2019</t>
        </is>
      </c>
      <c r="B253" s="1" t="n">
        <v>43503</v>
      </c>
      <c r="C253" s="1" t="n">
        <v>45349</v>
      </c>
      <c r="D253" t="inlineStr">
        <is>
          <t>JÄMTLANDS LÄN</t>
        </is>
      </c>
      <c r="E253" t="inlineStr">
        <is>
          <t>KROKOM</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9879-2019</t>
        </is>
      </c>
      <c r="B254" s="1" t="n">
        <v>43509</v>
      </c>
      <c r="C254" s="1" t="n">
        <v>45349</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9883-2019</t>
        </is>
      </c>
      <c r="B255" s="1" t="n">
        <v>43509</v>
      </c>
      <c r="C255" s="1" t="n">
        <v>45349</v>
      </c>
      <c r="D255" t="inlineStr">
        <is>
          <t>JÄMTLANDS LÄN</t>
        </is>
      </c>
      <c r="E255" t="inlineStr">
        <is>
          <t>KROKOM</t>
        </is>
      </c>
      <c r="G255" t="n">
        <v>5.7</v>
      </c>
      <c r="H255" t="n">
        <v>0</v>
      </c>
      <c r="I255" t="n">
        <v>0</v>
      </c>
      <c r="J255" t="n">
        <v>0</v>
      </c>
      <c r="K255" t="n">
        <v>0</v>
      </c>
      <c r="L255" t="n">
        <v>0</v>
      </c>
      <c r="M255" t="n">
        <v>0</v>
      </c>
      <c r="N255" t="n">
        <v>0</v>
      </c>
      <c r="O255" t="n">
        <v>0</v>
      </c>
      <c r="P255" t="n">
        <v>0</v>
      </c>
      <c r="Q255" t="n">
        <v>0</v>
      </c>
      <c r="R255" s="2" t="inlineStr"/>
    </row>
    <row r="256" ht="15" customHeight="1">
      <c r="A256" t="inlineStr">
        <is>
          <t>A 10688-2019</t>
        </is>
      </c>
      <c r="B256" s="1" t="n">
        <v>43514</v>
      </c>
      <c r="C256" s="1" t="n">
        <v>45349</v>
      </c>
      <c r="D256" t="inlineStr">
        <is>
          <t>JÄMTLANDS LÄN</t>
        </is>
      </c>
      <c r="E256" t="inlineStr">
        <is>
          <t>KROKOM</t>
        </is>
      </c>
      <c r="G256" t="n">
        <v>8</v>
      </c>
      <c r="H256" t="n">
        <v>0</v>
      </c>
      <c r="I256" t="n">
        <v>0</v>
      </c>
      <c r="J256" t="n">
        <v>0</v>
      </c>
      <c r="K256" t="n">
        <v>0</v>
      </c>
      <c r="L256" t="n">
        <v>0</v>
      </c>
      <c r="M256" t="n">
        <v>0</v>
      </c>
      <c r="N256" t="n">
        <v>0</v>
      </c>
      <c r="O256" t="n">
        <v>0</v>
      </c>
      <c r="P256" t="n">
        <v>0</v>
      </c>
      <c r="Q256" t="n">
        <v>0</v>
      </c>
      <c r="R256" s="2" t="inlineStr"/>
    </row>
    <row r="257" ht="15" customHeight="1">
      <c r="A257" t="inlineStr">
        <is>
          <t>A 11826-2019</t>
        </is>
      </c>
      <c r="B257" s="1" t="n">
        <v>43521</v>
      </c>
      <c r="C257" s="1" t="n">
        <v>45349</v>
      </c>
      <c r="D257" t="inlineStr">
        <is>
          <t>JÄMTLANDS LÄN</t>
        </is>
      </c>
      <c r="E257" t="inlineStr">
        <is>
          <t>KROKOM</t>
        </is>
      </c>
      <c r="G257" t="n">
        <v>22.9</v>
      </c>
      <c r="H257" t="n">
        <v>0</v>
      </c>
      <c r="I257" t="n">
        <v>0</v>
      </c>
      <c r="J257" t="n">
        <v>0</v>
      </c>
      <c r="K257" t="n">
        <v>0</v>
      </c>
      <c r="L257" t="n">
        <v>0</v>
      </c>
      <c r="M257" t="n">
        <v>0</v>
      </c>
      <c r="N257" t="n">
        <v>0</v>
      </c>
      <c r="O257" t="n">
        <v>0</v>
      </c>
      <c r="P257" t="n">
        <v>0</v>
      </c>
      <c r="Q257" t="n">
        <v>0</v>
      </c>
      <c r="R257" s="2" t="inlineStr"/>
    </row>
    <row r="258" ht="15" customHeight="1">
      <c r="A258" t="inlineStr">
        <is>
          <t>A 12089-2019</t>
        </is>
      </c>
      <c r="B258" s="1" t="n">
        <v>43522</v>
      </c>
      <c r="C258" s="1" t="n">
        <v>45349</v>
      </c>
      <c r="D258" t="inlineStr">
        <is>
          <t>JÄMTLANDS LÄN</t>
        </is>
      </c>
      <c r="E258" t="inlineStr">
        <is>
          <t>KROKOM</t>
        </is>
      </c>
      <c r="G258" t="n">
        <v>26</v>
      </c>
      <c r="H258" t="n">
        <v>0</v>
      </c>
      <c r="I258" t="n">
        <v>0</v>
      </c>
      <c r="J258" t="n">
        <v>0</v>
      </c>
      <c r="K258" t="n">
        <v>0</v>
      </c>
      <c r="L258" t="n">
        <v>0</v>
      </c>
      <c r="M258" t="n">
        <v>0</v>
      </c>
      <c r="N258" t="n">
        <v>0</v>
      </c>
      <c r="O258" t="n">
        <v>0</v>
      </c>
      <c r="P258" t="n">
        <v>0</v>
      </c>
      <c r="Q258" t="n">
        <v>0</v>
      </c>
      <c r="R258" s="2" t="inlineStr"/>
    </row>
    <row r="259" ht="15" customHeight="1">
      <c r="A259" t="inlineStr">
        <is>
          <t>A 12116-2019</t>
        </is>
      </c>
      <c r="B259" s="1" t="n">
        <v>43522</v>
      </c>
      <c r="C259" s="1" t="n">
        <v>45349</v>
      </c>
      <c r="D259" t="inlineStr">
        <is>
          <t>JÄMTLANDS LÄN</t>
        </is>
      </c>
      <c r="E259" t="inlineStr">
        <is>
          <t>KROKOM</t>
        </is>
      </c>
      <c r="G259" t="n">
        <v>2</v>
      </c>
      <c r="H259" t="n">
        <v>0</v>
      </c>
      <c r="I259" t="n">
        <v>0</v>
      </c>
      <c r="J259" t="n">
        <v>0</v>
      </c>
      <c r="K259" t="n">
        <v>0</v>
      </c>
      <c r="L259" t="n">
        <v>0</v>
      </c>
      <c r="M259" t="n">
        <v>0</v>
      </c>
      <c r="N259" t="n">
        <v>0</v>
      </c>
      <c r="O259" t="n">
        <v>0</v>
      </c>
      <c r="P259" t="n">
        <v>0</v>
      </c>
      <c r="Q259" t="n">
        <v>0</v>
      </c>
      <c r="R259" s="2" t="inlineStr"/>
    </row>
    <row r="260" ht="15" customHeight="1">
      <c r="A260" t="inlineStr">
        <is>
          <t>A 12109-2019</t>
        </is>
      </c>
      <c r="B260" s="1" t="n">
        <v>43522</v>
      </c>
      <c r="C260" s="1" t="n">
        <v>45349</v>
      </c>
      <c r="D260" t="inlineStr">
        <is>
          <t>JÄMTLANDS LÄN</t>
        </is>
      </c>
      <c r="E260" t="inlineStr">
        <is>
          <t>KROKOM</t>
        </is>
      </c>
      <c r="G260" t="n">
        <v>5.8</v>
      </c>
      <c r="H260" t="n">
        <v>0</v>
      </c>
      <c r="I260" t="n">
        <v>0</v>
      </c>
      <c r="J260" t="n">
        <v>0</v>
      </c>
      <c r="K260" t="n">
        <v>0</v>
      </c>
      <c r="L260" t="n">
        <v>0</v>
      </c>
      <c r="M260" t="n">
        <v>0</v>
      </c>
      <c r="N260" t="n">
        <v>0</v>
      </c>
      <c r="O260" t="n">
        <v>0</v>
      </c>
      <c r="P260" t="n">
        <v>0</v>
      </c>
      <c r="Q260" t="n">
        <v>0</v>
      </c>
      <c r="R260" s="2" t="inlineStr"/>
    </row>
    <row r="261" ht="15" customHeight="1">
      <c r="A261" t="inlineStr">
        <is>
          <t>A 12299-2019</t>
        </is>
      </c>
      <c r="B261" s="1" t="n">
        <v>43523</v>
      </c>
      <c r="C261" s="1" t="n">
        <v>45349</v>
      </c>
      <c r="D261" t="inlineStr">
        <is>
          <t>JÄMTLANDS LÄN</t>
        </is>
      </c>
      <c r="E261" t="inlineStr">
        <is>
          <t>KROKOM</t>
        </is>
      </c>
      <c r="G261" t="n">
        <v>5.3</v>
      </c>
      <c r="H261" t="n">
        <v>0</v>
      </c>
      <c r="I261" t="n">
        <v>0</v>
      </c>
      <c r="J261" t="n">
        <v>0</v>
      </c>
      <c r="K261" t="n">
        <v>0</v>
      </c>
      <c r="L261" t="n">
        <v>0</v>
      </c>
      <c r="M261" t="n">
        <v>0</v>
      </c>
      <c r="N261" t="n">
        <v>0</v>
      </c>
      <c r="O261" t="n">
        <v>0</v>
      </c>
      <c r="P261" t="n">
        <v>0</v>
      </c>
      <c r="Q261" t="n">
        <v>0</v>
      </c>
      <c r="R261" s="2" t="inlineStr"/>
    </row>
    <row r="262" ht="15" customHeight="1">
      <c r="A262" t="inlineStr">
        <is>
          <t>A 12300-2019</t>
        </is>
      </c>
      <c r="B262" s="1" t="n">
        <v>43523</v>
      </c>
      <c r="C262" s="1" t="n">
        <v>45349</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13209-2019</t>
        </is>
      </c>
      <c r="B263" s="1" t="n">
        <v>43528</v>
      </c>
      <c r="C263" s="1" t="n">
        <v>45349</v>
      </c>
      <c r="D263" t="inlineStr">
        <is>
          <t>JÄMTLANDS LÄN</t>
        </is>
      </c>
      <c r="E263" t="inlineStr">
        <is>
          <t>KROKOM</t>
        </is>
      </c>
      <c r="G263" t="n">
        <v>1.4</v>
      </c>
      <c r="H263" t="n">
        <v>0</v>
      </c>
      <c r="I263" t="n">
        <v>0</v>
      </c>
      <c r="J263" t="n">
        <v>0</v>
      </c>
      <c r="K263" t="n">
        <v>0</v>
      </c>
      <c r="L263" t="n">
        <v>0</v>
      </c>
      <c r="M263" t="n">
        <v>0</v>
      </c>
      <c r="N263" t="n">
        <v>0</v>
      </c>
      <c r="O263" t="n">
        <v>0</v>
      </c>
      <c r="P263" t="n">
        <v>0</v>
      </c>
      <c r="Q263" t="n">
        <v>0</v>
      </c>
      <c r="R263" s="2" t="inlineStr"/>
    </row>
    <row r="264" ht="15" customHeight="1">
      <c r="A264" t="inlineStr">
        <is>
          <t>A 13673-2019</t>
        </is>
      </c>
      <c r="B264" s="1" t="n">
        <v>43530</v>
      </c>
      <c r="C264" s="1" t="n">
        <v>45349</v>
      </c>
      <c r="D264" t="inlineStr">
        <is>
          <t>JÄMTLANDS LÄN</t>
        </is>
      </c>
      <c r="E264" t="inlineStr">
        <is>
          <t>KROKOM</t>
        </is>
      </c>
      <c r="G264" t="n">
        <v>11.2</v>
      </c>
      <c r="H264" t="n">
        <v>0</v>
      </c>
      <c r="I264" t="n">
        <v>0</v>
      </c>
      <c r="J264" t="n">
        <v>0</v>
      </c>
      <c r="K264" t="n">
        <v>0</v>
      </c>
      <c r="L264" t="n">
        <v>0</v>
      </c>
      <c r="M264" t="n">
        <v>0</v>
      </c>
      <c r="N264" t="n">
        <v>0</v>
      </c>
      <c r="O264" t="n">
        <v>0</v>
      </c>
      <c r="P264" t="n">
        <v>0</v>
      </c>
      <c r="Q264" t="n">
        <v>0</v>
      </c>
      <c r="R264" s="2" t="inlineStr"/>
    </row>
    <row r="265" ht="15" customHeight="1">
      <c r="A265" t="inlineStr">
        <is>
          <t>A 13644-2019</t>
        </is>
      </c>
      <c r="B265" s="1" t="n">
        <v>43530</v>
      </c>
      <c r="C265" s="1" t="n">
        <v>45349</v>
      </c>
      <c r="D265" t="inlineStr">
        <is>
          <t>JÄMTLANDS LÄN</t>
        </is>
      </c>
      <c r="E265" t="inlineStr">
        <is>
          <t>KROKOM</t>
        </is>
      </c>
      <c r="G265" t="n">
        <v>2.8</v>
      </c>
      <c r="H265" t="n">
        <v>0</v>
      </c>
      <c r="I265" t="n">
        <v>0</v>
      </c>
      <c r="J265" t="n">
        <v>0</v>
      </c>
      <c r="K265" t="n">
        <v>0</v>
      </c>
      <c r="L265" t="n">
        <v>0</v>
      </c>
      <c r="M265" t="n">
        <v>0</v>
      </c>
      <c r="N265" t="n">
        <v>0</v>
      </c>
      <c r="O265" t="n">
        <v>0</v>
      </c>
      <c r="P265" t="n">
        <v>0</v>
      </c>
      <c r="Q265" t="n">
        <v>0</v>
      </c>
      <c r="R265" s="2" t="inlineStr"/>
    </row>
    <row r="266" ht="15" customHeight="1">
      <c r="A266" t="inlineStr">
        <is>
          <t>A 14547-2019</t>
        </is>
      </c>
      <c r="B266" s="1" t="n">
        <v>43535</v>
      </c>
      <c r="C266" s="1" t="n">
        <v>45349</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15778-2019</t>
        </is>
      </c>
      <c r="B267" s="1" t="n">
        <v>43539</v>
      </c>
      <c r="C267" s="1" t="n">
        <v>45349</v>
      </c>
      <c r="D267" t="inlineStr">
        <is>
          <t>JÄMTLANDS LÄN</t>
        </is>
      </c>
      <c r="E267" t="inlineStr">
        <is>
          <t>KROKOM</t>
        </is>
      </c>
      <c r="G267" t="n">
        <v>5.4</v>
      </c>
      <c r="H267" t="n">
        <v>0</v>
      </c>
      <c r="I267" t="n">
        <v>0</v>
      </c>
      <c r="J267" t="n">
        <v>0</v>
      </c>
      <c r="K267" t="n">
        <v>0</v>
      </c>
      <c r="L267" t="n">
        <v>0</v>
      </c>
      <c r="M267" t="n">
        <v>0</v>
      </c>
      <c r="N267" t="n">
        <v>0</v>
      </c>
      <c r="O267" t="n">
        <v>0</v>
      </c>
      <c r="P267" t="n">
        <v>0</v>
      </c>
      <c r="Q267" t="n">
        <v>0</v>
      </c>
      <c r="R267" s="2" t="inlineStr"/>
    </row>
    <row r="268" ht="15" customHeight="1">
      <c r="A268" t="inlineStr">
        <is>
          <t>A 16335-2019</t>
        </is>
      </c>
      <c r="B268" s="1" t="n">
        <v>43545</v>
      </c>
      <c r="C268" s="1" t="n">
        <v>45349</v>
      </c>
      <c r="D268" t="inlineStr">
        <is>
          <t>JÄMTLANDS LÄN</t>
        </is>
      </c>
      <c r="E268" t="inlineStr">
        <is>
          <t>KROKOM</t>
        </is>
      </c>
      <c r="G268" t="n">
        <v>7.4</v>
      </c>
      <c r="H268" t="n">
        <v>0</v>
      </c>
      <c r="I268" t="n">
        <v>0</v>
      </c>
      <c r="J268" t="n">
        <v>0</v>
      </c>
      <c r="K268" t="n">
        <v>0</v>
      </c>
      <c r="L268" t="n">
        <v>0</v>
      </c>
      <c r="M268" t="n">
        <v>0</v>
      </c>
      <c r="N268" t="n">
        <v>0</v>
      </c>
      <c r="O268" t="n">
        <v>0</v>
      </c>
      <c r="P268" t="n">
        <v>0</v>
      </c>
      <c r="Q268" t="n">
        <v>0</v>
      </c>
      <c r="R268" s="2" t="inlineStr"/>
    </row>
    <row r="269" ht="15" customHeight="1">
      <c r="A269" t="inlineStr">
        <is>
          <t>A 16337-2019</t>
        </is>
      </c>
      <c r="B269" s="1" t="n">
        <v>43545</v>
      </c>
      <c r="C269" s="1" t="n">
        <v>45349</v>
      </c>
      <c r="D269" t="inlineStr">
        <is>
          <t>JÄMTLANDS LÄN</t>
        </is>
      </c>
      <c r="E269" t="inlineStr">
        <is>
          <t>KROKOM</t>
        </is>
      </c>
      <c r="G269" t="n">
        <v>11.8</v>
      </c>
      <c r="H269" t="n">
        <v>0</v>
      </c>
      <c r="I269" t="n">
        <v>0</v>
      </c>
      <c r="J269" t="n">
        <v>0</v>
      </c>
      <c r="K269" t="n">
        <v>0</v>
      </c>
      <c r="L269" t="n">
        <v>0</v>
      </c>
      <c r="M269" t="n">
        <v>0</v>
      </c>
      <c r="N269" t="n">
        <v>0</v>
      </c>
      <c r="O269" t="n">
        <v>0</v>
      </c>
      <c r="P269" t="n">
        <v>0</v>
      </c>
      <c r="Q269" t="n">
        <v>0</v>
      </c>
      <c r="R269" s="2" t="inlineStr"/>
    </row>
    <row r="270" ht="15" customHeight="1">
      <c r="A270" t="inlineStr">
        <is>
          <t>A 16242-2019</t>
        </is>
      </c>
      <c r="B270" s="1" t="n">
        <v>43545</v>
      </c>
      <c r="C270" s="1" t="n">
        <v>45349</v>
      </c>
      <c r="D270" t="inlineStr">
        <is>
          <t>JÄMTLANDS LÄN</t>
        </is>
      </c>
      <c r="E270" t="inlineStr">
        <is>
          <t>KROKOM</t>
        </is>
      </c>
      <c r="G270" t="n">
        <v>4.4</v>
      </c>
      <c r="H270" t="n">
        <v>0</v>
      </c>
      <c r="I270" t="n">
        <v>0</v>
      </c>
      <c r="J270" t="n">
        <v>0</v>
      </c>
      <c r="K270" t="n">
        <v>0</v>
      </c>
      <c r="L270" t="n">
        <v>0</v>
      </c>
      <c r="M270" t="n">
        <v>0</v>
      </c>
      <c r="N270" t="n">
        <v>0</v>
      </c>
      <c r="O270" t="n">
        <v>0</v>
      </c>
      <c r="P270" t="n">
        <v>0</v>
      </c>
      <c r="Q270" t="n">
        <v>0</v>
      </c>
      <c r="R270" s="2" t="inlineStr"/>
    </row>
    <row r="271" ht="15" customHeight="1">
      <c r="A271" t="inlineStr">
        <is>
          <t>A 16648-2019</t>
        </is>
      </c>
      <c r="B271" s="1" t="n">
        <v>43549</v>
      </c>
      <c r="C271" s="1" t="n">
        <v>45349</v>
      </c>
      <c r="D271" t="inlineStr">
        <is>
          <t>JÄMTLANDS LÄN</t>
        </is>
      </c>
      <c r="E271" t="inlineStr">
        <is>
          <t>KROKOM</t>
        </is>
      </c>
      <c r="G271" t="n">
        <v>1</v>
      </c>
      <c r="H271" t="n">
        <v>0</v>
      </c>
      <c r="I271" t="n">
        <v>0</v>
      </c>
      <c r="J271" t="n">
        <v>0</v>
      </c>
      <c r="K271" t="n">
        <v>0</v>
      </c>
      <c r="L271" t="n">
        <v>0</v>
      </c>
      <c r="M271" t="n">
        <v>0</v>
      </c>
      <c r="N271" t="n">
        <v>0</v>
      </c>
      <c r="O271" t="n">
        <v>0</v>
      </c>
      <c r="P271" t="n">
        <v>0</v>
      </c>
      <c r="Q271" t="n">
        <v>0</v>
      </c>
      <c r="R271" s="2" t="inlineStr"/>
    </row>
    <row r="272" ht="15" customHeight="1">
      <c r="A272" t="inlineStr">
        <is>
          <t>A 17108-2019</t>
        </is>
      </c>
      <c r="B272" s="1" t="n">
        <v>43551</v>
      </c>
      <c r="C272" s="1" t="n">
        <v>45349</v>
      </c>
      <c r="D272" t="inlineStr">
        <is>
          <t>JÄMTLANDS LÄN</t>
        </is>
      </c>
      <c r="E272" t="inlineStr">
        <is>
          <t>KROKOM</t>
        </is>
      </c>
      <c r="G272" t="n">
        <v>2.8</v>
      </c>
      <c r="H272" t="n">
        <v>0</v>
      </c>
      <c r="I272" t="n">
        <v>0</v>
      </c>
      <c r="J272" t="n">
        <v>0</v>
      </c>
      <c r="K272" t="n">
        <v>0</v>
      </c>
      <c r="L272" t="n">
        <v>0</v>
      </c>
      <c r="M272" t="n">
        <v>0</v>
      </c>
      <c r="N272" t="n">
        <v>0</v>
      </c>
      <c r="O272" t="n">
        <v>0</v>
      </c>
      <c r="P272" t="n">
        <v>0</v>
      </c>
      <c r="Q272" t="n">
        <v>0</v>
      </c>
      <c r="R272" s="2" t="inlineStr"/>
    </row>
    <row r="273" ht="15" customHeight="1">
      <c r="A273" t="inlineStr">
        <is>
          <t>A 17853-2019</t>
        </is>
      </c>
      <c r="B273" s="1" t="n">
        <v>43556</v>
      </c>
      <c r="C273" s="1" t="n">
        <v>45349</v>
      </c>
      <c r="D273" t="inlineStr">
        <is>
          <t>JÄMTLANDS LÄN</t>
        </is>
      </c>
      <c r="E273" t="inlineStr">
        <is>
          <t>KROKOM</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18183-2019</t>
        </is>
      </c>
      <c r="B274" s="1" t="n">
        <v>43558</v>
      </c>
      <c r="C274" s="1" t="n">
        <v>45349</v>
      </c>
      <c r="D274" t="inlineStr">
        <is>
          <t>JÄMTLANDS LÄN</t>
        </is>
      </c>
      <c r="E274" t="inlineStr">
        <is>
          <t>KROKOM</t>
        </is>
      </c>
      <c r="G274" t="n">
        <v>5.3</v>
      </c>
      <c r="H274" t="n">
        <v>0</v>
      </c>
      <c r="I274" t="n">
        <v>0</v>
      </c>
      <c r="J274" t="n">
        <v>0</v>
      </c>
      <c r="K274" t="n">
        <v>0</v>
      </c>
      <c r="L274" t="n">
        <v>0</v>
      </c>
      <c r="M274" t="n">
        <v>0</v>
      </c>
      <c r="N274" t="n">
        <v>0</v>
      </c>
      <c r="O274" t="n">
        <v>0</v>
      </c>
      <c r="P274" t="n">
        <v>0</v>
      </c>
      <c r="Q274" t="n">
        <v>0</v>
      </c>
      <c r="R274" s="2" t="inlineStr"/>
    </row>
    <row r="275" ht="15" customHeight="1">
      <c r="A275" t="inlineStr">
        <is>
          <t>A 18477-2019</t>
        </is>
      </c>
      <c r="B275" s="1" t="n">
        <v>43559</v>
      </c>
      <c r="C275" s="1" t="n">
        <v>45349</v>
      </c>
      <c r="D275" t="inlineStr">
        <is>
          <t>JÄMTLANDS LÄN</t>
        </is>
      </c>
      <c r="E275" t="inlineStr">
        <is>
          <t>KROKOM</t>
        </is>
      </c>
      <c r="G275" t="n">
        <v>3</v>
      </c>
      <c r="H275" t="n">
        <v>0</v>
      </c>
      <c r="I275" t="n">
        <v>0</v>
      </c>
      <c r="J275" t="n">
        <v>0</v>
      </c>
      <c r="K275" t="n">
        <v>0</v>
      </c>
      <c r="L275" t="n">
        <v>0</v>
      </c>
      <c r="M275" t="n">
        <v>0</v>
      </c>
      <c r="N275" t="n">
        <v>0</v>
      </c>
      <c r="O275" t="n">
        <v>0</v>
      </c>
      <c r="P275" t="n">
        <v>0</v>
      </c>
      <c r="Q275" t="n">
        <v>0</v>
      </c>
      <c r="R275" s="2" t="inlineStr"/>
    </row>
    <row r="276" ht="15" customHeight="1">
      <c r="A276" t="inlineStr">
        <is>
          <t>A 18565-2019</t>
        </is>
      </c>
      <c r="B276" s="1" t="n">
        <v>43559</v>
      </c>
      <c r="C276" s="1" t="n">
        <v>45349</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18407-2019</t>
        </is>
      </c>
      <c r="B277" s="1" t="n">
        <v>43559</v>
      </c>
      <c r="C277" s="1" t="n">
        <v>45349</v>
      </c>
      <c r="D277" t="inlineStr">
        <is>
          <t>JÄMTLANDS LÄN</t>
        </is>
      </c>
      <c r="E277" t="inlineStr">
        <is>
          <t>KROKOM</t>
        </is>
      </c>
      <c r="G277" t="n">
        <v>43.1</v>
      </c>
      <c r="H277" t="n">
        <v>0</v>
      </c>
      <c r="I277" t="n">
        <v>0</v>
      </c>
      <c r="J277" t="n">
        <v>0</v>
      </c>
      <c r="K277" t="n">
        <v>0</v>
      </c>
      <c r="L277" t="n">
        <v>0</v>
      </c>
      <c r="M277" t="n">
        <v>0</v>
      </c>
      <c r="N277" t="n">
        <v>0</v>
      </c>
      <c r="O277" t="n">
        <v>0</v>
      </c>
      <c r="P277" t="n">
        <v>0</v>
      </c>
      <c r="Q277" t="n">
        <v>0</v>
      </c>
      <c r="R277" s="2" t="inlineStr"/>
    </row>
    <row r="278" ht="15" customHeight="1">
      <c r="A278" t="inlineStr">
        <is>
          <t>A 18397-2019</t>
        </is>
      </c>
      <c r="B278" s="1" t="n">
        <v>43559</v>
      </c>
      <c r="C278" s="1" t="n">
        <v>45349</v>
      </c>
      <c r="D278" t="inlineStr">
        <is>
          <t>JÄMTLANDS LÄN</t>
        </is>
      </c>
      <c r="E278" t="inlineStr">
        <is>
          <t>KROKOM</t>
        </is>
      </c>
      <c r="G278" t="n">
        <v>2.8</v>
      </c>
      <c r="H278" t="n">
        <v>0</v>
      </c>
      <c r="I278" t="n">
        <v>0</v>
      </c>
      <c r="J278" t="n">
        <v>0</v>
      </c>
      <c r="K278" t="n">
        <v>0</v>
      </c>
      <c r="L278" t="n">
        <v>0</v>
      </c>
      <c r="M278" t="n">
        <v>0</v>
      </c>
      <c r="N278" t="n">
        <v>0</v>
      </c>
      <c r="O278" t="n">
        <v>0</v>
      </c>
      <c r="P278" t="n">
        <v>0</v>
      </c>
      <c r="Q278" t="n">
        <v>0</v>
      </c>
      <c r="R278" s="2" t="inlineStr"/>
    </row>
    <row r="279" ht="15" customHeight="1">
      <c r="A279" t="inlineStr">
        <is>
          <t>A 18602-2019</t>
        </is>
      </c>
      <c r="B279" s="1" t="n">
        <v>43560</v>
      </c>
      <c r="C279" s="1" t="n">
        <v>45349</v>
      </c>
      <c r="D279" t="inlineStr">
        <is>
          <t>JÄMTLANDS LÄN</t>
        </is>
      </c>
      <c r="E279" t="inlineStr">
        <is>
          <t>KROKOM</t>
        </is>
      </c>
      <c r="G279" t="n">
        <v>1.7</v>
      </c>
      <c r="H279" t="n">
        <v>0</v>
      </c>
      <c r="I279" t="n">
        <v>0</v>
      </c>
      <c r="J279" t="n">
        <v>0</v>
      </c>
      <c r="K279" t="n">
        <v>0</v>
      </c>
      <c r="L279" t="n">
        <v>0</v>
      </c>
      <c r="M279" t="n">
        <v>0</v>
      </c>
      <c r="N279" t="n">
        <v>0</v>
      </c>
      <c r="O279" t="n">
        <v>0</v>
      </c>
      <c r="P279" t="n">
        <v>0</v>
      </c>
      <c r="Q279" t="n">
        <v>0</v>
      </c>
      <c r="R279" s="2" t="inlineStr"/>
    </row>
    <row r="280" ht="15" customHeight="1">
      <c r="A280" t="inlineStr">
        <is>
          <t>A 18831-2019</t>
        </is>
      </c>
      <c r="B280" s="1" t="n">
        <v>43563</v>
      </c>
      <c r="C280" s="1" t="n">
        <v>45349</v>
      </c>
      <c r="D280" t="inlineStr">
        <is>
          <t>JÄMTLANDS LÄN</t>
        </is>
      </c>
      <c r="E280" t="inlineStr">
        <is>
          <t>KROKOM</t>
        </is>
      </c>
      <c r="G280" t="n">
        <v>2.5</v>
      </c>
      <c r="H280" t="n">
        <v>0</v>
      </c>
      <c r="I280" t="n">
        <v>0</v>
      </c>
      <c r="J280" t="n">
        <v>0</v>
      </c>
      <c r="K280" t="n">
        <v>0</v>
      </c>
      <c r="L280" t="n">
        <v>0</v>
      </c>
      <c r="M280" t="n">
        <v>0</v>
      </c>
      <c r="N280" t="n">
        <v>0</v>
      </c>
      <c r="O280" t="n">
        <v>0</v>
      </c>
      <c r="P280" t="n">
        <v>0</v>
      </c>
      <c r="Q280" t="n">
        <v>0</v>
      </c>
      <c r="R280" s="2" t="inlineStr"/>
    </row>
    <row r="281" ht="15" customHeight="1">
      <c r="A281" t="inlineStr">
        <is>
          <t>A 18847-2019</t>
        </is>
      </c>
      <c r="B281" s="1" t="n">
        <v>43563</v>
      </c>
      <c r="C281" s="1" t="n">
        <v>45349</v>
      </c>
      <c r="D281" t="inlineStr">
        <is>
          <t>JÄMTLANDS LÄN</t>
        </is>
      </c>
      <c r="E281" t="inlineStr">
        <is>
          <t>KROKOM</t>
        </is>
      </c>
      <c r="G281" t="n">
        <v>1</v>
      </c>
      <c r="H281" t="n">
        <v>0</v>
      </c>
      <c r="I281" t="n">
        <v>0</v>
      </c>
      <c r="J281" t="n">
        <v>0</v>
      </c>
      <c r="K281" t="n">
        <v>0</v>
      </c>
      <c r="L281" t="n">
        <v>0</v>
      </c>
      <c r="M281" t="n">
        <v>0</v>
      </c>
      <c r="N281" t="n">
        <v>0</v>
      </c>
      <c r="O281" t="n">
        <v>0</v>
      </c>
      <c r="P281" t="n">
        <v>0</v>
      </c>
      <c r="Q281" t="n">
        <v>0</v>
      </c>
      <c r="R281" s="2" t="inlineStr"/>
    </row>
    <row r="282" ht="15" customHeight="1">
      <c r="A282" t="inlineStr">
        <is>
          <t>A 19152-2019</t>
        </is>
      </c>
      <c r="B282" s="1" t="n">
        <v>43564</v>
      </c>
      <c r="C282" s="1" t="n">
        <v>45349</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19325-2019</t>
        </is>
      </c>
      <c r="B283" s="1" t="n">
        <v>43565</v>
      </c>
      <c r="C283" s="1" t="n">
        <v>45349</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19708-2019</t>
        </is>
      </c>
      <c r="B284" s="1" t="n">
        <v>43566</v>
      </c>
      <c r="C284" s="1" t="n">
        <v>45349</v>
      </c>
      <c r="D284" t="inlineStr">
        <is>
          <t>JÄMTLANDS LÄN</t>
        </is>
      </c>
      <c r="E284" t="inlineStr">
        <is>
          <t>KROKOM</t>
        </is>
      </c>
      <c r="G284" t="n">
        <v>8.9</v>
      </c>
      <c r="H284" t="n">
        <v>0</v>
      </c>
      <c r="I284" t="n">
        <v>0</v>
      </c>
      <c r="J284" t="n">
        <v>0</v>
      </c>
      <c r="K284" t="n">
        <v>0</v>
      </c>
      <c r="L284" t="n">
        <v>0</v>
      </c>
      <c r="M284" t="n">
        <v>0</v>
      </c>
      <c r="N284" t="n">
        <v>0</v>
      </c>
      <c r="O284" t="n">
        <v>0</v>
      </c>
      <c r="P284" t="n">
        <v>0</v>
      </c>
      <c r="Q284" t="n">
        <v>0</v>
      </c>
      <c r="R284" s="2" t="inlineStr"/>
    </row>
    <row r="285" ht="15" customHeight="1">
      <c r="A285" t="inlineStr">
        <is>
          <t>A 20378-2019</t>
        </is>
      </c>
      <c r="B285" s="1" t="n">
        <v>43571</v>
      </c>
      <c r="C285" s="1" t="n">
        <v>45349</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20596-2019</t>
        </is>
      </c>
      <c r="B286" s="1" t="n">
        <v>43572</v>
      </c>
      <c r="C286" s="1" t="n">
        <v>45349</v>
      </c>
      <c r="D286" t="inlineStr">
        <is>
          <t>JÄMTLANDS LÄN</t>
        </is>
      </c>
      <c r="E286" t="inlineStr">
        <is>
          <t>KROKOM</t>
        </is>
      </c>
      <c r="G286" t="n">
        <v>10.6</v>
      </c>
      <c r="H286" t="n">
        <v>0</v>
      </c>
      <c r="I286" t="n">
        <v>0</v>
      </c>
      <c r="J286" t="n">
        <v>0</v>
      </c>
      <c r="K286" t="n">
        <v>0</v>
      </c>
      <c r="L286" t="n">
        <v>0</v>
      </c>
      <c r="M286" t="n">
        <v>0</v>
      </c>
      <c r="N286" t="n">
        <v>0</v>
      </c>
      <c r="O286" t="n">
        <v>0</v>
      </c>
      <c r="P286" t="n">
        <v>0</v>
      </c>
      <c r="Q286" t="n">
        <v>0</v>
      </c>
      <c r="R286" s="2" t="inlineStr"/>
    </row>
    <row r="287" ht="15" customHeight="1">
      <c r="A287" t="inlineStr">
        <is>
          <t>A 21269-2019</t>
        </is>
      </c>
      <c r="B287" s="1" t="n">
        <v>43579</v>
      </c>
      <c r="C287" s="1" t="n">
        <v>45349</v>
      </c>
      <c r="D287" t="inlineStr">
        <is>
          <t>JÄMTLANDS LÄN</t>
        </is>
      </c>
      <c r="E287" t="inlineStr">
        <is>
          <t>KROKOM</t>
        </is>
      </c>
      <c r="G287" t="n">
        <v>1.7</v>
      </c>
      <c r="H287" t="n">
        <v>0</v>
      </c>
      <c r="I287" t="n">
        <v>0</v>
      </c>
      <c r="J287" t="n">
        <v>0</v>
      </c>
      <c r="K287" t="n">
        <v>0</v>
      </c>
      <c r="L287" t="n">
        <v>0</v>
      </c>
      <c r="M287" t="n">
        <v>0</v>
      </c>
      <c r="N287" t="n">
        <v>0</v>
      </c>
      <c r="O287" t="n">
        <v>0</v>
      </c>
      <c r="P287" t="n">
        <v>0</v>
      </c>
      <c r="Q287" t="n">
        <v>0</v>
      </c>
      <c r="R287" s="2" t="inlineStr"/>
    </row>
    <row r="288" ht="15" customHeight="1">
      <c r="A288" t="inlineStr">
        <is>
          <t>A 21421-2019</t>
        </is>
      </c>
      <c r="B288" s="1" t="n">
        <v>43580</v>
      </c>
      <c r="C288" s="1" t="n">
        <v>45349</v>
      </c>
      <c r="D288" t="inlineStr">
        <is>
          <t>JÄMTLANDS LÄN</t>
        </is>
      </c>
      <c r="E288" t="inlineStr">
        <is>
          <t>KROKOM</t>
        </is>
      </c>
      <c r="G288" t="n">
        <v>13.1</v>
      </c>
      <c r="H288" t="n">
        <v>0</v>
      </c>
      <c r="I288" t="n">
        <v>0</v>
      </c>
      <c r="J288" t="n">
        <v>0</v>
      </c>
      <c r="K288" t="n">
        <v>0</v>
      </c>
      <c r="L288" t="n">
        <v>0</v>
      </c>
      <c r="M288" t="n">
        <v>0</v>
      </c>
      <c r="N288" t="n">
        <v>0</v>
      </c>
      <c r="O288" t="n">
        <v>0</v>
      </c>
      <c r="P288" t="n">
        <v>0</v>
      </c>
      <c r="Q288" t="n">
        <v>0</v>
      </c>
      <c r="R288" s="2" t="inlineStr"/>
    </row>
    <row r="289" ht="15" customHeight="1">
      <c r="A289" t="inlineStr">
        <is>
          <t>A 21669-2019</t>
        </is>
      </c>
      <c r="B289" s="1" t="n">
        <v>43581</v>
      </c>
      <c r="C289" s="1" t="n">
        <v>45349</v>
      </c>
      <c r="D289" t="inlineStr">
        <is>
          <t>JÄMTLANDS LÄN</t>
        </is>
      </c>
      <c r="E289" t="inlineStr">
        <is>
          <t>KROKOM</t>
        </is>
      </c>
      <c r="G289" t="n">
        <v>13.2</v>
      </c>
      <c r="H289" t="n">
        <v>0</v>
      </c>
      <c r="I289" t="n">
        <v>0</v>
      </c>
      <c r="J289" t="n">
        <v>0</v>
      </c>
      <c r="K289" t="n">
        <v>0</v>
      </c>
      <c r="L289" t="n">
        <v>0</v>
      </c>
      <c r="M289" t="n">
        <v>0</v>
      </c>
      <c r="N289" t="n">
        <v>0</v>
      </c>
      <c r="O289" t="n">
        <v>0</v>
      </c>
      <c r="P289" t="n">
        <v>0</v>
      </c>
      <c r="Q289" t="n">
        <v>0</v>
      </c>
      <c r="R289" s="2" t="inlineStr"/>
    </row>
    <row r="290" ht="15" customHeight="1">
      <c r="A290" t="inlineStr">
        <is>
          <t>A 21716-2019</t>
        </is>
      </c>
      <c r="B290" s="1" t="n">
        <v>43581</v>
      </c>
      <c r="C290" s="1" t="n">
        <v>45349</v>
      </c>
      <c r="D290" t="inlineStr">
        <is>
          <t>JÄMTLANDS LÄN</t>
        </is>
      </c>
      <c r="E290" t="inlineStr">
        <is>
          <t>KROKOM</t>
        </is>
      </c>
      <c r="G290" t="n">
        <v>4.2</v>
      </c>
      <c r="H290" t="n">
        <v>0</v>
      </c>
      <c r="I290" t="n">
        <v>0</v>
      </c>
      <c r="J290" t="n">
        <v>0</v>
      </c>
      <c r="K290" t="n">
        <v>0</v>
      </c>
      <c r="L290" t="n">
        <v>0</v>
      </c>
      <c r="M290" t="n">
        <v>0</v>
      </c>
      <c r="N290" t="n">
        <v>0</v>
      </c>
      <c r="O290" t="n">
        <v>0</v>
      </c>
      <c r="P290" t="n">
        <v>0</v>
      </c>
      <c r="Q290" t="n">
        <v>0</v>
      </c>
      <c r="R290" s="2" t="inlineStr"/>
    </row>
    <row r="291" ht="15" customHeight="1">
      <c r="A291" t="inlineStr">
        <is>
          <t>A 21933-2019</t>
        </is>
      </c>
      <c r="B291" s="1" t="n">
        <v>43584</v>
      </c>
      <c r="C291" s="1" t="n">
        <v>45349</v>
      </c>
      <c r="D291" t="inlineStr">
        <is>
          <t>JÄMTLANDS LÄN</t>
        </is>
      </c>
      <c r="E291" t="inlineStr">
        <is>
          <t>KROKOM</t>
        </is>
      </c>
      <c r="G291" t="n">
        <v>12.8</v>
      </c>
      <c r="H291" t="n">
        <v>0</v>
      </c>
      <c r="I291" t="n">
        <v>0</v>
      </c>
      <c r="J291" t="n">
        <v>0</v>
      </c>
      <c r="K291" t="n">
        <v>0</v>
      </c>
      <c r="L291" t="n">
        <v>0</v>
      </c>
      <c r="M291" t="n">
        <v>0</v>
      </c>
      <c r="N291" t="n">
        <v>0</v>
      </c>
      <c r="O291" t="n">
        <v>0</v>
      </c>
      <c r="P291" t="n">
        <v>0</v>
      </c>
      <c r="Q291" t="n">
        <v>0</v>
      </c>
      <c r="R291" s="2" t="inlineStr"/>
    </row>
    <row r="292" ht="15" customHeight="1">
      <c r="A292" t="inlineStr">
        <is>
          <t>A 22208-2019</t>
        </is>
      </c>
      <c r="B292" s="1" t="n">
        <v>43585</v>
      </c>
      <c r="C292" s="1" t="n">
        <v>45349</v>
      </c>
      <c r="D292" t="inlineStr">
        <is>
          <t>JÄMTLANDS LÄN</t>
        </is>
      </c>
      <c r="E292" t="inlineStr">
        <is>
          <t>KROKOM</t>
        </is>
      </c>
      <c r="G292" t="n">
        <v>0.9</v>
      </c>
      <c r="H292" t="n">
        <v>0</v>
      </c>
      <c r="I292" t="n">
        <v>0</v>
      </c>
      <c r="J292" t="n">
        <v>0</v>
      </c>
      <c r="K292" t="n">
        <v>0</v>
      </c>
      <c r="L292" t="n">
        <v>0</v>
      </c>
      <c r="M292" t="n">
        <v>0</v>
      </c>
      <c r="N292" t="n">
        <v>0</v>
      </c>
      <c r="O292" t="n">
        <v>0</v>
      </c>
      <c r="P292" t="n">
        <v>0</v>
      </c>
      <c r="Q292" t="n">
        <v>0</v>
      </c>
      <c r="R292" s="2" t="inlineStr"/>
    </row>
    <row r="293" ht="15" customHeight="1">
      <c r="A293" t="inlineStr">
        <is>
          <t>A 22135-2019</t>
        </is>
      </c>
      <c r="B293" s="1" t="n">
        <v>43585</v>
      </c>
      <c r="C293" s="1" t="n">
        <v>45349</v>
      </c>
      <c r="D293" t="inlineStr">
        <is>
          <t>JÄMTLANDS LÄN</t>
        </is>
      </c>
      <c r="E293" t="inlineStr">
        <is>
          <t>KROKOM</t>
        </is>
      </c>
      <c r="G293" t="n">
        <v>8.1</v>
      </c>
      <c r="H293" t="n">
        <v>0</v>
      </c>
      <c r="I293" t="n">
        <v>0</v>
      </c>
      <c r="J293" t="n">
        <v>0</v>
      </c>
      <c r="K293" t="n">
        <v>0</v>
      </c>
      <c r="L293" t="n">
        <v>0</v>
      </c>
      <c r="M293" t="n">
        <v>0</v>
      </c>
      <c r="N293" t="n">
        <v>0</v>
      </c>
      <c r="O293" t="n">
        <v>0</v>
      </c>
      <c r="P293" t="n">
        <v>0</v>
      </c>
      <c r="Q293" t="n">
        <v>0</v>
      </c>
      <c r="R293" s="2" t="inlineStr"/>
    </row>
    <row r="294" ht="15" customHeight="1">
      <c r="A294" t="inlineStr">
        <is>
          <t>A 22129-2019</t>
        </is>
      </c>
      <c r="B294" s="1" t="n">
        <v>43585</v>
      </c>
      <c r="C294" s="1" t="n">
        <v>45349</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22521-2019</t>
        </is>
      </c>
      <c r="B295" s="1" t="n">
        <v>43587</v>
      </c>
      <c r="C295" s="1" t="n">
        <v>45349</v>
      </c>
      <c r="D295" t="inlineStr">
        <is>
          <t>JÄMTLANDS LÄN</t>
        </is>
      </c>
      <c r="E295" t="inlineStr">
        <is>
          <t>KROKOM</t>
        </is>
      </c>
      <c r="F295" t="inlineStr">
        <is>
          <t>Kyrkan</t>
        </is>
      </c>
      <c r="G295" t="n">
        <v>14.5</v>
      </c>
      <c r="H295" t="n">
        <v>0</v>
      </c>
      <c r="I295" t="n">
        <v>0</v>
      </c>
      <c r="J295" t="n">
        <v>0</v>
      </c>
      <c r="K295" t="n">
        <v>0</v>
      </c>
      <c r="L295" t="n">
        <v>0</v>
      </c>
      <c r="M295" t="n">
        <v>0</v>
      </c>
      <c r="N295" t="n">
        <v>0</v>
      </c>
      <c r="O295" t="n">
        <v>0</v>
      </c>
      <c r="P295" t="n">
        <v>0</v>
      </c>
      <c r="Q295" t="n">
        <v>0</v>
      </c>
      <c r="R295" s="2" t="inlineStr"/>
    </row>
    <row r="296" ht="15" customHeight="1">
      <c r="A296" t="inlineStr">
        <is>
          <t>A 22533-2019</t>
        </is>
      </c>
      <c r="B296" s="1" t="n">
        <v>43587</v>
      </c>
      <c r="C296" s="1" t="n">
        <v>45349</v>
      </c>
      <c r="D296" t="inlineStr">
        <is>
          <t>JÄMTLANDS LÄN</t>
        </is>
      </c>
      <c r="E296" t="inlineStr">
        <is>
          <t>KROKOM</t>
        </is>
      </c>
      <c r="F296" t="inlineStr">
        <is>
          <t>Kyrkan</t>
        </is>
      </c>
      <c r="G296" t="n">
        <v>1.5</v>
      </c>
      <c r="H296" t="n">
        <v>0</v>
      </c>
      <c r="I296" t="n">
        <v>0</v>
      </c>
      <c r="J296" t="n">
        <v>0</v>
      </c>
      <c r="K296" t="n">
        <v>0</v>
      </c>
      <c r="L296" t="n">
        <v>0</v>
      </c>
      <c r="M296" t="n">
        <v>0</v>
      </c>
      <c r="N296" t="n">
        <v>0</v>
      </c>
      <c r="O296" t="n">
        <v>0</v>
      </c>
      <c r="P296" t="n">
        <v>0</v>
      </c>
      <c r="Q296" t="n">
        <v>0</v>
      </c>
      <c r="R296" s="2" t="inlineStr"/>
    </row>
    <row r="297" ht="15" customHeight="1">
      <c r="A297" t="inlineStr">
        <is>
          <t>A 22877-2019</t>
        </is>
      </c>
      <c r="B297" s="1" t="n">
        <v>43591</v>
      </c>
      <c r="C297" s="1" t="n">
        <v>45349</v>
      </c>
      <c r="D297" t="inlineStr">
        <is>
          <t>JÄMTLANDS LÄN</t>
        </is>
      </c>
      <c r="E297" t="inlineStr">
        <is>
          <t>KROKOM</t>
        </is>
      </c>
      <c r="G297" t="n">
        <v>11</v>
      </c>
      <c r="H297" t="n">
        <v>0</v>
      </c>
      <c r="I297" t="n">
        <v>0</v>
      </c>
      <c r="J297" t="n">
        <v>0</v>
      </c>
      <c r="K297" t="n">
        <v>0</v>
      </c>
      <c r="L297" t="n">
        <v>0</v>
      </c>
      <c r="M297" t="n">
        <v>0</v>
      </c>
      <c r="N297" t="n">
        <v>0</v>
      </c>
      <c r="O297" t="n">
        <v>0</v>
      </c>
      <c r="P297" t="n">
        <v>0</v>
      </c>
      <c r="Q297" t="n">
        <v>0</v>
      </c>
      <c r="R297" s="2" t="inlineStr"/>
    </row>
    <row r="298" ht="15" customHeight="1">
      <c r="A298" t="inlineStr">
        <is>
          <t>A 23698-2019</t>
        </is>
      </c>
      <c r="B298" s="1" t="n">
        <v>43594</v>
      </c>
      <c r="C298" s="1" t="n">
        <v>45349</v>
      </c>
      <c r="D298" t="inlineStr">
        <is>
          <t>JÄMTLANDS LÄN</t>
        </is>
      </c>
      <c r="E298" t="inlineStr">
        <is>
          <t>KROKOM</t>
        </is>
      </c>
      <c r="G298" t="n">
        <v>14.3</v>
      </c>
      <c r="H298" t="n">
        <v>0</v>
      </c>
      <c r="I298" t="n">
        <v>0</v>
      </c>
      <c r="J298" t="n">
        <v>0</v>
      </c>
      <c r="K298" t="n">
        <v>0</v>
      </c>
      <c r="L298" t="n">
        <v>0</v>
      </c>
      <c r="M298" t="n">
        <v>0</v>
      </c>
      <c r="N298" t="n">
        <v>0</v>
      </c>
      <c r="O298" t="n">
        <v>0</v>
      </c>
      <c r="P298" t="n">
        <v>0</v>
      </c>
      <c r="Q298" t="n">
        <v>0</v>
      </c>
      <c r="R298" s="2" t="inlineStr"/>
    </row>
    <row r="299" ht="15" customHeight="1">
      <c r="A299" t="inlineStr">
        <is>
          <t>A 24900-2019</t>
        </is>
      </c>
      <c r="B299" s="1" t="n">
        <v>43599</v>
      </c>
      <c r="C299" s="1" t="n">
        <v>45349</v>
      </c>
      <c r="D299" t="inlineStr">
        <is>
          <t>JÄMTLANDS LÄN</t>
        </is>
      </c>
      <c r="E299" t="inlineStr">
        <is>
          <t>KROKOM</t>
        </is>
      </c>
      <c r="G299" t="n">
        <v>3.3</v>
      </c>
      <c r="H299" t="n">
        <v>0</v>
      </c>
      <c r="I299" t="n">
        <v>0</v>
      </c>
      <c r="J299" t="n">
        <v>0</v>
      </c>
      <c r="K299" t="n">
        <v>0</v>
      </c>
      <c r="L299" t="n">
        <v>0</v>
      </c>
      <c r="M299" t="n">
        <v>0</v>
      </c>
      <c r="N299" t="n">
        <v>0</v>
      </c>
      <c r="O299" t="n">
        <v>0</v>
      </c>
      <c r="P299" t="n">
        <v>0</v>
      </c>
      <c r="Q299" t="n">
        <v>0</v>
      </c>
      <c r="R299" s="2" t="inlineStr"/>
    </row>
    <row r="300" ht="15" customHeight="1">
      <c r="A300" t="inlineStr">
        <is>
          <t>A 25641-2019</t>
        </is>
      </c>
      <c r="B300" s="1" t="n">
        <v>43602</v>
      </c>
      <c r="C300" s="1" t="n">
        <v>45349</v>
      </c>
      <c r="D300" t="inlineStr">
        <is>
          <t>JÄMTLANDS LÄN</t>
        </is>
      </c>
      <c r="E300" t="inlineStr">
        <is>
          <t>KROKOM</t>
        </is>
      </c>
      <c r="G300" t="n">
        <v>1.3</v>
      </c>
      <c r="H300" t="n">
        <v>0</v>
      </c>
      <c r="I300" t="n">
        <v>0</v>
      </c>
      <c r="J300" t="n">
        <v>0</v>
      </c>
      <c r="K300" t="n">
        <v>0</v>
      </c>
      <c r="L300" t="n">
        <v>0</v>
      </c>
      <c r="M300" t="n">
        <v>0</v>
      </c>
      <c r="N300" t="n">
        <v>0</v>
      </c>
      <c r="O300" t="n">
        <v>0</v>
      </c>
      <c r="P300" t="n">
        <v>0</v>
      </c>
      <c r="Q300" t="n">
        <v>0</v>
      </c>
      <c r="R300" s="2" t="inlineStr"/>
    </row>
    <row r="301" ht="15" customHeight="1">
      <c r="A301" t="inlineStr">
        <is>
          <t>A 25644-2019</t>
        </is>
      </c>
      <c r="B301" s="1" t="n">
        <v>43602</v>
      </c>
      <c r="C301" s="1" t="n">
        <v>45349</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25634-2019</t>
        </is>
      </c>
      <c r="B302" s="1" t="n">
        <v>43602</v>
      </c>
      <c r="C302" s="1" t="n">
        <v>45349</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25115-2019</t>
        </is>
      </c>
      <c r="B303" s="1" t="n">
        <v>43605</v>
      </c>
      <c r="C303" s="1" t="n">
        <v>45349</v>
      </c>
      <c r="D303" t="inlineStr">
        <is>
          <t>JÄMTLANDS LÄN</t>
        </is>
      </c>
      <c r="E303" t="inlineStr">
        <is>
          <t>KROKOM</t>
        </is>
      </c>
      <c r="G303" t="n">
        <v>2.2</v>
      </c>
      <c r="H303" t="n">
        <v>0</v>
      </c>
      <c r="I303" t="n">
        <v>0</v>
      </c>
      <c r="J303" t="n">
        <v>0</v>
      </c>
      <c r="K303" t="n">
        <v>0</v>
      </c>
      <c r="L303" t="n">
        <v>0</v>
      </c>
      <c r="M303" t="n">
        <v>0</v>
      </c>
      <c r="N303" t="n">
        <v>0</v>
      </c>
      <c r="O303" t="n">
        <v>0</v>
      </c>
      <c r="P303" t="n">
        <v>0</v>
      </c>
      <c r="Q303" t="n">
        <v>0</v>
      </c>
      <c r="R303" s="2" t="inlineStr"/>
    </row>
    <row r="304" ht="15" customHeight="1">
      <c r="A304" t="inlineStr">
        <is>
          <t>A 25858-2019</t>
        </is>
      </c>
      <c r="B304" s="1" t="n">
        <v>43608</v>
      </c>
      <c r="C304" s="1" t="n">
        <v>45349</v>
      </c>
      <c r="D304" t="inlineStr">
        <is>
          <t>JÄMTLANDS LÄN</t>
        </is>
      </c>
      <c r="E304" t="inlineStr">
        <is>
          <t>KROKOM</t>
        </is>
      </c>
      <c r="F304" t="inlineStr">
        <is>
          <t>Övriga Aktiebolag</t>
        </is>
      </c>
      <c r="G304" t="n">
        <v>32.2</v>
      </c>
      <c r="H304" t="n">
        <v>0</v>
      </c>
      <c r="I304" t="n">
        <v>0</v>
      </c>
      <c r="J304" t="n">
        <v>0</v>
      </c>
      <c r="K304" t="n">
        <v>0</v>
      </c>
      <c r="L304" t="n">
        <v>0</v>
      </c>
      <c r="M304" t="n">
        <v>0</v>
      </c>
      <c r="N304" t="n">
        <v>0</v>
      </c>
      <c r="O304" t="n">
        <v>0</v>
      </c>
      <c r="P304" t="n">
        <v>0</v>
      </c>
      <c r="Q304" t="n">
        <v>0</v>
      </c>
      <c r="R304" s="2" t="inlineStr"/>
    </row>
    <row r="305" ht="15" customHeight="1">
      <c r="A305" t="inlineStr">
        <is>
          <t>A 26486-2019</t>
        </is>
      </c>
      <c r="B305" s="1" t="n">
        <v>43612</v>
      </c>
      <c r="C305" s="1" t="n">
        <v>45349</v>
      </c>
      <c r="D305" t="inlineStr">
        <is>
          <t>JÄMTLANDS LÄN</t>
        </is>
      </c>
      <c r="E305" t="inlineStr">
        <is>
          <t>KROKOM</t>
        </is>
      </c>
      <c r="G305" t="n">
        <v>3.5</v>
      </c>
      <c r="H305" t="n">
        <v>0</v>
      </c>
      <c r="I305" t="n">
        <v>0</v>
      </c>
      <c r="J305" t="n">
        <v>0</v>
      </c>
      <c r="K305" t="n">
        <v>0</v>
      </c>
      <c r="L305" t="n">
        <v>0</v>
      </c>
      <c r="M305" t="n">
        <v>0</v>
      </c>
      <c r="N305" t="n">
        <v>0</v>
      </c>
      <c r="O305" t="n">
        <v>0</v>
      </c>
      <c r="P305" t="n">
        <v>0</v>
      </c>
      <c r="Q305" t="n">
        <v>0</v>
      </c>
      <c r="R305" s="2" t="inlineStr"/>
    </row>
    <row r="306" ht="15" customHeight="1">
      <c r="A306" t="inlineStr">
        <is>
          <t>A 26408-2019</t>
        </is>
      </c>
      <c r="B306" s="1" t="n">
        <v>43612</v>
      </c>
      <c r="C306" s="1" t="n">
        <v>45349</v>
      </c>
      <c r="D306" t="inlineStr">
        <is>
          <t>JÄMTLANDS LÄN</t>
        </is>
      </c>
      <c r="E306" t="inlineStr">
        <is>
          <t>KROKOM</t>
        </is>
      </c>
      <c r="G306" t="n">
        <v>3.1</v>
      </c>
      <c r="H306" t="n">
        <v>0</v>
      </c>
      <c r="I306" t="n">
        <v>0</v>
      </c>
      <c r="J306" t="n">
        <v>0</v>
      </c>
      <c r="K306" t="n">
        <v>0</v>
      </c>
      <c r="L306" t="n">
        <v>0</v>
      </c>
      <c r="M306" t="n">
        <v>0</v>
      </c>
      <c r="N306" t="n">
        <v>0</v>
      </c>
      <c r="O306" t="n">
        <v>0</v>
      </c>
      <c r="P306" t="n">
        <v>0</v>
      </c>
      <c r="Q306" t="n">
        <v>0</v>
      </c>
      <c r="R306" s="2" t="inlineStr"/>
    </row>
    <row r="307" ht="15" customHeight="1">
      <c r="A307" t="inlineStr">
        <is>
          <t>A 28077-2019</t>
        </is>
      </c>
      <c r="B307" s="1" t="n">
        <v>43613</v>
      </c>
      <c r="C307" s="1" t="n">
        <v>45349</v>
      </c>
      <c r="D307" t="inlineStr">
        <is>
          <t>JÄMTLANDS LÄN</t>
        </is>
      </c>
      <c r="E307" t="inlineStr">
        <is>
          <t>KROKOM</t>
        </is>
      </c>
      <c r="F307" t="inlineStr">
        <is>
          <t>Övriga Aktiebolag</t>
        </is>
      </c>
      <c r="G307" t="n">
        <v>26.1</v>
      </c>
      <c r="H307" t="n">
        <v>0</v>
      </c>
      <c r="I307" t="n">
        <v>0</v>
      </c>
      <c r="J307" t="n">
        <v>0</v>
      </c>
      <c r="K307" t="n">
        <v>0</v>
      </c>
      <c r="L307" t="n">
        <v>0</v>
      </c>
      <c r="M307" t="n">
        <v>0</v>
      </c>
      <c r="N307" t="n">
        <v>0</v>
      </c>
      <c r="O307" t="n">
        <v>0</v>
      </c>
      <c r="P307" t="n">
        <v>0</v>
      </c>
      <c r="Q307" t="n">
        <v>0</v>
      </c>
      <c r="R307" s="2" t="inlineStr"/>
    </row>
    <row r="308" ht="15" customHeight="1">
      <c r="A308" t="inlineStr">
        <is>
          <t>A 27031-2019</t>
        </is>
      </c>
      <c r="B308" s="1" t="n">
        <v>43614</v>
      </c>
      <c r="C308" s="1" t="n">
        <v>45349</v>
      </c>
      <c r="D308" t="inlineStr">
        <is>
          <t>JÄMTLANDS LÄN</t>
        </is>
      </c>
      <c r="E308" t="inlineStr">
        <is>
          <t>KROKOM</t>
        </is>
      </c>
      <c r="G308" t="n">
        <v>3.4</v>
      </c>
      <c r="H308" t="n">
        <v>0</v>
      </c>
      <c r="I308" t="n">
        <v>0</v>
      </c>
      <c r="J308" t="n">
        <v>0</v>
      </c>
      <c r="K308" t="n">
        <v>0</v>
      </c>
      <c r="L308" t="n">
        <v>0</v>
      </c>
      <c r="M308" t="n">
        <v>0</v>
      </c>
      <c r="N308" t="n">
        <v>0</v>
      </c>
      <c r="O308" t="n">
        <v>0</v>
      </c>
      <c r="P308" t="n">
        <v>0</v>
      </c>
      <c r="Q308" t="n">
        <v>0</v>
      </c>
      <c r="R308" s="2" t="inlineStr"/>
    </row>
    <row r="309" ht="15" customHeight="1">
      <c r="A309" t="inlineStr">
        <is>
          <t>A 27348-2019</t>
        </is>
      </c>
      <c r="B309" s="1" t="n">
        <v>43616</v>
      </c>
      <c r="C309" s="1" t="n">
        <v>45349</v>
      </c>
      <c r="D309" t="inlineStr">
        <is>
          <t>JÄMTLANDS LÄN</t>
        </is>
      </c>
      <c r="E309" t="inlineStr">
        <is>
          <t>KROKOM</t>
        </is>
      </c>
      <c r="G309" t="n">
        <v>3.3</v>
      </c>
      <c r="H309" t="n">
        <v>0</v>
      </c>
      <c r="I309" t="n">
        <v>0</v>
      </c>
      <c r="J309" t="n">
        <v>0</v>
      </c>
      <c r="K309" t="n">
        <v>0</v>
      </c>
      <c r="L309" t="n">
        <v>0</v>
      </c>
      <c r="M309" t="n">
        <v>0</v>
      </c>
      <c r="N309" t="n">
        <v>0</v>
      </c>
      <c r="O309" t="n">
        <v>0</v>
      </c>
      <c r="P309" t="n">
        <v>0</v>
      </c>
      <c r="Q309" t="n">
        <v>0</v>
      </c>
      <c r="R309" s="2" t="inlineStr"/>
    </row>
    <row r="310" ht="15" customHeight="1">
      <c r="A310" t="inlineStr">
        <is>
          <t>A 27765-2019</t>
        </is>
      </c>
      <c r="B310" s="1" t="n">
        <v>43619</v>
      </c>
      <c r="C310" s="1" t="n">
        <v>45349</v>
      </c>
      <c r="D310" t="inlineStr">
        <is>
          <t>JÄMTLANDS LÄN</t>
        </is>
      </c>
      <c r="E310" t="inlineStr">
        <is>
          <t>KROKOM</t>
        </is>
      </c>
      <c r="G310" t="n">
        <v>20.1</v>
      </c>
      <c r="H310" t="n">
        <v>0</v>
      </c>
      <c r="I310" t="n">
        <v>0</v>
      </c>
      <c r="J310" t="n">
        <v>0</v>
      </c>
      <c r="K310" t="n">
        <v>0</v>
      </c>
      <c r="L310" t="n">
        <v>0</v>
      </c>
      <c r="M310" t="n">
        <v>0</v>
      </c>
      <c r="N310" t="n">
        <v>0</v>
      </c>
      <c r="O310" t="n">
        <v>0</v>
      </c>
      <c r="P310" t="n">
        <v>0</v>
      </c>
      <c r="Q310" t="n">
        <v>0</v>
      </c>
      <c r="R310" s="2" t="inlineStr"/>
    </row>
    <row r="311" ht="15" customHeight="1">
      <c r="A311" t="inlineStr">
        <is>
          <t>A 27766-2019</t>
        </is>
      </c>
      <c r="B311" s="1" t="n">
        <v>43619</v>
      </c>
      <c r="C311" s="1" t="n">
        <v>45349</v>
      </c>
      <c r="D311" t="inlineStr">
        <is>
          <t>JÄMTLANDS LÄN</t>
        </is>
      </c>
      <c r="E311" t="inlineStr">
        <is>
          <t>KROKOM</t>
        </is>
      </c>
      <c r="G311" t="n">
        <v>17.7</v>
      </c>
      <c r="H311" t="n">
        <v>0</v>
      </c>
      <c r="I311" t="n">
        <v>0</v>
      </c>
      <c r="J311" t="n">
        <v>0</v>
      </c>
      <c r="K311" t="n">
        <v>0</v>
      </c>
      <c r="L311" t="n">
        <v>0</v>
      </c>
      <c r="M311" t="n">
        <v>0</v>
      </c>
      <c r="N311" t="n">
        <v>0</v>
      </c>
      <c r="O311" t="n">
        <v>0</v>
      </c>
      <c r="P311" t="n">
        <v>0</v>
      </c>
      <c r="Q311" t="n">
        <v>0</v>
      </c>
      <c r="R311" s="2" t="inlineStr"/>
    </row>
    <row r="312" ht="15" customHeight="1">
      <c r="A312" t="inlineStr">
        <is>
          <t>A 27764-2019</t>
        </is>
      </c>
      <c r="B312" s="1" t="n">
        <v>43619</v>
      </c>
      <c r="C312" s="1" t="n">
        <v>45349</v>
      </c>
      <c r="D312" t="inlineStr">
        <is>
          <t>JÄMTLANDS LÄN</t>
        </is>
      </c>
      <c r="E312" t="inlineStr">
        <is>
          <t>KROKOM</t>
        </is>
      </c>
      <c r="G312" t="n">
        <v>41.8</v>
      </c>
      <c r="H312" t="n">
        <v>0</v>
      </c>
      <c r="I312" t="n">
        <v>0</v>
      </c>
      <c r="J312" t="n">
        <v>0</v>
      </c>
      <c r="K312" t="n">
        <v>0</v>
      </c>
      <c r="L312" t="n">
        <v>0</v>
      </c>
      <c r="M312" t="n">
        <v>0</v>
      </c>
      <c r="N312" t="n">
        <v>0</v>
      </c>
      <c r="O312" t="n">
        <v>0</v>
      </c>
      <c r="P312" t="n">
        <v>0</v>
      </c>
      <c r="Q312" t="n">
        <v>0</v>
      </c>
      <c r="R312" s="2" t="inlineStr"/>
    </row>
    <row r="313" ht="15" customHeight="1">
      <c r="A313" t="inlineStr">
        <is>
          <t>A 27763-2019</t>
        </is>
      </c>
      <c r="B313" s="1" t="n">
        <v>43619</v>
      </c>
      <c r="C313" s="1" t="n">
        <v>45349</v>
      </c>
      <c r="D313" t="inlineStr">
        <is>
          <t>JÄMTLANDS LÄN</t>
        </is>
      </c>
      <c r="E313" t="inlineStr">
        <is>
          <t>KROKOM</t>
        </is>
      </c>
      <c r="G313" t="n">
        <v>15.1</v>
      </c>
      <c r="H313" t="n">
        <v>0</v>
      </c>
      <c r="I313" t="n">
        <v>0</v>
      </c>
      <c r="J313" t="n">
        <v>0</v>
      </c>
      <c r="K313" t="n">
        <v>0</v>
      </c>
      <c r="L313" t="n">
        <v>0</v>
      </c>
      <c r="M313" t="n">
        <v>0</v>
      </c>
      <c r="N313" t="n">
        <v>0</v>
      </c>
      <c r="O313" t="n">
        <v>0</v>
      </c>
      <c r="P313" t="n">
        <v>0</v>
      </c>
      <c r="Q313" t="n">
        <v>0</v>
      </c>
      <c r="R313" s="2" t="inlineStr"/>
    </row>
    <row r="314" ht="15" customHeight="1">
      <c r="A314" t="inlineStr">
        <is>
          <t>A 29270-2019</t>
        </is>
      </c>
      <c r="B314" s="1" t="n">
        <v>43623</v>
      </c>
      <c r="C314" s="1" t="n">
        <v>45349</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29222-2019</t>
        </is>
      </c>
      <c r="B315" s="1" t="n">
        <v>43623</v>
      </c>
      <c r="C315" s="1" t="n">
        <v>45349</v>
      </c>
      <c r="D315" t="inlineStr">
        <is>
          <t>JÄMTLANDS LÄN</t>
        </is>
      </c>
      <c r="E315" t="inlineStr">
        <is>
          <t>KROKOM</t>
        </is>
      </c>
      <c r="G315" t="n">
        <v>5.9</v>
      </c>
      <c r="H315" t="n">
        <v>0</v>
      </c>
      <c r="I315" t="n">
        <v>0</v>
      </c>
      <c r="J315" t="n">
        <v>0</v>
      </c>
      <c r="K315" t="n">
        <v>0</v>
      </c>
      <c r="L315" t="n">
        <v>0</v>
      </c>
      <c r="M315" t="n">
        <v>0</v>
      </c>
      <c r="N315" t="n">
        <v>0</v>
      </c>
      <c r="O315" t="n">
        <v>0</v>
      </c>
      <c r="P315" t="n">
        <v>0</v>
      </c>
      <c r="Q315" t="n">
        <v>0</v>
      </c>
      <c r="R315" s="2" t="inlineStr"/>
    </row>
    <row r="316" ht="15" customHeight="1">
      <c r="A316" t="inlineStr">
        <is>
          <t>A 29211-2019</t>
        </is>
      </c>
      <c r="B316" s="1" t="n">
        <v>43623</v>
      </c>
      <c r="C316" s="1" t="n">
        <v>45349</v>
      </c>
      <c r="D316" t="inlineStr">
        <is>
          <t>JÄMTLANDS LÄN</t>
        </is>
      </c>
      <c r="E316" t="inlineStr">
        <is>
          <t>KROKOM</t>
        </is>
      </c>
      <c r="G316" t="n">
        <v>5</v>
      </c>
      <c r="H316" t="n">
        <v>0</v>
      </c>
      <c r="I316" t="n">
        <v>0</v>
      </c>
      <c r="J316" t="n">
        <v>0</v>
      </c>
      <c r="K316" t="n">
        <v>0</v>
      </c>
      <c r="L316" t="n">
        <v>0</v>
      </c>
      <c r="M316" t="n">
        <v>0</v>
      </c>
      <c r="N316" t="n">
        <v>0</v>
      </c>
      <c r="O316" t="n">
        <v>0</v>
      </c>
      <c r="P316" t="n">
        <v>0</v>
      </c>
      <c r="Q316" t="n">
        <v>0</v>
      </c>
      <c r="R316" s="2" t="inlineStr"/>
    </row>
    <row r="317" ht="15" customHeight="1">
      <c r="A317" t="inlineStr">
        <is>
          <t>A 28521-2019</t>
        </is>
      </c>
      <c r="B317" s="1" t="n">
        <v>43626</v>
      </c>
      <c r="C317" s="1" t="n">
        <v>45349</v>
      </c>
      <c r="D317" t="inlineStr">
        <is>
          <t>JÄMTLANDS LÄN</t>
        </is>
      </c>
      <c r="E317" t="inlineStr">
        <is>
          <t>KROKOM</t>
        </is>
      </c>
      <c r="G317" t="n">
        <v>1</v>
      </c>
      <c r="H317" t="n">
        <v>0</v>
      </c>
      <c r="I317" t="n">
        <v>0</v>
      </c>
      <c r="J317" t="n">
        <v>0</v>
      </c>
      <c r="K317" t="n">
        <v>0</v>
      </c>
      <c r="L317" t="n">
        <v>0</v>
      </c>
      <c r="M317" t="n">
        <v>0</v>
      </c>
      <c r="N317" t="n">
        <v>0</v>
      </c>
      <c r="O317" t="n">
        <v>0</v>
      </c>
      <c r="P317" t="n">
        <v>0</v>
      </c>
      <c r="Q317" t="n">
        <v>0</v>
      </c>
      <c r="R317" s="2" t="inlineStr"/>
    </row>
    <row r="318" ht="15" customHeight="1">
      <c r="A318" t="inlineStr">
        <is>
          <t>A 29153-2019</t>
        </is>
      </c>
      <c r="B318" s="1" t="n">
        <v>43628</v>
      </c>
      <c r="C318" s="1" t="n">
        <v>45349</v>
      </c>
      <c r="D318" t="inlineStr">
        <is>
          <t>JÄMTLANDS LÄN</t>
        </is>
      </c>
      <c r="E318" t="inlineStr">
        <is>
          <t>KROKOM</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29705-2019</t>
        </is>
      </c>
      <c r="B319" s="1" t="n">
        <v>43628</v>
      </c>
      <c r="C319" s="1" t="n">
        <v>45349</v>
      </c>
      <c r="D319" t="inlineStr">
        <is>
          <t>JÄMTLANDS LÄN</t>
        </is>
      </c>
      <c r="E319" t="inlineStr">
        <is>
          <t>KROKOM</t>
        </is>
      </c>
      <c r="G319" t="n">
        <v>7.1</v>
      </c>
      <c r="H319" t="n">
        <v>0</v>
      </c>
      <c r="I319" t="n">
        <v>0</v>
      </c>
      <c r="J319" t="n">
        <v>0</v>
      </c>
      <c r="K319" t="n">
        <v>0</v>
      </c>
      <c r="L319" t="n">
        <v>0</v>
      </c>
      <c r="M319" t="n">
        <v>0</v>
      </c>
      <c r="N319" t="n">
        <v>0</v>
      </c>
      <c r="O319" t="n">
        <v>0</v>
      </c>
      <c r="P319" t="n">
        <v>0</v>
      </c>
      <c r="Q319" t="n">
        <v>0</v>
      </c>
      <c r="R319" s="2" t="inlineStr"/>
    </row>
    <row r="320" ht="15" customHeight="1">
      <c r="A320" t="inlineStr">
        <is>
          <t>A 29925-2019</t>
        </is>
      </c>
      <c r="B320" s="1" t="n">
        <v>43633</v>
      </c>
      <c r="C320" s="1" t="n">
        <v>45349</v>
      </c>
      <c r="D320" t="inlineStr">
        <is>
          <t>JÄMTLANDS LÄN</t>
        </is>
      </c>
      <c r="E320" t="inlineStr">
        <is>
          <t>KROKOM</t>
        </is>
      </c>
      <c r="G320" t="n">
        <v>1.8</v>
      </c>
      <c r="H320" t="n">
        <v>0</v>
      </c>
      <c r="I320" t="n">
        <v>0</v>
      </c>
      <c r="J320" t="n">
        <v>0</v>
      </c>
      <c r="K320" t="n">
        <v>0</v>
      </c>
      <c r="L320" t="n">
        <v>0</v>
      </c>
      <c r="M320" t="n">
        <v>0</v>
      </c>
      <c r="N320" t="n">
        <v>0</v>
      </c>
      <c r="O320" t="n">
        <v>0</v>
      </c>
      <c r="P320" t="n">
        <v>0</v>
      </c>
      <c r="Q320" t="n">
        <v>0</v>
      </c>
      <c r="R320" s="2" t="inlineStr"/>
    </row>
    <row r="321" ht="15" customHeight="1">
      <c r="A321" t="inlineStr">
        <is>
          <t>A 29823-2019</t>
        </is>
      </c>
      <c r="B321" s="1" t="n">
        <v>43633</v>
      </c>
      <c r="C321" s="1" t="n">
        <v>45349</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30032-2019</t>
        </is>
      </c>
      <c r="B322" s="1" t="n">
        <v>43633</v>
      </c>
      <c r="C322" s="1" t="n">
        <v>45349</v>
      </c>
      <c r="D322" t="inlineStr">
        <is>
          <t>JÄMTLANDS LÄN</t>
        </is>
      </c>
      <c r="E322" t="inlineStr">
        <is>
          <t>KROKOM</t>
        </is>
      </c>
      <c r="G322" t="n">
        <v>4.1</v>
      </c>
      <c r="H322" t="n">
        <v>0</v>
      </c>
      <c r="I322" t="n">
        <v>0</v>
      </c>
      <c r="J322" t="n">
        <v>0</v>
      </c>
      <c r="K322" t="n">
        <v>0</v>
      </c>
      <c r="L322" t="n">
        <v>0</v>
      </c>
      <c r="M322" t="n">
        <v>0</v>
      </c>
      <c r="N322" t="n">
        <v>0</v>
      </c>
      <c r="O322" t="n">
        <v>0</v>
      </c>
      <c r="P322" t="n">
        <v>0</v>
      </c>
      <c r="Q322" t="n">
        <v>0</v>
      </c>
      <c r="R322" s="2" t="inlineStr"/>
    </row>
    <row r="323" ht="15" customHeight="1">
      <c r="A323" t="inlineStr">
        <is>
          <t>A 30138-2019</t>
        </is>
      </c>
      <c r="B323" s="1" t="n">
        <v>43634</v>
      </c>
      <c r="C323" s="1" t="n">
        <v>45349</v>
      </c>
      <c r="D323" t="inlineStr">
        <is>
          <t>JÄMTLANDS LÄN</t>
        </is>
      </c>
      <c r="E323" t="inlineStr">
        <is>
          <t>KROKOM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30691-2019</t>
        </is>
      </c>
      <c r="B324" s="1" t="n">
        <v>43636</v>
      </c>
      <c r="C324" s="1" t="n">
        <v>45349</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30758-2019</t>
        </is>
      </c>
      <c r="B325" s="1" t="n">
        <v>43636</v>
      </c>
      <c r="C325" s="1" t="n">
        <v>45349</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31070-2019</t>
        </is>
      </c>
      <c r="B326" s="1" t="n">
        <v>43640</v>
      </c>
      <c r="C326" s="1" t="n">
        <v>45349</v>
      </c>
      <c r="D326" t="inlineStr">
        <is>
          <t>JÄMTLANDS LÄN</t>
        </is>
      </c>
      <c r="E326" t="inlineStr">
        <is>
          <t>KROKOM</t>
        </is>
      </c>
      <c r="G326" t="n">
        <v>5.1</v>
      </c>
      <c r="H326" t="n">
        <v>0</v>
      </c>
      <c r="I326" t="n">
        <v>0</v>
      </c>
      <c r="J326" t="n">
        <v>0</v>
      </c>
      <c r="K326" t="n">
        <v>0</v>
      </c>
      <c r="L326" t="n">
        <v>0</v>
      </c>
      <c r="M326" t="n">
        <v>0</v>
      </c>
      <c r="N326" t="n">
        <v>0</v>
      </c>
      <c r="O326" t="n">
        <v>0</v>
      </c>
      <c r="P326" t="n">
        <v>0</v>
      </c>
      <c r="Q326" t="n">
        <v>0</v>
      </c>
      <c r="R326" s="2" t="inlineStr"/>
    </row>
    <row r="327" ht="15" customHeight="1">
      <c r="A327" t="inlineStr">
        <is>
          <t>A 31032-2019</t>
        </is>
      </c>
      <c r="B327" s="1" t="n">
        <v>43640</v>
      </c>
      <c r="C327" s="1" t="n">
        <v>45349</v>
      </c>
      <c r="D327" t="inlineStr">
        <is>
          <t>JÄMTLANDS LÄN</t>
        </is>
      </c>
      <c r="E327" t="inlineStr">
        <is>
          <t>KROKOM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31071-2019</t>
        </is>
      </c>
      <c r="B328" s="1" t="n">
        <v>43640</v>
      </c>
      <c r="C328" s="1" t="n">
        <v>45349</v>
      </c>
      <c r="D328" t="inlineStr">
        <is>
          <t>JÄMTLANDS LÄN</t>
        </is>
      </c>
      <c r="E328" t="inlineStr">
        <is>
          <t>KROKOM</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31574-2019</t>
        </is>
      </c>
      <c r="B329" s="1" t="n">
        <v>43641</v>
      </c>
      <c r="C329" s="1" t="n">
        <v>45349</v>
      </c>
      <c r="D329" t="inlineStr">
        <is>
          <t>JÄMTLANDS LÄN</t>
        </is>
      </c>
      <c r="E329" t="inlineStr">
        <is>
          <t>KROKOM</t>
        </is>
      </c>
      <c r="G329" t="n">
        <v>5.7</v>
      </c>
      <c r="H329" t="n">
        <v>0</v>
      </c>
      <c r="I329" t="n">
        <v>0</v>
      </c>
      <c r="J329" t="n">
        <v>0</v>
      </c>
      <c r="K329" t="n">
        <v>0</v>
      </c>
      <c r="L329" t="n">
        <v>0</v>
      </c>
      <c r="M329" t="n">
        <v>0</v>
      </c>
      <c r="N329" t="n">
        <v>0</v>
      </c>
      <c r="O329" t="n">
        <v>0</v>
      </c>
      <c r="P329" t="n">
        <v>0</v>
      </c>
      <c r="Q329" t="n">
        <v>0</v>
      </c>
      <c r="R329" s="2" t="inlineStr"/>
    </row>
    <row r="330" ht="15" customHeight="1">
      <c r="A330" t="inlineStr">
        <is>
          <t>A 31575-2019</t>
        </is>
      </c>
      <c r="B330" s="1" t="n">
        <v>43641</v>
      </c>
      <c r="C330" s="1" t="n">
        <v>45349</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row>
    <row r="331" ht="15" customHeight="1">
      <c r="A331" t="inlineStr">
        <is>
          <t>A 31911-2019</t>
        </is>
      </c>
      <c r="B331" s="1" t="n">
        <v>43642</v>
      </c>
      <c r="C331" s="1" t="n">
        <v>45349</v>
      </c>
      <c r="D331" t="inlineStr">
        <is>
          <t>JÄMTLANDS LÄN</t>
        </is>
      </c>
      <c r="E331" t="inlineStr">
        <is>
          <t>KROKOM</t>
        </is>
      </c>
      <c r="G331" t="n">
        <v>1.4</v>
      </c>
      <c r="H331" t="n">
        <v>0</v>
      </c>
      <c r="I331" t="n">
        <v>0</v>
      </c>
      <c r="J331" t="n">
        <v>0</v>
      </c>
      <c r="K331" t="n">
        <v>0</v>
      </c>
      <c r="L331" t="n">
        <v>0</v>
      </c>
      <c r="M331" t="n">
        <v>0</v>
      </c>
      <c r="N331" t="n">
        <v>0</v>
      </c>
      <c r="O331" t="n">
        <v>0</v>
      </c>
      <c r="P331" t="n">
        <v>0</v>
      </c>
      <c r="Q331" t="n">
        <v>0</v>
      </c>
      <c r="R331" s="2" t="inlineStr"/>
    </row>
    <row r="332" ht="15" customHeight="1">
      <c r="A332" t="inlineStr">
        <is>
          <t>A 32053-2019</t>
        </is>
      </c>
      <c r="B332" s="1" t="n">
        <v>43642</v>
      </c>
      <c r="C332" s="1" t="n">
        <v>45349</v>
      </c>
      <c r="D332" t="inlineStr">
        <is>
          <t>JÄMTLANDS LÄN</t>
        </is>
      </c>
      <c r="E332" t="inlineStr">
        <is>
          <t>KROKOM</t>
        </is>
      </c>
      <c r="G332" t="n">
        <v>0.6</v>
      </c>
      <c r="H332" t="n">
        <v>0</v>
      </c>
      <c r="I332" t="n">
        <v>0</v>
      </c>
      <c r="J332" t="n">
        <v>0</v>
      </c>
      <c r="K332" t="n">
        <v>0</v>
      </c>
      <c r="L332" t="n">
        <v>0</v>
      </c>
      <c r="M332" t="n">
        <v>0</v>
      </c>
      <c r="N332" t="n">
        <v>0</v>
      </c>
      <c r="O332" t="n">
        <v>0</v>
      </c>
      <c r="P332" t="n">
        <v>0</v>
      </c>
      <c r="Q332" t="n">
        <v>0</v>
      </c>
      <c r="R332" s="2" t="inlineStr"/>
    </row>
    <row r="333" ht="15" customHeight="1">
      <c r="A333" t="inlineStr">
        <is>
          <t>A 33001-2019</t>
        </is>
      </c>
      <c r="B333" s="1" t="n">
        <v>43649</v>
      </c>
      <c r="C333" s="1" t="n">
        <v>45349</v>
      </c>
      <c r="D333" t="inlineStr">
        <is>
          <t>JÄMTLANDS LÄN</t>
        </is>
      </c>
      <c r="E333" t="inlineStr">
        <is>
          <t>KROKOM</t>
        </is>
      </c>
      <c r="F333" t="inlineStr">
        <is>
          <t>Övriga Aktiebolag</t>
        </is>
      </c>
      <c r="G333" t="n">
        <v>7.8</v>
      </c>
      <c r="H333" t="n">
        <v>0</v>
      </c>
      <c r="I333" t="n">
        <v>0</v>
      </c>
      <c r="J333" t="n">
        <v>0</v>
      </c>
      <c r="K333" t="n">
        <v>0</v>
      </c>
      <c r="L333" t="n">
        <v>0</v>
      </c>
      <c r="M333" t="n">
        <v>0</v>
      </c>
      <c r="N333" t="n">
        <v>0</v>
      </c>
      <c r="O333" t="n">
        <v>0</v>
      </c>
      <c r="P333" t="n">
        <v>0</v>
      </c>
      <c r="Q333" t="n">
        <v>0</v>
      </c>
      <c r="R333" s="2" t="inlineStr"/>
    </row>
    <row r="334" ht="15" customHeight="1">
      <c r="A334" t="inlineStr">
        <is>
          <t>A 33015-2019</t>
        </is>
      </c>
      <c r="B334" s="1" t="n">
        <v>43649</v>
      </c>
      <c r="C334" s="1" t="n">
        <v>45349</v>
      </c>
      <c r="D334" t="inlineStr">
        <is>
          <t>JÄMTLANDS LÄN</t>
        </is>
      </c>
      <c r="E334" t="inlineStr">
        <is>
          <t>KROKOM</t>
        </is>
      </c>
      <c r="F334" t="inlineStr">
        <is>
          <t>Övriga Aktiebolag</t>
        </is>
      </c>
      <c r="G334" t="n">
        <v>12.7</v>
      </c>
      <c r="H334" t="n">
        <v>0</v>
      </c>
      <c r="I334" t="n">
        <v>0</v>
      </c>
      <c r="J334" t="n">
        <v>0</v>
      </c>
      <c r="K334" t="n">
        <v>0</v>
      </c>
      <c r="L334" t="n">
        <v>0</v>
      </c>
      <c r="M334" t="n">
        <v>0</v>
      </c>
      <c r="N334" t="n">
        <v>0</v>
      </c>
      <c r="O334" t="n">
        <v>0</v>
      </c>
      <c r="P334" t="n">
        <v>0</v>
      </c>
      <c r="Q334" t="n">
        <v>0</v>
      </c>
      <c r="R334" s="2" t="inlineStr"/>
    </row>
    <row r="335" ht="15" customHeight="1">
      <c r="A335" t="inlineStr">
        <is>
          <t>A 33360-2019</t>
        </is>
      </c>
      <c r="B335" s="1" t="n">
        <v>43650</v>
      </c>
      <c r="C335" s="1" t="n">
        <v>45349</v>
      </c>
      <c r="D335" t="inlineStr">
        <is>
          <t>JÄMTLANDS LÄN</t>
        </is>
      </c>
      <c r="E335" t="inlineStr">
        <is>
          <t>KROKOM</t>
        </is>
      </c>
      <c r="G335" t="n">
        <v>15.8</v>
      </c>
      <c r="H335" t="n">
        <v>0</v>
      </c>
      <c r="I335" t="n">
        <v>0</v>
      </c>
      <c r="J335" t="n">
        <v>0</v>
      </c>
      <c r="K335" t="n">
        <v>0</v>
      </c>
      <c r="L335" t="n">
        <v>0</v>
      </c>
      <c r="M335" t="n">
        <v>0</v>
      </c>
      <c r="N335" t="n">
        <v>0</v>
      </c>
      <c r="O335" t="n">
        <v>0</v>
      </c>
      <c r="P335" t="n">
        <v>0</v>
      </c>
      <c r="Q335" t="n">
        <v>0</v>
      </c>
      <c r="R335" s="2" t="inlineStr"/>
    </row>
    <row r="336" ht="15" customHeight="1">
      <c r="A336" t="inlineStr">
        <is>
          <t>A 35288-2019</t>
        </is>
      </c>
      <c r="B336" s="1" t="n">
        <v>43651</v>
      </c>
      <c r="C336" s="1" t="n">
        <v>45349</v>
      </c>
      <c r="D336" t="inlineStr">
        <is>
          <t>JÄMTLANDS LÄN</t>
        </is>
      </c>
      <c r="E336" t="inlineStr">
        <is>
          <t>KROKOM</t>
        </is>
      </c>
      <c r="G336" t="n">
        <v>6.9</v>
      </c>
      <c r="H336" t="n">
        <v>0</v>
      </c>
      <c r="I336" t="n">
        <v>0</v>
      </c>
      <c r="J336" t="n">
        <v>0</v>
      </c>
      <c r="K336" t="n">
        <v>0</v>
      </c>
      <c r="L336" t="n">
        <v>0</v>
      </c>
      <c r="M336" t="n">
        <v>0</v>
      </c>
      <c r="N336" t="n">
        <v>0</v>
      </c>
      <c r="O336" t="n">
        <v>0</v>
      </c>
      <c r="P336" t="n">
        <v>0</v>
      </c>
      <c r="Q336" t="n">
        <v>0</v>
      </c>
      <c r="R336" s="2" t="inlineStr"/>
    </row>
    <row r="337" ht="15" customHeight="1">
      <c r="A337" t="inlineStr">
        <is>
          <t>A 35337-2019</t>
        </is>
      </c>
      <c r="B337" s="1" t="n">
        <v>43651</v>
      </c>
      <c r="C337" s="1" t="n">
        <v>45349</v>
      </c>
      <c r="D337" t="inlineStr">
        <is>
          <t>JÄMTLANDS LÄN</t>
        </is>
      </c>
      <c r="E337" t="inlineStr">
        <is>
          <t>KROKOM</t>
        </is>
      </c>
      <c r="G337" t="n">
        <v>3.7</v>
      </c>
      <c r="H337" t="n">
        <v>0</v>
      </c>
      <c r="I337" t="n">
        <v>0</v>
      </c>
      <c r="J337" t="n">
        <v>0</v>
      </c>
      <c r="K337" t="n">
        <v>0</v>
      </c>
      <c r="L337" t="n">
        <v>0</v>
      </c>
      <c r="M337" t="n">
        <v>0</v>
      </c>
      <c r="N337" t="n">
        <v>0</v>
      </c>
      <c r="O337" t="n">
        <v>0</v>
      </c>
      <c r="P337" t="n">
        <v>0</v>
      </c>
      <c r="Q337" t="n">
        <v>0</v>
      </c>
      <c r="R337" s="2" t="inlineStr"/>
    </row>
    <row r="338" ht="15" customHeight="1">
      <c r="A338" t="inlineStr">
        <is>
          <t>A 35264-2019</t>
        </is>
      </c>
      <c r="B338" s="1" t="n">
        <v>43651</v>
      </c>
      <c r="C338" s="1" t="n">
        <v>45349</v>
      </c>
      <c r="D338" t="inlineStr">
        <is>
          <t>JÄMTLANDS LÄN</t>
        </is>
      </c>
      <c r="E338" t="inlineStr">
        <is>
          <t>KROKOM</t>
        </is>
      </c>
      <c r="G338" t="n">
        <v>10</v>
      </c>
      <c r="H338" t="n">
        <v>0</v>
      </c>
      <c r="I338" t="n">
        <v>0</v>
      </c>
      <c r="J338" t="n">
        <v>0</v>
      </c>
      <c r="K338" t="n">
        <v>0</v>
      </c>
      <c r="L338" t="n">
        <v>0</v>
      </c>
      <c r="M338" t="n">
        <v>0</v>
      </c>
      <c r="N338" t="n">
        <v>0</v>
      </c>
      <c r="O338" t="n">
        <v>0</v>
      </c>
      <c r="P338" t="n">
        <v>0</v>
      </c>
      <c r="Q338" t="n">
        <v>0</v>
      </c>
      <c r="R338" s="2" t="inlineStr"/>
    </row>
    <row r="339" ht="15" customHeight="1">
      <c r="A339" t="inlineStr">
        <is>
          <t>A 35339-2019</t>
        </is>
      </c>
      <c r="B339" s="1" t="n">
        <v>43651</v>
      </c>
      <c r="C339" s="1" t="n">
        <v>45349</v>
      </c>
      <c r="D339" t="inlineStr">
        <is>
          <t>JÄMTLANDS LÄN</t>
        </is>
      </c>
      <c r="E339" t="inlineStr">
        <is>
          <t>KROKOM</t>
        </is>
      </c>
      <c r="G339" t="n">
        <v>3.1</v>
      </c>
      <c r="H339" t="n">
        <v>0</v>
      </c>
      <c r="I339" t="n">
        <v>0</v>
      </c>
      <c r="J339" t="n">
        <v>0</v>
      </c>
      <c r="K339" t="n">
        <v>0</v>
      </c>
      <c r="L339" t="n">
        <v>0</v>
      </c>
      <c r="M339" t="n">
        <v>0</v>
      </c>
      <c r="N339" t="n">
        <v>0</v>
      </c>
      <c r="O339" t="n">
        <v>0</v>
      </c>
      <c r="P339" t="n">
        <v>0</v>
      </c>
      <c r="Q339" t="n">
        <v>0</v>
      </c>
      <c r="R339" s="2" t="inlineStr"/>
    </row>
    <row r="340" ht="15" customHeight="1">
      <c r="A340" t="inlineStr">
        <is>
          <t>A 35266-2019</t>
        </is>
      </c>
      <c r="B340" s="1" t="n">
        <v>43651</v>
      </c>
      <c r="C340" s="1" t="n">
        <v>45349</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34065-2019</t>
        </is>
      </c>
      <c r="B341" s="1" t="n">
        <v>43654</v>
      </c>
      <c r="C341" s="1" t="n">
        <v>45349</v>
      </c>
      <c r="D341" t="inlineStr">
        <is>
          <t>JÄMTLANDS LÄN</t>
        </is>
      </c>
      <c r="E341" t="inlineStr">
        <is>
          <t>KROKOM</t>
        </is>
      </c>
      <c r="G341" t="n">
        <v>12.3</v>
      </c>
      <c r="H341" t="n">
        <v>0</v>
      </c>
      <c r="I341" t="n">
        <v>0</v>
      </c>
      <c r="J341" t="n">
        <v>0</v>
      </c>
      <c r="K341" t="n">
        <v>0</v>
      </c>
      <c r="L341" t="n">
        <v>0</v>
      </c>
      <c r="M341" t="n">
        <v>0</v>
      </c>
      <c r="N341" t="n">
        <v>0</v>
      </c>
      <c r="O341" t="n">
        <v>0</v>
      </c>
      <c r="P341" t="n">
        <v>0</v>
      </c>
      <c r="Q341" t="n">
        <v>0</v>
      </c>
      <c r="R341" s="2" t="inlineStr"/>
    </row>
    <row r="342" ht="15" customHeight="1">
      <c r="A342" t="inlineStr">
        <is>
          <t>A 34108-2019</t>
        </is>
      </c>
      <c r="B342" s="1" t="n">
        <v>43655</v>
      </c>
      <c r="C342" s="1" t="n">
        <v>45349</v>
      </c>
      <c r="D342" t="inlineStr">
        <is>
          <t>JÄMTLANDS LÄN</t>
        </is>
      </c>
      <c r="E342" t="inlineStr">
        <is>
          <t>KROKOM</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35668-2019</t>
        </is>
      </c>
      <c r="B343" s="1" t="n">
        <v>43655</v>
      </c>
      <c r="C343" s="1" t="n">
        <v>45349</v>
      </c>
      <c r="D343" t="inlineStr">
        <is>
          <t>JÄMTLANDS LÄN</t>
        </is>
      </c>
      <c r="E343" t="inlineStr">
        <is>
          <t>KROKOM</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35754-2019</t>
        </is>
      </c>
      <c r="B344" s="1" t="n">
        <v>43656</v>
      </c>
      <c r="C344" s="1" t="n">
        <v>45349</v>
      </c>
      <c r="D344" t="inlineStr">
        <is>
          <t>JÄMTLANDS LÄN</t>
        </is>
      </c>
      <c r="E344" t="inlineStr">
        <is>
          <t>KROKOM</t>
        </is>
      </c>
      <c r="G344" t="n">
        <v>4.5</v>
      </c>
      <c r="H344" t="n">
        <v>0</v>
      </c>
      <c r="I344" t="n">
        <v>0</v>
      </c>
      <c r="J344" t="n">
        <v>0</v>
      </c>
      <c r="K344" t="n">
        <v>0</v>
      </c>
      <c r="L344" t="n">
        <v>0</v>
      </c>
      <c r="M344" t="n">
        <v>0</v>
      </c>
      <c r="N344" t="n">
        <v>0</v>
      </c>
      <c r="O344" t="n">
        <v>0</v>
      </c>
      <c r="P344" t="n">
        <v>0</v>
      </c>
      <c r="Q344" t="n">
        <v>0</v>
      </c>
      <c r="R344" s="2" t="inlineStr"/>
    </row>
    <row r="345" ht="15" customHeight="1">
      <c r="A345" t="inlineStr">
        <is>
          <t>A 34739-2019</t>
        </is>
      </c>
      <c r="B345" s="1" t="n">
        <v>43657</v>
      </c>
      <c r="C345" s="1" t="n">
        <v>45349</v>
      </c>
      <c r="D345" t="inlineStr">
        <is>
          <t>JÄMTLANDS LÄN</t>
        </is>
      </c>
      <c r="E345" t="inlineStr">
        <is>
          <t>KROKOM</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36009-2019</t>
        </is>
      </c>
      <c r="B346" s="1" t="n">
        <v>43657</v>
      </c>
      <c r="C346" s="1" t="n">
        <v>45349</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35131-2019</t>
        </is>
      </c>
      <c r="B347" s="1" t="n">
        <v>43661</v>
      </c>
      <c r="C347" s="1" t="n">
        <v>45349</v>
      </c>
      <c r="D347" t="inlineStr">
        <is>
          <t>JÄMTLANDS LÄN</t>
        </is>
      </c>
      <c r="E347" t="inlineStr">
        <is>
          <t>KROKOM</t>
        </is>
      </c>
      <c r="G347" t="n">
        <v>10.4</v>
      </c>
      <c r="H347" t="n">
        <v>0</v>
      </c>
      <c r="I347" t="n">
        <v>0</v>
      </c>
      <c r="J347" t="n">
        <v>0</v>
      </c>
      <c r="K347" t="n">
        <v>0</v>
      </c>
      <c r="L347" t="n">
        <v>0</v>
      </c>
      <c r="M347" t="n">
        <v>0</v>
      </c>
      <c r="N347" t="n">
        <v>0</v>
      </c>
      <c r="O347" t="n">
        <v>0</v>
      </c>
      <c r="P347" t="n">
        <v>0</v>
      </c>
      <c r="Q347" t="n">
        <v>0</v>
      </c>
      <c r="R347" s="2" t="inlineStr"/>
    </row>
    <row r="348" ht="15" customHeight="1">
      <c r="A348" t="inlineStr">
        <is>
          <t>A 35340-2019</t>
        </is>
      </c>
      <c r="B348" s="1" t="n">
        <v>43661</v>
      </c>
      <c r="C348" s="1" t="n">
        <v>45349</v>
      </c>
      <c r="D348" t="inlineStr">
        <is>
          <t>JÄMTLANDS LÄN</t>
        </is>
      </c>
      <c r="E348" t="inlineStr">
        <is>
          <t>KROKOM</t>
        </is>
      </c>
      <c r="G348" t="n">
        <v>4.4</v>
      </c>
      <c r="H348" t="n">
        <v>0</v>
      </c>
      <c r="I348" t="n">
        <v>0</v>
      </c>
      <c r="J348" t="n">
        <v>0</v>
      </c>
      <c r="K348" t="n">
        <v>0</v>
      </c>
      <c r="L348" t="n">
        <v>0</v>
      </c>
      <c r="M348" t="n">
        <v>0</v>
      </c>
      <c r="N348" t="n">
        <v>0</v>
      </c>
      <c r="O348" t="n">
        <v>0</v>
      </c>
      <c r="P348" t="n">
        <v>0</v>
      </c>
      <c r="Q348" t="n">
        <v>0</v>
      </c>
      <c r="R348" s="2" t="inlineStr"/>
    </row>
    <row r="349" ht="15" customHeight="1">
      <c r="A349" t="inlineStr">
        <is>
          <t>A 36271-2019</t>
        </is>
      </c>
      <c r="B349" s="1" t="n">
        <v>43661</v>
      </c>
      <c r="C349" s="1" t="n">
        <v>45349</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37369-2019</t>
        </is>
      </c>
      <c r="B350" s="1" t="n">
        <v>43678</v>
      </c>
      <c r="C350" s="1" t="n">
        <v>45349</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37756-2019</t>
        </is>
      </c>
      <c r="B351" s="1" t="n">
        <v>43682</v>
      </c>
      <c r="C351" s="1" t="n">
        <v>45349</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38208-2019</t>
        </is>
      </c>
      <c r="B352" s="1" t="n">
        <v>43684</v>
      </c>
      <c r="C352" s="1" t="n">
        <v>45349</v>
      </c>
      <c r="D352" t="inlineStr">
        <is>
          <t>JÄMTLANDS LÄN</t>
        </is>
      </c>
      <c r="E352" t="inlineStr">
        <is>
          <t>KROKOM</t>
        </is>
      </c>
      <c r="G352" t="n">
        <v>6.4</v>
      </c>
      <c r="H352" t="n">
        <v>0</v>
      </c>
      <c r="I352" t="n">
        <v>0</v>
      </c>
      <c r="J352" t="n">
        <v>0</v>
      </c>
      <c r="K352" t="n">
        <v>0</v>
      </c>
      <c r="L352" t="n">
        <v>0</v>
      </c>
      <c r="M352" t="n">
        <v>0</v>
      </c>
      <c r="N352" t="n">
        <v>0</v>
      </c>
      <c r="O352" t="n">
        <v>0</v>
      </c>
      <c r="P352" t="n">
        <v>0</v>
      </c>
      <c r="Q352" t="n">
        <v>0</v>
      </c>
      <c r="R352" s="2" t="inlineStr"/>
    </row>
    <row r="353" ht="15" customHeight="1">
      <c r="A353" t="inlineStr">
        <is>
          <t>A 39353-2019</t>
        </is>
      </c>
      <c r="B353" s="1" t="n">
        <v>43690</v>
      </c>
      <c r="C353" s="1" t="n">
        <v>45349</v>
      </c>
      <c r="D353" t="inlineStr">
        <is>
          <t>JÄMTLANDS LÄN</t>
        </is>
      </c>
      <c r="E353" t="inlineStr">
        <is>
          <t>KROKOM</t>
        </is>
      </c>
      <c r="G353" t="n">
        <v>7.8</v>
      </c>
      <c r="H353" t="n">
        <v>0</v>
      </c>
      <c r="I353" t="n">
        <v>0</v>
      </c>
      <c r="J353" t="n">
        <v>0</v>
      </c>
      <c r="K353" t="n">
        <v>0</v>
      </c>
      <c r="L353" t="n">
        <v>0</v>
      </c>
      <c r="M353" t="n">
        <v>0</v>
      </c>
      <c r="N353" t="n">
        <v>0</v>
      </c>
      <c r="O353" t="n">
        <v>0</v>
      </c>
      <c r="P353" t="n">
        <v>0</v>
      </c>
      <c r="Q353" t="n">
        <v>0</v>
      </c>
      <c r="R353" s="2" t="inlineStr"/>
    </row>
    <row r="354" ht="15" customHeight="1">
      <c r="A354" t="inlineStr">
        <is>
          <t>A 39587-2019</t>
        </is>
      </c>
      <c r="B354" s="1" t="n">
        <v>43691</v>
      </c>
      <c r="C354" s="1" t="n">
        <v>45349</v>
      </c>
      <c r="D354" t="inlineStr">
        <is>
          <t>JÄMTLANDS LÄN</t>
        </is>
      </c>
      <c r="E354" t="inlineStr">
        <is>
          <t>KROKOM</t>
        </is>
      </c>
      <c r="G354" t="n">
        <v>1.5</v>
      </c>
      <c r="H354" t="n">
        <v>0</v>
      </c>
      <c r="I354" t="n">
        <v>0</v>
      </c>
      <c r="J354" t="n">
        <v>0</v>
      </c>
      <c r="K354" t="n">
        <v>0</v>
      </c>
      <c r="L354" t="n">
        <v>0</v>
      </c>
      <c r="M354" t="n">
        <v>0</v>
      </c>
      <c r="N354" t="n">
        <v>0</v>
      </c>
      <c r="O354" t="n">
        <v>0</v>
      </c>
      <c r="P354" t="n">
        <v>0</v>
      </c>
      <c r="Q354" t="n">
        <v>0</v>
      </c>
      <c r="R354" s="2" t="inlineStr"/>
    </row>
    <row r="355" ht="15" customHeight="1">
      <c r="A355" t="inlineStr">
        <is>
          <t>A 39956-2019</t>
        </is>
      </c>
      <c r="B355" s="1" t="n">
        <v>43692</v>
      </c>
      <c r="C355" s="1" t="n">
        <v>45349</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39943-2019</t>
        </is>
      </c>
      <c r="B356" s="1" t="n">
        <v>43692</v>
      </c>
      <c r="C356" s="1" t="n">
        <v>45349</v>
      </c>
      <c r="D356" t="inlineStr">
        <is>
          <t>JÄMTLANDS LÄN</t>
        </is>
      </c>
      <c r="E356" t="inlineStr">
        <is>
          <t>KROKOM</t>
        </is>
      </c>
      <c r="G356" t="n">
        <v>17.9</v>
      </c>
      <c r="H356" t="n">
        <v>0</v>
      </c>
      <c r="I356" t="n">
        <v>0</v>
      </c>
      <c r="J356" t="n">
        <v>0</v>
      </c>
      <c r="K356" t="n">
        <v>0</v>
      </c>
      <c r="L356" t="n">
        <v>0</v>
      </c>
      <c r="M356" t="n">
        <v>0</v>
      </c>
      <c r="N356" t="n">
        <v>0</v>
      </c>
      <c r="O356" t="n">
        <v>0</v>
      </c>
      <c r="P356" t="n">
        <v>0</v>
      </c>
      <c r="Q356" t="n">
        <v>0</v>
      </c>
      <c r="R356" s="2" t="inlineStr"/>
    </row>
    <row r="357" ht="15" customHeight="1">
      <c r="A357" t="inlineStr">
        <is>
          <t>A 40929-2019</t>
        </is>
      </c>
      <c r="B357" s="1" t="n">
        <v>43693</v>
      </c>
      <c r="C357" s="1" t="n">
        <v>45349</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40491-2019</t>
        </is>
      </c>
      <c r="B358" s="1" t="n">
        <v>43696</v>
      </c>
      <c r="C358" s="1" t="n">
        <v>45349</v>
      </c>
      <c r="D358" t="inlineStr">
        <is>
          <t>JÄMTLANDS LÄN</t>
        </is>
      </c>
      <c r="E358" t="inlineStr">
        <is>
          <t>KROKOM</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41491-2019</t>
        </is>
      </c>
      <c r="B359" s="1" t="n">
        <v>43699</v>
      </c>
      <c r="C359" s="1" t="n">
        <v>45349</v>
      </c>
      <c r="D359" t="inlineStr">
        <is>
          <t>JÄMTLANDS LÄN</t>
        </is>
      </c>
      <c r="E359" t="inlineStr">
        <is>
          <t>KROKOM</t>
        </is>
      </c>
      <c r="G359" t="n">
        <v>9.1</v>
      </c>
      <c r="H359" t="n">
        <v>0</v>
      </c>
      <c r="I359" t="n">
        <v>0</v>
      </c>
      <c r="J359" t="n">
        <v>0</v>
      </c>
      <c r="K359" t="n">
        <v>0</v>
      </c>
      <c r="L359" t="n">
        <v>0</v>
      </c>
      <c r="M359" t="n">
        <v>0</v>
      </c>
      <c r="N359" t="n">
        <v>0</v>
      </c>
      <c r="O359" t="n">
        <v>0</v>
      </c>
      <c r="P359" t="n">
        <v>0</v>
      </c>
      <c r="Q359" t="n">
        <v>0</v>
      </c>
      <c r="R359" s="2" t="inlineStr"/>
    </row>
    <row r="360" ht="15" customHeight="1">
      <c r="A360" t="inlineStr">
        <is>
          <t>A 42258-2019</t>
        </is>
      </c>
      <c r="B360" s="1" t="n">
        <v>43703</v>
      </c>
      <c r="C360" s="1" t="n">
        <v>45349</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42237-2019</t>
        </is>
      </c>
      <c r="B361" s="1" t="n">
        <v>43703</v>
      </c>
      <c r="C361" s="1" t="n">
        <v>45349</v>
      </c>
      <c r="D361" t="inlineStr">
        <is>
          <t>JÄMTLANDS LÄN</t>
        </is>
      </c>
      <c r="E361" t="inlineStr">
        <is>
          <t>KROKOM</t>
        </is>
      </c>
      <c r="G361" t="n">
        <v>7.1</v>
      </c>
      <c r="H361" t="n">
        <v>0</v>
      </c>
      <c r="I361" t="n">
        <v>0</v>
      </c>
      <c r="J361" t="n">
        <v>0</v>
      </c>
      <c r="K361" t="n">
        <v>0</v>
      </c>
      <c r="L361" t="n">
        <v>0</v>
      </c>
      <c r="M361" t="n">
        <v>0</v>
      </c>
      <c r="N361" t="n">
        <v>0</v>
      </c>
      <c r="O361" t="n">
        <v>0</v>
      </c>
      <c r="P361" t="n">
        <v>0</v>
      </c>
      <c r="Q361" t="n">
        <v>0</v>
      </c>
      <c r="R361" s="2" t="inlineStr"/>
    </row>
    <row r="362" ht="15" customHeight="1">
      <c r="A362" t="inlineStr">
        <is>
          <t>A 42537-2019</t>
        </is>
      </c>
      <c r="B362" s="1" t="n">
        <v>43704</v>
      </c>
      <c r="C362" s="1" t="n">
        <v>45349</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42547-2019</t>
        </is>
      </c>
      <c r="B363" s="1" t="n">
        <v>43704</v>
      </c>
      <c r="C363" s="1" t="n">
        <v>45349</v>
      </c>
      <c r="D363" t="inlineStr">
        <is>
          <t>JÄMTLANDS LÄN</t>
        </is>
      </c>
      <c r="E363" t="inlineStr">
        <is>
          <t>KROKOM</t>
        </is>
      </c>
      <c r="F363" t="inlineStr">
        <is>
          <t>Övriga Aktiebolag</t>
        </is>
      </c>
      <c r="G363" t="n">
        <v>27.5</v>
      </c>
      <c r="H363" t="n">
        <v>0</v>
      </c>
      <c r="I363" t="n">
        <v>0</v>
      </c>
      <c r="J363" t="n">
        <v>0</v>
      </c>
      <c r="K363" t="n">
        <v>0</v>
      </c>
      <c r="L363" t="n">
        <v>0</v>
      </c>
      <c r="M363" t="n">
        <v>0</v>
      </c>
      <c r="N363" t="n">
        <v>0</v>
      </c>
      <c r="O363" t="n">
        <v>0</v>
      </c>
      <c r="P363" t="n">
        <v>0</v>
      </c>
      <c r="Q363" t="n">
        <v>0</v>
      </c>
      <c r="R363" s="2" t="inlineStr"/>
    </row>
    <row r="364" ht="15" customHeight="1">
      <c r="A364" t="inlineStr">
        <is>
          <t>A 42498-2019</t>
        </is>
      </c>
      <c r="B364" s="1" t="n">
        <v>43704</v>
      </c>
      <c r="C364" s="1" t="n">
        <v>45349</v>
      </c>
      <c r="D364" t="inlineStr">
        <is>
          <t>JÄMTLANDS LÄN</t>
        </is>
      </c>
      <c r="E364" t="inlineStr">
        <is>
          <t>KROKOM</t>
        </is>
      </c>
      <c r="F364" t="inlineStr">
        <is>
          <t>Övriga Aktiebolag</t>
        </is>
      </c>
      <c r="G364" t="n">
        <v>3.9</v>
      </c>
      <c r="H364" t="n">
        <v>0</v>
      </c>
      <c r="I364" t="n">
        <v>0</v>
      </c>
      <c r="J364" t="n">
        <v>0</v>
      </c>
      <c r="K364" t="n">
        <v>0</v>
      </c>
      <c r="L364" t="n">
        <v>0</v>
      </c>
      <c r="M364" t="n">
        <v>0</v>
      </c>
      <c r="N364" t="n">
        <v>0</v>
      </c>
      <c r="O364" t="n">
        <v>0</v>
      </c>
      <c r="P364" t="n">
        <v>0</v>
      </c>
      <c r="Q364" t="n">
        <v>0</v>
      </c>
      <c r="R364" s="2" t="inlineStr"/>
    </row>
    <row r="365" ht="15" customHeight="1">
      <c r="A365" t="inlineStr">
        <is>
          <t>A 42602-2019</t>
        </is>
      </c>
      <c r="B365" s="1" t="n">
        <v>43704</v>
      </c>
      <c r="C365" s="1" t="n">
        <v>45349</v>
      </c>
      <c r="D365" t="inlineStr">
        <is>
          <t>JÄMTLANDS LÄN</t>
        </is>
      </c>
      <c r="E365" t="inlineStr">
        <is>
          <t>KROKOM</t>
        </is>
      </c>
      <c r="G365" t="n">
        <v>3.9</v>
      </c>
      <c r="H365" t="n">
        <v>0</v>
      </c>
      <c r="I365" t="n">
        <v>0</v>
      </c>
      <c r="J365" t="n">
        <v>0</v>
      </c>
      <c r="K365" t="n">
        <v>0</v>
      </c>
      <c r="L365" t="n">
        <v>0</v>
      </c>
      <c r="M365" t="n">
        <v>0</v>
      </c>
      <c r="N365" t="n">
        <v>0</v>
      </c>
      <c r="O365" t="n">
        <v>0</v>
      </c>
      <c r="P365" t="n">
        <v>0</v>
      </c>
      <c r="Q365" t="n">
        <v>0</v>
      </c>
      <c r="R365" s="2" t="inlineStr"/>
    </row>
    <row r="366" ht="15" customHeight="1">
      <c r="A366" t="inlineStr">
        <is>
          <t>A 42512-2019</t>
        </is>
      </c>
      <c r="B366" s="1" t="n">
        <v>43704</v>
      </c>
      <c r="C366" s="1" t="n">
        <v>45349</v>
      </c>
      <c r="D366" t="inlineStr">
        <is>
          <t>JÄMTLANDS LÄN</t>
        </is>
      </c>
      <c r="E366" t="inlineStr">
        <is>
          <t>KROKOM</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42635-2019</t>
        </is>
      </c>
      <c r="B367" s="1" t="n">
        <v>43704</v>
      </c>
      <c r="C367" s="1" t="n">
        <v>45349</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43708-2019</t>
        </is>
      </c>
      <c r="B368" s="1" t="n">
        <v>43707</v>
      </c>
      <c r="C368" s="1" t="n">
        <v>45349</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43721-2019</t>
        </is>
      </c>
      <c r="B369" s="1" t="n">
        <v>43707</v>
      </c>
      <c r="C369" s="1" t="n">
        <v>45349</v>
      </c>
      <c r="D369" t="inlineStr">
        <is>
          <t>JÄMTLANDS LÄN</t>
        </is>
      </c>
      <c r="E369" t="inlineStr">
        <is>
          <t>KROKOM</t>
        </is>
      </c>
      <c r="G369" t="n">
        <v>7.1</v>
      </c>
      <c r="H369" t="n">
        <v>0</v>
      </c>
      <c r="I369" t="n">
        <v>0</v>
      </c>
      <c r="J369" t="n">
        <v>0</v>
      </c>
      <c r="K369" t="n">
        <v>0</v>
      </c>
      <c r="L369" t="n">
        <v>0</v>
      </c>
      <c r="M369" t="n">
        <v>0</v>
      </c>
      <c r="N369" t="n">
        <v>0</v>
      </c>
      <c r="O369" t="n">
        <v>0</v>
      </c>
      <c r="P369" t="n">
        <v>0</v>
      </c>
      <c r="Q369" t="n">
        <v>0</v>
      </c>
      <c r="R369" s="2" t="inlineStr"/>
    </row>
    <row r="370" ht="15" customHeight="1">
      <c r="A370" t="inlineStr">
        <is>
          <t>A 44128-2019</t>
        </is>
      </c>
      <c r="B370" s="1" t="n">
        <v>43710</v>
      </c>
      <c r="C370" s="1" t="n">
        <v>45349</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44190-2019</t>
        </is>
      </c>
      <c r="B371" s="1" t="n">
        <v>43710</v>
      </c>
      <c r="C371" s="1" t="n">
        <v>45349</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44653-2019</t>
        </is>
      </c>
      <c r="B372" s="1" t="n">
        <v>43712</v>
      </c>
      <c r="C372" s="1" t="n">
        <v>45349</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46288-2019</t>
        </is>
      </c>
      <c r="B373" s="1" t="n">
        <v>43717</v>
      </c>
      <c r="C373" s="1" t="n">
        <v>45349</v>
      </c>
      <c r="D373" t="inlineStr">
        <is>
          <t>JÄMTLANDS LÄN</t>
        </is>
      </c>
      <c r="E373" t="inlineStr">
        <is>
          <t>KROKOM</t>
        </is>
      </c>
      <c r="G373" t="n">
        <v>1.2</v>
      </c>
      <c r="H373" t="n">
        <v>0</v>
      </c>
      <c r="I373" t="n">
        <v>0</v>
      </c>
      <c r="J373" t="n">
        <v>0</v>
      </c>
      <c r="K373" t="n">
        <v>0</v>
      </c>
      <c r="L373" t="n">
        <v>0</v>
      </c>
      <c r="M373" t="n">
        <v>0</v>
      </c>
      <c r="N373" t="n">
        <v>0</v>
      </c>
      <c r="O373" t="n">
        <v>0</v>
      </c>
      <c r="P373" t="n">
        <v>0</v>
      </c>
      <c r="Q373" t="n">
        <v>0</v>
      </c>
      <c r="R373" s="2" t="inlineStr"/>
    </row>
    <row r="374" ht="15" customHeight="1">
      <c r="A374" t="inlineStr">
        <is>
          <t>A 47406-2019</t>
        </is>
      </c>
      <c r="B374" s="1" t="n">
        <v>43722</v>
      </c>
      <c r="C374" s="1" t="n">
        <v>45349</v>
      </c>
      <c r="D374" t="inlineStr">
        <is>
          <t>JÄMTLANDS LÄN</t>
        </is>
      </c>
      <c r="E374" t="inlineStr">
        <is>
          <t>KROKOM</t>
        </is>
      </c>
      <c r="G374" t="n">
        <v>7.4</v>
      </c>
      <c r="H374" t="n">
        <v>0</v>
      </c>
      <c r="I374" t="n">
        <v>0</v>
      </c>
      <c r="J374" t="n">
        <v>0</v>
      </c>
      <c r="K374" t="n">
        <v>0</v>
      </c>
      <c r="L374" t="n">
        <v>0</v>
      </c>
      <c r="M374" t="n">
        <v>0</v>
      </c>
      <c r="N374" t="n">
        <v>0</v>
      </c>
      <c r="O374" t="n">
        <v>0</v>
      </c>
      <c r="P374" t="n">
        <v>0</v>
      </c>
      <c r="Q374" t="n">
        <v>0</v>
      </c>
      <c r="R374" s="2" t="inlineStr"/>
    </row>
    <row r="375" ht="15" customHeight="1">
      <c r="A375" t="inlineStr">
        <is>
          <t>A 48311-2019</t>
        </is>
      </c>
      <c r="B375" s="1" t="n">
        <v>43726</v>
      </c>
      <c r="C375" s="1" t="n">
        <v>45349</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48613-2019</t>
        </is>
      </c>
      <c r="B376" s="1" t="n">
        <v>43727</v>
      </c>
      <c r="C376" s="1" t="n">
        <v>45349</v>
      </c>
      <c r="D376" t="inlineStr">
        <is>
          <t>JÄMTLANDS LÄN</t>
        </is>
      </c>
      <c r="E376" t="inlineStr">
        <is>
          <t>KROKOM</t>
        </is>
      </c>
      <c r="G376" t="n">
        <v>0.1</v>
      </c>
      <c r="H376" t="n">
        <v>0</v>
      </c>
      <c r="I376" t="n">
        <v>0</v>
      </c>
      <c r="J376" t="n">
        <v>0</v>
      </c>
      <c r="K376" t="n">
        <v>0</v>
      </c>
      <c r="L376" t="n">
        <v>0</v>
      </c>
      <c r="M376" t="n">
        <v>0</v>
      </c>
      <c r="N376" t="n">
        <v>0</v>
      </c>
      <c r="O376" t="n">
        <v>0</v>
      </c>
      <c r="P376" t="n">
        <v>0</v>
      </c>
      <c r="Q376" t="n">
        <v>0</v>
      </c>
      <c r="R376" s="2" t="inlineStr"/>
    </row>
    <row r="377" ht="15" customHeight="1">
      <c r="A377" t="inlineStr">
        <is>
          <t>A 49213-2019</t>
        </is>
      </c>
      <c r="B377" s="1" t="n">
        <v>43731</v>
      </c>
      <c r="C377" s="1" t="n">
        <v>45349</v>
      </c>
      <c r="D377" t="inlineStr">
        <is>
          <t>JÄMTLANDS LÄN</t>
        </is>
      </c>
      <c r="E377" t="inlineStr">
        <is>
          <t>KROKOM</t>
        </is>
      </c>
      <c r="G377" t="n">
        <v>3.8</v>
      </c>
      <c r="H377" t="n">
        <v>0</v>
      </c>
      <c r="I377" t="n">
        <v>0</v>
      </c>
      <c r="J377" t="n">
        <v>0</v>
      </c>
      <c r="K377" t="n">
        <v>0</v>
      </c>
      <c r="L377" t="n">
        <v>0</v>
      </c>
      <c r="M377" t="n">
        <v>0</v>
      </c>
      <c r="N377" t="n">
        <v>0</v>
      </c>
      <c r="O377" t="n">
        <v>0</v>
      </c>
      <c r="P377" t="n">
        <v>0</v>
      </c>
      <c r="Q377" t="n">
        <v>0</v>
      </c>
      <c r="R377" s="2" t="inlineStr"/>
    </row>
    <row r="378" ht="15" customHeight="1">
      <c r="A378" t="inlineStr">
        <is>
          <t>A 50104-2019</t>
        </is>
      </c>
      <c r="B378" s="1" t="n">
        <v>43731</v>
      </c>
      <c r="C378" s="1" t="n">
        <v>45349</v>
      </c>
      <c r="D378" t="inlineStr">
        <is>
          <t>JÄMTLANDS LÄN</t>
        </is>
      </c>
      <c r="E378" t="inlineStr">
        <is>
          <t>KROKOM</t>
        </is>
      </c>
      <c r="G378" t="n">
        <v>4.2</v>
      </c>
      <c r="H378" t="n">
        <v>0</v>
      </c>
      <c r="I378" t="n">
        <v>0</v>
      </c>
      <c r="J378" t="n">
        <v>0</v>
      </c>
      <c r="K378" t="n">
        <v>0</v>
      </c>
      <c r="L378" t="n">
        <v>0</v>
      </c>
      <c r="M378" t="n">
        <v>0</v>
      </c>
      <c r="N378" t="n">
        <v>0</v>
      </c>
      <c r="O378" t="n">
        <v>0</v>
      </c>
      <c r="P378" t="n">
        <v>0</v>
      </c>
      <c r="Q378" t="n">
        <v>0</v>
      </c>
      <c r="R378" s="2" t="inlineStr"/>
    </row>
    <row r="379" ht="15" customHeight="1">
      <c r="A379" t="inlineStr">
        <is>
          <t>A 50115-2019</t>
        </is>
      </c>
      <c r="B379" s="1" t="n">
        <v>43731</v>
      </c>
      <c r="C379" s="1" t="n">
        <v>45349</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50084-2019</t>
        </is>
      </c>
      <c r="B380" s="1" t="n">
        <v>43731</v>
      </c>
      <c r="C380" s="1" t="n">
        <v>45349</v>
      </c>
      <c r="D380" t="inlineStr">
        <is>
          <t>JÄMTLANDS LÄN</t>
        </is>
      </c>
      <c r="E380" t="inlineStr">
        <is>
          <t>KROKOM</t>
        </is>
      </c>
      <c r="G380" t="n">
        <v>12.5</v>
      </c>
      <c r="H380" t="n">
        <v>0</v>
      </c>
      <c r="I380" t="n">
        <v>0</v>
      </c>
      <c r="J380" t="n">
        <v>0</v>
      </c>
      <c r="K380" t="n">
        <v>0</v>
      </c>
      <c r="L380" t="n">
        <v>0</v>
      </c>
      <c r="M380" t="n">
        <v>0</v>
      </c>
      <c r="N380" t="n">
        <v>0</v>
      </c>
      <c r="O380" t="n">
        <v>0</v>
      </c>
      <c r="P380" t="n">
        <v>0</v>
      </c>
      <c r="Q380" t="n">
        <v>0</v>
      </c>
      <c r="R380" s="2" t="inlineStr"/>
    </row>
    <row r="381" ht="15" customHeight="1">
      <c r="A381" t="inlineStr">
        <is>
          <t>A 50112-2019</t>
        </is>
      </c>
      <c r="B381" s="1" t="n">
        <v>43731</v>
      </c>
      <c r="C381" s="1" t="n">
        <v>45349</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50144-2019</t>
        </is>
      </c>
      <c r="B382" s="1" t="n">
        <v>43734</v>
      </c>
      <c r="C382" s="1" t="n">
        <v>45349</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52049-2019</t>
        </is>
      </c>
      <c r="B383" s="1" t="n">
        <v>43734</v>
      </c>
      <c r="C383" s="1" t="n">
        <v>45349</v>
      </c>
      <c r="D383" t="inlineStr">
        <is>
          <t>JÄMTLANDS LÄN</t>
        </is>
      </c>
      <c r="E383" t="inlineStr">
        <is>
          <t>KROKOM</t>
        </is>
      </c>
      <c r="G383" t="n">
        <v>6.3</v>
      </c>
      <c r="H383" t="n">
        <v>0</v>
      </c>
      <c r="I383" t="n">
        <v>0</v>
      </c>
      <c r="J383" t="n">
        <v>0</v>
      </c>
      <c r="K383" t="n">
        <v>0</v>
      </c>
      <c r="L383" t="n">
        <v>0</v>
      </c>
      <c r="M383" t="n">
        <v>0</v>
      </c>
      <c r="N383" t="n">
        <v>0</v>
      </c>
      <c r="O383" t="n">
        <v>0</v>
      </c>
      <c r="P383" t="n">
        <v>0</v>
      </c>
      <c r="Q383" t="n">
        <v>0</v>
      </c>
      <c r="R383" s="2" t="inlineStr"/>
    </row>
    <row r="384" ht="15" customHeight="1">
      <c r="A384" t="inlineStr">
        <is>
          <t>A 52028-2019</t>
        </is>
      </c>
      <c r="B384" s="1" t="n">
        <v>43734</v>
      </c>
      <c r="C384" s="1" t="n">
        <v>45349</v>
      </c>
      <c r="D384" t="inlineStr">
        <is>
          <t>JÄMTLANDS LÄN</t>
        </is>
      </c>
      <c r="E384" t="inlineStr">
        <is>
          <t>KROKOM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52059-2019</t>
        </is>
      </c>
      <c r="B385" s="1" t="n">
        <v>43734</v>
      </c>
      <c r="C385" s="1" t="n">
        <v>45349</v>
      </c>
      <c r="D385" t="inlineStr">
        <is>
          <t>JÄMTLANDS LÄN</t>
        </is>
      </c>
      <c r="E385" t="inlineStr">
        <is>
          <t>KROKOM</t>
        </is>
      </c>
      <c r="G385" t="n">
        <v>2.1</v>
      </c>
      <c r="H385" t="n">
        <v>0</v>
      </c>
      <c r="I385" t="n">
        <v>0</v>
      </c>
      <c r="J385" t="n">
        <v>0</v>
      </c>
      <c r="K385" t="n">
        <v>0</v>
      </c>
      <c r="L385" t="n">
        <v>0</v>
      </c>
      <c r="M385" t="n">
        <v>0</v>
      </c>
      <c r="N385" t="n">
        <v>0</v>
      </c>
      <c r="O385" t="n">
        <v>0</v>
      </c>
      <c r="P385" t="n">
        <v>0</v>
      </c>
      <c r="Q385" t="n">
        <v>0</v>
      </c>
      <c r="R385" s="2" t="inlineStr"/>
    </row>
    <row r="386" ht="15" customHeight="1">
      <c r="A386" t="inlineStr">
        <is>
          <t>A 50360-2019</t>
        </is>
      </c>
      <c r="B386" s="1" t="n">
        <v>43735</v>
      </c>
      <c r="C386" s="1" t="n">
        <v>45349</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52446-2019</t>
        </is>
      </c>
      <c r="B387" s="1" t="n">
        <v>43735</v>
      </c>
      <c r="C387" s="1" t="n">
        <v>45349</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52462-2019</t>
        </is>
      </c>
      <c r="B388" s="1" t="n">
        <v>43735</v>
      </c>
      <c r="C388" s="1" t="n">
        <v>45349</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45349</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45349</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45349</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45349</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45349</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45349</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45349</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45349</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45349</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45349</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45349</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45349</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45349</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45349</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45349</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45349</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45349</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45349</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45349</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45349</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45349</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45349</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45349</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45349</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45349</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45349</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45349</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45349</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45349</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45349</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45349</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45349</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45349</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45349</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45349</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45349</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45349</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45349</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45349</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45349</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45349</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45349</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45349</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45349</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45349</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45349</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45349</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45349</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45349</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45349</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45349</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45349</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45349</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45349</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45349</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45349</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45349</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45349</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45349</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45349</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45349</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45349</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45349</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45349</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45349</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45349</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45349</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45349</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45349</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45349</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9091-2020</t>
        </is>
      </c>
      <c r="B459" s="1" t="n">
        <v>43879</v>
      </c>
      <c r="C459" s="1" t="n">
        <v>45349</v>
      </c>
      <c r="D459" t="inlineStr">
        <is>
          <t>JÄMTLANDS LÄN</t>
        </is>
      </c>
      <c r="E459" t="inlineStr">
        <is>
          <t>KROKOM</t>
        </is>
      </c>
      <c r="G459" t="n">
        <v>13.4</v>
      </c>
      <c r="H459" t="n">
        <v>0</v>
      </c>
      <c r="I459" t="n">
        <v>0</v>
      </c>
      <c r="J459" t="n">
        <v>0</v>
      </c>
      <c r="K459" t="n">
        <v>0</v>
      </c>
      <c r="L459" t="n">
        <v>0</v>
      </c>
      <c r="M459" t="n">
        <v>0</v>
      </c>
      <c r="N459" t="n">
        <v>0</v>
      </c>
      <c r="O459" t="n">
        <v>0</v>
      </c>
      <c r="P459" t="n">
        <v>0</v>
      </c>
      <c r="Q459" t="n">
        <v>0</v>
      </c>
      <c r="R459" s="2" t="inlineStr"/>
    </row>
    <row r="460" ht="15" customHeight="1">
      <c r="A460" t="inlineStr">
        <is>
          <t>A 9412-2020</t>
        </is>
      </c>
      <c r="B460" s="1" t="n">
        <v>43880</v>
      </c>
      <c r="C460" s="1" t="n">
        <v>45349</v>
      </c>
      <c r="D460" t="inlineStr">
        <is>
          <t>JÄMTLANDS LÄN</t>
        </is>
      </c>
      <c r="E460" t="inlineStr">
        <is>
          <t>KROKOM</t>
        </is>
      </c>
      <c r="G460" t="n">
        <v>12.1</v>
      </c>
      <c r="H460" t="n">
        <v>0</v>
      </c>
      <c r="I460" t="n">
        <v>0</v>
      </c>
      <c r="J460" t="n">
        <v>0</v>
      </c>
      <c r="K460" t="n">
        <v>0</v>
      </c>
      <c r="L460" t="n">
        <v>0</v>
      </c>
      <c r="M460" t="n">
        <v>0</v>
      </c>
      <c r="N460" t="n">
        <v>0</v>
      </c>
      <c r="O460" t="n">
        <v>0</v>
      </c>
      <c r="P460" t="n">
        <v>0</v>
      </c>
      <c r="Q460" t="n">
        <v>0</v>
      </c>
      <c r="R460" s="2" t="inlineStr"/>
    </row>
    <row r="461" ht="15" customHeight="1">
      <c r="A461" t="inlineStr">
        <is>
          <t>A 10206-2020</t>
        </is>
      </c>
      <c r="B461" s="1" t="n">
        <v>43885</v>
      </c>
      <c r="C461" s="1" t="n">
        <v>45349</v>
      </c>
      <c r="D461" t="inlineStr">
        <is>
          <t>JÄMTLANDS LÄN</t>
        </is>
      </c>
      <c r="E461" t="inlineStr">
        <is>
          <t>KROKOM</t>
        </is>
      </c>
      <c r="G461" t="n">
        <v>5.4</v>
      </c>
      <c r="H461" t="n">
        <v>0</v>
      </c>
      <c r="I461" t="n">
        <v>0</v>
      </c>
      <c r="J461" t="n">
        <v>0</v>
      </c>
      <c r="K461" t="n">
        <v>0</v>
      </c>
      <c r="L461" t="n">
        <v>0</v>
      </c>
      <c r="M461" t="n">
        <v>0</v>
      </c>
      <c r="N461" t="n">
        <v>0</v>
      </c>
      <c r="O461" t="n">
        <v>0</v>
      </c>
      <c r="P461" t="n">
        <v>0</v>
      </c>
      <c r="Q461" t="n">
        <v>0</v>
      </c>
      <c r="R461" s="2" t="inlineStr"/>
    </row>
    <row r="462" ht="15" customHeight="1">
      <c r="A462" t="inlineStr">
        <is>
          <t>A 10180-2020</t>
        </is>
      </c>
      <c r="B462" s="1" t="n">
        <v>43887</v>
      </c>
      <c r="C462" s="1" t="n">
        <v>45349</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11021-2020</t>
        </is>
      </c>
      <c r="B463" s="1" t="n">
        <v>43889</v>
      </c>
      <c r="C463" s="1" t="n">
        <v>45349</v>
      </c>
      <c r="D463" t="inlineStr">
        <is>
          <t>JÄMTLANDS LÄN</t>
        </is>
      </c>
      <c r="E463" t="inlineStr">
        <is>
          <t>KROKOM</t>
        </is>
      </c>
      <c r="G463" t="n">
        <v>14.3</v>
      </c>
      <c r="H463" t="n">
        <v>0</v>
      </c>
      <c r="I463" t="n">
        <v>0</v>
      </c>
      <c r="J463" t="n">
        <v>0</v>
      </c>
      <c r="K463" t="n">
        <v>0</v>
      </c>
      <c r="L463" t="n">
        <v>0</v>
      </c>
      <c r="M463" t="n">
        <v>0</v>
      </c>
      <c r="N463" t="n">
        <v>0</v>
      </c>
      <c r="O463" t="n">
        <v>0</v>
      </c>
      <c r="P463" t="n">
        <v>0</v>
      </c>
      <c r="Q463" t="n">
        <v>0</v>
      </c>
      <c r="R463" s="2" t="inlineStr"/>
    </row>
    <row r="464" ht="15" customHeight="1">
      <c r="A464" t="inlineStr">
        <is>
          <t>A 11500-2020</t>
        </is>
      </c>
      <c r="B464" s="1" t="n">
        <v>43893</v>
      </c>
      <c r="C464" s="1" t="n">
        <v>45349</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11487-2020</t>
        </is>
      </c>
      <c r="B465" s="1" t="n">
        <v>43893</v>
      </c>
      <c r="C465" s="1" t="n">
        <v>45349</v>
      </c>
      <c r="D465" t="inlineStr">
        <is>
          <t>JÄMTLANDS LÄN</t>
        </is>
      </c>
      <c r="E465" t="inlineStr">
        <is>
          <t>KROKOM</t>
        </is>
      </c>
      <c r="G465" t="n">
        <v>2.4</v>
      </c>
      <c r="H465" t="n">
        <v>0</v>
      </c>
      <c r="I465" t="n">
        <v>0</v>
      </c>
      <c r="J465" t="n">
        <v>0</v>
      </c>
      <c r="K465" t="n">
        <v>0</v>
      </c>
      <c r="L465" t="n">
        <v>0</v>
      </c>
      <c r="M465" t="n">
        <v>0</v>
      </c>
      <c r="N465" t="n">
        <v>0</v>
      </c>
      <c r="O465" t="n">
        <v>0</v>
      </c>
      <c r="P465" t="n">
        <v>0</v>
      </c>
      <c r="Q465" t="n">
        <v>0</v>
      </c>
      <c r="R465" s="2" t="inlineStr"/>
    </row>
    <row r="466" ht="15" customHeight="1">
      <c r="A466" t="inlineStr">
        <is>
          <t>A 13367-2020</t>
        </is>
      </c>
      <c r="B466" s="1" t="n">
        <v>43894</v>
      </c>
      <c r="C466" s="1" t="n">
        <v>45349</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12914-2020</t>
        </is>
      </c>
      <c r="B467" s="1" t="n">
        <v>43900</v>
      </c>
      <c r="C467" s="1" t="n">
        <v>45349</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13502-2020</t>
        </is>
      </c>
      <c r="B468" s="1" t="n">
        <v>43900</v>
      </c>
      <c r="C468" s="1" t="n">
        <v>45349</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12908-2020</t>
        </is>
      </c>
      <c r="B469" s="1" t="n">
        <v>43900</v>
      </c>
      <c r="C469" s="1" t="n">
        <v>45349</v>
      </c>
      <c r="D469" t="inlineStr">
        <is>
          <t>JÄMTLANDS LÄN</t>
        </is>
      </c>
      <c r="E469" t="inlineStr">
        <is>
          <t>KROKOM</t>
        </is>
      </c>
      <c r="G469" t="n">
        <v>4.5</v>
      </c>
      <c r="H469" t="n">
        <v>0</v>
      </c>
      <c r="I469" t="n">
        <v>0</v>
      </c>
      <c r="J469" t="n">
        <v>0</v>
      </c>
      <c r="K469" t="n">
        <v>0</v>
      </c>
      <c r="L469" t="n">
        <v>0</v>
      </c>
      <c r="M469" t="n">
        <v>0</v>
      </c>
      <c r="N469" t="n">
        <v>0</v>
      </c>
      <c r="O469" t="n">
        <v>0</v>
      </c>
      <c r="P469" t="n">
        <v>0</v>
      </c>
      <c r="Q469" t="n">
        <v>0</v>
      </c>
      <c r="R469" s="2" t="inlineStr"/>
    </row>
    <row r="470" ht="15" customHeight="1">
      <c r="A470" t="inlineStr">
        <is>
          <t>A 14281-2020</t>
        </is>
      </c>
      <c r="B470" s="1" t="n">
        <v>43907</v>
      </c>
      <c r="C470" s="1" t="n">
        <v>45349</v>
      </c>
      <c r="D470" t="inlineStr">
        <is>
          <t>JÄMTLANDS LÄN</t>
        </is>
      </c>
      <c r="E470" t="inlineStr">
        <is>
          <t>KROKOM</t>
        </is>
      </c>
      <c r="G470" t="n">
        <v>31.3</v>
      </c>
      <c r="H470" t="n">
        <v>0</v>
      </c>
      <c r="I470" t="n">
        <v>0</v>
      </c>
      <c r="J470" t="n">
        <v>0</v>
      </c>
      <c r="K470" t="n">
        <v>0</v>
      </c>
      <c r="L470" t="n">
        <v>0</v>
      </c>
      <c r="M470" t="n">
        <v>0</v>
      </c>
      <c r="N470" t="n">
        <v>0</v>
      </c>
      <c r="O470" t="n">
        <v>0</v>
      </c>
      <c r="P470" t="n">
        <v>0</v>
      </c>
      <c r="Q470" t="n">
        <v>0</v>
      </c>
      <c r="R470" s="2" t="inlineStr"/>
    </row>
    <row r="471" ht="15" customHeight="1">
      <c r="A471" t="inlineStr">
        <is>
          <t>A 14285-2020</t>
        </is>
      </c>
      <c r="B471" s="1" t="n">
        <v>43907</v>
      </c>
      <c r="C471" s="1" t="n">
        <v>45349</v>
      </c>
      <c r="D471" t="inlineStr">
        <is>
          <t>JÄMTLANDS LÄN</t>
        </is>
      </c>
      <c r="E471" t="inlineStr">
        <is>
          <t>KROKOM</t>
        </is>
      </c>
      <c r="G471" t="n">
        <v>13.9</v>
      </c>
      <c r="H471" t="n">
        <v>0</v>
      </c>
      <c r="I471" t="n">
        <v>0</v>
      </c>
      <c r="J471" t="n">
        <v>0</v>
      </c>
      <c r="K471" t="n">
        <v>0</v>
      </c>
      <c r="L471" t="n">
        <v>0</v>
      </c>
      <c r="M471" t="n">
        <v>0</v>
      </c>
      <c r="N471" t="n">
        <v>0</v>
      </c>
      <c r="O471" t="n">
        <v>0</v>
      </c>
      <c r="P471" t="n">
        <v>0</v>
      </c>
      <c r="Q471" t="n">
        <v>0</v>
      </c>
      <c r="R471" s="2" t="inlineStr"/>
    </row>
    <row r="472" ht="15" customHeight="1">
      <c r="A472" t="inlineStr">
        <is>
          <t>A 15315-2020</t>
        </is>
      </c>
      <c r="B472" s="1" t="n">
        <v>43913</v>
      </c>
      <c r="C472" s="1" t="n">
        <v>45349</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17527-2020</t>
        </is>
      </c>
      <c r="B473" s="1" t="n">
        <v>43920</v>
      </c>
      <c r="C473" s="1" t="n">
        <v>45349</v>
      </c>
      <c r="D473" t="inlineStr">
        <is>
          <t>JÄMTLANDS LÄN</t>
        </is>
      </c>
      <c r="E473" t="inlineStr">
        <is>
          <t>KROKOM</t>
        </is>
      </c>
      <c r="G473" t="n">
        <v>4.2</v>
      </c>
      <c r="H473" t="n">
        <v>0</v>
      </c>
      <c r="I473" t="n">
        <v>0</v>
      </c>
      <c r="J473" t="n">
        <v>0</v>
      </c>
      <c r="K473" t="n">
        <v>0</v>
      </c>
      <c r="L473" t="n">
        <v>0</v>
      </c>
      <c r="M473" t="n">
        <v>0</v>
      </c>
      <c r="N473" t="n">
        <v>0</v>
      </c>
      <c r="O473" t="n">
        <v>0</v>
      </c>
      <c r="P473" t="n">
        <v>0</v>
      </c>
      <c r="Q473" t="n">
        <v>0</v>
      </c>
      <c r="R473" s="2" t="inlineStr"/>
    </row>
    <row r="474" ht="15" customHeight="1">
      <c r="A474" t="inlineStr">
        <is>
          <t>A 18445-2020</t>
        </is>
      </c>
      <c r="B474" s="1" t="n">
        <v>43927</v>
      </c>
      <c r="C474" s="1" t="n">
        <v>45349</v>
      </c>
      <c r="D474" t="inlineStr">
        <is>
          <t>JÄMTLANDS LÄN</t>
        </is>
      </c>
      <c r="E474" t="inlineStr">
        <is>
          <t>KROKOM</t>
        </is>
      </c>
      <c r="G474" t="n">
        <v>4.2</v>
      </c>
      <c r="H474" t="n">
        <v>0</v>
      </c>
      <c r="I474" t="n">
        <v>0</v>
      </c>
      <c r="J474" t="n">
        <v>0</v>
      </c>
      <c r="K474" t="n">
        <v>0</v>
      </c>
      <c r="L474" t="n">
        <v>0</v>
      </c>
      <c r="M474" t="n">
        <v>0</v>
      </c>
      <c r="N474" t="n">
        <v>0</v>
      </c>
      <c r="O474" t="n">
        <v>0</v>
      </c>
      <c r="P474" t="n">
        <v>0</v>
      </c>
      <c r="Q474" t="n">
        <v>0</v>
      </c>
      <c r="R474" s="2" t="inlineStr"/>
    </row>
    <row r="475" ht="15" customHeight="1">
      <c r="A475" t="inlineStr">
        <is>
          <t>A 18591-2020</t>
        </is>
      </c>
      <c r="B475" s="1" t="n">
        <v>43928</v>
      </c>
      <c r="C475" s="1" t="n">
        <v>45349</v>
      </c>
      <c r="D475" t="inlineStr">
        <is>
          <t>JÄMTLANDS LÄN</t>
        </is>
      </c>
      <c r="E475" t="inlineStr">
        <is>
          <t>KROKOM</t>
        </is>
      </c>
      <c r="G475" t="n">
        <v>13.6</v>
      </c>
      <c r="H475" t="n">
        <v>0</v>
      </c>
      <c r="I475" t="n">
        <v>0</v>
      </c>
      <c r="J475" t="n">
        <v>0</v>
      </c>
      <c r="K475" t="n">
        <v>0</v>
      </c>
      <c r="L475" t="n">
        <v>0</v>
      </c>
      <c r="M475" t="n">
        <v>0</v>
      </c>
      <c r="N475" t="n">
        <v>0</v>
      </c>
      <c r="O475" t="n">
        <v>0</v>
      </c>
      <c r="P475" t="n">
        <v>0</v>
      </c>
      <c r="Q475" t="n">
        <v>0</v>
      </c>
      <c r="R475" s="2" t="inlineStr"/>
    </row>
    <row r="476" ht="15" customHeight="1">
      <c r="A476" t="inlineStr">
        <is>
          <t>A 19031-2020</t>
        </is>
      </c>
      <c r="B476" s="1" t="n">
        <v>43936</v>
      </c>
      <c r="C476" s="1" t="n">
        <v>45349</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19827-2020</t>
        </is>
      </c>
      <c r="B477" s="1" t="n">
        <v>43938</v>
      </c>
      <c r="C477" s="1" t="n">
        <v>45349</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19648-2020</t>
        </is>
      </c>
      <c r="B478" s="1" t="n">
        <v>43941</v>
      </c>
      <c r="C478" s="1" t="n">
        <v>45349</v>
      </c>
      <c r="D478" t="inlineStr">
        <is>
          <t>JÄMTLANDS LÄN</t>
        </is>
      </c>
      <c r="E478" t="inlineStr">
        <is>
          <t>KROKOM</t>
        </is>
      </c>
      <c r="G478" t="n">
        <v>21.6</v>
      </c>
      <c r="H478" t="n">
        <v>0</v>
      </c>
      <c r="I478" t="n">
        <v>0</v>
      </c>
      <c r="J478" t="n">
        <v>0</v>
      </c>
      <c r="K478" t="n">
        <v>0</v>
      </c>
      <c r="L478" t="n">
        <v>0</v>
      </c>
      <c r="M478" t="n">
        <v>0</v>
      </c>
      <c r="N478" t="n">
        <v>0</v>
      </c>
      <c r="O478" t="n">
        <v>0</v>
      </c>
      <c r="P478" t="n">
        <v>0</v>
      </c>
      <c r="Q478" t="n">
        <v>0</v>
      </c>
      <c r="R478" s="2" t="inlineStr"/>
    </row>
    <row r="479" ht="15" customHeight="1">
      <c r="A479" t="inlineStr">
        <is>
          <t>A 19777-2020</t>
        </is>
      </c>
      <c r="B479" s="1" t="n">
        <v>43942</v>
      </c>
      <c r="C479" s="1" t="n">
        <v>45349</v>
      </c>
      <c r="D479" t="inlineStr">
        <is>
          <t>JÄMTLANDS LÄN</t>
        </is>
      </c>
      <c r="E479" t="inlineStr">
        <is>
          <t>KROKOM</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19768-2020</t>
        </is>
      </c>
      <c r="B480" s="1" t="n">
        <v>43942</v>
      </c>
      <c r="C480" s="1" t="n">
        <v>45349</v>
      </c>
      <c r="D480" t="inlineStr">
        <is>
          <t>JÄMTLANDS LÄN</t>
        </is>
      </c>
      <c r="E480" t="inlineStr">
        <is>
          <t>KROKOM</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21106-2020</t>
        </is>
      </c>
      <c r="B481" s="1" t="n">
        <v>43951</v>
      </c>
      <c r="C481" s="1" t="n">
        <v>45349</v>
      </c>
      <c r="D481" t="inlineStr">
        <is>
          <t>JÄMTLANDS LÄN</t>
        </is>
      </c>
      <c r="E481" t="inlineStr">
        <is>
          <t>KROKOM</t>
        </is>
      </c>
      <c r="G481" t="n">
        <v>17.7</v>
      </c>
      <c r="H481" t="n">
        <v>0</v>
      </c>
      <c r="I481" t="n">
        <v>0</v>
      </c>
      <c r="J481" t="n">
        <v>0</v>
      </c>
      <c r="K481" t="n">
        <v>0</v>
      </c>
      <c r="L481" t="n">
        <v>0</v>
      </c>
      <c r="M481" t="n">
        <v>0</v>
      </c>
      <c r="N481" t="n">
        <v>0</v>
      </c>
      <c r="O481" t="n">
        <v>0</v>
      </c>
      <c r="P481" t="n">
        <v>0</v>
      </c>
      <c r="Q481" t="n">
        <v>0</v>
      </c>
      <c r="R481" s="2" t="inlineStr"/>
    </row>
    <row r="482" ht="15" customHeight="1">
      <c r="A482" t="inlineStr">
        <is>
          <t>A 21144-2020</t>
        </is>
      </c>
      <c r="B482" s="1" t="n">
        <v>43951</v>
      </c>
      <c r="C482" s="1" t="n">
        <v>45349</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21443-2020</t>
        </is>
      </c>
      <c r="B483" s="1" t="n">
        <v>43955</v>
      </c>
      <c r="C483" s="1" t="n">
        <v>45349</v>
      </c>
      <c r="D483" t="inlineStr">
        <is>
          <t>JÄMTLANDS LÄN</t>
        </is>
      </c>
      <c r="E483" t="inlineStr">
        <is>
          <t>KROKOM</t>
        </is>
      </c>
      <c r="G483" t="n">
        <v>7.7</v>
      </c>
      <c r="H483" t="n">
        <v>0</v>
      </c>
      <c r="I483" t="n">
        <v>0</v>
      </c>
      <c r="J483" t="n">
        <v>0</v>
      </c>
      <c r="K483" t="n">
        <v>0</v>
      </c>
      <c r="L483" t="n">
        <v>0</v>
      </c>
      <c r="M483" t="n">
        <v>0</v>
      </c>
      <c r="N483" t="n">
        <v>0</v>
      </c>
      <c r="O483" t="n">
        <v>0</v>
      </c>
      <c r="P483" t="n">
        <v>0</v>
      </c>
      <c r="Q483" t="n">
        <v>0</v>
      </c>
      <c r="R483" s="2" t="inlineStr"/>
    </row>
    <row r="484" ht="15" customHeight="1">
      <c r="A484" t="inlineStr">
        <is>
          <t>A 22005-2020</t>
        </is>
      </c>
      <c r="B484" s="1" t="n">
        <v>43959</v>
      </c>
      <c r="C484" s="1" t="n">
        <v>45349</v>
      </c>
      <c r="D484" t="inlineStr">
        <is>
          <t>JÄMTLANDS LÄN</t>
        </is>
      </c>
      <c r="E484" t="inlineStr">
        <is>
          <t>KROKOM</t>
        </is>
      </c>
      <c r="G484" t="n">
        <v>3.5</v>
      </c>
      <c r="H484" t="n">
        <v>0</v>
      </c>
      <c r="I484" t="n">
        <v>0</v>
      </c>
      <c r="J484" t="n">
        <v>0</v>
      </c>
      <c r="K484" t="n">
        <v>0</v>
      </c>
      <c r="L484" t="n">
        <v>0</v>
      </c>
      <c r="M484" t="n">
        <v>0</v>
      </c>
      <c r="N484" t="n">
        <v>0</v>
      </c>
      <c r="O484" t="n">
        <v>0</v>
      </c>
      <c r="P484" t="n">
        <v>0</v>
      </c>
      <c r="Q484" t="n">
        <v>0</v>
      </c>
      <c r="R484" s="2" t="inlineStr"/>
    </row>
    <row r="485" ht="15" customHeight="1">
      <c r="A485" t="inlineStr">
        <is>
          <t>A 25520-2020</t>
        </is>
      </c>
      <c r="B485" s="1" t="n">
        <v>43983</v>
      </c>
      <c r="C485" s="1" t="n">
        <v>45349</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25489-2020</t>
        </is>
      </c>
      <c r="B486" s="1" t="n">
        <v>43983</v>
      </c>
      <c r="C486" s="1" t="n">
        <v>45349</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27056-2020</t>
        </is>
      </c>
      <c r="B487" s="1" t="n">
        <v>43991</v>
      </c>
      <c r="C487" s="1" t="n">
        <v>45349</v>
      </c>
      <c r="D487" t="inlineStr">
        <is>
          <t>JÄMTLANDS LÄN</t>
        </is>
      </c>
      <c r="E487" t="inlineStr">
        <is>
          <t>KROKOM</t>
        </is>
      </c>
      <c r="F487" t="inlineStr">
        <is>
          <t>Övriga Aktiebolag</t>
        </is>
      </c>
      <c r="G487" t="n">
        <v>4.7</v>
      </c>
      <c r="H487" t="n">
        <v>0</v>
      </c>
      <c r="I487" t="n">
        <v>0</v>
      </c>
      <c r="J487" t="n">
        <v>0</v>
      </c>
      <c r="K487" t="n">
        <v>0</v>
      </c>
      <c r="L487" t="n">
        <v>0</v>
      </c>
      <c r="M487" t="n">
        <v>0</v>
      </c>
      <c r="N487" t="n">
        <v>0</v>
      </c>
      <c r="O487" t="n">
        <v>0</v>
      </c>
      <c r="P487" t="n">
        <v>0</v>
      </c>
      <c r="Q487" t="n">
        <v>0</v>
      </c>
      <c r="R487" s="2" t="inlineStr"/>
    </row>
    <row r="488" ht="15" customHeight="1">
      <c r="A488" t="inlineStr">
        <is>
          <t>A 30368-2020</t>
        </is>
      </c>
      <c r="B488" s="1" t="n">
        <v>44007</v>
      </c>
      <c r="C488" s="1" t="n">
        <v>45349</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31421-2020</t>
        </is>
      </c>
      <c r="B489" s="1" t="n">
        <v>44013</v>
      </c>
      <c r="C489" s="1" t="n">
        <v>45349</v>
      </c>
      <c r="D489" t="inlineStr">
        <is>
          <t>JÄMTLANDS LÄN</t>
        </is>
      </c>
      <c r="E489" t="inlineStr">
        <is>
          <t>KROKOM</t>
        </is>
      </c>
      <c r="G489" t="n">
        <v>14.1</v>
      </c>
      <c r="H489" t="n">
        <v>0</v>
      </c>
      <c r="I489" t="n">
        <v>0</v>
      </c>
      <c r="J489" t="n">
        <v>0</v>
      </c>
      <c r="K489" t="n">
        <v>0</v>
      </c>
      <c r="L489" t="n">
        <v>0</v>
      </c>
      <c r="M489" t="n">
        <v>0</v>
      </c>
      <c r="N489" t="n">
        <v>0</v>
      </c>
      <c r="O489" t="n">
        <v>0</v>
      </c>
      <c r="P489" t="n">
        <v>0</v>
      </c>
      <c r="Q489" t="n">
        <v>0</v>
      </c>
      <c r="R489" s="2" t="inlineStr"/>
    </row>
    <row r="490" ht="15" customHeight="1">
      <c r="A490" t="inlineStr">
        <is>
          <t>A 32084-2020</t>
        </is>
      </c>
      <c r="B490" s="1" t="n">
        <v>44015</v>
      </c>
      <c r="C490" s="1" t="n">
        <v>45349</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34469-2020</t>
        </is>
      </c>
      <c r="B491" s="1" t="n">
        <v>44032</v>
      </c>
      <c r="C491" s="1" t="n">
        <v>45349</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34619-2020</t>
        </is>
      </c>
      <c r="B492" s="1" t="n">
        <v>44033</v>
      </c>
      <c r="C492" s="1" t="n">
        <v>45349</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34954-2020</t>
        </is>
      </c>
      <c r="B493" s="1" t="n">
        <v>44038</v>
      </c>
      <c r="C493" s="1" t="n">
        <v>45349</v>
      </c>
      <c r="D493" t="inlineStr">
        <is>
          <t>JÄMTLANDS LÄN</t>
        </is>
      </c>
      <c r="E493" t="inlineStr">
        <is>
          <t>KROKOM</t>
        </is>
      </c>
      <c r="G493" t="n">
        <v>14.3</v>
      </c>
      <c r="H493" t="n">
        <v>0</v>
      </c>
      <c r="I493" t="n">
        <v>0</v>
      </c>
      <c r="J493" t="n">
        <v>0</v>
      </c>
      <c r="K493" t="n">
        <v>0</v>
      </c>
      <c r="L493" t="n">
        <v>0</v>
      </c>
      <c r="M493" t="n">
        <v>0</v>
      </c>
      <c r="N493" t="n">
        <v>0</v>
      </c>
      <c r="O493" t="n">
        <v>0</v>
      </c>
      <c r="P493" t="n">
        <v>0</v>
      </c>
      <c r="Q493" t="n">
        <v>0</v>
      </c>
      <c r="R493" s="2" t="inlineStr"/>
    </row>
    <row r="494" ht="15" customHeight="1">
      <c r="A494" t="inlineStr">
        <is>
          <t>A 36098-2020</t>
        </is>
      </c>
      <c r="B494" s="1" t="n">
        <v>44048</v>
      </c>
      <c r="C494" s="1" t="n">
        <v>45349</v>
      </c>
      <c r="D494" t="inlineStr">
        <is>
          <t>JÄMTLANDS LÄN</t>
        </is>
      </c>
      <c r="E494" t="inlineStr">
        <is>
          <t>KROKOM</t>
        </is>
      </c>
      <c r="G494" t="n">
        <v>0.9</v>
      </c>
      <c r="H494" t="n">
        <v>0</v>
      </c>
      <c r="I494" t="n">
        <v>0</v>
      </c>
      <c r="J494" t="n">
        <v>0</v>
      </c>
      <c r="K494" t="n">
        <v>0</v>
      </c>
      <c r="L494" t="n">
        <v>0</v>
      </c>
      <c r="M494" t="n">
        <v>0</v>
      </c>
      <c r="N494" t="n">
        <v>0</v>
      </c>
      <c r="O494" t="n">
        <v>0</v>
      </c>
      <c r="P494" t="n">
        <v>0</v>
      </c>
      <c r="Q494" t="n">
        <v>0</v>
      </c>
      <c r="R494" s="2" t="inlineStr"/>
    </row>
    <row r="495" ht="15" customHeight="1">
      <c r="A495" t="inlineStr">
        <is>
          <t>A 36698-2020</t>
        </is>
      </c>
      <c r="B495" s="1" t="n">
        <v>44050</v>
      </c>
      <c r="C495" s="1" t="n">
        <v>45349</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36523-2020</t>
        </is>
      </c>
      <c r="B496" s="1" t="n">
        <v>44050</v>
      </c>
      <c r="C496" s="1" t="n">
        <v>45349</v>
      </c>
      <c r="D496" t="inlineStr">
        <is>
          <t>JÄMTLANDS LÄN</t>
        </is>
      </c>
      <c r="E496" t="inlineStr">
        <is>
          <t>KROKOM</t>
        </is>
      </c>
      <c r="G496" t="n">
        <v>5.1</v>
      </c>
      <c r="H496" t="n">
        <v>0</v>
      </c>
      <c r="I496" t="n">
        <v>0</v>
      </c>
      <c r="J496" t="n">
        <v>0</v>
      </c>
      <c r="K496" t="n">
        <v>0</v>
      </c>
      <c r="L496" t="n">
        <v>0</v>
      </c>
      <c r="M496" t="n">
        <v>0</v>
      </c>
      <c r="N496" t="n">
        <v>0</v>
      </c>
      <c r="O496" t="n">
        <v>0</v>
      </c>
      <c r="P496" t="n">
        <v>0</v>
      </c>
      <c r="Q496" t="n">
        <v>0</v>
      </c>
      <c r="R496" s="2" t="inlineStr"/>
    </row>
    <row r="497" ht="15" customHeight="1">
      <c r="A497" t="inlineStr">
        <is>
          <t>A 36696-2020</t>
        </is>
      </c>
      <c r="B497" s="1" t="n">
        <v>44050</v>
      </c>
      <c r="C497" s="1" t="n">
        <v>45349</v>
      </c>
      <c r="D497" t="inlineStr">
        <is>
          <t>JÄMTLANDS LÄN</t>
        </is>
      </c>
      <c r="E497" t="inlineStr">
        <is>
          <t>KROKOM</t>
        </is>
      </c>
      <c r="G497" t="n">
        <v>8</v>
      </c>
      <c r="H497" t="n">
        <v>0</v>
      </c>
      <c r="I497" t="n">
        <v>0</v>
      </c>
      <c r="J497" t="n">
        <v>0</v>
      </c>
      <c r="K497" t="n">
        <v>0</v>
      </c>
      <c r="L497" t="n">
        <v>0</v>
      </c>
      <c r="M497" t="n">
        <v>0</v>
      </c>
      <c r="N497" t="n">
        <v>0</v>
      </c>
      <c r="O497" t="n">
        <v>0</v>
      </c>
      <c r="P497" t="n">
        <v>0</v>
      </c>
      <c r="Q497" t="n">
        <v>0</v>
      </c>
      <c r="R497" s="2" t="inlineStr"/>
    </row>
    <row r="498" ht="15" customHeight="1">
      <c r="A498" t="inlineStr">
        <is>
          <t>A 38001-2020</t>
        </is>
      </c>
      <c r="B498" s="1" t="n">
        <v>44057</v>
      </c>
      <c r="C498" s="1" t="n">
        <v>45349</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38720-2020</t>
        </is>
      </c>
      <c r="B499" s="1" t="n">
        <v>44061</v>
      </c>
      <c r="C499" s="1" t="n">
        <v>45349</v>
      </c>
      <c r="D499" t="inlineStr">
        <is>
          <t>JÄMTLANDS LÄN</t>
        </is>
      </c>
      <c r="E499" t="inlineStr">
        <is>
          <t>KROKOM</t>
        </is>
      </c>
      <c r="G499" t="n">
        <v>1</v>
      </c>
      <c r="H499" t="n">
        <v>0</v>
      </c>
      <c r="I499" t="n">
        <v>0</v>
      </c>
      <c r="J499" t="n">
        <v>0</v>
      </c>
      <c r="K499" t="n">
        <v>0</v>
      </c>
      <c r="L499" t="n">
        <v>0</v>
      </c>
      <c r="M499" t="n">
        <v>0</v>
      </c>
      <c r="N499" t="n">
        <v>0</v>
      </c>
      <c r="O499" t="n">
        <v>0</v>
      </c>
      <c r="P499" t="n">
        <v>0</v>
      </c>
      <c r="Q499" t="n">
        <v>0</v>
      </c>
      <c r="R499" s="2" t="inlineStr"/>
    </row>
    <row r="500" ht="15" customHeight="1">
      <c r="A500" t="inlineStr">
        <is>
          <t>A 38866-2020</t>
        </is>
      </c>
      <c r="B500" s="1" t="n">
        <v>44062</v>
      </c>
      <c r="C500" s="1" t="n">
        <v>45349</v>
      </c>
      <c r="D500" t="inlineStr">
        <is>
          <t>JÄMTLANDS LÄN</t>
        </is>
      </c>
      <c r="E500" t="inlineStr">
        <is>
          <t>KROKOM</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42385-2020</t>
        </is>
      </c>
      <c r="B501" s="1" t="n">
        <v>44076</v>
      </c>
      <c r="C501" s="1" t="n">
        <v>45349</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42550-2020</t>
        </is>
      </c>
      <c r="B502" s="1" t="n">
        <v>44077</v>
      </c>
      <c r="C502" s="1" t="n">
        <v>45349</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45602-2020</t>
        </is>
      </c>
      <c r="B503" s="1" t="n">
        <v>44090</v>
      </c>
      <c r="C503" s="1" t="n">
        <v>45349</v>
      </c>
      <c r="D503" t="inlineStr">
        <is>
          <t>JÄMTLANDS LÄN</t>
        </is>
      </c>
      <c r="E503" t="inlineStr">
        <is>
          <t>KROKOM</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46589-2020</t>
        </is>
      </c>
      <c r="B504" s="1" t="n">
        <v>44095</v>
      </c>
      <c r="C504" s="1" t="n">
        <v>45349</v>
      </c>
      <c r="D504" t="inlineStr">
        <is>
          <t>JÄMTLANDS LÄN</t>
        </is>
      </c>
      <c r="E504" t="inlineStr">
        <is>
          <t>KROKOM</t>
        </is>
      </c>
      <c r="G504" t="n">
        <v>8.5</v>
      </c>
      <c r="H504" t="n">
        <v>0</v>
      </c>
      <c r="I504" t="n">
        <v>0</v>
      </c>
      <c r="J504" t="n">
        <v>0</v>
      </c>
      <c r="K504" t="n">
        <v>0</v>
      </c>
      <c r="L504" t="n">
        <v>0</v>
      </c>
      <c r="M504" t="n">
        <v>0</v>
      </c>
      <c r="N504" t="n">
        <v>0</v>
      </c>
      <c r="O504" t="n">
        <v>0</v>
      </c>
      <c r="P504" t="n">
        <v>0</v>
      </c>
      <c r="Q504" t="n">
        <v>0</v>
      </c>
      <c r="R504" s="2" t="inlineStr"/>
    </row>
    <row r="505" ht="15" customHeight="1">
      <c r="A505" t="inlineStr">
        <is>
          <t>A 46597-2020</t>
        </is>
      </c>
      <c r="B505" s="1" t="n">
        <v>44095</v>
      </c>
      <c r="C505" s="1" t="n">
        <v>45349</v>
      </c>
      <c r="D505" t="inlineStr">
        <is>
          <t>JÄMTLANDS LÄN</t>
        </is>
      </c>
      <c r="E505" t="inlineStr">
        <is>
          <t>KROKOM</t>
        </is>
      </c>
      <c r="G505" t="n">
        <v>1.6</v>
      </c>
      <c r="H505" t="n">
        <v>0</v>
      </c>
      <c r="I505" t="n">
        <v>0</v>
      </c>
      <c r="J505" t="n">
        <v>0</v>
      </c>
      <c r="K505" t="n">
        <v>0</v>
      </c>
      <c r="L505" t="n">
        <v>0</v>
      </c>
      <c r="M505" t="n">
        <v>0</v>
      </c>
      <c r="N505" t="n">
        <v>0</v>
      </c>
      <c r="O505" t="n">
        <v>0</v>
      </c>
      <c r="P505" t="n">
        <v>0</v>
      </c>
      <c r="Q505" t="n">
        <v>0</v>
      </c>
      <c r="R505" s="2" t="inlineStr"/>
    </row>
    <row r="506" ht="15" customHeight="1">
      <c r="A506" t="inlineStr">
        <is>
          <t>A 49037-2020</t>
        </is>
      </c>
      <c r="B506" s="1" t="n">
        <v>44102</v>
      </c>
      <c r="C506" s="1" t="n">
        <v>45349</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48610-2020</t>
        </is>
      </c>
      <c r="B507" s="1" t="n">
        <v>44103</v>
      </c>
      <c r="C507" s="1" t="n">
        <v>45349</v>
      </c>
      <c r="D507" t="inlineStr">
        <is>
          <t>JÄMTLANDS LÄN</t>
        </is>
      </c>
      <c r="E507" t="inlineStr">
        <is>
          <t>KROKOM</t>
        </is>
      </c>
      <c r="G507" t="n">
        <v>1.2</v>
      </c>
      <c r="H507" t="n">
        <v>0</v>
      </c>
      <c r="I507" t="n">
        <v>0</v>
      </c>
      <c r="J507" t="n">
        <v>0</v>
      </c>
      <c r="K507" t="n">
        <v>0</v>
      </c>
      <c r="L507" t="n">
        <v>0</v>
      </c>
      <c r="M507" t="n">
        <v>0</v>
      </c>
      <c r="N507" t="n">
        <v>0</v>
      </c>
      <c r="O507" t="n">
        <v>0</v>
      </c>
      <c r="P507" t="n">
        <v>0</v>
      </c>
      <c r="Q507" t="n">
        <v>0</v>
      </c>
      <c r="R507" s="2" t="inlineStr"/>
    </row>
    <row r="508" ht="15" customHeight="1">
      <c r="A508" t="inlineStr">
        <is>
          <t>A 49697-2020</t>
        </is>
      </c>
      <c r="B508" s="1" t="n">
        <v>44106</v>
      </c>
      <c r="C508" s="1" t="n">
        <v>45349</v>
      </c>
      <c r="D508" t="inlineStr">
        <is>
          <t>JÄMTLANDS LÄN</t>
        </is>
      </c>
      <c r="E508" t="inlineStr">
        <is>
          <t>KROKOM</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51719-2020</t>
        </is>
      </c>
      <c r="B509" s="1" t="n">
        <v>44113</v>
      </c>
      <c r="C509" s="1" t="n">
        <v>45349</v>
      </c>
      <c r="D509" t="inlineStr">
        <is>
          <t>JÄMTLANDS LÄN</t>
        </is>
      </c>
      <c r="E509" t="inlineStr">
        <is>
          <t>KROKOM</t>
        </is>
      </c>
      <c r="F509" t="inlineStr">
        <is>
          <t>SCA</t>
        </is>
      </c>
      <c r="G509" t="n">
        <v>9</v>
      </c>
      <c r="H509" t="n">
        <v>0</v>
      </c>
      <c r="I509" t="n">
        <v>0</v>
      </c>
      <c r="J509" t="n">
        <v>0</v>
      </c>
      <c r="K509" t="n">
        <v>0</v>
      </c>
      <c r="L509" t="n">
        <v>0</v>
      </c>
      <c r="M509" t="n">
        <v>0</v>
      </c>
      <c r="N509" t="n">
        <v>0</v>
      </c>
      <c r="O509" t="n">
        <v>0</v>
      </c>
      <c r="P509" t="n">
        <v>0</v>
      </c>
      <c r="Q509" t="n">
        <v>0</v>
      </c>
      <c r="R509" s="2" t="inlineStr"/>
    </row>
    <row r="510" ht="15" customHeight="1">
      <c r="A510" t="inlineStr">
        <is>
          <t>A 51717-2020</t>
        </is>
      </c>
      <c r="B510" s="1" t="n">
        <v>44113</v>
      </c>
      <c r="C510" s="1" t="n">
        <v>45349</v>
      </c>
      <c r="D510" t="inlineStr">
        <is>
          <t>JÄMTLANDS LÄN</t>
        </is>
      </c>
      <c r="E510" t="inlineStr">
        <is>
          <t>KROKOM</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52487-2020</t>
        </is>
      </c>
      <c r="B511" s="1" t="n">
        <v>44113</v>
      </c>
      <c r="C511" s="1" t="n">
        <v>45349</v>
      </c>
      <c r="D511" t="inlineStr">
        <is>
          <t>JÄMTLANDS LÄN</t>
        </is>
      </c>
      <c r="E511" t="inlineStr">
        <is>
          <t>KROKOM</t>
        </is>
      </c>
      <c r="F511" t="inlineStr">
        <is>
          <t>SCA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52491-2020</t>
        </is>
      </c>
      <c r="B512" s="1" t="n">
        <v>44113</v>
      </c>
      <c r="C512" s="1" t="n">
        <v>45349</v>
      </c>
      <c r="D512" t="inlineStr">
        <is>
          <t>JÄMTLANDS LÄN</t>
        </is>
      </c>
      <c r="E512" t="inlineStr">
        <is>
          <t>KROKOM</t>
        </is>
      </c>
      <c r="G512" t="n">
        <v>2.7</v>
      </c>
      <c r="H512" t="n">
        <v>0</v>
      </c>
      <c r="I512" t="n">
        <v>0</v>
      </c>
      <c r="J512" t="n">
        <v>0</v>
      </c>
      <c r="K512" t="n">
        <v>0</v>
      </c>
      <c r="L512" t="n">
        <v>0</v>
      </c>
      <c r="M512" t="n">
        <v>0</v>
      </c>
      <c r="N512" t="n">
        <v>0</v>
      </c>
      <c r="O512" t="n">
        <v>0</v>
      </c>
      <c r="P512" t="n">
        <v>0</v>
      </c>
      <c r="Q512" t="n">
        <v>0</v>
      </c>
      <c r="R512" s="2" t="inlineStr"/>
    </row>
    <row r="513" ht="15" customHeight="1">
      <c r="A513" t="inlineStr">
        <is>
          <t>A 52626-2020</t>
        </is>
      </c>
      <c r="B513" s="1" t="n">
        <v>44119</v>
      </c>
      <c r="C513" s="1" t="n">
        <v>45349</v>
      </c>
      <c r="D513" t="inlineStr">
        <is>
          <t>JÄMTLANDS LÄN</t>
        </is>
      </c>
      <c r="E513" t="inlineStr">
        <is>
          <t>KROKOM</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53241-2020</t>
        </is>
      </c>
      <c r="B514" s="1" t="n">
        <v>44123</v>
      </c>
      <c r="C514" s="1" t="n">
        <v>45349</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53501-2020</t>
        </is>
      </c>
      <c r="B515" s="1" t="n">
        <v>44123</v>
      </c>
      <c r="C515" s="1" t="n">
        <v>45349</v>
      </c>
      <c r="D515" t="inlineStr">
        <is>
          <t>JÄMTLANDS LÄN</t>
        </is>
      </c>
      <c r="E515" t="inlineStr">
        <is>
          <t>KROKOM</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53499-2020</t>
        </is>
      </c>
      <c r="B516" s="1" t="n">
        <v>44123</v>
      </c>
      <c r="C516" s="1" t="n">
        <v>45349</v>
      </c>
      <c r="D516" t="inlineStr">
        <is>
          <t>JÄMTLANDS LÄN</t>
        </is>
      </c>
      <c r="E516" t="inlineStr">
        <is>
          <t>KROKOM</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53500-2020</t>
        </is>
      </c>
      <c r="B517" s="1" t="n">
        <v>44123</v>
      </c>
      <c r="C517" s="1" t="n">
        <v>45349</v>
      </c>
      <c r="D517" t="inlineStr">
        <is>
          <t>JÄMTLANDS LÄN</t>
        </is>
      </c>
      <c r="E517" t="inlineStr">
        <is>
          <t>KROKOM</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54575-2020</t>
        </is>
      </c>
      <c r="B518" s="1" t="n">
        <v>44126</v>
      </c>
      <c r="C518" s="1" t="n">
        <v>45349</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54582-2020</t>
        </is>
      </c>
      <c r="B519" s="1" t="n">
        <v>44127</v>
      </c>
      <c r="C519" s="1" t="n">
        <v>45349</v>
      </c>
      <c r="D519" t="inlineStr">
        <is>
          <t>JÄMTLANDS LÄN</t>
        </is>
      </c>
      <c r="E519" t="inlineStr">
        <is>
          <t>KROKOM</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56203-2020</t>
        </is>
      </c>
      <c r="B520" s="1" t="n">
        <v>44133</v>
      </c>
      <c r="C520" s="1" t="n">
        <v>45349</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56596-2020</t>
        </is>
      </c>
      <c r="B521" s="1" t="n">
        <v>44133</v>
      </c>
      <c r="C521" s="1" t="n">
        <v>45349</v>
      </c>
      <c r="D521" t="inlineStr">
        <is>
          <t>JÄMTLANDS LÄN</t>
        </is>
      </c>
      <c r="E521" t="inlineStr">
        <is>
          <t>KROKOM</t>
        </is>
      </c>
      <c r="G521" t="n">
        <v>7.2</v>
      </c>
      <c r="H521" t="n">
        <v>0</v>
      </c>
      <c r="I521" t="n">
        <v>0</v>
      </c>
      <c r="J521" t="n">
        <v>0</v>
      </c>
      <c r="K521" t="n">
        <v>0</v>
      </c>
      <c r="L521" t="n">
        <v>0</v>
      </c>
      <c r="M521" t="n">
        <v>0</v>
      </c>
      <c r="N521" t="n">
        <v>0</v>
      </c>
      <c r="O521" t="n">
        <v>0</v>
      </c>
      <c r="P521" t="n">
        <v>0</v>
      </c>
      <c r="Q521" t="n">
        <v>0</v>
      </c>
      <c r="R521" s="2" t="inlineStr"/>
    </row>
    <row r="522" ht="15" customHeight="1">
      <c r="A522" t="inlineStr">
        <is>
          <t>A 56168-2020</t>
        </is>
      </c>
      <c r="B522" s="1" t="n">
        <v>44133</v>
      </c>
      <c r="C522" s="1" t="n">
        <v>45349</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57375-2020</t>
        </is>
      </c>
      <c r="B523" s="1" t="n">
        <v>44139</v>
      </c>
      <c r="C523" s="1" t="n">
        <v>45349</v>
      </c>
      <c r="D523" t="inlineStr">
        <is>
          <t>JÄMTLANDS LÄN</t>
        </is>
      </c>
      <c r="E523" t="inlineStr">
        <is>
          <t>KROKOM</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57726-2020</t>
        </is>
      </c>
      <c r="B524" s="1" t="n">
        <v>44140</v>
      </c>
      <c r="C524" s="1" t="n">
        <v>45349</v>
      </c>
      <c r="D524" t="inlineStr">
        <is>
          <t>JÄMTLANDS LÄN</t>
        </is>
      </c>
      <c r="E524" t="inlineStr">
        <is>
          <t>KROKOM</t>
        </is>
      </c>
      <c r="G524" t="n">
        <v>3.8</v>
      </c>
      <c r="H524" t="n">
        <v>0</v>
      </c>
      <c r="I524" t="n">
        <v>0</v>
      </c>
      <c r="J524" t="n">
        <v>0</v>
      </c>
      <c r="K524" t="n">
        <v>0</v>
      </c>
      <c r="L524" t="n">
        <v>0</v>
      </c>
      <c r="M524" t="n">
        <v>0</v>
      </c>
      <c r="N524" t="n">
        <v>0</v>
      </c>
      <c r="O524" t="n">
        <v>0</v>
      </c>
      <c r="P524" t="n">
        <v>0</v>
      </c>
      <c r="Q524" t="n">
        <v>0</v>
      </c>
      <c r="R524" s="2" t="inlineStr"/>
    </row>
    <row r="525" ht="15" customHeight="1">
      <c r="A525" t="inlineStr">
        <is>
          <t>A 57728-2020</t>
        </is>
      </c>
      <c r="B525" s="1" t="n">
        <v>44140</v>
      </c>
      <c r="C525" s="1" t="n">
        <v>45349</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58378-2020</t>
        </is>
      </c>
      <c r="B526" s="1" t="n">
        <v>44141</v>
      </c>
      <c r="C526" s="1" t="n">
        <v>45349</v>
      </c>
      <c r="D526" t="inlineStr">
        <is>
          <t>JÄMTLANDS LÄN</t>
        </is>
      </c>
      <c r="E526" t="inlineStr">
        <is>
          <t>KROKOM</t>
        </is>
      </c>
      <c r="G526" t="n">
        <v>14.4</v>
      </c>
      <c r="H526" t="n">
        <v>0</v>
      </c>
      <c r="I526" t="n">
        <v>0</v>
      </c>
      <c r="J526" t="n">
        <v>0</v>
      </c>
      <c r="K526" t="n">
        <v>0</v>
      </c>
      <c r="L526" t="n">
        <v>0</v>
      </c>
      <c r="M526" t="n">
        <v>0</v>
      </c>
      <c r="N526" t="n">
        <v>0</v>
      </c>
      <c r="O526" t="n">
        <v>0</v>
      </c>
      <c r="P526" t="n">
        <v>0</v>
      </c>
      <c r="Q526" t="n">
        <v>0</v>
      </c>
      <c r="R526" s="2" t="inlineStr"/>
    </row>
    <row r="527" ht="15" customHeight="1">
      <c r="A527" t="inlineStr">
        <is>
          <t>A 58569-2020</t>
        </is>
      </c>
      <c r="B527" s="1" t="n">
        <v>44141</v>
      </c>
      <c r="C527" s="1" t="n">
        <v>45349</v>
      </c>
      <c r="D527" t="inlineStr">
        <is>
          <t>JÄMTLANDS LÄN</t>
        </is>
      </c>
      <c r="E527" t="inlineStr">
        <is>
          <t>KROKOM</t>
        </is>
      </c>
      <c r="G527" t="n">
        <v>52.8</v>
      </c>
      <c r="H527" t="n">
        <v>0</v>
      </c>
      <c r="I527" t="n">
        <v>0</v>
      </c>
      <c r="J527" t="n">
        <v>0</v>
      </c>
      <c r="K527" t="n">
        <v>0</v>
      </c>
      <c r="L527" t="n">
        <v>0</v>
      </c>
      <c r="M527" t="n">
        <v>0</v>
      </c>
      <c r="N527" t="n">
        <v>0</v>
      </c>
      <c r="O527" t="n">
        <v>0</v>
      </c>
      <c r="P527" t="n">
        <v>0</v>
      </c>
      <c r="Q527" t="n">
        <v>0</v>
      </c>
      <c r="R527" s="2" t="inlineStr"/>
    </row>
    <row r="528" ht="15" customHeight="1">
      <c r="A528" t="inlineStr">
        <is>
          <t>A 58868-2020</t>
        </is>
      </c>
      <c r="B528" s="1" t="n">
        <v>44146</v>
      </c>
      <c r="C528" s="1" t="n">
        <v>45349</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59778-2020</t>
        </is>
      </c>
      <c r="B529" s="1" t="n">
        <v>44148</v>
      </c>
      <c r="C529" s="1" t="n">
        <v>45349</v>
      </c>
      <c r="D529" t="inlineStr">
        <is>
          <t>JÄMTLANDS LÄN</t>
        </is>
      </c>
      <c r="E529" t="inlineStr">
        <is>
          <t>KROKOM</t>
        </is>
      </c>
      <c r="G529" t="n">
        <v>39.3</v>
      </c>
      <c r="H529" t="n">
        <v>0</v>
      </c>
      <c r="I529" t="n">
        <v>0</v>
      </c>
      <c r="J529" t="n">
        <v>0</v>
      </c>
      <c r="K529" t="n">
        <v>0</v>
      </c>
      <c r="L529" t="n">
        <v>0</v>
      </c>
      <c r="M529" t="n">
        <v>0</v>
      </c>
      <c r="N529" t="n">
        <v>0</v>
      </c>
      <c r="O529" t="n">
        <v>0</v>
      </c>
      <c r="P529" t="n">
        <v>0</v>
      </c>
      <c r="Q529" t="n">
        <v>0</v>
      </c>
      <c r="R529" s="2" t="inlineStr"/>
    </row>
    <row r="530" ht="15" customHeight="1">
      <c r="A530" t="inlineStr">
        <is>
          <t>A 59718-2020</t>
        </is>
      </c>
      <c r="B530" s="1" t="n">
        <v>44151</v>
      </c>
      <c r="C530" s="1" t="n">
        <v>45349</v>
      </c>
      <c r="D530" t="inlineStr">
        <is>
          <t>JÄMTLANDS LÄN</t>
        </is>
      </c>
      <c r="E530" t="inlineStr">
        <is>
          <t>KROKOM</t>
        </is>
      </c>
      <c r="G530" t="n">
        <v>3.7</v>
      </c>
      <c r="H530" t="n">
        <v>0</v>
      </c>
      <c r="I530" t="n">
        <v>0</v>
      </c>
      <c r="J530" t="n">
        <v>0</v>
      </c>
      <c r="K530" t="n">
        <v>0</v>
      </c>
      <c r="L530" t="n">
        <v>0</v>
      </c>
      <c r="M530" t="n">
        <v>0</v>
      </c>
      <c r="N530" t="n">
        <v>0</v>
      </c>
      <c r="O530" t="n">
        <v>0</v>
      </c>
      <c r="P530" t="n">
        <v>0</v>
      </c>
      <c r="Q530" t="n">
        <v>0</v>
      </c>
      <c r="R530" s="2" t="inlineStr"/>
    </row>
    <row r="531" ht="15" customHeight="1">
      <c r="A531" t="inlineStr">
        <is>
          <t>A 59706-2020</t>
        </is>
      </c>
      <c r="B531" s="1" t="n">
        <v>44151</v>
      </c>
      <c r="C531" s="1" t="n">
        <v>45349</v>
      </c>
      <c r="D531" t="inlineStr">
        <is>
          <t>JÄMTLANDS LÄN</t>
        </is>
      </c>
      <c r="E531" t="inlineStr">
        <is>
          <t>KROKOM</t>
        </is>
      </c>
      <c r="G531" t="n">
        <v>75</v>
      </c>
      <c r="H531" t="n">
        <v>0</v>
      </c>
      <c r="I531" t="n">
        <v>0</v>
      </c>
      <c r="J531" t="n">
        <v>0</v>
      </c>
      <c r="K531" t="n">
        <v>0</v>
      </c>
      <c r="L531" t="n">
        <v>0</v>
      </c>
      <c r="M531" t="n">
        <v>0</v>
      </c>
      <c r="N531" t="n">
        <v>0</v>
      </c>
      <c r="O531" t="n">
        <v>0</v>
      </c>
      <c r="P531" t="n">
        <v>0</v>
      </c>
      <c r="Q531" t="n">
        <v>0</v>
      </c>
      <c r="R531" s="2" t="inlineStr"/>
    </row>
    <row r="532" ht="15" customHeight="1">
      <c r="A532" t="inlineStr">
        <is>
          <t>A 61091-2020</t>
        </is>
      </c>
      <c r="B532" s="1" t="n">
        <v>44153</v>
      </c>
      <c r="C532" s="1" t="n">
        <v>45349</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61609-2020</t>
        </is>
      </c>
      <c r="B533" s="1" t="n">
        <v>44154</v>
      </c>
      <c r="C533" s="1" t="n">
        <v>45349</v>
      </c>
      <c r="D533" t="inlineStr">
        <is>
          <t>JÄMTLANDS LÄN</t>
        </is>
      </c>
      <c r="E533" t="inlineStr">
        <is>
          <t>KROKOM</t>
        </is>
      </c>
      <c r="G533" t="n">
        <v>6.4</v>
      </c>
      <c r="H533" t="n">
        <v>0</v>
      </c>
      <c r="I533" t="n">
        <v>0</v>
      </c>
      <c r="J533" t="n">
        <v>0</v>
      </c>
      <c r="K533" t="n">
        <v>0</v>
      </c>
      <c r="L533" t="n">
        <v>0</v>
      </c>
      <c r="M533" t="n">
        <v>0</v>
      </c>
      <c r="N533" t="n">
        <v>0</v>
      </c>
      <c r="O533" t="n">
        <v>0</v>
      </c>
      <c r="P533" t="n">
        <v>0</v>
      </c>
      <c r="Q533" t="n">
        <v>0</v>
      </c>
      <c r="R533" s="2" t="inlineStr"/>
    </row>
    <row r="534" ht="15" customHeight="1">
      <c r="A534" t="inlineStr">
        <is>
          <t>A 60928-2020</t>
        </is>
      </c>
      <c r="B534" s="1" t="n">
        <v>44154</v>
      </c>
      <c r="C534" s="1" t="n">
        <v>45349</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62406-2020</t>
        </is>
      </c>
      <c r="B535" s="1" t="n">
        <v>44159</v>
      </c>
      <c r="C535" s="1" t="n">
        <v>45349</v>
      </c>
      <c r="D535" t="inlineStr">
        <is>
          <t>JÄMTLANDS LÄN</t>
        </is>
      </c>
      <c r="E535" t="inlineStr">
        <is>
          <t>KROKOM</t>
        </is>
      </c>
      <c r="G535" t="n">
        <v>4</v>
      </c>
      <c r="H535" t="n">
        <v>0</v>
      </c>
      <c r="I535" t="n">
        <v>0</v>
      </c>
      <c r="J535" t="n">
        <v>0</v>
      </c>
      <c r="K535" t="n">
        <v>0</v>
      </c>
      <c r="L535" t="n">
        <v>0</v>
      </c>
      <c r="M535" t="n">
        <v>0</v>
      </c>
      <c r="N535" t="n">
        <v>0</v>
      </c>
      <c r="O535" t="n">
        <v>0</v>
      </c>
      <c r="P535" t="n">
        <v>0</v>
      </c>
      <c r="Q535" t="n">
        <v>0</v>
      </c>
      <c r="R535" s="2" t="inlineStr"/>
    </row>
    <row r="536" ht="15" customHeight="1">
      <c r="A536" t="inlineStr">
        <is>
          <t>A 63821-2020</t>
        </is>
      </c>
      <c r="B536" s="1" t="n">
        <v>44161</v>
      </c>
      <c r="C536" s="1" t="n">
        <v>45349</v>
      </c>
      <c r="D536" t="inlineStr">
        <is>
          <t>JÄMTLANDS LÄN</t>
        </is>
      </c>
      <c r="E536" t="inlineStr">
        <is>
          <t>KROKOM</t>
        </is>
      </c>
      <c r="G536" t="n">
        <v>6.8</v>
      </c>
      <c r="H536" t="n">
        <v>0</v>
      </c>
      <c r="I536" t="n">
        <v>0</v>
      </c>
      <c r="J536" t="n">
        <v>0</v>
      </c>
      <c r="K536" t="n">
        <v>0</v>
      </c>
      <c r="L536" t="n">
        <v>0</v>
      </c>
      <c r="M536" t="n">
        <v>0</v>
      </c>
      <c r="N536" t="n">
        <v>0</v>
      </c>
      <c r="O536" t="n">
        <v>0</v>
      </c>
      <c r="P536" t="n">
        <v>0</v>
      </c>
      <c r="Q536" t="n">
        <v>0</v>
      </c>
      <c r="R536" s="2" t="inlineStr"/>
    </row>
    <row r="537" ht="15" customHeight="1">
      <c r="A537" t="inlineStr">
        <is>
          <t>A 63701-2020</t>
        </is>
      </c>
      <c r="B537" s="1" t="n">
        <v>44162</v>
      </c>
      <c r="C537" s="1" t="n">
        <v>45349</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63787-2020</t>
        </is>
      </c>
      <c r="B538" s="1" t="n">
        <v>44162</v>
      </c>
      <c r="C538" s="1" t="n">
        <v>45349</v>
      </c>
      <c r="D538" t="inlineStr">
        <is>
          <t>JÄMTLANDS LÄN</t>
        </is>
      </c>
      <c r="E538" t="inlineStr">
        <is>
          <t>KROKOM</t>
        </is>
      </c>
      <c r="G538" t="n">
        <v>60.3</v>
      </c>
      <c r="H538" t="n">
        <v>0</v>
      </c>
      <c r="I538" t="n">
        <v>0</v>
      </c>
      <c r="J538" t="n">
        <v>0</v>
      </c>
      <c r="K538" t="n">
        <v>0</v>
      </c>
      <c r="L538" t="n">
        <v>0</v>
      </c>
      <c r="M538" t="n">
        <v>0</v>
      </c>
      <c r="N538" t="n">
        <v>0</v>
      </c>
      <c r="O538" t="n">
        <v>0</v>
      </c>
      <c r="P538" t="n">
        <v>0</v>
      </c>
      <c r="Q538" t="n">
        <v>0</v>
      </c>
      <c r="R538" s="2" t="inlineStr"/>
    </row>
    <row r="539" ht="15" customHeight="1">
      <c r="A539" t="inlineStr">
        <is>
          <t>A 64777-2020</t>
        </is>
      </c>
      <c r="B539" s="1" t="n">
        <v>44167</v>
      </c>
      <c r="C539" s="1" t="n">
        <v>45349</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65433-2020</t>
        </is>
      </c>
      <c r="B540" s="1" t="n">
        <v>44169</v>
      </c>
      <c r="C540" s="1" t="n">
        <v>45349</v>
      </c>
      <c r="D540" t="inlineStr">
        <is>
          <t>JÄMTLANDS LÄN</t>
        </is>
      </c>
      <c r="E540" t="inlineStr">
        <is>
          <t>KROKOM</t>
        </is>
      </c>
      <c r="G540" t="n">
        <v>0.3</v>
      </c>
      <c r="H540" t="n">
        <v>0</v>
      </c>
      <c r="I540" t="n">
        <v>0</v>
      </c>
      <c r="J540" t="n">
        <v>0</v>
      </c>
      <c r="K540" t="n">
        <v>0</v>
      </c>
      <c r="L540" t="n">
        <v>0</v>
      </c>
      <c r="M540" t="n">
        <v>0</v>
      </c>
      <c r="N540" t="n">
        <v>0</v>
      </c>
      <c r="O540" t="n">
        <v>0</v>
      </c>
      <c r="P540" t="n">
        <v>0</v>
      </c>
      <c r="Q540" t="n">
        <v>0</v>
      </c>
      <c r="R540" s="2" t="inlineStr"/>
    </row>
    <row r="541" ht="15" customHeight="1">
      <c r="A541" t="inlineStr">
        <is>
          <t>A 65451-2020</t>
        </is>
      </c>
      <c r="B541" s="1" t="n">
        <v>44169</v>
      </c>
      <c r="C541" s="1" t="n">
        <v>45349</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65787-2020</t>
        </is>
      </c>
      <c r="B542" s="1" t="n">
        <v>44172</v>
      </c>
      <c r="C542" s="1" t="n">
        <v>45349</v>
      </c>
      <c r="D542" t="inlineStr">
        <is>
          <t>JÄMTLANDS LÄN</t>
        </is>
      </c>
      <c r="E542" t="inlineStr">
        <is>
          <t>KROKOM</t>
        </is>
      </c>
      <c r="G542" t="n">
        <v>5.8</v>
      </c>
      <c r="H542" t="n">
        <v>0</v>
      </c>
      <c r="I542" t="n">
        <v>0</v>
      </c>
      <c r="J542" t="n">
        <v>0</v>
      </c>
      <c r="K542" t="n">
        <v>0</v>
      </c>
      <c r="L542" t="n">
        <v>0</v>
      </c>
      <c r="M542" t="n">
        <v>0</v>
      </c>
      <c r="N542" t="n">
        <v>0</v>
      </c>
      <c r="O542" t="n">
        <v>0</v>
      </c>
      <c r="P542" t="n">
        <v>0</v>
      </c>
      <c r="Q542" t="n">
        <v>0</v>
      </c>
      <c r="R542" s="2" t="inlineStr"/>
    </row>
    <row r="543" ht="15" customHeight="1">
      <c r="A543" t="inlineStr">
        <is>
          <t>A 65783-2020</t>
        </is>
      </c>
      <c r="B543" s="1" t="n">
        <v>44172</v>
      </c>
      <c r="C543" s="1" t="n">
        <v>45349</v>
      </c>
      <c r="D543" t="inlineStr">
        <is>
          <t>JÄMTLANDS LÄN</t>
        </is>
      </c>
      <c r="E543" t="inlineStr">
        <is>
          <t>KROKOM</t>
        </is>
      </c>
      <c r="G543" t="n">
        <v>3.8</v>
      </c>
      <c r="H543" t="n">
        <v>0</v>
      </c>
      <c r="I543" t="n">
        <v>0</v>
      </c>
      <c r="J543" t="n">
        <v>0</v>
      </c>
      <c r="K543" t="n">
        <v>0</v>
      </c>
      <c r="L543" t="n">
        <v>0</v>
      </c>
      <c r="M543" t="n">
        <v>0</v>
      </c>
      <c r="N543" t="n">
        <v>0</v>
      </c>
      <c r="O543" t="n">
        <v>0</v>
      </c>
      <c r="P543" t="n">
        <v>0</v>
      </c>
      <c r="Q543" t="n">
        <v>0</v>
      </c>
      <c r="R543" s="2" t="inlineStr"/>
    </row>
    <row r="544" ht="15" customHeight="1">
      <c r="A544" t="inlineStr">
        <is>
          <t>A 65316-2020</t>
        </is>
      </c>
      <c r="B544" s="1" t="n">
        <v>44173</v>
      </c>
      <c r="C544" s="1" t="n">
        <v>45349</v>
      </c>
      <c r="D544" t="inlineStr">
        <is>
          <t>JÄMTLANDS LÄN</t>
        </is>
      </c>
      <c r="E544" t="inlineStr">
        <is>
          <t>KROKOM</t>
        </is>
      </c>
      <c r="F544" t="inlineStr">
        <is>
          <t>Övriga Aktiebolag</t>
        </is>
      </c>
      <c r="G544" t="n">
        <v>12.5</v>
      </c>
      <c r="H544" t="n">
        <v>0</v>
      </c>
      <c r="I544" t="n">
        <v>0</v>
      </c>
      <c r="J544" t="n">
        <v>0</v>
      </c>
      <c r="K544" t="n">
        <v>0</v>
      </c>
      <c r="L544" t="n">
        <v>0</v>
      </c>
      <c r="M544" t="n">
        <v>0</v>
      </c>
      <c r="N544" t="n">
        <v>0</v>
      </c>
      <c r="O544" t="n">
        <v>0</v>
      </c>
      <c r="P544" t="n">
        <v>0</v>
      </c>
      <c r="Q544" t="n">
        <v>0</v>
      </c>
      <c r="R544" s="2" t="inlineStr"/>
    </row>
    <row r="545" ht="15" customHeight="1">
      <c r="A545" t="inlineStr">
        <is>
          <t>A 66784-2020</t>
        </is>
      </c>
      <c r="B545" s="1" t="n">
        <v>44175</v>
      </c>
      <c r="C545" s="1" t="n">
        <v>45349</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66774-2020</t>
        </is>
      </c>
      <c r="B546" s="1" t="n">
        <v>44175</v>
      </c>
      <c r="C546" s="1" t="n">
        <v>45349</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67730-2020</t>
        </is>
      </c>
      <c r="B547" s="1" t="n">
        <v>44179</v>
      </c>
      <c r="C547" s="1" t="n">
        <v>45349</v>
      </c>
      <c r="D547" t="inlineStr">
        <is>
          <t>JÄMTLANDS LÄN</t>
        </is>
      </c>
      <c r="E547" t="inlineStr">
        <is>
          <t>KROKOM</t>
        </is>
      </c>
      <c r="G547" t="n">
        <v>7.5</v>
      </c>
      <c r="H547" t="n">
        <v>0</v>
      </c>
      <c r="I547" t="n">
        <v>0</v>
      </c>
      <c r="J547" t="n">
        <v>0</v>
      </c>
      <c r="K547" t="n">
        <v>0</v>
      </c>
      <c r="L547" t="n">
        <v>0</v>
      </c>
      <c r="M547" t="n">
        <v>0</v>
      </c>
      <c r="N547" t="n">
        <v>0</v>
      </c>
      <c r="O547" t="n">
        <v>0</v>
      </c>
      <c r="P547" t="n">
        <v>0</v>
      </c>
      <c r="Q547" t="n">
        <v>0</v>
      </c>
      <c r="R547" s="2" t="inlineStr"/>
    </row>
    <row r="548" ht="15" customHeight="1">
      <c r="A548" t="inlineStr">
        <is>
          <t>A 68060-2020</t>
        </is>
      </c>
      <c r="B548" s="1" t="n">
        <v>44183</v>
      </c>
      <c r="C548" s="1" t="n">
        <v>45349</v>
      </c>
      <c r="D548" t="inlineStr">
        <is>
          <t>JÄMTLANDS LÄN</t>
        </is>
      </c>
      <c r="E548" t="inlineStr">
        <is>
          <t>KROKOM</t>
        </is>
      </c>
      <c r="G548" t="n">
        <v>2.2</v>
      </c>
      <c r="H548" t="n">
        <v>0</v>
      </c>
      <c r="I548" t="n">
        <v>0</v>
      </c>
      <c r="J548" t="n">
        <v>0</v>
      </c>
      <c r="K548" t="n">
        <v>0</v>
      </c>
      <c r="L548" t="n">
        <v>0</v>
      </c>
      <c r="M548" t="n">
        <v>0</v>
      </c>
      <c r="N548" t="n">
        <v>0</v>
      </c>
      <c r="O548" t="n">
        <v>0</v>
      </c>
      <c r="P548" t="n">
        <v>0</v>
      </c>
      <c r="Q548" t="n">
        <v>0</v>
      </c>
      <c r="R548" s="2" t="inlineStr"/>
    </row>
    <row r="549" ht="15" customHeight="1">
      <c r="A549" t="inlineStr">
        <is>
          <t>A 68387-2020</t>
        </is>
      </c>
      <c r="B549" s="1" t="n">
        <v>44183</v>
      </c>
      <c r="C549" s="1" t="n">
        <v>45349</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68393-2020</t>
        </is>
      </c>
      <c r="B550" s="1" t="n">
        <v>44183</v>
      </c>
      <c r="C550" s="1" t="n">
        <v>45349</v>
      </c>
      <c r="D550" t="inlineStr">
        <is>
          <t>JÄMTLANDS LÄN</t>
        </is>
      </c>
      <c r="E550" t="inlineStr">
        <is>
          <t>KROKOM</t>
        </is>
      </c>
      <c r="G550" t="n">
        <v>0.4</v>
      </c>
      <c r="H550" t="n">
        <v>0</v>
      </c>
      <c r="I550" t="n">
        <v>0</v>
      </c>
      <c r="J550" t="n">
        <v>0</v>
      </c>
      <c r="K550" t="n">
        <v>0</v>
      </c>
      <c r="L550" t="n">
        <v>0</v>
      </c>
      <c r="M550" t="n">
        <v>0</v>
      </c>
      <c r="N550" t="n">
        <v>0</v>
      </c>
      <c r="O550" t="n">
        <v>0</v>
      </c>
      <c r="P550" t="n">
        <v>0</v>
      </c>
      <c r="Q550" t="n">
        <v>0</v>
      </c>
      <c r="R550" s="2" t="inlineStr"/>
    </row>
    <row r="551" ht="15" customHeight="1">
      <c r="A551" t="inlineStr">
        <is>
          <t>A 68433-2020</t>
        </is>
      </c>
      <c r="B551" s="1" t="n">
        <v>44183</v>
      </c>
      <c r="C551" s="1" t="n">
        <v>45349</v>
      </c>
      <c r="D551" t="inlineStr">
        <is>
          <t>JÄMTLANDS LÄN</t>
        </is>
      </c>
      <c r="E551" t="inlineStr">
        <is>
          <t>KROKOM</t>
        </is>
      </c>
      <c r="G551" t="n">
        <v>7.4</v>
      </c>
      <c r="H551" t="n">
        <v>0</v>
      </c>
      <c r="I551" t="n">
        <v>0</v>
      </c>
      <c r="J551" t="n">
        <v>0</v>
      </c>
      <c r="K551" t="n">
        <v>0</v>
      </c>
      <c r="L551" t="n">
        <v>0</v>
      </c>
      <c r="M551" t="n">
        <v>0</v>
      </c>
      <c r="N551" t="n">
        <v>0</v>
      </c>
      <c r="O551" t="n">
        <v>0</v>
      </c>
      <c r="P551" t="n">
        <v>0</v>
      </c>
      <c r="Q551" t="n">
        <v>0</v>
      </c>
      <c r="R551" s="2" t="inlineStr"/>
    </row>
    <row r="552" ht="15" customHeight="1">
      <c r="A552" t="inlineStr">
        <is>
          <t>A 68395-2020</t>
        </is>
      </c>
      <c r="B552" s="1" t="n">
        <v>44183</v>
      </c>
      <c r="C552" s="1" t="n">
        <v>45349</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68658-2020</t>
        </is>
      </c>
      <c r="B553" s="1" t="n">
        <v>44186</v>
      </c>
      <c r="C553" s="1" t="n">
        <v>45349</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68764-2020</t>
        </is>
      </c>
      <c r="B554" s="1" t="n">
        <v>44186</v>
      </c>
      <c r="C554" s="1" t="n">
        <v>45349</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69120-2020</t>
        </is>
      </c>
      <c r="B555" s="1" t="n">
        <v>44188</v>
      </c>
      <c r="C555" s="1" t="n">
        <v>45349</v>
      </c>
      <c r="D555" t="inlineStr">
        <is>
          <t>JÄMTLANDS LÄN</t>
        </is>
      </c>
      <c r="E555" t="inlineStr">
        <is>
          <t>KROKOM</t>
        </is>
      </c>
      <c r="G555" t="n">
        <v>4.1</v>
      </c>
      <c r="H555" t="n">
        <v>0</v>
      </c>
      <c r="I555" t="n">
        <v>0</v>
      </c>
      <c r="J555" t="n">
        <v>0</v>
      </c>
      <c r="K555" t="n">
        <v>0</v>
      </c>
      <c r="L555" t="n">
        <v>0</v>
      </c>
      <c r="M555" t="n">
        <v>0</v>
      </c>
      <c r="N555" t="n">
        <v>0</v>
      </c>
      <c r="O555" t="n">
        <v>0</v>
      </c>
      <c r="P555" t="n">
        <v>0</v>
      </c>
      <c r="Q555" t="n">
        <v>0</v>
      </c>
      <c r="R555" s="2" t="inlineStr"/>
    </row>
    <row r="556" ht="15" customHeight="1">
      <c r="A556" t="inlineStr">
        <is>
          <t>A 327-2021</t>
        </is>
      </c>
      <c r="B556" s="1" t="n">
        <v>44200</v>
      </c>
      <c r="C556" s="1" t="n">
        <v>45349</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688-2021</t>
        </is>
      </c>
      <c r="B557" s="1" t="n">
        <v>44203</v>
      </c>
      <c r="C557" s="1" t="n">
        <v>45349</v>
      </c>
      <c r="D557" t="inlineStr">
        <is>
          <t>JÄMTLANDS LÄN</t>
        </is>
      </c>
      <c r="E557" t="inlineStr">
        <is>
          <t>KROKOM</t>
        </is>
      </c>
      <c r="G557" t="n">
        <v>7.8</v>
      </c>
      <c r="H557" t="n">
        <v>0</v>
      </c>
      <c r="I557" t="n">
        <v>0</v>
      </c>
      <c r="J557" t="n">
        <v>0</v>
      </c>
      <c r="K557" t="n">
        <v>0</v>
      </c>
      <c r="L557" t="n">
        <v>0</v>
      </c>
      <c r="M557" t="n">
        <v>0</v>
      </c>
      <c r="N557" t="n">
        <v>0</v>
      </c>
      <c r="O557" t="n">
        <v>0</v>
      </c>
      <c r="P557" t="n">
        <v>0</v>
      </c>
      <c r="Q557" t="n">
        <v>0</v>
      </c>
      <c r="R557" s="2" t="inlineStr"/>
    </row>
    <row r="558" ht="15" customHeight="1">
      <c r="A558" t="inlineStr">
        <is>
          <t>A 884-2021</t>
        </is>
      </c>
      <c r="B558" s="1" t="n">
        <v>44206</v>
      </c>
      <c r="C558" s="1" t="n">
        <v>45349</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913-2021</t>
        </is>
      </c>
      <c r="B559" s="1" t="n">
        <v>44207</v>
      </c>
      <c r="C559" s="1" t="n">
        <v>45349</v>
      </c>
      <c r="D559" t="inlineStr">
        <is>
          <t>JÄMTLANDS LÄN</t>
        </is>
      </c>
      <c r="E559" t="inlineStr">
        <is>
          <t>KROKOM</t>
        </is>
      </c>
      <c r="F559" t="inlineStr">
        <is>
          <t>Övriga Aktiebolag</t>
        </is>
      </c>
      <c r="G559" t="n">
        <v>50.8</v>
      </c>
      <c r="H559" t="n">
        <v>0</v>
      </c>
      <c r="I559" t="n">
        <v>0</v>
      </c>
      <c r="J559" t="n">
        <v>0</v>
      </c>
      <c r="K559" t="n">
        <v>0</v>
      </c>
      <c r="L559" t="n">
        <v>0</v>
      </c>
      <c r="M559" t="n">
        <v>0</v>
      </c>
      <c r="N559" t="n">
        <v>0</v>
      </c>
      <c r="O559" t="n">
        <v>0</v>
      </c>
      <c r="P559" t="n">
        <v>0</v>
      </c>
      <c r="Q559" t="n">
        <v>0</v>
      </c>
      <c r="R559" s="2" t="inlineStr"/>
    </row>
    <row r="560" ht="15" customHeight="1">
      <c r="A560" t="inlineStr">
        <is>
          <t>A 981-2021</t>
        </is>
      </c>
      <c r="B560" s="1" t="n">
        <v>44207</v>
      </c>
      <c r="C560" s="1" t="n">
        <v>45349</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915-2021</t>
        </is>
      </c>
      <c r="B561" s="1" t="n">
        <v>44207</v>
      </c>
      <c r="C561" s="1" t="n">
        <v>45349</v>
      </c>
      <c r="D561" t="inlineStr">
        <is>
          <t>JÄMTLANDS LÄN</t>
        </is>
      </c>
      <c r="E561" t="inlineStr">
        <is>
          <t>KROKOM</t>
        </is>
      </c>
      <c r="F561" t="inlineStr">
        <is>
          <t>Övriga Aktiebolag</t>
        </is>
      </c>
      <c r="G561" t="n">
        <v>107.9</v>
      </c>
      <c r="H561" t="n">
        <v>0</v>
      </c>
      <c r="I561" t="n">
        <v>0</v>
      </c>
      <c r="J561" t="n">
        <v>0</v>
      </c>
      <c r="K561" t="n">
        <v>0</v>
      </c>
      <c r="L561" t="n">
        <v>0</v>
      </c>
      <c r="M561" t="n">
        <v>0</v>
      </c>
      <c r="N561" t="n">
        <v>0</v>
      </c>
      <c r="O561" t="n">
        <v>0</v>
      </c>
      <c r="P561" t="n">
        <v>0</v>
      </c>
      <c r="Q561" t="n">
        <v>0</v>
      </c>
      <c r="R561" s="2" t="inlineStr"/>
    </row>
    <row r="562" ht="15" customHeight="1">
      <c r="A562" t="inlineStr">
        <is>
          <t>A 1287-2021</t>
        </is>
      </c>
      <c r="B562" s="1" t="n">
        <v>44207</v>
      </c>
      <c r="C562" s="1" t="n">
        <v>45349</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1696-2021</t>
        </is>
      </c>
      <c r="B563" s="1" t="n">
        <v>44209</v>
      </c>
      <c r="C563" s="1" t="n">
        <v>45349</v>
      </c>
      <c r="D563" t="inlineStr">
        <is>
          <t>JÄMTLANDS LÄN</t>
        </is>
      </c>
      <c r="E563" t="inlineStr">
        <is>
          <t>KROKOM</t>
        </is>
      </c>
      <c r="G563" t="n">
        <v>3.1</v>
      </c>
      <c r="H563" t="n">
        <v>0</v>
      </c>
      <c r="I563" t="n">
        <v>0</v>
      </c>
      <c r="J563" t="n">
        <v>0</v>
      </c>
      <c r="K563" t="n">
        <v>0</v>
      </c>
      <c r="L563" t="n">
        <v>0</v>
      </c>
      <c r="M563" t="n">
        <v>0</v>
      </c>
      <c r="N563" t="n">
        <v>0</v>
      </c>
      <c r="O563" t="n">
        <v>0</v>
      </c>
      <c r="P563" t="n">
        <v>0</v>
      </c>
      <c r="Q563" t="n">
        <v>0</v>
      </c>
      <c r="R563" s="2" t="inlineStr"/>
    </row>
    <row r="564" ht="15" customHeight="1">
      <c r="A564" t="inlineStr">
        <is>
          <t>A 1718-2021</t>
        </is>
      </c>
      <c r="B564" s="1" t="n">
        <v>44209</v>
      </c>
      <c r="C564" s="1" t="n">
        <v>45349</v>
      </c>
      <c r="D564" t="inlineStr">
        <is>
          <t>JÄMTLANDS LÄN</t>
        </is>
      </c>
      <c r="E564" t="inlineStr">
        <is>
          <t>KROKOM</t>
        </is>
      </c>
      <c r="G564" t="n">
        <v>8</v>
      </c>
      <c r="H564" t="n">
        <v>0</v>
      </c>
      <c r="I564" t="n">
        <v>0</v>
      </c>
      <c r="J564" t="n">
        <v>0</v>
      </c>
      <c r="K564" t="n">
        <v>0</v>
      </c>
      <c r="L564" t="n">
        <v>0</v>
      </c>
      <c r="M564" t="n">
        <v>0</v>
      </c>
      <c r="N564" t="n">
        <v>0</v>
      </c>
      <c r="O564" t="n">
        <v>0</v>
      </c>
      <c r="P564" t="n">
        <v>0</v>
      </c>
      <c r="Q564" t="n">
        <v>0</v>
      </c>
      <c r="R564" s="2" t="inlineStr"/>
    </row>
    <row r="565" ht="15" customHeight="1">
      <c r="A565" t="inlineStr">
        <is>
          <t>A 1753-2021</t>
        </is>
      </c>
      <c r="B565" s="1" t="n">
        <v>44209</v>
      </c>
      <c r="C565" s="1" t="n">
        <v>45349</v>
      </c>
      <c r="D565" t="inlineStr">
        <is>
          <t>JÄMTLANDS LÄN</t>
        </is>
      </c>
      <c r="E565" t="inlineStr">
        <is>
          <t>KROKOM</t>
        </is>
      </c>
      <c r="G565" t="n">
        <v>17.2</v>
      </c>
      <c r="H565" t="n">
        <v>0</v>
      </c>
      <c r="I565" t="n">
        <v>0</v>
      </c>
      <c r="J565" t="n">
        <v>0</v>
      </c>
      <c r="K565" t="n">
        <v>0</v>
      </c>
      <c r="L565" t="n">
        <v>0</v>
      </c>
      <c r="M565" t="n">
        <v>0</v>
      </c>
      <c r="N565" t="n">
        <v>0</v>
      </c>
      <c r="O565" t="n">
        <v>0</v>
      </c>
      <c r="P565" t="n">
        <v>0</v>
      </c>
      <c r="Q565" t="n">
        <v>0</v>
      </c>
      <c r="R565" s="2" t="inlineStr"/>
    </row>
    <row r="566" ht="15" customHeight="1">
      <c r="A566" t="inlineStr">
        <is>
          <t>A 1756-2021</t>
        </is>
      </c>
      <c r="B566" s="1" t="n">
        <v>44209</v>
      </c>
      <c r="C566" s="1" t="n">
        <v>45349</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2062-2021</t>
        </is>
      </c>
      <c r="B567" s="1" t="n">
        <v>44211</v>
      </c>
      <c r="C567" s="1" t="n">
        <v>45349</v>
      </c>
      <c r="D567" t="inlineStr">
        <is>
          <t>JÄMTLANDS LÄN</t>
        </is>
      </c>
      <c r="E567" t="inlineStr">
        <is>
          <t>KROKOM</t>
        </is>
      </c>
      <c r="G567" t="n">
        <v>1.4</v>
      </c>
      <c r="H567" t="n">
        <v>0</v>
      </c>
      <c r="I567" t="n">
        <v>0</v>
      </c>
      <c r="J567" t="n">
        <v>0</v>
      </c>
      <c r="K567" t="n">
        <v>0</v>
      </c>
      <c r="L567" t="n">
        <v>0</v>
      </c>
      <c r="M567" t="n">
        <v>0</v>
      </c>
      <c r="N567" t="n">
        <v>0</v>
      </c>
      <c r="O567" t="n">
        <v>0</v>
      </c>
      <c r="P567" t="n">
        <v>0</v>
      </c>
      <c r="Q567" t="n">
        <v>0</v>
      </c>
      <c r="R567" s="2" t="inlineStr"/>
    </row>
    <row r="568" ht="15" customHeight="1">
      <c r="A568" t="inlineStr">
        <is>
          <t>A 2356-2021</t>
        </is>
      </c>
      <c r="B568" s="1" t="n">
        <v>44214</v>
      </c>
      <c r="C568" s="1" t="n">
        <v>45349</v>
      </c>
      <c r="D568" t="inlineStr">
        <is>
          <t>JÄMTLANDS LÄN</t>
        </is>
      </c>
      <c r="E568" t="inlineStr">
        <is>
          <t>KROKOM</t>
        </is>
      </c>
      <c r="G568" t="n">
        <v>22.6</v>
      </c>
      <c r="H568" t="n">
        <v>0</v>
      </c>
      <c r="I568" t="n">
        <v>0</v>
      </c>
      <c r="J568" t="n">
        <v>0</v>
      </c>
      <c r="K568" t="n">
        <v>0</v>
      </c>
      <c r="L568" t="n">
        <v>0</v>
      </c>
      <c r="M568" t="n">
        <v>0</v>
      </c>
      <c r="N568" t="n">
        <v>0</v>
      </c>
      <c r="O568" t="n">
        <v>0</v>
      </c>
      <c r="P568" t="n">
        <v>0</v>
      </c>
      <c r="Q568" t="n">
        <v>0</v>
      </c>
      <c r="R568" s="2" t="inlineStr"/>
    </row>
    <row r="569" ht="15" customHeight="1">
      <c r="A569" t="inlineStr">
        <is>
          <t>A 2410-2021</t>
        </is>
      </c>
      <c r="B569" s="1" t="n">
        <v>44214</v>
      </c>
      <c r="C569" s="1" t="n">
        <v>45349</v>
      </c>
      <c r="D569" t="inlineStr">
        <is>
          <t>JÄMTLANDS LÄN</t>
        </is>
      </c>
      <c r="E569" t="inlineStr">
        <is>
          <t>KROKOM</t>
        </is>
      </c>
      <c r="G569" t="n">
        <v>32.7</v>
      </c>
      <c r="H569" t="n">
        <v>0</v>
      </c>
      <c r="I569" t="n">
        <v>0</v>
      </c>
      <c r="J569" t="n">
        <v>0</v>
      </c>
      <c r="K569" t="n">
        <v>0</v>
      </c>
      <c r="L569" t="n">
        <v>0</v>
      </c>
      <c r="M569" t="n">
        <v>0</v>
      </c>
      <c r="N569" t="n">
        <v>0</v>
      </c>
      <c r="O569" t="n">
        <v>0</v>
      </c>
      <c r="P569" t="n">
        <v>0</v>
      </c>
      <c r="Q569" t="n">
        <v>0</v>
      </c>
      <c r="R569" s="2" t="inlineStr"/>
    </row>
    <row r="570" ht="15" customHeight="1">
      <c r="A570" t="inlineStr">
        <is>
          <t>A 2427-2021</t>
        </is>
      </c>
      <c r="B570" s="1" t="n">
        <v>44214</v>
      </c>
      <c r="C570" s="1" t="n">
        <v>45349</v>
      </c>
      <c r="D570" t="inlineStr">
        <is>
          <t>JÄMTLANDS LÄN</t>
        </is>
      </c>
      <c r="E570" t="inlineStr">
        <is>
          <t>KROKOM</t>
        </is>
      </c>
      <c r="G570" t="n">
        <v>20.5</v>
      </c>
      <c r="H570" t="n">
        <v>0</v>
      </c>
      <c r="I570" t="n">
        <v>0</v>
      </c>
      <c r="J570" t="n">
        <v>0</v>
      </c>
      <c r="K570" t="n">
        <v>0</v>
      </c>
      <c r="L570" t="n">
        <v>0</v>
      </c>
      <c r="M570" t="n">
        <v>0</v>
      </c>
      <c r="N570" t="n">
        <v>0</v>
      </c>
      <c r="O570" t="n">
        <v>0</v>
      </c>
      <c r="P570" t="n">
        <v>0</v>
      </c>
      <c r="Q570" t="n">
        <v>0</v>
      </c>
      <c r="R570" s="2" t="inlineStr"/>
    </row>
    <row r="571" ht="15" customHeight="1">
      <c r="A571" t="inlineStr">
        <is>
          <t>A 2442-2021</t>
        </is>
      </c>
      <c r="B571" s="1" t="n">
        <v>44214</v>
      </c>
      <c r="C571" s="1" t="n">
        <v>45349</v>
      </c>
      <c r="D571" t="inlineStr">
        <is>
          <t>JÄMTLANDS LÄN</t>
        </is>
      </c>
      <c r="E571" t="inlineStr">
        <is>
          <t>KROKOM</t>
        </is>
      </c>
      <c r="G571" t="n">
        <v>25.4</v>
      </c>
      <c r="H571" t="n">
        <v>0</v>
      </c>
      <c r="I571" t="n">
        <v>0</v>
      </c>
      <c r="J571" t="n">
        <v>0</v>
      </c>
      <c r="K571" t="n">
        <v>0</v>
      </c>
      <c r="L571" t="n">
        <v>0</v>
      </c>
      <c r="M571" t="n">
        <v>0</v>
      </c>
      <c r="N571" t="n">
        <v>0</v>
      </c>
      <c r="O571" t="n">
        <v>0</v>
      </c>
      <c r="P571" t="n">
        <v>0</v>
      </c>
      <c r="Q571" t="n">
        <v>0</v>
      </c>
      <c r="R571" s="2" t="inlineStr"/>
    </row>
    <row r="572" ht="15" customHeight="1">
      <c r="A572" t="inlineStr">
        <is>
          <t>A 2451-2021</t>
        </is>
      </c>
      <c r="B572" s="1" t="n">
        <v>44214</v>
      </c>
      <c r="C572" s="1" t="n">
        <v>45349</v>
      </c>
      <c r="D572" t="inlineStr">
        <is>
          <t>JÄMTLANDS LÄN</t>
        </is>
      </c>
      <c r="E572" t="inlineStr">
        <is>
          <t>KROKOM</t>
        </is>
      </c>
      <c r="G572" t="n">
        <v>29.5</v>
      </c>
      <c r="H572" t="n">
        <v>0</v>
      </c>
      <c r="I572" t="n">
        <v>0</v>
      </c>
      <c r="J572" t="n">
        <v>0</v>
      </c>
      <c r="K572" t="n">
        <v>0</v>
      </c>
      <c r="L572" t="n">
        <v>0</v>
      </c>
      <c r="M572" t="n">
        <v>0</v>
      </c>
      <c r="N572" t="n">
        <v>0</v>
      </c>
      <c r="O572" t="n">
        <v>0</v>
      </c>
      <c r="P572" t="n">
        <v>0</v>
      </c>
      <c r="Q572" t="n">
        <v>0</v>
      </c>
      <c r="R572" s="2" t="inlineStr"/>
    </row>
    <row r="573" ht="15" customHeight="1">
      <c r="A573" t="inlineStr">
        <is>
          <t>A 2568-2021</t>
        </is>
      </c>
      <c r="B573" s="1" t="n">
        <v>44214</v>
      </c>
      <c r="C573" s="1" t="n">
        <v>45349</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5422-2021</t>
        </is>
      </c>
      <c r="B574" s="1" t="n">
        <v>44228</v>
      </c>
      <c r="C574" s="1" t="n">
        <v>45349</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8154-2021</t>
        </is>
      </c>
      <c r="B575" s="1" t="n">
        <v>44243</v>
      </c>
      <c r="C575" s="1" t="n">
        <v>45349</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8302-2021</t>
        </is>
      </c>
      <c r="B576" s="1" t="n">
        <v>44244</v>
      </c>
      <c r="C576" s="1" t="n">
        <v>45349</v>
      </c>
      <c r="D576" t="inlineStr">
        <is>
          <t>JÄMTLANDS LÄN</t>
        </is>
      </c>
      <c r="E576" t="inlineStr">
        <is>
          <t>KROKOM</t>
        </is>
      </c>
      <c r="G576" t="n">
        <v>2.1</v>
      </c>
      <c r="H576" t="n">
        <v>0</v>
      </c>
      <c r="I576" t="n">
        <v>0</v>
      </c>
      <c r="J576" t="n">
        <v>0</v>
      </c>
      <c r="K576" t="n">
        <v>0</v>
      </c>
      <c r="L576" t="n">
        <v>0</v>
      </c>
      <c r="M576" t="n">
        <v>0</v>
      </c>
      <c r="N576" t="n">
        <v>0</v>
      </c>
      <c r="O576" t="n">
        <v>0</v>
      </c>
      <c r="P576" t="n">
        <v>0</v>
      </c>
      <c r="Q576" t="n">
        <v>0</v>
      </c>
      <c r="R576" s="2" t="inlineStr"/>
    </row>
    <row r="577" ht="15" customHeight="1">
      <c r="A577" t="inlineStr">
        <is>
          <t>A 10008-2021</t>
        </is>
      </c>
      <c r="B577" s="1" t="n">
        <v>44255</v>
      </c>
      <c r="C577" s="1" t="n">
        <v>45349</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10303-2021</t>
        </is>
      </c>
      <c r="B578" s="1" t="n">
        <v>44256</v>
      </c>
      <c r="C578" s="1" t="n">
        <v>45349</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11117-2021</t>
        </is>
      </c>
      <c r="B579" s="1" t="n">
        <v>44260</v>
      </c>
      <c r="C579" s="1" t="n">
        <v>45349</v>
      </c>
      <c r="D579" t="inlineStr">
        <is>
          <t>JÄMTLANDS LÄN</t>
        </is>
      </c>
      <c r="E579" t="inlineStr">
        <is>
          <t>KROKOM</t>
        </is>
      </c>
      <c r="G579" t="n">
        <v>8</v>
      </c>
      <c r="H579" t="n">
        <v>0</v>
      </c>
      <c r="I579" t="n">
        <v>0</v>
      </c>
      <c r="J579" t="n">
        <v>0</v>
      </c>
      <c r="K579" t="n">
        <v>0</v>
      </c>
      <c r="L579" t="n">
        <v>0</v>
      </c>
      <c r="M579" t="n">
        <v>0</v>
      </c>
      <c r="N579" t="n">
        <v>0</v>
      </c>
      <c r="O579" t="n">
        <v>0</v>
      </c>
      <c r="P579" t="n">
        <v>0</v>
      </c>
      <c r="Q579" t="n">
        <v>0</v>
      </c>
      <c r="R579" s="2" t="inlineStr"/>
    </row>
    <row r="580" ht="15" customHeight="1">
      <c r="A580" t="inlineStr">
        <is>
          <t>A 11530-2021</t>
        </is>
      </c>
      <c r="B580" s="1" t="n">
        <v>44263</v>
      </c>
      <c r="C580" s="1" t="n">
        <v>45349</v>
      </c>
      <c r="D580" t="inlineStr">
        <is>
          <t>JÄMTLANDS LÄN</t>
        </is>
      </c>
      <c r="E580" t="inlineStr">
        <is>
          <t>KROKOM</t>
        </is>
      </c>
      <c r="G580" t="n">
        <v>9</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45349</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45349</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45349</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45349</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45349</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45349</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45349</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45349</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45349</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45349</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45349</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45349</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45349</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45349</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45349</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45349</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45349</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45349</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45349</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45349</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45349</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45349</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45349</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45349</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45349</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45349</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45349</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45349</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45349</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45349</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45349</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45349</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45349</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45349</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45349</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45349</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45349</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45349</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45349</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45349</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45349</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45349</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45349</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45349</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45349</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45349</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45349</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45349</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45349</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45349</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45349</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45349</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45349</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45349</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45349</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45349</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45349</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45349</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45349</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45349</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45349</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45349</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45349</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45349</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45349</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45349</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45349</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45349</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45349</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45349</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45349</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45349</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45349</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45349</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45349</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45349</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45349</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45349</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45349</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45349</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45349</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45349</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45349</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45349</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45349</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45349</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45349</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45349</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45349</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45349</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45349</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45349</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45349</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45349</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45349</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45349</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45349</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45349</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45349</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45349</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45349</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45349</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45349</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45349</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45349</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45349</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45349</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45349</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45349</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45349</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45349</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45349</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45349</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45349</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45349</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45349</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45349</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45349</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45349</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45349</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45349</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45349</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45349</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45349</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45349</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45349</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45349</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45349</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45349</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45349</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45349</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45349</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45349</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45349</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45349</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45349</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45349</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45349</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45349</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45349</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45349</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45349</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45349</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45349</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45349</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45349</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45349</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45349</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45349</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45349</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45349</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45349</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45349</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45349</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45349</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45349</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45349</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45349</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45349</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45349</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45349</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45349</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45349</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45349</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45349</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45349</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45349</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45349</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45349</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45349</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45349</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45349</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45349</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45349</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45349</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45349</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45349</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45349</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45349</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45349</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45349</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45349</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45349</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45349</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45349</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45349</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45349</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45349</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45349</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45349</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45349</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45349</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45349</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45349</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45349</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45349</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45349</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45349</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45349</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45349</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45349</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45349</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45349</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45349</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45349</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45349</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45349</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45349</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45349</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45349</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45349</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45349</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45349</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45349</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45349</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45349</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45349</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45349</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45349</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45349</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45349</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45349</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45349</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45349</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45349</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45349</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45349</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45349</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45349</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45349</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45349</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45349</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45349</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45349</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45349</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45349</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45349</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45349</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45349</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45349</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45349</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45349</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45349</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45349</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45349</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45349</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45349</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45349</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45349</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45349</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45349</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45349</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45349</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45349</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45349</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45349</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45349</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45349</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45349</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45349</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45349</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45349</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45349</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45349</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45349</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45349</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45349</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45349</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45349</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45349</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45349</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45349</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45349</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45349</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45349</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45349</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45349</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45349</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45349</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45349</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45349</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45349</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45349</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45349</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45349</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45349</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45349</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45349</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45349</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45349</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45349</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45349</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45349</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45349</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45349</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45349</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45349</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45349</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45349</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45349</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45349</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45349</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45349</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45349</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45349</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45349</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45349</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45349</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45349</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45349</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45349</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45349</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45349</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45349</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45349</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45349</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45349</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45349</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45349</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45349</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45349</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45349</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45349</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45349</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45349</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45349</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45349</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45349</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45349</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45349</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45349</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45349</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45349</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45349</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45349</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45349</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45349</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45349</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45349</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45349</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45349</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45349</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45349</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45349</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45349</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45349</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45349</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45349</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45349</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45349</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45349</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45349</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45349</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45349</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45349</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45349</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45349</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45349</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45349</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45349</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45349</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45349</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45349</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45349</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45349</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45349</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45349</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45349</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45349</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45349</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45349</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45349</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45349</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45349</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45349</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45349</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45349</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45349</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45349</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45349</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45349</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45349</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45349</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45349</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45349</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45349</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45349</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45349</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45349</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45349</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45349</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45349</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45349</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45349</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45349</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45349</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45349</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45349</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45349</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45349</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45349</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45349</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45349</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45349</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45349</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45349</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45349</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45349</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45349</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45349</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45349</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45349</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45349</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45349</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45349</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45349</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45349</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45349</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45349</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45349</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45349</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45349</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45349</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45349</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45349</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45349</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45349</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45349</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45349</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45349</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45349</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45349</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45349</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45349</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45349</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45349</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45349</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45349</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45349</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45349</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45349</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45349</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45349</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45349</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45349</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45349</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45349</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45349</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45349</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45349</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45349</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45349</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45349</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45349</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45349</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45349</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45349</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45349</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45349</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45349</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45349</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45349</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45349</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45349</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45349</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45349</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45349</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45349</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45349</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45349</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45349</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45349</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45349</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45349</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45349</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45349</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45349</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45349</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45349</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45349</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45349</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45349</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45349</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45349</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45349</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45349</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45349</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45349</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45349</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45349</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45349</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45349</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45349</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45349</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45349</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45349</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45349</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45349</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45349</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45349</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45349</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45349</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45349</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45349</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45349</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45349</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45349</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45349</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45349</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45349</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45349</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45349</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45349</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45349</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45349</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45349</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45349</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45349</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45349</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45349</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45349</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45349</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45349</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45349</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45349</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45349</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45349</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45349</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45349</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45349</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45349</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45349</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45349</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45349</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45349</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45349</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45349</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45349</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45349</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45349</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45349</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45349</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45349</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45349</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45349</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45349</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45349</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45349</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45349</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45349</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45349</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45349</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45349</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45349</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45349</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45349</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45349</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45349</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45349</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45349</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45349</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45349</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45349</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45349</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45349</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45349</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45349</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45349</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45349</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45349</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45349</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45349</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45349</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45349</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45349</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45349</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45349</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45349</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45349</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45349</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45349</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45349</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45349</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45349</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45349</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45349</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45349</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45349</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45349</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45349</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45349</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45349</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45349</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45349</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45349</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45349</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45349</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45349</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45349</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45349</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45349</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45349</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45349</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45349</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45349</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45349</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45349</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45349</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45349</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45349</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45349</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45349</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45349</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45349</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45349</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45349</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45349</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45349</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45349</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45349</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45349</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45349</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45349</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45349</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45349</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45349</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45349</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45349</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45349</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45349</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45349</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45349</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45349</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45349</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45349</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45349</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45349</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45349</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45349</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45349</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45349</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45349</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45349</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45349</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45349</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45349</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45349</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45349</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45349</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45349</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45349</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45349</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4353-2024</t>
        </is>
      </c>
      <c r="B1233" s="1" t="n">
        <v>45324</v>
      </c>
      <c r="C1233" s="1" t="n">
        <v>45349</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4355-2024</t>
        </is>
      </c>
      <c r="B1234" s="1" t="n">
        <v>45324</v>
      </c>
      <c r="C1234" s="1" t="n">
        <v>45349</v>
      </c>
      <c r="D1234" t="inlineStr">
        <is>
          <t>JÄMTLANDS LÄN</t>
        </is>
      </c>
      <c r="E1234" t="inlineStr">
        <is>
          <t>KROKOM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4354-2024</t>
        </is>
      </c>
      <c r="B1235" s="1" t="n">
        <v>45324</v>
      </c>
      <c r="C1235" s="1" t="n">
        <v>45349</v>
      </c>
      <c r="D1235" t="inlineStr">
        <is>
          <t>JÄMTLANDS LÄN</t>
        </is>
      </c>
      <c r="E1235" t="inlineStr">
        <is>
          <t>KROKOM</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5438-2024</t>
        </is>
      </c>
      <c r="B1236" s="1" t="n">
        <v>45331</v>
      </c>
      <c r="C1236" s="1" t="n">
        <v>45349</v>
      </c>
      <c r="D1236" t="inlineStr">
        <is>
          <t>JÄMTLANDS LÄN</t>
        </is>
      </c>
      <c r="E1236" t="inlineStr">
        <is>
          <t>KROKOM</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5440-2024</t>
        </is>
      </c>
      <c r="B1237" s="1" t="n">
        <v>45331</v>
      </c>
      <c r="C1237" s="1" t="n">
        <v>45349</v>
      </c>
      <c r="D1237" t="inlineStr">
        <is>
          <t>JÄMTLANDS LÄN</t>
        </is>
      </c>
      <c r="E1237" t="inlineStr">
        <is>
          <t>KROKOM</t>
        </is>
      </c>
      <c r="F1237" t="inlineStr">
        <is>
          <t>SCA</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5437-2024</t>
        </is>
      </c>
      <c r="B1238" s="1" t="n">
        <v>45331</v>
      </c>
      <c r="C1238" s="1" t="n">
        <v>45349</v>
      </c>
      <c r="D1238" t="inlineStr">
        <is>
          <t>JÄMTLANDS LÄN</t>
        </is>
      </c>
      <c r="E1238" t="inlineStr">
        <is>
          <t>KROKOM</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6284-2024</t>
        </is>
      </c>
      <c r="B1239" s="1" t="n">
        <v>45337</v>
      </c>
      <c r="C1239" s="1" t="n">
        <v>45349</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45349</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45349</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6483-2024</t>
        </is>
      </c>
      <c r="B1242" s="1" t="n">
        <v>45338</v>
      </c>
      <c r="C1242" s="1" t="n">
        <v>45349</v>
      </c>
      <c r="D1242" t="inlineStr">
        <is>
          <t>JÄMTLANDS LÄN</t>
        </is>
      </c>
      <c r="E1242" t="inlineStr">
        <is>
          <t>KROKOM</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6482-2024</t>
        </is>
      </c>
      <c r="B1243" s="1" t="n">
        <v>45338</v>
      </c>
      <c r="C1243" s="1" t="n">
        <v>45349</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6900-2024</t>
        </is>
      </c>
      <c r="B1244" s="1" t="n">
        <v>45342</v>
      </c>
      <c r="C1244" s="1" t="n">
        <v>45349</v>
      </c>
      <c r="D1244" t="inlineStr">
        <is>
          <t>JÄMTLANDS LÄN</t>
        </is>
      </c>
      <c r="E1244" t="inlineStr">
        <is>
          <t>KROKOM</t>
        </is>
      </c>
      <c r="F1244" t="inlineStr">
        <is>
          <t>SCA</t>
        </is>
      </c>
      <c r="G1244" t="n">
        <v>64.59999999999999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6898-2024</t>
        </is>
      </c>
      <c r="B1245" s="1" t="n">
        <v>45342</v>
      </c>
      <c r="C1245" s="1" t="n">
        <v>45349</v>
      </c>
      <c r="D1245" t="inlineStr">
        <is>
          <t>JÄMTLANDS LÄN</t>
        </is>
      </c>
      <c r="E1245" t="inlineStr">
        <is>
          <t>KROKOM</t>
        </is>
      </c>
      <c r="F1245" t="inlineStr">
        <is>
          <t>SCA</t>
        </is>
      </c>
      <c r="G1245" t="n">
        <v>30.7</v>
      </c>
      <c r="H1245" t="n">
        <v>0</v>
      </c>
      <c r="I1245" t="n">
        <v>0</v>
      </c>
      <c r="J1245" t="n">
        <v>0</v>
      </c>
      <c r="K1245" t="n">
        <v>0</v>
      </c>
      <c r="L1245" t="n">
        <v>0</v>
      </c>
      <c r="M1245" t="n">
        <v>0</v>
      </c>
      <c r="N1245" t="n">
        <v>0</v>
      </c>
      <c r="O1245" t="n">
        <v>0</v>
      </c>
      <c r="P1245" t="n">
        <v>0</v>
      </c>
      <c r="Q1245" t="n">
        <v>0</v>
      </c>
      <c r="R1245" s="2" t="inlineStr"/>
    </row>
    <row r="1246">
      <c r="A1246" t="inlineStr">
        <is>
          <t>A 7111-2024</t>
        </is>
      </c>
      <c r="B1246" s="1" t="n">
        <v>45343</v>
      </c>
      <c r="C1246" s="1" t="n">
        <v>45349</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2024-02-27T13:10:58Z</dcterms:created>
  <dcterms:modified xmlns:dcterms="http://purl.org/dc/terms/" xmlns:xsi="http://www.w3.org/2001/XMLSchema-instance" xsi:type="dcterms:W3CDTF">2024-02-27T13:10:59Z</dcterms:modified>
</cp:coreProperties>
</file>