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45983</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45983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51504-2025</t>
        </is>
      </c>
      <c r="B8" s="1" t="n">
        <v>45950.63938657408</v>
      </c>
      <c r="C8" s="1" t="n">
        <v>45983</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59464-2023</t>
        </is>
      </c>
      <c r="B9" s="1" t="n">
        <v>45254</v>
      </c>
      <c r="C9" s="1" t="n">
        <v>45983</v>
      </c>
      <c r="D9" t="inlineStr">
        <is>
          <t>JÄMTLANDS LÄN</t>
        </is>
      </c>
      <c r="E9" t="inlineStr">
        <is>
          <t>KROKOM</t>
        </is>
      </c>
      <c r="F9" t="inlineStr">
        <is>
          <t>Övriga Aktiebolag</t>
        </is>
      </c>
      <c r="G9" t="n">
        <v>7.1</v>
      </c>
      <c r="H9" t="n">
        <v>5</v>
      </c>
      <c r="I9" t="n">
        <v>10</v>
      </c>
      <c r="J9" t="n">
        <v>16</v>
      </c>
      <c r="K9" t="n">
        <v>4</v>
      </c>
      <c r="L9" t="n">
        <v>0</v>
      </c>
      <c r="M9" t="n">
        <v>0</v>
      </c>
      <c r="N9" t="n">
        <v>0</v>
      </c>
      <c r="O9" t="n">
        <v>20</v>
      </c>
      <c r="P9" t="n">
        <v>4</v>
      </c>
      <c r="Q9" t="n">
        <v>31</v>
      </c>
      <c r="R9"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9">
        <f>HYPERLINK("https://klasma.github.io/Logging_2309/artfynd/A 59464-2023 artfynd.xlsx", "A 59464-2023")</f>
        <v/>
      </c>
      <c r="T9">
        <f>HYPERLINK("https://klasma.github.io/Logging_2309/kartor/A 59464-2023 karta.png", "A 59464-2023")</f>
        <v/>
      </c>
      <c r="U9">
        <f>HYPERLINK("https://klasma.github.io/Logging_2309/knärot/A 59464-2023 karta knärot.png", "A 59464-2023")</f>
        <v/>
      </c>
      <c r="V9">
        <f>HYPERLINK("https://klasma.github.io/Logging_2309/klagomål/A 59464-2023 FSC-klagomål.docx", "A 59464-2023")</f>
        <v/>
      </c>
      <c r="W9">
        <f>HYPERLINK("https://klasma.github.io/Logging_2309/klagomålsmail/A 59464-2023 FSC-klagomål mail.docx", "A 59464-2023")</f>
        <v/>
      </c>
      <c r="X9">
        <f>HYPERLINK("https://klasma.github.io/Logging_2309/tillsyn/A 59464-2023 tillsynsbegäran.docx", "A 59464-2023")</f>
        <v/>
      </c>
      <c r="Y9">
        <f>HYPERLINK("https://klasma.github.io/Logging_2309/tillsynsmail/A 59464-2023 tillsynsbegäran mail.docx", "A 59464-2023")</f>
        <v/>
      </c>
      <c r="Z9">
        <f>HYPERLINK("https://klasma.github.io/Logging_2309/fåglar/A 59464-2023 prioriterade fågelarter.docx", "A 59464-2023")</f>
        <v/>
      </c>
    </row>
    <row r="10" ht="15" customHeight="1">
      <c r="A10" t="inlineStr">
        <is>
          <t>A 8493-2025</t>
        </is>
      </c>
      <c r="B10" s="1" t="n">
        <v>45709</v>
      </c>
      <c r="C10" s="1" t="n">
        <v>45983</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45983</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45983</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45983</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45983</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45983</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45983</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45983</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45983</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45983</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45983</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30145-2021</t>
        </is>
      </c>
      <c r="B23" s="1" t="n">
        <v>44363</v>
      </c>
      <c r="C23" s="1" t="n">
        <v>45983</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23434-2024</t>
        </is>
      </c>
      <c r="B24" s="1" t="n">
        <v>45453</v>
      </c>
      <c r="C24" s="1" t="n">
        <v>45983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45983</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45983</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45983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45983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45983</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45983</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45983</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45983</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45983</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45983</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45983</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45983</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45983</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45983</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45983</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45983</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45983</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45983</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45983</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45983</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45983</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61434-2024</t>
        </is>
      </c>
      <c r="B46" s="1" t="n">
        <v>45646</v>
      </c>
      <c r="C46" s="1" t="n">
        <v>45983</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45983</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5877-2021</t>
        </is>
      </c>
      <c r="B48" s="1" t="n">
        <v>44231</v>
      </c>
      <c r="C48" s="1" t="n">
        <v>45983</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30921-2025</t>
        </is>
      </c>
      <c r="B49" s="1" t="n">
        <v>45832</v>
      </c>
      <c r="C49" s="1" t="n">
        <v>45983</v>
      </c>
      <c r="D49" t="inlineStr">
        <is>
          <t>JÄMTLANDS LÄN</t>
        </is>
      </c>
      <c r="E49" t="inlineStr">
        <is>
          <t>KROKOM</t>
        </is>
      </c>
      <c r="G49" t="n">
        <v>8.1</v>
      </c>
      <c r="H49" t="n">
        <v>2</v>
      </c>
      <c r="I49" t="n">
        <v>1</v>
      </c>
      <c r="J49" t="n">
        <v>10</v>
      </c>
      <c r="K49" t="n">
        <v>0</v>
      </c>
      <c r="L49" t="n">
        <v>0</v>
      </c>
      <c r="M49" t="n">
        <v>0</v>
      </c>
      <c r="N49" t="n">
        <v>0</v>
      </c>
      <c r="O49" t="n">
        <v>10</v>
      </c>
      <c r="P49" t="n">
        <v>0</v>
      </c>
      <c r="Q49" t="n">
        <v>11</v>
      </c>
      <c r="R49" s="2" t="inlineStr">
        <is>
          <t>Doftskinn
Garnlav
Granticka
Gränsticka
Lunglav
Skrovellav
Spillkråka
Tretåig hackspett
Ullticka
Vitgrynig nållav
Diskvaxskivling</t>
        </is>
      </c>
      <c r="S49">
        <f>HYPERLINK("https://klasma.github.io/Logging_2309/artfynd/A 30921-2025 artfynd.xlsx", "A 30921-2025")</f>
        <v/>
      </c>
      <c r="T49">
        <f>HYPERLINK("https://klasma.github.io/Logging_2309/kartor/A 30921-2025 karta.png", "A 30921-2025")</f>
        <v/>
      </c>
      <c r="V49">
        <f>HYPERLINK("https://klasma.github.io/Logging_2309/klagomål/A 30921-2025 FSC-klagomål.docx", "A 30921-2025")</f>
        <v/>
      </c>
      <c r="W49">
        <f>HYPERLINK("https://klasma.github.io/Logging_2309/klagomålsmail/A 30921-2025 FSC-klagomål mail.docx", "A 30921-2025")</f>
        <v/>
      </c>
      <c r="X49">
        <f>HYPERLINK("https://klasma.github.io/Logging_2309/tillsyn/A 30921-2025 tillsynsbegäran.docx", "A 30921-2025")</f>
        <v/>
      </c>
      <c r="Y49">
        <f>HYPERLINK("https://klasma.github.io/Logging_2309/tillsynsmail/A 30921-2025 tillsynsbegäran mail.docx", "A 30921-2025")</f>
        <v/>
      </c>
      <c r="Z49">
        <f>HYPERLINK("https://klasma.github.io/Logging_2309/fåglar/A 30921-2025 prioriterade fågelarter.docx", "A 30921-2025")</f>
        <v/>
      </c>
    </row>
    <row r="50" ht="15" customHeight="1">
      <c r="A50" t="inlineStr">
        <is>
          <t>A 55352-2021</t>
        </is>
      </c>
      <c r="B50" s="1" t="n">
        <v>44475</v>
      </c>
      <c r="C50" s="1" t="n">
        <v>45983</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45983</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45983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45983</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45983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45983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45983</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45983</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46038-2024</t>
        </is>
      </c>
      <c r="B58" s="1" t="n">
        <v>45580</v>
      </c>
      <c r="C58" s="1" t="n">
        <v>45983</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45983</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52633-2023</t>
        </is>
      </c>
      <c r="B60" s="1" t="n">
        <v>45219</v>
      </c>
      <c r="C60" s="1" t="n">
        <v>45983</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45983</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45983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45983</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24370-2024</t>
        </is>
      </c>
      <c r="B64" s="1" t="n">
        <v>45457</v>
      </c>
      <c r="C64" s="1" t="n">
        <v>45983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45983</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45983</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45983</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45983</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45983</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40206-2023</t>
        </is>
      </c>
      <c r="B70" s="1" t="n">
        <v>45169</v>
      </c>
      <c r="C70" s="1" t="n">
        <v>45983</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45983</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45983</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50411-2025</t>
        </is>
      </c>
      <c r="B73" s="1" t="n">
        <v>45944.64482638889</v>
      </c>
      <c r="C73" s="1" t="n">
        <v>45983</v>
      </c>
      <c r="D73" t="inlineStr">
        <is>
          <t>JÄMTLANDS LÄN</t>
        </is>
      </c>
      <c r="E73" t="inlineStr">
        <is>
          <t>KROKOM</t>
        </is>
      </c>
      <c r="G73" t="n">
        <v>7.7</v>
      </c>
      <c r="H73" t="n">
        <v>4</v>
      </c>
      <c r="I73" t="n">
        <v>0</v>
      </c>
      <c r="J73" t="n">
        <v>4</v>
      </c>
      <c r="K73" t="n">
        <v>1</v>
      </c>
      <c r="L73" t="n">
        <v>0</v>
      </c>
      <c r="M73" t="n">
        <v>0</v>
      </c>
      <c r="N73" t="n">
        <v>0</v>
      </c>
      <c r="O73" t="n">
        <v>5</v>
      </c>
      <c r="P73" t="n">
        <v>1</v>
      </c>
      <c r="Q73" t="n">
        <v>7</v>
      </c>
      <c r="R73" s="2" t="inlineStr">
        <is>
          <t>Knärot
Garnlav
Granticka
Tretåig hackspett
Ullticka
Kungsfågel
Revlummer</t>
        </is>
      </c>
      <c r="S73">
        <f>HYPERLINK("https://klasma.github.io/Logging_2309/artfynd/A 50411-2025 artfynd.xlsx", "A 50411-2025")</f>
        <v/>
      </c>
      <c r="T73">
        <f>HYPERLINK("https://klasma.github.io/Logging_2309/kartor/A 50411-2025 karta.png", "A 50411-2025")</f>
        <v/>
      </c>
      <c r="U73">
        <f>HYPERLINK("https://klasma.github.io/Logging_2309/knärot/A 50411-2025 karta knärot.png", "A 50411-2025")</f>
        <v/>
      </c>
      <c r="V73">
        <f>HYPERLINK("https://klasma.github.io/Logging_2309/klagomål/A 50411-2025 FSC-klagomål.docx", "A 50411-2025")</f>
        <v/>
      </c>
      <c r="W73">
        <f>HYPERLINK("https://klasma.github.io/Logging_2309/klagomålsmail/A 50411-2025 FSC-klagomål mail.docx", "A 50411-2025")</f>
        <v/>
      </c>
      <c r="X73">
        <f>HYPERLINK("https://klasma.github.io/Logging_2309/tillsyn/A 50411-2025 tillsynsbegäran.docx", "A 50411-2025")</f>
        <v/>
      </c>
      <c r="Y73">
        <f>HYPERLINK("https://klasma.github.io/Logging_2309/tillsynsmail/A 50411-2025 tillsynsbegäran mail.docx", "A 50411-2025")</f>
        <v/>
      </c>
      <c r="Z73">
        <f>HYPERLINK("https://klasma.github.io/Logging_2309/fåglar/A 50411-2025 prioriterade fågelarter.docx", "A 50411-2025")</f>
        <v/>
      </c>
    </row>
    <row r="74" ht="15" customHeight="1">
      <c r="A74" t="inlineStr">
        <is>
          <t>A 32949-2025</t>
        </is>
      </c>
      <c r="B74" s="1" t="n">
        <v>45839.68914351852</v>
      </c>
      <c r="C74" s="1" t="n">
        <v>45983</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37408-2025</t>
        </is>
      </c>
      <c r="B75" s="1" t="n">
        <v>45877.46555555556</v>
      </c>
      <c r="C75" s="1" t="n">
        <v>45983</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36373-2023</t>
        </is>
      </c>
      <c r="B76" s="1" t="n">
        <v>45149</v>
      </c>
      <c r="C76" s="1" t="n">
        <v>45983</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35884-2025</t>
        </is>
      </c>
      <c r="B77" s="1" t="n">
        <v>45862.42901620371</v>
      </c>
      <c r="C77" s="1" t="n">
        <v>45983</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45983</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50196-2025</t>
        </is>
      </c>
      <c r="B79" s="1" t="n">
        <v>45943.64385416666</v>
      </c>
      <c r="C79" s="1" t="n">
        <v>45983</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45983</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61448-2021</t>
        </is>
      </c>
      <c r="B81" s="1" t="n">
        <v>44500</v>
      </c>
      <c r="C81" s="1" t="n">
        <v>45983</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3134-2024</t>
        </is>
      </c>
      <c r="B82" s="1" t="n">
        <v>45316</v>
      </c>
      <c r="C82" s="1" t="n">
        <v>45983</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45983</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45983</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45983</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45983</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45983</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11097-2024</t>
        </is>
      </c>
      <c r="B88" s="1" t="n">
        <v>45370</v>
      </c>
      <c r="C88" s="1" t="n">
        <v>45983</v>
      </c>
      <c r="D88" t="inlineStr">
        <is>
          <t>JÄMTLANDS LÄN</t>
        </is>
      </c>
      <c r="E88" t="inlineStr">
        <is>
          <t>KROKOM</t>
        </is>
      </c>
      <c r="G88" t="n">
        <v>12.3</v>
      </c>
      <c r="H88" t="n">
        <v>1</v>
      </c>
      <c r="I88" t="n">
        <v>0</v>
      </c>
      <c r="J88" t="n">
        <v>6</v>
      </c>
      <c r="K88" t="n">
        <v>0</v>
      </c>
      <c r="L88" t="n">
        <v>0</v>
      </c>
      <c r="M88" t="n">
        <v>0</v>
      </c>
      <c r="N88" t="n">
        <v>0</v>
      </c>
      <c r="O88" t="n">
        <v>6</v>
      </c>
      <c r="P88" t="n">
        <v>0</v>
      </c>
      <c r="Q88" t="n">
        <v>6</v>
      </c>
      <c r="R88" s="2" t="inlineStr">
        <is>
          <t>Granticka
Lunglav
Rosenticka
Skrovellav
Tretåig hackspett
Ullticka</t>
        </is>
      </c>
      <c r="S88">
        <f>HYPERLINK("https://klasma.github.io/Logging_2309/artfynd/A 11097-2024 artfynd.xlsx", "A 11097-2024")</f>
        <v/>
      </c>
      <c r="T88">
        <f>HYPERLINK("https://klasma.github.io/Logging_2309/kartor/A 11097-2024 karta.png", "A 11097-2024")</f>
        <v/>
      </c>
      <c r="V88">
        <f>HYPERLINK("https://klasma.github.io/Logging_2309/klagomål/A 11097-2024 FSC-klagomål.docx", "A 11097-2024")</f>
        <v/>
      </c>
      <c r="W88">
        <f>HYPERLINK("https://klasma.github.io/Logging_2309/klagomålsmail/A 11097-2024 FSC-klagomål mail.docx", "A 11097-2024")</f>
        <v/>
      </c>
      <c r="X88">
        <f>HYPERLINK("https://klasma.github.io/Logging_2309/tillsyn/A 11097-2024 tillsynsbegäran.docx", "A 11097-2024")</f>
        <v/>
      </c>
      <c r="Y88">
        <f>HYPERLINK("https://klasma.github.io/Logging_2309/tillsynsmail/A 11097-2024 tillsynsbegäran mail.docx", "A 11097-2024")</f>
        <v/>
      </c>
      <c r="Z88">
        <f>HYPERLINK("https://klasma.github.io/Logging_2309/fåglar/A 11097-2024 prioriterade fågelarter.docx", "A 11097-2024")</f>
        <v/>
      </c>
    </row>
    <row r="89" ht="15" customHeight="1">
      <c r="A89" t="inlineStr">
        <is>
          <t>A 56194-2021</t>
        </is>
      </c>
      <c r="B89" s="1" t="n">
        <v>44477</v>
      </c>
      <c r="C89" s="1" t="n">
        <v>45983</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45983</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45983</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45983</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45983</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45983</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42385-2023</t>
        </is>
      </c>
      <c r="B95" s="1" t="n">
        <v>45180</v>
      </c>
      <c r="C95" s="1" t="n">
        <v>45983</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45983</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45983</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68491-2020</t>
        </is>
      </c>
      <c r="B98" s="1" t="n">
        <v>44183</v>
      </c>
      <c r="C98" s="1" t="n">
        <v>45983</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45983</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45983</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45983</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45983</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45983</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36995-2025</t>
        </is>
      </c>
      <c r="B104" s="1" t="n">
        <v>45874.67765046296</v>
      </c>
      <c r="C104" s="1" t="n">
        <v>45983</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35749-2024</t>
        </is>
      </c>
      <c r="B105" s="1" t="n">
        <v>45532</v>
      </c>
      <c r="C105" s="1" t="n">
        <v>45983</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53815-2024</t>
        </is>
      </c>
      <c r="B106" s="1" t="n">
        <v>45615</v>
      </c>
      <c r="C106" s="1" t="n">
        <v>45983</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25286-2023</t>
        </is>
      </c>
      <c r="B107" s="1" t="n">
        <v>45079</v>
      </c>
      <c r="C107" s="1" t="n">
        <v>45983</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48914-2021</t>
        </is>
      </c>
      <c r="B108" s="1" t="n">
        <v>44452</v>
      </c>
      <c r="C108" s="1" t="n">
        <v>45983</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45983</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45983</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59039-2022</t>
        </is>
      </c>
      <c r="B111" s="1" t="n">
        <v>44903</v>
      </c>
      <c r="C111" s="1" t="n">
        <v>45983</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72538-2021</t>
        </is>
      </c>
      <c r="B112" s="1" t="n">
        <v>44546</v>
      </c>
      <c r="C112" s="1" t="n">
        <v>45983</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63787-2020</t>
        </is>
      </c>
      <c r="B113" s="1" t="n">
        <v>44162</v>
      </c>
      <c r="C113" s="1" t="n">
        <v>45983</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45983</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45983</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45983</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45983</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45983</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45983</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45983</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45983</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49178-2024</t>
        </is>
      </c>
      <c r="B122" s="1" t="n">
        <v>45595</v>
      </c>
      <c r="C122" s="1" t="n">
        <v>45983</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56312-2024</t>
        </is>
      </c>
      <c r="B123" s="1" t="n">
        <v>45624</v>
      </c>
      <c r="C123" s="1" t="n">
        <v>45983</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65901-2020</t>
        </is>
      </c>
      <c r="B124" s="1" t="n">
        <v>44174</v>
      </c>
      <c r="C124" s="1" t="n">
        <v>45983</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54427-2024</t>
        </is>
      </c>
      <c r="B125" s="1" t="n">
        <v>45617</v>
      </c>
      <c r="C125" s="1" t="n">
        <v>45983</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53363-2022</t>
        </is>
      </c>
      <c r="B126" s="1" t="n">
        <v>44879</v>
      </c>
      <c r="C126" s="1" t="n">
        <v>45983</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13383-2025</t>
        </is>
      </c>
      <c r="B127" s="1" t="n">
        <v>45735</v>
      </c>
      <c r="C127" s="1" t="n">
        <v>45983</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45983</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40179-2023</t>
        </is>
      </c>
      <c r="B129" s="1" t="n">
        <v>45169</v>
      </c>
      <c r="C129" s="1" t="n">
        <v>45983</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45983</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45983</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45983</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38966-2025</t>
        </is>
      </c>
      <c r="B133" s="1" t="n">
        <v>45887.6989699074</v>
      </c>
      <c r="C133" s="1" t="n">
        <v>45983</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32148-2024</t>
        </is>
      </c>
      <c r="B134" s="1" t="n">
        <v>45511.55719907407</v>
      </c>
      <c r="C134" s="1" t="n">
        <v>45983</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71573-2021</t>
        </is>
      </c>
      <c r="B135" s="1" t="n">
        <v>44540</v>
      </c>
      <c r="C135" s="1" t="n">
        <v>45983</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23439-2024</t>
        </is>
      </c>
      <c r="B136" s="1" t="n">
        <v>45453.63133101852</v>
      </c>
      <c r="C136" s="1" t="n">
        <v>45983</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11439-2024</t>
        </is>
      </c>
      <c r="B137" s="1" t="n">
        <v>45372</v>
      </c>
      <c r="C137" s="1" t="n">
        <v>45983</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54924-2025</t>
        </is>
      </c>
      <c r="B138" s="1" t="n">
        <v>45967.40671296296</v>
      </c>
      <c r="C138" s="1" t="n">
        <v>45983</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36009-2025</t>
        </is>
      </c>
      <c r="B139" s="1" t="n">
        <v>45863.58127314815</v>
      </c>
      <c r="C139" s="1" t="n">
        <v>45983</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62731-2023</t>
        </is>
      </c>
      <c r="B140" s="1" t="n">
        <v>45271</v>
      </c>
      <c r="C140" s="1" t="n">
        <v>45983</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50431-2023</t>
        </is>
      </c>
      <c r="B141" s="1" t="n">
        <v>45216.67748842593</v>
      </c>
      <c r="C141" s="1" t="n">
        <v>45983</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57468-2024</t>
        </is>
      </c>
      <c r="B142" s="1" t="n">
        <v>45630</v>
      </c>
      <c r="C142" s="1" t="n">
        <v>45983</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30069-2022</t>
        </is>
      </c>
      <c r="B143" s="1" t="n">
        <v>44757</v>
      </c>
      <c r="C143" s="1" t="n">
        <v>45983</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34582-2024</t>
        </is>
      </c>
      <c r="B144" s="1" t="n">
        <v>45526</v>
      </c>
      <c r="C144" s="1" t="n">
        <v>45983</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52264-2022</t>
        </is>
      </c>
      <c r="B145" s="1" t="n">
        <v>44873</v>
      </c>
      <c r="C145" s="1" t="n">
        <v>45983</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2592-2024</t>
        </is>
      </c>
      <c r="B146" s="1" t="n">
        <v>45313</v>
      </c>
      <c r="C146" s="1" t="n">
        <v>45983</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58896-2024</t>
        </is>
      </c>
      <c r="B147" s="1" t="n">
        <v>45636</v>
      </c>
      <c r="C147" s="1" t="n">
        <v>45983</v>
      </c>
      <c r="D147" t="inlineStr">
        <is>
          <t>JÄMTLANDS LÄN</t>
        </is>
      </c>
      <c r="E147" t="inlineStr">
        <is>
          <t>KROKOM</t>
        </is>
      </c>
      <c r="G147" t="n">
        <v>3.3</v>
      </c>
      <c r="H147" t="n">
        <v>1</v>
      </c>
      <c r="I147" t="n">
        <v>0</v>
      </c>
      <c r="J147" t="n">
        <v>3</v>
      </c>
      <c r="K147" t="n">
        <v>0</v>
      </c>
      <c r="L147" t="n">
        <v>0</v>
      </c>
      <c r="M147" t="n">
        <v>0</v>
      </c>
      <c r="N147" t="n">
        <v>0</v>
      </c>
      <c r="O147" t="n">
        <v>3</v>
      </c>
      <c r="P147" t="n">
        <v>0</v>
      </c>
      <c r="Q147" t="n">
        <v>3</v>
      </c>
      <c r="R147" s="2" t="inlineStr">
        <is>
          <t>Garnlav
Tretåig hackspett
Vedskivlav</t>
        </is>
      </c>
      <c r="S147">
        <f>HYPERLINK("https://klasma.github.io/Logging_2309/artfynd/A 58896-2024 artfynd.xlsx", "A 58896-2024")</f>
        <v/>
      </c>
      <c r="T147">
        <f>HYPERLINK("https://klasma.github.io/Logging_2309/kartor/A 58896-2024 karta.png", "A 58896-2024")</f>
        <v/>
      </c>
      <c r="V147">
        <f>HYPERLINK("https://klasma.github.io/Logging_2309/klagomål/A 58896-2024 FSC-klagomål.docx", "A 58896-2024")</f>
        <v/>
      </c>
      <c r="W147">
        <f>HYPERLINK("https://klasma.github.io/Logging_2309/klagomålsmail/A 58896-2024 FSC-klagomål mail.docx", "A 58896-2024")</f>
        <v/>
      </c>
      <c r="X147">
        <f>HYPERLINK("https://klasma.github.io/Logging_2309/tillsyn/A 58896-2024 tillsynsbegäran.docx", "A 58896-2024")</f>
        <v/>
      </c>
      <c r="Y147">
        <f>HYPERLINK("https://klasma.github.io/Logging_2309/tillsynsmail/A 58896-2024 tillsynsbegäran mail.docx", "A 58896-2024")</f>
        <v/>
      </c>
      <c r="Z147">
        <f>HYPERLINK("https://klasma.github.io/Logging_2309/fåglar/A 58896-2024 prioriterade fågelarter.docx", "A 58896-2024")</f>
        <v/>
      </c>
    </row>
    <row r="148" ht="15" customHeight="1">
      <c r="A148" t="inlineStr">
        <is>
          <t>A 62113-2024</t>
        </is>
      </c>
      <c r="B148" s="1" t="n">
        <v>45656.54600694445</v>
      </c>
      <c r="C148" s="1" t="n">
        <v>45983</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50345-2023</t>
        </is>
      </c>
      <c r="B149" s="1" t="n">
        <v>45216</v>
      </c>
      <c r="C149" s="1" t="n">
        <v>45983</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45983</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45983</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45983</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45983</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45983</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45983</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45983</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45983</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45983</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45983</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45983</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45983</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62453-2023</t>
        </is>
      </c>
      <c r="B162" s="1" t="n">
        <v>45268</v>
      </c>
      <c r="C162" s="1" t="n">
        <v>45983</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23730-2025</t>
        </is>
      </c>
      <c r="B163" s="1" t="n">
        <v>45793.4189699074</v>
      </c>
      <c r="C163" s="1" t="n">
        <v>45983</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45983</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45983</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45983</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71571-2021</t>
        </is>
      </c>
      <c r="B167" s="1" t="n">
        <v>44540</v>
      </c>
      <c r="C167" s="1" t="n">
        <v>45983</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36011-2025</t>
        </is>
      </c>
      <c r="B168" s="1" t="n">
        <v>45863.59111111111</v>
      </c>
      <c r="C168" s="1" t="n">
        <v>45983</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53312-2025</t>
        </is>
      </c>
      <c r="B169" s="1" t="n">
        <v>45959.34450231482</v>
      </c>
      <c r="C169" s="1" t="n">
        <v>45983</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53762-2025</t>
        </is>
      </c>
      <c r="B170" s="1" t="n">
        <v>45960.67209490741</v>
      </c>
      <c r="C170" s="1" t="n">
        <v>45983</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49386-2024</t>
        </is>
      </c>
      <c r="B171" s="1" t="n">
        <v>45595</v>
      </c>
      <c r="C171" s="1" t="n">
        <v>45983</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7575-2024</t>
        </is>
      </c>
      <c r="B172" s="1" t="n">
        <v>45348</v>
      </c>
      <c r="C172" s="1" t="n">
        <v>45983</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55040-2025</t>
        </is>
      </c>
      <c r="B173" s="1" t="n">
        <v>45967.65667824074</v>
      </c>
      <c r="C173" s="1" t="n">
        <v>45983</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36445-2025</t>
        </is>
      </c>
      <c r="B174" s="1" t="n">
        <v>45869</v>
      </c>
      <c r="C174" s="1" t="n">
        <v>45983</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46828-2025</t>
        </is>
      </c>
      <c r="B175" s="1" t="n">
        <v>45927.34478009259</v>
      </c>
      <c r="C175" s="1" t="n">
        <v>45983</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45983</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37509-2025</t>
        </is>
      </c>
      <c r="B177" s="1" t="n">
        <v>45877.67787037037</v>
      </c>
      <c r="C177" s="1" t="n">
        <v>45983</v>
      </c>
      <c r="D177" t="inlineStr">
        <is>
          <t>JÄMTLANDS LÄN</t>
        </is>
      </c>
      <c r="E177" t="inlineStr">
        <is>
          <t>KROKOM</t>
        </is>
      </c>
      <c r="F177" t="inlineStr">
        <is>
          <t>SCA</t>
        </is>
      </c>
      <c r="G177" t="n">
        <v>13.6</v>
      </c>
      <c r="H177" t="n">
        <v>0</v>
      </c>
      <c r="I177" t="n">
        <v>0</v>
      </c>
      <c r="J177" t="n">
        <v>1</v>
      </c>
      <c r="K177" t="n">
        <v>1</v>
      </c>
      <c r="L177" t="n">
        <v>0</v>
      </c>
      <c r="M177" t="n">
        <v>0</v>
      </c>
      <c r="N177" t="n">
        <v>0</v>
      </c>
      <c r="O177" t="n">
        <v>2</v>
      </c>
      <c r="P177" t="n">
        <v>1</v>
      </c>
      <c r="Q177" t="n">
        <v>2</v>
      </c>
      <c r="R177" s="2" t="inlineStr">
        <is>
          <t>Gräddporing
Skrovellav</t>
        </is>
      </c>
      <c r="S177">
        <f>HYPERLINK("https://klasma.github.io/Logging_2309/artfynd/A 37509-2025 artfynd.xlsx", "A 37509-2025")</f>
        <v/>
      </c>
      <c r="T177">
        <f>HYPERLINK("https://klasma.github.io/Logging_2309/kartor/A 37509-2025 karta.png", "A 37509-2025")</f>
        <v/>
      </c>
      <c r="V177">
        <f>HYPERLINK("https://klasma.github.io/Logging_2309/klagomål/A 37509-2025 FSC-klagomål.docx", "A 37509-2025")</f>
        <v/>
      </c>
      <c r="W177">
        <f>HYPERLINK("https://klasma.github.io/Logging_2309/klagomålsmail/A 37509-2025 FSC-klagomål mail.docx", "A 37509-2025")</f>
        <v/>
      </c>
      <c r="X177">
        <f>HYPERLINK("https://klasma.github.io/Logging_2309/tillsyn/A 37509-2025 tillsynsbegäran.docx", "A 37509-2025")</f>
        <v/>
      </c>
      <c r="Y177">
        <f>HYPERLINK("https://klasma.github.io/Logging_2309/tillsynsmail/A 37509-2025 tillsynsbegäran mail.docx", "A 37509-2025")</f>
        <v/>
      </c>
    </row>
    <row r="178" ht="15" customHeight="1">
      <c r="A178" t="inlineStr">
        <is>
          <t>A 60419-2024</t>
        </is>
      </c>
      <c r="B178" s="1" t="n">
        <v>45643.53393518519</v>
      </c>
      <c r="C178" s="1" t="n">
        <v>45983</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62125-2024</t>
        </is>
      </c>
      <c r="B179" s="1" t="n">
        <v>45656.59703703703</v>
      </c>
      <c r="C179" s="1" t="n">
        <v>45983</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11984-2024</t>
        </is>
      </c>
      <c r="B180" s="1" t="n">
        <v>45376</v>
      </c>
      <c r="C180" s="1" t="n">
        <v>45983</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40236-2024</t>
        </is>
      </c>
      <c r="B181" s="1" t="n">
        <v>45554</v>
      </c>
      <c r="C181" s="1" t="n">
        <v>45983</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45983</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45983</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45983</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45983</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45983</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45983</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45983</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45983</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45983</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45983</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45983</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45983</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45983</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45983</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25285-2023</t>
        </is>
      </c>
      <c r="B196" s="1" t="n">
        <v>45079</v>
      </c>
      <c r="C196" s="1" t="n">
        <v>45983</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45983</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25268-2025</t>
        </is>
      </c>
      <c r="B198" s="1" t="n">
        <v>45800</v>
      </c>
      <c r="C198" s="1" t="n">
        <v>45983</v>
      </c>
      <c r="D198" t="inlineStr">
        <is>
          <t>JÄMTLANDS LÄN</t>
        </is>
      </c>
      <c r="E198" t="inlineStr">
        <is>
          <t>KROKOM</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25268-2025 artfynd.xlsx", "A 25268-2025")</f>
        <v/>
      </c>
      <c r="T198">
        <f>HYPERLINK("https://klasma.github.io/Logging_2309/kartor/A 25268-2025 karta.png", "A 25268-2025")</f>
        <v/>
      </c>
      <c r="V198">
        <f>HYPERLINK("https://klasma.github.io/Logging_2309/klagomål/A 25268-2025 FSC-klagomål.docx", "A 25268-2025")</f>
        <v/>
      </c>
      <c r="W198">
        <f>HYPERLINK("https://klasma.github.io/Logging_2309/klagomålsmail/A 25268-2025 FSC-klagomål mail.docx", "A 25268-2025")</f>
        <v/>
      </c>
      <c r="X198">
        <f>HYPERLINK("https://klasma.github.io/Logging_2309/tillsyn/A 25268-2025 tillsynsbegäran.docx", "A 25268-2025")</f>
        <v/>
      </c>
      <c r="Y198">
        <f>HYPERLINK("https://klasma.github.io/Logging_2309/tillsynsmail/A 25268-2025 tillsynsbegäran mail.docx", "A 25268-2025")</f>
        <v/>
      </c>
      <c r="Z198">
        <f>HYPERLINK("https://klasma.github.io/Logging_2309/fåglar/A 25268-2025 prioriterade fågelarter.docx", "A 25268-2025")</f>
        <v/>
      </c>
    </row>
    <row r="199" ht="15" customHeight="1">
      <c r="A199" t="inlineStr">
        <is>
          <t>A 40800-2025</t>
        </is>
      </c>
      <c r="B199" s="1" t="n">
        <v>45897.45311342592</v>
      </c>
      <c r="C199" s="1" t="n">
        <v>45983</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61240-2024</t>
        </is>
      </c>
      <c r="B200" s="1" t="n">
        <v>45645.67945601852</v>
      </c>
      <c r="C200" s="1" t="n">
        <v>45983</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11413-2022</t>
        </is>
      </c>
      <c r="B201" s="1" t="n">
        <v>44630</v>
      </c>
      <c r="C201" s="1" t="n">
        <v>45983</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36639-2023</t>
        </is>
      </c>
      <c r="B202" s="1" t="n">
        <v>45153</v>
      </c>
      <c r="C202" s="1" t="n">
        <v>45983</v>
      </c>
      <c r="D202" t="inlineStr">
        <is>
          <t>JÄMTLANDS LÄN</t>
        </is>
      </c>
      <c r="E202" t="inlineStr">
        <is>
          <t>KROKOM</t>
        </is>
      </c>
      <c r="F202" t="inlineStr">
        <is>
          <t>Övriga Aktiebolag</t>
        </is>
      </c>
      <c r="G202" t="n">
        <v>5.5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36639-2023 artfynd.xlsx", "A 36639-2023")</f>
        <v/>
      </c>
      <c r="T202">
        <f>HYPERLINK("https://klasma.github.io/Logging_2309/kartor/A 36639-2023 karta.png", "A 36639-2023")</f>
        <v/>
      </c>
      <c r="V202">
        <f>HYPERLINK("https://klasma.github.io/Logging_2309/klagomål/A 36639-2023 FSC-klagomål.docx", "A 36639-2023")</f>
        <v/>
      </c>
      <c r="W202">
        <f>HYPERLINK("https://klasma.github.io/Logging_2309/klagomålsmail/A 36639-2023 FSC-klagomål mail.docx", "A 36639-2023")</f>
        <v/>
      </c>
      <c r="X202">
        <f>HYPERLINK("https://klasma.github.io/Logging_2309/tillsyn/A 36639-2023 tillsynsbegäran.docx", "A 36639-2023")</f>
        <v/>
      </c>
      <c r="Y202">
        <f>HYPERLINK("https://klasma.github.io/Logging_2309/tillsynsmail/A 36639-2023 tillsynsbegäran mail.docx", "A 36639-2023")</f>
        <v/>
      </c>
      <c r="Z202">
        <f>HYPERLINK("https://klasma.github.io/Logging_2309/fåglar/A 36639-2023 prioriterade fågelarter.docx", "A 36639-2023")</f>
        <v/>
      </c>
    </row>
    <row r="203" ht="15" customHeight="1">
      <c r="A203" t="inlineStr">
        <is>
          <t>A 28660-2025</t>
        </is>
      </c>
      <c r="B203" s="1" t="n">
        <v>45819.65796296296</v>
      </c>
      <c r="C203" s="1" t="n">
        <v>45983</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29941-2025</t>
        </is>
      </c>
      <c r="B204" s="1" t="n">
        <v>45826.45174768518</v>
      </c>
      <c r="C204" s="1" t="n">
        <v>45983</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45983</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32656-2025</t>
        </is>
      </c>
      <c r="B206" s="1" t="n">
        <v>45838.67815972222</v>
      </c>
      <c r="C206" s="1" t="n">
        <v>45983</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45983</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42816-2023</t>
        </is>
      </c>
      <c r="B208" s="1" t="n">
        <v>45182</v>
      </c>
      <c r="C208" s="1" t="n">
        <v>45983</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32888-2025</t>
        </is>
      </c>
      <c r="B209" s="1" t="n">
        <v>45839.60460648148</v>
      </c>
      <c r="C209" s="1" t="n">
        <v>45983</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33513-2025</t>
        </is>
      </c>
      <c r="B210" s="1" t="n">
        <v>45841.52454861111</v>
      </c>
      <c r="C210" s="1" t="n">
        <v>45983</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49387-2024</t>
        </is>
      </c>
      <c r="B211" s="1" t="n">
        <v>45595</v>
      </c>
      <c r="C211" s="1" t="n">
        <v>45983</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34534-2025</t>
        </is>
      </c>
      <c r="B212" s="1" t="n">
        <v>45847.51078703703</v>
      </c>
      <c r="C212" s="1" t="n">
        <v>45983</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49385-2024</t>
        </is>
      </c>
      <c r="B213" s="1" t="n">
        <v>45595</v>
      </c>
      <c r="C213" s="1" t="n">
        <v>45983</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49385-2024 artfynd.xlsx", "A 49385-2024")</f>
        <v/>
      </c>
      <c r="T213">
        <f>HYPERLINK("https://klasma.github.io/Logging_2309/kartor/A 49385-2024 karta.png", "A 49385-2024")</f>
        <v/>
      </c>
      <c r="V213">
        <f>HYPERLINK("https://klasma.github.io/Logging_2309/klagomål/A 49385-2024 FSC-klagomål.docx", "A 49385-2024")</f>
        <v/>
      </c>
      <c r="W213">
        <f>HYPERLINK("https://klasma.github.io/Logging_2309/klagomålsmail/A 49385-2024 FSC-klagomål mail.docx", "A 49385-2024")</f>
        <v/>
      </c>
      <c r="X213">
        <f>HYPERLINK("https://klasma.github.io/Logging_2309/tillsyn/A 49385-2024 tillsynsbegäran.docx", "A 49385-2024")</f>
        <v/>
      </c>
      <c r="Y213">
        <f>HYPERLINK("https://klasma.github.io/Logging_2309/tillsynsmail/A 49385-2024 tillsynsbegäran mail.docx", "A 49385-2024")</f>
        <v/>
      </c>
      <c r="Z213">
        <f>HYPERLINK("https://klasma.github.io/Logging_2309/fåglar/A 49385-2024 prioriterade fågelarter.docx", "A 49385-2024")</f>
        <v/>
      </c>
    </row>
    <row r="214" ht="15" customHeight="1">
      <c r="A214" t="inlineStr">
        <is>
          <t>A 13485-2025</t>
        </is>
      </c>
      <c r="B214" s="1" t="n">
        <v>45736</v>
      </c>
      <c r="C214" s="1" t="n">
        <v>45983</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34520-2025</t>
        </is>
      </c>
      <c r="B215" s="1" t="n">
        <v>45847.46962962963</v>
      </c>
      <c r="C215" s="1" t="n">
        <v>45983</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49175-2024</t>
        </is>
      </c>
      <c r="B216" s="1" t="n">
        <v>45595</v>
      </c>
      <c r="C216" s="1" t="n">
        <v>45983</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4331-2025</t>
        </is>
      </c>
      <c r="B217" s="1" t="n">
        <v>45685.78776620371</v>
      </c>
      <c r="C217" s="1" t="n">
        <v>45983</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27753-2023</t>
        </is>
      </c>
      <c r="B218" s="1" t="n">
        <v>45098</v>
      </c>
      <c r="C218" s="1" t="n">
        <v>45983</v>
      </c>
      <c r="D218" t="inlineStr">
        <is>
          <t>JÄMTLANDS LÄN</t>
        </is>
      </c>
      <c r="E218" t="inlineStr">
        <is>
          <t>KROKOM</t>
        </is>
      </c>
      <c r="F218" t="inlineStr">
        <is>
          <t>Övriga Aktiebolag</t>
        </is>
      </c>
      <c r="G218" t="n">
        <v>20.9</v>
      </c>
      <c r="H218" t="n">
        <v>0</v>
      </c>
      <c r="I218" t="n">
        <v>0</v>
      </c>
      <c r="J218" t="n">
        <v>1</v>
      </c>
      <c r="K218" t="n">
        <v>0</v>
      </c>
      <c r="L218" t="n">
        <v>0</v>
      </c>
      <c r="M218" t="n">
        <v>0</v>
      </c>
      <c r="N218" t="n">
        <v>0</v>
      </c>
      <c r="O218" t="n">
        <v>1</v>
      </c>
      <c r="P218" t="n">
        <v>0</v>
      </c>
      <c r="Q218" t="n">
        <v>1</v>
      </c>
      <c r="R218" s="2" t="inlineStr">
        <is>
          <t>Mörk kolflarnlav</t>
        </is>
      </c>
      <c r="S218">
        <f>HYPERLINK("https://klasma.github.io/Logging_2309/artfynd/A 27753-2023 artfynd.xlsx", "A 27753-2023")</f>
        <v/>
      </c>
      <c r="T218">
        <f>HYPERLINK("https://klasma.github.io/Logging_2309/kartor/A 27753-2023 karta.png", "A 27753-2023")</f>
        <v/>
      </c>
      <c r="V218">
        <f>HYPERLINK("https://klasma.github.io/Logging_2309/klagomål/A 27753-2023 FSC-klagomål.docx", "A 27753-2023")</f>
        <v/>
      </c>
      <c r="W218">
        <f>HYPERLINK("https://klasma.github.io/Logging_2309/klagomålsmail/A 27753-2023 FSC-klagomål mail.docx", "A 27753-2023")</f>
        <v/>
      </c>
      <c r="X218">
        <f>HYPERLINK("https://klasma.github.io/Logging_2309/tillsyn/A 27753-2023 tillsynsbegäran.docx", "A 27753-2023")</f>
        <v/>
      </c>
      <c r="Y218">
        <f>HYPERLINK("https://klasma.github.io/Logging_2309/tillsynsmail/A 27753-2023 tillsynsbegäran mail.docx", "A 27753-2023")</f>
        <v/>
      </c>
    </row>
    <row r="219" ht="15" customHeight="1">
      <c r="A219" t="inlineStr">
        <is>
          <t>A 16426-2024</t>
        </is>
      </c>
      <c r="B219" s="1" t="n">
        <v>45407</v>
      </c>
      <c r="C219" s="1" t="n">
        <v>45983</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52473-2024</t>
        </is>
      </c>
      <c r="B220" s="1" t="n">
        <v>45609</v>
      </c>
      <c r="C220" s="1" t="n">
        <v>45983</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48462-2025</t>
        </is>
      </c>
      <c r="B221" s="1" t="n">
        <v>45936.31701388889</v>
      </c>
      <c r="C221" s="1" t="n">
        <v>45983</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4348-2025</t>
        </is>
      </c>
      <c r="B222" s="1" t="n">
        <v>45686.27208333334</v>
      </c>
      <c r="C222" s="1" t="n">
        <v>45983</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55387-2024</t>
        </is>
      </c>
      <c r="B223" s="1" t="n">
        <v>45622</v>
      </c>
      <c r="C223" s="1" t="n">
        <v>45983</v>
      </c>
      <c r="D223" t="inlineStr">
        <is>
          <t>JÄMTLANDS LÄN</t>
        </is>
      </c>
      <c r="E223" t="inlineStr">
        <is>
          <t>KROKOM</t>
        </is>
      </c>
      <c r="G223" t="n">
        <v>8.6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55387-2024 artfynd.xlsx", "A 55387-2024")</f>
        <v/>
      </c>
      <c r="T223">
        <f>HYPERLINK("https://klasma.github.io/Logging_2309/kartor/A 55387-2024 karta.png", "A 55387-2024")</f>
        <v/>
      </c>
      <c r="V223">
        <f>HYPERLINK("https://klasma.github.io/Logging_2309/klagomål/A 55387-2024 FSC-klagomål.docx", "A 55387-2024")</f>
        <v/>
      </c>
      <c r="W223">
        <f>HYPERLINK("https://klasma.github.io/Logging_2309/klagomålsmail/A 55387-2024 FSC-klagomål mail.docx", "A 55387-2024")</f>
        <v/>
      </c>
      <c r="X223">
        <f>HYPERLINK("https://klasma.github.io/Logging_2309/tillsyn/A 55387-2024 tillsynsbegäran.docx", "A 55387-2024")</f>
        <v/>
      </c>
      <c r="Y223">
        <f>HYPERLINK("https://klasma.github.io/Logging_2309/tillsynsmail/A 55387-2024 tillsynsbegäran mail.docx", "A 55387-2024")</f>
        <v/>
      </c>
      <c r="Z223">
        <f>HYPERLINK("https://klasma.github.io/Logging_2309/fåglar/A 55387-2024 prioriterade fågelarter.docx", "A 55387-2024")</f>
        <v/>
      </c>
    </row>
    <row r="224" ht="15" customHeight="1">
      <c r="A224" t="inlineStr">
        <is>
          <t>A 5919-2025</t>
        </is>
      </c>
      <c r="B224" s="1" t="n">
        <v>45695.42197916667</v>
      </c>
      <c r="C224" s="1" t="n">
        <v>45983</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38253-2025</t>
        </is>
      </c>
      <c r="B225" s="1" t="n">
        <v>45883.37883101852</v>
      </c>
      <c r="C225" s="1" t="n">
        <v>45983</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16125-2025</t>
        </is>
      </c>
      <c r="B226" s="1" t="n">
        <v>45750.42127314815</v>
      </c>
      <c r="C226" s="1" t="n">
        <v>45983</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45983</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58012-2025</t>
        </is>
      </c>
      <c r="B228" s="1" t="n">
        <v>45982.46929398148</v>
      </c>
      <c r="C228" s="1" t="n">
        <v>45983</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42258-2023</t>
        </is>
      </c>
      <c r="B229" s="1" t="n">
        <v>45180</v>
      </c>
      <c r="C229" s="1" t="n">
        <v>45983</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26231-2024</t>
        </is>
      </c>
      <c r="B230" s="1" t="n">
        <v>45467</v>
      </c>
      <c r="C230" s="1" t="n">
        <v>45983</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30771-2023</t>
        </is>
      </c>
      <c r="B231" s="1" t="n">
        <v>45112</v>
      </c>
      <c r="C231" s="1" t="n">
        <v>45983</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32756-2023</t>
        </is>
      </c>
      <c r="B232" s="1" t="n">
        <v>45123</v>
      </c>
      <c r="C232" s="1" t="n">
        <v>45983</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7005-2022</t>
        </is>
      </c>
      <c r="B233" s="1" t="n">
        <v>44603</v>
      </c>
      <c r="C233" s="1" t="n">
        <v>45983</v>
      </c>
      <c r="D233" t="inlineStr">
        <is>
          <t>JÄMTLANDS LÄN</t>
        </is>
      </c>
      <c r="E233" t="inlineStr">
        <is>
          <t>KROKOM</t>
        </is>
      </c>
      <c r="G233" t="n">
        <v>46</v>
      </c>
      <c r="H233" t="n">
        <v>0</v>
      </c>
      <c r="I233" t="n">
        <v>1</v>
      </c>
      <c r="J233" t="n">
        <v>0</v>
      </c>
      <c r="K233" t="n">
        <v>0</v>
      </c>
      <c r="L233" t="n">
        <v>0</v>
      </c>
      <c r="M233" t="n">
        <v>0</v>
      </c>
      <c r="N233" t="n">
        <v>0</v>
      </c>
      <c r="O233" t="n">
        <v>0</v>
      </c>
      <c r="P233" t="n">
        <v>0</v>
      </c>
      <c r="Q233" t="n">
        <v>1</v>
      </c>
      <c r="R233" s="2" t="inlineStr">
        <is>
          <t>Stuplav</t>
        </is>
      </c>
      <c r="S233">
        <f>HYPERLINK("https://klasma.github.io/Logging_2309/artfynd/A 7005-2022 artfynd.xlsx", "A 7005-2022")</f>
        <v/>
      </c>
      <c r="T233">
        <f>HYPERLINK("https://klasma.github.io/Logging_2309/kartor/A 7005-2022 karta.png", "A 7005-2022")</f>
        <v/>
      </c>
      <c r="V233">
        <f>HYPERLINK("https://klasma.github.io/Logging_2309/klagomål/A 7005-2022 FSC-klagomål.docx", "A 7005-2022")</f>
        <v/>
      </c>
      <c r="W233">
        <f>HYPERLINK("https://klasma.github.io/Logging_2309/klagomålsmail/A 7005-2022 FSC-klagomål mail.docx", "A 7005-2022")</f>
        <v/>
      </c>
      <c r="X233">
        <f>HYPERLINK("https://klasma.github.io/Logging_2309/tillsyn/A 7005-2022 tillsynsbegäran.docx", "A 7005-2022")</f>
        <v/>
      </c>
      <c r="Y233">
        <f>HYPERLINK("https://klasma.github.io/Logging_2309/tillsynsmail/A 7005-2022 tillsynsbegäran mail.docx", "A 7005-2022")</f>
        <v/>
      </c>
    </row>
    <row r="234" ht="15" customHeight="1">
      <c r="A234" t="inlineStr">
        <is>
          <t>A 49388-2024</t>
        </is>
      </c>
      <c r="B234" s="1" t="n">
        <v>45595</v>
      </c>
      <c r="C234" s="1" t="n">
        <v>45983</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814-2022</t>
        </is>
      </c>
      <c r="B235" s="1" t="n">
        <v>44568</v>
      </c>
      <c r="C235" s="1" t="n">
        <v>45983</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6705-2025</t>
        </is>
      </c>
      <c r="B236" s="1" t="n">
        <v>45700</v>
      </c>
      <c r="C236" s="1" t="n">
        <v>45983</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7208-2025</t>
        </is>
      </c>
      <c r="B237" s="1" t="n">
        <v>45702.47149305556</v>
      </c>
      <c r="C237" s="1" t="n">
        <v>45983</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45983</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45983</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45983</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45983</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45983</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19984-2021</t>
        </is>
      </c>
      <c r="B243" s="1" t="n">
        <v>44313</v>
      </c>
      <c r="C243" s="1" t="n">
        <v>45983</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45983</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45983</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45983</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45983</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45983</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68387-2020</t>
        </is>
      </c>
      <c r="B249" s="1" t="n">
        <v>44183</v>
      </c>
      <c r="C249" s="1" t="n">
        <v>45983</v>
      </c>
      <c r="D249" t="inlineStr">
        <is>
          <t>JÄMTLANDS LÄN</t>
        </is>
      </c>
      <c r="E249" t="inlineStr">
        <is>
          <t>KROKOM</t>
        </is>
      </c>
      <c r="G249" t="n">
        <v>1.3</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45983</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66774-2020</t>
        </is>
      </c>
      <c r="B251" s="1" t="n">
        <v>44175</v>
      </c>
      <c r="C251" s="1" t="n">
        <v>45983</v>
      </c>
      <c r="D251" t="inlineStr">
        <is>
          <t>JÄMTLANDS LÄN</t>
        </is>
      </c>
      <c r="E251" t="inlineStr">
        <is>
          <t>KROKOM</t>
        </is>
      </c>
      <c r="G251" t="n">
        <v>1.8</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45983</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45983</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45983</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45983</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45983</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45983</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45983</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45983</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45983</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45983</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45983</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11530-2021</t>
        </is>
      </c>
      <c r="B263" s="1" t="n">
        <v>44263</v>
      </c>
      <c r="C263" s="1" t="n">
        <v>45983</v>
      </c>
      <c r="D263" t="inlineStr">
        <is>
          <t>JÄMTLANDS LÄN</t>
        </is>
      </c>
      <c r="E263" t="inlineStr">
        <is>
          <t>KROKOM</t>
        </is>
      </c>
      <c r="G263" t="n">
        <v>9</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45983</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45983</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45983</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45983</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45983</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45983</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45983</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45983</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45983</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45983</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45983</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45983</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45983</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45983</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10008-2021</t>
        </is>
      </c>
      <c r="B278" s="1" t="n">
        <v>44255</v>
      </c>
      <c r="C278" s="1" t="n">
        <v>45983</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45983</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45983</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45983</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45983</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45983</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45983</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45983</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45983</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45983</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45983</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45983</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45983</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45983</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45983</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45983</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45983</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45983</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45983</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45983</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45983</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45983</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45983</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45983</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45983</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45983</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45983</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52801-2022</t>
        </is>
      </c>
      <c r="B305" s="1" t="n">
        <v>44875.41104166667</v>
      </c>
      <c r="C305" s="1" t="n">
        <v>45983</v>
      </c>
      <c r="D305" t="inlineStr">
        <is>
          <t>JÄMTLANDS LÄN</t>
        </is>
      </c>
      <c r="E305" t="inlineStr">
        <is>
          <t>KROKOM</t>
        </is>
      </c>
      <c r="G305" t="n">
        <v>3.1</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45983</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24612-2022</t>
        </is>
      </c>
      <c r="B307" s="1" t="n">
        <v>44727</v>
      </c>
      <c r="C307" s="1" t="n">
        <v>45983</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15455-2021</t>
        </is>
      </c>
      <c r="B308" s="1" t="n">
        <v>44285</v>
      </c>
      <c r="C308" s="1" t="n">
        <v>45983</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45983</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45983</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45983</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45983</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34769-2021</t>
        </is>
      </c>
      <c r="B313" s="1" t="n">
        <v>44382.92065972222</v>
      </c>
      <c r="C313" s="1" t="n">
        <v>45983</v>
      </c>
      <c r="D313" t="inlineStr">
        <is>
          <t>JÄMTLANDS LÄN</t>
        </is>
      </c>
      <c r="E313" t="inlineStr">
        <is>
          <t>KROKOM</t>
        </is>
      </c>
      <c r="G313" t="n">
        <v>14.5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45983</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45983</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45983</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1756-2021</t>
        </is>
      </c>
      <c r="B317" s="1" t="n">
        <v>44209</v>
      </c>
      <c r="C317" s="1" t="n">
        <v>45983</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45983</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25031-2022</t>
        </is>
      </c>
      <c r="B319" s="1" t="n">
        <v>44728.94420138889</v>
      </c>
      <c r="C319" s="1" t="n">
        <v>45983</v>
      </c>
      <c r="D319" t="inlineStr">
        <is>
          <t>JÄMTLANDS LÄN</t>
        </is>
      </c>
      <c r="E319" t="inlineStr">
        <is>
          <t>KROKOM</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45983</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45983</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45983</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45983</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45983</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45983</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15425-2021</t>
        </is>
      </c>
      <c r="B326" s="1" t="n">
        <v>44284</v>
      </c>
      <c r="C326" s="1" t="n">
        <v>45983</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45983</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45983</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45983</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45983</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45983</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45983</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65433-2020</t>
        </is>
      </c>
      <c r="B333" s="1" t="n">
        <v>44169</v>
      </c>
      <c r="C333" s="1" t="n">
        <v>45983</v>
      </c>
      <c r="D333" t="inlineStr">
        <is>
          <t>JÄMTLANDS LÄN</t>
        </is>
      </c>
      <c r="E333" t="inlineStr">
        <is>
          <t>KROKOM</t>
        </is>
      </c>
      <c r="G333" t="n">
        <v>0.3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45983</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45983</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45983</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45983</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45983</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45983</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9948-2025</t>
        </is>
      </c>
      <c r="B340" s="1" t="n">
        <v>45719.32584490741</v>
      </c>
      <c r="C340" s="1" t="n">
        <v>45983</v>
      </c>
      <c r="D340" t="inlineStr">
        <is>
          <t>JÄMTLANDS LÄN</t>
        </is>
      </c>
      <c r="E340" t="inlineStr">
        <is>
          <t>KROKOM</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17090-2024</t>
        </is>
      </c>
      <c r="B341" s="1" t="n">
        <v>45412.51260416667</v>
      </c>
      <c r="C341" s="1" t="n">
        <v>45983</v>
      </c>
      <c r="D341" t="inlineStr">
        <is>
          <t>JÄMTLANDS LÄN</t>
        </is>
      </c>
      <c r="E341" t="inlineStr">
        <is>
          <t>KROKOM</t>
        </is>
      </c>
      <c r="G341" t="n">
        <v>1.1</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45983</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45983</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45983</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13249-2024</t>
        </is>
      </c>
      <c r="B345" s="1" t="n">
        <v>45386</v>
      </c>
      <c r="C345" s="1" t="n">
        <v>45983</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17298-2024</t>
        </is>
      </c>
      <c r="B346" s="1" t="n">
        <v>45414.486875</v>
      </c>
      <c r="C346" s="1" t="n">
        <v>45983</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row>
    <row r="347" ht="15" customHeight="1">
      <c r="A347" t="inlineStr">
        <is>
          <t>A 39696-2024</t>
        </is>
      </c>
      <c r="B347" s="1" t="n">
        <v>45552.57210648148</v>
      </c>
      <c r="C347" s="1" t="n">
        <v>45983</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45983</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45983</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45983</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45983</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6900-2024</t>
        </is>
      </c>
      <c r="B352" s="1" t="n">
        <v>45342</v>
      </c>
      <c r="C352" s="1" t="n">
        <v>45983</v>
      </c>
      <c r="D352" t="inlineStr">
        <is>
          <t>JÄMTLANDS LÄN</t>
        </is>
      </c>
      <c r="E352" t="inlineStr">
        <is>
          <t>KROKOM</t>
        </is>
      </c>
      <c r="F352" t="inlineStr">
        <is>
          <t>SCA</t>
        </is>
      </c>
      <c r="G352" t="n">
        <v>64.59999999999999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45983</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6627-2025</t>
        </is>
      </c>
      <c r="B354" s="1" t="n">
        <v>45700.37127314815</v>
      </c>
      <c r="C354" s="1" t="n">
        <v>45983</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6629-2025</t>
        </is>
      </c>
      <c r="B355" s="1" t="n">
        <v>45700.37481481482</v>
      </c>
      <c r="C355" s="1" t="n">
        <v>45983</v>
      </c>
      <c r="D355" t="inlineStr">
        <is>
          <t>JÄMTLANDS LÄN</t>
        </is>
      </c>
      <c r="E355" t="inlineStr">
        <is>
          <t>KROKOM</t>
        </is>
      </c>
      <c r="F355" t="inlineStr">
        <is>
          <t>Övriga Aktiebolag</t>
        </is>
      </c>
      <c r="G355" t="n">
        <v>24.8</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45983</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45983</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45983</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42210-2022</t>
        </is>
      </c>
      <c r="B359" s="1" t="n">
        <v>44830</v>
      </c>
      <c r="C359" s="1" t="n">
        <v>45983</v>
      </c>
      <c r="D359" t="inlineStr">
        <is>
          <t>JÄMTLANDS LÄN</t>
        </is>
      </c>
      <c r="E359" t="inlineStr">
        <is>
          <t>KROKOM</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21000-2021</t>
        </is>
      </c>
      <c r="B360" s="1" t="n">
        <v>44316</v>
      </c>
      <c r="C360" s="1" t="n">
        <v>45983</v>
      </c>
      <c r="D360" t="inlineStr">
        <is>
          <t>JÄMTLANDS LÄN</t>
        </is>
      </c>
      <c r="E360" t="inlineStr">
        <is>
          <t>KROKOM</t>
        </is>
      </c>
      <c r="G360" t="n">
        <v>2.5</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45983</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43426-2022</t>
        </is>
      </c>
      <c r="B362" s="1" t="n">
        <v>44834.95019675926</v>
      </c>
      <c r="C362" s="1" t="n">
        <v>45983</v>
      </c>
      <c r="D362" t="inlineStr">
        <is>
          <t>JÄMTLANDS LÄN</t>
        </is>
      </c>
      <c r="E362" t="inlineStr">
        <is>
          <t>KROKOM</t>
        </is>
      </c>
      <c r="F362" t="inlineStr">
        <is>
          <t>SCA</t>
        </is>
      </c>
      <c r="G362" t="n">
        <v>34.4</v>
      </c>
      <c r="H362" t="n">
        <v>0</v>
      </c>
      <c r="I362" t="n">
        <v>0</v>
      </c>
      <c r="J362" t="n">
        <v>0</v>
      </c>
      <c r="K362" t="n">
        <v>0</v>
      </c>
      <c r="L362" t="n">
        <v>0</v>
      </c>
      <c r="M362" t="n">
        <v>0</v>
      </c>
      <c r="N362" t="n">
        <v>0</v>
      </c>
      <c r="O362" t="n">
        <v>0</v>
      </c>
      <c r="P362" t="n">
        <v>0</v>
      </c>
      <c r="Q362" t="n">
        <v>0</v>
      </c>
      <c r="R362" s="2" t="inlineStr"/>
    </row>
    <row r="363" ht="15" customHeight="1">
      <c r="A363" t="inlineStr">
        <is>
          <t>A 59293-2023</t>
        </is>
      </c>
      <c r="B363" s="1" t="n">
        <v>45253</v>
      </c>
      <c r="C363" s="1" t="n">
        <v>45983</v>
      </c>
      <c r="D363" t="inlineStr">
        <is>
          <t>JÄMTLANDS LÄN</t>
        </is>
      </c>
      <c r="E363" t="inlineStr">
        <is>
          <t>KROKOM</t>
        </is>
      </c>
      <c r="G363" t="n">
        <v>5.4</v>
      </c>
      <c r="H363" t="n">
        <v>0</v>
      </c>
      <c r="I363" t="n">
        <v>0</v>
      </c>
      <c r="J363" t="n">
        <v>0</v>
      </c>
      <c r="K363" t="n">
        <v>0</v>
      </c>
      <c r="L363" t="n">
        <v>0</v>
      </c>
      <c r="M363" t="n">
        <v>0</v>
      </c>
      <c r="N363" t="n">
        <v>0</v>
      </c>
      <c r="O363" t="n">
        <v>0</v>
      </c>
      <c r="P363" t="n">
        <v>0</v>
      </c>
      <c r="Q363" t="n">
        <v>0</v>
      </c>
      <c r="R363" s="2" t="inlineStr"/>
    </row>
    <row r="364" ht="15" customHeight="1">
      <c r="A364" t="inlineStr">
        <is>
          <t>A 24387-2023</t>
        </is>
      </c>
      <c r="B364" s="1" t="n">
        <v>45082</v>
      </c>
      <c r="C364" s="1" t="n">
        <v>45983</v>
      </c>
      <c r="D364" t="inlineStr">
        <is>
          <t>JÄMTLANDS LÄN</t>
        </is>
      </c>
      <c r="E364" t="inlineStr">
        <is>
          <t>KROKOM</t>
        </is>
      </c>
      <c r="F364" t="inlineStr">
        <is>
          <t>Kyrkan</t>
        </is>
      </c>
      <c r="G364" t="n">
        <v>21.2</v>
      </c>
      <c r="H364" t="n">
        <v>0</v>
      </c>
      <c r="I364" t="n">
        <v>0</v>
      </c>
      <c r="J364" t="n">
        <v>0</v>
      </c>
      <c r="K364" t="n">
        <v>0</v>
      </c>
      <c r="L364" t="n">
        <v>0</v>
      </c>
      <c r="M364" t="n">
        <v>0</v>
      </c>
      <c r="N364" t="n">
        <v>0</v>
      </c>
      <c r="O364" t="n">
        <v>0</v>
      </c>
      <c r="P364" t="n">
        <v>0</v>
      </c>
      <c r="Q364" t="n">
        <v>0</v>
      </c>
      <c r="R364" s="2" t="inlineStr"/>
    </row>
    <row r="365" ht="15" customHeight="1">
      <c r="A365" t="inlineStr">
        <is>
          <t>A 53765-2022</t>
        </is>
      </c>
      <c r="B365" s="1" t="n">
        <v>44875</v>
      </c>
      <c r="C365" s="1" t="n">
        <v>45983</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45983</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22297-2025</t>
        </is>
      </c>
      <c r="B367" s="1" t="n">
        <v>45786.35219907408</v>
      </c>
      <c r="C367" s="1" t="n">
        <v>45983</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53402-2022</t>
        </is>
      </c>
      <c r="B368" s="1" t="n">
        <v>44874</v>
      </c>
      <c r="C368" s="1" t="n">
        <v>45983</v>
      </c>
      <c r="D368" t="inlineStr">
        <is>
          <t>JÄMTLANDS LÄN</t>
        </is>
      </c>
      <c r="E368" t="inlineStr">
        <is>
          <t>KROKOM</t>
        </is>
      </c>
      <c r="G368" t="n">
        <v>36.7</v>
      </c>
      <c r="H368" t="n">
        <v>0</v>
      </c>
      <c r="I368" t="n">
        <v>0</v>
      </c>
      <c r="J368" t="n">
        <v>0</v>
      </c>
      <c r="K368" t="n">
        <v>0</v>
      </c>
      <c r="L368" t="n">
        <v>0</v>
      </c>
      <c r="M368" t="n">
        <v>0</v>
      </c>
      <c r="N368" t="n">
        <v>0</v>
      </c>
      <c r="O368" t="n">
        <v>0</v>
      </c>
      <c r="P368" t="n">
        <v>0</v>
      </c>
      <c r="Q368" t="n">
        <v>0</v>
      </c>
      <c r="R368" s="2" t="inlineStr"/>
    </row>
    <row r="369" ht="15" customHeight="1">
      <c r="A369" t="inlineStr">
        <is>
          <t>A 22122-2025</t>
        </is>
      </c>
      <c r="B369" s="1" t="n">
        <v>45785.52112268518</v>
      </c>
      <c r="C369" s="1" t="n">
        <v>45983</v>
      </c>
      <c r="D369" t="inlineStr">
        <is>
          <t>JÄMTLANDS LÄN</t>
        </is>
      </c>
      <c r="E369" t="inlineStr">
        <is>
          <t>KROKOM</t>
        </is>
      </c>
      <c r="G369" t="n">
        <v>9.6</v>
      </c>
      <c r="H369" t="n">
        <v>0</v>
      </c>
      <c r="I369" t="n">
        <v>0</v>
      </c>
      <c r="J369" t="n">
        <v>0</v>
      </c>
      <c r="K369" t="n">
        <v>0</v>
      </c>
      <c r="L369" t="n">
        <v>0</v>
      </c>
      <c r="M369" t="n">
        <v>0</v>
      </c>
      <c r="N369" t="n">
        <v>0</v>
      </c>
      <c r="O369" t="n">
        <v>0</v>
      </c>
      <c r="P369" t="n">
        <v>0</v>
      </c>
      <c r="Q369" t="n">
        <v>0</v>
      </c>
      <c r="R369" s="2" t="inlineStr"/>
    </row>
    <row r="370" ht="15" customHeight="1">
      <c r="A370" t="inlineStr">
        <is>
          <t>A 22132-2025</t>
        </is>
      </c>
      <c r="B370" s="1" t="n">
        <v>45785.5403125</v>
      </c>
      <c r="C370" s="1" t="n">
        <v>45983</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22136-2025</t>
        </is>
      </c>
      <c r="B371" s="1" t="n">
        <v>45785.54635416667</v>
      </c>
      <c r="C371" s="1" t="n">
        <v>45983</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22304-2025</t>
        </is>
      </c>
      <c r="B372" s="1" t="n">
        <v>45786</v>
      </c>
      <c r="C372" s="1" t="n">
        <v>45983</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22499-2025</t>
        </is>
      </c>
      <c r="B373" s="1" t="n">
        <v>45786.65702546296</v>
      </c>
      <c r="C373" s="1" t="n">
        <v>45983</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58347-2022</t>
        </is>
      </c>
      <c r="B374" s="1" t="n">
        <v>44901.59349537037</v>
      </c>
      <c r="C374" s="1" t="n">
        <v>45983</v>
      </c>
      <c r="D374" t="inlineStr">
        <is>
          <t>JÄMTLANDS LÄN</t>
        </is>
      </c>
      <c r="E374" t="inlineStr">
        <is>
          <t>KROKOM</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40271-2024</t>
        </is>
      </c>
      <c r="B375" s="1" t="n">
        <v>45554</v>
      </c>
      <c r="C375" s="1" t="n">
        <v>45983</v>
      </c>
      <c r="D375" t="inlineStr">
        <is>
          <t>JÄMTLANDS LÄN</t>
        </is>
      </c>
      <c r="E375" t="inlineStr">
        <is>
          <t>KROKOM</t>
        </is>
      </c>
      <c r="F375" t="inlineStr">
        <is>
          <t>Övriga Aktiebolag</t>
        </is>
      </c>
      <c r="G375" t="n">
        <v>3</v>
      </c>
      <c r="H375" t="n">
        <v>0</v>
      </c>
      <c r="I375" t="n">
        <v>0</v>
      </c>
      <c r="J375" t="n">
        <v>0</v>
      </c>
      <c r="K375" t="n">
        <v>0</v>
      </c>
      <c r="L375" t="n">
        <v>0</v>
      </c>
      <c r="M375" t="n">
        <v>0</v>
      </c>
      <c r="N375" t="n">
        <v>0</v>
      </c>
      <c r="O375" t="n">
        <v>0</v>
      </c>
      <c r="P375" t="n">
        <v>0</v>
      </c>
      <c r="Q375" t="n">
        <v>0</v>
      </c>
      <c r="R375" s="2" t="inlineStr"/>
    </row>
    <row r="376" ht="15" customHeight="1">
      <c r="A376" t="inlineStr">
        <is>
          <t>A 22503-2025</t>
        </is>
      </c>
      <c r="B376" s="1" t="n">
        <v>45786.66140046297</v>
      </c>
      <c r="C376" s="1" t="n">
        <v>45983</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9388-2025</t>
        </is>
      </c>
      <c r="B377" s="1" t="n">
        <v>45715</v>
      </c>
      <c r="C377" s="1" t="n">
        <v>45983</v>
      </c>
      <c r="D377" t="inlineStr">
        <is>
          <t>JÄMTLANDS LÄN</t>
        </is>
      </c>
      <c r="E377" t="inlineStr">
        <is>
          <t>KROKOM</t>
        </is>
      </c>
      <c r="F377" t="inlineStr">
        <is>
          <t>Övriga Aktiebolag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27224-2024</t>
        </is>
      </c>
      <c r="B378" s="1" t="n">
        <v>45471.63390046296</v>
      </c>
      <c r="C378" s="1" t="n">
        <v>45983</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1877-2023</t>
        </is>
      </c>
      <c r="B379" s="1" t="n">
        <v>44938.93989583333</v>
      </c>
      <c r="C379" s="1" t="n">
        <v>45983</v>
      </c>
      <c r="D379" t="inlineStr">
        <is>
          <t>JÄMTLANDS LÄN</t>
        </is>
      </c>
      <c r="E379" t="inlineStr">
        <is>
          <t>KROKOM</t>
        </is>
      </c>
      <c r="G379" t="n">
        <v>11.1</v>
      </c>
      <c r="H379" t="n">
        <v>0</v>
      </c>
      <c r="I379" t="n">
        <v>0</v>
      </c>
      <c r="J379" t="n">
        <v>0</v>
      </c>
      <c r="K379" t="n">
        <v>0</v>
      </c>
      <c r="L379" t="n">
        <v>0</v>
      </c>
      <c r="M379" t="n">
        <v>0</v>
      </c>
      <c r="N379" t="n">
        <v>0</v>
      </c>
      <c r="O379" t="n">
        <v>0</v>
      </c>
      <c r="P379" t="n">
        <v>0</v>
      </c>
      <c r="Q379" t="n">
        <v>0</v>
      </c>
      <c r="R379" s="2" t="inlineStr"/>
    </row>
    <row r="380" ht="15" customHeight="1">
      <c r="A380" t="inlineStr">
        <is>
          <t>A 55914-2023</t>
        </is>
      </c>
      <c r="B380" s="1" t="n">
        <v>45239.9681712963</v>
      </c>
      <c r="C380" s="1" t="n">
        <v>45983</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22115-2025</t>
        </is>
      </c>
      <c r="B381" s="1" t="n">
        <v>45785.51092592593</v>
      </c>
      <c r="C381" s="1" t="n">
        <v>45983</v>
      </c>
      <c r="D381" t="inlineStr">
        <is>
          <t>JÄMTLANDS LÄN</t>
        </is>
      </c>
      <c r="E381" t="inlineStr">
        <is>
          <t>KROKOM</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38416-2025</t>
        </is>
      </c>
      <c r="B382" s="1" t="n">
        <v>45883.61028935185</v>
      </c>
      <c r="C382" s="1" t="n">
        <v>45983</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22731-2025</t>
        </is>
      </c>
      <c r="B383" s="1" t="n">
        <v>45789.58238425926</v>
      </c>
      <c r="C383" s="1" t="n">
        <v>45983</v>
      </c>
      <c r="D383" t="inlineStr">
        <is>
          <t>JÄMTLANDS LÄN</t>
        </is>
      </c>
      <c r="E383" t="inlineStr">
        <is>
          <t>KROKOM</t>
        </is>
      </c>
      <c r="G383" t="n">
        <v>0.8</v>
      </c>
      <c r="H383" t="n">
        <v>0</v>
      </c>
      <c r="I383" t="n">
        <v>0</v>
      </c>
      <c r="J383" t="n">
        <v>0</v>
      </c>
      <c r="K383" t="n">
        <v>0</v>
      </c>
      <c r="L383" t="n">
        <v>0</v>
      </c>
      <c r="M383" t="n">
        <v>0</v>
      </c>
      <c r="N383" t="n">
        <v>0</v>
      </c>
      <c r="O383" t="n">
        <v>0</v>
      </c>
      <c r="P383" t="n">
        <v>0</v>
      </c>
      <c r="Q383" t="n">
        <v>0</v>
      </c>
      <c r="R383" s="2" t="inlineStr"/>
    </row>
    <row r="384" ht="15" customHeight="1">
      <c r="A384" t="inlineStr">
        <is>
          <t>A 22751-2025</t>
        </is>
      </c>
      <c r="B384" s="1" t="n">
        <v>45789.61349537037</v>
      </c>
      <c r="C384" s="1" t="n">
        <v>45983</v>
      </c>
      <c r="D384" t="inlineStr">
        <is>
          <t>JÄMTLANDS LÄN</t>
        </is>
      </c>
      <c r="E384" t="inlineStr">
        <is>
          <t>KROKOM</t>
        </is>
      </c>
      <c r="G384" t="n">
        <v>4.5</v>
      </c>
      <c r="H384" t="n">
        <v>0</v>
      </c>
      <c r="I384" t="n">
        <v>0</v>
      </c>
      <c r="J384" t="n">
        <v>0</v>
      </c>
      <c r="K384" t="n">
        <v>0</v>
      </c>
      <c r="L384" t="n">
        <v>0</v>
      </c>
      <c r="M384" t="n">
        <v>0</v>
      </c>
      <c r="N384" t="n">
        <v>0</v>
      </c>
      <c r="O384" t="n">
        <v>0</v>
      </c>
      <c r="P384" t="n">
        <v>0</v>
      </c>
      <c r="Q384" t="n">
        <v>0</v>
      </c>
      <c r="R384" s="2" t="inlineStr"/>
    </row>
    <row r="385" ht="15" customHeight="1">
      <c r="A385" t="inlineStr">
        <is>
          <t>A 27597-2024</t>
        </is>
      </c>
      <c r="B385" s="1" t="n">
        <v>45474.69155092593</v>
      </c>
      <c r="C385" s="1" t="n">
        <v>45983</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36079-2021</t>
        </is>
      </c>
      <c r="B386" s="1" t="n">
        <v>44389</v>
      </c>
      <c r="C386" s="1" t="n">
        <v>45983</v>
      </c>
      <c r="D386" t="inlineStr">
        <is>
          <t>JÄMTLANDS LÄN</t>
        </is>
      </c>
      <c r="E386" t="inlineStr">
        <is>
          <t>KROKOM</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45983</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56361-2023</t>
        </is>
      </c>
      <c r="B388" s="1" t="n">
        <v>45243.37567129629</v>
      </c>
      <c r="C388" s="1" t="n">
        <v>45983</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14827-2024</t>
        </is>
      </c>
      <c r="B389" s="1" t="n">
        <v>45398</v>
      </c>
      <c r="C389" s="1" t="n">
        <v>45983</v>
      </c>
      <c r="D389" t="inlineStr">
        <is>
          <t>JÄMTLANDS LÄN</t>
        </is>
      </c>
      <c r="E389" t="inlineStr">
        <is>
          <t>KROKOM</t>
        </is>
      </c>
      <c r="G389" t="n">
        <v>10</v>
      </c>
      <c r="H389" t="n">
        <v>0</v>
      </c>
      <c r="I389" t="n">
        <v>0</v>
      </c>
      <c r="J389" t="n">
        <v>0</v>
      </c>
      <c r="K389" t="n">
        <v>0</v>
      </c>
      <c r="L389" t="n">
        <v>0</v>
      </c>
      <c r="M389" t="n">
        <v>0</v>
      </c>
      <c r="N389" t="n">
        <v>0</v>
      </c>
      <c r="O389" t="n">
        <v>0</v>
      </c>
      <c r="P389" t="n">
        <v>0</v>
      </c>
      <c r="Q389" t="n">
        <v>0</v>
      </c>
      <c r="R389" s="2" t="inlineStr"/>
    </row>
    <row r="390" ht="15" customHeight="1">
      <c r="A390" t="inlineStr">
        <is>
          <t>A 24333-2024</t>
        </is>
      </c>
      <c r="B390" s="1" t="n">
        <v>45457.55922453704</v>
      </c>
      <c r="C390" s="1" t="n">
        <v>45983</v>
      </c>
      <c r="D390" t="inlineStr">
        <is>
          <t>JÄMTLANDS LÄN</t>
        </is>
      </c>
      <c r="E390" t="inlineStr">
        <is>
          <t>KROKOM</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58136-2024</t>
        </is>
      </c>
      <c r="B391" s="1" t="n">
        <v>45632</v>
      </c>
      <c r="C391" s="1" t="n">
        <v>45983</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61615-2023</t>
        </is>
      </c>
      <c r="B392" s="1" t="n">
        <v>45265.52887731481</v>
      </c>
      <c r="C392" s="1" t="n">
        <v>45983</v>
      </c>
      <c r="D392" t="inlineStr">
        <is>
          <t>JÄMTLANDS LÄN</t>
        </is>
      </c>
      <c r="E392" t="inlineStr">
        <is>
          <t>KROKOM</t>
        </is>
      </c>
      <c r="G392" t="n">
        <v>3.9</v>
      </c>
      <c r="H392" t="n">
        <v>0</v>
      </c>
      <c r="I392" t="n">
        <v>0</v>
      </c>
      <c r="J392" t="n">
        <v>0</v>
      </c>
      <c r="K392" t="n">
        <v>0</v>
      </c>
      <c r="L392" t="n">
        <v>0</v>
      </c>
      <c r="M392" t="n">
        <v>0</v>
      </c>
      <c r="N392" t="n">
        <v>0</v>
      </c>
      <c r="O392" t="n">
        <v>0</v>
      </c>
      <c r="P392" t="n">
        <v>0</v>
      </c>
      <c r="Q392" t="n">
        <v>0</v>
      </c>
      <c r="R392" s="2" t="inlineStr"/>
    </row>
    <row r="393" ht="15" customHeight="1">
      <c r="A393" t="inlineStr">
        <is>
          <t>A 15638-2025</t>
        </is>
      </c>
      <c r="B393" s="1" t="n">
        <v>45748.3822337963</v>
      </c>
      <c r="C393" s="1" t="n">
        <v>45983</v>
      </c>
      <c r="D393" t="inlineStr">
        <is>
          <t>JÄMTLANDS LÄN</t>
        </is>
      </c>
      <c r="E393" t="inlineStr">
        <is>
          <t>KROKOM</t>
        </is>
      </c>
      <c r="F393" t="inlineStr">
        <is>
          <t>Kyrkan</t>
        </is>
      </c>
      <c r="G393" t="n">
        <v>5.9</v>
      </c>
      <c r="H393" t="n">
        <v>0</v>
      </c>
      <c r="I393" t="n">
        <v>0</v>
      </c>
      <c r="J393" t="n">
        <v>0</v>
      </c>
      <c r="K393" t="n">
        <v>0</v>
      </c>
      <c r="L393" t="n">
        <v>0</v>
      </c>
      <c r="M393" t="n">
        <v>0</v>
      </c>
      <c r="N393" t="n">
        <v>0</v>
      </c>
      <c r="O393" t="n">
        <v>0</v>
      </c>
      <c r="P393" t="n">
        <v>0</v>
      </c>
      <c r="Q393" t="n">
        <v>0</v>
      </c>
      <c r="R393" s="2" t="inlineStr"/>
    </row>
    <row r="394" ht="15" customHeight="1">
      <c r="A394" t="inlineStr">
        <is>
          <t>A 23665-2024</t>
        </is>
      </c>
      <c r="B394" s="1" t="n">
        <v>45454.57899305555</v>
      </c>
      <c r="C394" s="1" t="n">
        <v>45983</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58355-2023</t>
        </is>
      </c>
      <c r="B395" s="1" t="n">
        <v>45250</v>
      </c>
      <c r="C395" s="1" t="n">
        <v>45983</v>
      </c>
      <c r="D395" t="inlineStr">
        <is>
          <t>JÄMTLANDS LÄN</t>
        </is>
      </c>
      <c r="E395" t="inlineStr">
        <is>
          <t>KROKOM</t>
        </is>
      </c>
      <c r="F395" t="inlineStr">
        <is>
          <t>Övriga Aktiebolag</t>
        </is>
      </c>
      <c r="G395" t="n">
        <v>6.6</v>
      </c>
      <c r="H395" t="n">
        <v>0</v>
      </c>
      <c r="I395" t="n">
        <v>0</v>
      </c>
      <c r="J395" t="n">
        <v>0</v>
      </c>
      <c r="K395" t="n">
        <v>0</v>
      </c>
      <c r="L395" t="n">
        <v>0</v>
      </c>
      <c r="M395" t="n">
        <v>0</v>
      </c>
      <c r="N395" t="n">
        <v>0</v>
      </c>
      <c r="O395" t="n">
        <v>0</v>
      </c>
      <c r="P395" t="n">
        <v>0</v>
      </c>
      <c r="Q395" t="n">
        <v>0</v>
      </c>
      <c r="R395" s="2" t="inlineStr"/>
    </row>
    <row r="396" ht="15" customHeight="1">
      <c r="A396" t="inlineStr">
        <is>
          <t>A 24234-2024</t>
        </is>
      </c>
      <c r="B396" s="1" t="n">
        <v>45457.35388888889</v>
      </c>
      <c r="C396" s="1" t="n">
        <v>45983</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52911-2023</t>
        </is>
      </c>
      <c r="B397" s="1" t="n">
        <v>45226</v>
      </c>
      <c r="C397" s="1" t="n">
        <v>45983</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16817-2024</t>
        </is>
      </c>
      <c r="B398" s="1" t="n">
        <v>45411.4666087963</v>
      </c>
      <c r="C398" s="1" t="n">
        <v>45983</v>
      </c>
      <c r="D398" t="inlineStr">
        <is>
          <t>JÄMTLANDS LÄN</t>
        </is>
      </c>
      <c r="E398" t="inlineStr">
        <is>
          <t>KROKOM</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14032-2024</t>
        </is>
      </c>
      <c r="B399" s="1" t="n">
        <v>45392</v>
      </c>
      <c r="C399" s="1" t="n">
        <v>45983</v>
      </c>
      <c r="D399" t="inlineStr">
        <is>
          <t>JÄMTLANDS LÄN</t>
        </is>
      </c>
      <c r="E399" t="inlineStr">
        <is>
          <t>KROKOM</t>
        </is>
      </c>
      <c r="F399" t="inlineStr">
        <is>
          <t>Kyrkan</t>
        </is>
      </c>
      <c r="G399" t="n">
        <v>1.1</v>
      </c>
      <c r="H399" t="n">
        <v>0</v>
      </c>
      <c r="I399" t="n">
        <v>0</v>
      </c>
      <c r="J399" t="n">
        <v>0</v>
      </c>
      <c r="K399" t="n">
        <v>0</v>
      </c>
      <c r="L399" t="n">
        <v>0</v>
      </c>
      <c r="M399" t="n">
        <v>0</v>
      </c>
      <c r="N399" t="n">
        <v>0</v>
      </c>
      <c r="O399" t="n">
        <v>0</v>
      </c>
      <c r="P399" t="n">
        <v>0</v>
      </c>
      <c r="Q399" t="n">
        <v>0</v>
      </c>
      <c r="R399" s="2" t="inlineStr"/>
    </row>
    <row r="400" ht="15" customHeight="1">
      <c r="A400" t="inlineStr">
        <is>
          <t>A 17417-2024</t>
        </is>
      </c>
      <c r="B400" s="1" t="n">
        <v>45414.96341435185</v>
      </c>
      <c r="C400" s="1" t="n">
        <v>45983</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31655-2025</t>
        </is>
      </c>
      <c r="B401" s="1" t="n">
        <v>45834.34737268519</v>
      </c>
      <c r="C401" s="1" t="n">
        <v>45983</v>
      </c>
      <c r="D401" t="inlineStr">
        <is>
          <t>JÄMTLANDS LÄN</t>
        </is>
      </c>
      <c r="E401" t="inlineStr">
        <is>
          <t>KROKOM</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28137-2023</t>
        </is>
      </c>
      <c r="B402" s="1" t="n">
        <v>45096</v>
      </c>
      <c r="C402" s="1" t="n">
        <v>45983</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45869-2024</t>
        </is>
      </c>
      <c r="B403" s="1" t="n">
        <v>45580.36991898148</v>
      </c>
      <c r="C403" s="1" t="n">
        <v>45983</v>
      </c>
      <c r="D403" t="inlineStr">
        <is>
          <t>JÄMTLANDS LÄN</t>
        </is>
      </c>
      <c r="E403" t="inlineStr">
        <is>
          <t>KROKOM</t>
        </is>
      </c>
      <c r="F403" t="inlineStr">
        <is>
          <t>Övriga Aktiebolag</t>
        </is>
      </c>
      <c r="G403" t="n">
        <v>4.1</v>
      </c>
      <c r="H403" t="n">
        <v>0</v>
      </c>
      <c r="I403" t="n">
        <v>0</v>
      </c>
      <c r="J403" t="n">
        <v>0</v>
      </c>
      <c r="K403" t="n">
        <v>0</v>
      </c>
      <c r="L403" t="n">
        <v>0</v>
      </c>
      <c r="M403" t="n">
        <v>0</v>
      </c>
      <c r="N403" t="n">
        <v>0</v>
      </c>
      <c r="O403" t="n">
        <v>0</v>
      </c>
      <c r="P403" t="n">
        <v>0</v>
      </c>
      <c r="Q403" t="n">
        <v>0</v>
      </c>
      <c r="R403" s="2" t="inlineStr"/>
    </row>
    <row r="404" ht="15" customHeight="1">
      <c r="A404" t="inlineStr">
        <is>
          <t>A 27596-2024</t>
        </is>
      </c>
      <c r="B404" s="1" t="n">
        <v>45474.69074074074</v>
      </c>
      <c r="C404" s="1" t="n">
        <v>45983</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45822-2023</t>
        </is>
      </c>
      <c r="B405" s="1" t="n">
        <v>45195</v>
      </c>
      <c r="C405" s="1" t="n">
        <v>45983</v>
      </c>
      <c r="D405" t="inlineStr">
        <is>
          <t>JÄMTLANDS LÄN</t>
        </is>
      </c>
      <c r="E405" t="inlineStr">
        <is>
          <t>KROKOM</t>
        </is>
      </c>
      <c r="F405" t="inlineStr">
        <is>
          <t>Övriga Aktiebolag</t>
        </is>
      </c>
      <c r="G405" t="n">
        <v>2.8</v>
      </c>
      <c r="H405" t="n">
        <v>0</v>
      </c>
      <c r="I405" t="n">
        <v>0</v>
      </c>
      <c r="J405" t="n">
        <v>0</v>
      </c>
      <c r="K405" t="n">
        <v>0</v>
      </c>
      <c r="L405" t="n">
        <v>0</v>
      </c>
      <c r="M405" t="n">
        <v>0</v>
      </c>
      <c r="N405" t="n">
        <v>0</v>
      </c>
      <c r="O405" t="n">
        <v>0</v>
      </c>
      <c r="P405" t="n">
        <v>0</v>
      </c>
      <c r="Q405" t="n">
        <v>0</v>
      </c>
      <c r="R405" s="2" t="inlineStr"/>
    </row>
    <row r="406" ht="15" customHeight="1">
      <c r="A406" t="inlineStr">
        <is>
          <t>A 57985-2024</t>
        </is>
      </c>
      <c r="B406" s="1" t="n">
        <v>45631.61869212963</v>
      </c>
      <c r="C406" s="1" t="n">
        <v>45983</v>
      </c>
      <c r="D406" t="inlineStr">
        <is>
          <t>JÄMTLANDS LÄN</t>
        </is>
      </c>
      <c r="E406" t="inlineStr">
        <is>
          <t>KROKOM</t>
        </is>
      </c>
      <c r="G406" t="n">
        <v>1.9</v>
      </c>
      <c r="H406" t="n">
        <v>0</v>
      </c>
      <c r="I406" t="n">
        <v>0</v>
      </c>
      <c r="J406" t="n">
        <v>0</v>
      </c>
      <c r="K406" t="n">
        <v>0</v>
      </c>
      <c r="L406" t="n">
        <v>0</v>
      </c>
      <c r="M406" t="n">
        <v>0</v>
      </c>
      <c r="N406" t="n">
        <v>0</v>
      </c>
      <c r="O406" t="n">
        <v>0</v>
      </c>
      <c r="P406" t="n">
        <v>0</v>
      </c>
      <c r="Q406" t="n">
        <v>0</v>
      </c>
      <c r="R406" s="2" t="inlineStr"/>
    </row>
    <row r="407" ht="15" customHeight="1">
      <c r="A407" t="inlineStr">
        <is>
          <t>A 6015-2025</t>
        </is>
      </c>
      <c r="B407" s="1" t="n">
        <v>45695.60015046296</v>
      </c>
      <c r="C407" s="1" t="n">
        <v>45983</v>
      </c>
      <c r="D407" t="inlineStr">
        <is>
          <t>JÄMTLANDS LÄN</t>
        </is>
      </c>
      <c r="E407" t="inlineStr">
        <is>
          <t>KROKOM</t>
        </is>
      </c>
      <c r="F407" t="inlineStr">
        <is>
          <t>Övriga Aktiebolag</t>
        </is>
      </c>
      <c r="G407" t="n">
        <v>15.5</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45983</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38850-2025</t>
        </is>
      </c>
      <c r="B409" s="1" t="n">
        <v>45887.55252314815</v>
      </c>
      <c r="C409" s="1" t="n">
        <v>45983</v>
      </c>
      <c r="D409" t="inlineStr">
        <is>
          <t>JÄMTLANDS LÄN</t>
        </is>
      </c>
      <c r="E409" t="inlineStr">
        <is>
          <t>KROKOM</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39169-2023</t>
        </is>
      </c>
      <c r="B410" s="1" t="n">
        <v>45166</v>
      </c>
      <c r="C410" s="1" t="n">
        <v>45983</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38894-2025</t>
        </is>
      </c>
      <c r="B411" s="1" t="n">
        <v>45887.59064814815</v>
      </c>
      <c r="C411" s="1" t="n">
        <v>45983</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36577-2021</t>
        </is>
      </c>
      <c r="B412" s="1" t="n">
        <v>44391</v>
      </c>
      <c r="C412" s="1" t="n">
        <v>45983</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23288-2025</t>
        </is>
      </c>
      <c r="B413" s="1" t="n">
        <v>45791</v>
      </c>
      <c r="C413" s="1" t="n">
        <v>45983</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23080-2025</t>
        </is>
      </c>
      <c r="B414" s="1" t="n">
        <v>45791.3162037037</v>
      </c>
      <c r="C414" s="1" t="n">
        <v>45983</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38789-2025</t>
        </is>
      </c>
      <c r="B415" s="1" t="n">
        <v>45887.44883101852</v>
      </c>
      <c r="C415" s="1" t="n">
        <v>45983</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45983</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63960-2023</t>
        </is>
      </c>
      <c r="B417" s="1" t="n">
        <v>45278.65582175926</v>
      </c>
      <c r="C417" s="1" t="n">
        <v>45983</v>
      </c>
      <c r="D417" t="inlineStr">
        <is>
          <t>JÄMTLANDS LÄN</t>
        </is>
      </c>
      <c r="E417" t="inlineStr">
        <is>
          <t>KROKOM</t>
        </is>
      </c>
      <c r="G417" t="n">
        <v>0.7</v>
      </c>
      <c r="H417" t="n">
        <v>0</v>
      </c>
      <c r="I417" t="n">
        <v>0</v>
      </c>
      <c r="J417" t="n">
        <v>0</v>
      </c>
      <c r="K417" t="n">
        <v>0</v>
      </c>
      <c r="L417" t="n">
        <v>0</v>
      </c>
      <c r="M417" t="n">
        <v>0</v>
      </c>
      <c r="N417" t="n">
        <v>0</v>
      </c>
      <c r="O417" t="n">
        <v>0</v>
      </c>
      <c r="P417" t="n">
        <v>0</v>
      </c>
      <c r="Q417" t="n">
        <v>0</v>
      </c>
      <c r="R417" s="2" t="inlineStr"/>
    </row>
    <row r="418" ht="15" customHeight="1">
      <c r="A418" t="inlineStr">
        <is>
          <t>A 38885-2025</t>
        </is>
      </c>
      <c r="B418" s="1" t="n">
        <v>45887.58372685185</v>
      </c>
      <c r="C418" s="1" t="n">
        <v>45983</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26228-2024</t>
        </is>
      </c>
      <c r="B419" s="1" t="n">
        <v>45467</v>
      </c>
      <c r="C419" s="1" t="n">
        <v>45983</v>
      </c>
      <c r="D419" t="inlineStr">
        <is>
          <t>JÄMTLANDS LÄN</t>
        </is>
      </c>
      <c r="E419" t="inlineStr">
        <is>
          <t>KROKOM</t>
        </is>
      </c>
      <c r="G419" t="n">
        <v>12</v>
      </c>
      <c r="H419" t="n">
        <v>0</v>
      </c>
      <c r="I419" t="n">
        <v>0</v>
      </c>
      <c r="J419" t="n">
        <v>0</v>
      </c>
      <c r="K419" t="n">
        <v>0</v>
      </c>
      <c r="L419" t="n">
        <v>0</v>
      </c>
      <c r="M419" t="n">
        <v>0</v>
      </c>
      <c r="N419" t="n">
        <v>0</v>
      </c>
      <c r="O419" t="n">
        <v>0</v>
      </c>
      <c r="P419" t="n">
        <v>0</v>
      </c>
      <c r="Q419" t="n">
        <v>0</v>
      </c>
      <c r="R419" s="2" t="inlineStr"/>
    </row>
    <row r="420" ht="15" customHeight="1">
      <c r="A420" t="inlineStr">
        <is>
          <t>A 24062-2025</t>
        </is>
      </c>
      <c r="B420" s="1" t="n">
        <v>45796.52836805556</v>
      </c>
      <c r="C420" s="1" t="n">
        <v>45983</v>
      </c>
      <c r="D420" t="inlineStr">
        <is>
          <t>JÄMTLANDS LÄN</t>
        </is>
      </c>
      <c r="E420" t="inlineStr">
        <is>
          <t>KROKOM</t>
        </is>
      </c>
      <c r="G420" t="n">
        <v>33</v>
      </c>
      <c r="H420" t="n">
        <v>0</v>
      </c>
      <c r="I420" t="n">
        <v>0</v>
      </c>
      <c r="J420" t="n">
        <v>0</v>
      </c>
      <c r="K420" t="n">
        <v>0</v>
      </c>
      <c r="L420" t="n">
        <v>0</v>
      </c>
      <c r="M420" t="n">
        <v>0</v>
      </c>
      <c r="N420" t="n">
        <v>0</v>
      </c>
      <c r="O420" t="n">
        <v>0</v>
      </c>
      <c r="P420" t="n">
        <v>0</v>
      </c>
      <c r="Q420" t="n">
        <v>0</v>
      </c>
      <c r="R420" s="2" t="inlineStr"/>
    </row>
    <row r="421" ht="15" customHeight="1">
      <c r="A421" t="inlineStr">
        <is>
          <t>A 39205-2025</t>
        </is>
      </c>
      <c r="B421" s="1" t="n">
        <v>45888.72445601852</v>
      </c>
      <c r="C421" s="1" t="n">
        <v>45983</v>
      </c>
      <c r="D421" t="inlineStr">
        <is>
          <t>JÄMTLANDS LÄN</t>
        </is>
      </c>
      <c r="E421" t="inlineStr">
        <is>
          <t>KROKOM</t>
        </is>
      </c>
      <c r="F421" t="inlineStr">
        <is>
          <t>Kyrkan</t>
        </is>
      </c>
      <c r="G421" t="n">
        <v>20.6</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45983</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19635-2024</t>
        </is>
      </c>
      <c r="B423" s="1" t="n">
        <v>45432.36971064815</v>
      </c>
      <c r="C423" s="1" t="n">
        <v>45983</v>
      </c>
      <c r="D423" t="inlineStr">
        <is>
          <t>JÄMTLANDS LÄN</t>
        </is>
      </c>
      <c r="E423" t="inlineStr">
        <is>
          <t>KROKOM</t>
        </is>
      </c>
      <c r="G423" t="n">
        <v>14.5</v>
      </c>
      <c r="H423" t="n">
        <v>0</v>
      </c>
      <c r="I423" t="n">
        <v>0</v>
      </c>
      <c r="J423" t="n">
        <v>0</v>
      </c>
      <c r="K423" t="n">
        <v>0</v>
      </c>
      <c r="L423" t="n">
        <v>0</v>
      </c>
      <c r="M423" t="n">
        <v>0</v>
      </c>
      <c r="N423" t="n">
        <v>0</v>
      </c>
      <c r="O423" t="n">
        <v>0</v>
      </c>
      <c r="P423" t="n">
        <v>0</v>
      </c>
      <c r="Q423" t="n">
        <v>0</v>
      </c>
      <c r="R423" s="2" t="inlineStr"/>
    </row>
    <row r="424" ht="15" customHeight="1">
      <c r="A424" t="inlineStr">
        <is>
          <t>A 22411-2024</t>
        </is>
      </c>
      <c r="B424" s="1" t="n">
        <v>45446.68733796296</v>
      </c>
      <c r="C424" s="1" t="n">
        <v>45983</v>
      </c>
      <c r="D424" t="inlineStr">
        <is>
          <t>JÄMTLANDS LÄN</t>
        </is>
      </c>
      <c r="E424" t="inlineStr">
        <is>
          <t>KROKOM</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12412-2024</t>
        </is>
      </c>
      <c r="B425" s="1" t="n">
        <v>45378</v>
      </c>
      <c r="C425" s="1" t="n">
        <v>45983</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4361-2025</t>
        </is>
      </c>
      <c r="B426" s="1" t="n">
        <v>45686.33310185185</v>
      </c>
      <c r="C426" s="1" t="n">
        <v>45983</v>
      </c>
      <c r="D426" t="inlineStr">
        <is>
          <t>JÄMTLANDS LÄN</t>
        </is>
      </c>
      <c r="E426" t="inlineStr">
        <is>
          <t>KROKOM</t>
        </is>
      </c>
      <c r="F426" t="inlineStr">
        <is>
          <t>SCA</t>
        </is>
      </c>
      <c r="G426" t="n">
        <v>13.7</v>
      </c>
      <c r="H426" t="n">
        <v>0</v>
      </c>
      <c r="I426" t="n">
        <v>0</v>
      </c>
      <c r="J426" t="n">
        <v>0</v>
      </c>
      <c r="K426" t="n">
        <v>0</v>
      </c>
      <c r="L426" t="n">
        <v>0</v>
      </c>
      <c r="M426" t="n">
        <v>0</v>
      </c>
      <c r="N426" t="n">
        <v>0</v>
      </c>
      <c r="O426" t="n">
        <v>0</v>
      </c>
      <c r="P426" t="n">
        <v>0</v>
      </c>
      <c r="Q426" t="n">
        <v>0</v>
      </c>
      <c r="R426" s="2" t="inlineStr"/>
    </row>
    <row r="427" ht="15" customHeight="1">
      <c r="A427" t="inlineStr">
        <is>
          <t>A 61675-2022</t>
        </is>
      </c>
      <c r="B427" s="1" t="n">
        <v>44911</v>
      </c>
      <c r="C427" s="1" t="n">
        <v>45983</v>
      </c>
      <c r="D427" t="inlineStr">
        <is>
          <t>JÄMTLANDS LÄN</t>
        </is>
      </c>
      <c r="E427" t="inlineStr">
        <is>
          <t>KROKOM</t>
        </is>
      </c>
      <c r="G427" t="n">
        <v>2.6</v>
      </c>
      <c r="H427" t="n">
        <v>0</v>
      </c>
      <c r="I427" t="n">
        <v>0</v>
      </c>
      <c r="J427" t="n">
        <v>0</v>
      </c>
      <c r="K427" t="n">
        <v>0</v>
      </c>
      <c r="L427" t="n">
        <v>0</v>
      </c>
      <c r="M427" t="n">
        <v>0</v>
      </c>
      <c r="N427" t="n">
        <v>0</v>
      </c>
      <c r="O427" t="n">
        <v>0</v>
      </c>
      <c r="P427" t="n">
        <v>0</v>
      </c>
      <c r="Q427" t="n">
        <v>0</v>
      </c>
      <c r="R427" s="2" t="inlineStr"/>
    </row>
    <row r="428" ht="15" customHeight="1">
      <c r="A428" t="inlineStr">
        <is>
          <t>A 54037-2021</t>
        </is>
      </c>
      <c r="B428" s="1" t="n">
        <v>44470</v>
      </c>
      <c r="C428" s="1" t="n">
        <v>45983</v>
      </c>
      <c r="D428" t="inlineStr">
        <is>
          <t>JÄMTLANDS LÄN</t>
        </is>
      </c>
      <c r="E428" t="inlineStr">
        <is>
          <t>KROKOM</t>
        </is>
      </c>
      <c r="G428" t="n">
        <v>6.3</v>
      </c>
      <c r="H428" t="n">
        <v>0</v>
      </c>
      <c r="I428" t="n">
        <v>0</v>
      </c>
      <c r="J428" t="n">
        <v>0</v>
      </c>
      <c r="K428" t="n">
        <v>0</v>
      </c>
      <c r="L428" t="n">
        <v>0</v>
      </c>
      <c r="M428" t="n">
        <v>0</v>
      </c>
      <c r="N428" t="n">
        <v>0</v>
      </c>
      <c r="O428" t="n">
        <v>0</v>
      </c>
      <c r="P428" t="n">
        <v>0</v>
      </c>
      <c r="Q428" t="n">
        <v>0</v>
      </c>
      <c r="R428" s="2" t="inlineStr"/>
    </row>
    <row r="429" ht="15" customHeight="1">
      <c r="A429" t="inlineStr">
        <is>
          <t>A 28067-2023</t>
        </is>
      </c>
      <c r="B429" s="1" t="n">
        <v>45099.37211805556</v>
      </c>
      <c r="C429" s="1" t="n">
        <v>45983</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39265-2025</t>
        </is>
      </c>
      <c r="B430" s="1" t="n">
        <v>45889.37520833333</v>
      </c>
      <c r="C430" s="1" t="n">
        <v>45983</v>
      </c>
      <c r="D430" t="inlineStr">
        <is>
          <t>JÄMTLANDS LÄN</t>
        </is>
      </c>
      <c r="E430" t="inlineStr">
        <is>
          <t>KROKOM</t>
        </is>
      </c>
      <c r="F430" t="inlineStr">
        <is>
          <t>Övriga Aktiebolag</t>
        </is>
      </c>
      <c r="G430" t="n">
        <v>3.9</v>
      </c>
      <c r="H430" t="n">
        <v>0</v>
      </c>
      <c r="I430" t="n">
        <v>0</v>
      </c>
      <c r="J430" t="n">
        <v>0</v>
      </c>
      <c r="K430" t="n">
        <v>0</v>
      </c>
      <c r="L430" t="n">
        <v>0</v>
      </c>
      <c r="M430" t="n">
        <v>0</v>
      </c>
      <c r="N430" t="n">
        <v>0</v>
      </c>
      <c r="O430" t="n">
        <v>0</v>
      </c>
      <c r="P430" t="n">
        <v>0</v>
      </c>
      <c r="Q430" t="n">
        <v>0</v>
      </c>
      <c r="R430" s="2" t="inlineStr"/>
    </row>
    <row r="431" ht="15" customHeight="1">
      <c r="A431" t="inlineStr">
        <is>
          <t>A 6148-2025</t>
        </is>
      </c>
      <c r="B431" s="1" t="n">
        <v>45698.40146990741</v>
      </c>
      <c r="C431" s="1" t="n">
        <v>45983</v>
      </c>
      <c r="D431" t="inlineStr">
        <is>
          <t>JÄMTLANDS LÄN</t>
        </is>
      </c>
      <c r="E431" t="inlineStr">
        <is>
          <t>KROKOM</t>
        </is>
      </c>
      <c r="G431" t="n">
        <v>43.6</v>
      </c>
      <c r="H431" t="n">
        <v>0</v>
      </c>
      <c r="I431" t="n">
        <v>0</v>
      </c>
      <c r="J431" t="n">
        <v>0</v>
      </c>
      <c r="K431" t="n">
        <v>0</v>
      </c>
      <c r="L431" t="n">
        <v>0</v>
      </c>
      <c r="M431" t="n">
        <v>0</v>
      </c>
      <c r="N431" t="n">
        <v>0</v>
      </c>
      <c r="O431" t="n">
        <v>0</v>
      </c>
      <c r="P431" t="n">
        <v>0</v>
      </c>
      <c r="Q431" t="n">
        <v>0</v>
      </c>
      <c r="R431" s="2" t="inlineStr"/>
    </row>
    <row r="432" ht="15" customHeight="1">
      <c r="A432" t="inlineStr">
        <is>
          <t>A 39271-2025</t>
        </is>
      </c>
      <c r="B432" s="1" t="n">
        <v>45889.38626157407</v>
      </c>
      <c r="C432" s="1" t="n">
        <v>45983</v>
      </c>
      <c r="D432" t="inlineStr">
        <is>
          <t>JÄMTLANDS LÄN</t>
        </is>
      </c>
      <c r="E432" t="inlineStr">
        <is>
          <t>KROKOM</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7767-2025</t>
        </is>
      </c>
      <c r="B433" s="1" t="n">
        <v>45706.55993055556</v>
      </c>
      <c r="C433" s="1" t="n">
        <v>45983</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45983</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40180-2025</t>
        </is>
      </c>
      <c r="B435" s="1" t="n">
        <v>45894.63693287037</v>
      </c>
      <c r="C435" s="1" t="n">
        <v>45983</v>
      </c>
      <c r="D435" t="inlineStr">
        <is>
          <t>JÄMTLANDS LÄN</t>
        </is>
      </c>
      <c r="E435" t="inlineStr">
        <is>
          <t>KROKOM</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27899-2025</t>
        </is>
      </c>
      <c r="B436" s="1" t="n">
        <v>45817</v>
      </c>
      <c r="C436" s="1" t="n">
        <v>45983</v>
      </c>
      <c r="D436" t="inlineStr">
        <is>
          <t>JÄMTLANDS LÄN</t>
        </is>
      </c>
      <c r="E436" t="inlineStr">
        <is>
          <t>KROKOM</t>
        </is>
      </c>
      <c r="G436" t="n">
        <v>16.4</v>
      </c>
      <c r="H436" t="n">
        <v>0</v>
      </c>
      <c r="I436" t="n">
        <v>0</v>
      </c>
      <c r="J436" t="n">
        <v>0</v>
      </c>
      <c r="K436" t="n">
        <v>0</v>
      </c>
      <c r="L436" t="n">
        <v>0</v>
      </c>
      <c r="M436" t="n">
        <v>0</v>
      </c>
      <c r="N436" t="n">
        <v>0</v>
      </c>
      <c r="O436" t="n">
        <v>0</v>
      </c>
      <c r="P436" t="n">
        <v>0</v>
      </c>
      <c r="Q436" t="n">
        <v>0</v>
      </c>
      <c r="R436" s="2" t="inlineStr"/>
    </row>
    <row r="437" ht="15" customHeight="1">
      <c r="A437" t="inlineStr">
        <is>
          <t>A 34517-2024</t>
        </is>
      </c>
      <c r="B437" s="1" t="n">
        <v>45525</v>
      </c>
      <c r="C437" s="1" t="n">
        <v>45983</v>
      </c>
      <c r="D437" t="inlineStr">
        <is>
          <t>JÄMTLANDS LÄN</t>
        </is>
      </c>
      <c r="E437" t="inlineStr">
        <is>
          <t>KROKOM</t>
        </is>
      </c>
      <c r="G437" t="n">
        <v>0.5</v>
      </c>
      <c r="H437" t="n">
        <v>0</v>
      </c>
      <c r="I437" t="n">
        <v>0</v>
      </c>
      <c r="J437" t="n">
        <v>0</v>
      </c>
      <c r="K437" t="n">
        <v>0</v>
      </c>
      <c r="L437" t="n">
        <v>0</v>
      </c>
      <c r="M437" t="n">
        <v>0</v>
      </c>
      <c r="N437" t="n">
        <v>0</v>
      </c>
      <c r="O437" t="n">
        <v>0</v>
      </c>
      <c r="P437" t="n">
        <v>0</v>
      </c>
      <c r="Q437" t="n">
        <v>0</v>
      </c>
      <c r="R437" s="2" t="inlineStr"/>
    </row>
    <row r="438" ht="15" customHeight="1">
      <c r="A438" t="inlineStr">
        <is>
          <t>A 24649-2025</t>
        </is>
      </c>
      <c r="B438" s="1" t="n">
        <v>45798.63611111111</v>
      </c>
      <c r="C438" s="1" t="n">
        <v>45983</v>
      </c>
      <c r="D438" t="inlineStr">
        <is>
          <t>JÄMTLANDS LÄN</t>
        </is>
      </c>
      <c r="E438" t="inlineStr">
        <is>
          <t>KROKOM</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2236-2024</t>
        </is>
      </c>
      <c r="B439" s="1" t="n">
        <v>45309.94650462963</v>
      </c>
      <c r="C439" s="1" t="n">
        <v>45983</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25302-2025</t>
        </is>
      </c>
      <c r="B440" s="1" t="n">
        <v>45800.57129629629</v>
      </c>
      <c r="C440" s="1" t="n">
        <v>45983</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25312-2025</t>
        </is>
      </c>
      <c r="B441" s="1" t="n">
        <v>45800.57461805556</v>
      </c>
      <c r="C441" s="1" t="n">
        <v>45983</v>
      </c>
      <c r="D441" t="inlineStr">
        <is>
          <t>JÄMTLANDS LÄN</t>
        </is>
      </c>
      <c r="E441" t="inlineStr">
        <is>
          <t>KROKOM</t>
        </is>
      </c>
      <c r="G441" t="n">
        <v>3.2</v>
      </c>
      <c r="H441" t="n">
        <v>0</v>
      </c>
      <c r="I441" t="n">
        <v>0</v>
      </c>
      <c r="J441" t="n">
        <v>0</v>
      </c>
      <c r="K441" t="n">
        <v>0</v>
      </c>
      <c r="L441" t="n">
        <v>0</v>
      </c>
      <c r="M441" t="n">
        <v>0</v>
      </c>
      <c r="N441" t="n">
        <v>0</v>
      </c>
      <c r="O441" t="n">
        <v>0</v>
      </c>
      <c r="P441" t="n">
        <v>0</v>
      </c>
      <c r="Q441" t="n">
        <v>0</v>
      </c>
      <c r="R441" s="2" t="inlineStr"/>
    </row>
    <row r="442" ht="15" customHeight="1">
      <c r="A442" t="inlineStr">
        <is>
          <t>A 40283-2025</t>
        </is>
      </c>
      <c r="B442" s="1" t="n">
        <v>45895.36994212963</v>
      </c>
      <c r="C442" s="1" t="n">
        <v>45983</v>
      </c>
      <c r="D442" t="inlineStr">
        <is>
          <t>JÄMTLANDS LÄN</t>
        </is>
      </c>
      <c r="E442" t="inlineStr">
        <is>
          <t>KROKOM</t>
        </is>
      </c>
      <c r="G442" t="n">
        <v>11.1</v>
      </c>
      <c r="H442" t="n">
        <v>0</v>
      </c>
      <c r="I442" t="n">
        <v>0</v>
      </c>
      <c r="J442" t="n">
        <v>0</v>
      </c>
      <c r="K442" t="n">
        <v>0</v>
      </c>
      <c r="L442" t="n">
        <v>0</v>
      </c>
      <c r="M442" t="n">
        <v>0</v>
      </c>
      <c r="N442" t="n">
        <v>0</v>
      </c>
      <c r="O442" t="n">
        <v>0</v>
      </c>
      <c r="P442" t="n">
        <v>0</v>
      </c>
      <c r="Q442" t="n">
        <v>0</v>
      </c>
      <c r="R442" s="2" t="inlineStr"/>
    </row>
    <row r="443" ht="15" customHeight="1">
      <c r="A443" t="inlineStr">
        <is>
          <t>A 40507-2025</t>
        </is>
      </c>
      <c r="B443" s="1" t="n">
        <v>45896.34443287037</v>
      </c>
      <c r="C443" s="1" t="n">
        <v>45983</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52258-2022</t>
        </is>
      </c>
      <c r="B444" s="1" t="n">
        <v>44873</v>
      </c>
      <c r="C444" s="1" t="n">
        <v>45983</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29524-2024</t>
        </is>
      </c>
      <c r="B445" s="1" t="n">
        <v>45484</v>
      </c>
      <c r="C445" s="1" t="n">
        <v>45983</v>
      </c>
      <c r="D445" t="inlineStr">
        <is>
          <t>JÄMTLANDS LÄN</t>
        </is>
      </c>
      <c r="E445" t="inlineStr">
        <is>
          <t>KROKOM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25295-2025</t>
        </is>
      </c>
      <c r="B446" s="1" t="n">
        <v>45800.56810185185</v>
      </c>
      <c r="C446" s="1" t="n">
        <v>45983</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28210-2024</t>
        </is>
      </c>
      <c r="B447" s="1" t="n">
        <v>45477.35225694445</v>
      </c>
      <c r="C447" s="1" t="n">
        <v>45983</v>
      </c>
      <c r="D447" t="inlineStr">
        <is>
          <t>JÄMTLANDS LÄN</t>
        </is>
      </c>
      <c r="E447" t="inlineStr">
        <is>
          <t>KROKOM</t>
        </is>
      </c>
      <c r="F447" t="inlineStr">
        <is>
          <t>Övriga Aktiebolag</t>
        </is>
      </c>
      <c r="G447" t="n">
        <v>0.1</v>
      </c>
      <c r="H447" t="n">
        <v>0</v>
      </c>
      <c r="I447" t="n">
        <v>0</v>
      </c>
      <c r="J447" t="n">
        <v>0</v>
      </c>
      <c r="K447" t="n">
        <v>0</v>
      </c>
      <c r="L447" t="n">
        <v>0</v>
      </c>
      <c r="M447" t="n">
        <v>0</v>
      </c>
      <c r="N447" t="n">
        <v>0</v>
      </c>
      <c r="O447" t="n">
        <v>0</v>
      </c>
      <c r="P447" t="n">
        <v>0</v>
      </c>
      <c r="Q447" t="n">
        <v>0</v>
      </c>
      <c r="R447" s="2" t="inlineStr"/>
    </row>
    <row r="448" ht="15" customHeight="1">
      <c r="A448" t="inlineStr">
        <is>
          <t>A 23083-2025</t>
        </is>
      </c>
      <c r="B448" s="1" t="n">
        <v>45791</v>
      </c>
      <c r="C448" s="1" t="n">
        <v>45983</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40822-2025</t>
        </is>
      </c>
      <c r="B449" s="1" t="n">
        <v>45897.49424768519</v>
      </c>
      <c r="C449" s="1" t="n">
        <v>45983</v>
      </c>
      <c r="D449" t="inlineStr">
        <is>
          <t>JÄMTLANDS LÄN</t>
        </is>
      </c>
      <c r="E449" t="inlineStr">
        <is>
          <t>KROKOM</t>
        </is>
      </c>
      <c r="G449" t="n">
        <v>3.8</v>
      </c>
      <c r="H449" t="n">
        <v>0</v>
      </c>
      <c r="I449" t="n">
        <v>0</v>
      </c>
      <c r="J449" t="n">
        <v>0</v>
      </c>
      <c r="K449" t="n">
        <v>0</v>
      </c>
      <c r="L449" t="n">
        <v>0</v>
      </c>
      <c r="M449" t="n">
        <v>0</v>
      </c>
      <c r="N449" t="n">
        <v>0</v>
      </c>
      <c r="O449" t="n">
        <v>0</v>
      </c>
      <c r="P449" t="n">
        <v>0</v>
      </c>
      <c r="Q449" t="n">
        <v>0</v>
      </c>
      <c r="R449" s="2" t="inlineStr"/>
    </row>
    <row r="450" ht="15" customHeight="1">
      <c r="A450" t="inlineStr">
        <is>
          <t>A 73174-2021</t>
        </is>
      </c>
      <c r="B450" s="1" t="n">
        <v>44550</v>
      </c>
      <c r="C450" s="1" t="n">
        <v>45983</v>
      </c>
      <c r="D450" t="inlineStr">
        <is>
          <t>JÄMTLANDS LÄN</t>
        </is>
      </c>
      <c r="E450" t="inlineStr">
        <is>
          <t>KROKOM</t>
        </is>
      </c>
      <c r="G450" t="n">
        <v>152.9</v>
      </c>
      <c r="H450" t="n">
        <v>0</v>
      </c>
      <c r="I450" t="n">
        <v>0</v>
      </c>
      <c r="J450" t="n">
        <v>0</v>
      </c>
      <c r="K450" t="n">
        <v>0</v>
      </c>
      <c r="L450" t="n">
        <v>0</v>
      </c>
      <c r="M450" t="n">
        <v>0</v>
      </c>
      <c r="N450" t="n">
        <v>0</v>
      </c>
      <c r="O450" t="n">
        <v>0</v>
      </c>
      <c r="P450" t="n">
        <v>0</v>
      </c>
      <c r="Q450" t="n">
        <v>0</v>
      </c>
      <c r="R450" s="2" t="inlineStr"/>
    </row>
    <row r="451" ht="15" customHeight="1">
      <c r="A451" t="inlineStr">
        <is>
          <t>A 7787-2025</t>
        </is>
      </c>
      <c r="B451" s="1" t="n">
        <v>45706.59251157408</v>
      </c>
      <c r="C451" s="1" t="n">
        <v>45983</v>
      </c>
      <c r="D451" t="inlineStr">
        <is>
          <t>JÄMTLANDS LÄN</t>
        </is>
      </c>
      <c r="E451" t="inlineStr">
        <is>
          <t>KROKOM</t>
        </is>
      </c>
      <c r="F451" t="inlineStr">
        <is>
          <t>Övriga Aktiebolag</t>
        </is>
      </c>
      <c r="G451" t="n">
        <v>16.8</v>
      </c>
      <c r="H451" t="n">
        <v>0</v>
      </c>
      <c r="I451" t="n">
        <v>0</v>
      </c>
      <c r="J451" t="n">
        <v>0</v>
      </c>
      <c r="K451" t="n">
        <v>0</v>
      </c>
      <c r="L451" t="n">
        <v>0</v>
      </c>
      <c r="M451" t="n">
        <v>0</v>
      </c>
      <c r="N451" t="n">
        <v>0</v>
      </c>
      <c r="O451" t="n">
        <v>0</v>
      </c>
      <c r="P451" t="n">
        <v>0</v>
      </c>
      <c r="Q451" t="n">
        <v>0</v>
      </c>
      <c r="R451" s="2" t="inlineStr"/>
    </row>
    <row r="452" ht="15" customHeight="1">
      <c r="A452" t="inlineStr">
        <is>
          <t>A 40796-2025</t>
        </is>
      </c>
      <c r="B452" s="1" t="n">
        <v>45897.44951388889</v>
      </c>
      <c r="C452" s="1" t="n">
        <v>45983</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40806-2025</t>
        </is>
      </c>
      <c r="B453" s="1" t="n">
        <v>45897.46832175926</v>
      </c>
      <c r="C453" s="1" t="n">
        <v>45983</v>
      </c>
      <c r="D453" t="inlineStr">
        <is>
          <t>JÄMTLANDS LÄN</t>
        </is>
      </c>
      <c r="E453" t="inlineStr">
        <is>
          <t>KROKOM</t>
        </is>
      </c>
      <c r="G453" t="n">
        <v>3.6</v>
      </c>
      <c r="H453" t="n">
        <v>0</v>
      </c>
      <c r="I453" t="n">
        <v>0</v>
      </c>
      <c r="J453" t="n">
        <v>0</v>
      </c>
      <c r="K453" t="n">
        <v>0</v>
      </c>
      <c r="L453" t="n">
        <v>0</v>
      </c>
      <c r="M453" t="n">
        <v>0</v>
      </c>
      <c r="N453" t="n">
        <v>0</v>
      </c>
      <c r="O453" t="n">
        <v>0</v>
      </c>
      <c r="P453" t="n">
        <v>0</v>
      </c>
      <c r="Q453" t="n">
        <v>0</v>
      </c>
      <c r="R453" s="2" t="inlineStr"/>
    </row>
    <row r="454" ht="15" customHeight="1">
      <c r="A454" t="inlineStr">
        <is>
          <t>A 25398-2025</t>
        </is>
      </c>
      <c r="B454" s="1" t="n">
        <v>45800.65177083333</v>
      </c>
      <c r="C454" s="1" t="n">
        <v>45983</v>
      </c>
      <c r="D454" t="inlineStr">
        <is>
          <t>JÄMTLANDS LÄN</t>
        </is>
      </c>
      <c r="E454" t="inlineStr">
        <is>
          <t>KROKOM</t>
        </is>
      </c>
      <c r="G454" t="n">
        <v>3.4</v>
      </c>
      <c r="H454" t="n">
        <v>0</v>
      </c>
      <c r="I454" t="n">
        <v>0</v>
      </c>
      <c r="J454" t="n">
        <v>0</v>
      </c>
      <c r="K454" t="n">
        <v>0</v>
      </c>
      <c r="L454" t="n">
        <v>0</v>
      </c>
      <c r="M454" t="n">
        <v>0</v>
      </c>
      <c r="N454" t="n">
        <v>0</v>
      </c>
      <c r="O454" t="n">
        <v>0</v>
      </c>
      <c r="P454" t="n">
        <v>0</v>
      </c>
      <c r="Q454" t="n">
        <v>0</v>
      </c>
      <c r="R454" s="2" t="inlineStr"/>
    </row>
    <row r="455" ht="15" customHeight="1">
      <c r="A455" t="inlineStr">
        <is>
          <t>A 25386-2025</t>
        </is>
      </c>
      <c r="B455" s="1" t="n">
        <v>45800.64319444444</v>
      </c>
      <c r="C455" s="1" t="n">
        <v>45983</v>
      </c>
      <c r="D455" t="inlineStr">
        <is>
          <t>JÄMTLANDS LÄN</t>
        </is>
      </c>
      <c r="E455" t="inlineStr">
        <is>
          <t>KROKOM</t>
        </is>
      </c>
      <c r="G455" t="n">
        <v>11.9</v>
      </c>
      <c r="H455" t="n">
        <v>0</v>
      </c>
      <c r="I455" t="n">
        <v>0</v>
      </c>
      <c r="J455" t="n">
        <v>0</v>
      </c>
      <c r="K455" t="n">
        <v>0</v>
      </c>
      <c r="L455" t="n">
        <v>0</v>
      </c>
      <c r="M455" t="n">
        <v>0</v>
      </c>
      <c r="N455" t="n">
        <v>0</v>
      </c>
      <c r="O455" t="n">
        <v>0</v>
      </c>
      <c r="P455" t="n">
        <v>0</v>
      </c>
      <c r="Q455" t="n">
        <v>0</v>
      </c>
      <c r="R455" s="2" t="inlineStr"/>
    </row>
    <row r="456" ht="15" customHeight="1">
      <c r="A456" t="inlineStr">
        <is>
          <t>A 54039-2021</t>
        </is>
      </c>
      <c r="B456" s="1" t="n">
        <v>44470.39989583333</v>
      </c>
      <c r="C456" s="1" t="n">
        <v>45983</v>
      </c>
      <c r="D456" t="inlineStr">
        <is>
          <t>JÄMTLANDS LÄN</t>
        </is>
      </c>
      <c r="E456" t="inlineStr">
        <is>
          <t>KROKOM</t>
        </is>
      </c>
      <c r="G456" t="n">
        <v>9.9</v>
      </c>
      <c r="H456" t="n">
        <v>0</v>
      </c>
      <c r="I456" t="n">
        <v>0</v>
      </c>
      <c r="J456" t="n">
        <v>0</v>
      </c>
      <c r="K456" t="n">
        <v>0</v>
      </c>
      <c r="L456" t="n">
        <v>0</v>
      </c>
      <c r="M456" t="n">
        <v>0</v>
      </c>
      <c r="N456" t="n">
        <v>0</v>
      </c>
      <c r="O456" t="n">
        <v>0</v>
      </c>
      <c r="P456" t="n">
        <v>0</v>
      </c>
      <c r="Q456" t="n">
        <v>0</v>
      </c>
      <c r="R456" s="2" t="inlineStr"/>
    </row>
    <row r="457" ht="15" customHeight="1">
      <c r="A457" t="inlineStr">
        <is>
          <t>A 4058-2025</t>
        </is>
      </c>
      <c r="B457" s="1" t="n">
        <v>45684.62510416667</v>
      </c>
      <c r="C457" s="1" t="n">
        <v>45983</v>
      </c>
      <c r="D457" t="inlineStr">
        <is>
          <t>JÄMTLANDS LÄN</t>
        </is>
      </c>
      <c r="E457" t="inlineStr">
        <is>
          <t>KROKOM</t>
        </is>
      </c>
      <c r="F457" t="inlineStr">
        <is>
          <t>Kyrkan</t>
        </is>
      </c>
      <c r="G457" t="n">
        <v>7.8</v>
      </c>
      <c r="H457" t="n">
        <v>0</v>
      </c>
      <c r="I457" t="n">
        <v>0</v>
      </c>
      <c r="J457" t="n">
        <v>0</v>
      </c>
      <c r="K457" t="n">
        <v>0</v>
      </c>
      <c r="L457" t="n">
        <v>0</v>
      </c>
      <c r="M457" t="n">
        <v>0</v>
      </c>
      <c r="N457" t="n">
        <v>0</v>
      </c>
      <c r="O457" t="n">
        <v>0</v>
      </c>
      <c r="P457" t="n">
        <v>0</v>
      </c>
      <c r="Q457" t="n">
        <v>0</v>
      </c>
      <c r="R457" s="2" t="inlineStr"/>
    </row>
    <row r="458" ht="15" customHeight="1">
      <c r="A458" t="inlineStr">
        <is>
          <t>A 15341-2025</t>
        </is>
      </c>
      <c r="B458" s="1" t="n">
        <v>45746</v>
      </c>
      <c r="C458" s="1" t="n">
        <v>45983</v>
      </c>
      <c r="D458" t="inlineStr">
        <is>
          <t>JÄMTLANDS LÄN</t>
        </is>
      </c>
      <c r="E458" t="inlineStr">
        <is>
          <t>KROKOM</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25681-2025</t>
        </is>
      </c>
      <c r="B459" s="1" t="n">
        <v>45800</v>
      </c>
      <c r="C459" s="1" t="n">
        <v>45983</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35720-2024</t>
        </is>
      </c>
      <c r="B460" s="1" t="n">
        <v>45532.48732638889</v>
      </c>
      <c r="C460" s="1" t="n">
        <v>45983</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66880-2021</t>
        </is>
      </c>
      <c r="B461" s="1" t="n">
        <v>44522.46662037037</v>
      </c>
      <c r="C461" s="1" t="n">
        <v>45983</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41290-2025</t>
        </is>
      </c>
      <c r="B462" s="1" t="n">
        <v>45898.64267361111</v>
      </c>
      <c r="C462" s="1" t="n">
        <v>45983</v>
      </c>
      <c r="D462" t="inlineStr">
        <is>
          <t>JÄMTLANDS LÄN</t>
        </is>
      </c>
      <c r="E462" t="inlineStr">
        <is>
          <t>KROKOM</t>
        </is>
      </c>
      <c r="G462" t="n">
        <v>17.1</v>
      </c>
      <c r="H462" t="n">
        <v>0</v>
      </c>
      <c r="I462" t="n">
        <v>0</v>
      </c>
      <c r="J462" t="n">
        <v>0</v>
      </c>
      <c r="K462" t="n">
        <v>0</v>
      </c>
      <c r="L462" t="n">
        <v>0</v>
      </c>
      <c r="M462" t="n">
        <v>0</v>
      </c>
      <c r="N462" t="n">
        <v>0</v>
      </c>
      <c r="O462" t="n">
        <v>0</v>
      </c>
      <c r="P462" t="n">
        <v>0</v>
      </c>
      <c r="Q462" t="n">
        <v>0</v>
      </c>
      <c r="R462" s="2" t="inlineStr"/>
    </row>
    <row r="463" ht="15" customHeight="1">
      <c r="A463" t="inlineStr">
        <is>
          <t>A 50010-2025</t>
        </is>
      </c>
      <c r="B463" s="1" t="n">
        <v>45943.34546296296</v>
      </c>
      <c r="C463" s="1" t="n">
        <v>45983</v>
      </c>
      <c r="D463" t="inlineStr">
        <is>
          <t>JÄMTLANDS LÄN</t>
        </is>
      </c>
      <c r="E463" t="inlineStr">
        <is>
          <t>KROKOM</t>
        </is>
      </c>
      <c r="F463" t="inlineStr">
        <is>
          <t>SCA</t>
        </is>
      </c>
      <c r="G463" t="n">
        <v>35.8</v>
      </c>
      <c r="H463" t="n">
        <v>0</v>
      </c>
      <c r="I463" t="n">
        <v>0</v>
      </c>
      <c r="J463" t="n">
        <v>0</v>
      </c>
      <c r="K463" t="n">
        <v>0</v>
      </c>
      <c r="L463" t="n">
        <v>0</v>
      </c>
      <c r="M463" t="n">
        <v>0</v>
      </c>
      <c r="N463" t="n">
        <v>0</v>
      </c>
      <c r="O463" t="n">
        <v>0</v>
      </c>
      <c r="P463" t="n">
        <v>0</v>
      </c>
      <c r="Q463" t="n">
        <v>0</v>
      </c>
      <c r="R463" s="2" t="inlineStr"/>
    </row>
    <row r="464" ht="15" customHeight="1">
      <c r="A464" t="inlineStr">
        <is>
          <t>A 233-2023</t>
        </is>
      </c>
      <c r="B464" s="1" t="n">
        <v>44922</v>
      </c>
      <c r="C464" s="1" t="n">
        <v>45983</v>
      </c>
      <c r="D464" t="inlineStr">
        <is>
          <t>JÄMTLANDS LÄN</t>
        </is>
      </c>
      <c r="E464" t="inlineStr">
        <is>
          <t>KROKOM</t>
        </is>
      </c>
      <c r="G464" t="n">
        <v>0.6</v>
      </c>
      <c r="H464" t="n">
        <v>0</v>
      </c>
      <c r="I464" t="n">
        <v>0</v>
      </c>
      <c r="J464" t="n">
        <v>0</v>
      </c>
      <c r="K464" t="n">
        <v>0</v>
      </c>
      <c r="L464" t="n">
        <v>0</v>
      </c>
      <c r="M464" t="n">
        <v>0</v>
      </c>
      <c r="N464" t="n">
        <v>0</v>
      </c>
      <c r="O464" t="n">
        <v>0</v>
      </c>
      <c r="P464" t="n">
        <v>0</v>
      </c>
      <c r="Q464" t="n">
        <v>0</v>
      </c>
      <c r="R464" s="2" t="inlineStr"/>
    </row>
    <row r="465" ht="15" customHeight="1">
      <c r="A465" t="inlineStr">
        <is>
          <t>A 25710-2025</t>
        </is>
      </c>
      <c r="B465" s="1" t="n">
        <v>45803.6837962963</v>
      </c>
      <c r="C465" s="1" t="n">
        <v>45983</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41425-2025</t>
        </is>
      </c>
      <c r="B466" s="1" t="n">
        <v>45901.38590277778</v>
      </c>
      <c r="C466" s="1" t="n">
        <v>45983</v>
      </c>
      <c r="D466" t="inlineStr">
        <is>
          <t>JÄMTLANDS LÄN</t>
        </is>
      </c>
      <c r="E466" t="inlineStr">
        <is>
          <t>KROKOM</t>
        </is>
      </c>
      <c r="G466" t="n">
        <v>2.9</v>
      </c>
      <c r="H466" t="n">
        <v>0</v>
      </c>
      <c r="I466" t="n">
        <v>0</v>
      </c>
      <c r="J466" t="n">
        <v>0</v>
      </c>
      <c r="K466" t="n">
        <v>0</v>
      </c>
      <c r="L466" t="n">
        <v>0</v>
      </c>
      <c r="M466" t="n">
        <v>0</v>
      </c>
      <c r="N466" t="n">
        <v>0</v>
      </c>
      <c r="O466" t="n">
        <v>0</v>
      </c>
      <c r="P466" t="n">
        <v>0</v>
      </c>
      <c r="Q466" t="n">
        <v>0</v>
      </c>
      <c r="R466" s="2" t="inlineStr"/>
    </row>
    <row r="467" ht="15" customHeight="1">
      <c r="A467" t="inlineStr">
        <is>
          <t>A 50002-2025</t>
        </is>
      </c>
      <c r="B467" s="1" t="n">
        <v>45943.34451388889</v>
      </c>
      <c r="C467" s="1" t="n">
        <v>45983</v>
      </c>
      <c r="D467" t="inlineStr">
        <is>
          <t>JÄMTLANDS LÄN</t>
        </is>
      </c>
      <c r="E467" t="inlineStr">
        <is>
          <t>KROKOM</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50004-2025</t>
        </is>
      </c>
      <c r="B468" s="1" t="n">
        <v>45943.34472222222</v>
      </c>
      <c r="C468" s="1" t="n">
        <v>45983</v>
      </c>
      <c r="D468" t="inlineStr">
        <is>
          <t>JÄMTLANDS LÄN</t>
        </is>
      </c>
      <c r="E468" t="inlineStr">
        <is>
          <t>KROKOM</t>
        </is>
      </c>
      <c r="F468" t="inlineStr">
        <is>
          <t>SCA</t>
        </is>
      </c>
      <c r="G468" t="n">
        <v>13.9</v>
      </c>
      <c r="H468" t="n">
        <v>0</v>
      </c>
      <c r="I468" t="n">
        <v>0</v>
      </c>
      <c r="J468" t="n">
        <v>0</v>
      </c>
      <c r="K468" t="n">
        <v>0</v>
      </c>
      <c r="L468" t="n">
        <v>0</v>
      </c>
      <c r="M468" t="n">
        <v>0</v>
      </c>
      <c r="N468" t="n">
        <v>0</v>
      </c>
      <c r="O468" t="n">
        <v>0</v>
      </c>
      <c r="P468" t="n">
        <v>0</v>
      </c>
      <c r="Q468" t="n">
        <v>0</v>
      </c>
      <c r="R468" s="2" t="inlineStr"/>
    </row>
    <row r="469" ht="15" customHeight="1">
      <c r="A469" t="inlineStr">
        <is>
          <t>A 50006-2025</t>
        </is>
      </c>
      <c r="B469" s="1" t="n">
        <v>45943.34502314815</v>
      </c>
      <c r="C469" s="1" t="n">
        <v>45983</v>
      </c>
      <c r="D469" t="inlineStr">
        <is>
          <t>JÄMTLANDS LÄN</t>
        </is>
      </c>
      <c r="E469" t="inlineStr">
        <is>
          <t>KROKOM</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4608-2025</t>
        </is>
      </c>
      <c r="B470" s="1" t="n">
        <v>45687</v>
      </c>
      <c r="C470" s="1" t="n">
        <v>45983</v>
      </c>
      <c r="D470" t="inlineStr">
        <is>
          <t>JÄMTLANDS LÄN</t>
        </is>
      </c>
      <c r="E470" t="inlineStr">
        <is>
          <t>KROKOM</t>
        </is>
      </c>
      <c r="F470" t="inlineStr">
        <is>
          <t>SCA</t>
        </is>
      </c>
      <c r="G470" t="n">
        <v>16.6</v>
      </c>
      <c r="H470" t="n">
        <v>0</v>
      </c>
      <c r="I470" t="n">
        <v>0</v>
      </c>
      <c r="J470" t="n">
        <v>0</v>
      </c>
      <c r="K470" t="n">
        <v>0</v>
      </c>
      <c r="L470" t="n">
        <v>0</v>
      </c>
      <c r="M470" t="n">
        <v>0</v>
      </c>
      <c r="N470" t="n">
        <v>0</v>
      </c>
      <c r="O470" t="n">
        <v>0</v>
      </c>
      <c r="P470" t="n">
        <v>0</v>
      </c>
      <c r="Q470" t="n">
        <v>0</v>
      </c>
      <c r="R470" s="2" t="inlineStr"/>
    </row>
    <row r="471" ht="15" customHeight="1">
      <c r="A471" t="inlineStr">
        <is>
          <t>A 61078-2023</t>
        </is>
      </c>
      <c r="B471" s="1" t="n">
        <v>45261</v>
      </c>
      <c r="C471" s="1" t="n">
        <v>45983</v>
      </c>
      <c r="D471" t="inlineStr">
        <is>
          <t>JÄMTLANDS LÄN</t>
        </is>
      </c>
      <c r="E471" t="inlineStr">
        <is>
          <t>KROKOM</t>
        </is>
      </c>
      <c r="G471" t="n">
        <v>5.7</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45983</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52578-2021</t>
        </is>
      </c>
      <c r="B473" s="1" t="n">
        <v>44466.56642361111</v>
      </c>
      <c r="C473" s="1" t="n">
        <v>45983</v>
      </c>
      <c r="D473" t="inlineStr">
        <is>
          <t>JÄMTLANDS LÄN</t>
        </is>
      </c>
      <c r="E473" t="inlineStr">
        <is>
          <t>KROKOM</t>
        </is>
      </c>
      <c r="G473" t="n">
        <v>17.1</v>
      </c>
      <c r="H473" t="n">
        <v>0</v>
      </c>
      <c r="I473" t="n">
        <v>0</v>
      </c>
      <c r="J473" t="n">
        <v>0</v>
      </c>
      <c r="K473" t="n">
        <v>0</v>
      </c>
      <c r="L473" t="n">
        <v>0</v>
      </c>
      <c r="M473" t="n">
        <v>0</v>
      </c>
      <c r="N473" t="n">
        <v>0</v>
      </c>
      <c r="O473" t="n">
        <v>0</v>
      </c>
      <c r="P473" t="n">
        <v>0</v>
      </c>
      <c r="Q473" t="n">
        <v>0</v>
      </c>
      <c r="R473" s="2" t="inlineStr"/>
    </row>
    <row r="474" ht="15" customHeight="1">
      <c r="A474" t="inlineStr">
        <is>
          <t>A 61230-2021</t>
        </is>
      </c>
      <c r="B474" s="1" t="n">
        <v>44498</v>
      </c>
      <c r="C474" s="1" t="n">
        <v>45983</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26212-2025</t>
        </is>
      </c>
      <c r="B475" s="1" t="n">
        <v>45805.54185185185</v>
      </c>
      <c r="C475" s="1" t="n">
        <v>45983</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16345-2025</t>
        </is>
      </c>
      <c r="B476" s="1" t="n">
        <v>45751.3734837963</v>
      </c>
      <c r="C476" s="1" t="n">
        <v>45983</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16481-2025</t>
        </is>
      </c>
      <c r="B477" s="1" t="n">
        <v>45751.57877314815</v>
      </c>
      <c r="C477" s="1" t="n">
        <v>45983</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12838-2025</t>
        </is>
      </c>
      <c r="B478" s="1" t="n">
        <v>45733</v>
      </c>
      <c r="C478" s="1" t="n">
        <v>45983</v>
      </c>
      <c r="D478" t="inlineStr">
        <is>
          <t>JÄMTLANDS LÄN</t>
        </is>
      </c>
      <c r="E478" t="inlineStr">
        <is>
          <t>KROKOM</t>
        </is>
      </c>
      <c r="G478" t="n">
        <v>59.3</v>
      </c>
      <c r="H478" t="n">
        <v>0</v>
      </c>
      <c r="I478" t="n">
        <v>0</v>
      </c>
      <c r="J478" t="n">
        <v>0</v>
      </c>
      <c r="K478" t="n">
        <v>0</v>
      </c>
      <c r="L478" t="n">
        <v>0</v>
      </c>
      <c r="M478" t="n">
        <v>0</v>
      </c>
      <c r="N478" t="n">
        <v>0</v>
      </c>
      <c r="O478" t="n">
        <v>0</v>
      </c>
      <c r="P478" t="n">
        <v>0</v>
      </c>
      <c r="Q478" t="n">
        <v>0</v>
      </c>
      <c r="R478" s="2" t="inlineStr"/>
    </row>
    <row r="479" ht="15" customHeight="1">
      <c r="A479" t="inlineStr">
        <is>
          <t>A 26272-2025</t>
        </is>
      </c>
      <c r="B479" s="1" t="n">
        <v>45805</v>
      </c>
      <c r="C479" s="1" t="n">
        <v>45983</v>
      </c>
      <c r="D479" t="inlineStr">
        <is>
          <t>JÄMTLANDS LÄN</t>
        </is>
      </c>
      <c r="E479" t="inlineStr">
        <is>
          <t>KROKOM</t>
        </is>
      </c>
      <c r="G479" t="n">
        <v>22.4</v>
      </c>
      <c r="H479" t="n">
        <v>0</v>
      </c>
      <c r="I479" t="n">
        <v>0</v>
      </c>
      <c r="J479" t="n">
        <v>0</v>
      </c>
      <c r="K479" t="n">
        <v>0</v>
      </c>
      <c r="L479" t="n">
        <v>0</v>
      </c>
      <c r="M479" t="n">
        <v>0</v>
      </c>
      <c r="N479" t="n">
        <v>0</v>
      </c>
      <c r="O479" t="n">
        <v>0</v>
      </c>
      <c r="P479" t="n">
        <v>0</v>
      </c>
      <c r="Q479" t="n">
        <v>0</v>
      </c>
      <c r="R479" s="2" t="inlineStr"/>
    </row>
    <row r="480" ht="15" customHeight="1">
      <c r="A480" t="inlineStr">
        <is>
          <t>A 58734-2024</t>
        </is>
      </c>
      <c r="B480" s="1" t="n">
        <v>45635.67949074074</v>
      </c>
      <c r="C480" s="1" t="n">
        <v>45983</v>
      </c>
      <c r="D480" t="inlineStr">
        <is>
          <t>JÄMTLANDS LÄN</t>
        </is>
      </c>
      <c r="E480" t="inlineStr">
        <is>
          <t>KROKOM</t>
        </is>
      </c>
      <c r="G480" t="n">
        <v>3.4</v>
      </c>
      <c r="H480" t="n">
        <v>0</v>
      </c>
      <c r="I480" t="n">
        <v>0</v>
      </c>
      <c r="J480" t="n">
        <v>0</v>
      </c>
      <c r="K480" t="n">
        <v>0</v>
      </c>
      <c r="L480" t="n">
        <v>0</v>
      </c>
      <c r="M480" t="n">
        <v>0</v>
      </c>
      <c r="N480" t="n">
        <v>0</v>
      </c>
      <c r="O480" t="n">
        <v>0</v>
      </c>
      <c r="P480" t="n">
        <v>0</v>
      </c>
      <c r="Q480" t="n">
        <v>0</v>
      </c>
      <c r="R480" s="2" t="inlineStr"/>
    </row>
    <row r="481" ht="15" customHeight="1">
      <c r="A481" t="inlineStr">
        <is>
          <t>A 50011-2025</t>
        </is>
      </c>
      <c r="B481" s="1" t="n">
        <v>45943.34561342592</v>
      </c>
      <c r="C481" s="1" t="n">
        <v>45983</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52111-2024</t>
        </is>
      </c>
      <c r="B482" s="1" t="n">
        <v>45608.43930555556</v>
      </c>
      <c r="C482" s="1" t="n">
        <v>45983</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5409-2025</t>
        </is>
      </c>
      <c r="B483" s="1" t="n">
        <v>45692</v>
      </c>
      <c r="C483" s="1" t="n">
        <v>45983</v>
      </c>
      <c r="D483" t="inlineStr">
        <is>
          <t>JÄMTLANDS LÄN</t>
        </is>
      </c>
      <c r="E483" t="inlineStr">
        <is>
          <t>KROKOM</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45983</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50003-2025</t>
        </is>
      </c>
      <c r="B485" s="1" t="n">
        <v>45943.34457175926</v>
      </c>
      <c r="C485" s="1" t="n">
        <v>45983</v>
      </c>
      <c r="D485" t="inlineStr">
        <is>
          <t>JÄMTLANDS LÄN</t>
        </is>
      </c>
      <c r="E485" t="inlineStr">
        <is>
          <t>KROKOM</t>
        </is>
      </c>
      <c r="F485" t="inlineStr">
        <is>
          <t>SCA</t>
        </is>
      </c>
      <c r="G485" t="n">
        <v>10.4</v>
      </c>
      <c r="H485" t="n">
        <v>0</v>
      </c>
      <c r="I485" t="n">
        <v>0</v>
      </c>
      <c r="J485" t="n">
        <v>0</v>
      </c>
      <c r="K485" t="n">
        <v>0</v>
      </c>
      <c r="L485" t="n">
        <v>0</v>
      </c>
      <c r="M485" t="n">
        <v>0</v>
      </c>
      <c r="N485" t="n">
        <v>0</v>
      </c>
      <c r="O485" t="n">
        <v>0</v>
      </c>
      <c r="P485" t="n">
        <v>0</v>
      </c>
      <c r="Q485" t="n">
        <v>0</v>
      </c>
      <c r="R485" s="2" t="inlineStr"/>
    </row>
    <row r="486" ht="15" customHeight="1">
      <c r="A486" t="inlineStr">
        <is>
          <t>A 42235-2025</t>
        </is>
      </c>
      <c r="B486" s="1" t="n">
        <v>45904.56144675926</v>
      </c>
      <c r="C486" s="1" t="n">
        <v>45983</v>
      </c>
      <c r="D486" t="inlineStr">
        <is>
          <t>JÄMTLANDS LÄN</t>
        </is>
      </c>
      <c r="E486" t="inlineStr">
        <is>
          <t>KROKOM</t>
        </is>
      </c>
      <c r="G486" t="n">
        <v>0.8</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45983</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26621-2025</t>
        </is>
      </c>
      <c r="B488" s="1" t="n">
        <v>45810.32105324074</v>
      </c>
      <c r="C488" s="1" t="n">
        <v>45983</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50455-2025</t>
        </is>
      </c>
      <c r="B489" s="1" t="n">
        <v>45945.33297453704</v>
      </c>
      <c r="C489" s="1" t="n">
        <v>45983</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28191-2024</t>
        </is>
      </c>
      <c r="B490" s="1" t="n">
        <v>45477.32728009259</v>
      </c>
      <c r="C490" s="1" t="n">
        <v>45983</v>
      </c>
      <c r="D490" t="inlineStr">
        <is>
          <t>JÄMTLANDS LÄN</t>
        </is>
      </c>
      <c r="E490" t="inlineStr">
        <is>
          <t>KROKOM</t>
        </is>
      </c>
      <c r="F490" t="inlineStr">
        <is>
          <t>Övriga Aktiebolag</t>
        </is>
      </c>
      <c r="G490" t="n">
        <v>0.3</v>
      </c>
      <c r="H490" t="n">
        <v>0</v>
      </c>
      <c r="I490" t="n">
        <v>0</v>
      </c>
      <c r="J490" t="n">
        <v>0</v>
      </c>
      <c r="K490" t="n">
        <v>0</v>
      </c>
      <c r="L490" t="n">
        <v>0</v>
      </c>
      <c r="M490" t="n">
        <v>0</v>
      </c>
      <c r="N490" t="n">
        <v>0</v>
      </c>
      <c r="O490" t="n">
        <v>0</v>
      </c>
      <c r="P490" t="n">
        <v>0</v>
      </c>
      <c r="Q490" t="n">
        <v>0</v>
      </c>
      <c r="R490" s="2" t="inlineStr"/>
    </row>
    <row r="491" ht="15" customHeight="1">
      <c r="A491" t="inlineStr">
        <is>
          <t>A 10533-2025</t>
        </is>
      </c>
      <c r="B491" s="1" t="n">
        <v>45721.45563657407</v>
      </c>
      <c r="C491" s="1" t="n">
        <v>45983</v>
      </c>
      <c r="D491" t="inlineStr">
        <is>
          <t>JÄMTLANDS LÄN</t>
        </is>
      </c>
      <c r="E491" t="inlineStr">
        <is>
          <t>KROKOM</t>
        </is>
      </c>
      <c r="F491" t="inlineStr">
        <is>
          <t>SCA</t>
        </is>
      </c>
      <c r="G491" t="n">
        <v>64.90000000000001</v>
      </c>
      <c r="H491" t="n">
        <v>0</v>
      </c>
      <c r="I491" t="n">
        <v>0</v>
      </c>
      <c r="J491" t="n">
        <v>0</v>
      </c>
      <c r="K491" t="n">
        <v>0</v>
      </c>
      <c r="L491" t="n">
        <v>0</v>
      </c>
      <c r="M491" t="n">
        <v>0</v>
      </c>
      <c r="N491" t="n">
        <v>0</v>
      </c>
      <c r="O491" t="n">
        <v>0</v>
      </c>
      <c r="P491" t="n">
        <v>0</v>
      </c>
      <c r="Q491" t="n">
        <v>0</v>
      </c>
      <c r="R491" s="2" t="inlineStr"/>
    </row>
    <row r="492" ht="15" customHeight="1">
      <c r="A492" t="inlineStr">
        <is>
          <t>A 42231-2025</t>
        </is>
      </c>
      <c r="B492" s="1" t="n">
        <v>45904.55565972222</v>
      </c>
      <c r="C492" s="1" t="n">
        <v>45983</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30065-2024</t>
        </is>
      </c>
      <c r="B493" s="1" t="n">
        <v>45488.94857638889</v>
      </c>
      <c r="C493" s="1" t="n">
        <v>45983</v>
      </c>
      <c r="D493" t="inlineStr">
        <is>
          <t>JÄMTLANDS LÄN</t>
        </is>
      </c>
      <c r="E493" t="inlineStr">
        <is>
          <t>KROKOM</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45983</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31927-2023</t>
        </is>
      </c>
      <c r="B495" s="1" t="n">
        <v>45118.94061342593</v>
      </c>
      <c r="C495" s="1" t="n">
        <v>45983</v>
      </c>
      <c r="D495" t="inlineStr">
        <is>
          <t>JÄMTLANDS LÄN</t>
        </is>
      </c>
      <c r="E495" t="inlineStr">
        <is>
          <t>KROKOM</t>
        </is>
      </c>
      <c r="G495" t="n">
        <v>56.6</v>
      </c>
      <c r="H495" t="n">
        <v>0</v>
      </c>
      <c r="I495" t="n">
        <v>0</v>
      </c>
      <c r="J495" t="n">
        <v>0</v>
      </c>
      <c r="K495" t="n">
        <v>0</v>
      </c>
      <c r="L495" t="n">
        <v>0</v>
      </c>
      <c r="M495" t="n">
        <v>0</v>
      </c>
      <c r="N495" t="n">
        <v>0</v>
      </c>
      <c r="O495" t="n">
        <v>0</v>
      </c>
      <c r="P495" t="n">
        <v>0</v>
      </c>
      <c r="Q495" t="n">
        <v>0</v>
      </c>
      <c r="R495" s="2" t="inlineStr"/>
    </row>
    <row r="496" ht="15" customHeight="1">
      <c r="A496" t="inlineStr">
        <is>
          <t>A 27431-2024</t>
        </is>
      </c>
      <c r="B496" s="1" t="n">
        <v>45474.3981712963</v>
      </c>
      <c r="C496" s="1" t="n">
        <v>45983</v>
      </c>
      <c r="D496" t="inlineStr">
        <is>
          <t>JÄMTLANDS LÄN</t>
        </is>
      </c>
      <c r="E496" t="inlineStr">
        <is>
          <t>KROKOM</t>
        </is>
      </c>
      <c r="G496" t="n">
        <v>4.2</v>
      </c>
      <c r="H496" t="n">
        <v>0</v>
      </c>
      <c r="I496" t="n">
        <v>0</v>
      </c>
      <c r="J496" t="n">
        <v>0</v>
      </c>
      <c r="K496" t="n">
        <v>0</v>
      </c>
      <c r="L496" t="n">
        <v>0</v>
      </c>
      <c r="M496" t="n">
        <v>0</v>
      </c>
      <c r="N496" t="n">
        <v>0</v>
      </c>
      <c r="O496" t="n">
        <v>0</v>
      </c>
      <c r="P496" t="n">
        <v>0</v>
      </c>
      <c r="Q496" t="n">
        <v>0</v>
      </c>
      <c r="R496" s="2" t="inlineStr"/>
    </row>
    <row r="497" ht="15" customHeight="1">
      <c r="A497" t="inlineStr">
        <is>
          <t>A 27729-2024</t>
        </is>
      </c>
      <c r="B497" s="1" t="n">
        <v>45475</v>
      </c>
      <c r="C497" s="1" t="n">
        <v>45983</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45983</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26619-2025</t>
        </is>
      </c>
      <c r="B499" s="1" t="n">
        <v>45810.31376157407</v>
      </c>
      <c r="C499" s="1" t="n">
        <v>45983</v>
      </c>
      <c r="D499" t="inlineStr">
        <is>
          <t>JÄMTLANDS LÄN</t>
        </is>
      </c>
      <c r="E499" t="inlineStr">
        <is>
          <t>KROKOM</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27153-2025</t>
        </is>
      </c>
      <c r="B500" s="1" t="n">
        <v>45812.32266203704</v>
      </c>
      <c r="C500" s="1" t="n">
        <v>45983</v>
      </c>
      <c r="D500" t="inlineStr">
        <is>
          <t>JÄMTLANDS LÄN</t>
        </is>
      </c>
      <c r="E500" t="inlineStr">
        <is>
          <t>KROKOM</t>
        </is>
      </c>
      <c r="G500" t="n">
        <v>15.8</v>
      </c>
      <c r="H500" t="n">
        <v>0</v>
      </c>
      <c r="I500" t="n">
        <v>0</v>
      </c>
      <c r="J500" t="n">
        <v>0</v>
      </c>
      <c r="K500" t="n">
        <v>0</v>
      </c>
      <c r="L500" t="n">
        <v>0</v>
      </c>
      <c r="M500" t="n">
        <v>0</v>
      </c>
      <c r="N500" t="n">
        <v>0</v>
      </c>
      <c r="O500" t="n">
        <v>0</v>
      </c>
      <c r="P500" t="n">
        <v>0</v>
      </c>
      <c r="Q500" t="n">
        <v>0</v>
      </c>
      <c r="R500" s="2" t="inlineStr"/>
    </row>
    <row r="501" ht="15" customHeight="1">
      <c r="A501" t="inlineStr">
        <is>
          <t>A 50806-2025</t>
        </is>
      </c>
      <c r="B501" s="1" t="n">
        <v>45946.50797453704</v>
      </c>
      <c r="C501" s="1" t="n">
        <v>45983</v>
      </c>
      <c r="D501" t="inlineStr">
        <is>
          <t>JÄMTLANDS LÄN</t>
        </is>
      </c>
      <c r="E501" t="inlineStr">
        <is>
          <t>KROKOM</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6214-2022</t>
        </is>
      </c>
      <c r="B502" s="1" t="n">
        <v>44600.37212962963</v>
      </c>
      <c r="C502" s="1" t="n">
        <v>45983</v>
      </c>
      <c r="D502" t="inlineStr">
        <is>
          <t>JÄMTLANDS LÄN</t>
        </is>
      </c>
      <c r="E502" t="inlineStr">
        <is>
          <t>KROKOM</t>
        </is>
      </c>
      <c r="G502" t="n">
        <v>1.1</v>
      </c>
      <c r="H502" t="n">
        <v>0</v>
      </c>
      <c r="I502" t="n">
        <v>0</v>
      </c>
      <c r="J502" t="n">
        <v>0</v>
      </c>
      <c r="K502" t="n">
        <v>0</v>
      </c>
      <c r="L502" t="n">
        <v>0</v>
      </c>
      <c r="M502" t="n">
        <v>0</v>
      </c>
      <c r="N502" t="n">
        <v>0</v>
      </c>
      <c r="O502" t="n">
        <v>0</v>
      </c>
      <c r="P502" t="n">
        <v>0</v>
      </c>
      <c r="Q502" t="n">
        <v>0</v>
      </c>
      <c r="R502" s="2" t="inlineStr"/>
    </row>
    <row r="503" ht="15" customHeight="1">
      <c r="A503" t="inlineStr">
        <is>
          <t>A 58416-2024</t>
        </is>
      </c>
      <c r="B503" s="1" t="n">
        <v>45634.79854166666</v>
      </c>
      <c r="C503" s="1" t="n">
        <v>45983</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42427-2025</t>
        </is>
      </c>
      <c r="B504" s="1" t="n">
        <v>45905.4174537037</v>
      </c>
      <c r="C504" s="1" t="n">
        <v>45983</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29896-2021</t>
        </is>
      </c>
      <c r="B505" s="1" t="n">
        <v>44362</v>
      </c>
      <c r="C505" s="1" t="n">
        <v>45983</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36929-2024</t>
        </is>
      </c>
      <c r="B506" s="1" t="n">
        <v>45538.68200231482</v>
      </c>
      <c r="C506" s="1" t="n">
        <v>45983</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45983</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50990-2025</t>
        </is>
      </c>
      <c r="B508" s="1" t="n">
        <v>45947.34591435185</v>
      </c>
      <c r="C508" s="1" t="n">
        <v>45983</v>
      </c>
      <c r="D508" t="inlineStr">
        <is>
          <t>JÄMTLANDS LÄN</t>
        </is>
      </c>
      <c r="E508" t="inlineStr">
        <is>
          <t>KROKOM</t>
        </is>
      </c>
      <c r="G508" t="n">
        <v>5.3</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45983</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42445-2025</t>
        </is>
      </c>
      <c r="B510" s="1" t="n">
        <v>45905.4375</v>
      </c>
      <c r="C510" s="1" t="n">
        <v>45983</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45983</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27833-2025</t>
        </is>
      </c>
      <c r="B512" s="1" t="n">
        <v>45814</v>
      </c>
      <c r="C512" s="1" t="n">
        <v>45983</v>
      </c>
      <c r="D512" t="inlineStr">
        <is>
          <t>JÄMTLANDS LÄN</t>
        </is>
      </c>
      <c r="E512" t="inlineStr">
        <is>
          <t>KROKOM</t>
        </is>
      </c>
      <c r="G512" t="n">
        <v>1.9</v>
      </c>
      <c r="H512" t="n">
        <v>0</v>
      </c>
      <c r="I512" t="n">
        <v>0</v>
      </c>
      <c r="J512" t="n">
        <v>0</v>
      </c>
      <c r="K512" t="n">
        <v>0</v>
      </c>
      <c r="L512" t="n">
        <v>0</v>
      </c>
      <c r="M512" t="n">
        <v>0</v>
      </c>
      <c r="N512" t="n">
        <v>0</v>
      </c>
      <c r="O512" t="n">
        <v>0</v>
      </c>
      <c r="P512" t="n">
        <v>0</v>
      </c>
      <c r="Q512" t="n">
        <v>0</v>
      </c>
      <c r="R512" s="2" t="inlineStr"/>
    </row>
    <row r="513" ht="15" customHeight="1">
      <c r="A513" t="inlineStr">
        <is>
          <t>A 27851-2025</t>
        </is>
      </c>
      <c r="B513" s="1" t="n">
        <v>45814</v>
      </c>
      <c r="C513" s="1" t="n">
        <v>45983</v>
      </c>
      <c r="D513" t="inlineStr">
        <is>
          <t>JÄMTLANDS LÄN</t>
        </is>
      </c>
      <c r="E513" t="inlineStr">
        <is>
          <t>KROKOM</t>
        </is>
      </c>
      <c r="G513" t="n">
        <v>13.9</v>
      </c>
      <c r="H513" t="n">
        <v>0</v>
      </c>
      <c r="I513" t="n">
        <v>0</v>
      </c>
      <c r="J513" t="n">
        <v>0</v>
      </c>
      <c r="K513" t="n">
        <v>0</v>
      </c>
      <c r="L513" t="n">
        <v>0</v>
      </c>
      <c r="M513" t="n">
        <v>0</v>
      </c>
      <c r="N513" t="n">
        <v>0</v>
      </c>
      <c r="O513" t="n">
        <v>0</v>
      </c>
      <c r="P513" t="n">
        <v>0</v>
      </c>
      <c r="Q513" t="n">
        <v>0</v>
      </c>
      <c r="R513" s="2" t="inlineStr"/>
    </row>
    <row r="514" ht="15" customHeight="1">
      <c r="A514" t="inlineStr">
        <is>
          <t>A 51317-2025</t>
        </is>
      </c>
      <c r="B514" s="1" t="n">
        <v>45950.38090277778</v>
      </c>
      <c r="C514" s="1" t="n">
        <v>45983</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4741-2022</t>
        </is>
      </c>
      <c r="B515" s="1" t="n">
        <v>44592</v>
      </c>
      <c r="C515" s="1" t="n">
        <v>45983</v>
      </c>
      <c r="D515" t="inlineStr">
        <is>
          <t>JÄMTLANDS LÄN</t>
        </is>
      </c>
      <c r="E515" t="inlineStr">
        <is>
          <t>KROKOM</t>
        </is>
      </c>
      <c r="G515" t="n">
        <v>54.2</v>
      </c>
      <c r="H515" t="n">
        <v>0</v>
      </c>
      <c r="I515" t="n">
        <v>0</v>
      </c>
      <c r="J515" t="n">
        <v>0</v>
      </c>
      <c r="K515" t="n">
        <v>0</v>
      </c>
      <c r="L515" t="n">
        <v>0</v>
      </c>
      <c r="M515" t="n">
        <v>0</v>
      </c>
      <c r="N515" t="n">
        <v>0</v>
      </c>
      <c r="O515" t="n">
        <v>0</v>
      </c>
      <c r="P515" t="n">
        <v>0</v>
      </c>
      <c r="Q515" t="n">
        <v>0</v>
      </c>
      <c r="R515" s="2" t="inlineStr"/>
    </row>
    <row r="516" ht="15" customHeight="1">
      <c r="A516" t="inlineStr">
        <is>
          <t>A 51471-2025</t>
        </is>
      </c>
      <c r="B516" s="1" t="n">
        <v>45950.61703703704</v>
      </c>
      <c r="C516" s="1" t="n">
        <v>45983</v>
      </c>
      <c r="D516" t="inlineStr">
        <is>
          <t>JÄMTLANDS LÄN</t>
        </is>
      </c>
      <c r="E516" t="inlineStr">
        <is>
          <t>KROKOM</t>
        </is>
      </c>
      <c r="G516" t="n">
        <v>0.4</v>
      </c>
      <c r="H516" t="n">
        <v>0</v>
      </c>
      <c r="I516" t="n">
        <v>0</v>
      </c>
      <c r="J516" t="n">
        <v>0</v>
      </c>
      <c r="K516" t="n">
        <v>0</v>
      </c>
      <c r="L516" t="n">
        <v>0</v>
      </c>
      <c r="M516" t="n">
        <v>0</v>
      </c>
      <c r="N516" t="n">
        <v>0</v>
      </c>
      <c r="O516" t="n">
        <v>0</v>
      </c>
      <c r="P516" t="n">
        <v>0</v>
      </c>
      <c r="Q516" t="n">
        <v>0</v>
      </c>
      <c r="R516" s="2" t="inlineStr"/>
    </row>
    <row r="517" ht="15" customHeight="1">
      <c r="A517" t="inlineStr">
        <is>
          <t>A 58052-2022</t>
        </is>
      </c>
      <c r="B517" s="1" t="n">
        <v>44893</v>
      </c>
      <c r="C517" s="1" t="n">
        <v>45983</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31026-2025</t>
        </is>
      </c>
      <c r="B518" s="1" t="n">
        <v>45832</v>
      </c>
      <c r="C518" s="1" t="n">
        <v>45983</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27703-2025</t>
        </is>
      </c>
      <c r="B519" s="1" t="n">
        <v>45813.68361111111</v>
      </c>
      <c r="C519" s="1" t="n">
        <v>45983</v>
      </c>
      <c r="D519" t="inlineStr">
        <is>
          <t>JÄMTLANDS LÄN</t>
        </is>
      </c>
      <c r="E519" t="inlineStr">
        <is>
          <t>KROKOM</t>
        </is>
      </c>
      <c r="G519" t="n">
        <v>7.1</v>
      </c>
      <c r="H519" t="n">
        <v>0</v>
      </c>
      <c r="I519" t="n">
        <v>0</v>
      </c>
      <c r="J519" t="n">
        <v>0</v>
      </c>
      <c r="K519" t="n">
        <v>0</v>
      </c>
      <c r="L519" t="n">
        <v>0</v>
      </c>
      <c r="M519" t="n">
        <v>0</v>
      </c>
      <c r="N519" t="n">
        <v>0</v>
      </c>
      <c r="O519" t="n">
        <v>0</v>
      </c>
      <c r="P519" t="n">
        <v>0</v>
      </c>
      <c r="Q519" t="n">
        <v>0</v>
      </c>
      <c r="R519" s="2" t="inlineStr"/>
    </row>
    <row r="520" ht="15" customHeight="1">
      <c r="A520" t="inlineStr">
        <is>
          <t>A 16064-2024</t>
        </is>
      </c>
      <c r="B520" s="1" t="n">
        <v>45406.05033564815</v>
      </c>
      <c r="C520" s="1" t="n">
        <v>45983</v>
      </c>
      <c r="D520" t="inlineStr">
        <is>
          <t>JÄMTLANDS LÄN</t>
        </is>
      </c>
      <c r="E520" t="inlineStr">
        <is>
          <t>KROKOM</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22236-2025</t>
        </is>
      </c>
      <c r="B521" s="1" t="n">
        <v>45785.67431712963</v>
      </c>
      <c r="C521" s="1" t="n">
        <v>45983</v>
      </c>
      <c r="D521" t="inlineStr">
        <is>
          <t>JÄMTLANDS LÄN</t>
        </is>
      </c>
      <c r="E521" t="inlineStr">
        <is>
          <t>KROKOM</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8695-2025</t>
        </is>
      </c>
      <c r="B522" s="1" t="n">
        <v>45709</v>
      </c>
      <c r="C522" s="1" t="n">
        <v>45983</v>
      </c>
      <c r="D522" t="inlineStr">
        <is>
          <t>JÄMTLANDS LÄN</t>
        </is>
      </c>
      <c r="E522" t="inlineStr">
        <is>
          <t>KROKOM</t>
        </is>
      </c>
      <c r="G522" t="n">
        <v>21.4</v>
      </c>
      <c r="H522" t="n">
        <v>0</v>
      </c>
      <c r="I522" t="n">
        <v>0</v>
      </c>
      <c r="J522" t="n">
        <v>0</v>
      </c>
      <c r="K522" t="n">
        <v>0</v>
      </c>
      <c r="L522" t="n">
        <v>0</v>
      </c>
      <c r="M522" t="n">
        <v>0</v>
      </c>
      <c r="N522" t="n">
        <v>0</v>
      </c>
      <c r="O522" t="n">
        <v>0</v>
      </c>
      <c r="P522" t="n">
        <v>0</v>
      </c>
      <c r="Q522" t="n">
        <v>0</v>
      </c>
      <c r="R522" s="2" t="inlineStr"/>
    </row>
    <row r="523" ht="15" customHeight="1">
      <c r="A523" t="inlineStr">
        <is>
          <t>A 20798-2025</t>
        </is>
      </c>
      <c r="B523" s="1" t="n">
        <v>45776</v>
      </c>
      <c r="C523" s="1" t="n">
        <v>45983</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59076-2022</t>
        </is>
      </c>
      <c r="B524" s="1" t="n">
        <v>44904</v>
      </c>
      <c r="C524" s="1" t="n">
        <v>45983</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28155-2025</t>
        </is>
      </c>
      <c r="B525" s="1" t="n">
        <v>45818.36246527778</v>
      </c>
      <c r="C525" s="1" t="n">
        <v>45983</v>
      </c>
      <c r="D525" t="inlineStr">
        <is>
          <t>JÄMTLANDS LÄN</t>
        </is>
      </c>
      <c r="E525" t="inlineStr">
        <is>
          <t>KROKOM</t>
        </is>
      </c>
      <c r="F525" t="inlineStr">
        <is>
          <t>Kyrkan</t>
        </is>
      </c>
      <c r="G525" t="n">
        <v>6.1</v>
      </c>
      <c r="H525" t="n">
        <v>0</v>
      </c>
      <c r="I525" t="n">
        <v>0</v>
      </c>
      <c r="J525" t="n">
        <v>0</v>
      </c>
      <c r="K525" t="n">
        <v>0</v>
      </c>
      <c r="L525" t="n">
        <v>0</v>
      </c>
      <c r="M525" t="n">
        <v>0</v>
      </c>
      <c r="N525" t="n">
        <v>0</v>
      </c>
      <c r="O525" t="n">
        <v>0</v>
      </c>
      <c r="P525" t="n">
        <v>0</v>
      </c>
      <c r="Q525" t="n">
        <v>0</v>
      </c>
      <c r="R525" s="2" t="inlineStr"/>
    </row>
    <row r="526" ht="15" customHeight="1">
      <c r="A526" t="inlineStr">
        <is>
          <t>A 51472-2025</t>
        </is>
      </c>
      <c r="B526" s="1" t="n">
        <v>45950.61744212963</v>
      </c>
      <c r="C526" s="1" t="n">
        <v>45983</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28130-2025</t>
        </is>
      </c>
      <c r="B527" s="1" t="n">
        <v>45818.3293287037</v>
      </c>
      <c r="C527" s="1" t="n">
        <v>45983</v>
      </c>
      <c r="D527" t="inlineStr">
        <is>
          <t>JÄMTLANDS LÄN</t>
        </is>
      </c>
      <c r="E527" t="inlineStr">
        <is>
          <t>KROKOM</t>
        </is>
      </c>
      <c r="F527" t="inlineStr">
        <is>
          <t>Kyrkan</t>
        </is>
      </c>
      <c r="G527" t="n">
        <v>10.2</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45983</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32676-2023</t>
        </is>
      </c>
      <c r="B529" s="1" t="n">
        <v>45121</v>
      </c>
      <c r="C529" s="1" t="n">
        <v>45983</v>
      </c>
      <c r="D529" t="inlineStr">
        <is>
          <t>JÄMTLANDS LÄN</t>
        </is>
      </c>
      <c r="E529" t="inlineStr">
        <is>
          <t>KROKOM</t>
        </is>
      </c>
      <c r="F529" t="inlineStr">
        <is>
          <t>Övriga Aktiebolag</t>
        </is>
      </c>
      <c r="G529" t="n">
        <v>7.1</v>
      </c>
      <c r="H529" t="n">
        <v>0</v>
      </c>
      <c r="I529" t="n">
        <v>0</v>
      </c>
      <c r="J529" t="n">
        <v>0</v>
      </c>
      <c r="K529" t="n">
        <v>0</v>
      </c>
      <c r="L529" t="n">
        <v>0</v>
      </c>
      <c r="M529" t="n">
        <v>0</v>
      </c>
      <c r="N529" t="n">
        <v>0</v>
      </c>
      <c r="O529" t="n">
        <v>0</v>
      </c>
      <c r="P529" t="n">
        <v>0</v>
      </c>
      <c r="Q529" t="n">
        <v>0</v>
      </c>
      <c r="R529" s="2" t="inlineStr"/>
    </row>
    <row r="530" ht="15" customHeight="1">
      <c r="A530" t="inlineStr">
        <is>
          <t>A 58415-2024</t>
        </is>
      </c>
      <c r="B530" s="1" t="n">
        <v>45634.7925</v>
      </c>
      <c r="C530" s="1" t="n">
        <v>45983</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6585-2025</t>
        </is>
      </c>
      <c r="B531" s="1" t="n">
        <v>45700.27895833334</v>
      </c>
      <c r="C531" s="1" t="n">
        <v>45983</v>
      </c>
      <c r="D531" t="inlineStr">
        <is>
          <t>JÄMTLANDS LÄN</t>
        </is>
      </c>
      <c r="E531" t="inlineStr">
        <is>
          <t>KROKOM</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8868-2025</t>
        </is>
      </c>
      <c r="B532" s="1" t="n">
        <v>45713.36836805556</v>
      </c>
      <c r="C532" s="1" t="n">
        <v>45983</v>
      </c>
      <c r="D532" t="inlineStr">
        <is>
          <t>JÄMTLANDS LÄN</t>
        </is>
      </c>
      <c r="E532" t="inlineStr">
        <is>
          <t>KROKOM</t>
        </is>
      </c>
      <c r="F532" t="inlineStr">
        <is>
          <t>Övriga Aktiebolag</t>
        </is>
      </c>
      <c r="G532" t="n">
        <v>4.2</v>
      </c>
      <c r="H532" t="n">
        <v>0</v>
      </c>
      <c r="I532" t="n">
        <v>0</v>
      </c>
      <c r="J532" t="n">
        <v>0</v>
      </c>
      <c r="K532" t="n">
        <v>0</v>
      </c>
      <c r="L532" t="n">
        <v>0</v>
      </c>
      <c r="M532" t="n">
        <v>0</v>
      </c>
      <c r="N532" t="n">
        <v>0</v>
      </c>
      <c r="O532" t="n">
        <v>0</v>
      </c>
      <c r="P532" t="n">
        <v>0</v>
      </c>
      <c r="Q532" t="n">
        <v>0</v>
      </c>
      <c r="R532" s="2" t="inlineStr"/>
    </row>
    <row r="533" ht="15" customHeight="1">
      <c r="A533" t="inlineStr">
        <is>
          <t>A 27973-2025</t>
        </is>
      </c>
      <c r="B533" s="1" t="n">
        <v>45817.56761574074</v>
      </c>
      <c r="C533" s="1" t="n">
        <v>45983</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48971-2024</t>
        </is>
      </c>
      <c r="B534" s="1" t="n">
        <v>45594.463125</v>
      </c>
      <c r="C534" s="1" t="n">
        <v>45983</v>
      </c>
      <c r="D534" t="inlineStr">
        <is>
          <t>JÄMTLANDS LÄN</t>
        </is>
      </c>
      <c r="E534" t="inlineStr">
        <is>
          <t>KROKOM</t>
        </is>
      </c>
      <c r="G534" t="n">
        <v>11.8</v>
      </c>
      <c r="H534" t="n">
        <v>0</v>
      </c>
      <c r="I534" t="n">
        <v>0</v>
      </c>
      <c r="J534" t="n">
        <v>0</v>
      </c>
      <c r="K534" t="n">
        <v>0</v>
      </c>
      <c r="L534" t="n">
        <v>0</v>
      </c>
      <c r="M534" t="n">
        <v>0</v>
      </c>
      <c r="N534" t="n">
        <v>0</v>
      </c>
      <c r="O534" t="n">
        <v>0</v>
      </c>
      <c r="P534" t="n">
        <v>0</v>
      </c>
      <c r="Q534" t="n">
        <v>0</v>
      </c>
      <c r="R534" s="2" t="inlineStr"/>
    </row>
    <row r="535" ht="15" customHeight="1">
      <c r="A535" t="inlineStr">
        <is>
          <t>A 27740-2025</t>
        </is>
      </c>
      <c r="B535" s="1" t="n">
        <v>45815.50844907408</v>
      </c>
      <c r="C535" s="1" t="n">
        <v>45983</v>
      </c>
      <c r="D535" t="inlineStr">
        <is>
          <t>JÄMTLANDS LÄN</t>
        </is>
      </c>
      <c r="E535" t="inlineStr">
        <is>
          <t>KROKOM</t>
        </is>
      </c>
      <c r="G535" t="n">
        <v>9.1</v>
      </c>
      <c r="H535" t="n">
        <v>0</v>
      </c>
      <c r="I535" t="n">
        <v>0</v>
      </c>
      <c r="J535" t="n">
        <v>0</v>
      </c>
      <c r="K535" t="n">
        <v>0</v>
      </c>
      <c r="L535" t="n">
        <v>0</v>
      </c>
      <c r="M535" t="n">
        <v>0</v>
      </c>
      <c r="N535" t="n">
        <v>0</v>
      </c>
      <c r="O535" t="n">
        <v>0</v>
      </c>
      <c r="P535" t="n">
        <v>0</v>
      </c>
      <c r="Q535" t="n">
        <v>0</v>
      </c>
      <c r="R535" s="2" t="inlineStr"/>
    </row>
    <row r="536" ht="15" customHeight="1">
      <c r="A536" t="inlineStr">
        <is>
          <t>A 30709-2024</t>
        </is>
      </c>
      <c r="B536" s="1" t="n">
        <v>45496.41289351852</v>
      </c>
      <c r="C536" s="1" t="n">
        <v>45983</v>
      </c>
      <c r="D536" t="inlineStr">
        <is>
          <t>JÄMTLANDS LÄN</t>
        </is>
      </c>
      <c r="E536" t="inlineStr">
        <is>
          <t>KROKOM</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54817-2024</t>
        </is>
      </c>
      <c r="B537" s="1" t="n">
        <v>45618.53126157408</v>
      </c>
      <c r="C537" s="1" t="n">
        <v>45983</v>
      </c>
      <c r="D537" t="inlineStr">
        <is>
          <t>JÄMTLANDS LÄN</t>
        </is>
      </c>
      <c r="E537" t="inlineStr">
        <is>
          <t>KROKOM</t>
        </is>
      </c>
      <c r="G537" t="n">
        <v>8.4</v>
      </c>
      <c r="H537" t="n">
        <v>0</v>
      </c>
      <c r="I537" t="n">
        <v>0</v>
      </c>
      <c r="J537" t="n">
        <v>0</v>
      </c>
      <c r="K537" t="n">
        <v>0</v>
      </c>
      <c r="L537" t="n">
        <v>0</v>
      </c>
      <c r="M537" t="n">
        <v>0</v>
      </c>
      <c r="N537" t="n">
        <v>0</v>
      </c>
      <c r="O537" t="n">
        <v>0</v>
      </c>
      <c r="P537" t="n">
        <v>0</v>
      </c>
      <c r="Q537" t="n">
        <v>0</v>
      </c>
      <c r="R537" s="2" t="inlineStr"/>
    </row>
    <row r="538" ht="15" customHeight="1">
      <c r="A538" t="inlineStr">
        <is>
          <t>A 54823-2024</t>
        </is>
      </c>
      <c r="B538" s="1" t="n">
        <v>45618.53633101852</v>
      </c>
      <c r="C538" s="1" t="n">
        <v>45983</v>
      </c>
      <c r="D538" t="inlineStr">
        <is>
          <t>JÄMTLANDS LÄN</t>
        </is>
      </c>
      <c r="E538" t="inlineStr">
        <is>
          <t>KROKOM</t>
        </is>
      </c>
      <c r="G538" t="n">
        <v>4</v>
      </c>
      <c r="H538" t="n">
        <v>0</v>
      </c>
      <c r="I538" t="n">
        <v>0</v>
      </c>
      <c r="J538" t="n">
        <v>0</v>
      </c>
      <c r="K538" t="n">
        <v>0</v>
      </c>
      <c r="L538" t="n">
        <v>0</v>
      </c>
      <c r="M538" t="n">
        <v>0</v>
      </c>
      <c r="N538" t="n">
        <v>0</v>
      </c>
      <c r="O538" t="n">
        <v>0</v>
      </c>
      <c r="P538" t="n">
        <v>0</v>
      </c>
      <c r="Q538" t="n">
        <v>0</v>
      </c>
      <c r="R538" s="2" t="inlineStr"/>
    </row>
    <row r="539" ht="15" customHeight="1">
      <c r="A539" t="inlineStr">
        <is>
          <t>A 50417-2024</t>
        </is>
      </c>
      <c r="B539" s="1" t="n">
        <v>45601.38071759259</v>
      </c>
      <c r="C539" s="1" t="n">
        <v>45983</v>
      </c>
      <c r="D539" t="inlineStr">
        <is>
          <t>JÄMTLANDS LÄN</t>
        </is>
      </c>
      <c r="E539" t="inlineStr">
        <is>
          <t>KROKOM</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28137-2025</t>
        </is>
      </c>
      <c r="B540" s="1" t="n">
        <v>45818.34474537037</v>
      </c>
      <c r="C540" s="1" t="n">
        <v>45983</v>
      </c>
      <c r="D540" t="inlineStr">
        <is>
          <t>JÄMTLANDS LÄN</t>
        </is>
      </c>
      <c r="E540" t="inlineStr">
        <is>
          <t>KROKOM</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51470-2025</t>
        </is>
      </c>
      <c r="B541" s="1" t="n">
        <v>45950.61659722222</v>
      </c>
      <c r="C541" s="1" t="n">
        <v>45983</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40213-2024</t>
        </is>
      </c>
      <c r="B542" s="1" t="n">
        <v>45554.59447916667</v>
      </c>
      <c r="C542" s="1" t="n">
        <v>45983</v>
      </c>
      <c r="D542" t="inlineStr">
        <is>
          <t>JÄMTLANDS LÄN</t>
        </is>
      </c>
      <c r="E542" t="inlineStr">
        <is>
          <t>KROKOM</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28136-2025</t>
        </is>
      </c>
      <c r="B543" s="1" t="n">
        <v>45818.34473379629</v>
      </c>
      <c r="C543" s="1" t="n">
        <v>45983</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28132-2025</t>
        </is>
      </c>
      <c r="B544" s="1" t="n">
        <v>45818.33532407408</v>
      </c>
      <c r="C544" s="1" t="n">
        <v>45983</v>
      </c>
      <c r="D544" t="inlineStr">
        <is>
          <t>JÄMTLANDS LÄN</t>
        </is>
      </c>
      <c r="E544" t="inlineStr">
        <is>
          <t>KROKOM</t>
        </is>
      </c>
      <c r="F544" t="inlineStr">
        <is>
          <t>Kyrkan</t>
        </is>
      </c>
      <c r="G544" t="n">
        <v>4.5</v>
      </c>
      <c r="H544" t="n">
        <v>0</v>
      </c>
      <c r="I544" t="n">
        <v>0</v>
      </c>
      <c r="J544" t="n">
        <v>0</v>
      </c>
      <c r="K544" t="n">
        <v>0</v>
      </c>
      <c r="L544" t="n">
        <v>0</v>
      </c>
      <c r="M544" t="n">
        <v>0</v>
      </c>
      <c r="N544" t="n">
        <v>0</v>
      </c>
      <c r="O544" t="n">
        <v>0</v>
      </c>
      <c r="P544" t="n">
        <v>0</v>
      </c>
      <c r="Q544" t="n">
        <v>0</v>
      </c>
      <c r="R544" s="2" t="inlineStr"/>
    </row>
    <row r="545" ht="15" customHeight="1">
      <c r="A545" t="inlineStr">
        <is>
          <t>A 28147-2025</t>
        </is>
      </c>
      <c r="B545" s="1" t="n">
        <v>45818.34833333334</v>
      </c>
      <c r="C545" s="1" t="n">
        <v>45983</v>
      </c>
      <c r="D545" t="inlineStr">
        <is>
          <t>JÄMTLANDS LÄN</t>
        </is>
      </c>
      <c r="E545" t="inlineStr">
        <is>
          <t>KROKOM</t>
        </is>
      </c>
      <c r="F545" t="inlineStr">
        <is>
          <t>Kyrkan</t>
        </is>
      </c>
      <c r="G545" t="n">
        <v>10.8</v>
      </c>
      <c r="H545" t="n">
        <v>0</v>
      </c>
      <c r="I545" t="n">
        <v>0</v>
      </c>
      <c r="J545" t="n">
        <v>0</v>
      </c>
      <c r="K545" t="n">
        <v>0</v>
      </c>
      <c r="L545" t="n">
        <v>0</v>
      </c>
      <c r="M545" t="n">
        <v>0</v>
      </c>
      <c r="N545" t="n">
        <v>0</v>
      </c>
      <c r="O545" t="n">
        <v>0</v>
      </c>
      <c r="P545" t="n">
        <v>0</v>
      </c>
      <c r="Q545" t="n">
        <v>0</v>
      </c>
      <c r="R545" s="2" t="inlineStr"/>
    </row>
    <row r="546" ht="15" customHeight="1">
      <c r="A546" t="inlineStr">
        <is>
          <t>A 28162-2025</t>
        </is>
      </c>
      <c r="B546" s="1" t="n">
        <v>45818.37056712963</v>
      </c>
      <c r="C546" s="1" t="n">
        <v>45983</v>
      </c>
      <c r="D546" t="inlineStr">
        <is>
          <t>JÄMTLANDS LÄN</t>
        </is>
      </c>
      <c r="E546" t="inlineStr">
        <is>
          <t>KROKOM</t>
        </is>
      </c>
      <c r="F546" t="inlineStr">
        <is>
          <t>Kyrkan</t>
        </is>
      </c>
      <c r="G546" t="n">
        <v>4</v>
      </c>
      <c r="H546" t="n">
        <v>0</v>
      </c>
      <c r="I546" t="n">
        <v>0</v>
      </c>
      <c r="J546" t="n">
        <v>0</v>
      </c>
      <c r="K546" t="n">
        <v>0</v>
      </c>
      <c r="L546" t="n">
        <v>0</v>
      </c>
      <c r="M546" t="n">
        <v>0</v>
      </c>
      <c r="N546" t="n">
        <v>0</v>
      </c>
      <c r="O546" t="n">
        <v>0</v>
      </c>
      <c r="P546" t="n">
        <v>0</v>
      </c>
      <c r="Q546" t="n">
        <v>0</v>
      </c>
      <c r="R546" s="2" t="inlineStr"/>
    </row>
    <row r="547" ht="15" customHeight="1">
      <c r="A547" t="inlineStr">
        <is>
          <t>A 39368-2024</t>
        </is>
      </c>
      <c r="B547" s="1" t="n">
        <v>45551.47325231481</v>
      </c>
      <c r="C547" s="1" t="n">
        <v>45983</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6590-2025</t>
        </is>
      </c>
      <c r="B548" s="1" t="n">
        <v>45700.30092592593</v>
      </c>
      <c r="C548" s="1" t="n">
        <v>45983</v>
      </c>
      <c r="D548" t="inlineStr">
        <is>
          <t>JÄMTLANDS LÄN</t>
        </is>
      </c>
      <c r="E548" t="inlineStr">
        <is>
          <t>KROKOM</t>
        </is>
      </c>
      <c r="F548" t="inlineStr">
        <is>
          <t>Övriga Aktiebolag</t>
        </is>
      </c>
      <c r="G548" t="n">
        <v>51.6</v>
      </c>
      <c r="H548" t="n">
        <v>0</v>
      </c>
      <c r="I548" t="n">
        <v>0</v>
      </c>
      <c r="J548" t="n">
        <v>0</v>
      </c>
      <c r="K548" t="n">
        <v>0</v>
      </c>
      <c r="L548" t="n">
        <v>0</v>
      </c>
      <c r="M548" t="n">
        <v>0</v>
      </c>
      <c r="N548" t="n">
        <v>0</v>
      </c>
      <c r="O548" t="n">
        <v>0</v>
      </c>
      <c r="P548" t="n">
        <v>0</v>
      </c>
      <c r="Q548" t="n">
        <v>0</v>
      </c>
      <c r="R548" s="2" t="inlineStr"/>
    </row>
    <row r="549" ht="15" customHeight="1">
      <c r="A549" t="inlineStr">
        <is>
          <t>A 28843-2025</t>
        </is>
      </c>
      <c r="B549" s="1" t="n">
        <v>45820</v>
      </c>
      <c r="C549" s="1" t="n">
        <v>45983</v>
      </c>
      <c r="D549" t="inlineStr">
        <is>
          <t>JÄMTLANDS LÄN</t>
        </is>
      </c>
      <c r="E549" t="inlineStr">
        <is>
          <t>KROKOM</t>
        </is>
      </c>
      <c r="G549" t="n">
        <v>1.2</v>
      </c>
      <c r="H549" t="n">
        <v>0</v>
      </c>
      <c r="I549" t="n">
        <v>0</v>
      </c>
      <c r="J549" t="n">
        <v>0</v>
      </c>
      <c r="K549" t="n">
        <v>0</v>
      </c>
      <c r="L549" t="n">
        <v>0</v>
      </c>
      <c r="M549" t="n">
        <v>0</v>
      </c>
      <c r="N549" t="n">
        <v>0</v>
      </c>
      <c r="O549" t="n">
        <v>0</v>
      </c>
      <c r="P549" t="n">
        <v>0</v>
      </c>
      <c r="Q549" t="n">
        <v>0</v>
      </c>
      <c r="R549" s="2" t="inlineStr"/>
    </row>
    <row r="550" ht="15" customHeight="1">
      <c r="A550" t="inlineStr">
        <is>
          <t>A 30383-2024</t>
        </is>
      </c>
      <c r="B550" s="1" t="n">
        <v>45491.44971064815</v>
      </c>
      <c r="C550" s="1" t="n">
        <v>45983</v>
      </c>
      <c r="D550" t="inlineStr">
        <is>
          <t>JÄMTLANDS LÄN</t>
        </is>
      </c>
      <c r="E550" t="inlineStr">
        <is>
          <t>KROKOM</t>
        </is>
      </c>
      <c r="G550" t="n">
        <v>22.9</v>
      </c>
      <c r="H550" t="n">
        <v>0</v>
      </c>
      <c r="I550" t="n">
        <v>0</v>
      </c>
      <c r="J550" t="n">
        <v>0</v>
      </c>
      <c r="K550" t="n">
        <v>0</v>
      </c>
      <c r="L550" t="n">
        <v>0</v>
      </c>
      <c r="M550" t="n">
        <v>0</v>
      </c>
      <c r="N550" t="n">
        <v>0</v>
      </c>
      <c r="O550" t="n">
        <v>0</v>
      </c>
      <c r="P550" t="n">
        <v>0</v>
      </c>
      <c r="Q550" t="n">
        <v>0</v>
      </c>
      <c r="R550" s="2" t="inlineStr"/>
    </row>
    <row r="551" ht="15" customHeight="1">
      <c r="A551" t="inlineStr">
        <is>
          <t>A 39230-2024</t>
        </is>
      </c>
      <c r="B551" s="1" t="n">
        <v>45550.66542824074</v>
      </c>
      <c r="C551" s="1" t="n">
        <v>45983</v>
      </c>
      <c r="D551" t="inlineStr">
        <is>
          <t>JÄMTLANDS LÄN</t>
        </is>
      </c>
      <c r="E551" t="inlineStr">
        <is>
          <t>KROKOM</t>
        </is>
      </c>
      <c r="G551" t="n">
        <v>7.9</v>
      </c>
      <c r="H551" t="n">
        <v>0</v>
      </c>
      <c r="I551" t="n">
        <v>0</v>
      </c>
      <c r="J551" t="n">
        <v>0</v>
      </c>
      <c r="K551" t="n">
        <v>0</v>
      </c>
      <c r="L551" t="n">
        <v>0</v>
      </c>
      <c r="M551" t="n">
        <v>0</v>
      </c>
      <c r="N551" t="n">
        <v>0</v>
      </c>
      <c r="O551" t="n">
        <v>0</v>
      </c>
      <c r="P551" t="n">
        <v>0</v>
      </c>
      <c r="Q551" t="n">
        <v>0</v>
      </c>
      <c r="R551" s="2" t="inlineStr"/>
    </row>
    <row r="552" ht="15" customHeight="1">
      <c r="A552" t="inlineStr">
        <is>
          <t>A 28752-2025</t>
        </is>
      </c>
      <c r="B552" s="1" t="n">
        <v>45820</v>
      </c>
      <c r="C552" s="1" t="n">
        <v>45983</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2410-2021</t>
        </is>
      </c>
      <c r="B553" s="1" t="n">
        <v>44214</v>
      </c>
      <c r="C553" s="1" t="n">
        <v>45983</v>
      </c>
      <c r="D553" t="inlineStr">
        <is>
          <t>JÄMTLANDS LÄN</t>
        </is>
      </c>
      <c r="E553" t="inlineStr">
        <is>
          <t>KROKOM</t>
        </is>
      </c>
      <c r="G553" t="n">
        <v>32.7</v>
      </c>
      <c r="H553" t="n">
        <v>0</v>
      </c>
      <c r="I553" t="n">
        <v>0</v>
      </c>
      <c r="J553" t="n">
        <v>0</v>
      </c>
      <c r="K553" t="n">
        <v>0</v>
      </c>
      <c r="L553" t="n">
        <v>0</v>
      </c>
      <c r="M553" t="n">
        <v>0</v>
      </c>
      <c r="N553" t="n">
        <v>0</v>
      </c>
      <c r="O553" t="n">
        <v>0</v>
      </c>
      <c r="P553" t="n">
        <v>0</v>
      </c>
      <c r="Q553" t="n">
        <v>0</v>
      </c>
      <c r="R553" s="2" t="inlineStr"/>
    </row>
    <row r="554" ht="15" customHeight="1">
      <c r="A554" t="inlineStr">
        <is>
          <t>A 28729-2025</t>
        </is>
      </c>
      <c r="B554" s="1" t="n">
        <v>45820.36512731481</v>
      </c>
      <c r="C554" s="1" t="n">
        <v>45983</v>
      </c>
      <c r="D554" t="inlineStr">
        <is>
          <t>JÄMTLANDS LÄN</t>
        </is>
      </c>
      <c r="E554" t="inlineStr">
        <is>
          <t>KROKOM</t>
        </is>
      </c>
      <c r="G554" t="n">
        <v>3.6</v>
      </c>
      <c r="H554" t="n">
        <v>0</v>
      </c>
      <c r="I554" t="n">
        <v>0</v>
      </c>
      <c r="J554" t="n">
        <v>0</v>
      </c>
      <c r="K554" t="n">
        <v>0</v>
      </c>
      <c r="L554" t="n">
        <v>0</v>
      </c>
      <c r="M554" t="n">
        <v>0</v>
      </c>
      <c r="N554" t="n">
        <v>0</v>
      </c>
      <c r="O554" t="n">
        <v>0</v>
      </c>
      <c r="P554" t="n">
        <v>0</v>
      </c>
      <c r="Q554" t="n">
        <v>0</v>
      </c>
      <c r="R554" s="2" t="inlineStr"/>
    </row>
    <row r="555" ht="15" customHeight="1">
      <c r="A555" t="inlineStr">
        <is>
          <t>A 28789-2025</t>
        </is>
      </c>
      <c r="B555" s="1" t="n">
        <v>45820.47200231482</v>
      </c>
      <c r="C555" s="1" t="n">
        <v>45983</v>
      </c>
      <c r="D555" t="inlineStr">
        <is>
          <t>JÄMTLANDS LÄN</t>
        </is>
      </c>
      <c r="E555" t="inlineStr">
        <is>
          <t>KROKOM</t>
        </is>
      </c>
      <c r="F555" t="inlineStr">
        <is>
          <t>Kyrkan</t>
        </is>
      </c>
      <c r="G555" t="n">
        <v>28.4</v>
      </c>
      <c r="H555" t="n">
        <v>0</v>
      </c>
      <c r="I555" t="n">
        <v>0</v>
      </c>
      <c r="J555" t="n">
        <v>0</v>
      </c>
      <c r="K555" t="n">
        <v>0</v>
      </c>
      <c r="L555" t="n">
        <v>0</v>
      </c>
      <c r="M555" t="n">
        <v>0</v>
      </c>
      <c r="N555" t="n">
        <v>0</v>
      </c>
      <c r="O555" t="n">
        <v>0</v>
      </c>
      <c r="P555" t="n">
        <v>0</v>
      </c>
      <c r="Q555" t="n">
        <v>0</v>
      </c>
      <c r="R555" s="2" t="inlineStr"/>
    </row>
    <row r="556" ht="15" customHeight="1">
      <c r="A556" t="inlineStr">
        <is>
          <t>A 61732-2021</t>
        </is>
      </c>
      <c r="B556" s="1" t="n">
        <v>44498</v>
      </c>
      <c r="C556" s="1" t="n">
        <v>45983</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41972-2024</t>
        </is>
      </c>
      <c r="B557" s="1" t="n">
        <v>45561.61515046296</v>
      </c>
      <c r="C557" s="1" t="n">
        <v>45983</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28848-2025</t>
        </is>
      </c>
      <c r="B558" s="1" t="n">
        <v>45820</v>
      </c>
      <c r="C558" s="1" t="n">
        <v>45983</v>
      </c>
      <c r="D558" t="inlineStr">
        <is>
          <t>JÄMTLANDS LÄN</t>
        </is>
      </c>
      <c r="E558" t="inlineStr">
        <is>
          <t>KROKOM</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51735-2025</t>
        </is>
      </c>
      <c r="B559" s="1" t="n">
        <v>45951.59516203704</v>
      </c>
      <c r="C559" s="1" t="n">
        <v>45983</v>
      </c>
      <c r="D559" t="inlineStr">
        <is>
          <t>JÄMTLANDS LÄN</t>
        </is>
      </c>
      <c r="E559" t="inlineStr">
        <is>
          <t>KROKOM</t>
        </is>
      </c>
      <c r="G559" t="n">
        <v>2.8</v>
      </c>
      <c r="H559" t="n">
        <v>0</v>
      </c>
      <c r="I559" t="n">
        <v>0</v>
      </c>
      <c r="J559" t="n">
        <v>0</v>
      </c>
      <c r="K559" t="n">
        <v>0</v>
      </c>
      <c r="L559" t="n">
        <v>0</v>
      </c>
      <c r="M559" t="n">
        <v>0</v>
      </c>
      <c r="N559" t="n">
        <v>0</v>
      </c>
      <c r="O559" t="n">
        <v>0</v>
      </c>
      <c r="P559" t="n">
        <v>0</v>
      </c>
      <c r="Q559" t="n">
        <v>0</v>
      </c>
      <c r="R559" s="2" t="inlineStr"/>
    </row>
    <row r="560" ht="15" customHeight="1">
      <c r="A560" t="inlineStr">
        <is>
          <t>A 28727-2025</t>
        </is>
      </c>
      <c r="B560" s="1" t="n">
        <v>45820.36498842593</v>
      </c>
      <c r="C560" s="1" t="n">
        <v>45983</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28728-2025</t>
        </is>
      </c>
      <c r="B561" s="1" t="n">
        <v>45820.36506944444</v>
      </c>
      <c r="C561" s="1" t="n">
        <v>45983</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6711-2025</t>
        </is>
      </c>
      <c r="B562" s="1" t="n">
        <v>45700.56194444445</v>
      </c>
      <c r="C562" s="1" t="n">
        <v>45983</v>
      </c>
      <c r="D562" t="inlineStr">
        <is>
          <t>JÄMTLANDS LÄN</t>
        </is>
      </c>
      <c r="E562" t="inlineStr">
        <is>
          <t>KROKOM</t>
        </is>
      </c>
      <c r="F562" t="inlineStr">
        <is>
          <t>Övriga Aktiebolag</t>
        </is>
      </c>
      <c r="G562" t="n">
        <v>37.6</v>
      </c>
      <c r="H562" t="n">
        <v>0</v>
      </c>
      <c r="I562" t="n">
        <v>0</v>
      </c>
      <c r="J562" t="n">
        <v>0</v>
      </c>
      <c r="K562" t="n">
        <v>0</v>
      </c>
      <c r="L562" t="n">
        <v>0</v>
      </c>
      <c r="M562" t="n">
        <v>0</v>
      </c>
      <c r="N562" t="n">
        <v>0</v>
      </c>
      <c r="O562" t="n">
        <v>0</v>
      </c>
      <c r="P562" t="n">
        <v>0</v>
      </c>
      <c r="Q562" t="n">
        <v>0</v>
      </c>
      <c r="R562" s="2" t="inlineStr"/>
    </row>
    <row r="563" ht="15" customHeight="1">
      <c r="A563" t="inlineStr">
        <is>
          <t>A 29001-2025</t>
        </is>
      </c>
      <c r="B563" s="1" t="n">
        <v>45821.39026620371</v>
      </c>
      <c r="C563" s="1" t="n">
        <v>45983</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16199-2025</t>
        </is>
      </c>
      <c r="B564" s="1" t="n">
        <v>45750.60577546297</v>
      </c>
      <c r="C564" s="1" t="n">
        <v>45983</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44156-2024</t>
        </is>
      </c>
      <c r="B565" s="1" t="n">
        <v>45572</v>
      </c>
      <c r="C565" s="1" t="n">
        <v>45983</v>
      </c>
      <c r="D565" t="inlineStr">
        <is>
          <t>JÄMTLANDS LÄN</t>
        </is>
      </c>
      <c r="E565" t="inlineStr">
        <is>
          <t>KROKOM</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52032-2025</t>
        </is>
      </c>
      <c r="B566" s="1" t="n">
        <v>45952.61193287037</v>
      </c>
      <c r="C566" s="1" t="n">
        <v>45983</v>
      </c>
      <c r="D566" t="inlineStr">
        <is>
          <t>JÄMTLANDS LÄN</t>
        </is>
      </c>
      <c r="E566" t="inlineStr">
        <is>
          <t>KROKOM</t>
        </is>
      </c>
      <c r="G566" t="n">
        <v>3.5</v>
      </c>
      <c r="H566" t="n">
        <v>0</v>
      </c>
      <c r="I566" t="n">
        <v>0</v>
      </c>
      <c r="J566" t="n">
        <v>0</v>
      </c>
      <c r="K566" t="n">
        <v>0</v>
      </c>
      <c r="L566" t="n">
        <v>0</v>
      </c>
      <c r="M566" t="n">
        <v>0</v>
      </c>
      <c r="N566" t="n">
        <v>0</v>
      </c>
      <c r="O566" t="n">
        <v>0</v>
      </c>
      <c r="P566" t="n">
        <v>0</v>
      </c>
      <c r="Q566" t="n">
        <v>0</v>
      </c>
      <c r="R566" s="2" t="inlineStr"/>
    </row>
    <row r="567" ht="15" customHeight="1">
      <c r="A567" t="inlineStr">
        <is>
          <t>A 4575-2025</t>
        </is>
      </c>
      <c r="B567" s="1" t="n">
        <v>45687.48931712963</v>
      </c>
      <c r="C567" s="1" t="n">
        <v>45983</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42774-2024</t>
        </is>
      </c>
      <c r="B568" s="1" t="n">
        <v>45566.51501157408</v>
      </c>
      <c r="C568" s="1" t="n">
        <v>45983</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52527-2025</t>
        </is>
      </c>
      <c r="B569" s="1" t="n">
        <v>45954.53168981482</v>
      </c>
      <c r="C569" s="1" t="n">
        <v>45983</v>
      </c>
      <c r="D569" t="inlineStr">
        <is>
          <t>JÄMTLANDS LÄN</t>
        </is>
      </c>
      <c r="E569" t="inlineStr">
        <is>
          <t>KROKOM</t>
        </is>
      </c>
      <c r="F569" t="inlineStr">
        <is>
          <t>SCA</t>
        </is>
      </c>
      <c r="G569" t="n">
        <v>9.1</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45983</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43785-2025</t>
        </is>
      </c>
      <c r="B571" s="1" t="n">
        <v>45912</v>
      </c>
      <c r="C571" s="1" t="n">
        <v>45983</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29956-2025</t>
        </is>
      </c>
      <c r="B572" s="1" t="n">
        <v>45826.4705787037</v>
      </c>
      <c r="C572" s="1" t="n">
        <v>45983</v>
      </c>
      <c r="D572" t="inlineStr">
        <is>
          <t>JÄMTLANDS LÄN</t>
        </is>
      </c>
      <c r="E572" t="inlineStr">
        <is>
          <t>KROKOM</t>
        </is>
      </c>
      <c r="F572" t="inlineStr">
        <is>
          <t>SCA</t>
        </is>
      </c>
      <c r="G572" t="n">
        <v>16.1</v>
      </c>
      <c r="H572" t="n">
        <v>0</v>
      </c>
      <c r="I572" t="n">
        <v>0</v>
      </c>
      <c r="J572" t="n">
        <v>0</v>
      </c>
      <c r="K572" t="n">
        <v>0</v>
      </c>
      <c r="L572" t="n">
        <v>0</v>
      </c>
      <c r="M572" t="n">
        <v>0</v>
      </c>
      <c r="N572" t="n">
        <v>0</v>
      </c>
      <c r="O572" t="n">
        <v>0</v>
      </c>
      <c r="P572" t="n">
        <v>0</v>
      </c>
      <c r="Q572" t="n">
        <v>0</v>
      </c>
      <c r="R572" s="2" t="inlineStr"/>
    </row>
    <row r="573" ht="15" customHeight="1">
      <c r="A573" t="inlineStr">
        <is>
          <t>A 52302-2025</t>
        </is>
      </c>
      <c r="B573" s="1" t="n">
        <v>45953.62150462963</v>
      </c>
      <c r="C573" s="1" t="n">
        <v>45983</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52304-2025</t>
        </is>
      </c>
      <c r="B574" s="1" t="n">
        <v>45953.62553240741</v>
      </c>
      <c r="C574" s="1" t="n">
        <v>45983</v>
      </c>
      <c r="D574" t="inlineStr">
        <is>
          <t>JÄMTLANDS LÄN</t>
        </is>
      </c>
      <c r="E574" t="inlineStr">
        <is>
          <t>KROKOM</t>
        </is>
      </c>
      <c r="G574" t="n">
        <v>3.4</v>
      </c>
      <c r="H574" t="n">
        <v>0</v>
      </c>
      <c r="I574" t="n">
        <v>0</v>
      </c>
      <c r="J574" t="n">
        <v>0</v>
      </c>
      <c r="K574" t="n">
        <v>0</v>
      </c>
      <c r="L574" t="n">
        <v>0</v>
      </c>
      <c r="M574" t="n">
        <v>0</v>
      </c>
      <c r="N574" t="n">
        <v>0</v>
      </c>
      <c r="O574" t="n">
        <v>0</v>
      </c>
      <c r="P574" t="n">
        <v>0</v>
      </c>
      <c r="Q574" t="n">
        <v>0</v>
      </c>
      <c r="R574" s="2" t="inlineStr"/>
    </row>
    <row r="575" ht="15" customHeight="1">
      <c r="A575" t="inlineStr">
        <is>
          <t>A 52528-2025</t>
        </is>
      </c>
      <c r="B575" s="1" t="n">
        <v>45954.53189814815</v>
      </c>
      <c r="C575" s="1" t="n">
        <v>45983</v>
      </c>
      <c r="D575" t="inlineStr">
        <is>
          <t>JÄMTLANDS LÄN</t>
        </is>
      </c>
      <c r="E575" t="inlineStr">
        <is>
          <t>KROKOM</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54160-2023</t>
        </is>
      </c>
      <c r="B576" s="1" t="n">
        <v>45232.46239583333</v>
      </c>
      <c r="C576" s="1" t="n">
        <v>45983</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52300-2025</t>
        </is>
      </c>
      <c r="B577" s="1" t="n">
        <v>45953.61458333334</v>
      </c>
      <c r="C577" s="1" t="n">
        <v>45983</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39753-2024</t>
        </is>
      </c>
      <c r="B578" s="1" t="n">
        <v>45552.67611111111</v>
      </c>
      <c r="C578" s="1" t="n">
        <v>45983</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52619-2025</t>
        </is>
      </c>
      <c r="B579" s="1" t="n">
        <v>45954.68111111111</v>
      </c>
      <c r="C579" s="1" t="n">
        <v>45983</v>
      </c>
      <c r="D579" t="inlineStr">
        <is>
          <t>JÄMTLANDS LÄN</t>
        </is>
      </c>
      <c r="E579" t="inlineStr">
        <is>
          <t>KROKOM</t>
        </is>
      </c>
      <c r="G579" t="n">
        <v>11.8</v>
      </c>
      <c r="H579" t="n">
        <v>0</v>
      </c>
      <c r="I579" t="n">
        <v>0</v>
      </c>
      <c r="J579" t="n">
        <v>0</v>
      </c>
      <c r="K579" t="n">
        <v>0</v>
      </c>
      <c r="L579" t="n">
        <v>0</v>
      </c>
      <c r="M579" t="n">
        <v>0</v>
      </c>
      <c r="N579" t="n">
        <v>0</v>
      </c>
      <c r="O579" t="n">
        <v>0</v>
      </c>
      <c r="P579" t="n">
        <v>0</v>
      </c>
      <c r="Q579" t="n">
        <v>0</v>
      </c>
      <c r="R579" s="2" t="inlineStr"/>
    </row>
    <row r="580" ht="15" customHeight="1">
      <c r="A580" t="inlineStr">
        <is>
          <t>A 55479-2022</t>
        </is>
      </c>
      <c r="B580" s="1" t="n">
        <v>44887</v>
      </c>
      <c r="C580" s="1" t="n">
        <v>45983</v>
      </c>
      <c r="D580" t="inlineStr">
        <is>
          <t>JÄMTLANDS LÄN</t>
        </is>
      </c>
      <c r="E580" t="inlineStr">
        <is>
          <t>KROKOM</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36588-2025</t>
        </is>
      </c>
      <c r="B581" s="1" t="n">
        <v>45870</v>
      </c>
      <c r="C581" s="1" t="n">
        <v>45983</v>
      </c>
      <c r="D581" t="inlineStr">
        <is>
          <t>JÄMTLANDS LÄN</t>
        </is>
      </c>
      <c r="E581" t="inlineStr">
        <is>
          <t>KROKOM</t>
        </is>
      </c>
      <c r="G581" t="n">
        <v>2</v>
      </c>
      <c r="H581" t="n">
        <v>0</v>
      </c>
      <c r="I581" t="n">
        <v>0</v>
      </c>
      <c r="J581" t="n">
        <v>0</v>
      </c>
      <c r="K581" t="n">
        <v>0</v>
      </c>
      <c r="L581" t="n">
        <v>0</v>
      </c>
      <c r="M581" t="n">
        <v>0</v>
      </c>
      <c r="N581" t="n">
        <v>0</v>
      </c>
      <c r="O581" t="n">
        <v>0</v>
      </c>
      <c r="P581" t="n">
        <v>0</v>
      </c>
      <c r="Q581" t="n">
        <v>0</v>
      </c>
      <c r="R581" s="2" t="inlineStr"/>
    </row>
    <row r="582" ht="15" customHeight="1">
      <c r="A582" t="inlineStr">
        <is>
          <t>A 52431-2025</t>
        </is>
      </c>
      <c r="B582" s="1" t="n">
        <v>45954.38606481482</v>
      </c>
      <c r="C582" s="1" t="n">
        <v>45983</v>
      </c>
      <c r="D582" t="inlineStr">
        <is>
          <t>JÄMTLANDS LÄN</t>
        </is>
      </c>
      <c r="E582" t="inlineStr">
        <is>
          <t>KROKOM</t>
        </is>
      </c>
      <c r="G582" t="n">
        <v>7.8</v>
      </c>
      <c r="H582" t="n">
        <v>0</v>
      </c>
      <c r="I582" t="n">
        <v>0</v>
      </c>
      <c r="J582" t="n">
        <v>0</v>
      </c>
      <c r="K582" t="n">
        <v>0</v>
      </c>
      <c r="L582" t="n">
        <v>0</v>
      </c>
      <c r="M582" t="n">
        <v>0</v>
      </c>
      <c r="N582" t="n">
        <v>0</v>
      </c>
      <c r="O582" t="n">
        <v>0</v>
      </c>
      <c r="P582" t="n">
        <v>0</v>
      </c>
      <c r="Q582" t="n">
        <v>0</v>
      </c>
      <c r="R582" s="2" t="inlineStr"/>
    </row>
    <row r="583" ht="15" customHeight="1">
      <c r="A583" t="inlineStr">
        <is>
          <t>A 11591-2022</t>
        </is>
      </c>
      <c r="B583" s="1" t="n">
        <v>44631</v>
      </c>
      <c r="C583" s="1" t="n">
        <v>45983</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c r="U583">
        <f>HYPERLINK("https://klasma.github.io/Logging_2309/knärot/A 11591-2022 karta knärot.png", "A 11591-2022")</f>
        <v/>
      </c>
      <c r="V583">
        <f>HYPERLINK("https://klasma.github.io/Logging_2309/klagomål/A 11591-2022 FSC-klagomål.docx", "A 11591-2022")</f>
        <v/>
      </c>
      <c r="W583">
        <f>HYPERLINK("https://klasma.github.io/Logging_2309/klagomålsmail/A 11591-2022 FSC-klagomål mail.docx", "A 11591-2022")</f>
        <v/>
      </c>
      <c r="X583">
        <f>HYPERLINK("https://klasma.github.io/Logging_2309/tillsyn/A 11591-2022 tillsynsbegäran.docx", "A 11591-2022")</f>
        <v/>
      </c>
      <c r="Y583">
        <f>HYPERLINK("https://klasma.github.io/Logging_2309/tillsynsmail/A 11591-2022 tillsynsbegäran mail.docx", "A 11591-2022")</f>
        <v/>
      </c>
    </row>
    <row r="584" ht="15" customHeight="1">
      <c r="A584" t="inlineStr">
        <is>
          <t>A 20953-2023</t>
        </is>
      </c>
      <c r="B584" s="1" t="n">
        <v>45056</v>
      </c>
      <c r="C584" s="1" t="n">
        <v>45983</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20966-2023</t>
        </is>
      </c>
      <c r="B585" s="1" t="n">
        <v>45056</v>
      </c>
      <c r="C585" s="1" t="n">
        <v>45983</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44138-2025</t>
        </is>
      </c>
      <c r="B586" s="1" t="n">
        <v>45915.58836805556</v>
      </c>
      <c r="C586" s="1" t="n">
        <v>45983</v>
      </c>
      <c r="D586" t="inlineStr">
        <is>
          <t>JÄMTLANDS LÄN</t>
        </is>
      </c>
      <c r="E586" t="inlineStr">
        <is>
          <t>KROKOM</t>
        </is>
      </c>
      <c r="G586" t="n">
        <v>5</v>
      </c>
      <c r="H586" t="n">
        <v>0</v>
      </c>
      <c r="I586" t="n">
        <v>0</v>
      </c>
      <c r="J586" t="n">
        <v>0</v>
      </c>
      <c r="K586" t="n">
        <v>0</v>
      </c>
      <c r="L586" t="n">
        <v>0</v>
      </c>
      <c r="M586" t="n">
        <v>0</v>
      </c>
      <c r="N586" t="n">
        <v>0</v>
      </c>
      <c r="O586" t="n">
        <v>0</v>
      </c>
      <c r="P586" t="n">
        <v>0</v>
      </c>
      <c r="Q586" t="n">
        <v>0</v>
      </c>
      <c r="R586" s="2" t="inlineStr"/>
    </row>
    <row r="587" ht="15" customHeight="1">
      <c r="A587" t="inlineStr">
        <is>
          <t>A 5693-2022</t>
        </is>
      </c>
      <c r="B587" s="1" t="n">
        <v>44596</v>
      </c>
      <c r="C587" s="1" t="n">
        <v>45983</v>
      </c>
      <c r="D587" t="inlineStr">
        <is>
          <t>JÄMTLANDS LÄN</t>
        </is>
      </c>
      <c r="E587" t="inlineStr">
        <is>
          <t>KROKOM</t>
        </is>
      </c>
      <c r="G587" t="n">
        <v>40.8</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45983</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43996-2025</t>
        </is>
      </c>
      <c r="B589" s="1" t="n">
        <v>45915</v>
      </c>
      <c r="C589" s="1" t="n">
        <v>45983</v>
      </c>
      <c r="D589" t="inlineStr">
        <is>
          <t>JÄMTLANDS LÄN</t>
        </is>
      </c>
      <c r="E589" t="inlineStr">
        <is>
          <t>KROKOM</t>
        </is>
      </c>
      <c r="G589" t="n">
        <v>24.2</v>
      </c>
      <c r="H589" t="n">
        <v>0</v>
      </c>
      <c r="I589" t="n">
        <v>0</v>
      </c>
      <c r="J589" t="n">
        <v>0</v>
      </c>
      <c r="K589" t="n">
        <v>0</v>
      </c>
      <c r="L589" t="n">
        <v>0</v>
      </c>
      <c r="M589" t="n">
        <v>0</v>
      </c>
      <c r="N589" t="n">
        <v>0</v>
      </c>
      <c r="O589" t="n">
        <v>0</v>
      </c>
      <c r="P589" t="n">
        <v>0</v>
      </c>
      <c r="Q589" t="n">
        <v>0</v>
      </c>
      <c r="R589" s="2" t="inlineStr"/>
    </row>
    <row r="590" ht="15" customHeight="1">
      <c r="A590" t="inlineStr">
        <is>
          <t>A 31032-2025</t>
        </is>
      </c>
      <c r="B590" s="1" t="n">
        <v>45832.53935185185</v>
      </c>
      <c r="C590" s="1" t="n">
        <v>45983</v>
      </c>
      <c r="D590" t="inlineStr">
        <is>
          <t>JÄMTLANDS LÄN</t>
        </is>
      </c>
      <c r="E590" t="inlineStr">
        <is>
          <t>KROKOM</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31027-2025</t>
        </is>
      </c>
      <c r="B591" s="1" t="n">
        <v>45832.53225694445</v>
      </c>
      <c r="C591" s="1" t="n">
        <v>45983</v>
      </c>
      <c r="D591" t="inlineStr">
        <is>
          <t>JÄMTLANDS LÄN</t>
        </is>
      </c>
      <c r="E591" t="inlineStr">
        <is>
          <t>KROKOM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68658-2020</t>
        </is>
      </c>
      <c r="B592" s="1" t="n">
        <v>44186</v>
      </c>
      <c r="C592" s="1" t="n">
        <v>45983</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8011-2025</t>
        </is>
      </c>
      <c r="B593" s="1" t="n">
        <v>45707.55246527777</v>
      </c>
      <c r="C593" s="1" t="n">
        <v>45983</v>
      </c>
      <c r="D593" t="inlineStr">
        <is>
          <t>JÄMTLANDS LÄN</t>
        </is>
      </c>
      <c r="E593" t="inlineStr">
        <is>
          <t>KROKOM</t>
        </is>
      </c>
      <c r="F593" t="inlineStr">
        <is>
          <t>Övriga Aktiebolag</t>
        </is>
      </c>
      <c r="G593" t="n">
        <v>10.6</v>
      </c>
      <c r="H593" t="n">
        <v>0</v>
      </c>
      <c r="I593" t="n">
        <v>0</v>
      </c>
      <c r="J593" t="n">
        <v>0</v>
      </c>
      <c r="K593" t="n">
        <v>0</v>
      </c>
      <c r="L593" t="n">
        <v>0</v>
      </c>
      <c r="M593" t="n">
        <v>0</v>
      </c>
      <c r="N593" t="n">
        <v>0</v>
      </c>
      <c r="O593" t="n">
        <v>0</v>
      </c>
      <c r="P593" t="n">
        <v>0</v>
      </c>
      <c r="Q593" t="n">
        <v>0</v>
      </c>
      <c r="R593" s="2" t="inlineStr"/>
    </row>
    <row r="594" ht="15" customHeight="1">
      <c r="A594" t="inlineStr">
        <is>
          <t>A 10397-2025</t>
        </is>
      </c>
      <c r="B594" s="1" t="n">
        <v>45720.60774305555</v>
      </c>
      <c r="C594" s="1" t="n">
        <v>45983</v>
      </c>
      <c r="D594" t="inlineStr">
        <is>
          <t>JÄMTLANDS LÄN</t>
        </is>
      </c>
      <c r="E594" t="inlineStr">
        <is>
          <t>KROKOM</t>
        </is>
      </c>
      <c r="F594" t="inlineStr">
        <is>
          <t>Övriga Aktiebolag</t>
        </is>
      </c>
      <c r="G594" t="n">
        <v>32.9</v>
      </c>
      <c r="H594" t="n">
        <v>0</v>
      </c>
      <c r="I594" t="n">
        <v>0</v>
      </c>
      <c r="J594" t="n">
        <v>0</v>
      </c>
      <c r="K594" t="n">
        <v>0</v>
      </c>
      <c r="L594" t="n">
        <v>0</v>
      </c>
      <c r="M594" t="n">
        <v>0</v>
      </c>
      <c r="N594" t="n">
        <v>0</v>
      </c>
      <c r="O594" t="n">
        <v>0</v>
      </c>
      <c r="P594" t="n">
        <v>0</v>
      </c>
      <c r="Q594" t="n">
        <v>0</v>
      </c>
      <c r="R594" s="2" t="inlineStr"/>
    </row>
    <row r="595" ht="15" customHeight="1">
      <c r="A595" t="inlineStr">
        <is>
          <t>A 53827-2024</t>
        </is>
      </c>
      <c r="B595" s="1" t="n">
        <v>45615.61302083333</v>
      </c>
      <c r="C595" s="1" t="n">
        <v>45983</v>
      </c>
      <c r="D595" t="inlineStr">
        <is>
          <t>JÄMTLANDS LÄN</t>
        </is>
      </c>
      <c r="E595" t="inlineStr">
        <is>
          <t>KROKOM</t>
        </is>
      </c>
      <c r="F595" t="inlineStr">
        <is>
          <t>Övriga Aktiebolag</t>
        </is>
      </c>
      <c r="G595" t="n">
        <v>14.2</v>
      </c>
      <c r="H595" t="n">
        <v>0</v>
      </c>
      <c r="I595" t="n">
        <v>0</v>
      </c>
      <c r="J595" t="n">
        <v>0</v>
      </c>
      <c r="K595" t="n">
        <v>0</v>
      </c>
      <c r="L595" t="n">
        <v>0</v>
      </c>
      <c r="M595" t="n">
        <v>0</v>
      </c>
      <c r="N595" t="n">
        <v>0</v>
      </c>
      <c r="O595" t="n">
        <v>0</v>
      </c>
      <c r="P595" t="n">
        <v>0</v>
      </c>
      <c r="Q595" t="n">
        <v>0</v>
      </c>
      <c r="R595" s="2" t="inlineStr"/>
    </row>
    <row r="596" ht="15" customHeight="1">
      <c r="A596" t="inlineStr">
        <is>
          <t>A 31290-2025</t>
        </is>
      </c>
      <c r="B596" s="1" t="n">
        <v>45833.36050925926</v>
      </c>
      <c r="C596" s="1" t="n">
        <v>45983</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31291-2025</t>
        </is>
      </c>
      <c r="B597" s="1" t="n">
        <v>45833.36083333333</v>
      </c>
      <c r="C597" s="1" t="n">
        <v>45983</v>
      </c>
      <c r="D597" t="inlineStr">
        <is>
          <t>JÄMTLANDS LÄN</t>
        </is>
      </c>
      <c r="E597" t="inlineStr">
        <is>
          <t>KROKOM</t>
        </is>
      </c>
      <c r="G597" t="n">
        <v>4.5</v>
      </c>
      <c r="H597" t="n">
        <v>0</v>
      </c>
      <c r="I597" t="n">
        <v>0</v>
      </c>
      <c r="J597" t="n">
        <v>0</v>
      </c>
      <c r="K597" t="n">
        <v>0</v>
      </c>
      <c r="L597" t="n">
        <v>0</v>
      </c>
      <c r="M597" t="n">
        <v>0</v>
      </c>
      <c r="N597" t="n">
        <v>0</v>
      </c>
      <c r="O597" t="n">
        <v>0</v>
      </c>
      <c r="P597" t="n">
        <v>0</v>
      </c>
      <c r="Q597" t="n">
        <v>0</v>
      </c>
      <c r="R597" s="2" t="inlineStr"/>
    </row>
    <row r="598" ht="15" customHeight="1">
      <c r="A598" t="inlineStr">
        <is>
          <t>A 31654-2025</t>
        </is>
      </c>
      <c r="B598" s="1" t="n">
        <v>45834.34726851852</v>
      </c>
      <c r="C598" s="1" t="n">
        <v>45983</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15663-2025</t>
        </is>
      </c>
      <c r="B599" s="1" t="n">
        <v>45748</v>
      </c>
      <c r="C599" s="1" t="n">
        <v>45983</v>
      </c>
      <c r="D599" t="inlineStr">
        <is>
          <t>JÄMTLANDS LÄN</t>
        </is>
      </c>
      <c r="E599" t="inlineStr">
        <is>
          <t>KROKOM</t>
        </is>
      </c>
      <c r="F599" t="inlineStr">
        <is>
          <t>Övriga Aktiebolag</t>
        </is>
      </c>
      <c r="G599" t="n">
        <v>11.5</v>
      </c>
      <c r="H599" t="n">
        <v>0</v>
      </c>
      <c r="I599" t="n">
        <v>0</v>
      </c>
      <c r="J599" t="n">
        <v>0</v>
      </c>
      <c r="K599" t="n">
        <v>0</v>
      </c>
      <c r="L599" t="n">
        <v>0</v>
      </c>
      <c r="M599" t="n">
        <v>0</v>
      </c>
      <c r="N599" t="n">
        <v>0</v>
      </c>
      <c r="O599" t="n">
        <v>0</v>
      </c>
      <c r="P599" t="n">
        <v>0</v>
      </c>
      <c r="Q599" t="n">
        <v>0</v>
      </c>
      <c r="R599" s="2" t="inlineStr"/>
    </row>
    <row r="600" ht="15" customHeight="1">
      <c r="A600" t="inlineStr">
        <is>
          <t>A 31852-2025</t>
        </is>
      </c>
      <c r="B600" s="1" t="n">
        <v>45834.61517361111</v>
      </c>
      <c r="C600" s="1" t="n">
        <v>45983</v>
      </c>
      <c r="D600" t="inlineStr">
        <is>
          <t>JÄMTLANDS LÄN</t>
        </is>
      </c>
      <c r="E600" t="inlineStr">
        <is>
          <t>KROKOM</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31292-2025</t>
        </is>
      </c>
      <c r="B601" s="1" t="n">
        <v>45833.36111111111</v>
      </c>
      <c r="C601" s="1" t="n">
        <v>45983</v>
      </c>
      <c r="D601" t="inlineStr">
        <is>
          <t>JÄMTLANDS LÄN</t>
        </is>
      </c>
      <c r="E601" t="inlineStr">
        <is>
          <t>KROKOM</t>
        </is>
      </c>
      <c r="G601" t="n">
        <v>3.3</v>
      </c>
      <c r="H601" t="n">
        <v>0</v>
      </c>
      <c r="I601" t="n">
        <v>0</v>
      </c>
      <c r="J601" t="n">
        <v>0</v>
      </c>
      <c r="K601" t="n">
        <v>0</v>
      </c>
      <c r="L601" t="n">
        <v>0</v>
      </c>
      <c r="M601" t="n">
        <v>0</v>
      </c>
      <c r="N601" t="n">
        <v>0</v>
      </c>
      <c r="O601" t="n">
        <v>0</v>
      </c>
      <c r="P601" t="n">
        <v>0</v>
      </c>
      <c r="Q601" t="n">
        <v>0</v>
      </c>
      <c r="R601" s="2" t="inlineStr"/>
    </row>
    <row r="602" ht="15" customHeight="1">
      <c r="A602" t="inlineStr">
        <is>
          <t>A 7111-2024</t>
        </is>
      </c>
      <c r="B602" s="1" t="n">
        <v>45343.95162037037</v>
      </c>
      <c r="C602" s="1" t="n">
        <v>45983</v>
      </c>
      <c r="D602" t="inlineStr">
        <is>
          <t>JÄMTLANDS LÄN</t>
        </is>
      </c>
      <c r="E602" t="inlineStr">
        <is>
          <t>KROKOM</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53699-2025</t>
        </is>
      </c>
      <c r="B603" s="1" t="n">
        <v>45960.59421296296</v>
      </c>
      <c r="C603" s="1" t="n">
        <v>45983</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32038-2025</t>
        </is>
      </c>
      <c r="B604" s="1" t="n">
        <v>45835.42712962963</v>
      </c>
      <c r="C604" s="1" t="n">
        <v>45983</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44645-2025</t>
        </is>
      </c>
      <c r="B605" s="1" t="n">
        <v>45917.53457175926</v>
      </c>
      <c r="C605" s="1" t="n">
        <v>45983</v>
      </c>
      <c r="D605" t="inlineStr">
        <is>
          <t>JÄMTLANDS LÄN</t>
        </is>
      </c>
      <c r="E605" t="inlineStr">
        <is>
          <t>KROKOM</t>
        </is>
      </c>
      <c r="G605" t="n">
        <v>4.7</v>
      </c>
      <c r="H605" t="n">
        <v>0</v>
      </c>
      <c r="I605" t="n">
        <v>0</v>
      </c>
      <c r="J605" t="n">
        <v>0</v>
      </c>
      <c r="K605" t="n">
        <v>0</v>
      </c>
      <c r="L605" t="n">
        <v>0</v>
      </c>
      <c r="M605" t="n">
        <v>0</v>
      </c>
      <c r="N605" t="n">
        <v>0</v>
      </c>
      <c r="O605" t="n">
        <v>0</v>
      </c>
      <c r="P605" t="n">
        <v>0</v>
      </c>
      <c r="Q605" t="n">
        <v>0</v>
      </c>
      <c r="R605" s="2" t="inlineStr"/>
    </row>
    <row r="606" ht="15" customHeight="1">
      <c r="A606" t="inlineStr">
        <is>
          <t>A 31277-2025</t>
        </is>
      </c>
      <c r="B606" s="1" t="n">
        <v>45833.34490740741</v>
      </c>
      <c r="C606" s="1" t="n">
        <v>45983</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37465-2025</t>
        </is>
      </c>
      <c r="B607" s="1" t="n">
        <v>45877.57403935185</v>
      </c>
      <c r="C607" s="1" t="n">
        <v>45983</v>
      </c>
      <c r="D607" t="inlineStr">
        <is>
          <t>JÄMTLANDS LÄN</t>
        </is>
      </c>
      <c r="E607" t="inlineStr">
        <is>
          <t>KROKOM</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32318-2025</t>
        </is>
      </c>
      <c r="B608" s="1" t="n">
        <v>45836.34413194445</v>
      </c>
      <c r="C608" s="1" t="n">
        <v>45983</v>
      </c>
      <c r="D608" t="inlineStr">
        <is>
          <t>JÄMTLANDS LÄN</t>
        </is>
      </c>
      <c r="E608" t="inlineStr">
        <is>
          <t>KROKOM</t>
        </is>
      </c>
      <c r="F608" t="inlineStr">
        <is>
          <t>SCA</t>
        </is>
      </c>
      <c r="G608" t="n">
        <v>13.8</v>
      </c>
      <c r="H608" t="n">
        <v>0</v>
      </c>
      <c r="I608" t="n">
        <v>0</v>
      </c>
      <c r="J608" t="n">
        <v>0</v>
      </c>
      <c r="K608" t="n">
        <v>0</v>
      </c>
      <c r="L608" t="n">
        <v>0</v>
      </c>
      <c r="M608" t="n">
        <v>0</v>
      </c>
      <c r="N608" t="n">
        <v>0</v>
      </c>
      <c r="O608" t="n">
        <v>0</v>
      </c>
      <c r="P608" t="n">
        <v>0</v>
      </c>
      <c r="Q608" t="n">
        <v>0</v>
      </c>
      <c r="R608" s="2" t="inlineStr"/>
    </row>
    <row r="609" ht="15" customHeight="1">
      <c r="A609" t="inlineStr">
        <is>
          <t>A 53505-2025</t>
        </is>
      </c>
      <c r="B609" s="1" t="n">
        <v>45960.34436342592</v>
      </c>
      <c r="C609" s="1" t="n">
        <v>45983</v>
      </c>
      <c r="D609" t="inlineStr">
        <is>
          <t>JÄMTLANDS LÄN</t>
        </is>
      </c>
      <c r="E609" t="inlineStr">
        <is>
          <t>KROKOM</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53506-2025</t>
        </is>
      </c>
      <c r="B610" s="1" t="n">
        <v>45960.34460648148</v>
      </c>
      <c r="C610" s="1" t="n">
        <v>45983</v>
      </c>
      <c r="D610" t="inlineStr">
        <is>
          <t>JÄMTLANDS LÄN</t>
        </is>
      </c>
      <c r="E610" t="inlineStr">
        <is>
          <t>KROKOM</t>
        </is>
      </c>
      <c r="F610" t="inlineStr">
        <is>
          <t>SCA</t>
        </is>
      </c>
      <c r="G610" t="n">
        <v>13.9</v>
      </c>
      <c r="H610" t="n">
        <v>0</v>
      </c>
      <c r="I610" t="n">
        <v>0</v>
      </c>
      <c r="J610" t="n">
        <v>0</v>
      </c>
      <c r="K610" t="n">
        <v>0</v>
      </c>
      <c r="L610" t="n">
        <v>0</v>
      </c>
      <c r="M610" t="n">
        <v>0</v>
      </c>
      <c r="N610" t="n">
        <v>0</v>
      </c>
      <c r="O610" t="n">
        <v>0</v>
      </c>
      <c r="P610" t="n">
        <v>0</v>
      </c>
      <c r="Q610" t="n">
        <v>0</v>
      </c>
      <c r="R610" s="2" t="inlineStr"/>
    </row>
    <row r="611" ht="15" customHeight="1">
      <c r="A611" t="inlineStr">
        <is>
          <t>A 53507-2025</t>
        </is>
      </c>
      <c r="B611" s="1" t="n">
        <v>45960.34476851852</v>
      </c>
      <c r="C611" s="1" t="n">
        <v>45983</v>
      </c>
      <c r="D611" t="inlineStr">
        <is>
          <t>JÄMTLANDS LÄN</t>
        </is>
      </c>
      <c r="E611" t="inlineStr">
        <is>
          <t>KROKOM</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44888-2025</t>
        </is>
      </c>
      <c r="B612" s="1" t="n">
        <v>45918.49489583333</v>
      </c>
      <c r="C612" s="1" t="n">
        <v>45983</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30175-2025</t>
        </is>
      </c>
      <c r="B613" s="1" t="n">
        <v>45827.34488425926</v>
      </c>
      <c r="C613" s="1" t="n">
        <v>45983</v>
      </c>
      <c r="D613" t="inlineStr">
        <is>
          <t>JÄMTLANDS LÄN</t>
        </is>
      </c>
      <c r="E613" t="inlineStr">
        <is>
          <t>KROKOM</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53467-2025</t>
        </is>
      </c>
      <c r="B614" s="1" t="n">
        <v>45959.69841435185</v>
      </c>
      <c r="C614" s="1" t="n">
        <v>45983</v>
      </c>
      <c r="D614" t="inlineStr">
        <is>
          <t>JÄMTLANDS LÄN</t>
        </is>
      </c>
      <c r="E614" t="inlineStr">
        <is>
          <t>KROKOM</t>
        </is>
      </c>
      <c r="F614" t="inlineStr">
        <is>
          <t>SCA</t>
        </is>
      </c>
      <c r="G614" t="n">
        <v>22.7</v>
      </c>
      <c r="H614" t="n">
        <v>0</v>
      </c>
      <c r="I614" t="n">
        <v>0</v>
      </c>
      <c r="J614" t="n">
        <v>0</v>
      </c>
      <c r="K614" t="n">
        <v>0</v>
      </c>
      <c r="L614" t="n">
        <v>0</v>
      </c>
      <c r="M614" t="n">
        <v>0</v>
      </c>
      <c r="N614" t="n">
        <v>0</v>
      </c>
      <c r="O614" t="n">
        <v>0</v>
      </c>
      <c r="P614" t="n">
        <v>0</v>
      </c>
      <c r="Q614" t="n">
        <v>0</v>
      </c>
      <c r="R614" s="2" t="inlineStr"/>
    </row>
    <row r="615" ht="15" customHeight="1">
      <c r="A615" t="inlineStr">
        <is>
          <t>A 33451-2025</t>
        </is>
      </c>
      <c r="B615" s="1" t="n">
        <v>45841.46925925926</v>
      </c>
      <c r="C615" s="1" t="n">
        <v>45983</v>
      </c>
      <c r="D615" t="inlineStr">
        <is>
          <t>JÄMTLANDS LÄN</t>
        </is>
      </c>
      <c r="E615" t="inlineStr">
        <is>
          <t>KROKOM</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33045-2025</t>
        </is>
      </c>
      <c r="B616" s="1" t="n">
        <v>45840.40717592592</v>
      </c>
      <c r="C616" s="1" t="n">
        <v>45983</v>
      </c>
      <c r="D616" t="inlineStr">
        <is>
          <t>JÄMTLANDS LÄN</t>
        </is>
      </c>
      <c r="E616" t="inlineStr">
        <is>
          <t>KROKOM</t>
        </is>
      </c>
      <c r="F616" t="inlineStr">
        <is>
          <t>SCA</t>
        </is>
      </c>
      <c r="G616" t="n">
        <v>18.7</v>
      </c>
      <c r="H616" t="n">
        <v>0</v>
      </c>
      <c r="I616" t="n">
        <v>0</v>
      </c>
      <c r="J616" t="n">
        <v>0</v>
      </c>
      <c r="K616" t="n">
        <v>0</v>
      </c>
      <c r="L616" t="n">
        <v>0</v>
      </c>
      <c r="M616" t="n">
        <v>0</v>
      </c>
      <c r="N616" t="n">
        <v>0</v>
      </c>
      <c r="O616" t="n">
        <v>0</v>
      </c>
      <c r="P616" t="n">
        <v>0</v>
      </c>
      <c r="Q616" t="n">
        <v>0</v>
      </c>
      <c r="R616" s="2" t="inlineStr"/>
    </row>
    <row r="617" ht="15" customHeight="1">
      <c r="A617" t="inlineStr">
        <is>
          <t>A 32896-2025</t>
        </is>
      </c>
      <c r="B617" s="1" t="n">
        <v>45839.61541666667</v>
      </c>
      <c r="C617" s="1" t="n">
        <v>45983</v>
      </c>
      <c r="D617" t="inlineStr">
        <is>
          <t>JÄMTLANDS LÄN</t>
        </is>
      </c>
      <c r="E617" t="inlineStr">
        <is>
          <t>KROKOM</t>
        </is>
      </c>
      <c r="F617" t="inlineStr">
        <is>
          <t>SCA</t>
        </is>
      </c>
      <c r="G617" t="n">
        <v>17.9</v>
      </c>
      <c r="H617" t="n">
        <v>0</v>
      </c>
      <c r="I617" t="n">
        <v>0</v>
      </c>
      <c r="J617" t="n">
        <v>0</v>
      </c>
      <c r="K617" t="n">
        <v>0</v>
      </c>
      <c r="L617" t="n">
        <v>0</v>
      </c>
      <c r="M617" t="n">
        <v>0</v>
      </c>
      <c r="N617" t="n">
        <v>0</v>
      </c>
      <c r="O617" t="n">
        <v>0</v>
      </c>
      <c r="P617" t="n">
        <v>0</v>
      </c>
      <c r="Q617" t="n">
        <v>0</v>
      </c>
      <c r="R617" s="2" t="inlineStr"/>
    </row>
    <row r="618" ht="15" customHeight="1">
      <c r="A618" t="inlineStr">
        <is>
          <t>A 32897-2025</t>
        </is>
      </c>
      <c r="B618" s="1" t="n">
        <v>45839.61563657408</v>
      </c>
      <c r="C618" s="1" t="n">
        <v>45983</v>
      </c>
      <c r="D618" t="inlineStr">
        <is>
          <t>JÄMTLANDS LÄN</t>
        </is>
      </c>
      <c r="E618" t="inlineStr">
        <is>
          <t>KROKOM</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10133-2025</t>
        </is>
      </c>
      <c r="B619" s="1" t="n">
        <v>45719</v>
      </c>
      <c r="C619" s="1" t="n">
        <v>45983</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45464-2025</t>
        </is>
      </c>
      <c r="B620" s="1" t="n">
        <v>45922.4984837963</v>
      </c>
      <c r="C620" s="1" t="n">
        <v>45983</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53807-2024</t>
        </is>
      </c>
      <c r="B621" s="1" t="n">
        <v>45615.59521990741</v>
      </c>
      <c r="C621" s="1" t="n">
        <v>45983</v>
      </c>
      <c r="D621" t="inlineStr">
        <is>
          <t>JÄMTLANDS LÄN</t>
        </is>
      </c>
      <c r="E621" t="inlineStr">
        <is>
          <t>KROKOM</t>
        </is>
      </c>
      <c r="G621" t="n">
        <v>6.5</v>
      </c>
      <c r="H621" t="n">
        <v>0</v>
      </c>
      <c r="I621" t="n">
        <v>0</v>
      </c>
      <c r="J621" t="n">
        <v>0</v>
      </c>
      <c r="K621" t="n">
        <v>0</v>
      </c>
      <c r="L621" t="n">
        <v>0</v>
      </c>
      <c r="M621" t="n">
        <v>0</v>
      </c>
      <c r="N621" t="n">
        <v>0</v>
      </c>
      <c r="O621" t="n">
        <v>0</v>
      </c>
      <c r="P621" t="n">
        <v>0</v>
      </c>
      <c r="Q621" t="n">
        <v>0</v>
      </c>
      <c r="R621" s="2" t="inlineStr"/>
    </row>
    <row r="622" ht="15" customHeight="1">
      <c r="A622" t="inlineStr">
        <is>
          <t>A 32966-2025</t>
        </is>
      </c>
      <c r="B622" s="1" t="n">
        <v>45839.72320601852</v>
      </c>
      <c r="C622" s="1" t="n">
        <v>45983</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32898-2025</t>
        </is>
      </c>
      <c r="B623" s="1" t="n">
        <v>45839.61582175926</v>
      </c>
      <c r="C623" s="1" t="n">
        <v>45983</v>
      </c>
      <c r="D623" t="inlineStr">
        <is>
          <t>JÄMTLANDS LÄN</t>
        </is>
      </c>
      <c r="E623" t="inlineStr">
        <is>
          <t>KROKOM</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32899-2025</t>
        </is>
      </c>
      <c r="B624" s="1" t="n">
        <v>45839.61594907408</v>
      </c>
      <c r="C624" s="1" t="n">
        <v>45983</v>
      </c>
      <c r="D624" t="inlineStr">
        <is>
          <t>JÄMTLANDS LÄN</t>
        </is>
      </c>
      <c r="E624" t="inlineStr">
        <is>
          <t>KROKOM</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45462-2025</t>
        </is>
      </c>
      <c r="B625" s="1" t="n">
        <v>45922.49604166667</v>
      </c>
      <c r="C625" s="1" t="n">
        <v>45983</v>
      </c>
      <c r="D625" t="inlineStr">
        <is>
          <t>JÄMTLANDS LÄN</t>
        </is>
      </c>
      <c r="E625" t="inlineStr">
        <is>
          <t>KROKOM</t>
        </is>
      </c>
      <c r="G625" t="n">
        <v>2.4</v>
      </c>
      <c r="H625" t="n">
        <v>0</v>
      </c>
      <c r="I625" t="n">
        <v>0</v>
      </c>
      <c r="J625" t="n">
        <v>0</v>
      </c>
      <c r="K625" t="n">
        <v>0</v>
      </c>
      <c r="L625" t="n">
        <v>0</v>
      </c>
      <c r="M625" t="n">
        <v>0</v>
      </c>
      <c r="N625" t="n">
        <v>0</v>
      </c>
      <c r="O625" t="n">
        <v>0</v>
      </c>
      <c r="P625" t="n">
        <v>0</v>
      </c>
      <c r="Q625" t="n">
        <v>0</v>
      </c>
      <c r="R625" s="2" t="inlineStr"/>
    </row>
    <row r="626" ht="15" customHeight="1">
      <c r="A626" t="inlineStr">
        <is>
          <t>A 15528-2024</t>
        </is>
      </c>
      <c r="B626" s="1" t="n">
        <v>45401.59810185185</v>
      </c>
      <c r="C626" s="1" t="n">
        <v>45983</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27075-2022</t>
        </is>
      </c>
      <c r="B627" s="1" t="n">
        <v>44741</v>
      </c>
      <c r="C627" s="1" t="n">
        <v>45983</v>
      </c>
      <c r="D627" t="inlineStr">
        <is>
          <t>JÄMTLANDS LÄN</t>
        </is>
      </c>
      <c r="E627" t="inlineStr">
        <is>
          <t>KROKOM</t>
        </is>
      </c>
      <c r="G627" t="n">
        <v>10.4</v>
      </c>
      <c r="H627" t="n">
        <v>0</v>
      </c>
      <c r="I627" t="n">
        <v>0</v>
      </c>
      <c r="J627" t="n">
        <v>0</v>
      </c>
      <c r="K627" t="n">
        <v>0</v>
      </c>
      <c r="L627" t="n">
        <v>0</v>
      </c>
      <c r="M627" t="n">
        <v>0</v>
      </c>
      <c r="N627" t="n">
        <v>0</v>
      </c>
      <c r="O627" t="n">
        <v>0</v>
      </c>
      <c r="P627" t="n">
        <v>0</v>
      </c>
      <c r="Q627" t="n">
        <v>0</v>
      </c>
      <c r="R627" s="2" t="inlineStr"/>
    </row>
    <row r="628" ht="15" customHeight="1">
      <c r="A628" t="inlineStr">
        <is>
          <t>A 33677-2025</t>
        </is>
      </c>
      <c r="B628" s="1" t="n">
        <v>45841.67834490741</v>
      </c>
      <c r="C628" s="1" t="n">
        <v>45983</v>
      </c>
      <c r="D628" t="inlineStr">
        <is>
          <t>JÄMTLANDS LÄN</t>
        </is>
      </c>
      <c r="E628" t="inlineStr">
        <is>
          <t>KROKOM</t>
        </is>
      </c>
      <c r="F628" t="inlineStr">
        <is>
          <t>SCA</t>
        </is>
      </c>
      <c r="G628" t="n">
        <v>13.7</v>
      </c>
      <c r="H628" t="n">
        <v>0</v>
      </c>
      <c r="I628" t="n">
        <v>0</v>
      </c>
      <c r="J628" t="n">
        <v>0</v>
      </c>
      <c r="K628" t="n">
        <v>0</v>
      </c>
      <c r="L628" t="n">
        <v>0</v>
      </c>
      <c r="M628" t="n">
        <v>0</v>
      </c>
      <c r="N628" t="n">
        <v>0</v>
      </c>
      <c r="O628" t="n">
        <v>0</v>
      </c>
      <c r="P628" t="n">
        <v>0</v>
      </c>
      <c r="Q628" t="n">
        <v>0</v>
      </c>
      <c r="R628" s="2" t="inlineStr"/>
    </row>
    <row r="629" ht="15" customHeight="1">
      <c r="A629" t="inlineStr">
        <is>
          <t>A 24559-2024</t>
        </is>
      </c>
      <c r="B629" s="1" t="n">
        <v>45460.44076388889</v>
      </c>
      <c r="C629" s="1" t="n">
        <v>45983</v>
      </c>
      <c r="D629" t="inlineStr">
        <is>
          <t>JÄMTLANDS LÄN</t>
        </is>
      </c>
      <c r="E629" t="inlineStr">
        <is>
          <t>KROKOM</t>
        </is>
      </c>
      <c r="G629" t="n">
        <v>0.9</v>
      </c>
      <c r="H629" t="n">
        <v>0</v>
      </c>
      <c r="I629" t="n">
        <v>0</v>
      </c>
      <c r="J629" t="n">
        <v>0</v>
      </c>
      <c r="K629" t="n">
        <v>0</v>
      </c>
      <c r="L629" t="n">
        <v>0</v>
      </c>
      <c r="M629" t="n">
        <v>0</v>
      </c>
      <c r="N629" t="n">
        <v>0</v>
      </c>
      <c r="O629" t="n">
        <v>0</v>
      </c>
      <c r="P629" t="n">
        <v>0</v>
      </c>
      <c r="Q629" t="n">
        <v>0</v>
      </c>
      <c r="R629" s="2" t="inlineStr"/>
    </row>
    <row r="630" ht="15" customHeight="1">
      <c r="A630" t="inlineStr">
        <is>
          <t>A 33777-2025</t>
        </is>
      </c>
      <c r="B630" s="1" t="n">
        <v>45842.39587962963</v>
      </c>
      <c r="C630" s="1" t="n">
        <v>45983</v>
      </c>
      <c r="D630" t="inlineStr">
        <is>
          <t>JÄMTLANDS LÄN</t>
        </is>
      </c>
      <c r="E630" t="inlineStr">
        <is>
          <t>KROKOM</t>
        </is>
      </c>
      <c r="F630" t="inlineStr">
        <is>
          <t>Övriga Aktiebolag</t>
        </is>
      </c>
      <c r="G630" t="n">
        <v>0.3</v>
      </c>
      <c r="H630" t="n">
        <v>0</v>
      </c>
      <c r="I630" t="n">
        <v>0</v>
      </c>
      <c r="J630" t="n">
        <v>0</v>
      </c>
      <c r="K630" t="n">
        <v>0</v>
      </c>
      <c r="L630" t="n">
        <v>0</v>
      </c>
      <c r="M630" t="n">
        <v>0</v>
      </c>
      <c r="N630" t="n">
        <v>0</v>
      </c>
      <c r="O630" t="n">
        <v>0</v>
      </c>
      <c r="P630" t="n">
        <v>0</v>
      </c>
      <c r="Q630" t="n">
        <v>0</v>
      </c>
      <c r="R630" s="2" t="inlineStr"/>
    </row>
    <row r="631" ht="15" customHeight="1">
      <c r="A631" t="inlineStr">
        <is>
          <t>A 33779-2025</t>
        </is>
      </c>
      <c r="B631" s="1" t="n">
        <v>45842.40013888889</v>
      </c>
      <c r="C631" s="1" t="n">
        <v>45983</v>
      </c>
      <c r="D631" t="inlineStr">
        <is>
          <t>JÄMTLANDS LÄN</t>
        </is>
      </c>
      <c r="E631" t="inlineStr">
        <is>
          <t>KROKOM</t>
        </is>
      </c>
      <c r="F631" t="inlineStr">
        <is>
          <t>Övriga Aktiebolag</t>
        </is>
      </c>
      <c r="G631" t="n">
        <v>0.3</v>
      </c>
      <c r="H631" t="n">
        <v>0</v>
      </c>
      <c r="I631" t="n">
        <v>0</v>
      </c>
      <c r="J631" t="n">
        <v>0</v>
      </c>
      <c r="K631" t="n">
        <v>0</v>
      </c>
      <c r="L631" t="n">
        <v>0</v>
      </c>
      <c r="M631" t="n">
        <v>0</v>
      </c>
      <c r="N631" t="n">
        <v>0</v>
      </c>
      <c r="O631" t="n">
        <v>0</v>
      </c>
      <c r="P631" t="n">
        <v>0</v>
      </c>
      <c r="Q631" t="n">
        <v>0</v>
      </c>
      <c r="R631" s="2" t="inlineStr"/>
    </row>
    <row r="632" ht="15" customHeight="1">
      <c r="A632" t="inlineStr">
        <is>
          <t>A 45253-2025</t>
        </is>
      </c>
      <c r="B632" s="1" t="n">
        <v>45919.61512731481</v>
      </c>
      <c r="C632" s="1" t="n">
        <v>45983</v>
      </c>
      <c r="D632" t="inlineStr">
        <is>
          <t>JÄMTLANDS LÄN</t>
        </is>
      </c>
      <c r="E632" t="inlineStr">
        <is>
          <t>KROKOM</t>
        </is>
      </c>
      <c r="G632" t="n">
        <v>4.1</v>
      </c>
      <c r="H632" t="n">
        <v>0</v>
      </c>
      <c r="I632" t="n">
        <v>0</v>
      </c>
      <c r="J632" t="n">
        <v>0</v>
      </c>
      <c r="K632" t="n">
        <v>0</v>
      </c>
      <c r="L632" t="n">
        <v>0</v>
      </c>
      <c r="M632" t="n">
        <v>0</v>
      </c>
      <c r="N632" t="n">
        <v>0</v>
      </c>
      <c r="O632" t="n">
        <v>0</v>
      </c>
      <c r="P632" t="n">
        <v>0</v>
      </c>
      <c r="Q632" t="n">
        <v>0</v>
      </c>
      <c r="R632" s="2" t="inlineStr"/>
    </row>
    <row r="633" ht="15" customHeight="1">
      <c r="A633" t="inlineStr">
        <is>
          <t>A 7908-2025</t>
        </is>
      </c>
      <c r="B633" s="1" t="n">
        <v>45707.33935185185</v>
      </c>
      <c r="C633" s="1" t="n">
        <v>45983</v>
      </c>
      <c r="D633" t="inlineStr">
        <is>
          <t>JÄMTLANDS LÄN</t>
        </is>
      </c>
      <c r="E633" t="inlineStr">
        <is>
          <t>KROKOM</t>
        </is>
      </c>
      <c r="F633" t="inlineStr">
        <is>
          <t>Övriga Aktiebolag</t>
        </is>
      </c>
      <c r="G633" t="n">
        <v>10.1</v>
      </c>
      <c r="H633" t="n">
        <v>0</v>
      </c>
      <c r="I633" t="n">
        <v>0</v>
      </c>
      <c r="J633" t="n">
        <v>0</v>
      </c>
      <c r="K633" t="n">
        <v>0</v>
      </c>
      <c r="L633" t="n">
        <v>0</v>
      </c>
      <c r="M633" t="n">
        <v>0</v>
      </c>
      <c r="N633" t="n">
        <v>0</v>
      </c>
      <c r="O633" t="n">
        <v>0</v>
      </c>
      <c r="P633" t="n">
        <v>0</v>
      </c>
      <c r="Q633" t="n">
        <v>0</v>
      </c>
      <c r="R633" s="2" t="inlineStr"/>
    </row>
    <row r="634" ht="15" customHeight="1">
      <c r="A634" t="inlineStr">
        <is>
          <t>A 20210-2025</t>
        </is>
      </c>
      <c r="B634" s="1" t="n">
        <v>45772.62052083333</v>
      </c>
      <c r="C634" s="1" t="n">
        <v>45983</v>
      </c>
      <c r="D634" t="inlineStr">
        <is>
          <t>JÄMTLANDS LÄN</t>
        </is>
      </c>
      <c r="E634" t="inlineStr">
        <is>
          <t>KROKOM</t>
        </is>
      </c>
      <c r="G634" t="n">
        <v>12.3</v>
      </c>
      <c r="H634" t="n">
        <v>0</v>
      </c>
      <c r="I634" t="n">
        <v>0</v>
      </c>
      <c r="J634" t="n">
        <v>0</v>
      </c>
      <c r="K634" t="n">
        <v>0</v>
      </c>
      <c r="L634" t="n">
        <v>0</v>
      </c>
      <c r="M634" t="n">
        <v>0</v>
      </c>
      <c r="N634" t="n">
        <v>0</v>
      </c>
      <c r="O634" t="n">
        <v>0</v>
      </c>
      <c r="P634" t="n">
        <v>0</v>
      </c>
      <c r="Q634" t="n">
        <v>0</v>
      </c>
      <c r="R634" s="2" t="inlineStr"/>
    </row>
    <row r="635" ht="15" customHeight="1">
      <c r="A635" t="inlineStr">
        <is>
          <t>A 58563-2023</t>
        </is>
      </c>
      <c r="B635" s="1" t="n">
        <v>45246</v>
      </c>
      <c r="C635" s="1" t="n">
        <v>45983</v>
      </c>
      <c r="D635" t="inlineStr">
        <is>
          <t>JÄMTLANDS LÄN</t>
        </is>
      </c>
      <c r="E635" t="inlineStr">
        <is>
          <t>KROKOM</t>
        </is>
      </c>
      <c r="G635" t="n">
        <v>1.7</v>
      </c>
      <c r="H635" t="n">
        <v>0</v>
      </c>
      <c r="I635" t="n">
        <v>0</v>
      </c>
      <c r="J635" t="n">
        <v>0</v>
      </c>
      <c r="K635" t="n">
        <v>0</v>
      </c>
      <c r="L635" t="n">
        <v>0</v>
      </c>
      <c r="M635" t="n">
        <v>0</v>
      </c>
      <c r="N635" t="n">
        <v>0</v>
      </c>
      <c r="O635" t="n">
        <v>0</v>
      </c>
      <c r="P635" t="n">
        <v>0</v>
      </c>
      <c r="Q635" t="n">
        <v>0</v>
      </c>
      <c r="R635" s="2" t="inlineStr"/>
    </row>
    <row r="636" ht="15" customHeight="1">
      <c r="A636" t="inlineStr">
        <is>
          <t>A 33359-2022</t>
        </is>
      </c>
      <c r="B636" s="1" t="n">
        <v>44788</v>
      </c>
      <c r="C636" s="1" t="n">
        <v>45983</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33915-2025</t>
        </is>
      </c>
      <c r="B637" s="1" t="n">
        <v>45842.6099537037</v>
      </c>
      <c r="C637" s="1" t="n">
        <v>45983</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45983</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33945-2025</t>
        </is>
      </c>
      <c r="B639" s="1" t="n">
        <v>45842</v>
      </c>
      <c r="C639" s="1" t="n">
        <v>45983</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6451-2022</t>
        </is>
      </c>
      <c r="B640" s="1" t="n">
        <v>44601.35342592592</v>
      </c>
      <c r="C640" s="1" t="n">
        <v>45983</v>
      </c>
      <c r="D640" t="inlineStr">
        <is>
          <t>JÄMTLANDS LÄN</t>
        </is>
      </c>
      <c r="E640" t="inlineStr">
        <is>
          <t>KROKOM</t>
        </is>
      </c>
      <c r="G640" t="n">
        <v>5.8</v>
      </c>
      <c r="H640" t="n">
        <v>0</v>
      </c>
      <c r="I640" t="n">
        <v>0</v>
      </c>
      <c r="J640" t="n">
        <v>0</v>
      </c>
      <c r="K640" t="n">
        <v>0</v>
      </c>
      <c r="L640" t="n">
        <v>0</v>
      </c>
      <c r="M640" t="n">
        <v>0</v>
      </c>
      <c r="N640" t="n">
        <v>0</v>
      </c>
      <c r="O640" t="n">
        <v>0</v>
      </c>
      <c r="P640" t="n">
        <v>0</v>
      </c>
      <c r="Q640" t="n">
        <v>0</v>
      </c>
      <c r="R640" s="2" t="inlineStr"/>
    </row>
    <row r="641" ht="15" customHeight="1">
      <c r="A641" t="inlineStr">
        <is>
          <t>A 54806-2025</t>
        </is>
      </c>
      <c r="B641" s="1" t="n">
        <v>45966.6437037037</v>
      </c>
      <c r="C641" s="1" t="n">
        <v>45983</v>
      </c>
      <c r="D641" t="inlineStr">
        <is>
          <t>JÄMTLANDS LÄN</t>
        </is>
      </c>
      <c r="E641" t="inlineStr">
        <is>
          <t>KROKOM</t>
        </is>
      </c>
      <c r="G641" t="n">
        <v>3.9</v>
      </c>
      <c r="H641" t="n">
        <v>0</v>
      </c>
      <c r="I641" t="n">
        <v>0</v>
      </c>
      <c r="J641" t="n">
        <v>0</v>
      </c>
      <c r="K641" t="n">
        <v>0</v>
      </c>
      <c r="L641" t="n">
        <v>0</v>
      </c>
      <c r="M641" t="n">
        <v>0</v>
      </c>
      <c r="N641" t="n">
        <v>0</v>
      </c>
      <c r="O641" t="n">
        <v>0</v>
      </c>
      <c r="P641" t="n">
        <v>0</v>
      </c>
      <c r="Q641" t="n">
        <v>0</v>
      </c>
      <c r="R641" s="2" t="inlineStr"/>
    </row>
    <row r="642" ht="15" customHeight="1">
      <c r="A642" t="inlineStr">
        <is>
          <t>A 54791-2025</t>
        </is>
      </c>
      <c r="B642" s="1" t="n">
        <v>45966.63326388889</v>
      </c>
      <c r="C642" s="1" t="n">
        <v>45983</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54821-2025</t>
        </is>
      </c>
      <c r="B643" s="1" t="n">
        <v>45966.6591087963</v>
      </c>
      <c r="C643" s="1" t="n">
        <v>45983</v>
      </c>
      <c r="D643" t="inlineStr">
        <is>
          <t>JÄMTLANDS LÄN</t>
        </is>
      </c>
      <c r="E643" t="inlineStr">
        <is>
          <t>KROKOM</t>
        </is>
      </c>
      <c r="G643" t="n">
        <v>2.3</v>
      </c>
      <c r="H643" t="n">
        <v>0</v>
      </c>
      <c r="I643" t="n">
        <v>0</v>
      </c>
      <c r="J643" t="n">
        <v>0</v>
      </c>
      <c r="K643" t="n">
        <v>0</v>
      </c>
      <c r="L643" t="n">
        <v>0</v>
      </c>
      <c r="M643" t="n">
        <v>0</v>
      </c>
      <c r="N643" t="n">
        <v>0</v>
      </c>
      <c r="O643" t="n">
        <v>0</v>
      </c>
      <c r="P643" t="n">
        <v>0</v>
      </c>
      <c r="Q643" t="n">
        <v>0</v>
      </c>
      <c r="R643" s="2" t="inlineStr"/>
    </row>
    <row r="644" ht="15" customHeight="1">
      <c r="A644" t="inlineStr">
        <is>
          <t>A 54641-2025</t>
        </is>
      </c>
      <c r="B644" s="1" t="n">
        <v>45966.36547453704</v>
      </c>
      <c r="C644" s="1" t="n">
        <v>45983</v>
      </c>
      <c r="D644" t="inlineStr">
        <is>
          <t>JÄMTLANDS LÄN</t>
        </is>
      </c>
      <c r="E644" t="inlineStr">
        <is>
          <t>KROKOM</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33925-2025</t>
        </is>
      </c>
      <c r="B645" s="1" t="n">
        <v>45842</v>
      </c>
      <c r="C645" s="1" t="n">
        <v>45983</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5935-2025</t>
        </is>
      </c>
      <c r="B646" s="1" t="n">
        <v>45695.45013888889</v>
      </c>
      <c r="C646" s="1" t="n">
        <v>45983</v>
      </c>
      <c r="D646" t="inlineStr">
        <is>
          <t>JÄMTLANDS LÄN</t>
        </is>
      </c>
      <c r="E646" t="inlineStr">
        <is>
          <t>KROKOM</t>
        </is>
      </c>
      <c r="F646" t="inlineStr">
        <is>
          <t>Övriga Aktiebolag</t>
        </is>
      </c>
      <c r="G646" t="n">
        <v>15</v>
      </c>
      <c r="H646" t="n">
        <v>0</v>
      </c>
      <c r="I646" t="n">
        <v>0</v>
      </c>
      <c r="J646" t="n">
        <v>0</v>
      </c>
      <c r="K646" t="n">
        <v>0</v>
      </c>
      <c r="L646" t="n">
        <v>0</v>
      </c>
      <c r="M646" t="n">
        <v>0</v>
      </c>
      <c r="N646" t="n">
        <v>0</v>
      </c>
      <c r="O646" t="n">
        <v>0</v>
      </c>
      <c r="P646" t="n">
        <v>0</v>
      </c>
      <c r="Q646" t="n">
        <v>0</v>
      </c>
      <c r="R646" s="2" t="inlineStr"/>
    </row>
    <row r="647" ht="15" customHeight="1">
      <c r="A647" t="inlineStr">
        <is>
          <t>A 54714-2025</t>
        </is>
      </c>
      <c r="B647" s="1" t="n">
        <v>45966.50523148148</v>
      </c>
      <c r="C647" s="1" t="n">
        <v>45983</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46141-2025</t>
        </is>
      </c>
      <c r="B648" s="1" t="n">
        <v>45924.60287037037</v>
      </c>
      <c r="C648" s="1" t="n">
        <v>45983</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34701-2025</t>
        </is>
      </c>
      <c r="B649" s="1" t="n">
        <v>45848.48070601852</v>
      </c>
      <c r="C649" s="1" t="n">
        <v>45983</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51910-2023</t>
        </is>
      </c>
      <c r="B650" s="1" t="n">
        <v>45216</v>
      </c>
      <c r="C650" s="1" t="n">
        <v>45983</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46099-2025</t>
        </is>
      </c>
      <c r="B651" s="1" t="n">
        <v>45924.54465277777</v>
      </c>
      <c r="C651" s="1" t="n">
        <v>45983</v>
      </c>
      <c r="D651" t="inlineStr">
        <is>
          <t>JÄMTLANDS LÄN</t>
        </is>
      </c>
      <c r="E651" t="inlineStr">
        <is>
          <t>KROKOM</t>
        </is>
      </c>
      <c r="F651" t="inlineStr">
        <is>
          <t>Övriga Aktiebolag</t>
        </is>
      </c>
      <c r="G651" t="n">
        <v>13.4</v>
      </c>
      <c r="H651" t="n">
        <v>0</v>
      </c>
      <c r="I651" t="n">
        <v>0</v>
      </c>
      <c r="J651" t="n">
        <v>0</v>
      </c>
      <c r="K651" t="n">
        <v>0</v>
      </c>
      <c r="L651" t="n">
        <v>0</v>
      </c>
      <c r="M651" t="n">
        <v>0</v>
      </c>
      <c r="N651" t="n">
        <v>0</v>
      </c>
      <c r="O651" t="n">
        <v>0</v>
      </c>
      <c r="P651" t="n">
        <v>0</v>
      </c>
      <c r="Q651" t="n">
        <v>0</v>
      </c>
      <c r="R651" s="2" t="inlineStr"/>
    </row>
    <row r="652" ht="15" customHeight="1">
      <c r="A652" t="inlineStr">
        <is>
          <t>A 3257-2024</t>
        </is>
      </c>
      <c r="B652" s="1" t="n">
        <v>45316</v>
      </c>
      <c r="C652" s="1" t="n">
        <v>45983</v>
      </c>
      <c r="D652" t="inlineStr">
        <is>
          <t>JÄMTLANDS LÄN</t>
        </is>
      </c>
      <c r="E652" t="inlineStr">
        <is>
          <t>KROKOM</t>
        </is>
      </c>
      <c r="G652" t="n">
        <v>6.5</v>
      </c>
      <c r="H652" t="n">
        <v>0</v>
      </c>
      <c r="I652" t="n">
        <v>0</v>
      </c>
      <c r="J652" t="n">
        <v>0</v>
      </c>
      <c r="K652" t="n">
        <v>0</v>
      </c>
      <c r="L652" t="n">
        <v>0</v>
      </c>
      <c r="M652" t="n">
        <v>0</v>
      </c>
      <c r="N652" t="n">
        <v>0</v>
      </c>
      <c r="O652" t="n">
        <v>0</v>
      </c>
      <c r="P652" t="n">
        <v>0</v>
      </c>
      <c r="Q652" t="n">
        <v>0</v>
      </c>
      <c r="R652" s="2" t="inlineStr"/>
    </row>
    <row r="653" ht="15" customHeight="1">
      <c r="A653" t="inlineStr">
        <is>
          <t>A 20174-2025</t>
        </is>
      </c>
      <c r="B653" s="1" t="n">
        <v>45772.58283564815</v>
      </c>
      <c r="C653" s="1" t="n">
        <v>45983</v>
      </c>
      <c r="D653" t="inlineStr">
        <is>
          <t>JÄMTLANDS LÄN</t>
        </is>
      </c>
      <c r="E653" t="inlineStr">
        <is>
          <t>KROKOM</t>
        </is>
      </c>
      <c r="G653" t="n">
        <v>47</v>
      </c>
      <c r="H653" t="n">
        <v>0</v>
      </c>
      <c r="I653" t="n">
        <v>0</v>
      </c>
      <c r="J653" t="n">
        <v>0</v>
      </c>
      <c r="K653" t="n">
        <v>0</v>
      </c>
      <c r="L653" t="n">
        <v>0</v>
      </c>
      <c r="M653" t="n">
        <v>0</v>
      </c>
      <c r="N653" t="n">
        <v>0</v>
      </c>
      <c r="O653" t="n">
        <v>0</v>
      </c>
      <c r="P653" t="n">
        <v>0</v>
      </c>
      <c r="Q653" t="n">
        <v>0</v>
      </c>
      <c r="R653" s="2" t="inlineStr"/>
    </row>
    <row r="654" ht="15" customHeight="1">
      <c r="A654" t="inlineStr">
        <is>
          <t>A 45778-2025</t>
        </is>
      </c>
      <c r="B654" s="1" t="n">
        <v>45923.54756944445</v>
      </c>
      <c r="C654" s="1" t="n">
        <v>45983</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45780-2025</t>
        </is>
      </c>
      <c r="B655" s="1" t="n">
        <v>45923.54827546296</v>
      </c>
      <c r="C655" s="1" t="n">
        <v>45983</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20181-2025</t>
        </is>
      </c>
      <c r="B656" s="1" t="n">
        <v>45772.59200231481</v>
      </c>
      <c r="C656" s="1" t="n">
        <v>45983</v>
      </c>
      <c r="D656" t="inlineStr">
        <is>
          <t>JÄMTLANDS LÄN</t>
        </is>
      </c>
      <c r="E656" t="inlineStr">
        <is>
          <t>KROKOM</t>
        </is>
      </c>
      <c r="G656" t="n">
        <v>2.1</v>
      </c>
      <c r="H656" t="n">
        <v>0</v>
      </c>
      <c r="I656" t="n">
        <v>0</v>
      </c>
      <c r="J656" t="n">
        <v>0</v>
      </c>
      <c r="K656" t="n">
        <v>0</v>
      </c>
      <c r="L656" t="n">
        <v>0</v>
      </c>
      <c r="M656" t="n">
        <v>0</v>
      </c>
      <c r="N656" t="n">
        <v>0</v>
      </c>
      <c r="O656" t="n">
        <v>0</v>
      </c>
      <c r="P656" t="n">
        <v>0</v>
      </c>
      <c r="Q656" t="n">
        <v>0</v>
      </c>
      <c r="R656" s="2" t="inlineStr"/>
    </row>
    <row r="657" ht="15" customHeight="1">
      <c r="A657" t="inlineStr">
        <is>
          <t>A 34535-2025</t>
        </is>
      </c>
      <c r="B657" s="1" t="n">
        <v>45847.51106481482</v>
      </c>
      <c r="C657" s="1" t="n">
        <v>45983</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25421-2022</t>
        </is>
      </c>
      <c r="B658" s="1" t="n">
        <v>44732</v>
      </c>
      <c r="C658" s="1" t="n">
        <v>45983</v>
      </c>
      <c r="D658" t="inlineStr">
        <is>
          <t>JÄMTLANDS LÄN</t>
        </is>
      </c>
      <c r="E658" t="inlineStr">
        <is>
          <t>KROKOM</t>
        </is>
      </c>
      <c r="G658" t="n">
        <v>0.8</v>
      </c>
      <c r="H658" t="n">
        <v>0</v>
      </c>
      <c r="I658" t="n">
        <v>0</v>
      </c>
      <c r="J658" t="n">
        <v>0</v>
      </c>
      <c r="K658" t="n">
        <v>0</v>
      </c>
      <c r="L658" t="n">
        <v>0</v>
      </c>
      <c r="M658" t="n">
        <v>0</v>
      </c>
      <c r="N658" t="n">
        <v>0</v>
      </c>
      <c r="O658" t="n">
        <v>0</v>
      </c>
      <c r="P658" t="n">
        <v>0</v>
      </c>
      <c r="Q658" t="n">
        <v>0</v>
      </c>
      <c r="R658" s="2" t="inlineStr"/>
    </row>
    <row r="659" ht="15" customHeight="1">
      <c r="A659" t="inlineStr">
        <is>
          <t>A 34608-2025</t>
        </is>
      </c>
      <c r="B659" s="1" t="n">
        <v>45847.65717592592</v>
      </c>
      <c r="C659" s="1" t="n">
        <v>45983</v>
      </c>
      <c r="D659" t="inlineStr">
        <is>
          <t>JÄMTLANDS LÄN</t>
        </is>
      </c>
      <c r="E659" t="inlineStr">
        <is>
          <t>KROKOM</t>
        </is>
      </c>
      <c r="F659" t="inlineStr">
        <is>
          <t>SCA</t>
        </is>
      </c>
      <c r="G659" t="n">
        <v>7.6</v>
      </c>
      <c r="H659" t="n">
        <v>0</v>
      </c>
      <c r="I659" t="n">
        <v>0</v>
      </c>
      <c r="J659" t="n">
        <v>0</v>
      </c>
      <c r="K659" t="n">
        <v>0</v>
      </c>
      <c r="L659" t="n">
        <v>0</v>
      </c>
      <c r="M659" t="n">
        <v>0</v>
      </c>
      <c r="N659" t="n">
        <v>0</v>
      </c>
      <c r="O659" t="n">
        <v>0</v>
      </c>
      <c r="P659" t="n">
        <v>0</v>
      </c>
      <c r="Q659" t="n">
        <v>0</v>
      </c>
      <c r="R659" s="2" t="inlineStr"/>
    </row>
    <row r="660" ht="15" customHeight="1">
      <c r="A660" t="inlineStr">
        <is>
          <t>A 31537-2023</t>
        </is>
      </c>
      <c r="B660" s="1" t="n">
        <v>45117</v>
      </c>
      <c r="C660" s="1" t="n">
        <v>45983</v>
      </c>
      <c r="D660" t="inlineStr">
        <is>
          <t>JÄMTLANDS LÄN</t>
        </is>
      </c>
      <c r="E660" t="inlineStr">
        <is>
          <t>KROKOM</t>
        </is>
      </c>
      <c r="F660" t="inlineStr">
        <is>
          <t>Övriga Aktiebolag</t>
        </is>
      </c>
      <c r="G660" t="n">
        <v>1</v>
      </c>
      <c r="H660" t="n">
        <v>0</v>
      </c>
      <c r="I660" t="n">
        <v>0</v>
      </c>
      <c r="J660" t="n">
        <v>0</v>
      </c>
      <c r="K660" t="n">
        <v>0</v>
      </c>
      <c r="L660" t="n">
        <v>0</v>
      </c>
      <c r="M660" t="n">
        <v>0</v>
      </c>
      <c r="N660" t="n">
        <v>0</v>
      </c>
      <c r="O660" t="n">
        <v>0</v>
      </c>
      <c r="P660" t="n">
        <v>0</v>
      </c>
      <c r="Q660" t="n">
        <v>0</v>
      </c>
      <c r="R660" s="2" t="inlineStr"/>
    </row>
    <row r="661" ht="15" customHeight="1">
      <c r="A661" t="inlineStr">
        <is>
          <t>A 32765-2023</t>
        </is>
      </c>
      <c r="B661" s="1" t="n">
        <v>45123.61459490741</v>
      </c>
      <c r="C661" s="1" t="n">
        <v>45983</v>
      </c>
      <c r="D661" t="inlineStr">
        <is>
          <t>JÄMTLANDS LÄN</t>
        </is>
      </c>
      <c r="E661" t="inlineStr">
        <is>
          <t>KROKOM</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34737-2025</t>
        </is>
      </c>
      <c r="B662" s="1" t="n">
        <v>45848.60371527778</v>
      </c>
      <c r="C662" s="1" t="n">
        <v>45983</v>
      </c>
      <c r="D662" t="inlineStr">
        <is>
          <t>JÄMTLANDS LÄN</t>
        </is>
      </c>
      <c r="E662" t="inlineStr">
        <is>
          <t>KROKOM</t>
        </is>
      </c>
      <c r="G662" t="n">
        <v>7.5</v>
      </c>
      <c r="H662" t="n">
        <v>0</v>
      </c>
      <c r="I662" t="n">
        <v>0</v>
      </c>
      <c r="J662" t="n">
        <v>0</v>
      </c>
      <c r="K662" t="n">
        <v>0</v>
      </c>
      <c r="L662" t="n">
        <v>0</v>
      </c>
      <c r="M662" t="n">
        <v>0</v>
      </c>
      <c r="N662" t="n">
        <v>0</v>
      </c>
      <c r="O662" t="n">
        <v>0</v>
      </c>
      <c r="P662" t="n">
        <v>0</v>
      </c>
      <c r="Q662" t="n">
        <v>0</v>
      </c>
      <c r="R662" s="2" t="inlineStr"/>
    </row>
    <row r="663" ht="15" customHeight="1">
      <c r="A663" t="inlineStr">
        <is>
          <t>A 54706-2025</t>
        </is>
      </c>
      <c r="B663" s="1" t="n">
        <v>45966.48873842593</v>
      </c>
      <c r="C663" s="1" t="n">
        <v>45983</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50206-2024</t>
        </is>
      </c>
      <c r="B664" s="1" t="n">
        <v>45600.49616898148</v>
      </c>
      <c r="C664" s="1" t="n">
        <v>45983</v>
      </c>
      <c r="D664" t="inlineStr">
        <is>
          <t>JÄMTLANDS LÄN</t>
        </is>
      </c>
      <c r="E664" t="inlineStr">
        <is>
          <t>KROKOM</t>
        </is>
      </c>
      <c r="G664" t="n">
        <v>2.9</v>
      </c>
      <c r="H664" t="n">
        <v>0</v>
      </c>
      <c r="I664" t="n">
        <v>0</v>
      </c>
      <c r="J664" t="n">
        <v>0</v>
      </c>
      <c r="K664" t="n">
        <v>0</v>
      </c>
      <c r="L664" t="n">
        <v>0</v>
      </c>
      <c r="M664" t="n">
        <v>0</v>
      </c>
      <c r="N664" t="n">
        <v>0</v>
      </c>
      <c r="O664" t="n">
        <v>0</v>
      </c>
      <c r="P664" t="n">
        <v>0</v>
      </c>
      <c r="Q664" t="n">
        <v>0</v>
      </c>
      <c r="R664" s="2" t="inlineStr"/>
    </row>
    <row r="665" ht="15" customHeight="1">
      <c r="A665" t="inlineStr">
        <is>
          <t>A 37615-2025</t>
        </is>
      </c>
      <c r="B665" s="1" t="n">
        <v>45880</v>
      </c>
      <c r="C665" s="1" t="n">
        <v>45983</v>
      </c>
      <c r="D665" t="inlineStr">
        <is>
          <t>JÄMTLANDS LÄN</t>
        </is>
      </c>
      <c r="E665" t="inlineStr">
        <is>
          <t>KROKOM</t>
        </is>
      </c>
      <c r="G665" t="n">
        <v>33.6</v>
      </c>
      <c r="H665" t="n">
        <v>0</v>
      </c>
      <c r="I665" t="n">
        <v>0</v>
      </c>
      <c r="J665" t="n">
        <v>0</v>
      </c>
      <c r="K665" t="n">
        <v>0</v>
      </c>
      <c r="L665" t="n">
        <v>0</v>
      </c>
      <c r="M665" t="n">
        <v>0</v>
      </c>
      <c r="N665" t="n">
        <v>0</v>
      </c>
      <c r="O665" t="n">
        <v>0</v>
      </c>
      <c r="P665" t="n">
        <v>0</v>
      </c>
      <c r="Q665" t="n">
        <v>0</v>
      </c>
      <c r="R665" s="2" t="inlineStr"/>
    </row>
    <row r="666" ht="15" customHeight="1">
      <c r="A666" t="inlineStr">
        <is>
          <t>A 54750-2025</t>
        </is>
      </c>
      <c r="B666" s="1" t="n">
        <v>45966.59105324074</v>
      </c>
      <c r="C666" s="1" t="n">
        <v>45983</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34829-2025</t>
        </is>
      </c>
      <c r="B667" s="1" t="n">
        <v>45849.3859837963</v>
      </c>
      <c r="C667" s="1" t="n">
        <v>45983</v>
      </c>
      <c r="D667" t="inlineStr">
        <is>
          <t>JÄMTLANDS LÄN</t>
        </is>
      </c>
      <c r="E667" t="inlineStr">
        <is>
          <t>KROKOM</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18406-2025</t>
        </is>
      </c>
      <c r="B668" s="1" t="n">
        <v>45762.60907407408</v>
      </c>
      <c r="C668" s="1" t="n">
        <v>45983</v>
      </c>
      <c r="D668" t="inlineStr">
        <is>
          <t>JÄMTLANDS LÄN</t>
        </is>
      </c>
      <c r="E668" t="inlineStr">
        <is>
          <t>KROKOM</t>
        </is>
      </c>
      <c r="F668" t="inlineStr">
        <is>
          <t>Övriga Aktiebolag</t>
        </is>
      </c>
      <c r="G668" t="n">
        <v>34.3</v>
      </c>
      <c r="H668" t="n">
        <v>0</v>
      </c>
      <c r="I668" t="n">
        <v>0</v>
      </c>
      <c r="J668" t="n">
        <v>0</v>
      </c>
      <c r="K668" t="n">
        <v>0</v>
      </c>
      <c r="L668" t="n">
        <v>0</v>
      </c>
      <c r="M668" t="n">
        <v>0</v>
      </c>
      <c r="N668" t="n">
        <v>0</v>
      </c>
      <c r="O668" t="n">
        <v>0</v>
      </c>
      <c r="P668" t="n">
        <v>0</v>
      </c>
      <c r="Q668" t="n">
        <v>0</v>
      </c>
      <c r="R668" s="2" t="inlineStr"/>
    </row>
    <row r="669" ht="15" customHeight="1">
      <c r="A669" t="inlineStr">
        <is>
          <t>A 54740-2025</t>
        </is>
      </c>
      <c r="B669" s="1" t="n">
        <v>45966.57206018519</v>
      </c>
      <c r="C669" s="1" t="n">
        <v>45983</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31538-2023</t>
        </is>
      </c>
      <c r="B670" s="1" t="n">
        <v>45117</v>
      </c>
      <c r="C670" s="1" t="n">
        <v>45983</v>
      </c>
      <c r="D670" t="inlineStr">
        <is>
          <t>JÄMTLANDS LÄN</t>
        </is>
      </c>
      <c r="E670" t="inlineStr">
        <is>
          <t>KROKOM</t>
        </is>
      </c>
      <c r="F670" t="inlineStr">
        <is>
          <t>Övriga Aktiebolag</t>
        </is>
      </c>
      <c r="G670" t="n">
        <v>9.9</v>
      </c>
      <c r="H670" t="n">
        <v>0</v>
      </c>
      <c r="I670" t="n">
        <v>0</v>
      </c>
      <c r="J670" t="n">
        <v>0</v>
      </c>
      <c r="K670" t="n">
        <v>0</v>
      </c>
      <c r="L670" t="n">
        <v>0</v>
      </c>
      <c r="M670" t="n">
        <v>0</v>
      </c>
      <c r="N670" t="n">
        <v>0</v>
      </c>
      <c r="O670" t="n">
        <v>0</v>
      </c>
      <c r="P670" t="n">
        <v>0</v>
      </c>
      <c r="Q670" t="n">
        <v>0</v>
      </c>
      <c r="R670" s="2" t="inlineStr"/>
    </row>
    <row r="671" ht="15" customHeight="1">
      <c r="A671" t="inlineStr">
        <is>
          <t>A 54353-2025</t>
        </is>
      </c>
      <c r="B671" s="1" t="n">
        <v>45965.3778125</v>
      </c>
      <c r="C671" s="1" t="n">
        <v>45983</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53227-2025</t>
        </is>
      </c>
      <c r="B672" s="1" t="n">
        <v>45958.61497685185</v>
      </c>
      <c r="C672" s="1" t="n">
        <v>45983</v>
      </c>
      <c r="D672" t="inlineStr">
        <is>
          <t>JÄMTLANDS LÄN</t>
        </is>
      </c>
      <c r="E672" t="inlineStr">
        <is>
          <t>KROKOM</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54772-2025</t>
        </is>
      </c>
      <c r="B673" s="1" t="n">
        <v>45966.60880787037</v>
      </c>
      <c r="C673" s="1" t="n">
        <v>45983</v>
      </c>
      <c r="D673" t="inlineStr">
        <is>
          <t>JÄMTLANDS LÄN</t>
        </is>
      </c>
      <c r="E673" t="inlineStr">
        <is>
          <t>KROKOM</t>
        </is>
      </c>
      <c r="G673" t="n">
        <v>3.7</v>
      </c>
      <c r="H673" t="n">
        <v>0</v>
      </c>
      <c r="I673" t="n">
        <v>0</v>
      </c>
      <c r="J673" t="n">
        <v>0</v>
      </c>
      <c r="K673" t="n">
        <v>0</v>
      </c>
      <c r="L673" t="n">
        <v>0</v>
      </c>
      <c r="M673" t="n">
        <v>0</v>
      </c>
      <c r="N673" t="n">
        <v>0</v>
      </c>
      <c r="O673" t="n">
        <v>0</v>
      </c>
      <c r="P673" t="n">
        <v>0</v>
      </c>
      <c r="Q673" t="n">
        <v>0</v>
      </c>
      <c r="R673" s="2" t="inlineStr"/>
    </row>
    <row r="674" ht="15" customHeight="1">
      <c r="A674" t="inlineStr">
        <is>
          <t>A 54787-2025</t>
        </is>
      </c>
      <c r="B674" s="1" t="n">
        <v>45966.62802083333</v>
      </c>
      <c r="C674" s="1" t="n">
        <v>45983</v>
      </c>
      <c r="D674" t="inlineStr">
        <is>
          <t>JÄMTLANDS LÄN</t>
        </is>
      </c>
      <c r="E674" t="inlineStr">
        <is>
          <t>KROKOM</t>
        </is>
      </c>
      <c r="G674" t="n">
        <v>8.9</v>
      </c>
      <c r="H674" t="n">
        <v>0</v>
      </c>
      <c r="I674" t="n">
        <v>0</v>
      </c>
      <c r="J674" t="n">
        <v>0</v>
      </c>
      <c r="K674" t="n">
        <v>0</v>
      </c>
      <c r="L674" t="n">
        <v>0</v>
      </c>
      <c r="M674" t="n">
        <v>0</v>
      </c>
      <c r="N674" t="n">
        <v>0</v>
      </c>
      <c r="O674" t="n">
        <v>0</v>
      </c>
      <c r="P674" t="n">
        <v>0</v>
      </c>
      <c r="Q674" t="n">
        <v>0</v>
      </c>
      <c r="R674" s="2" t="inlineStr"/>
    </row>
    <row r="675" ht="15" customHeight="1">
      <c r="A675" t="inlineStr">
        <is>
          <t>A 55060-2025</t>
        </is>
      </c>
      <c r="B675" s="1" t="n">
        <v>45967.68814814815</v>
      </c>
      <c r="C675" s="1" t="n">
        <v>45983</v>
      </c>
      <c r="D675" t="inlineStr">
        <is>
          <t>JÄMTLANDS LÄN</t>
        </is>
      </c>
      <c r="E675" t="inlineStr">
        <is>
          <t>KROKOM</t>
        </is>
      </c>
      <c r="F675" t="inlineStr">
        <is>
          <t>Kyrkan</t>
        </is>
      </c>
      <c r="G675" t="n">
        <v>59.7</v>
      </c>
      <c r="H675" t="n">
        <v>0</v>
      </c>
      <c r="I675" t="n">
        <v>0</v>
      </c>
      <c r="J675" t="n">
        <v>0</v>
      </c>
      <c r="K675" t="n">
        <v>0</v>
      </c>
      <c r="L675" t="n">
        <v>0</v>
      </c>
      <c r="M675" t="n">
        <v>0</v>
      </c>
      <c r="N675" t="n">
        <v>0</v>
      </c>
      <c r="O675" t="n">
        <v>0</v>
      </c>
      <c r="P675" t="n">
        <v>0</v>
      </c>
      <c r="Q675" t="n">
        <v>0</v>
      </c>
      <c r="R675" s="2" t="inlineStr"/>
    </row>
    <row r="676" ht="15" customHeight="1">
      <c r="A676" t="inlineStr">
        <is>
          <t>A 55062-2025</t>
        </is>
      </c>
      <c r="B676" s="1" t="n">
        <v>45967.69768518519</v>
      </c>
      <c r="C676" s="1" t="n">
        <v>45983</v>
      </c>
      <c r="D676" t="inlineStr">
        <is>
          <t>JÄMTLANDS LÄN</t>
        </is>
      </c>
      <c r="E676" t="inlineStr">
        <is>
          <t>KROKOM</t>
        </is>
      </c>
      <c r="F676" t="inlineStr">
        <is>
          <t>Kyrkan</t>
        </is>
      </c>
      <c r="G676" t="n">
        <v>2.3</v>
      </c>
      <c r="H676" t="n">
        <v>0</v>
      </c>
      <c r="I676" t="n">
        <v>0</v>
      </c>
      <c r="J676" t="n">
        <v>0</v>
      </c>
      <c r="K676" t="n">
        <v>0</v>
      </c>
      <c r="L676" t="n">
        <v>0</v>
      </c>
      <c r="M676" t="n">
        <v>0</v>
      </c>
      <c r="N676" t="n">
        <v>0</v>
      </c>
      <c r="O676" t="n">
        <v>0</v>
      </c>
      <c r="P676" t="n">
        <v>0</v>
      </c>
      <c r="Q676" t="n">
        <v>0</v>
      </c>
      <c r="R676" s="2" t="inlineStr"/>
    </row>
    <row r="677" ht="15" customHeight="1">
      <c r="A677" t="inlineStr">
        <is>
          <t>A 54933-2025</t>
        </is>
      </c>
      <c r="B677" s="1" t="n">
        <v>45967.42778935185</v>
      </c>
      <c r="C677" s="1" t="n">
        <v>45983</v>
      </c>
      <c r="D677" t="inlineStr">
        <is>
          <t>JÄMTLANDS LÄN</t>
        </is>
      </c>
      <c r="E677" t="inlineStr">
        <is>
          <t>KROKOM</t>
        </is>
      </c>
      <c r="F677" t="inlineStr">
        <is>
          <t>SCA</t>
        </is>
      </c>
      <c r="G677" t="n">
        <v>12.8</v>
      </c>
      <c r="H677" t="n">
        <v>0</v>
      </c>
      <c r="I677" t="n">
        <v>0</v>
      </c>
      <c r="J677" t="n">
        <v>0</v>
      </c>
      <c r="K677" t="n">
        <v>0</v>
      </c>
      <c r="L677" t="n">
        <v>0</v>
      </c>
      <c r="M677" t="n">
        <v>0</v>
      </c>
      <c r="N677" t="n">
        <v>0</v>
      </c>
      <c r="O677" t="n">
        <v>0</v>
      </c>
      <c r="P677" t="n">
        <v>0</v>
      </c>
      <c r="Q677" t="n">
        <v>0</v>
      </c>
      <c r="R677" s="2" t="inlineStr"/>
    </row>
    <row r="678" ht="15" customHeight="1">
      <c r="A678" t="inlineStr">
        <is>
          <t>A 35354-2025</t>
        </is>
      </c>
      <c r="B678" s="1" t="n">
        <v>45854.65378472222</v>
      </c>
      <c r="C678" s="1" t="n">
        <v>45983</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54895-2025</t>
        </is>
      </c>
      <c r="B679" s="1" t="n">
        <v>45967.36524305555</v>
      </c>
      <c r="C679" s="1" t="n">
        <v>45983</v>
      </c>
      <c r="D679" t="inlineStr">
        <is>
          <t>JÄMTLANDS LÄN</t>
        </is>
      </c>
      <c r="E679" t="inlineStr">
        <is>
          <t>KROKOM</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35238-2025</t>
        </is>
      </c>
      <c r="B680" s="1" t="n">
        <v>45853.6156712963</v>
      </c>
      <c r="C680" s="1" t="n">
        <v>45983</v>
      </c>
      <c r="D680" t="inlineStr">
        <is>
          <t>JÄMTLANDS LÄN</t>
        </is>
      </c>
      <c r="E680" t="inlineStr">
        <is>
          <t>KROKOM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35359-2025</t>
        </is>
      </c>
      <c r="B681" s="1" t="n">
        <v>45854.66518518519</v>
      </c>
      <c r="C681" s="1" t="n">
        <v>45983</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34516-2025</t>
        </is>
      </c>
      <c r="B682" s="1" t="n">
        <v>45847.46462962963</v>
      </c>
      <c r="C682" s="1" t="n">
        <v>45983</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44663-2025</t>
        </is>
      </c>
      <c r="B683" s="1" t="n">
        <v>45917</v>
      </c>
      <c r="C683" s="1" t="n">
        <v>45983</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44519-2024</t>
        </is>
      </c>
      <c r="B684" s="1" t="n">
        <v>45574.43403935185</v>
      </c>
      <c r="C684" s="1" t="n">
        <v>45983</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55236-2025</t>
        </is>
      </c>
      <c r="B685" s="1" t="n">
        <v>45968.61451388889</v>
      </c>
      <c r="C685" s="1" t="n">
        <v>45983</v>
      </c>
      <c r="D685" t="inlineStr">
        <is>
          <t>JÄMTLANDS LÄN</t>
        </is>
      </c>
      <c r="E685" t="inlineStr">
        <is>
          <t>KROKOM</t>
        </is>
      </c>
      <c r="G685" t="n">
        <v>14.3</v>
      </c>
      <c r="H685" t="n">
        <v>0</v>
      </c>
      <c r="I685" t="n">
        <v>0</v>
      </c>
      <c r="J685" t="n">
        <v>0</v>
      </c>
      <c r="K685" t="n">
        <v>0</v>
      </c>
      <c r="L685" t="n">
        <v>0</v>
      </c>
      <c r="M685" t="n">
        <v>0</v>
      </c>
      <c r="N685" t="n">
        <v>0</v>
      </c>
      <c r="O685" t="n">
        <v>0</v>
      </c>
      <c r="P685" t="n">
        <v>0</v>
      </c>
      <c r="Q685" t="n">
        <v>0</v>
      </c>
      <c r="R685" s="2" t="inlineStr"/>
    </row>
    <row r="686" ht="15" customHeight="1">
      <c r="A686" t="inlineStr">
        <is>
          <t>A 11056-2025</t>
        </is>
      </c>
      <c r="B686" s="1" t="n">
        <v>45723.50841435185</v>
      </c>
      <c r="C686" s="1" t="n">
        <v>45983</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14234-2025</t>
        </is>
      </c>
      <c r="B687" s="1" t="n">
        <v>45740</v>
      </c>
      <c r="C687" s="1" t="n">
        <v>45983</v>
      </c>
      <c r="D687" t="inlineStr">
        <is>
          <t>JÄMTLANDS LÄN</t>
        </is>
      </c>
      <c r="E687" t="inlineStr">
        <is>
          <t>KROKOM</t>
        </is>
      </c>
      <c r="F687" t="inlineStr">
        <is>
          <t>Övriga statliga verk och myndigheter</t>
        </is>
      </c>
      <c r="G687" t="n">
        <v>1.5</v>
      </c>
      <c r="H687" t="n">
        <v>0</v>
      </c>
      <c r="I687" t="n">
        <v>0</v>
      </c>
      <c r="J687" t="n">
        <v>0</v>
      </c>
      <c r="K687" t="n">
        <v>0</v>
      </c>
      <c r="L687" t="n">
        <v>0</v>
      </c>
      <c r="M687" t="n">
        <v>0</v>
      </c>
      <c r="N687" t="n">
        <v>0</v>
      </c>
      <c r="O687" t="n">
        <v>0</v>
      </c>
      <c r="P687" t="n">
        <v>0</v>
      </c>
      <c r="Q687" t="n">
        <v>0</v>
      </c>
      <c r="R687" s="2" t="inlineStr"/>
    </row>
    <row r="688" ht="15" customHeight="1">
      <c r="A688" t="inlineStr">
        <is>
          <t>A 35460-2025</t>
        </is>
      </c>
      <c r="B688" s="1" t="n">
        <v>45855.61193287037</v>
      </c>
      <c r="C688" s="1" t="n">
        <v>45983</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24103-2025</t>
        </is>
      </c>
      <c r="B689" s="1" t="n">
        <v>45796</v>
      </c>
      <c r="C689" s="1" t="n">
        <v>45983</v>
      </c>
      <c r="D689" t="inlineStr">
        <is>
          <t>JÄMTLANDS LÄN</t>
        </is>
      </c>
      <c r="E689" t="inlineStr">
        <is>
          <t>KROKOM</t>
        </is>
      </c>
      <c r="G689" t="n">
        <v>2.1</v>
      </c>
      <c r="H689" t="n">
        <v>0</v>
      </c>
      <c r="I689" t="n">
        <v>0</v>
      </c>
      <c r="J689" t="n">
        <v>0</v>
      </c>
      <c r="K689" t="n">
        <v>0</v>
      </c>
      <c r="L689" t="n">
        <v>0</v>
      </c>
      <c r="M689" t="n">
        <v>0</v>
      </c>
      <c r="N689" t="n">
        <v>0</v>
      </c>
      <c r="O689" t="n">
        <v>0</v>
      </c>
      <c r="P689" t="n">
        <v>0</v>
      </c>
      <c r="Q689" t="n">
        <v>0</v>
      </c>
      <c r="R689" s="2" t="inlineStr"/>
    </row>
    <row r="690" ht="15" customHeight="1">
      <c r="A690" t="inlineStr">
        <is>
          <t>A 54828-2024</t>
        </is>
      </c>
      <c r="B690" s="1" t="n">
        <v>45618.54398148148</v>
      </c>
      <c r="C690" s="1" t="n">
        <v>45983</v>
      </c>
      <c r="D690" t="inlineStr">
        <is>
          <t>JÄMTLANDS LÄN</t>
        </is>
      </c>
      <c r="E690" t="inlineStr">
        <is>
          <t>KROKOM</t>
        </is>
      </c>
      <c r="G690" t="n">
        <v>8.1</v>
      </c>
      <c r="H690" t="n">
        <v>0</v>
      </c>
      <c r="I690" t="n">
        <v>0</v>
      </c>
      <c r="J690" t="n">
        <v>0</v>
      </c>
      <c r="K690" t="n">
        <v>0</v>
      </c>
      <c r="L690" t="n">
        <v>0</v>
      </c>
      <c r="M690" t="n">
        <v>0</v>
      </c>
      <c r="N690" t="n">
        <v>0</v>
      </c>
      <c r="O690" t="n">
        <v>0</v>
      </c>
      <c r="P690" t="n">
        <v>0</v>
      </c>
      <c r="Q690" t="n">
        <v>0</v>
      </c>
      <c r="R690" s="2" t="inlineStr"/>
    </row>
    <row r="691" ht="15" customHeight="1">
      <c r="A691" t="inlineStr">
        <is>
          <t>A 46516-2025</t>
        </is>
      </c>
      <c r="B691" s="1" t="n">
        <v>45926.29324074074</v>
      </c>
      <c r="C691" s="1" t="n">
        <v>45983</v>
      </c>
      <c r="D691" t="inlineStr">
        <is>
          <t>JÄMTLANDS LÄN</t>
        </is>
      </c>
      <c r="E691" t="inlineStr">
        <is>
          <t>KROKOM</t>
        </is>
      </c>
      <c r="F691" t="inlineStr">
        <is>
          <t>Övriga Aktiebolag</t>
        </is>
      </c>
      <c r="G691" t="n">
        <v>18.7</v>
      </c>
      <c r="H691" t="n">
        <v>0</v>
      </c>
      <c r="I691" t="n">
        <v>0</v>
      </c>
      <c r="J691" t="n">
        <v>0</v>
      </c>
      <c r="K691" t="n">
        <v>0</v>
      </c>
      <c r="L691" t="n">
        <v>0</v>
      </c>
      <c r="M691" t="n">
        <v>0</v>
      </c>
      <c r="N691" t="n">
        <v>0</v>
      </c>
      <c r="O691" t="n">
        <v>0</v>
      </c>
      <c r="P691" t="n">
        <v>0</v>
      </c>
      <c r="Q691" t="n">
        <v>0</v>
      </c>
      <c r="R691" s="2" t="inlineStr"/>
    </row>
    <row r="692" ht="15" customHeight="1">
      <c r="A692" t="inlineStr">
        <is>
          <t>A 35778-2025</t>
        </is>
      </c>
      <c r="B692" s="1" t="n">
        <v>45860</v>
      </c>
      <c r="C692" s="1" t="n">
        <v>45983</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46796-2025</t>
        </is>
      </c>
      <c r="B693" s="1" t="n">
        <v>45926.65686342592</v>
      </c>
      <c r="C693" s="1" t="n">
        <v>45983</v>
      </c>
      <c r="D693" t="inlineStr">
        <is>
          <t>JÄMTLANDS LÄN</t>
        </is>
      </c>
      <c r="E693" t="inlineStr">
        <is>
          <t>KROKOM</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21663-2025</t>
        </is>
      </c>
      <c r="B694" s="1" t="n">
        <v>45783</v>
      </c>
      <c r="C694" s="1" t="n">
        <v>45983</v>
      </c>
      <c r="D694" t="inlineStr">
        <is>
          <t>JÄMTLANDS LÄN</t>
        </is>
      </c>
      <c r="E694" t="inlineStr">
        <is>
          <t>KROKOM</t>
        </is>
      </c>
      <c r="G694" t="n">
        <v>5.2</v>
      </c>
      <c r="H694" t="n">
        <v>0</v>
      </c>
      <c r="I694" t="n">
        <v>0</v>
      </c>
      <c r="J694" t="n">
        <v>0</v>
      </c>
      <c r="K694" t="n">
        <v>0</v>
      </c>
      <c r="L694" t="n">
        <v>0</v>
      </c>
      <c r="M694" t="n">
        <v>0</v>
      </c>
      <c r="N694" t="n">
        <v>0</v>
      </c>
      <c r="O694" t="n">
        <v>0</v>
      </c>
      <c r="P694" t="n">
        <v>0</v>
      </c>
      <c r="Q694" t="n">
        <v>0</v>
      </c>
      <c r="R694" s="2" t="inlineStr"/>
    </row>
    <row r="695" ht="15" customHeight="1">
      <c r="A695" t="inlineStr">
        <is>
          <t>A 46331-2025</t>
        </is>
      </c>
      <c r="B695" s="1" t="n">
        <v>45925.45605324074</v>
      </c>
      <c r="C695" s="1" t="n">
        <v>45983</v>
      </c>
      <c r="D695" t="inlineStr">
        <is>
          <t>JÄMTLANDS LÄN</t>
        </is>
      </c>
      <c r="E695" t="inlineStr">
        <is>
          <t>KROKOM</t>
        </is>
      </c>
      <c r="F695" t="inlineStr">
        <is>
          <t>Övriga Aktiebolag</t>
        </is>
      </c>
      <c r="G695" t="n">
        <v>3.2</v>
      </c>
      <c r="H695" t="n">
        <v>0</v>
      </c>
      <c r="I695" t="n">
        <v>0</v>
      </c>
      <c r="J695" t="n">
        <v>0</v>
      </c>
      <c r="K695" t="n">
        <v>0</v>
      </c>
      <c r="L695" t="n">
        <v>0</v>
      </c>
      <c r="M695" t="n">
        <v>0</v>
      </c>
      <c r="N695" t="n">
        <v>0</v>
      </c>
      <c r="O695" t="n">
        <v>0</v>
      </c>
      <c r="P695" t="n">
        <v>0</v>
      </c>
      <c r="Q695" t="n">
        <v>0</v>
      </c>
      <c r="R695" s="2" t="inlineStr"/>
    </row>
    <row r="696" ht="15" customHeight="1">
      <c r="A696" t="inlineStr">
        <is>
          <t>A 31988-2024</t>
        </is>
      </c>
      <c r="B696" s="1" t="n">
        <v>45510.58033564815</v>
      </c>
      <c r="C696" s="1" t="n">
        <v>45983</v>
      </c>
      <c r="D696" t="inlineStr">
        <is>
          <t>JÄMTLANDS LÄN</t>
        </is>
      </c>
      <c r="E696" t="inlineStr">
        <is>
          <t>KROKOM</t>
        </is>
      </c>
      <c r="F696" t="inlineStr">
        <is>
          <t>Övriga Aktiebolag</t>
        </is>
      </c>
      <c r="G696" t="n">
        <v>4.8</v>
      </c>
      <c r="H696" t="n">
        <v>0</v>
      </c>
      <c r="I696" t="n">
        <v>0</v>
      </c>
      <c r="J696" t="n">
        <v>0</v>
      </c>
      <c r="K696" t="n">
        <v>0</v>
      </c>
      <c r="L696" t="n">
        <v>0</v>
      </c>
      <c r="M696" t="n">
        <v>0</v>
      </c>
      <c r="N696" t="n">
        <v>0</v>
      </c>
      <c r="O696" t="n">
        <v>0</v>
      </c>
      <c r="P696" t="n">
        <v>0</v>
      </c>
      <c r="Q696" t="n">
        <v>0</v>
      </c>
      <c r="R696" s="2" t="inlineStr"/>
    </row>
    <row r="697" ht="15" customHeight="1">
      <c r="A697" t="inlineStr">
        <is>
          <t>A 35864-2025</t>
        </is>
      </c>
      <c r="B697" s="1" t="n">
        <v>45861.6841087963</v>
      </c>
      <c r="C697" s="1" t="n">
        <v>45983</v>
      </c>
      <c r="D697" t="inlineStr">
        <is>
          <t>JÄMTLANDS LÄN</t>
        </is>
      </c>
      <c r="E697" t="inlineStr">
        <is>
          <t>KROKOM</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45983</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45983</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35875-2025</t>
        </is>
      </c>
      <c r="B700" s="1" t="n">
        <v>45862.34668981482</v>
      </c>
      <c r="C700" s="1" t="n">
        <v>45983</v>
      </c>
      <c r="D700" t="inlineStr">
        <is>
          <t>JÄMTLANDS LÄN</t>
        </is>
      </c>
      <c r="E700" t="inlineStr">
        <is>
          <t>KROKOM</t>
        </is>
      </c>
      <c r="F700" t="inlineStr">
        <is>
          <t>Övriga Aktiebolag</t>
        </is>
      </c>
      <c r="G700" t="n">
        <v>14.9</v>
      </c>
      <c r="H700" t="n">
        <v>0</v>
      </c>
      <c r="I700" t="n">
        <v>0</v>
      </c>
      <c r="J700" t="n">
        <v>0</v>
      </c>
      <c r="K700" t="n">
        <v>0</v>
      </c>
      <c r="L700" t="n">
        <v>0</v>
      </c>
      <c r="M700" t="n">
        <v>0</v>
      </c>
      <c r="N700" t="n">
        <v>0</v>
      </c>
      <c r="O700" t="n">
        <v>0</v>
      </c>
      <c r="P700" t="n">
        <v>0</v>
      </c>
      <c r="Q700" t="n">
        <v>0</v>
      </c>
      <c r="R700" s="2" t="inlineStr"/>
    </row>
    <row r="701" ht="15" customHeight="1">
      <c r="A701" t="inlineStr">
        <is>
          <t>A 23539-2024</t>
        </is>
      </c>
      <c r="B701" s="1" t="n">
        <v>45453.95237268518</v>
      </c>
      <c r="C701" s="1" t="n">
        <v>45983</v>
      </c>
      <c r="D701" t="inlineStr">
        <is>
          <t>JÄMTLANDS LÄN</t>
        </is>
      </c>
      <c r="E701" t="inlineStr">
        <is>
          <t>KROKOM</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46308-2025</t>
        </is>
      </c>
      <c r="B702" s="1" t="n">
        <v>45925.43271990741</v>
      </c>
      <c r="C702" s="1" t="n">
        <v>45983</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24252-2024</t>
        </is>
      </c>
      <c r="B703" s="1" t="n">
        <v>45457.38799768518</v>
      </c>
      <c r="C703" s="1" t="n">
        <v>45983</v>
      </c>
      <c r="D703" t="inlineStr">
        <is>
          <t>JÄMTLANDS LÄN</t>
        </is>
      </c>
      <c r="E703" t="inlineStr">
        <is>
          <t>KROKOM</t>
        </is>
      </c>
      <c r="G703" t="n">
        <v>1.9</v>
      </c>
      <c r="H703" t="n">
        <v>0</v>
      </c>
      <c r="I703" t="n">
        <v>0</v>
      </c>
      <c r="J703" t="n">
        <v>0</v>
      </c>
      <c r="K703" t="n">
        <v>0</v>
      </c>
      <c r="L703" t="n">
        <v>0</v>
      </c>
      <c r="M703" t="n">
        <v>0</v>
      </c>
      <c r="N703" t="n">
        <v>0</v>
      </c>
      <c r="O703" t="n">
        <v>0</v>
      </c>
      <c r="P703" t="n">
        <v>0</v>
      </c>
      <c r="Q703" t="n">
        <v>0</v>
      </c>
      <c r="R703" s="2" t="inlineStr"/>
    </row>
    <row r="704" ht="15" customHeight="1">
      <c r="A704" t="inlineStr">
        <is>
          <t>A 27000-2021</t>
        </is>
      </c>
      <c r="B704" s="1" t="n">
        <v>44349</v>
      </c>
      <c r="C704" s="1" t="n">
        <v>45983</v>
      </c>
      <c r="D704" t="inlineStr">
        <is>
          <t>JÄMTLANDS LÄN</t>
        </is>
      </c>
      <c r="E704" t="inlineStr">
        <is>
          <t>KROKOM</t>
        </is>
      </c>
      <c r="F704" t="inlineStr">
        <is>
          <t>Allmännings- och besparingsskogar</t>
        </is>
      </c>
      <c r="G704" t="n">
        <v>2.3</v>
      </c>
      <c r="H704" t="n">
        <v>0</v>
      </c>
      <c r="I704" t="n">
        <v>0</v>
      </c>
      <c r="J704" t="n">
        <v>0</v>
      </c>
      <c r="K704" t="n">
        <v>0</v>
      </c>
      <c r="L704" t="n">
        <v>0</v>
      </c>
      <c r="M704" t="n">
        <v>0</v>
      </c>
      <c r="N704" t="n">
        <v>0</v>
      </c>
      <c r="O704" t="n">
        <v>0</v>
      </c>
      <c r="P704" t="n">
        <v>0</v>
      </c>
      <c r="Q704" t="n">
        <v>0</v>
      </c>
      <c r="R704" s="2" t="inlineStr"/>
    </row>
    <row r="705" ht="15" customHeight="1">
      <c r="A705" t="inlineStr">
        <is>
          <t>A 55517-2025</t>
        </is>
      </c>
      <c r="B705" s="1" t="n">
        <v>45971.60344907407</v>
      </c>
      <c r="C705" s="1" t="n">
        <v>45983</v>
      </c>
      <c r="D705" t="inlineStr">
        <is>
          <t>JÄMTLANDS LÄN</t>
        </is>
      </c>
      <c r="E705" t="inlineStr">
        <is>
          <t>KROKOM</t>
        </is>
      </c>
      <c r="G705" t="n">
        <v>13.3</v>
      </c>
      <c r="H705" t="n">
        <v>0</v>
      </c>
      <c r="I705" t="n">
        <v>0</v>
      </c>
      <c r="J705" t="n">
        <v>0</v>
      </c>
      <c r="K705" t="n">
        <v>0</v>
      </c>
      <c r="L705" t="n">
        <v>0</v>
      </c>
      <c r="M705" t="n">
        <v>0</v>
      </c>
      <c r="N705" t="n">
        <v>0</v>
      </c>
      <c r="O705" t="n">
        <v>0</v>
      </c>
      <c r="P705" t="n">
        <v>0</v>
      </c>
      <c r="Q705" t="n">
        <v>0</v>
      </c>
      <c r="R705" s="2" t="inlineStr"/>
    </row>
    <row r="706" ht="15" customHeight="1">
      <c r="A706" t="inlineStr">
        <is>
          <t>A 21617-2025</t>
        </is>
      </c>
      <c r="B706" s="1" t="n">
        <v>45783</v>
      </c>
      <c r="C706" s="1" t="n">
        <v>45983</v>
      </c>
      <c r="D706" t="inlineStr">
        <is>
          <t>JÄMTLANDS LÄN</t>
        </is>
      </c>
      <c r="E706" t="inlineStr">
        <is>
          <t>KROKOM</t>
        </is>
      </c>
      <c r="G706" t="n">
        <v>2.6</v>
      </c>
      <c r="H706" t="n">
        <v>0</v>
      </c>
      <c r="I706" t="n">
        <v>0</v>
      </c>
      <c r="J706" t="n">
        <v>0</v>
      </c>
      <c r="K706" t="n">
        <v>0</v>
      </c>
      <c r="L706" t="n">
        <v>0</v>
      </c>
      <c r="M706" t="n">
        <v>0</v>
      </c>
      <c r="N706" t="n">
        <v>0</v>
      </c>
      <c r="O706" t="n">
        <v>0</v>
      </c>
      <c r="P706" t="n">
        <v>0</v>
      </c>
      <c r="Q706" t="n">
        <v>0</v>
      </c>
      <c r="R706" s="2" t="inlineStr"/>
    </row>
    <row r="707" ht="15" customHeight="1">
      <c r="A707" t="inlineStr">
        <is>
          <t>A 55564-2025</t>
        </is>
      </c>
      <c r="B707" s="1" t="n">
        <v>45971.65542824074</v>
      </c>
      <c r="C707" s="1" t="n">
        <v>45983</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13395-2021</t>
        </is>
      </c>
      <c r="B708" s="1" t="n">
        <v>44273</v>
      </c>
      <c r="C708" s="1" t="n">
        <v>45983</v>
      </c>
      <c r="D708" t="inlineStr">
        <is>
          <t>JÄMTLANDS LÄN</t>
        </is>
      </c>
      <c r="E708" t="inlineStr">
        <is>
          <t>KROKOM</t>
        </is>
      </c>
      <c r="G708" t="n">
        <v>13.7</v>
      </c>
      <c r="H708" t="n">
        <v>0</v>
      </c>
      <c r="I708" t="n">
        <v>0</v>
      </c>
      <c r="J708" t="n">
        <v>0</v>
      </c>
      <c r="K708" t="n">
        <v>0</v>
      </c>
      <c r="L708" t="n">
        <v>0</v>
      </c>
      <c r="M708" t="n">
        <v>0</v>
      </c>
      <c r="N708" t="n">
        <v>0</v>
      </c>
      <c r="O708" t="n">
        <v>0</v>
      </c>
      <c r="P708" t="n">
        <v>0</v>
      </c>
      <c r="Q708" t="n">
        <v>0</v>
      </c>
      <c r="R708" s="2" t="inlineStr"/>
    </row>
    <row r="709" ht="15" customHeight="1">
      <c r="A709" t="inlineStr">
        <is>
          <t>A 47060-2024</t>
        </is>
      </c>
      <c r="B709" s="1" t="n">
        <v>45586.46927083333</v>
      </c>
      <c r="C709" s="1" t="n">
        <v>45983</v>
      </c>
      <c r="D709" t="inlineStr">
        <is>
          <t>JÄMTLANDS LÄN</t>
        </is>
      </c>
      <c r="E709" t="inlineStr">
        <is>
          <t>KROKOM</t>
        </is>
      </c>
      <c r="G709" t="n">
        <v>2.9</v>
      </c>
      <c r="H709" t="n">
        <v>0</v>
      </c>
      <c r="I709" t="n">
        <v>0</v>
      </c>
      <c r="J709" t="n">
        <v>0</v>
      </c>
      <c r="K709" t="n">
        <v>0</v>
      </c>
      <c r="L709" t="n">
        <v>0</v>
      </c>
      <c r="M709" t="n">
        <v>0</v>
      </c>
      <c r="N709" t="n">
        <v>0</v>
      </c>
      <c r="O709" t="n">
        <v>0</v>
      </c>
      <c r="P709" t="n">
        <v>0</v>
      </c>
      <c r="Q709" t="n">
        <v>0</v>
      </c>
      <c r="R709" s="2" t="inlineStr"/>
    </row>
    <row r="710" ht="15" customHeight="1">
      <c r="A710" t="inlineStr">
        <is>
          <t>A 35985-2025</t>
        </is>
      </c>
      <c r="B710" s="1" t="n">
        <v>45863.45778935185</v>
      </c>
      <c r="C710" s="1" t="n">
        <v>45983</v>
      </c>
      <c r="D710" t="inlineStr">
        <is>
          <t>JÄMTLANDS LÄN</t>
        </is>
      </c>
      <c r="E710" t="inlineStr">
        <is>
          <t>KROKOM</t>
        </is>
      </c>
      <c r="G710" t="n">
        <v>0.2</v>
      </c>
      <c r="H710" t="n">
        <v>0</v>
      </c>
      <c r="I710" t="n">
        <v>0</v>
      </c>
      <c r="J710" t="n">
        <v>0</v>
      </c>
      <c r="K710" t="n">
        <v>0</v>
      </c>
      <c r="L710" t="n">
        <v>0</v>
      </c>
      <c r="M710" t="n">
        <v>0</v>
      </c>
      <c r="N710" t="n">
        <v>0</v>
      </c>
      <c r="O710" t="n">
        <v>0</v>
      </c>
      <c r="P710" t="n">
        <v>0</v>
      </c>
      <c r="Q710" t="n">
        <v>0</v>
      </c>
      <c r="R710" s="2" t="inlineStr"/>
    </row>
    <row r="711" ht="15" customHeight="1">
      <c r="A711" t="inlineStr">
        <is>
          <t>A 36044-2025</t>
        </is>
      </c>
      <c r="B711" s="1" t="n">
        <v>45863</v>
      </c>
      <c r="C711" s="1" t="n">
        <v>45983</v>
      </c>
      <c r="D711" t="inlineStr">
        <is>
          <t>JÄMTLANDS LÄN</t>
        </is>
      </c>
      <c r="E711" t="inlineStr">
        <is>
          <t>KROKOM</t>
        </is>
      </c>
      <c r="G711" t="n">
        <v>7.4</v>
      </c>
      <c r="H711" t="n">
        <v>0</v>
      </c>
      <c r="I711" t="n">
        <v>0</v>
      </c>
      <c r="J711" t="n">
        <v>0</v>
      </c>
      <c r="K711" t="n">
        <v>0</v>
      </c>
      <c r="L711" t="n">
        <v>0</v>
      </c>
      <c r="M711" t="n">
        <v>0</v>
      </c>
      <c r="N711" t="n">
        <v>0</v>
      </c>
      <c r="O711" t="n">
        <v>0</v>
      </c>
      <c r="P711" t="n">
        <v>0</v>
      </c>
      <c r="Q711" t="n">
        <v>0</v>
      </c>
      <c r="R711" s="2" t="inlineStr"/>
    </row>
    <row r="712" ht="15" customHeight="1">
      <c r="A712" t="inlineStr">
        <is>
          <t>A 36182-2025</t>
        </is>
      </c>
      <c r="B712" s="1" t="n">
        <v>45867.41707175926</v>
      </c>
      <c r="C712" s="1" t="n">
        <v>45983</v>
      </c>
      <c r="D712" t="inlineStr">
        <is>
          <t>JÄMTLANDS LÄN</t>
        </is>
      </c>
      <c r="E712" t="inlineStr">
        <is>
          <t>KROKOM</t>
        </is>
      </c>
      <c r="G712" t="n">
        <v>4.1</v>
      </c>
      <c r="H712" t="n">
        <v>0</v>
      </c>
      <c r="I712" t="n">
        <v>0</v>
      </c>
      <c r="J712" t="n">
        <v>0</v>
      </c>
      <c r="K712" t="n">
        <v>0</v>
      </c>
      <c r="L712" t="n">
        <v>0</v>
      </c>
      <c r="M712" t="n">
        <v>0</v>
      </c>
      <c r="N712" t="n">
        <v>0</v>
      </c>
      <c r="O712" t="n">
        <v>0</v>
      </c>
      <c r="P712" t="n">
        <v>0</v>
      </c>
      <c r="Q712" t="n">
        <v>0</v>
      </c>
      <c r="R712" s="2" t="inlineStr"/>
    </row>
    <row r="713" ht="15" customHeight="1">
      <c r="A713" t="inlineStr">
        <is>
          <t>A 36209-2025</t>
        </is>
      </c>
      <c r="B713" s="1" t="n">
        <v>45867.46560185185</v>
      </c>
      <c r="C713" s="1" t="n">
        <v>45983</v>
      </c>
      <c r="D713" t="inlineStr">
        <is>
          <t>JÄMTLANDS LÄN</t>
        </is>
      </c>
      <c r="E713" t="inlineStr">
        <is>
          <t>KROKOM</t>
        </is>
      </c>
      <c r="G713" t="n">
        <v>9.4</v>
      </c>
      <c r="H713" t="n">
        <v>0</v>
      </c>
      <c r="I713" t="n">
        <v>0</v>
      </c>
      <c r="J713" t="n">
        <v>0</v>
      </c>
      <c r="K713" t="n">
        <v>0</v>
      </c>
      <c r="L713" t="n">
        <v>0</v>
      </c>
      <c r="M713" t="n">
        <v>0</v>
      </c>
      <c r="N713" t="n">
        <v>0</v>
      </c>
      <c r="O713" t="n">
        <v>0</v>
      </c>
      <c r="P713" t="n">
        <v>0</v>
      </c>
      <c r="Q713" t="n">
        <v>0</v>
      </c>
      <c r="R713" s="2" t="inlineStr"/>
    </row>
    <row r="714" ht="15" customHeight="1">
      <c r="A714" t="inlineStr">
        <is>
          <t>A 47136-2025</t>
        </is>
      </c>
      <c r="B714" s="1" t="n">
        <v>45929.69844907407</v>
      </c>
      <c r="C714" s="1" t="n">
        <v>45983</v>
      </c>
      <c r="D714" t="inlineStr">
        <is>
          <t>JÄMTLANDS LÄN</t>
        </is>
      </c>
      <c r="E714" t="inlineStr">
        <is>
          <t>KROKOM</t>
        </is>
      </c>
      <c r="F714" t="inlineStr">
        <is>
          <t>SCA</t>
        </is>
      </c>
      <c r="G714" t="n">
        <v>25.1</v>
      </c>
      <c r="H714" t="n">
        <v>0</v>
      </c>
      <c r="I714" t="n">
        <v>0</v>
      </c>
      <c r="J714" t="n">
        <v>0</v>
      </c>
      <c r="K714" t="n">
        <v>0</v>
      </c>
      <c r="L714" t="n">
        <v>0</v>
      </c>
      <c r="M714" t="n">
        <v>0</v>
      </c>
      <c r="N714" t="n">
        <v>0</v>
      </c>
      <c r="O714" t="n">
        <v>0</v>
      </c>
      <c r="P714" t="n">
        <v>0</v>
      </c>
      <c r="Q714" t="n">
        <v>0</v>
      </c>
      <c r="R714" s="2" t="inlineStr"/>
    </row>
    <row r="715" ht="15" customHeight="1">
      <c r="A715" t="inlineStr">
        <is>
          <t>A 55782-2025</t>
        </is>
      </c>
      <c r="B715" s="1" t="n">
        <v>45972.63504629629</v>
      </c>
      <c r="C715" s="1" t="n">
        <v>45983</v>
      </c>
      <c r="D715" t="inlineStr">
        <is>
          <t>JÄMTLANDS LÄN</t>
        </is>
      </c>
      <c r="E715" t="inlineStr">
        <is>
          <t>KROKOM</t>
        </is>
      </c>
      <c r="F715" t="inlineStr">
        <is>
          <t>Övriga Aktiebolag</t>
        </is>
      </c>
      <c r="G715" t="n">
        <v>10</v>
      </c>
      <c r="H715" t="n">
        <v>0</v>
      </c>
      <c r="I715" t="n">
        <v>0</v>
      </c>
      <c r="J715" t="n">
        <v>0</v>
      </c>
      <c r="K715" t="n">
        <v>0</v>
      </c>
      <c r="L715" t="n">
        <v>0</v>
      </c>
      <c r="M715" t="n">
        <v>0</v>
      </c>
      <c r="N715" t="n">
        <v>0</v>
      </c>
      <c r="O715" t="n">
        <v>0</v>
      </c>
      <c r="P715" t="n">
        <v>0</v>
      </c>
      <c r="Q715" t="n">
        <v>0</v>
      </c>
      <c r="R715" s="2" t="inlineStr"/>
    </row>
    <row r="716" ht="15" customHeight="1">
      <c r="A716" t="inlineStr">
        <is>
          <t>A 67740-2021</t>
        </is>
      </c>
      <c r="B716" s="1" t="n">
        <v>44524</v>
      </c>
      <c r="C716" s="1" t="n">
        <v>45983</v>
      </c>
      <c r="D716" t="inlineStr">
        <is>
          <t>JÄMTLANDS LÄN</t>
        </is>
      </c>
      <c r="E716" t="inlineStr">
        <is>
          <t>KROKOM</t>
        </is>
      </c>
      <c r="G716" t="n">
        <v>12.3</v>
      </c>
      <c r="H716" t="n">
        <v>0</v>
      </c>
      <c r="I716" t="n">
        <v>0</v>
      </c>
      <c r="J716" t="n">
        <v>0</v>
      </c>
      <c r="K716" t="n">
        <v>0</v>
      </c>
      <c r="L716" t="n">
        <v>0</v>
      </c>
      <c r="M716" t="n">
        <v>0</v>
      </c>
      <c r="N716" t="n">
        <v>0</v>
      </c>
      <c r="O716" t="n">
        <v>0</v>
      </c>
      <c r="P716" t="n">
        <v>0</v>
      </c>
      <c r="Q716" t="n">
        <v>0</v>
      </c>
      <c r="R716" s="2" t="inlineStr"/>
    </row>
    <row r="717" ht="15" customHeight="1">
      <c r="A717" t="inlineStr">
        <is>
          <t>A 47438-2025</t>
        </is>
      </c>
      <c r="B717" s="1" t="n">
        <v>45930.63726851852</v>
      </c>
      <c r="C717" s="1" t="n">
        <v>45983</v>
      </c>
      <c r="D717" t="inlineStr">
        <is>
          <t>JÄMTLANDS LÄN</t>
        </is>
      </c>
      <c r="E717" t="inlineStr">
        <is>
          <t>KROKOM</t>
        </is>
      </c>
      <c r="F717" t="inlineStr">
        <is>
          <t>SCA</t>
        </is>
      </c>
      <c r="G717" t="n">
        <v>35.4</v>
      </c>
      <c r="H717" t="n">
        <v>0</v>
      </c>
      <c r="I717" t="n">
        <v>0</v>
      </c>
      <c r="J717" t="n">
        <v>0</v>
      </c>
      <c r="K717" t="n">
        <v>0</v>
      </c>
      <c r="L717" t="n">
        <v>0</v>
      </c>
      <c r="M717" t="n">
        <v>0</v>
      </c>
      <c r="N717" t="n">
        <v>0</v>
      </c>
      <c r="O717" t="n">
        <v>0</v>
      </c>
      <c r="P717" t="n">
        <v>0</v>
      </c>
      <c r="Q717" t="n">
        <v>0</v>
      </c>
      <c r="R717" s="2" t="inlineStr"/>
    </row>
    <row r="718" ht="15" customHeight="1">
      <c r="A718" t="inlineStr">
        <is>
          <t>A 47435-2025</t>
        </is>
      </c>
      <c r="B718" s="1" t="n">
        <v>45930.63673611111</v>
      </c>
      <c r="C718" s="1" t="n">
        <v>45983</v>
      </c>
      <c r="D718" t="inlineStr">
        <is>
          <t>JÄMTLANDS LÄN</t>
        </is>
      </c>
      <c r="E718" t="inlineStr">
        <is>
          <t>KROKOM</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52217-2024</t>
        </is>
      </c>
      <c r="B719" s="1" t="n">
        <v>45607</v>
      </c>
      <c r="C719" s="1" t="n">
        <v>45983</v>
      </c>
      <c r="D719" t="inlineStr">
        <is>
          <t>JÄMTLANDS LÄN</t>
        </is>
      </c>
      <c r="E719" t="inlineStr">
        <is>
          <t>KROKOM</t>
        </is>
      </c>
      <c r="G719" t="n">
        <v>0.2</v>
      </c>
      <c r="H719" t="n">
        <v>0</v>
      </c>
      <c r="I719" t="n">
        <v>0</v>
      </c>
      <c r="J719" t="n">
        <v>0</v>
      </c>
      <c r="K719" t="n">
        <v>0</v>
      </c>
      <c r="L719" t="n">
        <v>0</v>
      </c>
      <c r="M719" t="n">
        <v>0</v>
      </c>
      <c r="N719" t="n">
        <v>0</v>
      </c>
      <c r="O719" t="n">
        <v>0</v>
      </c>
      <c r="P719" t="n">
        <v>0</v>
      </c>
      <c r="Q719" t="n">
        <v>0</v>
      </c>
      <c r="R719" s="2" t="inlineStr"/>
    </row>
    <row r="720" ht="15" customHeight="1">
      <c r="A720" t="inlineStr">
        <is>
          <t>A 47462-2025</t>
        </is>
      </c>
      <c r="B720" s="1" t="n">
        <v>45930.66175925926</v>
      </c>
      <c r="C720" s="1" t="n">
        <v>45983</v>
      </c>
      <c r="D720" t="inlineStr">
        <is>
          <t>JÄMTLANDS LÄN</t>
        </is>
      </c>
      <c r="E720" t="inlineStr">
        <is>
          <t>KROKOM</t>
        </is>
      </c>
      <c r="F720" t="inlineStr">
        <is>
          <t>Övriga Aktiebolag</t>
        </is>
      </c>
      <c r="G720" t="n">
        <v>8.9</v>
      </c>
      <c r="H720" t="n">
        <v>0</v>
      </c>
      <c r="I720" t="n">
        <v>0</v>
      </c>
      <c r="J720" t="n">
        <v>0</v>
      </c>
      <c r="K720" t="n">
        <v>0</v>
      </c>
      <c r="L720" t="n">
        <v>0</v>
      </c>
      <c r="M720" t="n">
        <v>0</v>
      </c>
      <c r="N720" t="n">
        <v>0</v>
      </c>
      <c r="O720" t="n">
        <v>0</v>
      </c>
      <c r="P720" t="n">
        <v>0</v>
      </c>
      <c r="Q720" t="n">
        <v>0</v>
      </c>
      <c r="R720" s="2" t="inlineStr"/>
    </row>
    <row r="721" ht="15" customHeight="1">
      <c r="A721" t="inlineStr">
        <is>
          <t>A 36429-2025</t>
        </is>
      </c>
      <c r="B721" s="1" t="n">
        <v>45869.34439814815</v>
      </c>
      <c r="C721" s="1" t="n">
        <v>45983</v>
      </c>
      <c r="D721" t="inlineStr">
        <is>
          <t>JÄMTLANDS LÄN</t>
        </is>
      </c>
      <c r="E721" t="inlineStr">
        <is>
          <t>KROKOM</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55400-2025</t>
        </is>
      </c>
      <c r="B722" s="1" t="n">
        <v>45971.44931712963</v>
      </c>
      <c r="C722" s="1" t="n">
        <v>45983</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53541-2024</t>
        </is>
      </c>
      <c r="B723" s="1" t="n">
        <v>45614.63606481482</v>
      </c>
      <c r="C723" s="1" t="n">
        <v>45983</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53544-2024</t>
        </is>
      </c>
      <c r="B724" s="1" t="n">
        <v>45614.63701388889</v>
      </c>
      <c r="C724" s="1" t="n">
        <v>45983</v>
      </c>
      <c r="D724" t="inlineStr">
        <is>
          <t>JÄMTLANDS LÄN</t>
        </is>
      </c>
      <c r="E724" t="inlineStr">
        <is>
          <t>KROKOM</t>
        </is>
      </c>
      <c r="G724" t="n">
        <v>0.4</v>
      </c>
      <c r="H724" t="n">
        <v>0</v>
      </c>
      <c r="I724" t="n">
        <v>0</v>
      </c>
      <c r="J724" t="n">
        <v>0</v>
      </c>
      <c r="K724" t="n">
        <v>0</v>
      </c>
      <c r="L724" t="n">
        <v>0</v>
      </c>
      <c r="M724" t="n">
        <v>0</v>
      </c>
      <c r="N724" t="n">
        <v>0</v>
      </c>
      <c r="O724" t="n">
        <v>0</v>
      </c>
      <c r="P724" t="n">
        <v>0</v>
      </c>
      <c r="Q724" t="n">
        <v>0</v>
      </c>
      <c r="R724" s="2" t="inlineStr"/>
    </row>
    <row r="725" ht="15" customHeight="1">
      <c r="A725" t="inlineStr">
        <is>
          <t>A 15451-2021</t>
        </is>
      </c>
      <c r="B725" s="1" t="n">
        <v>44285</v>
      </c>
      <c r="C725" s="1" t="n">
        <v>45983</v>
      </c>
      <c r="D725" t="inlineStr">
        <is>
          <t>JÄMTLANDS LÄN</t>
        </is>
      </c>
      <c r="E725" t="inlineStr">
        <is>
          <t>KROKOM</t>
        </is>
      </c>
      <c r="G725" t="n">
        <v>6.7</v>
      </c>
      <c r="H725" t="n">
        <v>0</v>
      </c>
      <c r="I725" t="n">
        <v>0</v>
      </c>
      <c r="J725" t="n">
        <v>0</v>
      </c>
      <c r="K725" t="n">
        <v>0</v>
      </c>
      <c r="L725" t="n">
        <v>0</v>
      </c>
      <c r="M725" t="n">
        <v>0</v>
      </c>
      <c r="N725" t="n">
        <v>0</v>
      </c>
      <c r="O725" t="n">
        <v>0</v>
      </c>
      <c r="P725" t="n">
        <v>0</v>
      </c>
      <c r="Q725" t="n">
        <v>0</v>
      </c>
      <c r="R725" s="2" t="inlineStr"/>
    </row>
    <row r="726" ht="15" customHeight="1">
      <c r="A726" t="inlineStr">
        <is>
          <t>A 34801-2023</t>
        </is>
      </c>
      <c r="B726" s="1" t="n">
        <v>45140</v>
      </c>
      <c r="C726" s="1" t="n">
        <v>45983</v>
      </c>
      <c r="D726" t="inlineStr">
        <is>
          <t>JÄMTLANDS LÄN</t>
        </is>
      </c>
      <c r="E726" t="inlineStr">
        <is>
          <t>KROKOM</t>
        </is>
      </c>
      <c r="G726" t="n">
        <v>1.4</v>
      </c>
      <c r="H726" t="n">
        <v>0</v>
      </c>
      <c r="I726" t="n">
        <v>0</v>
      </c>
      <c r="J726" t="n">
        <v>0</v>
      </c>
      <c r="K726" t="n">
        <v>0</v>
      </c>
      <c r="L726" t="n">
        <v>0</v>
      </c>
      <c r="M726" t="n">
        <v>0</v>
      </c>
      <c r="N726" t="n">
        <v>0</v>
      </c>
      <c r="O726" t="n">
        <v>0</v>
      </c>
      <c r="P726" t="n">
        <v>0</v>
      </c>
      <c r="Q726" t="n">
        <v>0</v>
      </c>
      <c r="R726" s="2" t="inlineStr"/>
    </row>
    <row r="727" ht="15" customHeight="1">
      <c r="A727" t="inlineStr">
        <is>
          <t>A 50919-2024</t>
        </is>
      </c>
      <c r="B727" s="1" t="n">
        <v>45602</v>
      </c>
      <c r="C727" s="1" t="n">
        <v>45983</v>
      </c>
      <c r="D727" t="inlineStr">
        <is>
          <t>JÄMTLANDS LÄN</t>
        </is>
      </c>
      <c r="E727" t="inlineStr">
        <is>
          <t>KROKOM</t>
        </is>
      </c>
      <c r="G727" t="n">
        <v>33.7</v>
      </c>
      <c r="H727" t="n">
        <v>0</v>
      </c>
      <c r="I727" t="n">
        <v>0</v>
      </c>
      <c r="J727" t="n">
        <v>0</v>
      </c>
      <c r="K727" t="n">
        <v>0</v>
      </c>
      <c r="L727" t="n">
        <v>0</v>
      </c>
      <c r="M727" t="n">
        <v>0</v>
      </c>
      <c r="N727" t="n">
        <v>0</v>
      </c>
      <c r="O727" t="n">
        <v>0</v>
      </c>
      <c r="P727" t="n">
        <v>0</v>
      </c>
      <c r="Q727" t="n">
        <v>0</v>
      </c>
      <c r="R727" s="2" t="inlineStr"/>
    </row>
    <row r="728" ht="15" customHeight="1">
      <c r="A728" t="inlineStr">
        <is>
          <t>A 26721-2023</t>
        </is>
      </c>
      <c r="B728" s="1" t="n">
        <v>45090</v>
      </c>
      <c r="C728" s="1" t="n">
        <v>45983</v>
      </c>
      <c r="D728" t="inlineStr">
        <is>
          <t>JÄMTLANDS LÄN</t>
        </is>
      </c>
      <c r="E728" t="inlineStr">
        <is>
          <t>KROKOM</t>
        </is>
      </c>
      <c r="G728" t="n">
        <v>1</v>
      </c>
      <c r="H728" t="n">
        <v>0</v>
      </c>
      <c r="I728" t="n">
        <v>0</v>
      </c>
      <c r="J728" t="n">
        <v>0</v>
      </c>
      <c r="K728" t="n">
        <v>0</v>
      </c>
      <c r="L728" t="n">
        <v>0</v>
      </c>
      <c r="M728" t="n">
        <v>0</v>
      </c>
      <c r="N728" t="n">
        <v>0</v>
      </c>
      <c r="O728" t="n">
        <v>0</v>
      </c>
      <c r="P728" t="n">
        <v>0</v>
      </c>
      <c r="Q728" t="n">
        <v>0</v>
      </c>
      <c r="R728" s="2" t="inlineStr"/>
    </row>
    <row r="729" ht="15" customHeight="1">
      <c r="A729" t="inlineStr">
        <is>
          <t>A 25775-2024</t>
        </is>
      </c>
      <c r="B729" s="1" t="n">
        <v>45466.62116898148</v>
      </c>
      <c r="C729" s="1" t="n">
        <v>45983</v>
      </c>
      <c r="D729" t="inlineStr">
        <is>
          <t>JÄMTLANDS LÄN</t>
        </is>
      </c>
      <c r="E729" t="inlineStr">
        <is>
          <t>KROKOM</t>
        </is>
      </c>
      <c r="G729" t="n">
        <v>1.7</v>
      </c>
      <c r="H729" t="n">
        <v>0</v>
      </c>
      <c r="I729" t="n">
        <v>0</v>
      </c>
      <c r="J729" t="n">
        <v>0</v>
      </c>
      <c r="K729" t="n">
        <v>0</v>
      </c>
      <c r="L729" t="n">
        <v>0</v>
      </c>
      <c r="M729" t="n">
        <v>0</v>
      </c>
      <c r="N729" t="n">
        <v>0</v>
      </c>
      <c r="O729" t="n">
        <v>0</v>
      </c>
      <c r="P729" t="n">
        <v>0</v>
      </c>
      <c r="Q729" t="n">
        <v>0</v>
      </c>
      <c r="R729" s="2" t="inlineStr"/>
    </row>
    <row r="730" ht="15" customHeight="1">
      <c r="A730" t="inlineStr">
        <is>
          <t>A 52014-2025</t>
        </is>
      </c>
      <c r="B730" s="1" t="n">
        <v>45952</v>
      </c>
      <c r="C730" s="1" t="n">
        <v>45983</v>
      </c>
      <c r="D730" t="inlineStr">
        <is>
          <t>JÄMTLANDS LÄN</t>
        </is>
      </c>
      <c r="E730" t="inlineStr">
        <is>
          <t>KROKOM</t>
        </is>
      </c>
      <c r="G730" t="n">
        <v>39</v>
      </c>
      <c r="H730" t="n">
        <v>0</v>
      </c>
      <c r="I730" t="n">
        <v>0</v>
      </c>
      <c r="J730" t="n">
        <v>0</v>
      </c>
      <c r="K730" t="n">
        <v>0</v>
      </c>
      <c r="L730" t="n">
        <v>0</v>
      </c>
      <c r="M730" t="n">
        <v>0</v>
      </c>
      <c r="N730" t="n">
        <v>0</v>
      </c>
      <c r="O730" t="n">
        <v>0</v>
      </c>
      <c r="P730" t="n">
        <v>0</v>
      </c>
      <c r="Q730" t="n">
        <v>0</v>
      </c>
      <c r="R730" s="2" t="inlineStr"/>
    </row>
    <row r="731" ht="15" customHeight="1">
      <c r="A731" t="inlineStr">
        <is>
          <t>A 7952-2023</t>
        </is>
      </c>
      <c r="B731" s="1" t="n">
        <v>44970</v>
      </c>
      <c r="C731" s="1" t="n">
        <v>45983</v>
      </c>
      <c r="D731" t="inlineStr">
        <is>
          <t>JÄMTLANDS LÄN</t>
        </is>
      </c>
      <c r="E731" t="inlineStr">
        <is>
          <t>KROKOM</t>
        </is>
      </c>
      <c r="G731" t="n">
        <v>4.8</v>
      </c>
      <c r="H731" t="n">
        <v>0</v>
      </c>
      <c r="I731" t="n">
        <v>0</v>
      </c>
      <c r="J731" t="n">
        <v>0</v>
      </c>
      <c r="K731" t="n">
        <v>0</v>
      </c>
      <c r="L731" t="n">
        <v>0</v>
      </c>
      <c r="M731" t="n">
        <v>0</v>
      </c>
      <c r="N731" t="n">
        <v>0</v>
      </c>
      <c r="O731" t="n">
        <v>0</v>
      </c>
      <c r="P731" t="n">
        <v>0</v>
      </c>
      <c r="Q731" t="n">
        <v>0</v>
      </c>
      <c r="R731" s="2" t="inlineStr"/>
    </row>
    <row r="732" ht="15" customHeight="1">
      <c r="A732" t="inlineStr">
        <is>
          <t>A 56095-2025</t>
        </is>
      </c>
      <c r="B732" s="1" t="n">
        <v>45973.67952546296</v>
      </c>
      <c r="C732" s="1" t="n">
        <v>45983</v>
      </c>
      <c r="D732" t="inlineStr">
        <is>
          <t>JÄMTLANDS LÄN</t>
        </is>
      </c>
      <c r="E732" t="inlineStr">
        <is>
          <t>KROKOM</t>
        </is>
      </c>
      <c r="G732" t="n">
        <v>3.3</v>
      </c>
      <c r="H732" t="n">
        <v>0</v>
      </c>
      <c r="I732" t="n">
        <v>0</v>
      </c>
      <c r="J732" t="n">
        <v>0</v>
      </c>
      <c r="K732" t="n">
        <v>0</v>
      </c>
      <c r="L732" t="n">
        <v>0</v>
      </c>
      <c r="M732" t="n">
        <v>0</v>
      </c>
      <c r="N732" t="n">
        <v>0</v>
      </c>
      <c r="O732" t="n">
        <v>0</v>
      </c>
      <c r="P732" t="n">
        <v>0</v>
      </c>
      <c r="Q732" t="n">
        <v>0</v>
      </c>
      <c r="R732" s="2" t="inlineStr"/>
    </row>
    <row r="733" ht="15" customHeight="1">
      <c r="A733" t="inlineStr">
        <is>
          <t>A 14184-2024</t>
        </is>
      </c>
      <c r="B733" s="1" t="n">
        <v>45393</v>
      </c>
      <c r="C733" s="1" t="n">
        <v>45983</v>
      </c>
      <c r="D733" t="inlineStr">
        <is>
          <t>JÄMTLANDS LÄN</t>
        </is>
      </c>
      <c r="E733" t="inlineStr">
        <is>
          <t>KROKOM</t>
        </is>
      </c>
      <c r="G733" t="n">
        <v>1.7</v>
      </c>
      <c r="H733" t="n">
        <v>0</v>
      </c>
      <c r="I733" t="n">
        <v>0</v>
      </c>
      <c r="J733" t="n">
        <v>0</v>
      </c>
      <c r="K733" t="n">
        <v>0</v>
      </c>
      <c r="L733" t="n">
        <v>0</v>
      </c>
      <c r="M733" t="n">
        <v>0</v>
      </c>
      <c r="N733" t="n">
        <v>0</v>
      </c>
      <c r="O733" t="n">
        <v>0</v>
      </c>
      <c r="P733" t="n">
        <v>0</v>
      </c>
      <c r="Q733" t="n">
        <v>0</v>
      </c>
      <c r="R733" s="2" t="inlineStr"/>
    </row>
    <row r="734" ht="15" customHeight="1">
      <c r="A734" t="inlineStr">
        <is>
          <t>A 60172-2024</t>
        </is>
      </c>
      <c r="B734" s="1" t="n">
        <v>45642.6366087963</v>
      </c>
      <c r="C734" s="1" t="n">
        <v>45983</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56087-2025</t>
        </is>
      </c>
      <c r="B735" s="1" t="n">
        <v>45973.6665625</v>
      </c>
      <c r="C735" s="1" t="n">
        <v>45983</v>
      </c>
      <c r="D735" t="inlineStr">
        <is>
          <t>JÄMTLANDS LÄN</t>
        </is>
      </c>
      <c r="E735" t="inlineStr">
        <is>
          <t>KROKOM</t>
        </is>
      </c>
      <c r="G735" t="n">
        <v>2.1</v>
      </c>
      <c r="H735" t="n">
        <v>0</v>
      </c>
      <c r="I735" t="n">
        <v>0</v>
      </c>
      <c r="J735" t="n">
        <v>0</v>
      </c>
      <c r="K735" t="n">
        <v>0</v>
      </c>
      <c r="L735" t="n">
        <v>0</v>
      </c>
      <c r="M735" t="n">
        <v>0</v>
      </c>
      <c r="N735" t="n">
        <v>0</v>
      </c>
      <c r="O735" t="n">
        <v>0</v>
      </c>
      <c r="P735" t="n">
        <v>0</v>
      </c>
      <c r="Q735" t="n">
        <v>0</v>
      </c>
      <c r="R735" s="2" t="inlineStr"/>
    </row>
    <row r="736" ht="15" customHeight="1">
      <c r="A736" t="inlineStr">
        <is>
          <t>A 47809-2025</t>
        </is>
      </c>
      <c r="B736" s="1" t="n">
        <v>45931.98023148148</v>
      </c>
      <c r="C736" s="1" t="n">
        <v>45983</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23601-2021</t>
        </is>
      </c>
      <c r="B737" s="1" t="n">
        <v>44334</v>
      </c>
      <c r="C737" s="1" t="n">
        <v>45983</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6066-2025</t>
        </is>
      </c>
      <c r="B738" s="1" t="n">
        <v>45696.3440162037</v>
      </c>
      <c r="C738" s="1" t="n">
        <v>45983</v>
      </c>
      <c r="D738" t="inlineStr">
        <is>
          <t>JÄMTLANDS LÄN</t>
        </is>
      </c>
      <c r="E738" t="inlineStr">
        <is>
          <t>KROKOM</t>
        </is>
      </c>
      <c r="G738" t="n">
        <v>5.3</v>
      </c>
      <c r="H738" t="n">
        <v>0</v>
      </c>
      <c r="I738" t="n">
        <v>0</v>
      </c>
      <c r="J738" t="n">
        <v>0</v>
      </c>
      <c r="K738" t="n">
        <v>0</v>
      </c>
      <c r="L738" t="n">
        <v>0</v>
      </c>
      <c r="M738" t="n">
        <v>0</v>
      </c>
      <c r="N738" t="n">
        <v>0</v>
      </c>
      <c r="O738" t="n">
        <v>0</v>
      </c>
      <c r="P738" t="n">
        <v>0</v>
      </c>
      <c r="Q738" t="n">
        <v>0</v>
      </c>
      <c r="R738" s="2" t="inlineStr"/>
    </row>
    <row r="739" ht="15" customHeight="1">
      <c r="A739" t="inlineStr">
        <is>
          <t>A 48049-2025</t>
        </is>
      </c>
      <c r="B739" s="1" t="n">
        <v>45932.67771990741</v>
      </c>
      <c r="C739" s="1" t="n">
        <v>45983</v>
      </c>
      <c r="D739" t="inlineStr">
        <is>
          <t>JÄMTLANDS LÄN</t>
        </is>
      </c>
      <c r="E739" t="inlineStr">
        <is>
          <t>KROKOM</t>
        </is>
      </c>
      <c r="F739" t="inlineStr">
        <is>
          <t>SCA</t>
        </is>
      </c>
      <c r="G739" t="n">
        <v>7.3</v>
      </c>
      <c r="H739" t="n">
        <v>0</v>
      </c>
      <c r="I739" t="n">
        <v>0</v>
      </c>
      <c r="J739" t="n">
        <v>0</v>
      </c>
      <c r="K739" t="n">
        <v>0</v>
      </c>
      <c r="L739" t="n">
        <v>0</v>
      </c>
      <c r="M739" t="n">
        <v>0</v>
      </c>
      <c r="N739" t="n">
        <v>0</v>
      </c>
      <c r="O739" t="n">
        <v>0</v>
      </c>
      <c r="P739" t="n">
        <v>0</v>
      </c>
      <c r="Q739" t="n">
        <v>0</v>
      </c>
      <c r="R739" s="2" t="inlineStr"/>
    </row>
    <row r="740" ht="15" customHeight="1">
      <c r="A740" t="inlineStr">
        <is>
          <t>A 59619-2024</t>
        </is>
      </c>
      <c r="B740" s="1" t="n">
        <v>45638.81375</v>
      </c>
      <c r="C740" s="1" t="n">
        <v>45983</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50719-2024</t>
        </is>
      </c>
      <c r="B741" s="1" t="n">
        <v>45602.38614583333</v>
      </c>
      <c r="C741" s="1" t="n">
        <v>45983</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16349-2024</t>
        </is>
      </c>
      <c r="B742" s="1" t="n">
        <v>45407</v>
      </c>
      <c r="C742" s="1" t="n">
        <v>45983</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8168-2025</t>
        </is>
      </c>
      <c r="B743" s="1" t="n">
        <v>45708</v>
      </c>
      <c r="C743" s="1" t="n">
        <v>45983</v>
      </c>
      <c r="D743" t="inlineStr">
        <is>
          <t>JÄMTLANDS LÄN</t>
        </is>
      </c>
      <c r="E743" t="inlineStr">
        <is>
          <t>KROKOM</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11059-2024</t>
        </is>
      </c>
      <c r="B744" s="1" t="n">
        <v>45370</v>
      </c>
      <c r="C744" s="1" t="n">
        <v>45983</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38748-2024</t>
        </is>
      </c>
      <c r="B745" s="1" t="n">
        <v>45547.42736111111</v>
      </c>
      <c r="C745" s="1" t="n">
        <v>45983</v>
      </c>
      <c r="D745" t="inlineStr">
        <is>
          <t>JÄMTLANDS LÄN</t>
        </is>
      </c>
      <c r="E745" t="inlineStr">
        <is>
          <t>KROKOM</t>
        </is>
      </c>
      <c r="G745" t="n">
        <v>0.1</v>
      </c>
      <c r="H745" t="n">
        <v>0</v>
      </c>
      <c r="I745" t="n">
        <v>0</v>
      </c>
      <c r="J745" t="n">
        <v>0</v>
      </c>
      <c r="K745" t="n">
        <v>0</v>
      </c>
      <c r="L745" t="n">
        <v>0</v>
      </c>
      <c r="M745" t="n">
        <v>0</v>
      </c>
      <c r="N745" t="n">
        <v>0</v>
      </c>
      <c r="O745" t="n">
        <v>0</v>
      </c>
      <c r="P745" t="n">
        <v>0</v>
      </c>
      <c r="Q745" t="n">
        <v>0</v>
      </c>
      <c r="R745" s="2" t="inlineStr"/>
    </row>
    <row r="746" ht="15" customHeight="1">
      <c r="A746" t="inlineStr">
        <is>
          <t>A 50433-2024</t>
        </is>
      </c>
      <c r="B746" s="1" t="n">
        <v>45601</v>
      </c>
      <c r="C746" s="1" t="n">
        <v>45983</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45983</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37349-2025</t>
        </is>
      </c>
      <c r="B748" s="1" t="n">
        <v>45876</v>
      </c>
      <c r="C748" s="1" t="n">
        <v>45983</v>
      </c>
      <c r="D748" t="inlineStr">
        <is>
          <t>JÄMTLANDS LÄN</t>
        </is>
      </c>
      <c r="E748" t="inlineStr">
        <is>
          <t>KROKOM</t>
        </is>
      </c>
      <c r="G748" t="n">
        <v>7.9</v>
      </c>
      <c r="H748" t="n">
        <v>0</v>
      </c>
      <c r="I748" t="n">
        <v>0</v>
      </c>
      <c r="J748" t="n">
        <v>0</v>
      </c>
      <c r="K748" t="n">
        <v>0</v>
      </c>
      <c r="L748" t="n">
        <v>0</v>
      </c>
      <c r="M748" t="n">
        <v>0</v>
      </c>
      <c r="N748" t="n">
        <v>0</v>
      </c>
      <c r="O748" t="n">
        <v>0</v>
      </c>
      <c r="P748" t="n">
        <v>0</v>
      </c>
      <c r="Q748" t="n">
        <v>0</v>
      </c>
      <c r="R748" s="2" t="inlineStr"/>
    </row>
    <row r="749" ht="15" customHeight="1">
      <c r="A749" t="inlineStr">
        <is>
          <t>A 37350-2025</t>
        </is>
      </c>
      <c r="B749" s="1" t="n">
        <v>45876</v>
      </c>
      <c r="C749" s="1" t="n">
        <v>45983</v>
      </c>
      <c r="D749" t="inlineStr">
        <is>
          <t>JÄMTLANDS LÄN</t>
        </is>
      </c>
      <c r="E749" t="inlineStr">
        <is>
          <t>KROKOM</t>
        </is>
      </c>
      <c r="G749" t="n">
        <v>29.9</v>
      </c>
      <c r="H749" t="n">
        <v>0</v>
      </c>
      <c r="I749" t="n">
        <v>0</v>
      </c>
      <c r="J749" t="n">
        <v>0</v>
      </c>
      <c r="K749" t="n">
        <v>0</v>
      </c>
      <c r="L749" t="n">
        <v>0</v>
      </c>
      <c r="M749" t="n">
        <v>0</v>
      </c>
      <c r="N749" t="n">
        <v>0</v>
      </c>
      <c r="O749" t="n">
        <v>0</v>
      </c>
      <c r="P749" t="n">
        <v>0</v>
      </c>
      <c r="Q749" t="n">
        <v>0</v>
      </c>
      <c r="R749" s="2" t="inlineStr"/>
    </row>
    <row r="750" ht="15" customHeight="1">
      <c r="A750" t="inlineStr">
        <is>
          <t>A 23139-2021</t>
        </is>
      </c>
      <c r="B750" s="1" t="n">
        <v>44331</v>
      </c>
      <c r="C750" s="1" t="n">
        <v>45983</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5356-2025</t>
        </is>
      </c>
      <c r="B751" s="1" t="n">
        <v>45692</v>
      </c>
      <c r="C751" s="1" t="n">
        <v>45983</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43373-2025</t>
        </is>
      </c>
      <c r="B752" s="1" t="n">
        <v>45911</v>
      </c>
      <c r="C752" s="1" t="n">
        <v>45983</v>
      </c>
      <c r="D752" t="inlineStr">
        <is>
          <t>JÄMTLANDS LÄN</t>
        </is>
      </c>
      <c r="E752" t="inlineStr">
        <is>
          <t>KROKOM</t>
        </is>
      </c>
      <c r="G752" t="n">
        <v>34.9</v>
      </c>
      <c r="H752" t="n">
        <v>0</v>
      </c>
      <c r="I752" t="n">
        <v>0</v>
      </c>
      <c r="J752" t="n">
        <v>0</v>
      </c>
      <c r="K752" t="n">
        <v>0</v>
      </c>
      <c r="L752" t="n">
        <v>0</v>
      </c>
      <c r="M752" t="n">
        <v>0</v>
      </c>
      <c r="N752" t="n">
        <v>0</v>
      </c>
      <c r="O752" t="n">
        <v>0</v>
      </c>
      <c r="P752" t="n">
        <v>0</v>
      </c>
      <c r="Q752" t="n">
        <v>0</v>
      </c>
      <c r="R752" s="2" t="inlineStr"/>
    </row>
    <row r="753" ht="15" customHeight="1">
      <c r="A753" t="inlineStr">
        <is>
          <t>A 31543-2025</t>
        </is>
      </c>
      <c r="B753" s="1" t="n">
        <v>45833</v>
      </c>
      <c r="C753" s="1" t="n">
        <v>45983</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37346-2025</t>
        </is>
      </c>
      <c r="B754" s="1" t="n">
        <v>45876</v>
      </c>
      <c r="C754" s="1" t="n">
        <v>45983</v>
      </c>
      <c r="D754" t="inlineStr">
        <is>
          <t>JÄMTLANDS LÄN</t>
        </is>
      </c>
      <c r="E754" t="inlineStr">
        <is>
          <t>KROKOM</t>
        </is>
      </c>
      <c r="G754" t="n">
        <v>5</v>
      </c>
      <c r="H754" t="n">
        <v>0</v>
      </c>
      <c r="I754" t="n">
        <v>0</v>
      </c>
      <c r="J754" t="n">
        <v>0</v>
      </c>
      <c r="K754" t="n">
        <v>0</v>
      </c>
      <c r="L754" t="n">
        <v>0</v>
      </c>
      <c r="M754" t="n">
        <v>0</v>
      </c>
      <c r="N754" t="n">
        <v>0</v>
      </c>
      <c r="O754" t="n">
        <v>0</v>
      </c>
      <c r="P754" t="n">
        <v>0</v>
      </c>
      <c r="Q754" t="n">
        <v>0</v>
      </c>
      <c r="R754" s="2" t="inlineStr"/>
    </row>
    <row r="755" ht="15" customHeight="1">
      <c r="A755" t="inlineStr">
        <is>
          <t>A 32244-2024</t>
        </is>
      </c>
      <c r="B755" s="1" t="n">
        <v>45511.95109953704</v>
      </c>
      <c r="C755" s="1" t="n">
        <v>45983</v>
      </c>
      <c r="D755" t="inlineStr">
        <is>
          <t>JÄMTLANDS LÄN</t>
        </is>
      </c>
      <c r="E755" t="inlineStr">
        <is>
          <t>KROKOM</t>
        </is>
      </c>
      <c r="G755" t="n">
        <v>3.1</v>
      </c>
      <c r="H755" t="n">
        <v>0</v>
      </c>
      <c r="I755" t="n">
        <v>0</v>
      </c>
      <c r="J755" t="n">
        <v>0</v>
      </c>
      <c r="K755" t="n">
        <v>0</v>
      </c>
      <c r="L755" t="n">
        <v>0</v>
      </c>
      <c r="M755" t="n">
        <v>0</v>
      </c>
      <c r="N755" t="n">
        <v>0</v>
      </c>
      <c r="O755" t="n">
        <v>0</v>
      </c>
      <c r="P755" t="n">
        <v>0</v>
      </c>
      <c r="Q755" t="n">
        <v>0</v>
      </c>
      <c r="R755" s="2" t="inlineStr"/>
    </row>
    <row r="756" ht="15" customHeight="1">
      <c r="A756" t="inlineStr">
        <is>
          <t>A 53055-2023</t>
        </is>
      </c>
      <c r="B756" s="1" t="n">
        <v>45226</v>
      </c>
      <c r="C756" s="1" t="n">
        <v>45983</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37111-2025</t>
        </is>
      </c>
      <c r="B757" s="1" t="n">
        <v>45875.51046296296</v>
      </c>
      <c r="C757" s="1" t="n">
        <v>45983</v>
      </c>
      <c r="D757" t="inlineStr">
        <is>
          <t>JÄMTLANDS LÄN</t>
        </is>
      </c>
      <c r="E757" t="inlineStr">
        <is>
          <t>KROKOM</t>
        </is>
      </c>
      <c r="G757" t="n">
        <v>8.1</v>
      </c>
      <c r="H757" t="n">
        <v>0</v>
      </c>
      <c r="I757" t="n">
        <v>0</v>
      </c>
      <c r="J757" t="n">
        <v>0</v>
      </c>
      <c r="K757" t="n">
        <v>0</v>
      </c>
      <c r="L757" t="n">
        <v>0</v>
      </c>
      <c r="M757" t="n">
        <v>0</v>
      </c>
      <c r="N757" t="n">
        <v>0</v>
      </c>
      <c r="O757" t="n">
        <v>0</v>
      </c>
      <c r="P757" t="n">
        <v>0</v>
      </c>
      <c r="Q757" t="n">
        <v>0</v>
      </c>
      <c r="R757" s="2" t="inlineStr"/>
    </row>
    <row r="758" ht="15" customHeight="1">
      <c r="A758" t="inlineStr">
        <is>
          <t>A 43371-2025</t>
        </is>
      </c>
      <c r="B758" s="1" t="n">
        <v>45911</v>
      </c>
      <c r="C758" s="1" t="n">
        <v>45983</v>
      </c>
      <c r="D758" t="inlineStr">
        <is>
          <t>JÄMTLANDS LÄN</t>
        </is>
      </c>
      <c r="E758" t="inlineStr">
        <is>
          <t>KROKOM</t>
        </is>
      </c>
      <c r="G758" t="n">
        <v>7.3</v>
      </c>
      <c r="H758" t="n">
        <v>0</v>
      </c>
      <c r="I758" t="n">
        <v>0</v>
      </c>
      <c r="J758" t="n">
        <v>0</v>
      </c>
      <c r="K758" t="n">
        <v>0</v>
      </c>
      <c r="L758" t="n">
        <v>0</v>
      </c>
      <c r="M758" t="n">
        <v>0</v>
      </c>
      <c r="N758" t="n">
        <v>0</v>
      </c>
      <c r="O758" t="n">
        <v>0</v>
      </c>
      <c r="P758" t="n">
        <v>0</v>
      </c>
      <c r="Q758" t="n">
        <v>0</v>
      </c>
      <c r="R758" s="2" t="inlineStr"/>
    </row>
    <row r="759" ht="15" customHeight="1">
      <c r="A759" t="inlineStr">
        <is>
          <t>A 47517-2025</t>
        </is>
      </c>
      <c r="B759" s="1" t="n">
        <v>45931.28456018519</v>
      </c>
      <c r="C759" s="1" t="n">
        <v>45983</v>
      </c>
      <c r="D759" t="inlineStr">
        <is>
          <t>JÄMTLANDS LÄN</t>
        </is>
      </c>
      <c r="E759" t="inlineStr">
        <is>
          <t>KROKOM</t>
        </is>
      </c>
      <c r="F759" t="inlineStr">
        <is>
          <t>Övriga Aktiebolag</t>
        </is>
      </c>
      <c r="G759" t="n">
        <v>18.4</v>
      </c>
      <c r="H759" t="n">
        <v>0</v>
      </c>
      <c r="I759" t="n">
        <v>0</v>
      </c>
      <c r="J759" t="n">
        <v>0</v>
      </c>
      <c r="K759" t="n">
        <v>0</v>
      </c>
      <c r="L759" t="n">
        <v>0</v>
      </c>
      <c r="M759" t="n">
        <v>0</v>
      </c>
      <c r="N759" t="n">
        <v>0</v>
      </c>
      <c r="O759" t="n">
        <v>0</v>
      </c>
      <c r="P759" t="n">
        <v>0</v>
      </c>
      <c r="Q759" t="n">
        <v>0</v>
      </c>
      <c r="R759" s="2" t="inlineStr"/>
    </row>
    <row r="760" ht="15" customHeight="1">
      <c r="A760" t="inlineStr">
        <is>
          <t>A 31426-2025</t>
        </is>
      </c>
      <c r="B760" s="1" t="n">
        <v>45833</v>
      </c>
      <c r="C760" s="1" t="n">
        <v>45983</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38747-2024</t>
        </is>
      </c>
      <c r="B761" s="1" t="n">
        <v>45547.42732638889</v>
      </c>
      <c r="C761" s="1" t="n">
        <v>45983</v>
      </c>
      <c r="D761" t="inlineStr">
        <is>
          <t>JÄMTLANDS LÄN</t>
        </is>
      </c>
      <c r="E761" t="inlineStr">
        <is>
          <t>KROKOM</t>
        </is>
      </c>
      <c r="G761" t="n">
        <v>0.3</v>
      </c>
      <c r="H761" t="n">
        <v>0</v>
      </c>
      <c r="I761" t="n">
        <v>0</v>
      </c>
      <c r="J761" t="n">
        <v>0</v>
      </c>
      <c r="K761" t="n">
        <v>0</v>
      </c>
      <c r="L761" t="n">
        <v>0</v>
      </c>
      <c r="M761" t="n">
        <v>0</v>
      </c>
      <c r="N761" t="n">
        <v>0</v>
      </c>
      <c r="O761" t="n">
        <v>0</v>
      </c>
      <c r="P761" t="n">
        <v>0</v>
      </c>
      <c r="Q761" t="n">
        <v>0</v>
      </c>
      <c r="R761" s="2" t="inlineStr"/>
    </row>
    <row r="762" ht="15" customHeight="1">
      <c r="A762" t="inlineStr">
        <is>
          <t>A 5680-2025</t>
        </is>
      </c>
      <c r="B762" s="1" t="n">
        <v>45694.34268518518</v>
      </c>
      <c r="C762" s="1" t="n">
        <v>45983</v>
      </c>
      <c r="D762" t="inlineStr">
        <is>
          <t>JÄMTLANDS LÄN</t>
        </is>
      </c>
      <c r="E762" t="inlineStr">
        <is>
          <t>KROKOM</t>
        </is>
      </c>
      <c r="F762" t="inlineStr">
        <is>
          <t>Övriga Aktiebolag</t>
        </is>
      </c>
      <c r="G762" t="n">
        <v>48.4</v>
      </c>
      <c r="H762" t="n">
        <v>0</v>
      </c>
      <c r="I762" t="n">
        <v>0</v>
      </c>
      <c r="J762" t="n">
        <v>0</v>
      </c>
      <c r="K762" t="n">
        <v>0</v>
      </c>
      <c r="L762" t="n">
        <v>0</v>
      </c>
      <c r="M762" t="n">
        <v>0</v>
      </c>
      <c r="N762" t="n">
        <v>0</v>
      </c>
      <c r="O762" t="n">
        <v>0</v>
      </c>
      <c r="P762" t="n">
        <v>0</v>
      </c>
      <c r="Q762" t="n">
        <v>0</v>
      </c>
      <c r="R762" s="2" t="inlineStr"/>
    </row>
    <row r="763" ht="15" customHeight="1">
      <c r="A763" t="inlineStr">
        <is>
          <t>A 18942-2025</t>
        </is>
      </c>
      <c r="B763" s="1" t="n">
        <v>45764</v>
      </c>
      <c r="C763" s="1" t="n">
        <v>45983</v>
      </c>
      <c r="D763" t="inlineStr">
        <is>
          <t>JÄMTLANDS LÄN</t>
        </is>
      </c>
      <c r="E763" t="inlineStr">
        <is>
          <t>KROKOM</t>
        </is>
      </c>
      <c r="G763" t="n">
        <v>8.9</v>
      </c>
      <c r="H763" t="n">
        <v>0</v>
      </c>
      <c r="I763" t="n">
        <v>0</v>
      </c>
      <c r="J763" t="n">
        <v>0</v>
      </c>
      <c r="K763" t="n">
        <v>0</v>
      </c>
      <c r="L763" t="n">
        <v>0</v>
      </c>
      <c r="M763" t="n">
        <v>0</v>
      </c>
      <c r="N763" t="n">
        <v>0</v>
      </c>
      <c r="O763" t="n">
        <v>0</v>
      </c>
      <c r="P763" t="n">
        <v>0</v>
      </c>
      <c r="Q763" t="n">
        <v>0</v>
      </c>
      <c r="R763" s="2" t="inlineStr"/>
    </row>
    <row r="764" ht="15" customHeight="1">
      <c r="A764" t="inlineStr">
        <is>
          <t>A 31427-2025</t>
        </is>
      </c>
      <c r="B764" s="1" t="n">
        <v>45833</v>
      </c>
      <c r="C764" s="1" t="n">
        <v>45983</v>
      </c>
      <c r="D764" t="inlineStr">
        <is>
          <t>JÄMTLANDS LÄN</t>
        </is>
      </c>
      <c r="E764" t="inlineStr">
        <is>
          <t>KROKOM</t>
        </is>
      </c>
      <c r="G764" t="n">
        <v>1</v>
      </c>
      <c r="H764" t="n">
        <v>0</v>
      </c>
      <c r="I764" t="n">
        <v>0</v>
      </c>
      <c r="J764" t="n">
        <v>0</v>
      </c>
      <c r="K764" t="n">
        <v>0</v>
      </c>
      <c r="L764" t="n">
        <v>0</v>
      </c>
      <c r="M764" t="n">
        <v>0</v>
      </c>
      <c r="N764" t="n">
        <v>0</v>
      </c>
      <c r="O764" t="n">
        <v>0</v>
      </c>
      <c r="P764" t="n">
        <v>0</v>
      </c>
      <c r="Q764" t="n">
        <v>0</v>
      </c>
      <c r="R764" s="2" t="inlineStr"/>
    </row>
    <row r="765" ht="15" customHeight="1">
      <c r="A765" t="inlineStr">
        <is>
          <t>A 56152-2025</t>
        </is>
      </c>
      <c r="B765" s="1" t="n">
        <v>45974.36434027777</v>
      </c>
      <c r="C765" s="1" t="n">
        <v>45983</v>
      </c>
      <c r="D765" t="inlineStr">
        <is>
          <t>JÄMTLANDS LÄN</t>
        </is>
      </c>
      <c r="E765" t="inlineStr">
        <is>
          <t>KROKOM</t>
        </is>
      </c>
      <c r="G765" t="n">
        <v>6.7</v>
      </c>
      <c r="H765" t="n">
        <v>0</v>
      </c>
      <c r="I765" t="n">
        <v>0</v>
      </c>
      <c r="J765" t="n">
        <v>0</v>
      </c>
      <c r="K765" t="n">
        <v>0</v>
      </c>
      <c r="L765" t="n">
        <v>0</v>
      </c>
      <c r="M765" t="n">
        <v>0</v>
      </c>
      <c r="N765" t="n">
        <v>0</v>
      </c>
      <c r="O765" t="n">
        <v>0</v>
      </c>
      <c r="P765" t="n">
        <v>0</v>
      </c>
      <c r="Q765" t="n">
        <v>0</v>
      </c>
      <c r="R765" s="2" t="inlineStr"/>
    </row>
    <row r="766" ht="15" customHeight="1">
      <c r="A766" t="inlineStr">
        <is>
          <t>A 56038-2025</t>
        </is>
      </c>
      <c r="B766" s="1" t="n">
        <v>45973.61100694445</v>
      </c>
      <c r="C766" s="1" t="n">
        <v>45983</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47850-2023</t>
        </is>
      </c>
      <c r="B767" s="1" t="n">
        <v>45204.40770833333</v>
      </c>
      <c r="C767" s="1" t="n">
        <v>45983</v>
      </c>
      <c r="D767" t="inlineStr">
        <is>
          <t>JÄMTLANDS LÄN</t>
        </is>
      </c>
      <c r="E767" t="inlineStr">
        <is>
          <t>KROKOM</t>
        </is>
      </c>
      <c r="G767" t="n">
        <v>1.8</v>
      </c>
      <c r="H767" t="n">
        <v>0</v>
      </c>
      <c r="I767" t="n">
        <v>0</v>
      </c>
      <c r="J767" t="n">
        <v>0</v>
      </c>
      <c r="K767" t="n">
        <v>0</v>
      </c>
      <c r="L767" t="n">
        <v>0</v>
      </c>
      <c r="M767" t="n">
        <v>0</v>
      </c>
      <c r="N767" t="n">
        <v>0</v>
      </c>
      <c r="O767" t="n">
        <v>0</v>
      </c>
      <c r="P767" t="n">
        <v>0</v>
      </c>
      <c r="Q767" t="n">
        <v>0</v>
      </c>
      <c r="R767" s="2" t="inlineStr"/>
    </row>
    <row r="768" ht="15" customHeight="1">
      <c r="A768" t="inlineStr">
        <is>
          <t>A 26184-2024</t>
        </is>
      </c>
      <c r="B768" s="1" t="n">
        <v>45467</v>
      </c>
      <c r="C768" s="1" t="n">
        <v>45983</v>
      </c>
      <c r="D768" t="inlineStr">
        <is>
          <t>JÄMTLANDS LÄN</t>
        </is>
      </c>
      <c r="E768" t="inlineStr">
        <is>
          <t>KROKOM</t>
        </is>
      </c>
      <c r="G768" t="n">
        <v>65.7</v>
      </c>
      <c r="H768" t="n">
        <v>0</v>
      </c>
      <c r="I768" t="n">
        <v>0</v>
      </c>
      <c r="J768" t="n">
        <v>0</v>
      </c>
      <c r="K768" t="n">
        <v>0</v>
      </c>
      <c r="L768" t="n">
        <v>0</v>
      </c>
      <c r="M768" t="n">
        <v>0</v>
      </c>
      <c r="N768" t="n">
        <v>0</v>
      </c>
      <c r="O768" t="n">
        <v>0</v>
      </c>
      <c r="P768" t="n">
        <v>0</v>
      </c>
      <c r="Q768" t="n">
        <v>0</v>
      </c>
      <c r="R768" s="2" t="inlineStr"/>
    </row>
    <row r="769" ht="15" customHeight="1">
      <c r="A769" t="inlineStr">
        <is>
          <t>A 56177-2025</t>
        </is>
      </c>
      <c r="B769" s="1" t="n">
        <v>45974.39988425926</v>
      </c>
      <c r="C769" s="1" t="n">
        <v>45983</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37530-2025</t>
        </is>
      </c>
      <c r="B770" s="1" t="n">
        <v>45878</v>
      </c>
      <c r="C770" s="1" t="n">
        <v>45983</v>
      </c>
      <c r="D770" t="inlineStr">
        <is>
          <t>JÄMTLANDS LÄN</t>
        </is>
      </c>
      <c r="E770" t="inlineStr">
        <is>
          <t>KROKOM</t>
        </is>
      </c>
      <c r="F770" t="inlineStr">
        <is>
          <t>SCA</t>
        </is>
      </c>
      <c r="G770" t="n">
        <v>4.4</v>
      </c>
      <c r="H770" t="n">
        <v>0</v>
      </c>
      <c r="I770" t="n">
        <v>0</v>
      </c>
      <c r="J770" t="n">
        <v>0</v>
      </c>
      <c r="K770" t="n">
        <v>0</v>
      </c>
      <c r="L770" t="n">
        <v>0</v>
      </c>
      <c r="M770" t="n">
        <v>0</v>
      </c>
      <c r="N770" t="n">
        <v>0</v>
      </c>
      <c r="O770" t="n">
        <v>0</v>
      </c>
      <c r="P770" t="n">
        <v>0</v>
      </c>
      <c r="Q770" t="n">
        <v>0</v>
      </c>
      <c r="R770" s="2" t="inlineStr"/>
    </row>
    <row r="771" ht="15" customHeight="1">
      <c r="A771" t="inlineStr">
        <is>
          <t>A 32472-2021</t>
        </is>
      </c>
      <c r="B771" s="1" t="n">
        <v>44371</v>
      </c>
      <c r="C771" s="1" t="n">
        <v>45983</v>
      </c>
      <c r="D771" t="inlineStr">
        <is>
          <t>JÄMTLANDS LÄN</t>
        </is>
      </c>
      <c r="E771" t="inlineStr">
        <is>
          <t>KROKOM</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45983</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53568-2024</t>
        </is>
      </c>
      <c r="B773" s="1" t="n">
        <v>45614.65925925926</v>
      </c>
      <c r="C773" s="1" t="n">
        <v>45983</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33480-2024</t>
        </is>
      </c>
      <c r="B774" s="1" t="n">
        <v>45519.60965277778</v>
      </c>
      <c r="C774" s="1" t="n">
        <v>45983</v>
      </c>
      <c r="D774" t="inlineStr">
        <is>
          <t>JÄMTLANDS LÄN</t>
        </is>
      </c>
      <c r="E774" t="inlineStr">
        <is>
          <t>KROKOM</t>
        </is>
      </c>
      <c r="G774" t="n">
        <v>2.8</v>
      </c>
      <c r="H774" t="n">
        <v>0</v>
      </c>
      <c r="I774" t="n">
        <v>0</v>
      </c>
      <c r="J774" t="n">
        <v>0</v>
      </c>
      <c r="K774" t="n">
        <v>0</v>
      </c>
      <c r="L774" t="n">
        <v>0</v>
      </c>
      <c r="M774" t="n">
        <v>0</v>
      </c>
      <c r="N774" t="n">
        <v>0</v>
      </c>
      <c r="O774" t="n">
        <v>0</v>
      </c>
      <c r="P774" t="n">
        <v>0</v>
      </c>
      <c r="Q774" t="n">
        <v>0</v>
      </c>
      <c r="R774" s="2" t="inlineStr"/>
    </row>
    <row r="775" ht="15" customHeight="1">
      <c r="A775" t="inlineStr">
        <is>
          <t>A 26207-2024</t>
        </is>
      </c>
      <c r="B775" s="1" t="n">
        <v>45467</v>
      </c>
      <c r="C775" s="1" t="n">
        <v>45983</v>
      </c>
      <c r="D775" t="inlineStr">
        <is>
          <t>JÄMTLANDS LÄN</t>
        </is>
      </c>
      <c r="E775" t="inlineStr">
        <is>
          <t>KROKOM</t>
        </is>
      </c>
      <c r="G775" t="n">
        <v>14.4</v>
      </c>
      <c r="H775" t="n">
        <v>0</v>
      </c>
      <c r="I775" t="n">
        <v>0</v>
      </c>
      <c r="J775" t="n">
        <v>0</v>
      </c>
      <c r="K775" t="n">
        <v>0</v>
      </c>
      <c r="L775" t="n">
        <v>0</v>
      </c>
      <c r="M775" t="n">
        <v>0</v>
      </c>
      <c r="N775" t="n">
        <v>0</v>
      </c>
      <c r="O775" t="n">
        <v>0</v>
      </c>
      <c r="P775" t="n">
        <v>0</v>
      </c>
      <c r="Q775" t="n">
        <v>0</v>
      </c>
      <c r="R775" s="2" t="inlineStr"/>
    </row>
    <row r="776" ht="15" customHeight="1">
      <c r="A776" t="inlineStr">
        <is>
          <t>A 29379-2024</t>
        </is>
      </c>
      <c r="B776" s="1" t="n">
        <v>45483</v>
      </c>
      <c r="C776" s="1" t="n">
        <v>45983</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2480-2025</t>
        </is>
      </c>
      <c r="B777" s="1" t="n">
        <v>45674</v>
      </c>
      <c r="C777" s="1" t="n">
        <v>45983</v>
      </c>
      <c r="D777" t="inlineStr">
        <is>
          <t>JÄMTLANDS LÄN</t>
        </is>
      </c>
      <c r="E777" t="inlineStr">
        <is>
          <t>KROKOM</t>
        </is>
      </c>
      <c r="G777" t="n">
        <v>4</v>
      </c>
      <c r="H777" t="n">
        <v>0</v>
      </c>
      <c r="I777" t="n">
        <v>0</v>
      </c>
      <c r="J777" t="n">
        <v>0</v>
      </c>
      <c r="K777" t="n">
        <v>0</v>
      </c>
      <c r="L777" t="n">
        <v>0</v>
      </c>
      <c r="M777" t="n">
        <v>0</v>
      </c>
      <c r="N777" t="n">
        <v>0</v>
      </c>
      <c r="O777" t="n">
        <v>0</v>
      </c>
      <c r="P777" t="n">
        <v>0</v>
      </c>
      <c r="Q777" t="n">
        <v>0</v>
      </c>
      <c r="R777" s="2" t="inlineStr"/>
    </row>
    <row r="778" ht="15" customHeight="1">
      <c r="A778" t="inlineStr">
        <is>
          <t>A 1473-2025</t>
        </is>
      </c>
      <c r="B778" s="1" t="n">
        <v>45670</v>
      </c>
      <c r="C778" s="1" t="n">
        <v>45983</v>
      </c>
      <c r="D778" t="inlineStr">
        <is>
          <t>JÄMTLANDS LÄN</t>
        </is>
      </c>
      <c r="E778" t="inlineStr">
        <is>
          <t>KROKOM</t>
        </is>
      </c>
      <c r="G778" t="n">
        <v>7.6</v>
      </c>
      <c r="H778" t="n">
        <v>0</v>
      </c>
      <c r="I778" t="n">
        <v>0</v>
      </c>
      <c r="J778" t="n">
        <v>0</v>
      </c>
      <c r="K778" t="n">
        <v>0</v>
      </c>
      <c r="L778" t="n">
        <v>0</v>
      </c>
      <c r="M778" t="n">
        <v>0</v>
      </c>
      <c r="N778" t="n">
        <v>0</v>
      </c>
      <c r="O778" t="n">
        <v>0</v>
      </c>
      <c r="P778" t="n">
        <v>0</v>
      </c>
      <c r="Q778" t="n">
        <v>0</v>
      </c>
      <c r="R778" s="2" t="inlineStr"/>
    </row>
    <row r="779" ht="15" customHeight="1">
      <c r="A779" t="inlineStr">
        <is>
          <t>A 54639-2025</t>
        </is>
      </c>
      <c r="B779" s="1" t="n">
        <v>45966</v>
      </c>
      <c r="C779" s="1" t="n">
        <v>45983</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56892-2025</t>
        </is>
      </c>
      <c r="B780" s="1" t="n">
        <v>45978.56626157407</v>
      </c>
      <c r="C780" s="1" t="n">
        <v>45983</v>
      </c>
      <c r="D780" t="inlineStr">
        <is>
          <t>JÄMTLANDS LÄN</t>
        </is>
      </c>
      <c r="E780" t="inlineStr">
        <is>
          <t>KROKOM</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48272-2025</t>
        </is>
      </c>
      <c r="B781" s="1" t="n">
        <v>45933.57362268519</v>
      </c>
      <c r="C781" s="1" t="n">
        <v>45983</v>
      </c>
      <c r="D781" t="inlineStr">
        <is>
          <t>JÄMTLANDS LÄN</t>
        </is>
      </c>
      <c r="E781" t="inlineStr">
        <is>
          <t>KROKOM</t>
        </is>
      </c>
      <c r="G781" t="n">
        <v>3.4</v>
      </c>
      <c r="H781" t="n">
        <v>0</v>
      </c>
      <c r="I781" t="n">
        <v>0</v>
      </c>
      <c r="J781" t="n">
        <v>0</v>
      </c>
      <c r="K781" t="n">
        <v>0</v>
      </c>
      <c r="L781" t="n">
        <v>0</v>
      </c>
      <c r="M781" t="n">
        <v>0</v>
      </c>
      <c r="N781" t="n">
        <v>0</v>
      </c>
      <c r="O781" t="n">
        <v>0</v>
      </c>
      <c r="P781" t="n">
        <v>0</v>
      </c>
      <c r="Q781" t="n">
        <v>0</v>
      </c>
      <c r="R781" s="2" t="inlineStr"/>
    </row>
    <row r="782" ht="15" customHeight="1">
      <c r="A782" t="inlineStr">
        <is>
          <t>A 58482-2024</t>
        </is>
      </c>
      <c r="B782" s="1" t="n">
        <v>45635</v>
      </c>
      <c r="C782" s="1" t="n">
        <v>45983</v>
      </c>
      <c r="D782" t="inlineStr">
        <is>
          <t>JÄMTLANDS LÄN</t>
        </is>
      </c>
      <c r="E782" t="inlineStr">
        <is>
          <t>KROKOM</t>
        </is>
      </c>
      <c r="G782" t="n">
        <v>1.5</v>
      </c>
      <c r="H782" t="n">
        <v>0</v>
      </c>
      <c r="I782" t="n">
        <v>0</v>
      </c>
      <c r="J782" t="n">
        <v>0</v>
      </c>
      <c r="K782" t="n">
        <v>0</v>
      </c>
      <c r="L782" t="n">
        <v>0</v>
      </c>
      <c r="M782" t="n">
        <v>0</v>
      </c>
      <c r="N782" t="n">
        <v>0</v>
      </c>
      <c r="O782" t="n">
        <v>0</v>
      </c>
      <c r="P782" t="n">
        <v>0</v>
      </c>
      <c r="Q782" t="n">
        <v>0</v>
      </c>
      <c r="R782" s="2" t="inlineStr"/>
    </row>
    <row r="783" ht="15" customHeight="1">
      <c r="A783" t="inlineStr">
        <is>
          <t>A 52086-2024</t>
        </is>
      </c>
      <c r="B783" s="1" t="n">
        <v>45608</v>
      </c>
      <c r="C783" s="1" t="n">
        <v>45983</v>
      </c>
      <c r="D783" t="inlineStr">
        <is>
          <t>JÄMTLANDS LÄN</t>
        </is>
      </c>
      <c r="E783" t="inlineStr">
        <is>
          <t>KROKOM</t>
        </is>
      </c>
      <c r="G783" t="n">
        <v>3.3</v>
      </c>
      <c r="H783" t="n">
        <v>0</v>
      </c>
      <c r="I783" t="n">
        <v>0</v>
      </c>
      <c r="J783" t="n">
        <v>0</v>
      </c>
      <c r="K783" t="n">
        <v>0</v>
      </c>
      <c r="L783" t="n">
        <v>0</v>
      </c>
      <c r="M783" t="n">
        <v>0</v>
      </c>
      <c r="N783" t="n">
        <v>0</v>
      </c>
      <c r="O783" t="n">
        <v>0</v>
      </c>
      <c r="P783" t="n">
        <v>0</v>
      </c>
      <c r="Q783" t="n">
        <v>0</v>
      </c>
      <c r="R783" s="2" t="inlineStr"/>
    </row>
    <row r="784" ht="15" customHeight="1">
      <c r="A784" t="inlineStr">
        <is>
          <t>A 37886-2025</t>
        </is>
      </c>
      <c r="B784" s="1" t="n">
        <v>45881.51081018519</v>
      </c>
      <c r="C784" s="1" t="n">
        <v>45983</v>
      </c>
      <c r="D784" t="inlineStr">
        <is>
          <t>JÄMTLANDS LÄN</t>
        </is>
      </c>
      <c r="E784" t="inlineStr">
        <is>
          <t>KROKOM</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48438-2025</t>
        </is>
      </c>
      <c r="B785" s="1" t="n">
        <v>45935.4812962963</v>
      </c>
      <c r="C785" s="1" t="n">
        <v>45983</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56432-2025</t>
        </is>
      </c>
      <c r="B786" s="1" t="n">
        <v>45975.34650462963</v>
      </c>
      <c r="C786" s="1" t="n">
        <v>45983</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33802-2021</t>
        </is>
      </c>
      <c r="B787" s="1" t="n">
        <v>44377</v>
      </c>
      <c r="C787" s="1" t="n">
        <v>45983</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38205-2025</t>
        </is>
      </c>
      <c r="B788" s="1" t="n">
        <v>45882.69851851852</v>
      </c>
      <c r="C788" s="1" t="n">
        <v>45983</v>
      </c>
      <c r="D788" t="inlineStr">
        <is>
          <t>JÄMTLANDS LÄN</t>
        </is>
      </c>
      <c r="E788" t="inlineStr">
        <is>
          <t>KROKOM</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37820-2025</t>
        </is>
      </c>
      <c r="B789" s="1" t="n">
        <v>45881.39909722222</v>
      </c>
      <c r="C789" s="1" t="n">
        <v>45983</v>
      </c>
      <c r="D789" t="inlineStr">
        <is>
          <t>JÄMTLANDS LÄN</t>
        </is>
      </c>
      <c r="E789" t="inlineStr">
        <is>
          <t>KROKOM</t>
        </is>
      </c>
      <c r="G789" t="n">
        <v>2.1</v>
      </c>
      <c r="H789" t="n">
        <v>0</v>
      </c>
      <c r="I789" t="n">
        <v>0</v>
      </c>
      <c r="J789" t="n">
        <v>0</v>
      </c>
      <c r="K789" t="n">
        <v>0</v>
      </c>
      <c r="L789" t="n">
        <v>0</v>
      </c>
      <c r="M789" t="n">
        <v>0</v>
      </c>
      <c r="N789" t="n">
        <v>0</v>
      </c>
      <c r="O789" t="n">
        <v>0</v>
      </c>
      <c r="P789" t="n">
        <v>0</v>
      </c>
      <c r="Q789" t="n">
        <v>0</v>
      </c>
      <c r="R789" s="2" t="inlineStr"/>
    </row>
    <row r="790" ht="15" customHeight="1">
      <c r="A790" t="inlineStr">
        <is>
          <t>A 48257-2025</t>
        </is>
      </c>
      <c r="B790" s="1" t="n">
        <v>45933.55483796296</v>
      </c>
      <c r="C790" s="1" t="n">
        <v>45983</v>
      </c>
      <c r="D790" t="inlineStr">
        <is>
          <t>JÄMTLANDS LÄN</t>
        </is>
      </c>
      <c r="E790" t="inlineStr">
        <is>
          <t>KROKOM</t>
        </is>
      </c>
      <c r="G790" t="n">
        <v>4.6</v>
      </c>
      <c r="H790" t="n">
        <v>0</v>
      </c>
      <c r="I790" t="n">
        <v>0</v>
      </c>
      <c r="J790" t="n">
        <v>0</v>
      </c>
      <c r="K790" t="n">
        <v>0</v>
      </c>
      <c r="L790" t="n">
        <v>0</v>
      </c>
      <c r="M790" t="n">
        <v>0</v>
      </c>
      <c r="N790" t="n">
        <v>0</v>
      </c>
      <c r="O790" t="n">
        <v>0</v>
      </c>
      <c r="P790" t="n">
        <v>0</v>
      </c>
      <c r="Q790" t="n">
        <v>0</v>
      </c>
      <c r="R790" s="2" t="inlineStr"/>
    </row>
    <row r="791" ht="15" customHeight="1">
      <c r="A791" t="inlineStr">
        <is>
          <t>A 9016-2025</t>
        </is>
      </c>
      <c r="B791" s="1" t="n">
        <v>45713.59163194444</v>
      </c>
      <c r="C791" s="1" t="n">
        <v>45983</v>
      </c>
      <c r="D791" t="inlineStr">
        <is>
          <t>JÄMTLANDS LÄN</t>
        </is>
      </c>
      <c r="E791" t="inlineStr">
        <is>
          <t>KROKOM</t>
        </is>
      </c>
      <c r="F791" t="inlineStr">
        <is>
          <t>Övriga Aktiebolag</t>
        </is>
      </c>
      <c r="G791" t="n">
        <v>19.3</v>
      </c>
      <c r="H791" t="n">
        <v>0</v>
      </c>
      <c r="I791" t="n">
        <v>0</v>
      </c>
      <c r="J791" t="n">
        <v>0</v>
      </c>
      <c r="K791" t="n">
        <v>0</v>
      </c>
      <c r="L791" t="n">
        <v>0</v>
      </c>
      <c r="M791" t="n">
        <v>0</v>
      </c>
      <c r="N791" t="n">
        <v>0</v>
      </c>
      <c r="O791" t="n">
        <v>0</v>
      </c>
      <c r="P791" t="n">
        <v>0</v>
      </c>
      <c r="Q791" t="n">
        <v>0</v>
      </c>
      <c r="R791" s="2" t="inlineStr"/>
    </row>
    <row r="792" ht="15" customHeight="1">
      <c r="A792" t="inlineStr">
        <is>
          <t>A 54021-2025</t>
        </is>
      </c>
      <c r="B792" s="1" t="n">
        <v>45961</v>
      </c>
      <c r="C792" s="1" t="n">
        <v>45983</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45929-2025</t>
        </is>
      </c>
      <c r="B793" s="1" t="n">
        <v>45923.8644212963</v>
      </c>
      <c r="C793" s="1" t="n">
        <v>45983</v>
      </c>
      <c r="D793" t="inlineStr">
        <is>
          <t>JÄMTLANDS LÄN</t>
        </is>
      </c>
      <c r="E793" t="inlineStr">
        <is>
          <t>KROKOM</t>
        </is>
      </c>
      <c r="G793" t="n">
        <v>7.3</v>
      </c>
      <c r="H793" t="n">
        <v>0</v>
      </c>
      <c r="I793" t="n">
        <v>0</v>
      </c>
      <c r="J793" t="n">
        <v>0</v>
      </c>
      <c r="K793" t="n">
        <v>0</v>
      </c>
      <c r="L793" t="n">
        <v>0</v>
      </c>
      <c r="M793" t="n">
        <v>0</v>
      </c>
      <c r="N793" t="n">
        <v>0</v>
      </c>
      <c r="O793" t="n">
        <v>0</v>
      </c>
      <c r="P793" t="n">
        <v>0</v>
      </c>
      <c r="Q793" t="n">
        <v>0</v>
      </c>
      <c r="R793" s="2" t="inlineStr"/>
    </row>
    <row r="794" ht="15" customHeight="1">
      <c r="A794" t="inlineStr">
        <is>
          <t>A 56433-2025</t>
        </is>
      </c>
      <c r="B794" s="1" t="n">
        <v>45975.34655092593</v>
      </c>
      <c r="C794" s="1" t="n">
        <v>45983</v>
      </c>
      <c r="D794" t="inlineStr">
        <is>
          <t>JÄMTLANDS LÄN</t>
        </is>
      </c>
      <c r="E794" t="inlineStr">
        <is>
          <t>KROKOM</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48255-2025</t>
        </is>
      </c>
      <c r="B795" s="1" t="n">
        <v>45933.55407407408</v>
      </c>
      <c r="C795" s="1" t="n">
        <v>45983</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31905-2021</t>
        </is>
      </c>
      <c r="B796" s="1" t="n">
        <v>44370</v>
      </c>
      <c r="C796" s="1" t="n">
        <v>45983</v>
      </c>
      <c r="D796" t="inlineStr">
        <is>
          <t>JÄMTLANDS LÄN</t>
        </is>
      </c>
      <c r="E796" t="inlineStr">
        <is>
          <t>KROKOM</t>
        </is>
      </c>
      <c r="G796" t="n">
        <v>12.9</v>
      </c>
      <c r="H796" t="n">
        <v>0</v>
      </c>
      <c r="I796" t="n">
        <v>0</v>
      </c>
      <c r="J796" t="n">
        <v>0</v>
      </c>
      <c r="K796" t="n">
        <v>0</v>
      </c>
      <c r="L796" t="n">
        <v>0</v>
      </c>
      <c r="M796" t="n">
        <v>0</v>
      </c>
      <c r="N796" t="n">
        <v>0</v>
      </c>
      <c r="O796" t="n">
        <v>0</v>
      </c>
      <c r="P796" t="n">
        <v>0</v>
      </c>
      <c r="Q796" t="n">
        <v>0</v>
      </c>
      <c r="R796" s="2" t="inlineStr"/>
    </row>
    <row r="797" ht="15" customHeight="1">
      <c r="A797" t="inlineStr">
        <is>
          <t>A 42369-2021</t>
        </is>
      </c>
      <c r="B797" s="1" t="n">
        <v>44427</v>
      </c>
      <c r="C797" s="1" t="n">
        <v>45983</v>
      </c>
      <c r="D797" t="inlineStr">
        <is>
          <t>JÄMTLANDS LÄN</t>
        </is>
      </c>
      <c r="E797" t="inlineStr">
        <is>
          <t>KROKOM</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48469-2025</t>
        </is>
      </c>
      <c r="B798" s="1" t="n">
        <v>45936.34489583333</v>
      </c>
      <c r="C798" s="1" t="n">
        <v>45983</v>
      </c>
      <c r="D798" t="inlineStr">
        <is>
          <t>JÄMTLANDS LÄN</t>
        </is>
      </c>
      <c r="E798" t="inlineStr">
        <is>
          <t>KROKOM</t>
        </is>
      </c>
      <c r="F798" t="inlineStr">
        <is>
          <t>SCA</t>
        </is>
      </c>
      <c r="G798" t="n">
        <v>15.2</v>
      </c>
      <c r="H798" t="n">
        <v>0</v>
      </c>
      <c r="I798" t="n">
        <v>0</v>
      </c>
      <c r="J798" t="n">
        <v>0</v>
      </c>
      <c r="K798" t="n">
        <v>0</v>
      </c>
      <c r="L798" t="n">
        <v>0</v>
      </c>
      <c r="M798" t="n">
        <v>0</v>
      </c>
      <c r="N798" t="n">
        <v>0</v>
      </c>
      <c r="O798" t="n">
        <v>0</v>
      </c>
      <c r="P798" t="n">
        <v>0</v>
      </c>
      <c r="Q798" t="n">
        <v>0</v>
      </c>
      <c r="R798" s="2" t="inlineStr"/>
    </row>
    <row r="799" ht="15" customHeight="1">
      <c r="A799" t="inlineStr">
        <is>
          <t>A 48470-2025</t>
        </is>
      </c>
      <c r="B799" s="1" t="n">
        <v>45936.34504629629</v>
      </c>
      <c r="C799" s="1" t="n">
        <v>45983</v>
      </c>
      <c r="D799" t="inlineStr">
        <is>
          <t>JÄMTLANDS LÄN</t>
        </is>
      </c>
      <c r="E799" t="inlineStr">
        <is>
          <t>KROKOM</t>
        </is>
      </c>
      <c r="F799" t="inlineStr">
        <is>
          <t>SCA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48323-2025</t>
        </is>
      </c>
      <c r="B800" s="1" t="n">
        <v>45933.62793981482</v>
      </c>
      <c r="C800" s="1" t="n">
        <v>45983</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38024-2025</t>
        </is>
      </c>
      <c r="B801" s="1" t="n">
        <v>45882.34510416666</v>
      </c>
      <c r="C801" s="1" t="n">
        <v>45983</v>
      </c>
      <c r="D801" t="inlineStr">
        <is>
          <t>JÄMTLANDS LÄN</t>
        </is>
      </c>
      <c r="E801" t="inlineStr">
        <is>
          <t>KROKOM</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48468-2025</t>
        </is>
      </c>
      <c r="B802" s="1" t="n">
        <v>45936.34469907408</v>
      </c>
      <c r="C802" s="1" t="n">
        <v>45983</v>
      </c>
      <c r="D802" t="inlineStr">
        <is>
          <t>JÄMTLANDS LÄN</t>
        </is>
      </c>
      <c r="E802" t="inlineStr">
        <is>
          <t>KROKOM</t>
        </is>
      </c>
      <c r="F802" t="inlineStr">
        <is>
          <t>SCA</t>
        </is>
      </c>
      <c r="G802" t="n">
        <v>14.3</v>
      </c>
      <c r="H802" t="n">
        <v>0</v>
      </c>
      <c r="I802" t="n">
        <v>0</v>
      </c>
      <c r="J802" t="n">
        <v>0</v>
      </c>
      <c r="K802" t="n">
        <v>0</v>
      </c>
      <c r="L802" t="n">
        <v>0</v>
      </c>
      <c r="M802" t="n">
        <v>0</v>
      </c>
      <c r="N802" t="n">
        <v>0</v>
      </c>
      <c r="O802" t="n">
        <v>0</v>
      </c>
      <c r="P802" t="n">
        <v>0</v>
      </c>
      <c r="Q802" t="n">
        <v>0</v>
      </c>
      <c r="R802" s="2" t="inlineStr"/>
    </row>
    <row r="803" ht="15" customHeight="1">
      <c r="A803" t="inlineStr">
        <is>
          <t>A 37821-2025</t>
        </is>
      </c>
      <c r="B803" s="1" t="n">
        <v>45881.40521990741</v>
      </c>
      <c r="C803" s="1" t="n">
        <v>45983</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41142-2023</t>
        </is>
      </c>
      <c r="B804" s="1" t="n">
        <v>45173</v>
      </c>
      <c r="C804" s="1" t="n">
        <v>45983</v>
      </c>
      <c r="D804" t="inlineStr">
        <is>
          <t>JÄMTLANDS LÄN</t>
        </is>
      </c>
      <c r="E804" t="inlineStr">
        <is>
          <t>KROKOM</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5798-2025</t>
        </is>
      </c>
      <c r="B805" s="1" t="n">
        <v>45694.65905092593</v>
      </c>
      <c r="C805" s="1" t="n">
        <v>45983</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48666-2025</t>
        </is>
      </c>
      <c r="B806" s="1" t="n">
        <v>45936.57368055556</v>
      </c>
      <c r="C806" s="1" t="n">
        <v>45983</v>
      </c>
      <c r="D806" t="inlineStr">
        <is>
          <t>JÄMTLANDS LÄN</t>
        </is>
      </c>
      <c r="E806" t="inlineStr">
        <is>
          <t>KROKOM</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9025-2025</t>
        </is>
      </c>
      <c r="B807" s="1" t="n">
        <v>45713.59952546296</v>
      </c>
      <c r="C807" s="1" t="n">
        <v>45983</v>
      </c>
      <c r="D807" t="inlineStr">
        <is>
          <t>JÄMTLANDS LÄN</t>
        </is>
      </c>
      <c r="E807" t="inlineStr">
        <is>
          <t>KROKOM</t>
        </is>
      </c>
      <c r="F807" t="inlineStr">
        <is>
          <t>Övriga Aktiebolag</t>
        </is>
      </c>
      <c r="G807" t="n">
        <v>28.4</v>
      </c>
      <c r="H807" t="n">
        <v>0</v>
      </c>
      <c r="I807" t="n">
        <v>0</v>
      </c>
      <c r="J807" t="n">
        <v>0</v>
      </c>
      <c r="K807" t="n">
        <v>0</v>
      </c>
      <c r="L807" t="n">
        <v>0</v>
      </c>
      <c r="M807" t="n">
        <v>0</v>
      </c>
      <c r="N807" t="n">
        <v>0</v>
      </c>
      <c r="O807" t="n">
        <v>0</v>
      </c>
      <c r="P807" t="n">
        <v>0</v>
      </c>
      <c r="Q807" t="n">
        <v>0</v>
      </c>
      <c r="R807" s="2" t="inlineStr"/>
    </row>
    <row r="808" ht="15" customHeight="1">
      <c r="A808" t="inlineStr">
        <is>
          <t>A 56636-2025</t>
        </is>
      </c>
      <c r="B808" s="1" t="n">
        <v>45975.61663194445</v>
      </c>
      <c r="C808" s="1" t="n">
        <v>45983</v>
      </c>
      <c r="D808" t="inlineStr">
        <is>
          <t>JÄMTLANDS LÄN</t>
        </is>
      </c>
      <c r="E808" t="inlineStr">
        <is>
          <t>KROKOM</t>
        </is>
      </c>
      <c r="F808" t="inlineStr">
        <is>
          <t>SCA</t>
        </is>
      </c>
      <c r="G808" t="n">
        <v>37.5</v>
      </c>
      <c r="H808" t="n">
        <v>0</v>
      </c>
      <c r="I808" t="n">
        <v>0</v>
      </c>
      <c r="J808" t="n">
        <v>0</v>
      </c>
      <c r="K808" t="n">
        <v>0</v>
      </c>
      <c r="L808" t="n">
        <v>0</v>
      </c>
      <c r="M808" t="n">
        <v>0</v>
      </c>
      <c r="N808" t="n">
        <v>0</v>
      </c>
      <c r="O808" t="n">
        <v>0</v>
      </c>
      <c r="P808" t="n">
        <v>0</v>
      </c>
      <c r="Q808" t="n">
        <v>0</v>
      </c>
      <c r="R808" s="2" t="inlineStr"/>
    </row>
    <row r="809" ht="15" customHeight="1">
      <c r="A809" t="inlineStr">
        <is>
          <t>A 61966-2024</t>
        </is>
      </c>
      <c r="B809" s="1" t="n">
        <v>45653.57240740741</v>
      </c>
      <c r="C809" s="1" t="n">
        <v>45983</v>
      </c>
      <c r="D809" t="inlineStr">
        <is>
          <t>JÄMTLANDS LÄN</t>
        </is>
      </c>
      <c r="E809" t="inlineStr">
        <is>
          <t>KROKOM</t>
        </is>
      </c>
      <c r="F809" t="inlineStr">
        <is>
          <t>Övriga Aktiebolag</t>
        </is>
      </c>
      <c r="G809" t="n">
        <v>15.7</v>
      </c>
      <c r="H809" t="n">
        <v>0</v>
      </c>
      <c r="I809" t="n">
        <v>0</v>
      </c>
      <c r="J809" t="n">
        <v>0</v>
      </c>
      <c r="K809" t="n">
        <v>0</v>
      </c>
      <c r="L809" t="n">
        <v>0</v>
      </c>
      <c r="M809" t="n">
        <v>0</v>
      </c>
      <c r="N809" t="n">
        <v>0</v>
      </c>
      <c r="O809" t="n">
        <v>0</v>
      </c>
      <c r="P809" t="n">
        <v>0</v>
      </c>
      <c r="Q809" t="n">
        <v>0</v>
      </c>
      <c r="R809" s="2" t="inlineStr"/>
    </row>
    <row r="810" ht="15" customHeight="1">
      <c r="A810" t="inlineStr">
        <is>
          <t>A 56900-2025</t>
        </is>
      </c>
      <c r="B810" s="1" t="n">
        <v>45978.57273148148</v>
      </c>
      <c r="C810" s="1" t="n">
        <v>45983</v>
      </c>
      <c r="D810" t="inlineStr">
        <is>
          <t>JÄMTLANDS LÄN</t>
        </is>
      </c>
      <c r="E810" t="inlineStr">
        <is>
          <t>KROKOM</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5378-2025</t>
        </is>
      </c>
      <c r="B811" s="1" t="n">
        <v>45692.60364583333</v>
      </c>
      <c r="C811" s="1" t="n">
        <v>45983</v>
      </c>
      <c r="D811" t="inlineStr">
        <is>
          <t>JÄMTLANDS LÄN</t>
        </is>
      </c>
      <c r="E811" t="inlineStr">
        <is>
          <t>KROKOM</t>
        </is>
      </c>
      <c r="G811" t="n">
        <v>11</v>
      </c>
      <c r="H811" t="n">
        <v>0</v>
      </c>
      <c r="I811" t="n">
        <v>0</v>
      </c>
      <c r="J811" t="n">
        <v>0</v>
      </c>
      <c r="K811" t="n">
        <v>0</v>
      </c>
      <c r="L811" t="n">
        <v>0</v>
      </c>
      <c r="M811" t="n">
        <v>0</v>
      </c>
      <c r="N811" t="n">
        <v>0</v>
      </c>
      <c r="O811" t="n">
        <v>0</v>
      </c>
      <c r="P811" t="n">
        <v>0</v>
      </c>
      <c r="Q811" t="n">
        <v>0</v>
      </c>
      <c r="R811" s="2" t="inlineStr"/>
    </row>
    <row r="812" ht="15" customHeight="1">
      <c r="A812" t="inlineStr">
        <is>
          <t>A 8167-2025</t>
        </is>
      </c>
      <c r="B812" s="1" t="n">
        <v>45708</v>
      </c>
      <c r="C812" s="1" t="n">
        <v>45983</v>
      </c>
      <c r="D812" t="inlineStr">
        <is>
          <t>JÄMTLANDS LÄN</t>
        </is>
      </c>
      <c r="E812" t="inlineStr">
        <is>
          <t>KROKOM</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41628-2024</t>
        </is>
      </c>
      <c r="B813" s="1" t="n">
        <v>45560</v>
      </c>
      <c r="C813" s="1" t="n">
        <v>45983</v>
      </c>
      <c r="D813" t="inlineStr">
        <is>
          <t>JÄMTLANDS LÄN</t>
        </is>
      </c>
      <c r="E813" t="inlineStr">
        <is>
          <t>KROKOM</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47723-2024</t>
        </is>
      </c>
      <c r="B814" s="1" t="n">
        <v>45588</v>
      </c>
      <c r="C814" s="1" t="n">
        <v>45983</v>
      </c>
      <c r="D814" t="inlineStr">
        <is>
          <t>JÄMTLANDS LÄN</t>
        </is>
      </c>
      <c r="E814" t="inlineStr">
        <is>
          <t>KROKOM</t>
        </is>
      </c>
      <c r="G814" t="n">
        <v>1.6</v>
      </c>
      <c r="H814" t="n">
        <v>0</v>
      </c>
      <c r="I814" t="n">
        <v>0</v>
      </c>
      <c r="J814" t="n">
        <v>0</v>
      </c>
      <c r="K814" t="n">
        <v>0</v>
      </c>
      <c r="L814" t="n">
        <v>0</v>
      </c>
      <c r="M814" t="n">
        <v>0</v>
      </c>
      <c r="N814" t="n">
        <v>0</v>
      </c>
      <c r="O814" t="n">
        <v>0</v>
      </c>
      <c r="P814" t="n">
        <v>0</v>
      </c>
      <c r="Q814" t="n">
        <v>0</v>
      </c>
      <c r="R814" s="2" t="inlineStr"/>
    </row>
    <row r="815" ht="15" customHeight="1">
      <c r="A815" t="inlineStr">
        <is>
          <t>A 7079-2025</t>
        </is>
      </c>
      <c r="B815" s="1" t="n">
        <v>45701</v>
      </c>
      <c r="C815" s="1" t="n">
        <v>45983</v>
      </c>
      <c r="D815" t="inlineStr">
        <is>
          <t>JÄMTLANDS LÄN</t>
        </is>
      </c>
      <c r="E815" t="inlineStr">
        <is>
          <t>KROKOM</t>
        </is>
      </c>
      <c r="F815" t="inlineStr">
        <is>
          <t>SCA</t>
        </is>
      </c>
      <c r="G815" t="n">
        <v>7.4</v>
      </c>
      <c r="H815" t="n">
        <v>0</v>
      </c>
      <c r="I815" t="n">
        <v>0</v>
      </c>
      <c r="J815" t="n">
        <v>0</v>
      </c>
      <c r="K815" t="n">
        <v>0</v>
      </c>
      <c r="L815" t="n">
        <v>0</v>
      </c>
      <c r="M815" t="n">
        <v>0</v>
      </c>
      <c r="N815" t="n">
        <v>0</v>
      </c>
      <c r="O815" t="n">
        <v>0</v>
      </c>
      <c r="P815" t="n">
        <v>0</v>
      </c>
      <c r="Q815" t="n">
        <v>0</v>
      </c>
      <c r="R815" s="2" t="inlineStr"/>
    </row>
    <row r="816" ht="15" customHeight="1">
      <c r="A816" t="inlineStr">
        <is>
          <t>A 22681-2025</t>
        </is>
      </c>
      <c r="B816" s="1" t="n">
        <v>45786</v>
      </c>
      <c r="C816" s="1" t="n">
        <v>45983</v>
      </c>
      <c r="D816" t="inlineStr">
        <is>
          <t>JÄMTLANDS LÄN</t>
        </is>
      </c>
      <c r="E816" t="inlineStr">
        <is>
          <t>KROKOM</t>
        </is>
      </c>
      <c r="G816" t="n">
        <v>1.9</v>
      </c>
      <c r="H816" t="n">
        <v>0</v>
      </c>
      <c r="I816" t="n">
        <v>0</v>
      </c>
      <c r="J816" t="n">
        <v>0</v>
      </c>
      <c r="K816" t="n">
        <v>0</v>
      </c>
      <c r="L816" t="n">
        <v>0</v>
      </c>
      <c r="M816" t="n">
        <v>0</v>
      </c>
      <c r="N816" t="n">
        <v>0</v>
      </c>
      <c r="O816" t="n">
        <v>0</v>
      </c>
      <c r="P816" t="n">
        <v>0</v>
      </c>
      <c r="Q816" t="n">
        <v>0</v>
      </c>
      <c r="R816" s="2" t="inlineStr"/>
    </row>
    <row r="817" ht="15" customHeight="1">
      <c r="A817" t="inlineStr">
        <is>
          <t>A 48798-2025</t>
        </is>
      </c>
      <c r="B817" s="1" t="n">
        <v>45937.34465277778</v>
      </c>
      <c r="C817" s="1" t="n">
        <v>45983</v>
      </c>
      <c r="D817" t="inlineStr">
        <is>
          <t>JÄMTLANDS LÄN</t>
        </is>
      </c>
      <c r="E817" t="inlineStr">
        <is>
          <t>KROKOM</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9023-2025</t>
        </is>
      </c>
      <c r="B818" s="1" t="n">
        <v>45713.59741898148</v>
      </c>
      <c r="C818" s="1" t="n">
        <v>45983</v>
      </c>
      <c r="D818" t="inlineStr">
        <is>
          <t>JÄMTLANDS LÄN</t>
        </is>
      </c>
      <c r="E818" t="inlineStr">
        <is>
          <t>KROKOM</t>
        </is>
      </c>
      <c r="F818" t="inlineStr">
        <is>
          <t>Övriga Aktiebolag</t>
        </is>
      </c>
      <c r="G818" t="n">
        <v>16.8</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45983</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49063-2025</t>
        </is>
      </c>
      <c r="B820" s="1" t="n">
        <v>45937.64388888889</v>
      </c>
      <c r="C820" s="1" t="n">
        <v>45983</v>
      </c>
      <c r="D820" t="inlineStr">
        <is>
          <t>JÄMTLANDS LÄN</t>
        </is>
      </c>
      <c r="E820" t="inlineStr">
        <is>
          <t>KROKOM</t>
        </is>
      </c>
      <c r="G820" t="n">
        <v>2.7</v>
      </c>
      <c r="H820" t="n">
        <v>0</v>
      </c>
      <c r="I820" t="n">
        <v>0</v>
      </c>
      <c r="J820" t="n">
        <v>0</v>
      </c>
      <c r="K820" t="n">
        <v>0</v>
      </c>
      <c r="L820" t="n">
        <v>0</v>
      </c>
      <c r="M820" t="n">
        <v>0</v>
      </c>
      <c r="N820" t="n">
        <v>0</v>
      </c>
      <c r="O820" t="n">
        <v>0</v>
      </c>
      <c r="P820" t="n">
        <v>0</v>
      </c>
      <c r="Q820" t="n">
        <v>0</v>
      </c>
      <c r="R820" s="2" t="inlineStr"/>
    </row>
    <row r="821" ht="15" customHeight="1">
      <c r="A821" t="inlineStr">
        <is>
          <t>A 23539-2024</t>
        </is>
      </c>
      <c r="B821" s="1" t="n">
        <v>45453.95237268518</v>
      </c>
      <c r="C821" s="1" t="n">
        <v>45983</v>
      </c>
      <c r="D821" t="inlineStr">
        <is>
          <t>JÄMTLANDS LÄN</t>
        </is>
      </c>
      <c r="E821" t="inlineStr">
        <is>
          <t>KROKOM</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10632-2025</t>
        </is>
      </c>
      <c r="B822" s="1" t="n">
        <v>45721</v>
      </c>
      <c r="C822" s="1" t="n">
        <v>45983</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45979.50850694445</v>
      </c>
      <c r="C823" s="1" t="n">
        <v>45983</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49009-2025</t>
        </is>
      </c>
      <c r="B824" s="1" t="n">
        <v>45937.60777777778</v>
      </c>
      <c r="C824" s="1" t="n">
        <v>45983</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30158-2022</t>
        </is>
      </c>
      <c r="B825" s="1" t="n">
        <v>44757</v>
      </c>
      <c r="C825" s="1" t="n">
        <v>45983</v>
      </c>
      <c r="D825" t="inlineStr">
        <is>
          <t>JÄMTLANDS LÄN</t>
        </is>
      </c>
      <c r="E825" t="inlineStr">
        <is>
          <t>KROKOM</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23507-2024</t>
        </is>
      </c>
      <c r="B826" s="1" t="n">
        <v>45453</v>
      </c>
      <c r="C826" s="1" t="n">
        <v>45983</v>
      </c>
      <c r="D826" t="inlineStr">
        <is>
          <t>JÄMTLANDS LÄN</t>
        </is>
      </c>
      <c r="E826" t="inlineStr">
        <is>
          <t>KROKOM</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1287-2021</t>
        </is>
      </c>
      <c r="B827" s="1" t="n">
        <v>44207</v>
      </c>
      <c r="C827" s="1" t="n">
        <v>45983</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30979-2024</t>
        </is>
      </c>
      <c r="B828" s="1" t="n">
        <v>45499.48672453704</v>
      </c>
      <c r="C828" s="1" t="n">
        <v>45983</v>
      </c>
      <c r="D828" t="inlineStr">
        <is>
          <t>JÄMTLANDS LÄN</t>
        </is>
      </c>
      <c r="E828" t="inlineStr">
        <is>
          <t>KROKOM</t>
        </is>
      </c>
      <c r="G828" t="n">
        <v>18.2</v>
      </c>
      <c r="H828" t="n">
        <v>0</v>
      </c>
      <c r="I828" t="n">
        <v>0</v>
      </c>
      <c r="J828" t="n">
        <v>0</v>
      </c>
      <c r="K828" t="n">
        <v>0</v>
      </c>
      <c r="L828" t="n">
        <v>0</v>
      </c>
      <c r="M828" t="n">
        <v>0</v>
      </c>
      <c r="N828" t="n">
        <v>0</v>
      </c>
      <c r="O828" t="n">
        <v>0</v>
      </c>
      <c r="P828" t="n">
        <v>0</v>
      </c>
      <c r="Q828" t="n">
        <v>0</v>
      </c>
      <c r="R828" s="2" t="inlineStr"/>
    </row>
    <row r="829" ht="15" customHeight="1">
      <c r="A829" t="inlineStr">
        <is>
          <t>A 4570-2025</t>
        </is>
      </c>
      <c r="B829" s="1" t="n">
        <v>45687</v>
      </c>
      <c r="C829" s="1" t="n">
        <v>45983</v>
      </c>
      <c r="D829" t="inlineStr">
        <is>
          <t>JÄMTLANDS LÄN</t>
        </is>
      </c>
      <c r="E829" t="inlineStr">
        <is>
          <t>KROKOM</t>
        </is>
      </c>
      <c r="G829" t="n">
        <v>4.6</v>
      </c>
      <c r="H829" t="n">
        <v>0</v>
      </c>
      <c r="I829" t="n">
        <v>0</v>
      </c>
      <c r="J829" t="n">
        <v>0</v>
      </c>
      <c r="K829" t="n">
        <v>0</v>
      </c>
      <c r="L829" t="n">
        <v>0</v>
      </c>
      <c r="M829" t="n">
        <v>0</v>
      </c>
      <c r="N829" t="n">
        <v>0</v>
      </c>
      <c r="O829" t="n">
        <v>0</v>
      </c>
      <c r="P829" t="n">
        <v>0</v>
      </c>
      <c r="Q829" t="n">
        <v>0</v>
      </c>
      <c r="R829" s="2" t="inlineStr"/>
    </row>
    <row r="830" ht="15" customHeight="1">
      <c r="A830" t="inlineStr">
        <is>
          <t>A 15761-2025</t>
        </is>
      </c>
      <c r="B830" s="1" t="n">
        <v>45748.57269675926</v>
      </c>
      <c r="C830" s="1" t="n">
        <v>45983</v>
      </c>
      <c r="D830" t="inlineStr">
        <is>
          <t>JÄMTLANDS LÄN</t>
        </is>
      </c>
      <c r="E830" t="inlineStr">
        <is>
          <t>KROKOM</t>
        </is>
      </c>
      <c r="G830" t="n">
        <v>48.1</v>
      </c>
      <c r="H830" t="n">
        <v>0</v>
      </c>
      <c r="I830" t="n">
        <v>0</v>
      </c>
      <c r="J830" t="n">
        <v>0</v>
      </c>
      <c r="K830" t="n">
        <v>0</v>
      </c>
      <c r="L830" t="n">
        <v>0</v>
      </c>
      <c r="M830" t="n">
        <v>0</v>
      </c>
      <c r="N830" t="n">
        <v>0</v>
      </c>
      <c r="O830" t="n">
        <v>0</v>
      </c>
      <c r="P830" t="n">
        <v>0</v>
      </c>
      <c r="Q830" t="n">
        <v>0</v>
      </c>
      <c r="R830" s="2" t="inlineStr"/>
    </row>
    <row r="831" ht="15" customHeight="1">
      <c r="A831" t="inlineStr">
        <is>
          <t>A 9755-2024</t>
        </is>
      </c>
      <c r="B831" s="1" t="n">
        <v>45362</v>
      </c>
      <c r="C831" s="1" t="n">
        <v>45983</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61742-2024</t>
        </is>
      </c>
      <c r="B832" s="1" t="n">
        <v>45649.38149305555</v>
      </c>
      <c r="C832" s="1" t="n">
        <v>45983</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48801-2025</t>
        </is>
      </c>
      <c r="B833" s="1" t="n">
        <v>45937.34515046296</v>
      </c>
      <c r="C833" s="1" t="n">
        <v>45983</v>
      </c>
      <c r="D833" t="inlineStr">
        <is>
          <t>JÄMTLANDS LÄN</t>
        </is>
      </c>
      <c r="E833" t="inlineStr">
        <is>
          <t>KROKOM</t>
        </is>
      </c>
      <c r="F833" t="inlineStr">
        <is>
          <t>SCA</t>
        </is>
      </c>
      <c r="G833" t="n">
        <v>15.3</v>
      </c>
      <c r="H833" t="n">
        <v>0</v>
      </c>
      <c r="I833" t="n">
        <v>0</v>
      </c>
      <c r="J833" t="n">
        <v>0</v>
      </c>
      <c r="K833" t="n">
        <v>0</v>
      </c>
      <c r="L833" t="n">
        <v>0</v>
      </c>
      <c r="M833" t="n">
        <v>0</v>
      </c>
      <c r="N833" t="n">
        <v>0</v>
      </c>
      <c r="O833" t="n">
        <v>0</v>
      </c>
      <c r="P833" t="n">
        <v>0</v>
      </c>
      <c r="Q833" t="n">
        <v>0</v>
      </c>
      <c r="R833" s="2" t="inlineStr"/>
    </row>
    <row r="834" ht="15" customHeight="1">
      <c r="A834" t="inlineStr">
        <is>
          <t>A 49067-2025</t>
        </is>
      </c>
      <c r="B834" s="1" t="n">
        <v>45937.64741898148</v>
      </c>
      <c r="C834" s="1" t="n">
        <v>45983</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14233-2025</t>
        </is>
      </c>
      <c r="B835" s="1" t="n">
        <v>45740</v>
      </c>
      <c r="C835" s="1" t="n">
        <v>45983</v>
      </c>
      <c r="D835" t="inlineStr">
        <is>
          <t>JÄMTLANDS LÄN</t>
        </is>
      </c>
      <c r="E835" t="inlineStr">
        <is>
          <t>KROKOM</t>
        </is>
      </c>
      <c r="F835" t="inlineStr">
        <is>
          <t>Övriga statliga verk och myndigheter</t>
        </is>
      </c>
      <c r="G835" t="n">
        <v>2.5</v>
      </c>
      <c r="H835" t="n">
        <v>0</v>
      </c>
      <c r="I835" t="n">
        <v>0</v>
      </c>
      <c r="J835" t="n">
        <v>0</v>
      </c>
      <c r="K835" t="n">
        <v>0</v>
      </c>
      <c r="L835" t="n">
        <v>0</v>
      </c>
      <c r="M835" t="n">
        <v>0</v>
      </c>
      <c r="N835" t="n">
        <v>0</v>
      </c>
      <c r="O835" t="n">
        <v>0</v>
      </c>
      <c r="P835" t="n">
        <v>0</v>
      </c>
      <c r="Q835" t="n">
        <v>0</v>
      </c>
      <c r="R835" s="2" t="inlineStr"/>
    </row>
    <row r="836" ht="15" customHeight="1">
      <c r="A836" t="inlineStr">
        <is>
          <t>A 18841-2025</t>
        </is>
      </c>
      <c r="B836" s="1" t="n">
        <v>45764.40834490741</v>
      </c>
      <c r="C836" s="1" t="n">
        <v>45983</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9963-2025</t>
        </is>
      </c>
      <c r="B837" s="1" t="n">
        <v>45719.37307870371</v>
      </c>
      <c r="C837" s="1" t="n">
        <v>45983</v>
      </c>
      <c r="D837" t="inlineStr">
        <is>
          <t>JÄMTLANDS LÄN</t>
        </is>
      </c>
      <c r="E837" t="inlineStr">
        <is>
          <t>KROKOM</t>
        </is>
      </c>
      <c r="F837" t="inlineStr">
        <is>
          <t>Övriga Aktiebolag</t>
        </is>
      </c>
      <c r="G837" t="n">
        <v>3.7</v>
      </c>
      <c r="H837" t="n">
        <v>0</v>
      </c>
      <c r="I837" t="n">
        <v>0</v>
      </c>
      <c r="J837" t="n">
        <v>0</v>
      </c>
      <c r="K837" t="n">
        <v>0</v>
      </c>
      <c r="L837" t="n">
        <v>0</v>
      </c>
      <c r="M837" t="n">
        <v>0</v>
      </c>
      <c r="N837" t="n">
        <v>0</v>
      </c>
      <c r="O837" t="n">
        <v>0</v>
      </c>
      <c r="P837" t="n">
        <v>0</v>
      </c>
      <c r="Q837" t="n">
        <v>0</v>
      </c>
      <c r="R837" s="2" t="inlineStr"/>
    </row>
    <row r="838" ht="15" customHeight="1">
      <c r="A838" t="inlineStr">
        <is>
          <t>A 60122-2024</t>
        </is>
      </c>
      <c r="B838" s="1" t="n">
        <v>45639</v>
      </c>
      <c r="C838" s="1" t="n">
        <v>45983</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9750-2024</t>
        </is>
      </c>
      <c r="B839" s="1" t="n">
        <v>45362</v>
      </c>
      <c r="C839" s="1" t="n">
        <v>45983</v>
      </c>
      <c r="D839" t="inlineStr">
        <is>
          <t>JÄMTLANDS LÄN</t>
        </is>
      </c>
      <c r="E839" t="inlineStr">
        <is>
          <t>KROKOM</t>
        </is>
      </c>
      <c r="G839" t="n">
        <v>1.7</v>
      </c>
      <c r="H839" t="n">
        <v>0</v>
      </c>
      <c r="I839" t="n">
        <v>0</v>
      </c>
      <c r="J839" t="n">
        <v>0</v>
      </c>
      <c r="K839" t="n">
        <v>0</v>
      </c>
      <c r="L839" t="n">
        <v>0</v>
      </c>
      <c r="M839" t="n">
        <v>0</v>
      </c>
      <c r="N839" t="n">
        <v>0</v>
      </c>
      <c r="O839" t="n">
        <v>0</v>
      </c>
      <c r="P839" t="n">
        <v>0</v>
      </c>
      <c r="Q839" t="n">
        <v>0</v>
      </c>
      <c r="R839" s="2" t="inlineStr"/>
    </row>
    <row r="840" ht="15" customHeight="1">
      <c r="A840" t="inlineStr">
        <is>
          <t>A 34289-2021</t>
        </is>
      </c>
      <c r="B840" s="1" t="n">
        <v>44379.59675925926</v>
      </c>
      <c r="C840" s="1" t="n">
        <v>45983</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57211-2025</t>
        </is>
      </c>
      <c r="B841" s="1" t="n">
        <v>45979</v>
      </c>
      <c r="C841" s="1" t="n">
        <v>45983</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49838-2025</t>
        </is>
      </c>
      <c r="B842" s="1" t="n">
        <v>45940.46920138889</v>
      </c>
      <c r="C842" s="1" t="n">
        <v>45983</v>
      </c>
      <c r="D842" t="inlineStr">
        <is>
          <t>JÄMTLANDS LÄN</t>
        </is>
      </c>
      <c r="E842" t="inlineStr">
        <is>
          <t>KROKOM</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49534-2025</t>
        </is>
      </c>
      <c r="B843" s="1" t="n">
        <v>45939.41162037037</v>
      </c>
      <c r="C843" s="1" t="n">
        <v>45983</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58128-2025</t>
        </is>
      </c>
      <c r="B844" s="1" t="n">
        <v>45982.61541666667</v>
      </c>
      <c r="C844" s="1" t="n">
        <v>45983</v>
      </c>
      <c r="D844" t="inlineStr">
        <is>
          <t>JÄMTLANDS LÄN</t>
        </is>
      </c>
      <c r="E844" t="inlineStr">
        <is>
          <t>KROKOM</t>
        </is>
      </c>
      <c r="G844" t="n">
        <v>0.8</v>
      </c>
      <c r="H844" t="n">
        <v>0</v>
      </c>
      <c r="I844" t="n">
        <v>0</v>
      </c>
      <c r="J844" t="n">
        <v>0</v>
      </c>
      <c r="K844" t="n">
        <v>0</v>
      </c>
      <c r="L844" t="n">
        <v>0</v>
      </c>
      <c r="M844" t="n">
        <v>0</v>
      </c>
      <c r="N844" t="n">
        <v>0</v>
      </c>
      <c r="O844" t="n">
        <v>0</v>
      </c>
      <c r="P844" t="n">
        <v>0</v>
      </c>
      <c r="Q844" t="n">
        <v>0</v>
      </c>
      <c r="R844" s="2" t="inlineStr"/>
    </row>
    <row r="845" ht="15" customHeight="1">
      <c r="A845" t="inlineStr">
        <is>
          <t>A 58129-2025</t>
        </is>
      </c>
      <c r="B845" s="1" t="n">
        <v>45982.61546296296</v>
      </c>
      <c r="C845" s="1" t="n">
        <v>45983</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58130-2025</t>
        </is>
      </c>
      <c r="B846" s="1" t="n">
        <v>45982.61550925926</v>
      </c>
      <c r="C846" s="1" t="n">
        <v>45983</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58013-2025</t>
        </is>
      </c>
      <c r="B847" s="1" t="n">
        <v>45982.46936342592</v>
      </c>
      <c r="C847" s="1" t="n">
        <v>45983</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17840-2025</t>
        </is>
      </c>
      <c r="B848" s="1" t="n">
        <v>45758.58943287037</v>
      </c>
      <c r="C848" s="1" t="n">
        <v>45983</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57857-2025</t>
        </is>
      </c>
      <c r="B849" s="1" t="n">
        <v>45981.63960648148</v>
      </c>
      <c r="C849" s="1" t="n">
        <v>45983</v>
      </c>
      <c r="D849" t="inlineStr">
        <is>
          <t>JÄMTLANDS LÄN</t>
        </is>
      </c>
      <c r="E849" t="inlineStr">
        <is>
          <t>KROKOM</t>
        </is>
      </c>
      <c r="G849" t="n">
        <v>7.9</v>
      </c>
      <c r="H849" t="n">
        <v>0</v>
      </c>
      <c r="I849" t="n">
        <v>0</v>
      </c>
      <c r="J849" t="n">
        <v>0</v>
      </c>
      <c r="K849" t="n">
        <v>0</v>
      </c>
      <c r="L849" t="n">
        <v>0</v>
      </c>
      <c r="M849" t="n">
        <v>0</v>
      </c>
      <c r="N849" t="n">
        <v>0</v>
      </c>
      <c r="O849" t="n">
        <v>0</v>
      </c>
      <c r="P849" t="n">
        <v>0</v>
      </c>
      <c r="Q849" t="n">
        <v>0</v>
      </c>
      <c r="R849" s="2" t="inlineStr"/>
    </row>
    <row r="850" ht="15" customHeight="1">
      <c r="A850" t="inlineStr">
        <is>
          <t>A 1477-2025</t>
        </is>
      </c>
      <c r="B850" s="1" t="n">
        <v>45670</v>
      </c>
      <c r="C850" s="1" t="n">
        <v>45983</v>
      </c>
      <c r="D850" t="inlineStr">
        <is>
          <t>JÄMTLANDS LÄN</t>
        </is>
      </c>
      <c r="E850" t="inlineStr">
        <is>
          <t>KROKOM</t>
        </is>
      </c>
      <c r="G850" t="n">
        <v>7.3</v>
      </c>
      <c r="H850" t="n">
        <v>0</v>
      </c>
      <c r="I850" t="n">
        <v>0</v>
      </c>
      <c r="J850" t="n">
        <v>0</v>
      </c>
      <c r="K850" t="n">
        <v>0</v>
      </c>
      <c r="L850" t="n">
        <v>0</v>
      </c>
      <c r="M850" t="n">
        <v>0</v>
      </c>
      <c r="N850" t="n">
        <v>0</v>
      </c>
      <c r="O850" t="n">
        <v>0</v>
      </c>
      <c r="P850" t="n">
        <v>0</v>
      </c>
      <c r="Q850" t="n">
        <v>0</v>
      </c>
      <c r="R850" s="2" t="inlineStr"/>
    </row>
    <row r="851" ht="15" customHeight="1">
      <c r="A851" t="inlineStr">
        <is>
          <t>A 58131-2025</t>
        </is>
      </c>
      <c r="B851" s="1" t="n">
        <v>45982.61557870371</v>
      </c>
      <c r="C851" s="1" t="n">
        <v>45983</v>
      </c>
      <c r="D851" t="inlineStr">
        <is>
          <t>JÄMTLANDS LÄN</t>
        </is>
      </c>
      <c r="E851" t="inlineStr">
        <is>
          <t>KROKOM</t>
        </is>
      </c>
      <c r="G851" t="n">
        <v>1.1</v>
      </c>
      <c r="H851" t="n">
        <v>0</v>
      </c>
      <c r="I851" t="n">
        <v>0</v>
      </c>
      <c r="J851" t="n">
        <v>0</v>
      </c>
      <c r="K851" t="n">
        <v>0</v>
      </c>
      <c r="L851" t="n">
        <v>0</v>
      </c>
      <c r="M851" t="n">
        <v>0</v>
      </c>
      <c r="N851" t="n">
        <v>0</v>
      </c>
      <c r="O851" t="n">
        <v>0</v>
      </c>
      <c r="P851" t="n">
        <v>0</v>
      </c>
      <c r="Q851" t="n">
        <v>0</v>
      </c>
      <c r="R851" s="2" t="inlineStr"/>
    </row>
    <row r="852" ht="15" customHeight="1">
      <c r="A852" t="inlineStr">
        <is>
          <t>A 49557-2025</t>
        </is>
      </c>
      <c r="B852" s="1" t="n">
        <v>45939.45077546296</v>
      </c>
      <c r="C852" s="1" t="n">
        <v>45983</v>
      </c>
      <c r="D852" t="inlineStr">
        <is>
          <t>JÄMTLANDS LÄN</t>
        </is>
      </c>
      <c r="E852" t="inlineStr">
        <is>
          <t>KROKOM</t>
        </is>
      </c>
      <c r="G852" t="n">
        <v>1.9</v>
      </c>
      <c r="H852" t="n">
        <v>0</v>
      </c>
      <c r="I852" t="n">
        <v>0</v>
      </c>
      <c r="J852" t="n">
        <v>0</v>
      </c>
      <c r="K852" t="n">
        <v>0</v>
      </c>
      <c r="L852" t="n">
        <v>0</v>
      </c>
      <c r="M852" t="n">
        <v>0</v>
      </c>
      <c r="N852" t="n">
        <v>0</v>
      </c>
      <c r="O852" t="n">
        <v>0</v>
      </c>
      <c r="P852" t="n">
        <v>0</v>
      </c>
      <c r="Q852" t="n">
        <v>0</v>
      </c>
      <c r="R852" s="2" t="inlineStr"/>
    </row>
    <row r="853" ht="15" customHeight="1">
      <c r="A853" t="inlineStr">
        <is>
          <t>A 49643-2025</t>
        </is>
      </c>
      <c r="B853" s="1" t="n">
        <v>45939</v>
      </c>
      <c r="C853" s="1" t="n">
        <v>45983</v>
      </c>
      <c r="D853" t="inlineStr">
        <is>
          <t>JÄMTLANDS LÄN</t>
        </is>
      </c>
      <c r="E853" t="inlineStr">
        <is>
          <t>KROKOM</t>
        </is>
      </c>
      <c r="G853" t="n">
        <v>3</v>
      </c>
      <c r="H853" t="n">
        <v>0</v>
      </c>
      <c r="I853" t="n">
        <v>0</v>
      </c>
      <c r="J853" t="n">
        <v>0</v>
      </c>
      <c r="K853" t="n">
        <v>0</v>
      </c>
      <c r="L853" t="n">
        <v>0</v>
      </c>
      <c r="M853" t="n">
        <v>0</v>
      </c>
      <c r="N853" t="n">
        <v>0</v>
      </c>
      <c r="O853" t="n">
        <v>0</v>
      </c>
      <c r="P853" t="n">
        <v>0</v>
      </c>
      <c r="Q853" t="n">
        <v>0</v>
      </c>
      <c r="R853" s="2" t="inlineStr"/>
    </row>
    <row r="854" ht="15" customHeight="1">
      <c r="A854" t="inlineStr">
        <is>
          <t>A 49644-2025</t>
        </is>
      </c>
      <c r="B854" s="1" t="n">
        <v>45939.61568287037</v>
      </c>
      <c r="C854" s="1" t="n">
        <v>45983</v>
      </c>
      <c r="D854" t="inlineStr">
        <is>
          <t>JÄMTLANDS LÄN</t>
        </is>
      </c>
      <c r="E854" t="inlineStr">
        <is>
          <t>KROKOM</t>
        </is>
      </c>
      <c r="G854" t="n">
        <v>2.4</v>
      </c>
      <c r="H854" t="n">
        <v>0</v>
      </c>
      <c r="I854" t="n">
        <v>0</v>
      </c>
      <c r="J854" t="n">
        <v>0</v>
      </c>
      <c r="K854" t="n">
        <v>0</v>
      </c>
      <c r="L854" t="n">
        <v>0</v>
      </c>
      <c r="M854" t="n">
        <v>0</v>
      </c>
      <c r="N854" t="n">
        <v>0</v>
      </c>
      <c r="O854" t="n">
        <v>0</v>
      </c>
      <c r="P854" t="n">
        <v>0</v>
      </c>
      <c r="Q854" t="n">
        <v>0</v>
      </c>
      <c r="R854" s="2" t="inlineStr"/>
    </row>
    <row r="855" ht="15" customHeight="1">
      <c r="A855" t="inlineStr">
        <is>
          <t>A 57149-2023</t>
        </is>
      </c>
      <c r="B855" s="1" t="n">
        <v>45245</v>
      </c>
      <c r="C855" s="1" t="n">
        <v>45983</v>
      </c>
      <c r="D855" t="inlineStr">
        <is>
          <t>JÄMTLANDS LÄN</t>
        </is>
      </c>
      <c r="E855" t="inlineStr">
        <is>
          <t>KROKOM</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49514-2025</t>
        </is>
      </c>
      <c r="B856" s="1" t="n">
        <v>45939.38530092593</v>
      </c>
      <c r="C856" s="1" t="n">
        <v>45983</v>
      </c>
      <c r="D856" t="inlineStr">
        <is>
          <t>JÄMTLANDS LÄN</t>
        </is>
      </c>
      <c r="E856" t="inlineStr">
        <is>
          <t>KROKOM</t>
        </is>
      </c>
      <c r="G856" t="n">
        <v>2.2</v>
      </c>
      <c r="H856" t="n">
        <v>0</v>
      </c>
      <c r="I856" t="n">
        <v>0</v>
      </c>
      <c r="J856" t="n">
        <v>0</v>
      </c>
      <c r="K856" t="n">
        <v>0</v>
      </c>
      <c r="L856" t="n">
        <v>0</v>
      </c>
      <c r="M856" t="n">
        <v>0</v>
      </c>
      <c r="N856" t="n">
        <v>0</v>
      </c>
      <c r="O856" t="n">
        <v>0</v>
      </c>
      <c r="P856" t="n">
        <v>0</v>
      </c>
      <c r="Q856" t="n">
        <v>0</v>
      </c>
      <c r="R856" s="2" t="inlineStr"/>
    </row>
    <row r="857" ht="15" customHeight="1">
      <c r="A857" t="inlineStr">
        <is>
          <t>A 6185-2025</t>
        </is>
      </c>
      <c r="B857" s="1" t="n">
        <v>45698.45653935185</v>
      </c>
      <c r="C857" s="1" t="n">
        <v>45983</v>
      </c>
      <c r="D857" t="inlineStr">
        <is>
          <t>JÄMTLANDS LÄN</t>
        </is>
      </c>
      <c r="E857" t="inlineStr">
        <is>
          <t>KROKOM</t>
        </is>
      </c>
      <c r="G857" t="n">
        <v>14.7</v>
      </c>
      <c r="H857" t="n">
        <v>0</v>
      </c>
      <c r="I857" t="n">
        <v>0</v>
      </c>
      <c r="J857" t="n">
        <v>0</v>
      </c>
      <c r="K857" t="n">
        <v>0</v>
      </c>
      <c r="L857" t="n">
        <v>0</v>
      </c>
      <c r="M857" t="n">
        <v>0</v>
      </c>
      <c r="N857" t="n">
        <v>0</v>
      </c>
      <c r="O857" t="n">
        <v>0</v>
      </c>
      <c r="P857" t="n">
        <v>0</v>
      </c>
      <c r="Q857" t="n">
        <v>0</v>
      </c>
      <c r="R857" s="2" t="inlineStr"/>
    </row>
    <row r="858" ht="15" customHeight="1">
      <c r="A858" t="inlineStr">
        <is>
          <t>A 6042-2025</t>
        </is>
      </c>
      <c r="B858" s="1" t="n">
        <v>45695</v>
      </c>
      <c r="C858" s="1" t="n">
        <v>45983</v>
      </c>
      <c r="D858" t="inlineStr">
        <is>
          <t>JÄMTLANDS LÄN</t>
        </is>
      </c>
      <c r="E858" t="inlineStr">
        <is>
          <t>KROKOM</t>
        </is>
      </c>
      <c r="F858" t="inlineStr">
        <is>
          <t>Övriga Aktiebolag</t>
        </is>
      </c>
      <c r="G858" t="n">
        <v>8.9</v>
      </c>
      <c r="H858" t="n">
        <v>0</v>
      </c>
      <c r="I858" t="n">
        <v>0</v>
      </c>
      <c r="J858" t="n">
        <v>0</v>
      </c>
      <c r="K858" t="n">
        <v>0</v>
      </c>
      <c r="L858" t="n">
        <v>0</v>
      </c>
      <c r="M858" t="n">
        <v>0</v>
      </c>
      <c r="N858" t="n">
        <v>0</v>
      </c>
      <c r="O858" t="n">
        <v>0</v>
      </c>
      <c r="P858" t="n">
        <v>0</v>
      </c>
      <c r="Q858" t="n">
        <v>0</v>
      </c>
      <c r="R858" s="2" t="inlineStr"/>
    </row>
    <row r="859" ht="15" customHeight="1">
      <c r="A859" t="inlineStr">
        <is>
          <t>A 10581-2025</t>
        </is>
      </c>
      <c r="B859" s="1" t="n">
        <v>45721.54896990741</v>
      </c>
      <c r="C859" s="1" t="n">
        <v>45983</v>
      </c>
      <c r="D859" t="inlineStr">
        <is>
          <t>JÄMTLANDS LÄN</t>
        </is>
      </c>
      <c r="E859" t="inlineStr">
        <is>
          <t>KROKOM</t>
        </is>
      </c>
      <c r="G859" t="n">
        <v>2</v>
      </c>
      <c r="H859" t="n">
        <v>0</v>
      </c>
      <c r="I859" t="n">
        <v>0</v>
      </c>
      <c r="J859" t="n">
        <v>0</v>
      </c>
      <c r="K859" t="n">
        <v>0</v>
      </c>
      <c r="L859" t="n">
        <v>0</v>
      </c>
      <c r="M859" t="n">
        <v>0</v>
      </c>
      <c r="N859" t="n">
        <v>0</v>
      </c>
      <c r="O859" t="n">
        <v>0</v>
      </c>
      <c r="P859" t="n">
        <v>0</v>
      </c>
      <c r="Q859" t="n">
        <v>0</v>
      </c>
      <c r="R859" s="2" t="inlineStr"/>
    </row>
    <row r="860" ht="15" customHeight="1">
      <c r="A860" t="inlineStr">
        <is>
          <t>A 47625-2023</t>
        </is>
      </c>
      <c r="B860" s="1" t="n">
        <v>45203</v>
      </c>
      <c r="C860" s="1" t="n">
        <v>45983</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20742-2023</t>
        </is>
      </c>
      <c r="B861" s="1" t="n">
        <v>45055</v>
      </c>
      <c r="C861" s="1" t="n">
        <v>45983</v>
      </c>
      <c r="D861" t="inlineStr">
        <is>
          <t>JÄMTLANDS LÄN</t>
        </is>
      </c>
      <c r="E861" t="inlineStr">
        <is>
          <t>KROKOM</t>
        </is>
      </c>
      <c r="G861" t="n">
        <v>0.4</v>
      </c>
      <c r="H861" t="n">
        <v>0</v>
      </c>
      <c r="I861" t="n">
        <v>0</v>
      </c>
      <c r="J861" t="n">
        <v>0</v>
      </c>
      <c r="K861" t="n">
        <v>0</v>
      </c>
      <c r="L861" t="n">
        <v>0</v>
      </c>
      <c r="M861" t="n">
        <v>0</v>
      </c>
      <c r="N861" t="n">
        <v>0</v>
      </c>
      <c r="O861" t="n">
        <v>0</v>
      </c>
      <c r="P861" t="n">
        <v>0</v>
      </c>
      <c r="Q861" t="n">
        <v>0</v>
      </c>
      <c r="R861" s="2" t="inlineStr"/>
    </row>
    <row r="862" ht="15" customHeight="1">
      <c r="A862" t="inlineStr">
        <is>
          <t>A 18583-2025</t>
        </is>
      </c>
      <c r="B862" s="1" t="n">
        <v>45763.46918981482</v>
      </c>
      <c r="C862" s="1" t="n">
        <v>45983</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7391-2025</t>
        </is>
      </c>
      <c r="B863" s="1" t="n">
        <v>45705.33446759259</v>
      </c>
      <c r="C863" s="1" t="n">
        <v>45983</v>
      </c>
      <c r="D863" t="inlineStr">
        <is>
          <t>JÄMTLANDS LÄN</t>
        </is>
      </c>
      <c r="E863" t="inlineStr">
        <is>
          <t>KROKOM</t>
        </is>
      </c>
      <c r="F863" t="inlineStr">
        <is>
          <t>Övriga Aktiebolag</t>
        </is>
      </c>
      <c r="G863" t="n">
        <v>7.9</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45983</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20735-2023</t>
        </is>
      </c>
      <c r="B865" s="1" t="n">
        <v>45055</v>
      </c>
      <c r="C865" s="1" t="n">
        <v>45983</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61767-2024</t>
        </is>
      </c>
      <c r="B866" s="1" t="n">
        <v>45649.45143518518</v>
      </c>
      <c r="C866" s="1" t="n">
        <v>45983</v>
      </c>
      <c r="D866" t="inlineStr">
        <is>
          <t>JÄMTLANDS LÄN</t>
        </is>
      </c>
      <c r="E866" t="inlineStr">
        <is>
          <t>KROKOM</t>
        </is>
      </c>
      <c r="G866" t="n">
        <v>3.1</v>
      </c>
      <c r="H866" t="n">
        <v>0</v>
      </c>
      <c r="I866" t="n">
        <v>0</v>
      </c>
      <c r="J866" t="n">
        <v>0</v>
      </c>
      <c r="K866" t="n">
        <v>0</v>
      </c>
      <c r="L866" t="n">
        <v>0</v>
      </c>
      <c r="M866" t="n">
        <v>0</v>
      </c>
      <c r="N866" t="n">
        <v>0</v>
      </c>
      <c r="O866" t="n">
        <v>0</v>
      </c>
      <c r="P866" t="n">
        <v>0</v>
      </c>
      <c r="Q866" t="n">
        <v>0</v>
      </c>
      <c r="R866" s="2" t="inlineStr"/>
    </row>
    <row r="867" ht="15" customHeight="1">
      <c r="A867" t="inlineStr">
        <is>
          <t>A 23214-2024</t>
        </is>
      </c>
      <c r="B867" s="1" t="n">
        <v>45452.55271990741</v>
      </c>
      <c r="C867" s="1" t="n">
        <v>45983</v>
      </c>
      <c r="D867" t="inlineStr">
        <is>
          <t>JÄMTLANDS LÄN</t>
        </is>
      </c>
      <c r="E867" t="inlineStr">
        <is>
          <t>KROKOM</t>
        </is>
      </c>
      <c r="F867" t="inlineStr">
        <is>
          <t>Övriga Aktiebolag</t>
        </is>
      </c>
      <c r="G867" t="n">
        <v>0.4</v>
      </c>
      <c r="H867" t="n">
        <v>0</v>
      </c>
      <c r="I867" t="n">
        <v>0</v>
      </c>
      <c r="J867" t="n">
        <v>0</v>
      </c>
      <c r="K867" t="n">
        <v>0</v>
      </c>
      <c r="L867" t="n">
        <v>0</v>
      </c>
      <c r="M867" t="n">
        <v>0</v>
      </c>
      <c r="N867" t="n">
        <v>0</v>
      </c>
      <c r="O867" t="n">
        <v>0</v>
      </c>
      <c r="P867" t="n">
        <v>0</v>
      </c>
      <c r="Q867" t="n">
        <v>0</v>
      </c>
      <c r="R867" s="2" t="inlineStr"/>
    </row>
    <row r="868" ht="15" customHeight="1">
      <c r="A868" t="inlineStr">
        <is>
          <t>A 50177-2021</t>
        </is>
      </c>
      <c r="B868" s="1" t="n">
        <v>44456</v>
      </c>
      <c r="C868" s="1" t="n">
        <v>45983</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15209-2025</t>
        </is>
      </c>
      <c r="B869" s="1" t="n">
        <v>45744</v>
      </c>
      <c r="C869" s="1" t="n">
        <v>45983</v>
      </c>
      <c r="D869" t="inlineStr">
        <is>
          <t>JÄMTLANDS LÄN</t>
        </is>
      </c>
      <c r="E869" t="inlineStr">
        <is>
          <t>KROKOM</t>
        </is>
      </c>
      <c r="G869" t="n">
        <v>1.6</v>
      </c>
      <c r="H869" t="n">
        <v>0</v>
      </c>
      <c r="I869" t="n">
        <v>0</v>
      </c>
      <c r="J869" t="n">
        <v>0</v>
      </c>
      <c r="K869" t="n">
        <v>0</v>
      </c>
      <c r="L869" t="n">
        <v>0</v>
      </c>
      <c r="M869" t="n">
        <v>0</v>
      </c>
      <c r="N869" t="n">
        <v>0</v>
      </c>
      <c r="O869" t="n">
        <v>0</v>
      </c>
      <c r="P869" t="n">
        <v>0</v>
      </c>
      <c r="Q869" t="n">
        <v>0</v>
      </c>
      <c r="R869" s="2" t="inlineStr"/>
    </row>
    <row r="870" ht="15" customHeight="1">
      <c r="A870" t="inlineStr">
        <is>
          <t>A 16548-2025</t>
        </is>
      </c>
      <c r="B870" s="1" t="n">
        <v>45751.6877662037</v>
      </c>
      <c r="C870" s="1" t="n">
        <v>45983</v>
      </c>
      <c r="D870" t="inlineStr">
        <is>
          <t>JÄMTLANDS LÄN</t>
        </is>
      </c>
      <c r="E870" t="inlineStr">
        <is>
          <t>KROKOM</t>
        </is>
      </c>
      <c r="F870" t="inlineStr">
        <is>
          <t>Övriga Aktiebolag</t>
        </is>
      </c>
      <c r="G870" t="n">
        <v>10.9</v>
      </c>
      <c r="H870" t="n">
        <v>0</v>
      </c>
      <c r="I870" t="n">
        <v>0</v>
      </c>
      <c r="J870" t="n">
        <v>0</v>
      </c>
      <c r="K870" t="n">
        <v>0</v>
      </c>
      <c r="L870" t="n">
        <v>0</v>
      </c>
      <c r="M870" t="n">
        <v>0</v>
      </c>
      <c r="N870" t="n">
        <v>0</v>
      </c>
      <c r="O870" t="n">
        <v>0</v>
      </c>
      <c r="P870" t="n">
        <v>0</v>
      </c>
      <c r="Q870" t="n">
        <v>0</v>
      </c>
      <c r="R870" s="2" t="inlineStr"/>
    </row>
    <row r="871" ht="15" customHeight="1">
      <c r="A871" t="inlineStr">
        <is>
          <t>A 16278-2025</t>
        </is>
      </c>
      <c r="B871" s="1" t="n">
        <v>45751.28243055556</v>
      </c>
      <c r="C871" s="1" t="n">
        <v>45983</v>
      </c>
      <c r="D871" t="inlineStr">
        <is>
          <t>JÄMTLANDS LÄN</t>
        </is>
      </c>
      <c r="E871" t="inlineStr">
        <is>
          <t>KROKOM</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12188-2024</t>
        </is>
      </c>
      <c r="B872" s="1" t="n">
        <v>45377</v>
      </c>
      <c r="C872" s="1" t="n">
        <v>45983</v>
      </c>
      <c r="D872" t="inlineStr">
        <is>
          <t>JÄMTLANDS LÄN</t>
        </is>
      </c>
      <c r="E872" t="inlineStr">
        <is>
          <t>KROKOM</t>
        </is>
      </c>
      <c r="G872" t="n">
        <v>7.9</v>
      </c>
      <c r="H872" t="n">
        <v>0</v>
      </c>
      <c r="I872" t="n">
        <v>0</v>
      </c>
      <c r="J872" t="n">
        <v>0</v>
      </c>
      <c r="K872" t="n">
        <v>0</v>
      </c>
      <c r="L872" t="n">
        <v>0</v>
      </c>
      <c r="M872" t="n">
        <v>0</v>
      </c>
      <c r="N872" t="n">
        <v>0</v>
      </c>
      <c r="O872" t="n">
        <v>0</v>
      </c>
      <c r="P872" t="n">
        <v>0</v>
      </c>
      <c r="Q872" t="n">
        <v>0</v>
      </c>
      <c r="R872" s="2" t="inlineStr"/>
    </row>
    <row r="873" ht="15" customHeight="1">
      <c r="A873" t="inlineStr">
        <is>
          <t>A 41497-2024</t>
        </is>
      </c>
      <c r="B873" s="1" t="n">
        <v>45560.45841435185</v>
      </c>
      <c r="C873" s="1" t="n">
        <v>45983</v>
      </c>
      <c r="D873" t="inlineStr">
        <is>
          <t>JÄMTLANDS LÄN</t>
        </is>
      </c>
      <c r="E873" t="inlineStr">
        <is>
          <t>KROKOM</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60680-2023</t>
        </is>
      </c>
      <c r="B874" s="1" t="n">
        <v>45260</v>
      </c>
      <c r="C874" s="1" t="n">
        <v>45983</v>
      </c>
      <c r="D874" t="inlineStr">
        <is>
          <t>JÄMTLANDS LÄN</t>
        </is>
      </c>
      <c r="E874" t="inlineStr">
        <is>
          <t>KROKOM</t>
        </is>
      </c>
      <c r="G874" t="n">
        <v>1</v>
      </c>
      <c r="H874" t="n">
        <v>0</v>
      </c>
      <c r="I874" t="n">
        <v>0</v>
      </c>
      <c r="J874" t="n">
        <v>0</v>
      </c>
      <c r="K874" t="n">
        <v>0</v>
      </c>
      <c r="L874" t="n">
        <v>0</v>
      </c>
      <c r="M874" t="n">
        <v>0</v>
      </c>
      <c r="N874" t="n">
        <v>0</v>
      </c>
      <c r="O874" t="n">
        <v>0</v>
      </c>
      <c r="P874" t="n">
        <v>0</v>
      </c>
      <c r="Q874" t="n">
        <v>0</v>
      </c>
      <c r="R874" s="2" t="inlineStr"/>
    </row>
    <row r="875" ht="15" customHeight="1">
      <c r="A875" t="inlineStr">
        <is>
          <t>A 71572-2021</t>
        </is>
      </c>
      <c r="B875" s="1" t="n">
        <v>44540</v>
      </c>
      <c r="C875" s="1" t="n">
        <v>45983</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4369-2025</t>
        </is>
      </c>
      <c r="B876" s="1" t="n">
        <v>45686.35247685185</v>
      </c>
      <c r="C876" s="1" t="n">
        <v>45983</v>
      </c>
      <c r="D876" t="inlineStr">
        <is>
          <t>JÄMTLANDS LÄN</t>
        </is>
      </c>
      <c r="E876" t="inlineStr">
        <is>
          <t>KROKOM</t>
        </is>
      </c>
      <c r="F876" t="inlineStr">
        <is>
          <t>SCA</t>
        </is>
      </c>
      <c r="G876" t="n">
        <v>45.4</v>
      </c>
      <c r="H876" t="n">
        <v>0</v>
      </c>
      <c r="I876" t="n">
        <v>0</v>
      </c>
      <c r="J876" t="n">
        <v>0</v>
      </c>
      <c r="K876" t="n">
        <v>0</v>
      </c>
      <c r="L876" t="n">
        <v>0</v>
      </c>
      <c r="M876" t="n">
        <v>0</v>
      </c>
      <c r="N876" t="n">
        <v>0</v>
      </c>
      <c r="O876" t="n">
        <v>0</v>
      </c>
      <c r="P876" t="n">
        <v>0</v>
      </c>
      <c r="Q876" t="n">
        <v>0</v>
      </c>
      <c r="R876" s="2" t="inlineStr"/>
    </row>
    <row r="877" ht="15" customHeight="1">
      <c r="A877" t="inlineStr">
        <is>
          <t>A 18826-2023</t>
        </is>
      </c>
      <c r="B877" s="1" t="n">
        <v>45042</v>
      </c>
      <c r="C877" s="1" t="n">
        <v>45983</v>
      </c>
      <c r="D877" t="inlineStr">
        <is>
          <t>JÄMTLANDS LÄN</t>
        </is>
      </c>
      <c r="E877" t="inlineStr">
        <is>
          <t>KROKOM</t>
        </is>
      </c>
      <c r="G877" t="n">
        <v>17.1</v>
      </c>
      <c r="H877" t="n">
        <v>0</v>
      </c>
      <c r="I877" t="n">
        <v>0</v>
      </c>
      <c r="J877" t="n">
        <v>0</v>
      </c>
      <c r="K877" t="n">
        <v>0</v>
      </c>
      <c r="L877" t="n">
        <v>0</v>
      </c>
      <c r="M877" t="n">
        <v>0</v>
      </c>
      <c r="N877" t="n">
        <v>0</v>
      </c>
      <c r="O877" t="n">
        <v>0</v>
      </c>
      <c r="P877" t="n">
        <v>0</v>
      </c>
      <c r="Q877" t="n">
        <v>0</v>
      </c>
      <c r="R877" s="2" t="inlineStr"/>
    </row>
    <row r="878" ht="15" customHeight="1">
      <c r="A878" t="inlineStr">
        <is>
          <t>A 59668-2023</t>
        </is>
      </c>
      <c r="B878" s="1" t="n">
        <v>45254</v>
      </c>
      <c r="C878" s="1" t="n">
        <v>45983</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34502-2023</t>
        </is>
      </c>
      <c r="B879" s="1" t="n">
        <v>45133</v>
      </c>
      <c r="C879" s="1" t="n">
        <v>45983</v>
      </c>
      <c r="D879" t="inlineStr">
        <is>
          <t>JÄMTLANDS LÄN</t>
        </is>
      </c>
      <c r="E879" t="inlineStr">
        <is>
          <t>KROKOM</t>
        </is>
      </c>
      <c r="G879" t="n">
        <v>6.9</v>
      </c>
      <c r="H879" t="n">
        <v>0</v>
      </c>
      <c r="I879" t="n">
        <v>0</v>
      </c>
      <c r="J879" t="n">
        <v>0</v>
      </c>
      <c r="K879" t="n">
        <v>0</v>
      </c>
      <c r="L879" t="n">
        <v>0</v>
      </c>
      <c r="M879" t="n">
        <v>0</v>
      </c>
      <c r="N879" t="n">
        <v>0</v>
      </c>
      <c r="O879" t="n">
        <v>0</v>
      </c>
      <c r="P879" t="n">
        <v>0</v>
      </c>
      <c r="Q879" t="n">
        <v>0</v>
      </c>
      <c r="R879" s="2" t="inlineStr"/>
    </row>
    <row r="880" ht="15" customHeight="1">
      <c r="A880" t="inlineStr">
        <is>
          <t>A 71307-2021</t>
        </is>
      </c>
      <c r="B880" s="1" t="n">
        <v>44539</v>
      </c>
      <c r="C880" s="1" t="n">
        <v>45983</v>
      </c>
      <c r="D880" t="inlineStr">
        <is>
          <t>JÄMTLANDS LÄN</t>
        </is>
      </c>
      <c r="E880" t="inlineStr">
        <is>
          <t>KROKOM</t>
        </is>
      </c>
      <c r="G880" t="n">
        <v>21.5</v>
      </c>
      <c r="H880" t="n">
        <v>0</v>
      </c>
      <c r="I880" t="n">
        <v>0</v>
      </c>
      <c r="J880" t="n">
        <v>0</v>
      </c>
      <c r="K880" t="n">
        <v>0</v>
      </c>
      <c r="L880" t="n">
        <v>0</v>
      </c>
      <c r="M880" t="n">
        <v>0</v>
      </c>
      <c r="N880" t="n">
        <v>0</v>
      </c>
      <c r="O880" t="n">
        <v>0</v>
      </c>
      <c r="P880" t="n">
        <v>0</v>
      </c>
      <c r="Q880" t="n">
        <v>0</v>
      </c>
      <c r="R880" s="2" t="inlineStr"/>
    </row>
    <row r="881" ht="15" customHeight="1">
      <c r="A881" t="inlineStr">
        <is>
          <t>A 57239-2023</t>
        </is>
      </c>
      <c r="B881" s="1" t="n">
        <v>45245.5478125</v>
      </c>
      <c r="C881" s="1" t="n">
        <v>45983</v>
      </c>
      <c r="D881" t="inlineStr">
        <is>
          <t>JÄMTLANDS LÄN</t>
        </is>
      </c>
      <c r="E881" t="inlineStr">
        <is>
          <t>KROKOM</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11639-2024</t>
        </is>
      </c>
      <c r="B882" s="1" t="n">
        <v>45373</v>
      </c>
      <c r="C882" s="1" t="n">
        <v>45983</v>
      </c>
      <c r="D882" t="inlineStr">
        <is>
          <t>JÄMTLANDS LÄN</t>
        </is>
      </c>
      <c r="E882" t="inlineStr">
        <is>
          <t>KROKOM</t>
        </is>
      </c>
      <c r="G882" t="n">
        <v>22.2</v>
      </c>
      <c r="H882" t="n">
        <v>0</v>
      </c>
      <c r="I882" t="n">
        <v>0</v>
      </c>
      <c r="J882" t="n">
        <v>0</v>
      </c>
      <c r="K882" t="n">
        <v>0</v>
      </c>
      <c r="L882" t="n">
        <v>0</v>
      </c>
      <c r="M882" t="n">
        <v>0</v>
      </c>
      <c r="N882" t="n">
        <v>0</v>
      </c>
      <c r="O882" t="n">
        <v>0</v>
      </c>
      <c r="P882" t="n">
        <v>0</v>
      </c>
      <c r="Q882" t="n">
        <v>0</v>
      </c>
      <c r="R882" s="2" t="inlineStr"/>
    </row>
    <row r="883" ht="15" customHeight="1">
      <c r="A883" t="inlineStr">
        <is>
          <t>A 42828-2023</t>
        </is>
      </c>
      <c r="B883" s="1" t="n">
        <v>45182</v>
      </c>
      <c r="C883" s="1" t="n">
        <v>45983</v>
      </c>
      <c r="D883" t="inlineStr">
        <is>
          <t>JÄMTLANDS LÄN</t>
        </is>
      </c>
      <c r="E883" t="inlineStr">
        <is>
          <t>KROKOM</t>
        </is>
      </c>
      <c r="G883" t="n">
        <v>0.2</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45983</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57304-2021</t>
        </is>
      </c>
      <c r="B885" s="1" t="n">
        <v>44483.42253472222</v>
      </c>
      <c r="C885" s="1" t="n">
        <v>45983</v>
      </c>
      <c r="D885" t="inlineStr">
        <is>
          <t>JÄMTLANDS LÄN</t>
        </is>
      </c>
      <c r="E885" t="inlineStr">
        <is>
          <t>KROKOM</t>
        </is>
      </c>
      <c r="G885" t="n">
        <v>2.9</v>
      </c>
      <c r="H885" t="n">
        <v>0</v>
      </c>
      <c r="I885" t="n">
        <v>0</v>
      </c>
      <c r="J885" t="n">
        <v>0</v>
      </c>
      <c r="K885" t="n">
        <v>0</v>
      </c>
      <c r="L885" t="n">
        <v>0</v>
      </c>
      <c r="M885" t="n">
        <v>0</v>
      </c>
      <c r="N885" t="n">
        <v>0</v>
      </c>
      <c r="O885" t="n">
        <v>0</v>
      </c>
      <c r="P885" t="n">
        <v>0</v>
      </c>
      <c r="Q885" t="n">
        <v>0</v>
      </c>
      <c r="R885" s="2" t="inlineStr"/>
    </row>
    <row r="886" ht="15" customHeight="1">
      <c r="A886" t="inlineStr">
        <is>
          <t>A 27440-2024</t>
        </is>
      </c>
      <c r="B886" s="1" t="n">
        <v>45474</v>
      </c>
      <c r="C886" s="1" t="n">
        <v>45983</v>
      </c>
      <c r="D886" t="inlineStr">
        <is>
          <t>JÄMTLANDS LÄN</t>
        </is>
      </c>
      <c r="E886" t="inlineStr">
        <is>
          <t>KROKOM</t>
        </is>
      </c>
      <c r="G886" t="n">
        <v>2.9</v>
      </c>
      <c r="H886" t="n">
        <v>0</v>
      </c>
      <c r="I886" t="n">
        <v>0</v>
      </c>
      <c r="J886" t="n">
        <v>0</v>
      </c>
      <c r="K886" t="n">
        <v>0</v>
      </c>
      <c r="L886" t="n">
        <v>0</v>
      </c>
      <c r="M886" t="n">
        <v>0</v>
      </c>
      <c r="N886" t="n">
        <v>0</v>
      </c>
      <c r="O886" t="n">
        <v>0</v>
      </c>
      <c r="P886" t="n">
        <v>0</v>
      </c>
      <c r="Q886" t="n">
        <v>0</v>
      </c>
      <c r="R886" s="2" t="inlineStr"/>
    </row>
    <row r="887" ht="15" customHeight="1">
      <c r="A887" t="inlineStr">
        <is>
          <t>A 64764-2023</t>
        </is>
      </c>
      <c r="B887" s="1" t="n">
        <v>45282</v>
      </c>
      <c r="C887" s="1" t="n">
        <v>45983</v>
      </c>
      <c r="D887" t="inlineStr">
        <is>
          <t>JÄMTLANDS LÄN</t>
        </is>
      </c>
      <c r="E887" t="inlineStr">
        <is>
          <t>KROKOM</t>
        </is>
      </c>
      <c r="G887" t="n">
        <v>1.6</v>
      </c>
      <c r="H887" t="n">
        <v>0</v>
      </c>
      <c r="I887" t="n">
        <v>0</v>
      </c>
      <c r="J887" t="n">
        <v>0</v>
      </c>
      <c r="K887" t="n">
        <v>0</v>
      </c>
      <c r="L887" t="n">
        <v>0</v>
      </c>
      <c r="M887" t="n">
        <v>0</v>
      </c>
      <c r="N887" t="n">
        <v>0</v>
      </c>
      <c r="O887" t="n">
        <v>0</v>
      </c>
      <c r="P887" t="n">
        <v>0</v>
      </c>
      <c r="Q887" t="n">
        <v>0</v>
      </c>
      <c r="R887" s="2" t="inlineStr"/>
    </row>
    <row r="888" ht="15" customHeight="1">
      <c r="A888" t="inlineStr">
        <is>
          <t>A 28595-2024</t>
        </is>
      </c>
      <c r="B888" s="1" t="n">
        <v>45478.42063657408</v>
      </c>
      <c r="C888" s="1" t="n">
        <v>45983</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65508-2021</t>
        </is>
      </c>
      <c r="B889" s="1" t="n">
        <v>44516</v>
      </c>
      <c r="C889" s="1" t="n">
        <v>45983</v>
      </c>
      <c r="D889" t="inlineStr">
        <is>
          <t>JÄMTLANDS LÄN</t>
        </is>
      </c>
      <c r="E889" t="inlineStr">
        <is>
          <t>KROKOM</t>
        </is>
      </c>
      <c r="G889" t="n">
        <v>0.3</v>
      </c>
      <c r="H889" t="n">
        <v>0</v>
      </c>
      <c r="I889" t="n">
        <v>0</v>
      </c>
      <c r="J889" t="n">
        <v>0</v>
      </c>
      <c r="K889" t="n">
        <v>0</v>
      </c>
      <c r="L889" t="n">
        <v>0</v>
      </c>
      <c r="M889" t="n">
        <v>0</v>
      </c>
      <c r="N889" t="n">
        <v>0</v>
      </c>
      <c r="O889" t="n">
        <v>0</v>
      </c>
      <c r="P889" t="n">
        <v>0</v>
      </c>
      <c r="Q889" t="n">
        <v>0</v>
      </c>
      <c r="R889" s="2" t="inlineStr"/>
    </row>
    <row r="890" ht="15" customHeight="1">
      <c r="A890" t="inlineStr">
        <is>
          <t>A 36439-2023</t>
        </is>
      </c>
      <c r="B890" s="1" t="n">
        <v>45152</v>
      </c>
      <c r="C890" s="1" t="n">
        <v>45983</v>
      </c>
      <c r="D890" t="inlineStr">
        <is>
          <t>JÄMTLANDS LÄN</t>
        </is>
      </c>
      <c r="E890" t="inlineStr">
        <is>
          <t>KROKOM</t>
        </is>
      </c>
      <c r="F890" t="inlineStr">
        <is>
          <t>Övriga Aktiebolag</t>
        </is>
      </c>
      <c r="G890" t="n">
        <v>7.4</v>
      </c>
      <c r="H890" t="n">
        <v>0</v>
      </c>
      <c r="I890" t="n">
        <v>0</v>
      </c>
      <c r="J890" t="n">
        <v>0</v>
      </c>
      <c r="K890" t="n">
        <v>0</v>
      </c>
      <c r="L890" t="n">
        <v>0</v>
      </c>
      <c r="M890" t="n">
        <v>0</v>
      </c>
      <c r="N890" t="n">
        <v>0</v>
      </c>
      <c r="O890" t="n">
        <v>0</v>
      </c>
      <c r="P890" t="n">
        <v>0</v>
      </c>
      <c r="Q890" t="n">
        <v>0</v>
      </c>
      <c r="R890" s="2" t="inlineStr"/>
    </row>
    <row r="891" ht="15" customHeight="1">
      <c r="A891" t="inlineStr">
        <is>
          <t>A 62739-2021</t>
        </is>
      </c>
      <c r="B891" s="1" t="n">
        <v>44504</v>
      </c>
      <c r="C891" s="1" t="n">
        <v>45983</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2609-2023</t>
        </is>
      </c>
      <c r="B892" s="1" t="n">
        <v>44939</v>
      </c>
      <c r="C892" s="1" t="n">
        <v>45983</v>
      </c>
      <c r="D892" t="inlineStr">
        <is>
          <t>JÄMTLANDS LÄN</t>
        </is>
      </c>
      <c r="E892" t="inlineStr">
        <is>
          <t>KROKOM</t>
        </is>
      </c>
      <c r="G892" t="n">
        <v>16.9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45983</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52313-2024</t>
        </is>
      </c>
      <c r="B894" s="1" t="n">
        <v>45608.86341435185</v>
      </c>
      <c r="C894" s="1" t="n">
        <v>45983</v>
      </c>
      <c r="D894" t="inlineStr">
        <is>
          <t>JÄMTLANDS LÄN</t>
        </is>
      </c>
      <c r="E894" t="inlineStr">
        <is>
          <t>KROKOM</t>
        </is>
      </c>
      <c r="G894" t="n">
        <v>6.4</v>
      </c>
      <c r="H894" t="n">
        <v>0</v>
      </c>
      <c r="I894" t="n">
        <v>0</v>
      </c>
      <c r="J894" t="n">
        <v>0</v>
      </c>
      <c r="K894" t="n">
        <v>0</v>
      </c>
      <c r="L894" t="n">
        <v>0</v>
      </c>
      <c r="M894" t="n">
        <v>0</v>
      </c>
      <c r="N894" t="n">
        <v>0</v>
      </c>
      <c r="O894" t="n">
        <v>0</v>
      </c>
      <c r="P894" t="n">
        <v>0</v>
      </c>
      <c r="Q894" t="n">
        <v>0</v>
      </c>
      <c r="R894" s="2" t="inlineStr"/>
    </row>
    <row r="895" ht="15" customHeight="1">
      <c r="A895" t="inlineStr">
        <is>
          <t>A 32692-2023</t>
        </is>
      </c>
      <c r="B895" s="1" t="n">
        <v>45112</v>
      </c>
      <c r="C895" s="1" t="n">
        <v>45983</v>
      </c>
      <c r="D895" t="inlineStr">
        <is>
          <t>JÄMTLANDS LÄN</t>
        </is>
      </c>
      <c r="E895" t="inlineStr">
        <is>
          <t>KROKOM</t>
        </is>
      </c>
      <c r="G895" t="n">
        <v>6.6</v>
      </c>
      <c r="H895" t="n">
        <v>0</v>
      </c>
      <c r="I895" t="n">
        <v>0</v>
      </c>
      <c r="J895" t="n">
        <v>0</v>
      </c>
      <c r="K895" t="n">
        <v>0</v>
      </c>
      <c r="L895" t="n">
        <v>0</v>
      </c>
      <c r="M895" t="n">
        <v>0</v>
      </c>
      <c r="N895" t="n">
        <v>0</v>
      </c>
      <c r="O895" t="n">
        <v>0</v>
      </c>
      <c r="P895" t="n">
        <v>0</v>
      </c>
      <c r="Q895" t="n">
        <v>0</v>
      </c>
      <c r="R895" s="2" t="inlineStr"/>
    </row>
    <row r="896" ht="15" customHeight="1">
      <c r="A896" t="inlineStr">
        <is>
          <t>A 17820-2024</t>
        </is>
      </c>
      <c r="B896" s="1" t="n">
        <v>45418.94616898148</v>
      </c>
      <c r="C896" s="1" t="n">
        <v>45983</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31601-2023</t>
        </is>
      </c>
      <c r="B897" s="1" t="n">
        <v>45117</v>
      </c>
      <c r="C897" s="1" t="n">
        <v>45983</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45777-2024</t>
        </is>
      </c>
      <c r="B898" s="1" t="n">
        <v>45579.66459490741</v>
      </c>
      <c r="C898" s="1" t="n">
        <v>45983</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14029-2024</t>
        </is>
      </c>
      <c r="B899" s="1" t="n">
        <v>45392</v>
      </c>
      <c r="C899" s="1" t="n">
        <v>45983</v>
      </c>
      <c r="D899" t="inlineStr">
        <is>
          <t>JÄMTLANDS LÄN</t>
        </is>
      </c>
      <c r="E899" t="inlineStr">
        <is>
          <t>KROKOM</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56557-2021</t>
        </is>
      </c>
      <c r="B900" s="1" t="n">
        <v>44480</v>
      </c>
      <c r="C900" s="1" t="n">
        <v>45983</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33653-2023</t>
        </is>
      </c>
      <c r="B901" s="1" t="n">
        <v>45119</v>
      </c>
      <c r="C901" s="1" t="n">
        <v>45983</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42372-2023</t>
        </is>
      </c>
      <c r="B902" s="1" t="n">
        <v>45180</v>
      </c>
      <c r="C902" s="1" t="n">
        <v>45983</v>
      </c>
      <c r="D902" t="inlineStr">
        <is>
          <t>JÄMTLANDS LÄN</t>
        </is>
      </c>
      <c r="E902" t="inlineStr">
        <is>
          <t>KROKOM</t>
        </is>
      </c>
      <c r="F902" t="inlineStr">
        <is>
          <t>Övriga Aktiebolag</t>
        </is>
      </c>
      <c r="G902" t="n">
        <v>0.2</v>
      </c>
      <c r="H902" t="n">
        <v>0</v>
      </c>
      <c r="I902" t="n">
        <v>0</v>
      </c>
      <c r="J902" t="n">
        <v>0</v>
      </c>
      <c r="K902" t="n">
        <v>0</v>
      </c>
      <c r="L902" t="n">
        <v>0</v>
      </c>
      <c r="M902" t="n">
        <v>0</v>
      </c>
      <c r="N902" t="n">
        <v>0</v>
      </c>
      <c r="O902" t="n">
        <v>0</v>
      </c>
      <c r="P902" t="n">
        <v>0</v>
      </c>
      <c r="Q902" t="n">
        <v>0</v>
      </c>
      <c r="R902" s="2" t="inlineStr"/>
    </row>
    <row r="903" ht="15" customHeight="1">
      <c r="A903" t="inlineStr">
        <is>
          <t>A 7724-2025</t>
        </is>
      </c>
      <c r="B903" s="1" t="n">
        <v>45706</v>
      </c>
      <c r="C903" s="1" t="n">
        <v>45983</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1119-2025</t>
        </is>
      </c>
      <c r="B904" s="1" t="n">
        <v>45666.65987268519</v>
      </c>
      <c r="C904" s="1" t="n">
        <v>45983</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29986-2023</t>
        </is>
      </c>
      <c r="B905" s="1" t="n">
        <v>45109.44534722222</v>
      </c>
      <c r="C905" s="1" t="n">
        <v>45983</v>
      </c>
      <c r="D905" t="inlineStr">
        <is>
          <t>JÄMTLANDS LÄN</t>
        </is>
      </c>
      <c r="E905" t="inlineStr">
        <is>
          <t>KROKOM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50738-2024</t>
        </is>
      </c>
      <c r="B906" s="1" t="n">
        <v>45602.39862268518</v>
      </c>
      <c r="C906" s="1" t="n">
        <v>45983</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50755-2024</t>
        </is>
      </c>
      <c r="B907" s="1" t="n">
        <v>45602.42878472222</v>
      </c>
      <c r="C907" s="1" t="n">
        <v>45983</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8369-2023</t>
        </is>
      </c>
      <c r="B908" s="1" t="n">
        <v>44971</v>
      </c>
      <c r="C908" s="1" t="n">
        <v>45983</v>
      </c>
      <c r="D908" t="inlineStr">
        <is>
          <t>JÄMTLANDS LÄN</t>
        </is>
      </c>
      <c r="E908" t="inlineStr">
        <is>
          <t>KROKOM</t>
        </is>
      </c>
      <c r="G908" t="n">
        <v>47.2</v>
      </c>
      <c r="H908" t="n">
        <v>0</v>
      </c>
      <c r="I908" t="n">
        <v>0</v>
      </c>
      <c r="J908" t="n">
        <v>0</v>
      </c>
      <c r="K908" t="n">
        <v>0</v>
      </c>
      <c r="L908" t="n">
        <v>0</v>
      </c>
      <c r="M908" t="n">
        <v>0</v>
      </c>
      <c r="N908" t="n">
        <v>0</v>
      </c>
      <c r="O908" t="n">
        <v>0</v>
      </c>
      <c r="P908" t="n">
        <v>0</v>
      </c>
      <c r="Q908" t="n">
        <v>0</v>
      </c>
      <c r="R908" s="2" t="inlineStr"/>
    </row>
    <row r="909" ht="15" customHeight="1">
      <c r="A909" t="inlineStr">
        <is>
          <t>A 56328-2023</t>
        </is>
      </c>
      <c r="B909" s="1" t="n">
        <v>45243.33297453704</v>
      </c>
      <c r="C909" s="1" t="n">
        <v>45983</v>
      </c>
      <c r="D909" t="inlineStr">
        <is>
          <t>JÄMTLANDS LÄN</t>
        </is>
      </c>
      <c r="E909" t="inlineStr">
        <is>
          <t>KROKOM</t>
        </is>
      </c>
      <c r="F909" t="inlineStr">
        <is>
          <t>Övriga Aktiebolag</t>
        </is>
      </c>
      <c r="G909" t="n">
        <v>0.4</v>
      </c>
      <c r="H909" t="n">
        <v>0</v>
      </c>
      <c r="I909" t="n">
        <v>0</v>
      </c>
      <c r="J909" t="n">
        <v>0</v>
      </c>
      <c r="K909" t="n">
        <v>0</v>
      </c>
      <c r="L909" t="n">
        <v>0</v>
      </c>
      <c r="M909" t="n">
        <v>0</v>
      </c>
      <c r="N909" t="n">
        <v>0</v>
      </c>
      <c r="O909" t="n">
        <v>0</v>
      </c>
      <c r="P909" t="n">
        <v>0</v>
      </c>
      <c r="Q909" t="n">
        <v>0</v>
      </c>
      <c r="R909" s="2" t="inlineStr"/>
    </row>
    <row r="910" ht="15" customHeight="1">
      <c r="A910" t="inlineStr">
        <is>
          <t>A 35257-2023</t>
        </is>
      </c>
      <c r="B910" s="1" t="n">
        <v>45145.95255787037</v>
      </c>
      <c r="C910" s="1" t="n">
        <v>45983</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46785-2024</t>
        </is>
      </c>
      <c r="B911" s="1" t="n">
        <v>45583.52885416667</v>
      </c>
      <c r="C911" s="1" t="n">
        <v>45983</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64299-2021</t>
        </is>
      </c>
      <c r="B912" s="1" t="n">
        <v>44510.9491087963</v>
      </c>
      <c r="C912" s="1" t="n">
        <v>45983</v>
      </c>
      <c r="D912" t="inlineStr">
        <is>
          <t>JÄMTLANDS LÄN</t>
        </is>
      </c>
      <c r="E912" t="inlineStr">
        <is>
          <t>KROKOM</t>
        </is>
      </c>
      <c r="G912" t="n">
        <v>3.7</v>
      </c>
      <c r="H912" t="n">
        <v>0</v>
      </c>
      <c r="I912" t="n">
        <v>0</v>
      </c>
      <c r="J912" t="n">
        <v>0</v>
      </c>
      <c r="K912" t="n">
        <v>0</v>
      </c>
      <c r="L912" t="n">
        <v>0</v>
      </c>
      <c r="M912" t="n">
        <v>0</v>
      </c>
      <c r="N912" t="n">
        <v>0</v>
      </c>
      <c r="O912" t="n">
        <v>0</v>
      </c>
      <c r="P912" t="n">
        <v>0</v>
      </c>
      <c r="Q912" t="n">
        <v>0</v>
      </c>
      <c r="R912" s="2" t="inlineStr"/>
    </row>
    <row r="913" ht="15" customHeight="1">
      <c r="A913" t="inlineStr">
        <is>
          <t>A 58487-2024</t>
        </is>
      </c>
      <c r="B913" s="1" t="n">
        <v>45635.39820601852</v>
      </c>
      <c r="C913" s="1" t="n">
        <v>45983</v>
      </c>
      <c r="D913" t="inlineStr">
        <is>
          <t>JÄMTLANDS LÄN</t>
        </is>
      </c>
      <c r="E913" t="inlineStr">
        <is>
          <t>KROKOM</t>
        </is>
      </c>
      <c r="G913" t="n">
        <v>0.4</v>
      </c>
      <c r="H913" t="n">
        <v>0</v>
      </c>
      <c r="I913" t="n">
        <v>0</v>
      </c>
      <c r="J913" t="n">
        <v>0</v>
      </c>
      <c r="K913" t="n">
        <v>0</v>
      </c>
      <c r="L913" t="n">
        <v>0</v>
      </c>
      <c r="M913" t="n">
        <v>0</v>
      </c>
      <c r="N913" t="n">
        <v>0</v>
      </c>
      <c r="O913" t="n">
        <v>0</v>
      </c>
      <c r="P913" t="n">
        <v>0</v>
      </c>
      <c r="Q913" t="n">
        <v>0</v>
      </c>
      <c r="R913" s="2" t="inlineStr"/>
    </row>
    <row r="914" ht="15" customHeight="1">
      <c r="A914" t="inlineStr">
        <is>
          <t>A 3231-2022</t>
        </is>
      </c>
      <c r="B914" s="1" t="n">
        <v>44582</v>
      </c>
      <c r="C914" s="1" t="n">
        <v>45983</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10646-2025</t>
        </is>
      </c>
      <c r="B915" s="1" t="n">
        <v>45721.66456018519</v>
      </c>
      <c r="C915" s="1" t="n">
        <v>45983</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29477-2024</t>
        </is>
      </c>
      <c r="B916" s="1" t="n">
        <v>45484</v>
      </c>
      <c r="C916" s="1" t="n">
        <v>45983</v>
      </c>
      <c r="D916" t="inlineStr">
        <is>
          <t>JÄMTLANDS LÄN</t>
        </is>
      </c>
      <c r="E916" t="inlineStr">
        <is>
          <t>KROKOM</t>
        </is>
      </c>
      <c r="F916" t="inlineStr">
        <is>
          <t>Övriga Aktiebolag</t>
        </is>
      </c>
      <c r="G916" t="n">
        <v>1</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45983</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280-2025</t>
        </is>
      </c>
      <c r="B918" s="1" t="n">
        <v>45660.49618055556</v>
      </c>
      <c r="C918" s="1" t="n">
        <v>45983</v>
      </c>
      <c r="D918" t="inlineStr">
        <is>
          <t>JÄMTLANDS LÄN</t>
        </is>
      </c>
      <c r="E918" t="inlineStr">
        <is>
          <t>KROKOM</t>
        </is>
      </c>
      <c r="G918" t="n">
        <v>2.1</v>
      </c>
      <c r="H918" t="n">
        <v>0</v>
      </c>
      <c r="I918" t="n">
        <v>0</v>
      </c>
      <c r="J918" t="n">
        <v>0</v>
      </c>
      <c r="K918" t="n">
        <v>0</v>
      </c>
      <c r="L918" t="n">
        <v>0</v>
      </c>
      <c r="M918" t="n">
        <v>0</v>
      </c>
      <c r="N918" t="n">
        <v>0</v>
      </c>
      <c r="O918" t="n">
        <v>0</v>
      </c>
      <c r="P918" t="n">
        <v>0</v>
      </c>
      <c r="Q918" t="n">
        <v>0</v>
      </c>
      <c r="R918" s="2" t="inlineStr"/>
    </row>
    <row r="919" ht="15" customHeight="1">
      <c r="A919" t="inlineStr">
        <is>
          <t>A 39490-2022</t>
        </is>
      </c>
      <c r="B919" s="1" t="n">
        <v>44818</v>
      </c>
      <c r="C919" s="1" t="n">
        <v>45983</v>
      </c>
      <c r="D919" t="inlineStr">
        <is>
          <t>JÄMTLANDS LÄN</t>
        </is>
      </c>
      <c r="E919" t="inlineStr">
        <is>
          <t>KROKOM</t>
        </is>
      </c>
      <c r="G919" t="n">
        <v>11.9</v>
      </c>
      <c r="H919" t="n">
        <v>0</v>
      </c>
      <c r="I919" t="n">
        <v>0</v>
      </c>
      <c r="J919" t="n">
        <v>0</v>
      </c>
      <c r="K919" t="n">
        <v>0</v>
      </c>
      <c r="L919" t="n">
        <v>0</v>
      </c>
      <c r="M919" t="n">
        <v>0</v>
      </c>
      <c r="N919" t="n">
        <v>0</v>
      </c>
      <c r="O919" t="n">
        <v>0</v>
      </c>
      <c r="P919" t="n">
        <v>0</v>
      </c>
      <c r="Q919" t="n">
        <v>0</v>
      </c>
      <c r="R919" s="2" t="inlineStr"/>
    </row>
    <row r="920" ht="15" customHeight="1">
      <c r="A920" t="inlineStr">
        <is>
          <t>A 9043-2025</t>
        </is>
      </c>
      <c r="B920" s="1" t="n">
        <v>45713</v>
      </c>
      <c r="C920" s="1" t="n">
        <v>45983</v>
      </c>
      <c r="D920" t="inlineStr">
        <is>
          <t>JÄMTLANDS LÄN</t>
        </is>
      </c>
      <c r="E920" t="inlineStr">
        <is>
          <t>KROKOM</t>
        </is>
      </c>
      <c r="F920" t="inlineStr">
        <is>
          <t>Övriga Aktiebolag</t>
        </is>
      </c>
      <c r="G920" t="n">
        <v>43.6</v>
      </c>
      <c r="H920" t="n">
        <v>0</v>
      </c>
      <c r="I920" t="n">
        <v>0</v>
      </c>
      <c r="J920" t="n">
        <v>0</v>
      </c>
      <c r="K920" t="n">
        <v>0</v>
      </c>
      <c r="L920" t="n">
        <v>0</v>
      </c>
      <c r="M920" t="n">
        <v>0</v>
      </c>
      <c r="N920" t="n">
        <v>0</v>
      </c>
      <c r="O920" t="n">
        <v>0</v>
      </c>
      <c r="P920" t="n">
        <v>0</v>
      </c>
      <c r="Q920" t="n">
        <v>0</v>
      </c>
      <c r="R920" s="2" t="inlineStr"/>
    </row>
    <row r="921" ht="15" customHeight="1">
      <c r="A921" t="inlineStr">
        <is>
          <t>A 27954-2024</t>
        </is>
      </c>
      <c r="B921" s="1" t="n">
        <v>45476</v>
      </c>
      <c r="C921" s="1" t="n">
        <v>45983</v>
      </c>
      <c r="D921" t="inlineStr">
        <is>
          <t>JÄMTLANDS LÄN</t>
        </is>
      </c>
      <c r="E921" t="inlineStr">
        <is>
          <t>KROKOM</t>
        </is>
      </c>
      <c r="G921" t="n">
        <v>0.1</v>
      </c>
      <c r="H921" t="n">
        <v>0</v>
      </c>
      <c r="I921" t="n">
        <v>0</v>
      </c>
      <c r="J921" t="n">
        <v>0</v>
      </c>
      <c r="K921" t="n">
        <v>0</v>
      </c>
      <c r="L921" t="n">
        <v>0</v>
      </c>
      <c r="M921" t="n">
        <v>0</v>
      </c>
      <c r="N921" t="n">
        <v>0</v>
      </c>
      <c r="O921" t="n">
        <v>0</v>
      </c>
      <c r="P921" t="n">
        <v>0</v>
      </c>
      <c r="Q921" t="n">
        <v>0</v>
      </c>
      <c r="R921" s="2" t="inlineStr"/>
    </row>
    <row r="922" ht="15" customHeight="1">
      <c r="A922" t="inlineStr">
        <is>
          <t>A 51060-2024</t>
        </is>
      </c>
      <c r="B922" s="1" t="n">
        <v>45603.44815972223</v>
      </c>
      <c r="C922" s="1" t="n">
        <v>45983</v>
      </c>
      <c r="D922" t="inlineStr">
        <is>
          <t>JÄMTLANDS LÄN</t>
        </is>
      </c>
      <c r="E922" t="inlineStr">
        <is>
          <t>KROKOM</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60487-2024</t>
        </is>
      </c>
      <c r="B923" s="1" t="n">
        <v>45643.64706018518</v>
      </c>
      <c r="C923" s="1" t="n">
        <v>45983</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74011-2021</t>
        </is>
      </c>
      <c r="B924" s="1" t="n">
        <v>44557</v>
      </c>
      <c r="C924" s="1" t="n">
        <v>45983</v>
      </c>
      <c r="D924" t="inlineStr">
        <is>
          <t>JÄMTLANDS LÄN</t>
        </is>
      </c>
      <c r="E924" t="inlineStr">
        <is>
          <t>KROKOM</t>
        </is>
      </c>
      <c r="G924" t="n">
        <v>33.2</v>
      </c>
      <c r="H924" t="n">
        <v>0</v>
      </c>
      <c r="I924" t="n">
        <v>0</v>
      </c>
      <c r="J924" t="n">
        <v>0</v>
      </c>
      <c r="K924" t="n">
        <v>0</v>
      </c>
      <c r="L924" t="n">
        <v>0</v>
      </c>
      <c r="M924" t="n">
        <v>0</v>
      </c>
      <c r="N924" t="n">
        <v>0</v>
      </c>
      <c r="O924" t="n">
        <v>0</v>
      </c>
      <c r="P924" t="n">
        <v>0</v>
      </c>
      <c r="Q924" t="n">
        <v>0</v>
      </c>
      <c r="R924" s="2" t="inlineStr"/>
    </row>
    <row r="925" ht="15" customHeight="1">
      <c r="A925" t="inlineStr">
        <is>
          <t>A 9313-2025</t>
        </is>
      </c>
      <c r="B925" s="1" t="n">
        <v>45714.69212962963</v>
      </c>
      <c r="C925" s="1" t="n">
        <v>45983</v>
      </c>
      <c r="D925" t="inlineStr">
        <is>
          <t>JÄMTLANDS LÄN</t>
        </is>
      </c>
      <c r="E925" t="inlineStr">
        <is>
          <t>KROKOM</t>
        </is>
      </c>
      <c r="F925" t="inlineStr">
        <is>
          <t>Kyrkan</t>
        </is>
      </c>
      <c r="G925" t="n">
        <v>3.3</v>
      </c>
      <c r="H925" t="n">
        <v>0</v>
      </c>
      <c r="I925" t="n">
        <v>0</v>
      </c>
      <c r="J925" t="n">
        <v>0</v>
      </c>
      <c r="K925" t="n">
        <v>0</v>
      </c>
      <c r="L925" t="n">
        <v>0</v>
      </c>
      <c r="M925" t="n">
        <v>0</v>
      </c>
      <c r="N925" t="n">
        <v>0</v>
      </c>
      <c r="O925" t="n">
        <v>0</v>
      </c>
      <c r="P925" t="n">
        <v>0</v>
      </c>
      <c r="Q925" t="n">
        <v>0</v>
      </c>
      <c r="R925" s="2" t="inlineStr"/>
    </row>
    <row r="926" ht="15" customHeight="1">
      <c r="A926" t="inlineStr">
        <is>
          <t>A 15231-2022</t>
        </is>
      </c>
      <c r="B926" s="1" t="n">
        <v>44658</v>
      </c>
      <c r="C926" s="1" t="n">
        <v>45983</v>
      </c>
      <c r="D926" t="inlineStr">
        <is>
          <t>JÄMTLANDS LÄN</t>
        </is>
      </c>
      <c r="E926" t="inlineStr">
        <is>
          <t>KROKOM</t>
        </is>
      </c>
      <c r="G926" t="n">
        <v>5.7</v>
      </c>
      <c r="H926" t="n">
        <v>0</v>
      </c>
      <c r="I926" t="n">
        <v>0</v>
      </c>
      <c r="J926" t="n">
        <v>0</v>
      </c>
      <c r="K926" t="n">
        <v>0</v>
      </c>
      <c r="L926" t="n">
        <v>0</v>
      </c>
      <c r="M926" t="n">
        <v>0</v>
      </c>
      <c r="N926" t="n">
        <v>0</v>
      </c>
      <c r="O926" t="n">
        <v>0</v>
      </c>
      <c r="P926" t="n">
        <v>0</v>
      </c>
      <c r="Q926" t="n">
        <v>0</v>
      </c>
      <c r="R926" s="2" t="inlineStr"/>
    </row>
    <row r="927" ht="15" customHeight="1">
      <c r="A927" t="inlineStr">
        <is>
          <t>A 47721-2024</t>
        </is>
      </c>
      <c r="B927" s="1" t="n">
        <v>45588</v>
      </c>
      <c r="C927" s="1" t="n">
        <v>45983</v>
      </c>
      <c r="D927" t="inlineStr">
        <is>
          <t>JÄMTLANDS LÄN</t>
        </is>
      </c>
      <c r="E927" t="inlineStr">
        <is>
          <t>KROKOM</t>
        </is>
      </c>
      <c r="G927" t="n">
        <v>19.2</v>
      </c>
      <c r="H927" t="n">
        <v>0</v>
      </c>
      <c r="I927" t="n">
        <v>0</v>
      </c>
      <c r="J927" t="n">
        <v>0</v>
      </c>
      <c r="K927" t="n">
        <v>0</v>
      </c>
      <c r="L927" t="n">
        <v>0</v>
      </c>
      <c r="M927" t="n">
        <v>0</v>
      </c>
      <c r="N927" t="n">
        <v>0</v>
      </c>
      <c r="O927" t="n">
        <v>0</v>
      </c>
      <c r="P927" t="n">
        <v>0</v>
      </c>
      <c r="Q927" t="n">
        <v>0</v>
      </c>
      <c r="R927" s="2" t="inlineStr"/>
    </row>
    <row r="928" ht="15" customHeight="1">
      <c r="A928" t="inlineStr">
        <is>
          <t>A 41675-2024</t>
        </is>
      </c>
      <c r="B928" s="1" t="n">
        <v>45560.6599537037</v>
      </c>
      <c r="C928" s="1" t="n">
        <v>45983</v>
      </c>
      <c r="D928" t="inlineStr">
        <is>
          <t>JÄMTLANDS LÄN</t>
        </is>
      </c>
      <c r="E928" t="inlineStr">
        <is>
          <t>KROKOM</t>
        </is>
      </c>
      <c r="G928" t="n">
        <v>7</v>
      </c>
      <c r="H928" t="n">
        <v>0</v>
      </c>
      <c r="I928" t="n">
        <v>0</v>
      </c>
      <c r="J928" t="n">
        <v>0</v>
      </c>
      <c r="K928" t="n">
        <v>0</v>
      </c>
      <c r="L928" t="n">
        <v>0</v>
      </c>
      <c r="M928" t="n">
        <v>0</v>
      </c>
      <c r="N928" t="n">
        <v>0</v>
      </c>
      <c r="O928" t="n">
        <v>0</v>
      </c>
      <c r="P928" t="n">
        <v>0</v>
      </c>
      <c r="Q928" t="n">
        <v>0</v>
      </c>
      <c r="R928" s="2" t="inlineStr"/>
    </row>
    <row r="929" ht="15" customHeight="1">
      <c r="A929" t="inlineStr">
        <is>
          <t>A 6342-2025</t>
        </is>
      </c>
      <c r="B929" s="1" t="n">
        <v>45699</v>
      </c>
      <c r="C929" s="1" t="n">
        <v>45983</v>
      </c>
      <c r="D929" t="inlineStr">
        <is>
          <t>JÄMTLANDS LÄN</t>
        </is>
      </c>
      <c r="E929" t="inlineStr">
        <is>
          <t>KROKOM</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10782-2023</t>
        </is>
      </c>
      <c r="B930" s="1" t="n">
        <v>44988.94056712963</v>
      </c>
      <c r="C930" s="1" t="n">
        <v>45983</v>
      </c>
      <c r="D930" t="inlineStr">
        <is>
          <t>JÄMTLANDS LÄN</t>
        </is>
      </c>
      <c r="E930" t="inlineStr">
        <is>
          <t>KROKOM</t>
        </is>
      </c>
      <c r="F930" t="inlineStr">
        <is>
          <t>SCA</t>
        </is>
      </c>
      <c r="G930" t="n">
        <v>68.8</v>
      </c>
      <c r="H930" t="n">
        <v>0</v>
      </c>
      <c r="I930" t="n">
        <v>0</v>
      </c>
      <c r="J930" t="n">
        <v>0</v>
      </c>
      <c r="K930" t="n">
        <v>0</v>
      </c>
      <c r="L930" t="n">
        <v>0</v>
      </c>
      <c r="M930" t="n">
        <v>0</v>
      </c>
      <c r="N930" t="n">
        <v>0</v>
      </c>
      <c r="O930" t="n">
        <v>0</v>
      </c>
      <c r="P930" t="n">
        <v>0</v>
      </c>
      <c r="Q930" t="n">
        <v>0</v>
      </c>
      <c r="R930" s="2" t="inlineStr"/>
    </row>
    <row r="931" ht="15" customHeight="1">
      <c r="A931" t="inlineStr">
        <is>
          <t>A 46632-2023</t>
        </is>
      </c>
      <c r="B931" s="1" t="n">
        <v>45198.42734953704</v>
      </c>
      <c r="C931" s="1" t="n">
        <v>45983</v>
      </c>
      <c r="D931" t="inlineStr">
        <is>
          <t>JÄMTLANDS LÄN</t>
        </is>
      </c>
      <c r="E931" t="inlineStr">
        <is>
          <t>KROKOM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18476-2022</t>
        </is>
      </c>
      <c r="B932" s="1" t="n">
        <v>44686</v>
      </c>
      <c r="C932" s="1" t="n">
        <v>45983</v>
      </c>
      <c r="D932" t="inlineStr">
        <is>
          <t>JÄMTLANDS LÄN</t>
        </is>
      </c>
      <c r="E932" t="inlineStr">
        <is>
          <t>KROKOM</t>
        </is>
      </c>
      <c r="G932" t="n">
        <v>11.7</v>
      </c>
      <c r="H932" t="n">
        <v>0</v>
      </c>
      <c r="I932" t="n">
        <v>0</v>
      </c>
      <c r="J932" t="n">
        <v>0</v>
      </c>
      <c r="K932" t="n">
        <v>0</v>
      </c>
      <c r="L932" t="n">
        <v>0</v>
      </c>
      <c r="M932" t="n">
        <v>0</v>
      </c>
      <c r="N932" t="n">
        <v>0</v>
      </c>
      <c r="O932" t="n">
        <v>0</v>
      </c>
      <c r="P932" t="n">
        <v>0</v>
      </c>
      <c r="Q932" t="n">
        <v>0</v>
      </c>
      <c r="R932" s="2" t="inlineStr"/>
    </row>
    <row r="933" ht="15" customHeight="1">
      <c r="A933" t="inlineStr">
        <is>
          <t>A 44296-2024</t>
        </is>
      </c>
      <c r="B933" s="1" t="n">
        <v>45573.54893518519</v>
      </c>
      <c r="C933" s="1" t="n">
        <v>45983</v>
      </c>
      <c r="D933" t="inlineStr">
        <is>
          <t>JÄMTLANDS LÄN</t>
        </is>
      </c>
      <c r="E933" t="inlineStr">
        <is>
          <t>KROKOM</t>
        </is>
      </c>
      <c r="G933" t="n">
        <v>6.1</v>
      </c>
      <c r="H933" t="n">
        <v>0</v>
      </c>
      <c r="I933" t="n">
        <v>0</v>
      </c>
      <c r="J933" t="n">
        <v>0</v>
      </c>
      <c r="K933" t="n">
        <v>0</v>
      </c>
      <c r="L933" t="n">
        <v>0</v>
      </c>
      <c r="M933" t="n">
        <v>0</v>
      </c>
      <c r="N933" t="n">
        <v>0</v>
      </c>
      <c r="O933" t="n">
        <v>0</v>
      </c>
      <c r="P933" t="n">
        <v>0</v>
      </c>
      <c r="Q933" t="n">
        <v>0</v>
      </c>
      <c r="R933" s="2" t="inlineStr"/>
    </row>
    <row r="934" ht="15" customHeight="1">
      <c r="A934" t="inlineStr">
        <is>
          <t>A 19698-2024</t>
        </is>
      </c>
      <c r="B934" s="1" t="n">
        <v>45432.54027777778</v>
      </c>
      <c r="C934" s="1" t="n">
        <v>45983</v>
      </c>
      <c r="D934" t="inlineStr">
        <is>
          <t>JÄMTLANDS LÄN</t>
        </is>
      </c>
      <c r="E934" t="inlineStr">
        <is>
          <t>KROKOM</t>
        </is>
      </c>
      <c r="G934" t="n">
        <v>15.9</v>
      </c>
      <c r="H934" t="n">
        <v>0</v>
      </c>
      <c r="I934" t="n">
        <v>0</v>
      </c>
      <c r="J934" t="n">
        <v>0</v>
      </c>
      <c r="K934" t="n">
        <v>0</v>
      </c>
      <c r="L934" t="n">
        <v>0</v>
      </c>
      <c r="M934" t="n">
        <v>0</v>
      </c>
      <c r="N934" t="n">
        <v>0</v>
      </c>
      <c r="O934" t="n">
        <v>0</v>
      </c>
      <c r="P934" t="n">
        <v>0</v>
      </c>
      <c r="Q934" t="n">
        <v>0</v>
      </c>
      <c r="R934" s="2" t="inlineStr"/>
    </row>
    <row r="935" ht="15" customHeight="1">
      <c r="A935" t="inlineStr">
        <is>
          <t>A 42825-2023</t>
        </is>
      </c>
      <c r="B935" s="1" t="n">
        <v>45182</v>
      </c>
      <c r="C935" s="1" t="n">
        <v>45983</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52590-2023</t>
        </is>
      </c>
      <c r="B936" s="1" t="n">
        <v>45225.60212962963</v>
      </c>
      <c r="C936" s="1" t="n">
        <v>45983</v>
      </c>
      <c r="D936" t="inlineStr">
        <is>
          <t>JÄMTLANDS LÄN</t>
        </is>
      </c>
      <c r="E936" t="inlineStr">
        <is>
          <t>KROKOM</t>
        </is>
      </c>
      <c r="G936" t="n">
        <v>9</v>
      </c>
      <c r="H936" t="n">
        <v>0</v>
      </c>
      <c r="I936" t="n">
        <v>0</v>
      </c>
      <c r="J936" t="n">
        <v>0</v>
      </c>
      <c r="K936" t="n">
        <v>0</v>
      </c>
      <c r="L936" t="n">
        <v>0</v>
      </c>
      <c r="M936" t="n">
        <v>0</v>
      </c>
      <c r="N936" t="n">
        <v>0</v>
      </c>
      <c r="O936" t="n">
        <v>0</v>
      </c>
      <c r="P936" t="n">
        <v>0</v>
      </c>
      <c r="Q936" t="n">
        <v>0</v>
      </c>
      <c r="R936" s="2" t="inlineStr"/>
    </row>
    <row r="937" ht="15" customHeight="1">
      <c r="A937" t="inlineStr">
        <is>
          <t>A 47838-2023</t>
        </is>
      </c>
      <c r="B937" s="1" t="n">
        <v>45204</v>
      </c>
      <c r="C937" s="1" t="n">
        <v>45983</v>
      </c>
      <c r="D937" t="inlineStr">
        <is>
          <t>JÄMTLANDS LÄN</t>
        </is>
      </c>
      <c r="E937" t="inlineStr">
        <is>
          <t>KROKOM</t>
        </is>
      </c>
      <c r="G937" t="n">
        <v>11.8</v>
      </c>
      <c r="H937" t="n">
        <v>0</v>
      </c>
      <c r="I937" t="n">
        <v>0</v>
      </c>
      <c r="J937" t="n">
        <v>0</v>
      </c>
      <c r="K937" t="n">
        <v>0</v>
      </c>
      <c r="L937" t="n">
        <v>0</v>
      </c>
      <c r="M937" t="n">
        <v>0</v>
      </c>
      <c r="N937" t="n">
        <v>0</v>
      </c>
      <c r="O937" t="n">
        <v>0</v>
      </c>
      <c r="P937" t="n">
        <v>0</v>
      </c>
      <c r="Q937" t="n">
        <v>0</v>
      </c>
      <c r="R937" s="2" t="inlineStr"/>
    </row>
    <row r="938" ht="15" customHeight="1">
      <c r="A938" t="inlineStr">
        <is>
          <t>A 5907-2025</t>
        </is>
      </c>
      <c r="B938" s="1" t="n">
        <v>45695.4046875</v>
      </c>
      <c r="C938" s="1" t="n">
        <v>45983</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5920-2025</t>
        </is>
      </c>
      <c r="B939" s="1" t="n">
        <v>45695.42418981482</v>
      </c>
      <c r="C939" s="1" t="n">
        <v>45983</v>
      </c>
      <c r="D939" t="inlineStr">
        <is>
          <t>JÄMTLANDS LÄN</t>
        </is>
      </c>
      <c r="E939" t="inlineStr">
        <is>
          <t>KROKOM</t>
        </is>
      </c>
      <c r="F939" t="inlineStr">
        <is>
          <t>Övriga Aktiebolag</t>
        </is>
      </c>
      <c r="G939" t="n">
        <v>6.8</v>
      </c>
      <c r="H939" t="n">
        <v>0</v>
      </c>
      <c r="I939" t="n">
        <v>0</v>
      </c>
      <c r="J939" t="n">
        <v>0</v>
      </c>
      <c r="K939" t="n">
        <v>0</v>
      </c>
      <c r="L939" t="n">
        <v>0</v>
      </c>
      <c r="M939" t="n">
        <v>0</v>
      </c>
      <c r="N939" t="n">
        <v>0</v>
      </c>
      <c r="O939" t="n">
        <v>0</v>
      </c>
      <c r="P939" t="n">
        <v>0</v>
      </c>
      <c r="Q939" t="n">
        <v>0</v>
      </c>
      <c r="R939" s="2" t="inlineStr"/>
    </row>
    <row r="940" ht="15" customHeight="1">
      <c r="A940" t="inlineStr">
        <is>
          <t>A 42393-2024</t>
        </is>
      </c>
      <c r="B940" s="1" t="n">
        <v>45565.32449074074</v>
      </c>
      <c r="C940" s="1" t="n">
        <v>45983</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40221-2024</t>
        </is>
      </c>
      <c r="B941" s="1" t="n">
        <v>45554.59550925926</v>
      </c>
      <c r="C941" s="1" t="n">
        <v>45983</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62131-2024</t>
        </is>
      </c>
      <c r="B942" s="1" t="n">
        <v>45656</v>
      </c>
      <c r="C942" s="1" t="n">
        <v>45983</v>
      </c>
      <c r="D942" t="inlineStr">
        <is>
          <t>JÄMTLANDS LÄN</t>
        </is>
      </c>
      <c r="E942" t="inlineStr">
        <is>
          <t>KROKOM</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15310-2025</t>
        </is>
      </c>
      <c r="B943" s="1" t="n">
        <v>45746.79134259259</v>
      </c>
      <c r="C943" s="1" t="n">
        <v>45983</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9796-2025</t>
        </is>
      </c>
      <c r="B944" s="1" t="n">
        <v>45716.55237268518</v>
      </c>
      <c r="C944" s="1" t="n">
        <v>45983</v>
      </c>
      <c r="D944" t="inlineStr">
        <is>
          <t>JÄMTLANDS LÄN</t>
        </is>
      </c>
      <c r="E944" t="inlineStr">
        <is>
          <t>KROKOM</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1323-2025</t>
        </is>
      </c>
      <c r="B945" s="1" t="n">
        <v>45667.57217592592</v>
      </c>
      <c r="C945" s="1" t="n">
        <v>45983</v>
      </c>
      <c r="D945" t="inlineStr">
        <is>
          <t>JÄMTLANDS LÄN</t>
        </is>
      </c>
      <c r="E945" t="inlineStr">
        <is>
          <t>KROKOM</t>
        </is>
      </c>
      <c r="G945" t="n">
        <v>5.9</v>
      </c>
      <c r="H945" t="n">
        <v>0</v>
      </c>
      <c r="I945" t="n">
        <v>0</v>
      </c>
      <c r="J945" t="n">
        <v>0</v>
      </c>
      <c r="K945" t="n">
        <v>0</v>
      </c>
      <c r="L945" t="n">
        <v>0</v>
      </c>
      <c r="M945" t="n">
        <v>0</v>
      </c>
      <c r="N945" t="n">
        <v>0</v>
      </c>
      <c r="O945" t="n">
        <v>0</v>
      </c>
      <c r="P945" t="n">
        <v>0</v>
      </c>
      <c r="Q945" t="n">
        <v>0</v>
      </c>
      <c r="R945" s="2" t="inlineStr"/>
    </row>
    <row r="946" ht="15" customHeight="1">
      <c r="A946" t="inlineStr">
        <is>
          <t>A 6524-2025</t>
        </is>
      </c>
      <c r="B946" s="1" t="n">
        <v>45699.66576388889</v>
      </c>
      <c r="C946" s="1" t="n">
        <v>45983</v>
      </c>
      <c r="D946" t="inlineStr">
        <is>
          <t>JÄMTLANDS LÄN</t>
        </is>
      </c>
      <c r="E946" t="inlineStr">
        <is>
          <t>KROKOM</t>
        </is>
      </c>
      <c r="F946" t="inlineStr">
        <is>
          <t>Övriga Aktiebolag</t>
        </is>
      </c>
      <c r="G946" t="n">
        <v>51.6</v>
      </c>
      <c r="H946" t="n">
        <v>0</v>
      </c>
      <c r="I946" t="n">
        <v>0</v>
      </c>
      <c r="J946" t="n">
        <v>0</v>
      </c>
      <c r="K946" t="n">
        <v>0</v>
      </c>
      <c r="L946" t="n">
        <v>0</v>
      </c>
      <c r="M946" t="n">
        <v>0</v>
      </c>
      <c r="N946" t="n">
        <v>0</v>
      </c>
      <c r="O946" t="n">
        <v>0</v>
      </c>
      <c r="P946" t="n">
        <v>0</v>
      </c>
      <c r="Q946" t="n">
        <v>0</v>
      </c>
      <c r="R946" s="2" t="inlineStr"/>
    </row>
    <row r="947" ht="15" customHeight="1">
      <c r="A947" t="inlineStr">
        <is>
          <t>A 46046-2023</t>
        </is>
      </c>
      <c r="B947" s="1" t="n">
        <v>45190</v>
      </c>
      <c r="C947" s="1" t="n">
        <v>45983</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4423-2025</t>
        </is>
      </c>
      <c r="B948" s="1" t="n">
        <v>45686</v>
      </c>
      <c r="C948" s="1" t="n">
        <v>45983</v>
      </c>
      <c r="D948" t="inlineStr">
        <is>
          <t>JÄMTLANDS LÄN</t>
        </is>
      </c>
      <c r="E948" t="inlineStr">
        <is>
          <t>KROKOM</t>
        </is>
      </c>
      <c r="G948" t="n">
        <v>17.3</v>
      </c>
      <c r="H948" t="n">
        <v>0</v>
      </c>
      <c r="I948" t="n">
        <v>0</v>
      </c>
      <c r="J948" t="n">
        <v>0</v>
      </c>
      <c r="K948" t="n">
        <v>0</v>
      </c>
      <c r="L948" t="n">
        <v>0</v>
      </c>
      <c r="M948" t="n">
        <v>0</v>
      </c>
      <c r="N948" t="n">
        <v>0</v>
      </c>
      <c r="O948" t="n">
        <v>0</v>
      </c>
      <c r="P948" t="n">
        <v>0</v>
      </c>
      <c r="Q948" t="n">
        <v>0</v>
      </c>
      <c r="R948" s="2" t="inlineStr"/>
    </row>
    <row r="949" ht="15" customHeight="1">
      <c r="A949" t="inlineStr">
        <is>
          <t>A 41784-2023</t>
        </is>
      </c>
      <c r="B949" s="1" t="n">
        <v>45176</v>
      </c>
      <c r="C949" s="1" t="n">
        <v>45983</v>
      </c>
      <c r="D949" t="inlineStr">
        <is>
          <t>JÄMTLANDS LÄN</t>
        </is>
      </c>
      <c r="E949" t="inlineStr">
        <is>
          <t>KROKOM</t>
        </is>
      </c>
      <c r="F949" t="inlineStr">
        <is>
          <t>Övriga Aktiebolag</t>
        </is>
      </c>
      <c r="G949" t="n">
        <v>3.1</v>
      </c>
      <c r="H949" t="n">
        <v>0</v>
      </c>
      <c r="I949" t="n">
        <v>0</v>
      </c>
      <c r="J949" t="n">
        <v>0</v>
      </c>
      <c r="K949" t="n">
        <v>0</v>
      </c>
      <c r="L949" t="n">
        <v>0</v>
      </c>
      <c r="M949" t="n">
        <v>0</v>
      </c>
      <c r="N949" t="n">
        <v>0</v>
      </c>
      <c r="O949" t="n">
        <v>0</v>
      </c>
      <c r="P949" t="n">
        <v>0</v>
      </c>
      <c r="Q949" t="n">
        <v>0</v>
      </c>
      <c r="R949" s="2" t="inlineStr"/>
    </row>
    <row r="950" ht="15" customHeight="1">
      <c r="A950" t="inlineStr">
        <is>
          <t>A 5785-2025</t>
        </is>
      </c>
      <c r="B950" s="1" t="n">
        <v>45694.64416666667</v>
      </c>
      <c r="C950" s="1" t="n">
        <v>45983</v>
      </c>
      <c r="D950" t="inlineStr">
        <is>
          <t>JÄMTLANDS LÄN</t>
        </is>
      </c>
      <c r="E950" t="inlineStr">
        <is>
          <t>KROKOM</t>
        </is>
      </c>
      <c r="F950" t="inlineStr">
        <is>
          <t>Övriga Aktiebolag</t>
        </is>
      </c>
      <c r="G950" t="n">
        <v>4.2</v>
      </c>
      <c r="H950" t="n">
        <v>0</v>
      </c>
      <c r="I950" t="n">
        <v>0</v>
      </c>
      <c r="J950" t="n">
        <v>0</v>
      </c>
      <c r="K950" t="n">
        <v>0</v>
      </c>
      <c r="L950" t="n">
        <v>0</v>
      </c>
      <c r="M950" t="n">
        <v>0</v>
      </c>
      <c r="N950" t="n">
        <v>0</v>
      </c>
      <c r="O950" t="n">
        <v>0</v>
      </c>
      <c r="P950" t="n">
        <v>0</v>
      </c>
      <c r="Q950" t="n">
        <v>0</v>
      </c>
      <c r="R950" s="2" t="inlineStr"/>
    </row>
    <row r="951" ht="15" customHeight="1">
      <c r="A951" t="inlineStr">
        <is>
          <t>A 54975-2024</t>
        </is>
      </c>
      <c r="B951" s="1" t="n">
        <v>45620.67667824074</v>
      </c>
      <c r="C951" s="1" t="n">
        <v>45983</v>
      </c>
      <c r="D951" t="inlineStr">
        <is>
          <t>JÄMTLANDS LÄN</t>
        </is>
      </c>
      <c r="E951" t="inlineStr">
        <is>
          <t>KROKOM</t>
        </is>
      </c>
      <c r="G951" t="n">
        <v>24.1</v>
      </c>
      <c r="H951" t="n">
        <v>0</v>
      </c>
      <c r="I951" t="n">
        <v>0</v>
      </c>
      <c r="J951" t="n">
        <v>0</v>
      </c>
      <c r="K951" t="n">
        <v>0</v>
      </c>
      <c r="L951" t="n">
        <v>0</v>
      </c>
      <c r="M951" t="n">
        <v>0</v>
      </c>
      <c r="N951" t="n">
        <v>0</v>
      </c>
      <c r="O951" t="n">
        <v>0</v>
      </c>
      <c r="P951" t="n">
        <v>0</v>
      </c>
      <c r="Q951" t="n">
        <v>0</v>
      </c>
      <c r="R951" s="2" t="inlineStr"/>
    </row>
    <row r="952" ht="15" customHeight="1">
      <c r="A952" t="inlineStr">
        <is>
          <t>A 54043-2023</t>
        </is>
      </c>
      <c r="B952" s="1" t="n">
        <v>45231</v>
      </c>
      <c r="C952" s="1" t="n">
        <v>45983</v>
      </c>
      <c r="D952" t="inlineStr">
        <is>
          <t>JÄMTLANDS LÄN</t>
        </is>
      </c>
      <c r="E952" t="inlineStr">
        <is>
          <t>KROKOM</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692-2025</t>
        </is>
      </c>
      <c r="B953" s="1" t="n">
        <v>45662</v>
      </c>
      <c r="C953" s="1" t="n">
        <v>45983</v>
      </c>
      <c r="D953" t="inlineStr">
        <is>
          <t>JÄMTLANDS LÄN</t>
        </is>
      </c>
      <c r="E953" t="inlineStr">
        <is>
          <t>KROKOM</t>
        </is>
      </c>
      <c r="G953" t="n">
        <v>20</v>
      </c>
      <c r="H953" t="n">
        <v>0</v>
      </c>
      <c r="I953" t="n">
        <v>0</v>
      </c>
      <c r="J953" t="n">
        <v>0</v>
      </c>
      <c r="K953" t="n">
        <v>0</v>
      </c>
      <c r="L953" t="n">
        <v>0</v>
      </c>
      <c r="M953" t="n">
        <v>0</v>
      </c>
      <c r="N953" t="n">
        <v>0</v>
      </c>
      <c r="O953" t="n">
        <v>0</v>
      </c>
      <c r="P953" t="n">
        <v>0</v>
      </c>
      <c r="Q953" t="n">
        <v>0</v>
      </c>
      <c r="R953" s="2" t="inlineStr"/>
    </row>
    <row r="954" ht="15" customHeight="1">
      <c r="A954" t="inlineStr">
        <is>
          <t>A 15524-2024</t>
        </is>
      </c>
      <c r="B954" s="1" t="n">
        <v>45401.59133101852</v>
      </c>
      <c r="C954" s="1" t="n">
        <v>45983</v>
      </c>
      <c r="D954" t="inlineStr">
        <is>
          <t>JÄMTLANDS LÄN</t>
        </is>
      </c>
      <c r="E954" t="inlineStr">
        <is>
          <t>KROKOM</t>
        </is>
      </c>
      <c r="G954" t="n">
        <v>2.4</v>
      </c>
      <c r="H954" t="n">
        <v>0</v>
      </c>
      <c r="I954" t="n">
        <v>0</v>
      </c>
      <c r="J954" t="n">
        <v>0</v>
      </c>
      <c r="K954" t="n">
        <v>0</v>
      </c>
      <c r="L954" t="n">
        <v>0</v>
      </c>
      <c r="M954" t="n">
        <v>0</v>
      </c>
      <c r="N954" t="n">
        <v>0</v>
      </c>
      <c r="O954" t="n">
        <v>0</v>
      </c>
      <c r="P954" t="n">
        <v>0</v>
      </c>
      <c r="Q954" t="n">
        <v>0</v>
      </c>
      <c r="R954" s="2" t="inlineStr"/>
    </row>
    <row r="955" ht="15" customHeight="1">
      <c r="A955" t="inlineStr">
        <is>
          <t>A 5637-2025</t>
        </is>
      </c>
      <c r="B955" s="1" t="n">
        <v>45693.67361111111</v>
      </c>
      <c r="C955" s="1" t="n">
        <v>45983</v>
      </c>
      <c r="D955" t="inlineStr">
        <is>
          <t>JÄMTLANDS LÄN</t>
        </is>
      </c>
      <c r="E955" t="inlineStr">
        <is>
          <t>KROKOM</t>
        </is>
      </c>
      <c r="F955" t="inlineStr">
        <is>
          <t>Övriga Aktiebolag</t>
        </is>
      </c>
      <c r="G955" t="n">
        <v>57.8</v>
      </c>
      <c r="H955" t="n">
        <v>0</v>
      </c>
      <c r="I955" t="n">
        <v>0</v>
      </c>
      <c r="J955" t="n">
        <v>0</v>
      </c>
      <c r="K955" t="n">
        <v>0</v>
      </c>
      <c r="L955" t="n">
        <v>0</v>
      </c>
      <c r="M955" t="n">
        <v>0</v>
      </c>
      <c r="N955" t="n">
        <v>0</v>
      </c>
      <c r="O955" t="n">
        <v>0</v>
      </c>
      <c r="P955" t="n">
        <v>0</v>
      </c>
      <c r="Q955" t="n">
        <v>0</v>
      </c>
      <c r="R955" s="2" t="inlineStr"/>
    </row>
    <row r="956" ht="15" customHeight="1">
      <c r="A956" t="inlineStr">
        <is>
          <t>A 59620-2024</t>
        </is>
      </c>
      <c r="B956" s="1" t="n">
        <v>45638.81385416666</v>
      </c>
      <c r="C956" s="1" t="n">
        <v>45983</v>
      </c>
      <c r="D956" t="inlineStr">
        <is>
          <t>JÄMTLANDS LÄN</t>
        </is>
      </c>
      <c r="E956" t="inlineStr">
        <is>
          <t>KROKOM</t>
        </is>
      </c>
      <c r="G956" t="n">
        <v>0.4</v>
      </c>
      <c r="H956" t="n">
        <v>0</v>
      </c>
      <c r="I956" t="n">
        <v>0</v>
      </c>
      <c r="J956" t="n">
        <v>0</v>
      </c>
      <c r="K956" t="n">
        <v>0</v>
      </c>
      <c r="L956" t="n">
        <v>0</v>
      </c>
      <c r="M956" t="n">
        <v>0</v>
      </c>
      <c r="N956" t="n">
        <v>0</v>
      </c>
      <c r="O956" t="n">
        <v>0</v>
      </c>
      <c r="P956" t="n">
        <v>0</v>
      </c>
      <c r="Q956" t="n">
        <v>0</v>
      </c>
      <c r="R956" s="2" t="inlineStr"/>
    </row>
    <row r="957" ht="15" customHeight="1">
      <c r="A957" t="inlineStr">
        <is>
          <t>A 7366-2025</t>
        </is>
      </c>
      <c r="B957" s="1" t="n">
        <v>45704.71069444445</v>
      </c>
      <c r="C957" s="1" t="n">
        <v>45983</v>
      </c>
      <c r="D957" t="inlineStr">
        <is>
          <t>JÄMTLANDS LÄN</t>
        </is>
      </c>
      <c r="E957" t="inlineStr">
        <is>
          <t>KROKOM</t>
        </is>
      </c>
      <c r="F957" t="inlineStr">
        <is>
          <t>Övriga Aktiebolag</t>
        </is>
      </c>
      <c r="G957" t="n">
        <v>7.8</v>
      </c>
      <c r="H957" t="n">
        <v>0</v>
      </c>
      <c r="I957" t="n">
        <v>0</v>
      </c>
      <c r="J957" t="n">
        <v>0</v>
      </c>
      <c r="K957" t="n">
        <v>0</v>
      </c>
      <c r="L957" t="n">
        <v>0</v>
      </c>
      <c r="M957" t="n">
        <v>0</v>
      </c>
      <c r="N957" t="n">
        <v>0</v>
      </c>
      <c r="O957" t="n">
        <v>0</v>
      </c>
      <c r="P957" t="n">
        <v>0</v>
      </c>
      <c r="Q957" t="n">
        <v>0</v>
      </c>
      <c r="R957" s="2" t="inlineStr"/>
    </row>
    <row r="958" ht="15" customHeight="1">
      <c r="A958" t="inlineStr">
        <is>
          <t>A 5364-2025</t>
        </is>
      </c>
      <c r="B958" s="1" t="n">
        <v>45692.58106481482</v>
      </c>
      <c r="C958" s="1" t="n">
        <v>45983</v>
      </c>
      <c r="D958" t="inlineStr">
        <is>
          <t>JÄMTLANDS LÄN</t>
        </is>
      </c>
      <c r="E958" t="inlineStr">
        <is>
          <t>KROKOM</t>
        </is>
      </c>
      <c r="G958" t="n">
        <v>25.4</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45983</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55831-2024</t>
        </is>
      </c>
      <c r="B960" s="1" t="n">
        <v>45623.48571759259</v>
      </c>
      <c r="C960" s="1" t="n">
        <v>45983</v>
      </c>
      <c r="D960" t="inlineStr">
        <is>
          <t>JÄMTLANDS LÄN</t>
        </is>
      </c>
      <c r="E960" t="inlineStr">
        <is>
          <t>KROKOM</t>
        </is>
      </c>
      <c r="G960" t="n">
        <v>1.6</v>
      </c>
      <c r="H960" t="n">
        <v>0</v>
      </c>
      <c r="I960" t="n">
        <v>0</v>
      </c>
      <c r="J960" t="n">
        <v>0</v>
      </c>
      <c r="K960" t="n">
        <v>0</v>
      </c>
      <c r="L960" t="n">
        <v>0</v>
      </c>
      <c r="M960" t="n">
        <v>0</v>
      </c>
      <c r="N960" t="n">
        <v>0</v>
      </c>
      <c r="O960" t="n">
        <v>0</v>
      </c>
      <c r="P960" t="n">
        <v>0</v>
      </c>
      <c r="Q960" t="n">
        <v>0</v>
      </c>
      <c r="R960" s="2" t="inlineStr"/>
    </row>
    <row r="961" ht="15" customHeight="1">
      <c r="A961" t="inlineStr">
        <is>
          <t>A 7013-2025</t>
        </is>
      </c>
      <c r="B961" s="1" t="n">
        <v>45701.60901620371</v>
      </c>
      <c r="C961" s="1" t="n">
        <v>45983</v>
      </c>
      <c r="D961" t="inlineStr">
        <is>
          <t>JÄMTLANDS LÄN</t>
        </is>
      </c>
      <c r="E961" t="inlineStr">
        <is>
          <t>KROKOM</t>
        </is>
      </c>
      <c r="G961" t="n">
        <v>4.3</v>
      </c>
      <c r="H961" t="n">
        <v>0</v>
      </c>
      <c r="I961" t="n">
        <v>0</v>
      </c>
      <c r="J961" t="n">
        <v>0</v>
      </c>
      <c r="K961" t="n">
        <v>0</v>
      </c>
      <c r="L961" t="n">
        <v>0</v>
      </c>
      <c r="M961" t="n">
        <v>0</v>
      </c>
      <c r="N961" t="n">
        <v>0</v>
      </c>
      <c r="O961" t="n">
        <v>0</v>
      </c>
      <c r="P961" t="n">
        <v>0</v>
      </c>
      <c r="Q961" t="n">
        <v>0</v>
      </c>
      <c r="R961" s="2" t="inlineStr"/>
    </row>
    <row r="962" ht="15" customHeight="1">
      <c r="A962" t="inlineStr">
        <is>
          <t>A 5704-2025</t>
        </is>
      </c>
      <c r="B962" s="1" t="n">
        <v>45694.43806712963</v>
      </c>
      <c r="C962" s="1" t="n">
        <v>45983</v>
      </c>
      <c r="D962" t="inlineStr">
        <is>
          <t>JÄMTLANDS LÄN</t>
        </is>
      </c>
      <c r="E962" t="inlineStr">
        <is>
          <t>KROKOM</t>
        </is>
      </c>
      <c r="G962" t="n">
        <v>1.8</v>
      </c>
      <c r="H962" t="n">
        <v>0</v>
      </c>
      <c r="I962" t="n">
        <v>0</v>
      </c>
      <c r="J962" t="n">
        <v>0</v>
      </c>
      <c r="K962" t="n">
        <v>0</v>
      </c>
      <c r="L962" t="n">
        <v>0</v>
      </c>
      <c r="M962" t="n">
        <v>0</v>
      </c>
      <c r="N962" t="n">
        <v>0</v>
      </c>
      <c r="O962" t="n">
        <v>0</v>
      </c>
      <c r="P962" t="n">
        <v>0</v>
      </c>
      <c r="Q962" t="n">
        <v>0</v>
      </c>
      <c r="R962" s="2" t="inlineStr"/>
    </row>
    <row r="963" ht="15" customHeight="1">
      <c r="A963" t="inlineStr">
        <is>
          <t>A 2782-2025</t>
        </is>
      </c>
      <c r="B963" s="1" t="n">
        <v>45676</v>
      </c>
      <c r="C963" s="1" t="n">
        <v>45983</v>
      </c>
      <c r="D963" t="inlineStr">
        <is>
          <t>JÄMTLANDS LÄN</t>
        </is>
      </c>
      <c r="E963" t="inlineStr">
        <is>
          <t>KROKOM</t>
        </is>
      </c>
      <c r="G963" t="n">
        <v>18.6</v>
      </c>
      <c r="H963" t="n">
        <v>0</v>
      </c>
      <c r="I963" t="n">
        <v>0</v>
      </c>
      <c r="J963" t="n">
        <v>0</v>
      </c>
      <c r="K963" t="n">
        <v>0</v>
      </c>
      <c r="L963" t="n">
        <v>0</v>
      </c>
      <c r="M963" t="n">
        <v>0</v>
      </c>
      <c r="N963" t="n">
        <v>0</v>
      </c>
      <c r="O963" t="n">
        <v>0</v>
      </c>
      <c r="P963" t="n">
        <v>0</v>
      </c>
      <c r="Q963" t="n">
        <v>0</v>
      </c>
      <c r="R963" s="2" t="inlineStr"/>
    </row>
    <row r="964" ht="15" customHeight="1">
      <c r="A964" t="inlineStr">
        <is>
          <t>A 18080-2025</t>
        </is>
      </c>
      <c r="B964" s="1" t="n">
        <v>45761.50909722222</v>
      </c>
      <c r="C964" s="1" t="n">
        <v>45983</v>
      </c>
      <c r="D964" t="inlineStr">
        <is>
          <t>JÄMTLANDS LÄN</t>
        </is>
      </c>
      <c r="E964" t="inlineStr">
        <is>
          <t>KROKOM</t>
        </is>
      </c>
      <c r="G964" t="n">
        <v>21.9</v>
      </c>
      <c r="H964" t="n">
        <v>0</v>
      </c>
      <c r="I964" t="n">
        <v>0</v>
      </c>
      <c r="J964" t="n">
        <v>0</v>
      </c>
      <c r="K964" t="n">
        <v>0</v>
      </c>
      <c r="L964" t="n">
        <v>0</v>
      </c>
      <c r="M964" t="n">
        <v>0</v>
      </c>
      <c r="N964" t="n">
        <v>0</v>
      </c>
      <c r="O964" t="n">
        <v>0</v>
      </c>
      <c r="P964" t="n">
        <v>0</v>
      </c>
      <c r="Q964" t="n">
        <v>0</v>
      </c>
      <c r="R964" s="2" t="inlineStr"/>
    </row>
    <row r="965" ht="15" customHeight="1">
      <c r="A965" t="inlineStr">
        <is>
          <t>A 688-2021</t>
        </is>
      </c>
      <c r="B965" s="1" t="n">
        <v>44203</v>
      </c>
      <c r="C965" s="1" t="n">
        <v>45983</v>
      </c>
      <c r="D965" t="inlineStr">
        <is>
          <t>JÄMTLANDS LÄN</t>
        </is>
      </c>
      <c r="E965" t="inlineStr">
        <is>
          <t>KROKOM</t>
        </is>
      </c>
      <c r="G965" t="n">
        <v>7.8</v>
      </c>
      <c r="H965" t="n">
        <v>0</v>
      </c>
      <c r="I965" t="n">
        <v>0</v>
      </c>
      <c r="J965" t="n">
        <v>0</v>
      </c>
      <c r="K965" t="n">
        <v>0</v>
      </c>
      <c r="L965" t="n">
        <v>0</v>
      </c>
      <c r="M965" t="n">
        <v>0</v>
      </c>
      <c r="N965" t="n">
        <v>0</v>
      </c>
      <c r="O965" t="n">
        <v>0</v>
      </c>
      <c r="P965" t="n">
        <v>0</v>
      </c>
      <c r="Q965" t="n">
        <v>0</v>
      </c>
      <c r="R965" s="2" t="inlineStr"/>
    </row>
    <row r="966" ht="15" customHeight="1">
      <c r="A966" t="inlineStr">
        <is>
          <t>A 51929-2023</t>
        </is>
      </c>
      <c r="B966" s="1" t="n">
        <v>45216</v>
      </c>
      <c r="C966" s="1" t="n">
        <v>45983</v>
      </c>
      <c r="D966" t="inlineStr">
        <is>
          <t>JÄMTLANDS LÄN</t>
        </is>
      </c>
      <c r="E966" t="inlineStr">
        <is>
          <t>KROKOM</t>
        </is>
      </c>
      <c r="G966" t="n">
        <v>0.8</v>
      </c>
      <c r="H966" t="n">
        <v>0</v>
      </c>
      <c r="I966" t="n">
        <v>0</v>
      </c>
      <c r="J966" t="n">
        <v>0</v>
      </c>
      <c r="K966" t="n">
        <v>0</v>
      </c>
      <c r="L966" t="n">
        <v>0</v>
      </c>
      <c r="M966" t="n">
        <v>0</v>
      </c>
      <c r="N966" t="n">
        <v>0</v>
      </c>
      <c r="O966" t="n">
        <v>0</v>
      </c>
      <c r="P966" t="n">
        <v>0</v>
      </c>
      <c r="Q966" t="n">
        <v>0</v>
      </c>
      <c r="R966" s="2" t="inlineStr"/>
    </row>
    <row r="967" ht="15" customHeight="1">
      <c r="A967" t="inlineStr">
        <is>
          <t>A 10552-2025</t>
        </is>
      </c>
      <c r="B967" s="1" t="n">
        <v>45721.5113425926</v>
      </c>
      <c r="C967" s="1" t="n">
        <v>45983</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7556-2025</t>
        </is>
      </c>
      <c r="B968" s="1" t="n">
        <v>45705</v>
      </c>
      <c r="C968" s="1" t="n">
        <v>45983</v>
      </c>
      <c r="D968" t="inlineStr">
        <is>
          <t>JÄMTLANDS LÄN</t>
        </is>
      </c>
      <c r="E968" t="inlineStr">
        <is>
          <t>KROKOM</t>
        </is>
      </c>
      <c r="G968" t="n">
        <v>2.9</v>
      </c>
      <c r="H968" t="n">
        <v>0</v>
      </c>
      <c r="I968" t="n">
        <v>0</v>
      </c>
      <c r="J968" t="n">
        <v>0</v>
      </c>
      <c r="K968" t="n">
        <v>0</v>
      </c>
      <c r="L968" t="n">
        <v>0</v>
      </c>
      <c r="M968" t="n">
        <v>0</v>
      </c>
      <c r="N968" t="n">
        <v>0</v>
      </c>
      <c r="O968" t="n">
        <v>0</v>
      </c>
      <c r="P968" t="n">
        <v>0</v>
      </c>
      <c r="Q968" t="n">
        <v>0</v>
      </c>
      <c r="R968" s="2" t="inlineStr"/>
    </row>
    <row r="969" ht="15" customHeight="1">
      <c r="A969" t="inlineStr">
        <is>
          <t>A 53543-2024</t>
        </is>
      </c>
      <c r="B969" s="1" t="n">
        <v>45614.63697916667</v>
      </c>
      <c r="C969" s="1" t="n">
        <v>45983</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22865-2022</t>
        </is>
      </c>
      <c r="B970" s="1" t="n">
        <v>44715.48863425926</v>
      </c>
      <c r="C970" s="1" t="n">
        <v>45983</v>
      </c>
      <c r="D970" t="inlineStr">
        <is>
          <t>JÄMTLANDS LÄN</t>
        </is>
      </c>
      <c r="E970" t="inlineStr">
        <is>
          <t>KROKOM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16545-2024</t>
        </is>
      </c>
      <c r="B971" s="1" t="n">
        <v>45408</v>
      </c>
      <c r="C971" s="1" t="n">
        <v>45983</v>
      </c>
      <c r="D971" t="inlineStr">
        <is>
          <t>JÄMTLANDS LÄN</t>
        </is>
      </c>
      <c r="E971" t="inlineStr">
        <is>
          <t>KROKOM</t>
        </is>
      </c>
      <c r="G971" t="n">
        <v>46.1</v>
      </c>
      <c r="H971" t="n">
        <v>0</v>
      </c>
      <c r="I971" t="n">
        <v>0</v>
      </c>
      <c r="J971" t="n">
        <v>0</v>
      </c>
      <c r="K971" t="n">
        <v>0</v>
      </c>
      <c r="L971" t="n">
        <v>0</v>
      </c>
      <c r="M971" t="n">
        <v>0</v>
      </c>
      <c r="N971" t="n">
        <v>0</v>
      </c>
      <c r="O971" t="n">
        <v>0</v>
      </c>
      <c r="P971" t="n">
        <v>0</v>
      </c>
      <c r="Q971" t="n">
        <v>0</v>
      </c>
      <c r="R971" s="2" t="inlineStr"/>
    </row>
    <row r="972" ht="15" customHeight="1">
      <c r="A972" t="inlineStr">
        <is>
          <t>A 5558-2025</t>
        </is>
      </c>
      <c r="B972" s="1" t="n">
        <v>45693.48239583334</v>
      </c>
      <c r="C972" s="1" t="n">
        <v>45983</v>
      </c>
      <c r="D972" t="inlineStr">
        <is>
          <t>JÄMTLANDS LÄN</t>
        </is>
      </c>
      <c r="E972" t="inlineStr">
        <is>
          <t>KROKOM</t>
        </is>
      </c>
      <c r="G972" t="n">
        <v>31.1</v>
      </c>
      <c r="H972" t="n">
        <v>0</v>
      </c>
      <c r="I972" t="n">
        <v>0</v>
      </c>
      <c r="J972" t="n">
        <v>0</v>
      </c>
      <c r="K972" t="n">
        <v>0</v>
      </c>
      <c r="L972" t="n">
        <v>0</v>
      </c>
      <c r="M972" t="n">
        <v>0</v>
      </c>
      <c r="N972" t="n">
        <v>0</v>
      </c>
      <c r="O972" t="n">
        <v>0</v>
      </c>
      <c r="P972" t="n">
        <v>0</v>
      </c>
      <c r="Q972" t="n">
        <v>0</v>
      </c>
      <c r="R972" s="2" t="inlineStr"/>
    </row>
    <row r="973" ht="15" customHeight="1">
      <c r="A973" t="inlineStr">
        <is>
          <t>A 6208-2025</t>
        </is>
      </c>
      <c r="B973" s="1" t="n">
        <v>45698.4930787037</v>
      </c>
      <c r="C973" s="1" t="n">
        <v>45983</v>
      </c>
      <c r="D973" t="inlineStr">
        <is>
          <t>JÄMTLANDS LÄN</t>
        </is>
      </c>
      <c r="E973" t="inlineStr">
        <is>
          <t>KROKOM</t>
        </is>
      </c>
      <c r="G973" t="n">
        <v>7.6</v>
      </c>
      <c r="H973" t="n">
        <v>0</v>
      </c>
      <c r="I973" t="n">
        <v>0</v>
      </c>
      <c r="J973" t="n">
        <v>0</v>
      </c>
      <c r="K973" t="n">
        <v>0</v>
      </c>
      <c r="L973" t="n">
        <v>0</v>
      </c>
      <c r="M973" t="n">
        <v>0</v>
      </c>
      <c r="N973" t="n">
        <v>0</v>
      </c>
      <c r="O973" t="n">
        <v>0</v>
      </c>
      <c r="P973" t="n">
        <v>0</v>
      </c>
      <c r="Q973" t="n">
        <v>0</v>
      </c>
      <c r="R973" s="2" t="inlineStr"/>
    </row>
    <row r="974" ht="15" customHeight="1">
      <c r="A974" t="inlineStr">
        <is>
          <t>A 6245-2025</t>
        </is>
      </c>
      <c r="B974" s="1" t="n">
        <v>45698.57129629629</v>
      </c>
      <c r="C974" s="1" t="n">
        <v>45983</v>
      </c>
      <c r="D974" t="inlineStr">
        <is>
          <t>JÄMTLANDS LÄN</t>
        </is>
      </c>
      <c r="E974" t="inlineStr">
        <is>
          <t>KROKOM</t>
        </is>
      </c>
      <c r="G974" t="n">
        <v>9.9</v>
      </c>
      <c r="H974" t="n">
        <v>0</v>
      </c>
      <c r="I974" t="n">
        <v>0</v>
      </c>
      <c r="J974" t="n">
        <v>0</v>
      </c>
      <c r="K974" t="n">
        <v>0</v>
      </c>
      <c r="L974" t="n">
        <v>0</v>
      </c>
      <c r="M974" t="n">
        <v>0</v>
      </c>
      <c r="N974" t="n">
        <v>0</v>
      </c>
      <c r="O974" t="n">
        <v>0</v>
      </c>
      <c r="P974" t="n">
        <v>0</v>
      </c>
      <c r="Q974" t="n">
        <v>0</v>
      </c>
      <c r="R974" s="2" t="inlineStr"/>
    </row>
    <row r="975" ht="15" customHeight="1">
      <c r="A975" t="inlineStr">
        <is>
          <t>A 4383-2025</t>
        </is>
      </c>
      <c r="B975" s="1" t="n">
        <v>45686.39777777778</v>
      </c>
      <c r="C975" s="1" t="n">
        <v>45983</v>
      </c>
      <c r="D975" t="inlineStr">
        <is>
          <t>JÄMTLANDS LÄN</t>
        </is>
      </c>
      <c r="E975" t="inlineStr">
        <is>
          <t>KROKOM</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56538-2023</t>
        </is>
      </c>
      <c r="B976" s="1" t="n">
        <v>45238</v>
      </c>
      <c r="C976" s="1" t="n">
        <v>45983</v>
      </c>
      <c r="D976" t="inlineStr">
        <is>
          <t>JÄMTLANDS LÄN</t>
        </is>
      </c>
      <c r="E976" t="inlineStr">
        <is>
          <t>KROKOM</t>
        </is>
      </c>
      <c r="G976" t="n">
        <v>17.7</v>
      </c>
      <c r="H976" t="n">
        <v>0</v>
      </c>
      <c r="I976" t="n">
        <v>0</v>
      </c>
      <c r="J976" t="n">
        <v>0</v>
      </c>
      <c r="K976" t="n">
        <v>0</v>
      </c>
      <c r="L976" t="n">
        <v>0</v>
      </c>
      <c r="M976" t="n">
        <v>0</v>
      </c>
      <c r="N976" t="n">
        <v>0</v>
      </c>
      <c r="O976" t="n">
        <v>0</v>
      </c>
      <c r="P976" t="n">
        <v>0</v>
      </c>
      <c r="Q976" t="n">
        <v>0</v>
      </c>
      <c r="R976" s="2" t="inlineStr"/>
    </row>
    <row r="977" ht="15" customHeight="1">
      <c r="A977" t="inlineStr">
        <is>
          <t>A 15776-2025</t>
        </is>
      </c>
      <c r="B977" s="1" t="n">
        <v>45748.59744212963</v>
      </c>
      <c r="C977" s="1" t="n">
        <v>45983</v>
      </c>
      <c r="D977" t="inlineStr">
        <is>
          <t>JÄMTLANDS LÄN</t>
        </is>
      </c>
      <c r="E977" t="inlineStr">
        <is>
          <t>KROKOM</t>
        </is>
      </c>
      <c r="G977" t="n">
        <v>46.5</v>
      </c>
      <c r="H977" t="n">
        <v>0</v>
      </c>
      <c r="I977" t="n">
        <v>0</v>
      </c>
      <c r="J977" t="n">
        <v>0</v>
      </c>
      <c r="K977" t="n">
        <v>0</v>
      </c>
      <c r="L977" t="n">
        <v>0</v>
      </c>
      <c r="M977" t="n">
        <v>0</v>
      </c>
      <c r="N977" t="n">
        <v>0</v>
      </c>
      <c r="O977" t="n">
        <v>0</v>
      </c>
      <c r="P977" t="n">
        <v>0</v>
      </c>
      <c r="Q977" t="n">
        <v>0</v>
      </c>
      <c r="R977" s="2" t="inlineStr"/>
    </row>
    <row r="978" ht="15" customHeight="1">
      <c r="A978" t="inlineStr">
        <is>
          <t>A 67730-2020</t>
        </is>
      </c>
      <c r="B978" s="1" t="n">
        <v>44179</v>
      </c>
      <c r="C978" s="1" t="n">
        <v>45983</v>
      </c>
      <c r="D978" t="inlineStr">
        <is>
          <t>JÄMTLANDS LÄN</t>
        </is>
      </c>
      <c r="E978" t="inlineStr">
        <is>
          <t>KROKOM</t>
        </is>
      </c>
      <c r="G978" t="n">
        <v>7.5</v>
      </c>
      <c r="H978" t="n">
        <v>0</v>
      </c>
      <c r="I978" t="n">
        <v>0</v>
      </c>
      <c r="J978" t="n">
        <v>0</v>
      </c>
      <c r="K978" t="n">
        <v>0</v>
      </c>
      <c r="L978" t="n">
        <v>0</v>
      </c>
      <c r="M978" t="n">
        <v>0</v>
      </c>
      <c r="N978" t="n">
        <v>0</v>
      </c>
      <c r="O978" t="n">
        <v>0</v>
      </c>
      <c r="P978" t="n">
        <v>0</v>
      </c>
      <c r="Q978" t="n">
        <v>0</v>
      </c>
      <c r="R978" s="2" t="inlineStr"/>
    </row>
    <row r="979" ht="15" customHeight="1">
      <c r="A979" t="inlineStr">
        <is>
          <t>A 10279-2025</t>
        </is>
      </c>
      <c r="B979" s="1" t="n">
        <v>45720.40268518519</v>
      </c>
      <c r="C979" s="1" t="n">
        <v>45983</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5533-2025</t>
        </is>
      </c>
      <c r="B980" s="1" t="n">
        <v>45693</v>
      </c>
      <c r="C980" s="1" t="n">
        <v>45983</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40364-2023</t>
        </is>
      </c>
      <c r="B981" s="1" t="n">
        <v>45168</v>
      </c>
      <c r="C981" s="1" t="n">
        <v>45983</v>
      </c>
      <c r="D981" t="inlineStr">
        <is>
          <t>JÄMTLANDS LÄN</t>
        </is>
      </c>
      <c r="E981" t="inlineStr">
        <is>
          <t>KROKOM</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34278-2022</t>
        </is>
      </c>
      <c r="B982" s="1" t="n">
        <v>44792.27644675926</v>
      </c>
      <c r="C982" s="1" t="n">
        <v>45983</v>
      </c>
      <c r="D982" t="inlineStr">
        <is>
          <t>JÄMTLANDS LÄN</t>
        </is>
      </c>
      <c r="E982" t="inlineStr">
        <is>
          <t>KROKOM</t>
        </is>
      </c>
      <c r="G982" t="n">
        <v>19.5</v>
      </c>
      <c r="H982" t="n">
        <v>0</v>
      </c>
      <c r="I982" t="n">
        <v>0</v>
      </c>
      <c r="J982" t="n">
        <v>0</v>
      </c>
      <c r="K982" t="n">
        <v>0</v>
      </c>
      <c r="L982" t="n">
        <v>0</v>
      </c>
      <c r="M982" t="n">
        <v>0</v>
      </c>
      <c r="N982" t="n">
        <v>0</v>
      </c>
      <c r="O982" t="n">
        <v>0</v>
      </c>
      <c r="P982" t="n">
        <v>0</v>
      </c>
      <c r="Q982" t="n">
        <v>0</v>
      </c>
      <c r="R982" s="2" t="inlineStr"/>
    </row>
    <row r="983" ht="15" customHeight="1">
      <c r="A983" t="inlineStr">
        <is>
          <t>A 29238-2022</t>
        </is>
      </c>
      <c r="B983" s="1" t="n">
        <v>44750</v>
      </c>
      <c r="C983" s="1" t="n">
        <v>45983</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23512-2022</t>
        </is>
      </c>
      <c r="B984" s="1" t="n">
        <v>44721.39003472222</v>
      </c>
      <c r="C984" s="1" t="n">
        <v>45983</v>
      </c>
      <c r="D984" t="inlineStr">
        <is>
          <t>JÄMTLANDS LÄN</t>
        </is>
      </c>
      <c r="E984" t="inlineStr">
        <is>
          <t>KROKOM</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24441-2022</t>
        </is>
      </c>
      <c r="B985" s="1" t="n">
        <v>44726</v>
      </c>
      <c r="C985" s="1" t="n">
        <v>45983</v>
      </c>
      <c r="D985" t="inlineStr">
        <is>
          <t>JÄMTLANDS LÄN</t>
        </is>
      </c>
      <c r="E985" t="inlineStr">
        <is>
          <t>KROKOM</t>
        </is>
      </c>
      <c r="G985" t="n">
        <v>12.1</v>
      </c>
      <c r="H985" t="n">
        <v>0</v>
      </c>
      <c r="I985" t="n">
        <v>0</v>
      </c>
      <c r="J985" t="n">
        <v>0</v>
      </c>
      <c r="K985" t="n">
        <v>0</v>
      </c>
      <c r="L985" t="n">
        <v>0</v>
      </c>
      <c r="M985" t="n">
        <v>0</v>
      </c>
      <c r="N985" t="n">
        <v>0</v>
      </c>
      <c r="O985" t="n">
        <v>0</v>
      </c>
      <c r="P985" t="n">
        <v>0</v>
      </c>
      <c r="Q985" t="n">
        <v>0</v>
      </c>
      <c r="R985" s="2" t="inlineStr"/>
    </row>
    <row r="986" ht="15" customHeight="1">
      <c r="A986" t="inlineStr">
        <is>
          <t>A 48769-2022</t>
        </is>
      </c>
      <c r="B986" s="1" t="n">
        <v>44855</v>
      </c>
      <c r="C986" s="1" t="n">
        <v>45983</v>
      </c>
      <c r="D986" t="inlineStr">
        <is>
          <t>JÄMTLANDS LÄN</t>
        </is>
      </c>
      <c r="E986" t="inlineStr">
        <is>
          <t>KROKOM</t>
        </is>
      </c>
      <c r="G986" t="n">
        <v>7.5</v>
      </c>
      <c r="H986" t="n">
        <v>0</v>
      </c>
      <c r="I986" t="n">
        <v>0</v>
      </c>
      <c r="J986" t="n">
        <v>0</v>
      </c>
      <c r="K986" t="n">
        <v>0</v>
      </c>
      <c r="L986" t="n">
        <v>0</v>
      </c>
      <c r="M986" t="n">
        <v>0</v>
      </c>
      <c r="N986" t="n">
        <v>0</v>
      </c>
      <c r="O986" t="n">
        <v>0</v>
      </c>
      <c r="P986" t="n">
        <v>0</v>
      </c>
      <c r="Q986" t="n">
        <v>0</v>
      </c>
      <c r="R986" s="2" t="inlineStr"/>
    </row>
    <row r="987" ht="15" customHeight="1">
      <c r="A987" t="inlineStr">
        <is>
          <t>A 48777-2022</t>
        </is>
      </c>
      <c r="B987" s="1" t="n">
        <v>44855</v>
      </c>
      <c r="C987" s="1" t="n">
        <v>45983</v>
      </c>
      <c r="D987" t="inlineStr">
        <is>
          <t>JÄMTLANDS LÄN</t>
        </is>
      </c>
      <c r="E987" t="inlineStr">
        <is>
          <t>KROKOM</t>
        </is>
      </c>
      <c r="G987" t="n">
        <v>5.3</v>
      </c>
      <c r="H987" t="n">
        <v>0</v>
      </c>
      <c r="I987" t="n">
        <v>0</v>
      </c>
      <c r="J987" t="n">
        <v>0</v>
      </c>
      <c r="K987" t="n">
        <v>0</v>
      </c>
      <c r="L987" t="n">
        <v>0</v>
      </c>
      <c r="M987" t="n">
        <v>0</v>
      </c>
      <c r="N987" t="n">
        <v>0</v>
      </c>
      <c r="O987" t="n">
        <v>0</v>
      </c>
      <c r="P987" t="n">
        <v>0</v>
      </c>
      <c r="Q987" t="n">
        <v>0</v>
      </c>
      <c r="R987" s="2" t="inlineStr"/>
    </row>
    <row r="988" ht="15" customHeight="1">
      <c r="A988" t="inlineStr">
        <is>
          <t>A 54491-2022</t>
        </is>
      </c>
      <c r="B988" s="1" t="n">
        <v>44880</v>
      </c>
      <c r="C988" s="1" t="n">
        <v>45983</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27178-2022</t>
        </is>
      </c>
      <c r="B989" s="1" t="n">
        <v>44741</v>
      </c>
      <c r="C989" s="1" t="n">
        <v>45983</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16129-2025</t>
        </is>
      </c>
      <c r="B990" s="1" t="n">
        <v>45750.42650462963</v>
      </c>
      <c r="C990" s="1" t="n">
        <v>45983</v>
      </c>
      <c r="D990" t="inlineStr">
        <is>
          <t>JÄMTLANDS LÄN</t>
        </is>
      </c>
      <c r="E990" t="inlineStr">
        <is>
          <t>KROKOM</t>
        </is>
      </c>
      <c r="G990" t="n">
        <v>3</v>
      </c>
      <c r="H990" t="n">
        <v>0</v>
      </c>
      <c r="I990" t="n">
        <v>0</v>
      </c>
      <c r="J990" t="n">
        <v>0</v>
      </c>
      <c r="K990" t="n">
        <v>0</v>
      </c>
      <c r="L990" t="n">
        <v>0</v>
      </c>
      <c r="M990" t="n">
        <v>0</v>
      </c>
      <c r="N990" t="n">
        <v>0</v>
      </c>
      <c r="O990" t="n">
        <v>0</v>
      </c>
      <c r="P990" t="n">
        <v>0</v>
      </c>
      <c r="Q990" t="n">
        <v>0</v>
      </c>
      <c r="R990" s="2" t="inlineStr"/>
    </row>
    <row r="991" ht="15" customHeight="1">
      <c r="A991" t="inlineStr">
        <is>
          <t>A 24402-2022</t>
        </is>
      </c>
      <c r="B991" s="1" t="n">
        <v>44726</v>
      </c>
      <c r="C991" s="1" t="n">
        <v>45983</v>
      </c>
      <c r="D991" t="inlineStr">
        <is>
          <t>JÄMTLANDS LÄN</t>
        </is>
      </c>
      <c r="E991" t="inlineStr">
        <is>
          <t>KROKOM</t>
        </is>
      </c>
      <c r="G991" t="n">
        <v>13.3</v>
      </c>
      <c r="H991" t="n">
        <v>0</v>
      </c>
      <c r="I991" t="n">
        <v>0</v>
      </c>
      <c r="J991" t="n">
        <v>0</v>
      </c>
      <c r="K991" t="n">
        <v>0</v>
      </c>
      <c r="L991" t="n">
        <v>0</v>
      </c>
      <c r="M991" t="n">
        <v>0</v>
      </c>
      <c r="N991" t="n">
        <v>0</v>
      </c>
      <c r="O991" t="n">
        <v>0</v>
      </c>
      <c r="P991" t="n">
        <v>0</v>
      </c>
      <c r="Q991" t="n">
        <v>0</v>
      </c>
      <c r="R991" s="2" t="inlineStr"/>
    </row>
    <row r="992" ht="15" customHeight="1">
      <c r="A992" t="inlineStr">
        <is>
          <t>A 773-2024</t>
        </is>
      </c>
      <c r="B992" s="1" t="n">
        <v>45300</v>
      </c>
      <c r="C992" s="1" t="n">
        <v>45983</v>
      </c>
      <c r="D992" t="inlineStr">
        <is>
          <t>JÄMTLANDS LÄN</t>
        </is>
      </c>
      <c r="E992" t="inlineStr">
        <is>
          <t>KROKOM</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8880-2025</t>
        </is>
      </c>
      <c r="B993" s="1" t="n">
        <v>45713.38028935185</v>
      </c>
      <c r="C993" s="1" t="n">
        <v>45983</v>
      </c>
      <c r="D993" t="inlineStr">
        <is>
          <t>JÄMTLANDS LÄN</t>
        </is>
      </c>
      <c r="E993" t="inlineStr">
        <is>
          <t>KROKOM</t>
        </is>
      </c>
      <c r="F993" t="inlineStr">
        <is>
          <t>Övriga Aktiebolag</t>
        </is>
      </c>
      <c r="G993" t="n">
        <v>5.1</v>
      </c>
      <c r="H993" t="n">
        <v>0</v>
      </c>
      <c r="I993" t="n">
        <v>0</v>
      </c>
      <c r="J993" t="n">
        <v>0</v>
      </c>
      <c r="K993" t="n">
        <v>0</v>
      </c>
      <c r="L993" t="n">
        <v>0</v>
      </c>
      <c r="M993" t="n">
        <v>0</v>
      </c>
      <c r="N993" t="n">
        <v>0</v>
      </c>
      <c r="O993" t="n">
        <v>0</v>
      </c>
      <c r="P993" t="n">
        <v>0</v>
      </c>
      <c r="Q993" t="n">
        <v>0</v>
      </c>
      <c r="R993" s="2" t="inlineStr"/>
    </row>
    <row r="994" ht="15" customHeight="1">
      <c r="A994" t="inlineStr">
        <is>
          <t>A 6804-2025</t>
        </is>
      </c>
      <c r="B994" s="1" t="n">
        <v>45700.6833912037</v>
      </c>
      <c r="C994" s="1" t="n">
        <v>45983</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15231-2025</t>
        </is>
      </c>
      <c r="B995" s="1" t="n">
        <v>45744.59894675926</v>
      </c>
      <c r="C995" s="1" t="n">
        <v>45983</v>
      </c>
      <c r="D995" t="inlineStr">
        <is>
          <t>JÄMTLANDS LÄN</t>
        </is>
      </c>
      <c r="E995" t="inlineStr">
        <is>
          <t>KROKOM</t>
        </is>
      </c>
      <c r="F995" t="inlineStr">
        <is>
          <t>Övriga Aktiebolag</t>
        </is>
      </c>
      <c r="G995" t="n">
        <v>11.8</v>
      </c>
      <c r="H995" t="n">
        <v>0</v>
      </c>
      <c r="I995" t="n">
        <v>0</v>
      </c>
      <c r="J995" t="n">
        <v>0</v>
      </c>
      <c r="K995" t="n">
        <v>0</v>
      </c>
      <c r="L995" t="n">
        <v>0</v>
      </c>
      <c r="M995" t="n">
        <v>0</v>
      </c>
      <c r="N995" t="n">
        <v>0</v>
      </c>
      <c r="O995" t="n">
        <v>0</v>
      </c>
      <c r="P995" t="n">
        <v>0</v>
      </c>
      <c r="Q995" t="n">
        <v>0</v>
      </c>
      <c r="R995" s="2" t="inlineStr"/>
    </row>
    <row r="996" ht="15" customHeight="1">
      <c r="A996" t="inlineStr">
        <is>
          <t>A 64174-2023</t>
        </is>
      </c>
      <c r="B996" s="1" t="n">
        <v>45279</v>
      </c>
      <c r="C996" s="1" t="n">
        <v>45983</v>
      </c>
      <c r="D996" t="inlineStr">
        <is>
          <t>JÄMTLANDS LÄN</t>
        </is>
      </c>
      <c r="E996" t="inlineStr">
        <is>
          <t>KROKOM</t>
        </is>
      </c>
      <c r="G996" t="n">
        <v>1.9</v>
      </c>
      <c r="H996" t="n">
        <v>0</v>
      </c>
      <c r="I996" t="n">
        <v>0</v>
      </c>
      <c r="J996" t="n">
        <v>0</v>
      </c>
      <c r="K996" t="n">
        <v>0</v>
      </c>
      <c r="L996" t="n">
        <v>0</v>
      </c>
      <c r="M996" t="n">
        <v>0</v>
      </c>
      <c r="N996" t="n">
        <v>0</v>
      </c>
      <c r="O996" t="n">
        <v>0</v>
      </c>
      <c r="P996" t="n">
        <v>0</v>
      </c>
      <c r="Q996" t="n">
        <v>0</v>
      </c>
      <c r="R996" s="2" t="inlineStr"/>
    </row>
    <row r="997" ht="15" customHeight="1">
      <c r="A997" t="inlineStr">
        <is>
          <t>A 55660-2023</t>
        </is>
      </c>
      <c r="B997" s="1" t="n">
        <v>45238</v>
      </c>
      <c r="C997" s="1" t="n">
        <v>45983</v>
      </c>
      <c r="D997" t="inlineStr">
        <is>
          <t>JÄMTLANDS LÄN</t>
        </is>
      </c>
      <c r="E997" t="inlineStr">
        <is>
          <t>KROKOM</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59973-2023</t>
        </is>
      </c>
      <c r="B998" s="1" t="n">
        <v>45257</v>
      </c>
      <c r="C998" s="1" t="n">
        <v>45983</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57856-2023</t>
        </is>
      </c>
      <c r="B999" s="1" t="n">
        <v>45247</v>
      </c>
      <c r="C999" s="1" t="n">
        <v>45983</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9022-2025</t>
        </is>
      </c>
      <c r="B1000" s="1" t="n">
        <v>45713.59623842593</v>
      </c>
      <c r="C1000" s="1" t="n">
        <v>45983</v>
      </c>
      <c r="D1000" t="inlineStr">
        <is>
          <t>JÄMTLANDS LÄN</t>
        </is>
      </c>
      <c r="E1000" t="inlineStr">
        <is>
          <t>KROKOM</t>
        </is>
      </c>
      <c r="F1000" t="inlineStr">
        <is>
          <t>Övriga Aktiebolag</t>
        </is>
      </c>
      <c r="G1000" t="n">
        <v>29.9</v>
      </c>
      <c r="H1000" t="n">
        <v>0</v>
      </c>
      <c r="I1000" t="n">
        <v>0</v>
      </c>
      <c r="J1000" t="n">
        <v>0</v>
      </c>
      <c r="K1000" t="n">
        <v>0</v>
      </c>
      <c r="L1000" t="n">
        <v>0</v>
      </c>
      <c r="M1000" t="n">
        <v>0</v>
      </c>
      <c r="N1000" t="n">
        <v>0</v>
      </c>
      <c r="O1000" t="n">
        <v>0</v>
      </c>
      <c r="P1000" t="n">
        <v>0</v>
      </c>
      <c r="Q1000" t="n">
        <v>0</v>
      </c>
      <c r="R1000" s="2" t="inlineStr"/>
    </row>
    <row r="1001" ht="15" customHeight="1">
      <c r="A1001" t="inlineStr">
        <is>
          <t>A 30160-2022</t>
        </is>
      </c>
      <c r="B1001" s="1" t="n">
        <v>44757</v>
      </c>
      <c r="C1001" s="1" t="n">
        <v>45983</v>
      </c>
      <c r="D1001" t="inlineStr">
        <is>
          <t>JÄMTLANDS LÄN</t>
        </is>
      </c>
      <c r="E1001" t="inlineStr">
        <is>
          <t>KROKOM</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1852-2025</t>
        </is>
      </c>
      <c r="B1002" s="1" t="n">
        <v>45671.59114583334</v>
      </c>
      <c r="C1002" s="1" t="n">
        <v>45983</v>
      </c>
      <c r="D1002" t="inlineStr">
        <is>
          <t>JÄMTLANDS LÄN</t>
        </is>
      </c>
      <c r="E1002" t="inlineStr">
        <is>
          <t>KROKOM</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21990-2022</t>
        </is>
      </c>
      <c r="B1003" s="1" t="n">
        <v>44711</v>
      </c>
      <c r="C1003" s="1" t="n">
        <v>45983</v>
      </c>
      <c r="D1003" t="inlineStr">
        <is>
          <t>JÄMTLANDS LÄN</t>
        </is>
      </c>
      <c r="E1003" t="inlineStr">
        <is>
          <t>KROKOM</t>
        </is>
      </c>
      <c r="F1003" t="inlineStr">
        <is>
          <t>Övriga Aktiebolag</t>
        </is>
      </c>
      <c r="G1003" t="n">
        <v>26.3</v>
      </c>
      <c r="H1003" t="n">
        <v>0</v>
      </c>
      <c r="I1003" t="n">
        <v>0</v>
      </c>
      <c r="J1003" t="n">
        <v>0</v>
      </c>
      <c r="K1003" t="n">
        <v>0</v>
      </c>
      <c r="L1003" t="n">
        <v>0</v>
      </c>
      <c r="M1003" t="n">
        <v>0</v>
      </c>
      <c r="N1003" t="n">
        <v>0</v>
      </c>
      <c r="O1003" t="n">
        <v>0</v>
      </c>
      <c r="P1003" t="n">
        <v>0</v>
      </c>
      <c r="Q1003" t="n">
        <v>0</v>
      </c>
      <c r="R1003" s="2" t="inlineStr"/>
    </row>
    <row r="1004" ht="15" customHeight="1">
      <c r="A1004" t="inlineStr">
        <is>
          <t>A 10842-2024</t>
        </is>
      </c>
      <c r="B1004" s="1" t="n">
        <v>45369</v>
      </c>
      <c r="C1004" s="1" t="n">
        <v>45983</v>
      </c>
      <c r="D1004" t="inlineStr">
        <is>
          <t>JÄMTLANDS LÄN</t>
        </is>
      </c>
      <c r="E1004" t="inlineStr">
        <is>
          <t>KROKOM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63532-2023</t>
        </is>
      </c>
      <c r="B1005" s="1" t="n">
        <v>45274</v>
      </c>
      <c r="C1005" s="1" t="n">
        <v>45983</v>
      </c>
      <c r="D1005" t="inlineStr">
        <is>
          <t>JÄMTLANDS LÄN</t>
        </is>
      </c>
      <c r="E1005" t="inlineStr">
        <is>
          <t>KROKOM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47587-2023</t>
        </is>
      </c>
      <c r="B1006" s="1" t="n">
        <v>45203.44248842593</v>
      </c>
      <c r="C1006" s="1" t="n">
        <v>45983</v>
      </c>
      <c r="D1006" t="inlineStr">
        <is>
          <t>JÄMTLANDS LÄN</t>
        </is>
      </c>
      <c r="E1006" t="inlineStr">
        <is>
          <t>KROKOM</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39127-2023</t>
        </is>
      </c>
      <c r="B1007" s="1" t="n">
        <v>45165.70483796296</v>
      </c>
      <c r="C1007" s="1" t="n">
        <v>45983</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22890-2024</t>
        </is>
      </c>
      <c r="B1008" s="1" t="n">
        <v>45448.67574074074</v>
      </c>
      <c r="C1008" s="1" t="n">
        <v>45983</v>
      </c>
      <c r="D1008" t="inlineStr">
        <is>
          <t>JÄMTLANDS LÄN</t>
        </is>
      </c>
      <c r="E1008" t="inlineStr">
        <is>
          <t>KROKOM</t>
        </is>
      </c>
      <c r="F1008" t="inlineStr">
        <is>
          <t>Övriga Aktiebolag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46753-2022</t>
        </is>
      </c>
      <c r="B1009" s="1" t="n">
        <v>44847</v>
      </c>
      <c r="C1009" s="1" t="n">
        <v>45983</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46761-2022</t>
        </is>
      </c>
      <c r="B1010" s="1" t="n">
        <v>44847</v>
      </c>
      <c r="C1010" s="1" t="n">
        <v>45983</v>
      </c>
      <c r="D1010" t="inlineStr">
        <is>
          <t>JÄMTLANDS LÄN</t>
        </is>
      </c>
      <c r="E1010" t="inlineStr">
        <is>
          <t>KROKOM</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48417-2022</t>
        </is>
      </c>
      <c r="B1011" s="1" t="n">
        <v>44858</v>
      </c>
      <c r="C1011" s="1" t="n">
        <v>45983</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45983</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16225-2025</t>
        </is>
      </c>
      <c r="B1013" s="1" t="n">
        <v>45750.6447800926</v>
      </c>
      <c r="C1013" s="1" t="n">
        <v>45983</v>
      </c>
      <c r="D1013" t="inlineStr">
        <is>
          <t>JÄMTLANDS LÄN</t>
        </is>
      </c>
      <c r="E1013" t="inlineStr">
        <is>
          <t>KROKOM</t>
        </is>
      </c>
      <c r="F1013" t="inlineStr">
        <is>
          <t>Övriga Aktiebolag</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17510-2025</t>
        </is>
      </c>
      <c r="B1014" s="1" t="n">
        <v>45757.56491898148</v>
      </c>
      <c r="C1014" s="1" t="n">
        <v>45983</v>
      </c>
      <c r="D1014" t="inlineStr">
        <is>
          <t>JÄMTLANDS LÄN</t>
        </is>
      </c>
      <c r="E1014" t="inlineStr">
        <is>
          <t>KROKOM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15885-2023</t>
        </is>
      </c>
      <c r="B1015" s="1" t="n">
        <v>45022</v>
      </c>
      <c r="C1015" s="1" t="n">
        <v>45983</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60102-2023</t>
        </is>
      </c>
      <c r="B1016" s="1" t="n">
        <v>45257</v>
      </c>
      <c r="C1016" s="1" t="n">
        <v>45983</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7763-2024</t>
        </is>
      </c>
      <c r="B1017" s="1" t="n">
        <v>45348</v>
      </c>
      <c r="C1017" s="1" t="n">
        <v>45983</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42398-2024</t>
        </is>
      </c>
      <c r="B1018" s="1" t="n">
        <v>45565.33152777778</v>
      </c>
      <c r="C1018" s="1" t="n">
        <v>45983</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34720-2023</t>
        </is>
      </c>
      <c r="B1019" s="1" t="n">
        <v>45139</v>
      </c>
      <c r="C1019" s="1" t="n">
        <v>45983</v>
      </c>
      <c r="D1019" t="inlineStr">
        <is>
          <t>JÄMTLANDS LÄN</t>
        </is>
      </c>
      <c r="E1019" t="inlineStr">
        <is>
          <t>KROKOM</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72064-2021</t>
        </is>
      </c>
      <c r="B1020" s="1" t="n">
        <v>44544.49326388889</v>
      </c>
      <c r="C1020" s="1" t="n">
        <v>45983</v>
      </c>
      <c r="D1020" t="inlineStr">
        <is>
          <t>JÄMTLANDS LÄN</t>
        </is>
      </c>
      <c r="E1020" t="inlineStr">
        <is>
          <t>KROKOM</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25428-2022</t>
        </is>
      </c>
      <c r="B1021" s="1" t="n">
        <v>44732</v>
      </c>
      <c r="C1021" s="1" t="n">
        <v>45983</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50302-2022</t>
        </is>
      </c>
      <c r="B1022" s="1" t="n">
        <v>44865</v>
      </c>
      <c r="C1022" s="1" t="n">
        <v>45983</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5422-2021</t>
        </is>
      </c>
      <c r="B1023" s="1" t="n">
        <v>44228</v>
      </c>
      <c r="C1023" s="1" t="n">
        <v>45983</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52240-2024</t>
        </is>
      </c>
      <c r="B1024" s="1" t="n">
        <v>45608.61923611111</v>
      </c>
      <c r="C1024" s="1" t="n">
        <v>45983</v>
      </c>
      <c r="D1024" t="inlineStr">
        <is>
          <t>JÄMTLANDS LÄN</t>
        </is>
      </c>
      <c r="E1024" t="inlineStr">
        <is>
          <t>KROKOM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50129-2024</t>
        </is>
      </c>
      <c r="B1025" s="1" t="n">
        <v>45600.433125</v>
      </c>
      <c r="C1025" s="1" t="n">
        <v>45983</v>
      </c>
      <c r="D1025" t="inlineStr">
        <is>
          <t>JÄMTLANDS LÄN</t>
        </is>
      </c>
      <c r="E1025" t="inlineStr">
        <is>
          <t>KROKOM</t>
        </is>
      </c>
      <c r="F1025" t="inlineStr">
        <is>
          <t>Övriga Aktiebolag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6991-2025</t>
        </is>
      </c>
      <c r="B1026" s="1" t="n">
        <v>45701.57363425926</v>
      </c>
      <c r="C1026" s="1" t="n">
        <v>45983</v>
      </c>
      <c r="D1026" t="inlineStr">
        <is>
          <t>JÄMTLANDS LÄN</t>
        </is>
      </c>
      <c r="E1026" t="inlineStr">
        <is>
          <t>KROKOM</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14170-2024</t>
        </is>
      </c>
      <c r="B1027" s="1" t="n">
        <v>45392.95844907407</v>
      </c>
      <c r="C1027" s="1" t="n">
        <v>45983</v>
      </c>
      <c r="D1027" t="inlineStr">
        <is>
          <t>JÄMTLANDS LÄN</t>
        </is>
      </c>
      <c r="E1027" t="inlineStr">
        <is>
          <t>KROKOM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14171-2024</t>
        </is>
      </c>
      <c r="B1028" s="1" t="n">
        <v>45392</v>
      </c>
      <c r="C1028" s="1" t="n">
        <v>45983</v>
      </c>
      <c r="D1028" t="inlineStr">
        <is>
          <t>JÄMTLANDS LÄN</t>
        </is>
      </c>
      <c r="E1028" t="inlineStr">
        <is>
          <t>KROKOM</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23832-2021</t>
        </is>
      </c>
      <c r="B1029" s="1" t="n">
        <v>44335</v>
      </c>
      <c r="C1029" s="1" t="n">
        <v>45983</v>
      </c>
      <c r="D1029" t="inlineStr">
        <is>
          <t>JÄMTLANDS LÄN</t>
        </is>
      </c>
      <c r="E1029" t="inlineStr">
        <is>
          <t>KROKOM</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52268-2022</t>
        </is>
      </c>
      <c r="B1030" s="1" t="n">
        <v>44873</v>
      </c>
      <c r="C1030" s="1" t="n">
        <v>45983</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c r="U1030">
        <f>HYPERLINK("https://klasma.github.io/Logging_2309/knärot/A 52268-2022 karta knärot.png", "A 52268-2022")</f>
        <v/>
      </c>
      <c r="V1030">
        <f>HYPERLINK("https://klasma.github.io/Logging_2309/klagomål/A 52268-2022 FSC-klagomål.docx", "A 52268-2022")</f>
        <v/>
      </c>
      <c r="W1030">
        <f>HYPERLINK("https://klasma.github.io/Logging_2309/klagomålsmail/A 52268-2022 FSC-klagomål mail.docx", "A 52268-2022")</f>
        <v/>
      </c>
      <c r="X1030">
        <f>HYPERLINK("https://klasma.github.io/Logging_2309/tillsyn/A 52268-2022 tillsynsbegäran.docx", "A 52268-2022")</f>
        <v/>
      </c>
      <c r="Y1030">
        <f>HYPERLINK("https://klasma.github.io/Logging_2309/tillsynsmail/A 52268-2022 tillsynsbegäran mail.docx", "A 52268-2022")</f>
        <v/>
      </c>
    </row>
    <row r="1031" ht="15" customHeight="1">
      <c r="A1031" t="inlineStr">
        <is>
          <t>A 58313-2022</t>
        </is>
      </c>
      <c r="B1031" s="1" t="n">
        <v>44901.54615740741</v>
      </c>
      <c r="C1031" s="1" t="n">
        <v>45983</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15876-2025</t>
        </is>
      </c>
      <c r="B1032" s="1" t="n">
        <v>45749.38379629629</v>
      </c>
      <c r="C1032" s="1" t="n">
        <v>45983</v>
      </c>
      <c r="D1032" t="inlineStr">
        <is>
          <t>JÄMTLANDS LÄN</t>
        </is>
      </c>
      <c r="E1032" t="inlineStr">
        <is>
          <t>KROKOM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46644-2022</t>
        </is>
      </c>
      <c r="B1033" s="1" t="n">
        <v>44849.8044212963</v>
      </c>
      <c r="C1033" s="1" t="n">
        <v>45983</v>
      </c>
      <c r="D1033" t="inlineStr">
        <is>
          <t>JÄMTLANDS LÄN</t>
        </is>
      </c>
      <c r="E1033" t="inlineStr">
        <is>
          <t>KROKOM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45983</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884-2021</t>
        </is>
      </c>
      <c r="B1035" s="1" t="n">
        <v>44206</v>
      </c>
      <c r="C1035" s="1" t="n">
        <v>45983</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30728-2022</t>
        </is>
      </c>
      <c r="B1036" s="1" t="n">
        <v>44764</v>
      </c>
      <c r="C1036" s="1" t="n">
        <v>45983</v>
      </c>
      <c r="D1036" t="inlineStr">
        <is>
          <t>JÄMTLANDS LÄN</t>
        </is>
      </c>
      <c r="E1036" t="inlineStr">
        <is>
          <t>KROKOM</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30729-2022</t>
        </is>
      </c>
      <c r="B1037" s="1" t="n">
        <v>44764</v>
      </c>
      <c r="C1037" s="1" t="n">
        <v>45983</v>
      </c>
      <c r="D1037" t="inlineStr">
        <is>
          <t>JÄMTLANDS LÄN</t>
        </is>
      </c>
      <c r="E1037" t="inlineStr">
        <is>
          <t>KROKOM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53771-2022</t>
        </is>
      </c>
      <c r="B1038" s="1" t="n">
        <v>44875</v>
      </c>
      <c r="C1038" s="1" t="n">
        <v>45983</v>
      </c>
      <c r="D1038" t="inlineStr">
        <is>
          <t>JÄMTLANDS LÄN</t>
        </is>
      </c>
      <c r="E1038" t="inlineStr">
        <is>
          <t>KROKOM</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7630-2023</t>
        </is>
      </c>
      <c r="B1039" s="1" t="n">
        <v>44972.55690972223</v>
      </c>
      <c r="C1039" s="1" t="n">
        <v>45983</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2062-2021</t>
        </is>
      </c>
      <c r="B1040" s="1" t="n">
        <v>44211</v>
      </c>
      <c r="C1040" s="1" t="n">
        <v>45983</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26414-2024</t>
        </is>
      </c>
      <c r="B1041" s="1" t="n">
        <v>45469</v>
      </c>
      <c r="C1041" s="1" t="n">
        <v>45983</v>
      </c>
      <c r="D1041" t="inlineStr">
        <is>
          <t>JÄMTLANDS LÄN</t>
        </is>
      </c>
      <c r="E1041" t="inlineStr">
        <is>
          <t>KROKOM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40394-2024</t>
        </is>
      </c>
      <c r="B1042" s="1" t="n">
        <v>45555.43584490741</v>
      </c>
      <c r="C1042" s="1" t="n">
        <v>45983</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50270-2023</t>
        </is>
      </c>
      <c r="B1043" s="1" t="n">
        <v>45216.3965625</v>
      </c>
      <c r="C1043" s="1" t="n">
        <v>45983</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57514-2023</t>
        </is>
      </c>
      <c r="B1044" s="1" t="n">
        <v>45246</v>
      </c>
      <c r="C1044" s="1" t="n">
        <v>45983</v>
      </c>
      <c r="D1044" t="inlineStr">
        <is>
          <t>JÄMTLANDS LÄN</t>
        </is>
      </c>
      <c r="E1044" t="inlineStr">
        <is>
          <t>KROKOM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65236-2023</t>
        </is>
      </c>
      <c r="B1045" s="1" t="n">
        <v>45289</v>
      </c>
      <c r="C1045" s="1" t="n">
        <v>45983</v>
      </c>
      <c r="D1045" t="inlineStr">
        <is>
          <t>JÄMTLANDS LÄN</t>
        </is>
      </c>
      <c r="E1045" t="inlineStr">
        <is>
          <t>KROKOM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12471-2024</t>
        </is>
      </c>
      <c r="B1046" s="1" t="n">
        <v>45378</v>
      </c>
      <c r="C1046" s="1" t="n">
        <v>45983</v>
      </c>
      <c r="D1046" t="inlineStr">
        <is>
          <t>JÄMTLANDS LÄN</t>
        </is>
      </c>
      <c r="E1046" t="inlineStr">
        <is>
          <t>KROKOM</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41971-2024</t>
        </is>
      </c>
      <c r="B1047" s="1" t="n">
        <v>45561.61509259259</v>
      </c>
      <c r="C1047" s="1" t="n">
        <v>45983</v>
      </c>
      <c r="D1047" t="inlineStr">
        <is>
          <t>JÄMTLANDS LÄN</t>
        </is>
      </c>
      <c r="E1047" t="inlineStr">
        <is>
          <t>KROKOM</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17591-2023</t>
        </is>
      </c>
      <c r="B1048" s="1" t="n">
        <v>45036</v>
      </c>
      <c r="C1048" s="1" t="n">
        <v>45983</v>
      </c>
      <c r="D1048" t="inlineStr">
        <is>
          <t>JÄMTLANDS LÄN</t>
        </is>
      </c>
      <c r="E1048" t="inlineStr">
        <is>
          <t>KROKOM</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17594-2023</t>
        </is>
      </c>
      <c r="B1049" s="1" t="n">
        <v>45036</v>
      </c>
      <c r="C1049" s="1" t="n">
        <v>45983</v>
      </c>
      <c r="D1049" t="inlineStr">
        <is>
          <t>JÄMTLANDS LÄN</t>
        </is>
      </c>
      <c r="E1049" t="inlineStr">
        <is>
          <t>KROKOM</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50951-2024</t>
        </is>
      </c>
      <c r="B1050" s="1" t="n">
        <v>45603.28460648148</v>
      </c>
      <c r="C1050" s="1" t="n">
        <v>45983</v>
      </c>
      <c r="D1050" t="inlineStr">
        <is>
          <t>JÄMTLANDS LÄN</t>
        </is>
      </c>
      <c r="E1050" t="inlineStr">
        <is>
          <t>KROKOM</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52666-2024</t>
        </is>
      </c>
      <c r="B1051" s="1" t="n">
        <v>45610.36561342593</v>
      </c>
      <c r="C1051" s="1" t="n">
        <v>45983</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53916-2023</t>
        </is>
      </c>
      <c r="B1052" s="1" t="n">
        <v>45231</v>
      </c>
      <c r="C1052" s="1" t="n">
        <v>45983</v>
      </c>
      <c r="D1052" t="inlineStr">
        <is>
          <t>JÄMTLANDS LÄN</t>
        </is>
      </c>
      <c r="E1052" t="inlineStr">
        <is>
          <t>KROKOM</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58390-2021</t>
        </is>
      </c>
      <c r="B1053" s="1" t="n">
        <v>44488.47928240741</v>
      </c>
      <c r="C1053" s="1" t="n">
        <v>45983</v>
      </c>
      <c r="D1053" t="inlineStr">
        <is>
          <t>JÄMTLANDS LÄN</t>
        </is>
      </c>
      <c r="E1053" t="inlineStr">
        <is>
          <t>KROKOM</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29224-2023</t>
        </is>
      </c>
      <c r="B1054" s="1" t="n">
        <v>45097</v>
      </c>
      <c r="C1054" s="1" t="n">
        <v>45983</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52869-2023</t>
        </is>
      </c>
      <c r="B1055" s="1" t="n">
        <v>45226</v>
      </c>
      <c r="C1055" s="1" t="n">
        <v>45983</v>
      </c>
      <c r="D1055" t="inlineStr">
        <is>
          <t>JÄMTLANDS LÄN</t>
        </is>
      </c>
      <c r="E1055" t="inlineStr">
        <is>
          <t>KROKOM</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5722-2023</t>
        </is>
      </c>
      <c r="B1056" s="1" t="n">
        <v>44961</v>
      </c>
      <c r="C1056" s="1" t="n">
        <v>45983</v>
      </c>
      <c r="D1056" t="inlineStr">
        <is>
          <t>JÄMTLANDS LÄN</t>
        </is>
      </c>
      <c r="E1056" t="inlineStr">
        <is>
          <t>KROKOM</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36567-2021</t>
        </is>
      </c>
      <c r="B1057" s="1" t="n">
        <v>44391</v>
      </c>
      <c r="C1057" s="1" t="n">
        <v>45983</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29936-2023</t>
        </is>
      </c>
      <c r="B1058" s="1" t="n">
        <v>45107</v>
      </c>
      <c r="C1058" s="1" t="n">
        <v>45983</v>
      </c>
      <c r="D1058" t="inlineStr">
        <is>
          <t>JÄMTLANDS LÄN</t>
        </is>
      </c>
      <c r="E1058" t="inlineStr">
        <is>
          <t>KROKOM</t>
        </is>
      </c>
      <c r="G1058" t="n">
        <v>77.40000000000001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55043-2024</t>
        </is>
      </c>
      <c r="B1059" s="1" t="n">
        <v>45621</v>
      </c>
      <c r="C1059" s="1" t="n">
        <v>45983</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60173-2024</t>
        </is>
      </c>
      <c r="B1060" s="1" t="n">
        <v>45642.63666666667</v>
      </c>
      <c r="C1060" s="1" t="n">
        <v>45983</v>
      </c>
      <c r="D1060" t="inlineStr">
        <is>
          <t>JÄMTLANDS LÄN</t>
        </is>
      </c>
      <c r="E1060" t="inlineStr">
        <is>
          <t>KROKOM</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42439-2023</t>
        </is>
      </c>
      <c r="B1061" s="1" t="n">
        <v>45180.6391087963</v>
      </c>
      <c r="C1061" s="1" t="n">
        <v>45983</v>
      </c>
      <c r="D1061" t="inlineStr">
        <is>
          <t>JÄMTLANDS LÄN</t>
        </is>
      </c>
      <c r="E1061" t="inlineStr">
        <is>
          <t>KROKOM</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51939-2024</t>
        </is>
      </c>
      <c r="B1062" s="1" t="n">
        <v>45607.63211805555</v>
      </c>
      <c r="C1062" s="1" t="n">
        <v>45983</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36491-2021</t>
        </is>
      </c>
      <c r="B1063" s="1" t="n">
        <v>44390</v>
      </c>
      <c r="C1063" s="1" t="n">
        <v>45983</v>
      </c>
      <c r="D1063" t="inlineStr">
        <is>
          <t>JÄMTLANDS LÄN</t>
        </is>
      </c>
      <c r="E1063" t="inlineStr">
        <is>
          <t>KROKOM</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50881-2024</t>
        </is>
      </c>
      <c r="B1064" s="1" t="n">
        <v>45602.65599537037</v>
      </c>
      <c r="C1064" s="1" t="n">
        <v>45983</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45983</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19478-2023</t>
        </is>
      </c>
      <c r="B1066" s="1" t="n">
        <v>45050</v>
      </c>
      <c r="C1066" s="1" t="n">
        <v>45983</v>
      </c>
      <c r="D1066" t="inlineStr">
        <is>
          <t>JÄMTLANDS LÄN</t>
        </is>
      </c>
      <c r="E1066" t="inlineStr">
        <is>
          <t>KROKOM</t>
        </is>
      </c>
      <c r="F1066" t="inlineStr">
        <is>
          <t>Övriga Aktiebolag</t>
        </is>
      </c>
      <c r="G1066" t="n">
        <v>22.2</v>
      </c>
      <c r="H1066" t="n">
        <v>0</v>
      </c>
      <c r="I1066" t="n">
        <v>0</v>
      </c>
      <c r="J1066" t="n">
        <v>0</v>
      </c>
      <c r="K1066" t="n">
        <v>0</v>
      </c>
      <c r="L1066" t="n">
        <v>0</v>
      </c>
      <c r="M1066" t="n">
        <v>0</v>
      </c>
      <c r="N1066" t="n">
        <v>0</v>
      </c>
      <c r="O1066" t="n">
        <v>0</v>
      </c>
      <c r="P1066" t="n">
        <v>0</v>
      </c>
      <c r="Q1066" t="n">
        <v>0</v>
      </c>
      <c r="R1066" s="2" t="inlineStr"/>
    </row>
    <row r="1067" ht="15" customHeight="1">
      <c r="A1067" t="inlineStr">
        <is>
          <t>A 23319-2024</t>
        </is>
      </c>
      <c r="B1067" s="1" t="n">
        <v>45453.45515046296</v>
      </c>
      <c r="C1067" s="1" t="n">
        <v>45983</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20982-2023</t>
        </is>
      </c>
      <c r="B1068" s="1" t="n">
        <v>45056</v>
      </c>
      <c r="C1068" s="1" t="n">
        <v>45983</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12813-2023</t>
        </is>
      </c>
      <c r="B1069" s="1" t="n">
        <v>45000</v>
      </c>
      <c r="C1069" s="1" t="n">
        <v>45983</v>
      </c>
      <c r="D1069" t="inlineStr">
        <is>
          <t>JÄMTLANDS LÄN</t>
        </is>
      </c>
      <c r="E1069" t="inlineStr">
        <is>
          <t>KROKOM</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50822-2024</t>
        </is>
      </c>
      <c r="B1070" s="1" t="n">
        <v>45602.57827546296</v>
      </c>
      <c r="C1070" s="1" t="n">
        <v>45983</v>
      </c>
      <c r="D1070" t="inlineStr">
        <is>
          <t>JÄMTLANDS LÄN</t>
        </is>
      </c>
      <c r="E1070" t="inlineStr">
        <is>
          <t>KROKOM</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10588-2025</t>
        </is>
      </c>
      <c r="B1071" s="1" t="n">
        <v>45721.55653935186</v>
      </c>
      <c r="C1071" s="1" t="n">
        <v>45983</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44453-2023</t>
        </is>
      </c>
      <c r="B1072" s="1" t="n">
        <v>45189</v>
      </c>
      <c r="C1072" s="1" t="n">
        <v>45983</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23215-2024</t>
        </is>
      </c>
      <c r="B1073" s="1" t="n">
        <v>45452.56446759259</v>
      </c>
      <c r="C1073" s="1" t="n">
        <v>45983</v>
      </c>
      <c r="D1073" t="inlineStr">
        <is>
          <t>JÄMTLANDS LÄN</t>
        </is>
      </c>
      <c r="E1073" t="inlineStr">
        <is>
          <t>KROKOM</t>
        </is>
      </c>
      <c r="F1073" t="inlineStr">
        <is>
          <t>Övriga Aktiebolag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3329-2025</t>
        </is>
      </c>
      <c r="B1074" s="1" t="n">
        <v>45679.70027777777</v>
      </c>
      <c r="C1074" s="1" t="n">
        <v>45983</v>
      </c>
      <c r="D1074" t="inlineStr">
        <is>
          <t>JÄMTLANDS LÄN</t>
        </is>
      </c>
      <c r="E1074" t="inlineStr">
        <is>
          <t>KROKOM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50255-2024</t>
        </is>
      </c>
      <c r="B1075" s="1" t="n">
        <v>45600.58076388889</v>
      </c>
      <c r="C1075" s="1" t="n">
        <v>45983</v>
      </c>
      <c r="D1075" t="inlineStr">
        <is>
          <t>JÄMTLANDS LÄN</t>
        </is>
      </c>
      <c r="E1075" t="inlineStr">
        <is>
          <t>KROKOM</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41700-2024</t>
        </is>
      </c>
      <c r="B1076" s="1" t="n">
        <v>45560.69164351852</v>
      </c>
      <c r="C1076" s="1" t="n">
        <v>45983</v>
      </c>
      <c r="D1076" t="inlineStr">
        <is>
          <t>JÄMTLANDS LÄN</t>
        </is>
      </c>
      <c r="E1076" t="inlineStr">
        <is>
          <t>KROKOM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59668-2022</t>
        </is>
      </c>
      <c r="B1077" s="1" t="n">
        <v>44908</v>
      </c>
      <c r="C1077" s="1" t="n">
        <v>45983</v>
      </c>
      <c r="D1077" t="inlineStr">
        <is>
          <t>JÄMTLANDS LÄN</t>
        </is>
      </c>
      <c r="E1077" t="inlineStr">
        <is>
          <t>KROKOM</t>
        </is>
      </c>
      <c r="F1077" t="inlineStr">
        <is>
          <t>Övriga Aktiebolag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47098-2024</t>
        </is>
      </c>
      <c r="B1078" s="1" t="n">
        <v>45586.53618055556</v>
      </c>
      <c r="C1078" s="1" t="n">
        <v>45983</v>
      </c>
      <c r="D1078" t="inlineStr">
        <is>
          <t>JÄMTLANDS LÄN</t>
        </is>
      </c>
      <c r="E1078" t="inlineStr">
        <is>
          <t>KROKOM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24484-2024</t>
        </is>
      </c>
      <c r="B1079" s="1" t="n">
        <v>45459.55150462963</v>
      </c>
      <c r="C1079" s="1" t="n">
        <v>45983</v>
      </c>
      <c r="D1079" t="inlineStr">
        <is>
          <t>JÄMTLANDS LÄN</t>
        </is>
      </c>
      <c r="E1079" t="inlineStr">
        <is>
          <t>KROKOM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52213-2024</t>
        </is>
      </c>
      <c r="B1080" s="1" t="n">
        <v>45607</v>
      </c>
      <c r="C1080" s="1" t="n">
        <v>45983</v>
      </c>
      <c r="D1080" t="inlineStr">
        <is>
          <t>JÄMTLANDS LÄN</t>
        </is>
      </c>
      <c r="E1080" t="inlineStr">
        <is>
          <t>KROKOM</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30016-2024</t>
        </is>
      </c>
      <c r="B1081" s="1" t="n">
        <v>45485</v>
      </c>
      <c r="C1081" s="1" t="n">
        <v>45983</v>
      </c>
      <c r="D1081" t="inlineStr">
        <is>
          <t>JÄMTLANDS LÄN</t>
        </is>
      </c>
      <c r="E1081" t="inlineStr">
        <is>
          <t>KROKOM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826-2025</t>
        </is>
      </c>
      <c r="B1082" s="1" t="n">
        <v>45665.57373842593</v>
      </c>
      <c r="C1082" s="1" t="n">
        <v>45983</v>
      </c>
      <c r="D1082" t="inlineStr">
        <is>
          <t>JÄMTLANDS LÄN</t>
        </is>
      </c>
      <c r="E1082" t="inlineStr">
        <is>
          <t>KROKOM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19634-2025</t>
        </is>
      </c>
      <c r="B1083" s="1" t="n">
        <v>45770.64677083334</v>
      </c>
      <c r="C1083" s="1" t="n">
        <v>45983</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53825-2024</t>
        </is>
      </c>
      <c r="B1084" s="1" t="n">
        <v>45615.61121527778</v>
      </c>
      <c r="C1084" s="1" t="n">
        <v>45983</v>
      </c>
      <c r="D1084" t="inlineStr">
        <is>
          <t>JÄMTLANDS LÄN</t>
        </is>
      </c>
      <c r="E1084" t="inlineStr">
        <is>
          <t>KROKOM</t>
        </is>
      </c>
      <c r="F1084" t="inlineStr">
        <is>
          <t>Övriga Aktiebolag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52237-2024</t>
        </is>
      </c>
      <c r="B1085" s="1" t="n">
        <v>45608.61606481481</v>
      </c>
      <c r="C1085" s="1" t="n">
        <v>45983</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48560-2024</t>
        </is>
      </c>
      <c r="B1086" s="1" t="n">
        <v>45593.38568287037</v>
      </c>
      <c r="C1086" s="1" t="n">
        <v>45983</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2051-2025</t>
        </is>
      </c>
      <c r="B1087" s="1" t="n">
        <v>45672.53806712963</v>
      </c>
      <c r="C1087" s="1" t="n">
        <v>45983</v>
      </c>
      <c r="D1087" t="inlineStr">
        <is>
          <t>JÄMTLANDS LÄN</t>
        </is>
      </c>
      <c r="E1087" t="inlineStr">
        <is>
          <t>KROKOM</t>
        </is>
      </c>
      <c r="F1087" t="inlineStr">
        <is>
          <t>Kyrkan</t>
        </is>
      </c>
      <c r="G1087" t="n">
        <v>87.90000000000001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44594-2023</t>
        </is>
      </c>
      <c r="B1088" s="1" t="n">
        <v>45189.60987268519</v>
      </c>
      <c r="C1088" s="1" t="n">
        <v>45983</v>
      </c>
      <c r="D1088" t="inlineStr">
        <is>
          <t>JÄMTLANDS LÄN</t>
        </is>
      </c>
      <c r="E1088" t="inlineStr">
        <is>
          <t>KROKOM</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61776-2024</t>
        </is>
      </c>
      <c r="B1089" s="1" t="n">
        <v>45649.4634375</v>
      </c>
      <c r="C1089" s="1" t="n">
        <v>45983</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60491-2024</t>
        </is>
      </c>
      <c r="B1090" s="1" t="n">
        <v>45643.65354166667</v>
      </c>
      <c r="C1090" s="1" t="n">
        <v>45983</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57575-2024</t>
        </is>
      </c>
      <c r="B1091" s="1" t="n">
        <v>45630.47099537037</v>
      </c>
      <c r="C1091" s="1" t="n">
        <v>45983</v>
      </c>
      <c r="D1091" t="inlineStr">
        <is>
          <t>JÄMTLANDS LÄN</t>
        </is>
      </c>
      <c r="E1091" t="inlineStr">
        <is>
          <t>KROKOM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45983</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38043-2023</t>
        </is>
      </c>
      <c r="B1093" s="1" t="n">
        <v>45160.66704861111</v>
      </c>
      <c r="C1093" s="1" t="n">
        <v>45983</v>
      </c>
      <c r="D1093" t="inlineStr">
        <is>
          <t>JÄMTLANDS LÄN</t>
        </is>
      </c>
      <c r="E1093" t="inlineStr">
        <is>
          <t>KROKOM</t>
        </is>
      </c>
      <c r="F1093" t="inlineStr">
        <is>
          <t>Övriga Aktiebolag</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50821-2024</t>
        </is>
      </c>
      <c r="B1094" s="1" t="n">
        <v>45602</v>
      </c>
      <c r="C1094" s="1" t="n">
        <v>45983</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35767-2024</t>
        </is>
      </c>
      <c r="B1095" s="1" t="n">
        <v>45532.58101851852</v>
      </c>
      <c r="C1095" s="1" t="n">
        <v>45983</v>
      </c>
      <c r="D1095" t="inlineStr">
        <is>
          <t>JÄMTLANDS LÄN</t>
        </is>
      </c>
      <c r="E1095" t="inlineStr">
        <is>
          <t>KROKOM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17887-2025</t>
        </is>
      </c>
      <c r="B1096" s="1" t="n">
        <v>45758.66180555556</v>
      </c>
      <c r="C1096" s="1" t="n">
        <v>45983</v>
      </c>
      <c r="D1096" t="inlineStr">
        <is>
          <t>JÄMTLANDS LÄN</t>
        </is>
      </c>
      <c r="E1096" t="inlineStr">
        <is>
          <t>KROKOM</t>
        </is>
      </c>
      <c r="G1096" t="n">
        <v>11.5</v>
      </c>
      <c r="H1096" t="n">
        <v>0</v>
      </c>
      <c r="I1096" t="n">
        <v>0</v>
      </c>
      <c r="J1096" t="n">
        <v>0</v>
      </c>
      <c r="K1096" t="n">
        <v>0</v>
      </c>
      <c r="L1096" t="n">
        <v>0</v>
      </c>
      <c r="M1096" t="n">
        <v>0</v>
      </c>
      <c r="N1096" t="n">
        <v>0</v>
      </c>
      <c r="O1096" t="n">
        <v>0</v>
      </c>
      <c r="P1096" t="n">
        <v>0</v>
      </c>
      <c r="Q1096" t="n">
        <v>0</v>
      </c>
      <c r="R1096" s="2" t="inlineStr"/>
    </row>
    <row r="1097" ht="15" customHeight="1">
      <c r="A1097" t="inlineStr">
        <is>
          <t>A 17888-2025</t>
        </is>
      </c>
      <c r="B1097" s="1" t="n">
        <v>45758.67065972222</v>
      </c>
      <c r="C1097" s="1" t="n">
        <v>45983</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10773-2024</t>
        </is>
      </c>
      <c r="B1098" s="1" t="n">
        <v>45369</v>
      </c>
      <c r="C1098" s="1" t="n">
        <v>45983</v>
      </c>
      <c r="D1098" t="inlineStr">
        <is>
          <t>JÄMTLANDS LÄN</t>
        </is>
      </c>
      <c r="E1098" t="inlineStr">
        <is>
          <t>KROKOM</t>
        </is>
      </c>
      <c r="G1098" t="n">
        <v>27.1</v>
      </c>
      <c r="H1098" t="n">
        <v>0</v>
      </c>
      <c r="I1098" t="n">
        <v>0</v>
      </c>
      <c r="J1098" t="n">
        <v>0</v>
      </c>
      <c r="K1098" t="n">
        <v>0</v>
      </c>
      <c r="L1098" t="n">
        <v>0</v>
      </c>
      <c r="M1098" t="n">
        <v>0</v>
      </c>
      <c r="N1098" t="n">
        <v>0</v>
      </c>
      <c r="O1098" t="n">
        <v>0</v>
      </c>
      <c r="P1098" t="n">
        <v>0</v>
      </c>
      <c r="Q1098" t="n">
        <v>0</v>
      </c>
      <c r="R1098" s="2" t="inlineStr"/>
    </row>
    <row r="1099" ht="15" customHeight="1">
      <c r="A1099" t="inlineStr">
        <is>
          <t>A 5402-2025</t>
        </is>
      </c>
      <c r="B1099" s="1" t="n">
        <v>45692.64298611111</v>
      </c>
      <c r="C1099" s="1" t="n">
        <v>45983</v>
      </c>
      <c r="D1099" t="inlineStr">
        <is>
          <t>JÄMTLANDS LÄN</t>
        </is>
      </c>
      <c r="E1099" t="inlineStr">
        <is>
          <t>KROKOM</t>
        </is>
      </c>
      <c r="G1099" t="n">
        <v>20.3</v>
      </c>
      <c r="H1099" t="n">
        <v>0</v>
      </c>
      <c r="I1099" t="n">
        <v>0</v>
      </c>
      <c r="J1099" t="n">
        <v>0</v>
      </c>
      <c r="K1099" t="n">
        <v>0</v>
      </c>
      <c r="L1099" t="n">
        <v>0</v>
      </c>
      <c r="M1099" t="n">
        <v>0</v>
      </c>
      <c r="N1099" t="n">
        <v>0</v>
      </c>
      <c r="O1099" t="n">
        <v>0</v>
      </c>
      <c r="P1099" t="n">
        <v>0</v>
      </c>
      <c r="Q1099" t="n">
        <v>0</v>
      </c>
      <c r="R1099" s="2" t="inlineStr"/>
    </row>
    <row r="1100" ht="15" customHeight="1">
      <c r="A1100" t="inlineStr">
        <is>
          <t>A 11243-2025</t>
        </is>
      </c>
      <c r="B1100" s="1" t="n">
        <v>45726.37850694444</v>
      </c>
      <c r="C1100" s="1" t="n">
        <v>45983</v>
      </c>
      <c r="D1100" t="inlineStr">
        <is>
          <t>JÄMTLANDS LÄN</t>
        </is>
      </c>
      <c r="E1100" t="inlineStr">
        <is>
          <t>KROKOM</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49046-2023</t>
        </is>
      </c>
      <c r="B1101" s="1" t="n">
        <v>45209</v>
      </c>
      <c r="C1101" s="1" t="n">
        <v>45983</v>
      </c>
      <c r="D1101" t="inlineStr">
        <is>
          <t>JÄMTLANDS LÄN</t>
        </is>
      </c>
      <c r="E1101" t="inlineStr">
        <is>
          <t>KROKOM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15422-2025</t>
        </is>
      </c>
      <c r="B1102" s="1" t="n">
        <v>45746</v>
      </c>
      <c r="C1102" s="1" t="n">
        <v>45983</v>
      </c>
      <c r="D1102" t="inlineStr">
        <is>
          <t>JÄMTLANDS LÄN</t>
        </is>
      </c>
      <c r="E1102" t="inlineStr">
        <is>
          <t>KROKOM</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11197-2024</t>
        </is>
      </c>
      <c r="B1103" s="1" t="n">
        <v>45371</v>
      </c>
      <c r="C1103" s="1" t="n">
        <v>45983</v>
      </c>
      <c r="D1103" t="inlineStr">
        <is>
          <t>JÄMTLANDS LÄN</t>
        </is>
      </c>
      <c r="E1103" t="inlineStr">
        <is>
          <t>KROKOM</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26805-2023</t>
        </is>
      </c>
      <c r="B1104" s="1" t="n">
        <v>45090</v>
      </c>
      <c r="C1104" s="1" t="n">
        <v>45983</v>
      </c>
      <c r="D1104" t="inlineStr">
        <is>
          <t>JÄMTLANDS LÄN</t>
        </is>
      </c>
      <c r="E1104" t="inlineStr">
        <is>
          <t>KROKOM</t>
        </is>
      </c>
      <c r="G1104" t="n">
        <v>20.4</v>
      </c>
      <c r="H1104" t="n">
        <v>0</v>
      </c>
      <c r="I1104" t="n">
        <v>0</v>
      </c>
      <c r="J1104" t="n">
        <v>0</v>
      </c>
      <c r="K1104" t="n">
        <v>0</v>
      </c>
      <c r="L1104" t="n">
        <v>0</v>
      </c>
      <c r="M1104" t="n">
        <v>0</v>
      </c>
      <c r="N1104" t="n">
        <v>0</v>
      </c>
      <c r="O1104" t="n">
        <v>0</v>
      </c>
      <c r="P1104" t="n">
        <v>0</v>
      </c>
      <c r="Q1104" t="n">
        <v>0</v>
      </c>
      <c r="R1104" s="2" t="inlineStr"/>
    </row>
    <row r="1105" ht="15" customHeight="1">
      <c r="A1105" t="inlineStr">
        <is>
          <t>A 40219-2024</t>
        </is>
      </c>
      <c r="B1105" s="1" t="n">
        <v>45554.59538194445</v>
      </c>
      <c r="C1105" s="1" t="n">
        <v>45983</v>
      </c>
      <c r="D1105" t="inlineStr">
        <is>
          <t>JÄMTLANDS LÄN</t>
        </is>
      </c>
      <c r="E1105" t="inlineStr">
        <is>
          <t>KROKOM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11386-2025</t>
        </is>
      </c>
      <c r="B1106" s="1" t="n">
        <v>45726.56341435185</v>
      </c>
      <c r="C1106" s="1" t="n">
        <v>45983</v>
      </c>
      <c r="D1106" t="inlineStr">
        <is>
          <t>JÄMTLANDS LÄN</t>
        </is>
      </c>
      <c r="E1106" t="inlineStr">
        <is>
          <t>KROKOM</t>
        </is>
      </c>
      <c r="F1106" t="inlineStr">
        <is>
          <t>Övriga Aktiebolag</t>
        </is>
      </c>
      <c r="G1106" t="n">
        <v>42.4</v>
      </c>
      <c r="H1106" t="n">
        <v>0</v>
      </c>
      <c r="I1106" t="n">
        <v>0</v>
      </c>
      <c r="J1106" t="n">
        <v>0</v>
      </c>
      <c r="K1106" t="n">
        <v>0</v>
      </c>
      <c r="L1106" t="n">
        <v>0</v>
      </c>
      <c r="M1106" t="n">
        <v>0</v>
      </c>
      <c r="N1106" t="n">
        <v>0</v>
      </c>
      <c r="O1106" t="n">
        <v>0</v>
      </c>
      <c r="P1106" t="n">
        <v>0</v>
      </c>
      <c r="Q1106" t="n">
        <v>0</v>
      </c>
      <c r="R1106" s="2" t="inlineStr"/>
    </row>
    <row r="1107" ht="15" customHeight="1">
      <c r="A1107" t="inlineStr">
        <is>
          <t>A 11403-2025</t>
        </is>
      </c>
      <c r="B1107" s="1" t="n">
        <v>45726.5827199074</v>
      </c>
      <c r="C1107" s="1" t="n">
        <v>45983</v>
      </c>
      <c r="D1107" t="inlineStr">
        <is>
          <t>JÄMTLANDS LÄN</t>
        </is>
      </c>
      <c r="E1107" t="inlineStr">
        <is>
          <t>KROKOM</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11436-2025</t>
        </is>
      </c>
      <c r="B1108" s="1" t="n">
        <v>45726.61520833334</v>
      </c>
      <c r="C1108" s="1" t="n">
        <v>45983</v>
      </c>
      <c r="D1108" t="inlineStr">
        <is>
          <t>JÄMTLANDS LÄN</t>
        </is>
      </c>
      <c r="E1108" t="inlineStr">
        <is>
          <t>KROKOM</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31821-2023</t>
        </is>
      </c>
      <c r="B1109" s="1" t="n">
        <v>45118</v>
      </c>
      <c r="C1109" s="1" t="n">
        <v>45983</v>
      </c>
      <c r="D1109" t="inlineStr">
        <is>
          <t>JÄMTLANDS LÄN</t>
        </is>
      </c>
      <c r="E1109" t="inlineStr">
        <is>
          <t>KROKOM</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49875-2024</t>
        </is>
      </c>
      <c r="B1110" s="1" t="n">
        <v>45597.49638888889</v>
      </c>
      <c r="C1110" s="1" t="n">
        <v>45983</v>
      </c>
      <c r="D1110" t="inlineStr">
        <is>
          <t>JÄMTLANDS LÄN</t>
        </is>
      </c>
      <c r="E1110" t="inlineStr">
        <is>
          <t>KROKOM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64163-2023</t>
        </is>
      </c>
      <c r="B1111" s="1" t="n">
        <v>45279</v>
      </c>
      <c r="C1111" s="1" t="n">
        <v>45983</v>
      </c>
      <c r="D1111" t="inlineStr">
        <is>
          <t>JÄMTLANDS LÄN</t>
        </is>
      </c>
      <c r="E1111" t="inlineStr">
        <is>
          <t>KROKOM</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51345-2022</t>
        </is>
      </c>
      <c r="B1112" s="1" t="n">
        <v>44866</v>
      </c>
      <c r="C1112" s="1" t="n">
        <v>45983</v>
      </c>
      <c r="D1112" t="inlineStr">
        <is>
          <t>JÄMTLANDS LÄN</t>
        </is>
      </c>
      <c r="E1112" t="inlineStr">
        <is>
          <t>KROKOM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11193-2024</t>
        </is>
      </c>
      <c r="B1113" s="1" t="n">
        <v>45371</v>
      </c>
      <c r="C1113" s="1" t="n">
        <v>45983</v>
      </c>
      <c r="D1113" t="inlineStr">
        <is>
          <t>JÄMTLANDS LÄN</t>
        </is>
      </c>
      <c r="E1113" t="inlineStr">
        <is>
          <t>KROKOM</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6347-2023</t>
        </is>
      </c>
      <c r="B1114" s="1" t="n">
        <v>44965</v>
      </c>
      <c r="C1114" s="1" t="n">
        <v>45983</v>
      </c>
      <c r="D1114" t="inlineStr">
        <is>
          <t>JÄMTLANDS LÄN</t>
        </is>
      </c>
      <c r="E1114" t="inlineStr">
        <is>
          <t>KROKOM</t>
        </is>
      </c>
      <c r="F1114" t="inlineStr">
        <is>
          <t>Övriga Aktiebolag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62413-2023</t>
        </is>
      </c>
      <c r="B1115" s="1" t="n">
        <v>45266</v>
      </c>
      <c r="C1115" s="1" t="n">
        <v>45983</v>
      </c>
      <c r="D1115" t="inlineStr">
        <is>
          <t>JÄMTLANDS LÄN</t>
        </is>
      </c>
      <c r="E1115" t="inlineStr">
        <is>
          <t>KROKOM</t>
        </is>
      </c>
      <c r="G1115" t="n">
        <v>12.8</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45983</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5173-2025</t>
        </is>
      </c>
      <c r="B1117" s="1" t="n">
        <v>45691.61996527778</v>
      </c>
      <c r="C1117" s="1" t="n">
        <v>45983</v>
      </c>
      <c r="D1117" t="inlineStr">
        <is>
          <t>JÄMTLANDS LÄN</t>
        </is>
      </c>
      <c r="E1117" t="inlineStr">
        <is>
          <t>KROKOM</t>
        </is>
      </c>
      <c r="F1117" t="inlineStr">
        <is>
          <t>Kyrkan</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10532-2025</t>
        </is>
      </c>
      <c r="B1118" s="1" t="n">
        <v>45721.4546412037</v>
      </c>
      <c r="C1118" s="1" t="n">
        <v>45983</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22258-2024</t>
        </is>
      </c>
      <c r="B1119" s="1" t="n">
        <v>45446.47634259259</v>
      </c>
      <c r="C1119" s="1" t="n">
        <v>45983</v>
      </c>
      <c r="D1119" t="inlineStr">
        <is>
          <t>JÄMTLANDS LÄN</t>
        </is>
      </c>
      <c r="E1119" t="inlineStr">
        <is>
          <t>KROKOM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29484-2024</t>
        </is>
      </c>
      <c r="B1120" s="1" t="n">
        <v>45484</v>
      </c>
      <c r="C1120" s="1" t="n">
        <v>45983</v>
      </c>
      <c r="D1120" t="inlineStr">
        <is>
          <t>JÄMTLANDS LÄN</t>
        </is>
      </c>
      <c r="E1120" t="inlineStr">
        <is>
          <t>KROKOM</t>
        </is>
      </c>
      <c r="F1120" t="inlineStr">
        <is>
          <t>Övriga Aktiebolag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34902-2024</t>
        </is>
      </c>
      <c r="B1121" s="1" t="n">
        <v>45527.39858796296</v>
      </c>
      <c r="C1121" s="1" t="n">
        <v>45983</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28780-2024</t>
        </is>
      </c>
      <c r="B1122" s="1" t="n">
        <v>45478.60708333334</v>
      </c>
      <c r="C1122" s="1" t="n">
        <v>45983</v>
      </c>
      <c r="D1122" t="inlineStr">
        <is>
          <t>JÄMTLANDS LÄN</t>
        </is>
      </c>
      <c r="E1122" t="inlineStr">
        <is>
          <t>KROKOM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26693-2023</t>
        </is>
      </c>
      <c r="B1123" s="1" t="n">
        <v>45090</v>
      </c>
      <c r="C1123" s="1" t="n">
        <v>45983</v>
      </c>
      <c r="D1123" t="inlineStr">
        <is>
          <t>JÄMTLANDS LÄN</t>
        </is>
      </c>
      <c r="E1123" t="inlineStr">
        <is>
          <t>KROKOM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17469-2024</t>
        </is>
      </c>
      <c r="B1124" s="1" t="n">
        <v>45415.45006944444</v>
      </c>
      <c r="C1124" s="1" t="n">
        <v>45983</v>
      </c>
      <c r="D1124" t="inlineStr">
        <is>
          <t>JÄMTLANDS LÄN</t>
        </is>
      </c>
      <c r="E1124" t="inlineStr">
        <is>
          <t>KROKOM</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17950-2025</t>
        </is>
      </c>
      <c r="B1125" s="1" t="n">
        <v>45760.81083333334</v>
      </c>
      <c r="C1125" s="1" t="n">
        <v>45983</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50391-2024</t>
        </is>
      </c>
      <c r="B1126" s="1" t="n">
        <v>45601.33743055556</v>
      </c>
      <c r="C1126" s="1" t="n">
        <v>45983</v>
      </c>
      <c r="D1126" t="inlineStr">
        <is>
          <t>JÄMTLANDS LÄN</t>
        </is>
      </c>
      <c r="E1126" t="inlineStr">
        <is>
          <t>KROKOM</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56927-2023</t>
        </is>
      </c>
      <c r="B1127" s="1" t="n">
        <v>45244</v>
      </c>
      <c r="C1127" s="1" t="n">
        <v>45983</v>
      </c>
      <c r="D1127" t="inlineStr">
        <is>
          <t>JÄMTLANDS LÄN</t>
        </is>
      </c>
      <c r="E1127" t="inlineStr">
        <is>
          <t>KROKOM</t>
        </is>
      </c>
      <c r="G1127" t="n">
        <v>14.1</v>
      </c>
      <c r="H1127" t="n">
        <v>0</v>
      </c>
      <c r="I1127" t="n">
        <v>0</v>
      </c>
      <c r="J1127" t="n">
        <v>0</v>
      </c>
      <c r="K1127" t="n">
        <v>0</v>
      </c>
      <c r="L1127" t="n">
        <v>0</v>
      </c>
      <c r="M1127" t="n">
        <v>0</v>
      </c>
      <c r="N1127" t="n">
        <v>0</v>
      </c>
      <c r="O1127" t="n">
        <v>0</v>
      </c>
      <c r="P1127" t="n">
        <v>0</v>
      </c>
      <c r="Q1127" t="n">
        <v>0</v>
      </c>
      <c r="R1127" s="2" t="inlineStr"/>
    </row>
    <row r="1128" ht="15" customHeight="1">
      <c r="A1128" t="inlineStr">
        <is>
          <t>A 4355-2024</t>
        </is>
      </c>
      <c r="B1128" s="1" t="n">
        <v>45324</v>
      </c>
      <c r="C1128" s="1" t="n">
        <v>45983</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18980-2025</t>
        </is>
      </c>
      <c r="B1129" s="1" t="n">
        <v>45764.55260416667</v>
      </c>
      <c r="C1129" s="1" t="n">
        <v>45983</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50782-2023</t>
        </is>
      </c>
      <c r="B1130" s="1" t="n">
        <v>45217</v>
      </c>
      <c r="C1130" s="1" t="n">
        <v>45983</v>
      </c>
      <c r="D1130" t="inlineStr">
        <is>
          <t>JÄMTLANDS LÄN</t>
        </is>
      </c>
      <c r="E1130" t="inlineStr">
        <is>
          <t>KROKOM</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39126-2023</t>
        </is>
      </c>
      <c r="B1131" s="1" t="n">
        <v>45165.69965277778</v>
      </c>
      <c r="C1131" s="1" t="n">
        <v>45983</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47635-2023</t>
        </is>
      </c>
      <c r="B1132" s="1" t="n">
        <v>45203</v>
      </c>
      <c r="C1132" s="1" t="n">
        <v>45983</v>
      </c>
      <c r="D1132" t="inlineStr">
        <is>
          <t>JÄMTLANDS LÄN</t>
        </is>
      </c>
      <c r="E1132" t="inlineStr">
        <is>
          <t>KROKOM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785-2024</t>
        </is>
      </c>
      <c r="B1133" s="1" t="n">
        <v>45300</v>
      </c>
      <c r="C1133" s="1" t="n">
        <v>45983</v>
      </c>
      <c r="D1133" t="inlineStr">
        <is>
          <t>JÄMTLANDS LÄN</t>
        </is>
      </c>
      <c r="E1133" t="inlineStr">
        <is>
          <t>KROKOM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4354-2025</t>
        </is>
      </c>
      <c r="B1134" s="1" t="n">
        <v>45686.32671296296</v>
      </c>
      <c r="C1134" s="1" t="n">
        <v>45983</v>
      </c>
      <c r="D1134" t="inlineStr">
        <is>
          <t>JÄMTLANDS LÄN</t>
        </is>
      </c>
      <c r="E1134" t="inlineStr">
        <is>
          <t>KROKOM</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7072-2025</t>
        </is>
      </c>
      <c r="B1135" s="1" t="n">
        <v>45701</v>
      </c>
      <c r="C1135" s="1" t="n">
        <v>45983</v>
      </c>
      <c r="D1135" t="inlineStr">
        <is>
          <t>JÄMTLANDS LÄN</t>
        </is>
      </c>
      <c r="E1135" t="inlineStr">
        <is>
          <t>KROKOM</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9623-2025</t>
        </is>
      </c>
      <c r="B1136" s="1" t="n">
        <v>45715</v>
      </c>
      <c r="C1136" s="1" t="n">
        <v>45983</v>
      </c>
      <c r="D1136" t="inlineStr">
        <is>
          <t>JÄMTLANDS LÄN</t>
        </is>
      </c>
      <c r="E1136" t="inlineStr">
        <is>
          <t>KROKOM</t>
        </is>
      </c>
      <c r="F1136" t="inlineStr">
        <is>
          <t>Kyrkan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5498-2025</t>
        </is>
      </c>
      <c r="B1137" s="1" t="n">
        <v>45693</v>
      </c>
      <c r="C1137" s="1" t="n">
        <v>45983</v>
      </c>
      <c r="D1137" t="inlineStr">
        <is>
          <t>JÄMTLANDS LÄN</t>
        </is>
      </c>
      <c r="E1137" t="inlineStr">
        <is>
          <t>KROKOM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8784-2025</t>
        </is>
      </c>
      <c r="B1138" s="1" t="n">
        <v>45712</v>
      </c>
      <c r="C1138" s="1" t="n">
        <v>45983</v>
      </c>
      <c r="D1138" t="inlineStr">
        <is>
          <t>JÄMTLANDS LÄN</t>
        </is>
      </c>
      <c r="E1138" t="inlineStr">
        <is>
          <t>KROKOM</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21027-2025</t>
        </is>
      </c>
      <c r="B1139" s="1" t="n">
        <v>45777</v>
      </c>
      <c r="C1139" s="1" t="n">
        <v>45983</v>
      </c>
      <c r="D1139" t="inlineStr">
        <is>
          <t>JÄMTLANDS LÄN</t>
        </is>
      </c>
      <c r="E1139" t="inlineStr">
        <is>
          <t>KROKOM</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21239-2025</t>
        </is>
      </c>
      <c r="B1140" s="1" t="n">
        <v>45779.56659722222</v>
      </c>
      <c r="C1140" s="1" t="n">
        <v>45983</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21276-2025</t>
        </is>
      </c>
      <c r="B1141" s="1" t="n">
        <v>45779.63834490741</v>
      </c>
      <c r="C1141" s="1" t="n">
        <v>45983</v>
      </c>
      <c r="D1141" t="inlineStr">
        <is>
          <t>JÄMTLANDS LÄN</t>
        </is>
      </c>
      <c r="E1141" t="inlineStr">
        <is>
          <t>KROKOM</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21254-2025</t>
        </is>
      </c>
      <c r="B1142" s="1" t="n">
        <v>45779.57626157408</v>
      </c>
      <c r="C1142" s="1" t="n">
        <v>45983</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21280-2025</t>
        </is>
      </c>
      <c r="B1143" s="1" t="n">
        <v>45779.65980324074</v>
      </c>
      <c r="C1143" s="1" t="n">
        <v>45983</v>
      </c>
      <c r="D1143" t="inlineStr">
        <is>
          <t>JÄMTLANDS LÄN</t>
        </is>
      </c>
      <c r="E1143" t="inlineStr">
        <is>
          <t>KROKOM</t>
        </is>
      </c>
      <c r="G1143" t="n">
        <v>30.9</v>
      </c>
      <c r="H1143" t="n">
        <v>0</v>
      </c>
      <c r="I1143" t="n">
        <v>0</v>
      </c>
      <c r="J1143" t="n">
        <v>0</v>
      </c>
      <c r="K1143" t="n">
        <v>0</v>
      </c>
      <c r="L1143" t="n">
        <v>0</v>
      </c>
      <c r="M1143" t="n">
        <v>0</v>
      </c>
      <c r="N1143" t="n">
        <v>0</v>
      </c>
      <c r="O1143" t="n">
        <v>0</v>
      </c>
      <c r="P1143" t="n">
        <v>0</v>
      </c>
      <c r="Q1143" t="n">
        <v>0</v>
      </c>
      <c r="R1143" s="2" t="inlineStr"/>
    </row>
    <row r="1144" ht="15" customHeight="1">
      <c r="A1144" t="inlineStr">
        <is>
          <t>A 21172-2025</t>
        </is>
      </c>
      <c r="B1144" s="1" t="n">
        <v>45779.42630787037</v>
      </c>
      <c r="C1144" s="1" t="n">
        <v>45983</v>
      </c>
      <c r="D1144" t="inlineStr">
        <is>
          <t>JÄMTLANDS LÄN</t>
        </is>
      </c>
      <c r="E1144" t="inlineStr">
        <is>
          <t>KROKOM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21240-2025</t>
        </is>
      </c>
      <c r="B1145" s="1" t="n">
        <v>45779.5674074074</v>
      </c>
      <c r="C1145" s="1" t="n">
        <v>45983</v>
      </c>
      <c r="D1145" t="inlineStr">
        <is>
          <t>JÄMTLANDS LÄN</t>
        </is>
      </c>
      <c r="E1145" t="inlineStr">
        <is>
          <t>KROKOM</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6068-2025</t>
        </is>
      </c>
      <c r="B1146" s="1" t="n">
        <v>45696</v>
      </c>
      <c r="C1146" s="1" t="n">
        <v>45983</v>
      </c>
      <c r="D1146" t="inlineStr">
        <is>
          <t>JÄMTLANDS LÄN</t>
        </is>
      </c>
      <c r="E1146" t="inlineStr">
        <is>
          <t>KROKOM</t>
        </is>
      </c>
      <c r="F1146" t="inlineStr">
        <is>
          <t>Övriga Aktiebolag</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21654-2025</t>
        </is>
      </c>
      <c r="B1147" s="1" t="n">
        <v>45783.45121527778</v>
      </c>
      <c r="C1147" s="1" t="n">
        <v>45983</v>
      </c>
      <c r="D1147" t="inlineStr">
        <is>
          <t>JÄMTLANDS LÄN</t>
        </is>
      </c>
      <c r="E1147" t="inlineStr">
        <is>
          <t>KROKOM</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21643-2025</t>
        </is>
      </c>
      <c r="B1148" s="1" t="n">
        <v>45783.43409722222</v>
      </c>
      <c r="C1148" s="1" t="n">
        <v>45983</v>
      </c>
      <c r="D1148" t="inlineStr">
        <is>
          <t>JÄMTLANDS LÄN</t>
        </is>
      </c>
      <c r="E1148" t="inlineStr">
        <is>
          <t>KROKOM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8872-2025</t>
        </is>
      </c>
      <c r="B1149" s="1" t="n">
        <v>45713.37111111111</v>
      </c>
      <c r="C1149" s="1" t="n">
        <v>45983</v>
      </c>
      <c r="D1149" t="inlineStr">
        <is>
          <t>JÄMTLANDS LÄN</t>
        </is>
      </c>
      <c r="E1149" t="inlineStr">
        <is>
          <t>KROKOM</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4707-2025</t>
        </is>
      </c>
      <c r="B1150" s="1" t="n">
        <v>45688.38393518519</v>
      </c>
      <c r="C1150" s="1" t="n">
        <v>45983</v>
      </c>
      <c r="D1150" t="inlineStr">
        <is>
          <t>JÄMTLANDS LÄN</t>
        </is>
      </c>
      <c r="E1150" t="inlineStr">
        <is>
          <t>KROKOM</t>
        </is>
      </c>
      <c r="G1150" t="n">
        <v>8.9</v>
      </c>
      <c r="H1150" t="n">
        <v>0</v>
      </c>
      <c r="I1150" t="n">
        <v>0</v>
      </c>
      <c r="J1150" t="n">
        <v>0</v>
      </c>
      <c r="K1150" t="n">
        <v>0</v>
      </c>
      <c r="L1150" t="n">
        <v>0</v>
      </c>
      <c r="M1150" t="n">
        <v>0</v>
      </c>
      <c r="N1150" t="n">
        <v>0</v>
      </c>
      <c r="O1150" t="n">
        <v>0</v>
      </c>
      <c r="P1150" t="n">
        <v>0</v>
      </c>
      <c r="Q1150" t="n">
        <v>0</v>
      </c>
      <c r="R1150" s="2" t="inlineStr"/>
    </row>
    <row r="1151">
      <c r="A1151" t="inlineStr">
        <is>
          <t>A 14240-2025</t>
        </is>
      </c>
      <c r="B1151" s="1" t="n">
        <v>45740</v>
      </c>
      <c r="C1151" s="1" t="n">
        <v>45983</v>
      </c>
      <c r="D1151" t="inlineStr">
        <is>
          <t>JÄMTLANDS LÄN</t>
        </is>
      </c>
      <c r="E1151" t="inlineStr">
        <is>
          <t>KROKOM</t>
        </is>
      </c>
      <c r="G1151" t="n">
        <v>30.3</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2025-11-22T10:20:03Z</dcterms:created>
  <dcterms:modified xmlns:dcterms="http://purl.org/dc/terms/" xmlns:xsi="http://www.w3.org/2001/XMLSchema-instance" xsi:type="dcterms:W3CDTF">2025-11-22T10:20:04Z</dcterms:modified>
</cp:coreProperties>
</file>