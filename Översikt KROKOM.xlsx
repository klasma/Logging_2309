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45840</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45840</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45840</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45840</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45840</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45840</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45840</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45840</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45840</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45840</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45840</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45840</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45840</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45840</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45840</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45840</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45840</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45840</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45840</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45840</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45840</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45840</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45840</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45840</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45840</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45840</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45840</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45840</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45840</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45840</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45840</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45840</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45840</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45840</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45840</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45840</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45840</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45840</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45840</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45840</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45840</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45840</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45840</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45840</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45840</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45840</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45840</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45840</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45840</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45840</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45840</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45840</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45840</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45840</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45840</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45840</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45840</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45840</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45840</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45840</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45840</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45840</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45840</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45840</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45840</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45840</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45840</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45840</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45840</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45840</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45840</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45840</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45840</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45840</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45840</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45840</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45840</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45840</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45840</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45840</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45840</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45840</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45840</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45840</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45840</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45840</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45840</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45840</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45840</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45840</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45840</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45840</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45840</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45840</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45840</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45840</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45840</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45840</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45840</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45840</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45840</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45840</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45840</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45840</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45840</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45840</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45840</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45840</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45840</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45840</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45840</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45840</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45840</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45840</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45840</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45840</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45840</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45840</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45840</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45840</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45840</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45840</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45840</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45840</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45840</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45840</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45840</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45840</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45840</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45840</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45840</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45840</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45840</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45840</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45840</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45840</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45840</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45840</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45840</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45840</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45840</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45840</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45840</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45840</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45840</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45840</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45840</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45840</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45840</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45840</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45840</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45840</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45840</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45840</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45840</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45840</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45840</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45840</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45840</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45840</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45840</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45840</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45840</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45840</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45840</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45840</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45840</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45840</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45840</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45840</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45840</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45840</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45840</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45840</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45840</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45840</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45840</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45840</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45840</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45840</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45840</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45840</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45840</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45840</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45840</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45840</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45840</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45840</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45840</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45840</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45840</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45840</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45840</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45840</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45840</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45840</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45840</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45840</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45840</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45840</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45840</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45840</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45840</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45840</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45840</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45840</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45840</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45840</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45840</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45840</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45840</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45840</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45840</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45840</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45840</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45840</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45840</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45840</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45840</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45840</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45840</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45840</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45840</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45840</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45840</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45840</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45840</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45840</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45840</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45840</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45840</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45840</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45840</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45840</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45840</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45840</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45840</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45840</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45840</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45840</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45840</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45840</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45840</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45840</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45840</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45840</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45840</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45840</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45840</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45840</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45840</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45840</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45840</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45840</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45840</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45840</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45840</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45840</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45840</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45840</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45840</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45840</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45840</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45840</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45840</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45840</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45840</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45840</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45840</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45840</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45840</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45840</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45840</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45840</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45840</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45840</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45840</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45840</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45840</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45840</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45840</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45840</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45840</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45840</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45840</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45840</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45840</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45840</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45840</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45840</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45840</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45840</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45840</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45840</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45840</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45840</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45840</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45840</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45840</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45840</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45840</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45840</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45840</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45840</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45840</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45840</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45840</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45840</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45840</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45840</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45840</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45840</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45840</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45840</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45840</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45840</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45840</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45840</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45840</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45840</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45840</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45840</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45840</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45840</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45840</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45840</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45840</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45840</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45840</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45840</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45840</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32465-2025</t>
        </is>
      </c>
      <c r="B371" s="1" t="n">
        <v>45838</v>
      </c>
      <c r="C371" s="1" t="n">
        <v>45840</v>
      </c>
      <c r="D371" t="inlineStr">
        <is>
          <t>JÄMTLANDS LÄN</t>
        </is>
      </c>
      <c r="E371" t="inlineStr">
        <is>
          <t>KROKOM</t>
        </is>
      </c>
      <c r="G371" t="n">
        <v>3.3</v>
      </c>
      <c r="H371" t="n">
        <v>1</v>
      </c>
      <c r="I371" t="n">
        <v>0</v>
      </c>
      <c r="J371" t="n">
        <v>0</v>
      </c>
      <c r="K371" t="n">
        <v>0</v>
      </c>
      <c r="L371" t="n">
        <v>0</v>
      </c>
      <c r="M371" t="n">
        <v>0</v>
      </c>
      <c r="N371" t="n">
        <v>0</v>
      </c>
      <c r="O371" t="n">
        <v>0</v>
      </c>
      <c r="P371" t="n">
        <v>0</v>
      </c>
      <c r="Q371" t="n">
        <v>1</v>
      </c>
      <c r="R371" s="2" t="inlineStr">
        <is>
          <t>Blåsippa</t>
        </is>
      </c>
      <c r="S371">
        <f>HYPERLINK("https://klasma.github.io/Logging_232309/artfynd/A 32465-2025 artfynd.xlsx", "A 32465-2025")</f>
        <v/>
      </c>
      <c r="T371">
        <f>HYPERLINK("https://klasma.github.io/Logging_232309/kartor/A 32465-2025 karta.png", "A 32465-2025")</f>
        <v/>
      </c>
      <c r="V371">
        <f>HYPERLINK("https://klasma.github.io/Logging_232309/klagomål/A 32465-2025 FSC-klagomål.docx", "A 32465-2025")</f>
        <v/>
      </c>
      <c r="W371">
        <f>HYPERLINK("https://klasma.github.io/Logging_232309/klagomålsmail/A 32465-2025 FSC-klagomål mail.docx", "A 32465-2025")</f>
        <v/>
      </c>
      <c r="X371">
        <f>HYPERLINK("https://klasma.github.io/Logging_232309/tillsyn/A 32465-2025 tillsynsbegäran.docx", "A 32465-2025")</f>
        <v/>
      </c>
      <c r="Y371">
        <f>HYPERLINK("https://klasma.github.io/Logging_232309/tillsynsmail/A 32465-2025 tillsynsbegäran mail.docx", "A 32465-2025")</f>
        <v/>
      </c>
    </row>
    <row r="372" ht="15" customHeight="1">
      <c r="A372" t="inlineStr">
        <is>
          <t>A 32656-2025</t>
        </is>
      </c>
      <c r="B372" s="1" t="n">
        <v>45838</v>
      </c>
      <c r="C372" s="1" t="n">
        <v>45840</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32888-2025</t>
        </is>
      </c>
      <c r="B373" s="1" t="n">
        <v>45839</v>
      </c>
      <c r="C373" s="1" t="n">
        <v>45840</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17853-2019</t>
        </is>
      </c>
      <c r="B374" s="1" t="n">
        <v>43556</v>
      </c>
      <c r="C374" s="1" t="n">
        <v>45840</v>
      </c>
      <c r="D374" t="inlineStr">
        <is>
          <t>JÄMTLANDS LÄN</t>
        </is>
      </c>
      <c r="E374" t="inlineStr">
        <is>
          <t>KROKOM</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18183-2019</t>
        </is>
      </c>
      <c r="B375" s="1" t="n">
        <v>43558</v>
      </c>
      <c r="C375" s="1" t="n">
        <v>45840</v>
      </c>
      <c r="D375" t="inlineStr">
        <is>
          <t>JÄMTLANDS LÄN</t>
        </is>
      </c>
      <c r="E375" t="inlineStr">
        <is>
          <t>KROKOM</t>
        </is>
      </c>
      <c r="G375" t="n">
        <v>5.3</v>
      </c>
      <c r="H375" t="n">
        <v>0</v>
      </c>
      <c r="I375" t="n">
        <v>0</v>
      </c>
      <c r="J375" t="n">
        <v>0</v>
      </c>
      <c r="K375" t="n">
        <v>0</v>
      </c>
      <c r="L375" t="n">
        <v>0</v>
      </c>
      <c r="M375" t="n">
        <v>0</v>
      </c>
      <c r="N375" t="n">
        <v>0</v>
      </c>
      <c r="O375" t="n">
        <v>0</v>
      </c>
      <c r="P375" t="n">
        <v>0</v>
      </c>
      <c r="Q375" t="n">
        <v>0</v>
      </c>
      <c r="R375" s="2" t="inlineStr"/>
    </row>
    <row r="376" ht="15" customHeight="1">
      <c r="A376" t="inlineStr">
        <is>
          <t>A 18477-2019</t>
        </is>
      </c>
      <c r="B376" s="1" t="n">
        <v>43559</v>
      </c>
      <c r="C376" s="1" t="n">
        <v>45840</v>
      </c>
      <c r="D376" t="inlineStr">
        <is>
          <t>JÄMTLANDS LÄN</t>
        </is>
      </c>
      <c r="E376" t="inlineStr">
        <is>
          <t>KROKOM</t>
        </is>
      </c>
      <c r="G376" t="n">
        <v>3</v>
      </c>
      <c r="H376" t="n">
        <v>0</v>
      </c>
      <c r="I376" t="n">
        <v>0</v>
      </c>
      <c r="J376" t="n">
        <v>0</v>
      </c>
      <c r="K376" t="n">
        <v>0</v>
      </c>
      <c r="L376" t="n">
        <v>0</v>
      </c>
      <c r="M376" t="n">
        <v>0</v>
      </c>
      <c r="N376" t="n">
        <v>0</v>
      </c>
      <c r="O376" t="n">
        <v>0</v>
      </c>
      <c r="P376" t="n">
        <v>0</v>
      </c>
      <c r="Q376" t="n">
        <v>0</v>
      </c>
      <c r="R376" s="2" t="inlineStr"/>
    </row>
    <row r="377" ht="15" customHeight="1">
      <c r="A377" t="inlineStr">
        <is>
          <t>A 18565-2019</t>
        </is>
      </c>
      <c r="B377" s="1" t="n">
        <v>43559</v>
      </c>
      <c r="C377" s="1" t="n">
        <v>45840</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18407-2019</t>
        </is>
      </c>
      <c r="B378" s="1" t="n">
        <v>43559</v>
      </c>
      <c r="C378" s="1" t="n">
        <v>45840</v>
      </c>
      <c r="D378" t="inlineStr">
        <is>
          <t>JÄMTLANDS LÄN</t>
        </is>
      </c>
      <c r="E378" t="inlineStr">
        <is>
          <t>KROKOM</t>
        </is>
      </c>
      <c r="G378" t="n">
        <v>43.1</v>
      </c>
      <c r="H378" t="n">
        <v>0</v>
      </c>
      <c r="I378" t="n">
        <v>0</v>
      </c>
      <c r="J378" t="n">
        <v>0</v>
      </c>
      <c r="K378" t="n">
        <v>0</v>
      </c>
      <c r="L378" t="n">
        <v>0</v>
      </c>
      <c r="M378" t="n">
        <v>0</v>
      </c>
      <c r="N378" t="n">
        <v>0</v>
      </c>
      <c r="O378" t="n">
        <v>0</v>
      </c>
      <c r="P378" t="n">
        <v>0</v>
      </c>
      <c r="Q378" t="n">
        <v>0</v>
      </c>
      <c r="R378" s="2" t="inlineStr"/>
    </row>
    <row r="379" ht="15" customHeight="1">
      <c r="A379" t="inlineStr">
        <is>
          <t>A 18397-2019</t>
        </is>
      </c>
      <c r="B379" s="1" t="n">
        <v>43559</v>
      </c>
      <c r="C379" s="1" t="n">
        <v>45840</v>
      </c>
      <c r="D379" t="inlineStr">
        <is>
          <t>JÄMTLANDS LÄN</t>
        </is>
      </c>
      <c r="E379" t="inlineStr">
        <is>
          <t>KROKOM</t>
        </is>
      </c>
      <c r="G379" t="n">
        <v>2.8</v>
      </c>
      <c r="H379" t="n">
        <v>0</v>
      </c>
      <c r="I379" t="n">
        <v>0</v>
      </c>
      <c r="J379" t="n">
        <v>0</v>
      </c>
      <c r="K379" t="n">
        <v>0</v>
      </c>
      <c r="L379" t="n">
        <v>0</v>
      </c>
      <c r="M379" t="n">
        <v>0</v>
      </c>
      <c r="N379" t="n">
        <v>0</v>
      </c>
      <c r="O379" t="n">
        <v>0</v>
      </c>
      <c r="P379" t="n">
        <v>0</v>
      </c>
      <c r="Q379" t="n">
        <v>0</v>
      </c>
      <c r="R379" s="2" t="inlineStr"/>
    </row>
    <row r="380" ht="15" customHeight="1">
      <c r="A380" t="inlineStr">
        <is>
          <t>A 18602-2019</t>
        </is>
      </c>
      <c r="B380" s="1" t="n">
        <v>43560</v>
      </c>
      <c r="C380" s="1" t="n">
        <v>45840</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18831-2019</t>
        </is>
      </c>
      <c r="B381" s="1" t="n">
        <v>43563</v>
      </c>
      <c r="C381" s="1" t="n">
        <v>45840</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18847-2019</t>
        </is>
      </c>
      <c r="B382" s="1" t="n">
        <v>43563</v>
      </c>
      <c r="C382" s="1" t="n">
        <v>45840</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19152-2019</t>
        </is>
      </c>
      <c r="B383" s="1" t="n">
        <v>43564</v>
      </c>
      <c r="C383" s="1" t="n">
        <v>45840</v>
      </c>
      <c r="D383" t="inlineStr">
        <is>
          <t>JÄMTLANDS LÄN</t>
        </is>
      </c>
      <c r="E383" t="inlineStr">
        <is>
          <t>KROKOM</t>
        </is>
      </c>
      <c r="G383" t="n">
        <v>4.1</v>
      </c>
      <c r="H383" t="n">
        <v>0</v>
      </c>
      <c r="I383" t="n">
        <v>0</v>
      </c>
      <c r="J383" t="n">
        <v>0</v>
      </c>
      <c r="K383" t="n">
        <v>0</v>
      </c>
      <c r="L383" t="n">
        <v>0</v>
      </c>
      <c r="M383" t="n">
        <v>0</v>
      </c>
      <c r="N383" t="n">
        <v>0</v>
      </c>
      <c r="O383" t="n">
        <v>0</v>
      </c>
      <c r="P383" t="n">
        <v>0</v>
      </c>
      <c r="Q383" t="n">
        <v>0</v>
      </c>
      <c r="R383" s="2" t="inlineStr"/>
    </row>
    <row r="384" ht="15" customHeight="1">
      <c r="A384" t="inlineStr">
        <is>
          <t>A 19325-2019</t>
        </is>
      </c>
      <c r="B384" s="1" t="n">
        <v>43565</v>
      </c>
      <c r="C384" s="1" t="n">
        <v>45840</v>
      </c>
      <c r="D384" t="inlineStr">
        <is>
          <t>JÄMTLANDS LÄN</t>
        </is>
      </c>
      <c r="E384" t="inlineStr">
        <is>
          <t>KROKOM</t>
        </is>
      </c>
      <c r="G384" t="n">
        <v>1.8</v>
      </c>
      <c r="H384" t="n">
        <v>0</v>
      </c>
      <c r="I384" t="n">
        <v>0</v>
      </c>
      <c r="J384" t="n">
        <v>0</v>
      </c>
      <c r="K384" t="n">
        <v>0</v>
      </c>
      <c r="L384" t="n">
        <v>0</v>
      </c>
      <c r="M384" t="n">
        <v>0</v>
      </c>
      <c r="N384" t="n">
        <v>0</v>
      </c>
      <c r="O384" t="n">
        <v>0</v>
      </c>
      <c r="P384" t="n">
        <v>0</v>
      </c>
      <c r="Q384" t="n">
        <v>0</v>
      </c>
      <c r="R384" s="2" t="inlineStr"/>
    </row>
    <row r="385" ht="15" customHeight="1">
      <c r="A385" t="inlineStr">
        <is>
          <t>A 19708-2019</t>
        </is>
      </c>
      <c r="B385" s="1" t="n">
        <v>43566</v>
      </c>
      <c r="C385" s="1" t="n">
        <v>45840</v>
      </c>
      <c r="D385" t="inlineStr">
        <is>
          <t>JÄMTLANDS LÄN</t>
        </is>
      </c>
      <c r="E385" t="inlineStr">
        <is>
          <t>KROKOM</t>
        </is>
      </c>
      <c r="G385" t="n">
        <v>8.9</v>
      </c>
      <c r="H385" t="n">
        <v>0</v>
      </c>
      <c r="I385" t="n">
        <v>0</v>
      </c>
      <c r="J385" t="n">
        <v>0</v>
      </c>
      <c r="K385" t="n">
        <v>0</v>
      </c>
      <c r="L385" t="n">
        <v>0</v>
      </c>
      <c r="M385" t="n">
        <v>0</v>
      </c>
      <c r="N385" t="n">
        <v>0</v>
      </c>
      <c r="O385" t="n">
        <v>0</v>
      </c>
      <c r="P385" t="n">
        <v>0</v>
      </c>
      <c r="Q385" t="n">
        <v>0</v>
      </c>
      <c r="R385" s="2" t="inlineStr"/>
    </row>
    <row r="386" ht="15" customHeight="1">
      <c r="A386" t="inlineStr">
        <is>
          <t>A 20378-2019</t>
        </is>
      </c>
      <c r="B386" s="1" t="n">
        <v>43571</v>
      </c>
      <c r="C386" s="1" t="n">
        <v>45840</v>
      </c>
      <c r="D386" t="inlineStr">
        <is>
          <t>JÄMTLANDS LÄN</t>
        </is>
      </c>
      <c r="E386" t="inlineStr">
        <is>
          <t>KROKOM</t>
        </is>
      </c>
      <c r="G386" t="n">
        <v>2.7</v>
      </c>
      <c r="H386" t="n">
        <v>0</v>
      </c>
      <c r="I386" t="n">
        <v>0</v>
      </c>
      <c r="J386" t="n">
        <v>0</v>
      </c>
      <c r="K386" t="n">
        <v>0</v>
      </c>
      <c r="L386" t="n">
        <v>0</v>
      </c>
      <c r="M386" t="n">
        <v>0</v>
      </c>
      <c r="N386" t="n">
        <v>0</v>
      </c>
      <c r="O386" t="n">
        <v>0</v>
      </c>
      <c r="P386" t="n">
        <v>0</v>
      </c>
      <c r="Q386" t="n">
        <v>0</v>
      </c>
      <c r="R386" s="2" t="inlineStr"/>
    </row>
    <row r="387" ht="15" customHeight="1">
      <c r="A387" t="inlineStr">
        <is>
          <t>A 20596-2019</t>
        </is>
      </c>
      <c r="B387" s="1" t="n">
        <v>43572</v>
      </c>
      <c r="C387" s="1" t="n">
        <v>45840</v>
      </c>
      <c r="D387" t="inlineStr">
        <is>
          <t>JÄMTLANDS LÄN</t>
        </is>
      </c>
      <c r="E387" t="inlineStr">
        <is>
          <t>KROKOM</t>
        </is>
      </c>
      <c r="G387" t="n">
        <v>10.6</v>
      </c>
      <c r="H387" t="n">
        <v>0</v>
      </c>
      <c r="I387" t="n">
        <v>0</v>
      </c>
      <c r="J387" t="n">
        <v>0</v>
      </c>
      <c r="K387" t="n">
        <v>0</v>
      </c>
      <c r="L387" t="n">
        <v>0</v>
      </c>
      <c r="M387" t="n">
        <v>0</v>
      </c>
      <c r="N387" t="n">
        <v>0</v>
      </c>
      <c r="O387" t="n">
        <v>0</v>
      </c>
      <c r="P387" t="n">
        <v>0</v>
      </c>
      <c r="Q387" t="n">
        <v>0</v>
      </c>
      <c r="R387" s="2" t="inlineStr"/>
    </row>
    <row r="388" ht="15" customHeight="1">
      <c r="A388" t="inlineStr">
        <is>
          <t>A 21269-2019</t>
        </is>
      </c>
      <c r="B388" s="1" t="n">
        <v>43579</v>
      </c>
      <c r="C388" s="1" t="n">
        <v>45840</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21421-2019</t>
        </is>
      </c>
      <c r="B389" s="1" t="n">
        <v>43580</v>
      </c>
      <c r="C389" s="1" t="n">
        <v>45840</v>
      </c>
      <c r="D389" t="inlineStr">
        <is>
          <t>JÄMTLANDS LÄN</t>
        </is>
      </c>
      <c r="E389" t="inlineStr">
        <is>
          <t>KROKOM</t>
        </is>
      </c>
      <c r="G389" t="n">
        <v>13.1</v>
      </c>
      <c r="H389" t="n">
        <v>0</v>
      </c>
      <c r="I389" t="n">
        <v>0</v>
      </c>
      <c r="J389" t="n">
        <v>0</v>
      </c>
      <c r="K389" t="n">
        <v>0</v>
      </c>
      <c r="L389" t="n">
        <v>0</v>
      </c>
      <c r="M389" t="n">
        <v>0</v>
      </c>
      <c r="N389" t="n">
        <v>0</v>
      </c>
      <c r="O389" t="n">
        <v>0</v>
      </c>
      <c r="P389" t="n">
        <v>0</v>
      </c>
      <c r="Q389" t="n">
        <v>0</v>
      </c>
      <c r="R389" s="2" t="inlineStr"/>
    </row>
    <row r="390" ht="15" customHeight="1">
      <c r="A390" t="inlineStr">
        <is>
          <t>A 21716-2019</t>
        </is>
      </c>
      <c r="B390" s="1" t="n">
        <v>43581</v>
      </c>
      <c r="C390" s="1" t="n">
        <v>45840</v>
      </c>
      <c r="D390" t="inlineStr">
        <is>
          <t>JÄMTLANDS LÄN</t>
        </is>
      </c>
      <c r="E390" t="inlineStr">
        <is>
          <t>KROKOM</t>
        </is>
      </c>
      <c r="G390" t="n">
        <v>4.2</v>
      </c>
      <c r="H390" t="n">
        <v>0</v>
      </c>
      <c r="I390" t="n">
        <v>0</v>
      </c>
      <c r="J390" t="n">
        <v>0</v>
      </c>
      <c r="K390" t="n">
        <v>0</v>
      </c>
      <c r="L390" t="n">
        <v>0</v>
      </c>
      <c r="M390" t="n">
        <v>0</v>
      </c>
      <c r="N390" t="n">
        <v>0</v>
      </c>
      <c r="O390" t="n">
        <v>0</v>
      </c>
      <c r="P390" t="n">
        <v>0</v>
      </c>
      <c r="Q390" t="n">
        <v>0</v>
      </c>
      <c r="R390" s="2" t="inlineStr"/>
    </row>
    <row r="391" ht="15" customHeight="1">
      <c r="A391" t="inlineStr">
        <is>
          <t>A 21933-2019</t>
        </is>
      </c>
      <c r="B391" s="1" t="n">
        <v>43584</v>
      </c>
      <c r="C391" s="1" t="n">
        <v>45840</v>
      </c>
      <c r="D391" t="inlineStr">
        <is>
          <t>JÄMTLANDS LÄN</t>
        </is>
      </c>
      <c r="E391" t="inlineStr">
        <is>
          <t>KROKOM</t>
        </is>
      </c>
      <c r="G391" t="n">
        <v>12.8</v>
      </c>
      <c r="H391" t="n">
        <v>0</v>
      </c>
      <c r="I391" t="n">
        <v>0</v>
      </c>
      <c r="J391" t="n">
        <v>0</v>
      </c>
      <c r="K391" t="n">
        <v>0</v>
      </c>
      <c r="L391" t="n">
        <v>0</v>
      </c>
      <c r="M391" t="n">
        <v>0</v>
      </c>
      <c r="N391" t="n">
        <v>0</v>
      </c>
      <c r="O391" t="n">
        <v>0</v>
      </c>
      <c r="P391" t="n">
        <v>0</v>
      </c>
      <c r="Q391" t="n">
        <v>0</v>
      </c>
      <c r="R391" s="2" t="inlineStr"/>
    </row>
    <row r="392" ht="15" customHeight="1">
      <c r="A392" t="inlineStr">
        <is>
          <t>A 22208-2019</t>
        </is>
      </c>
      <c r="B392" s="1" t="n">
        <v>43585</v>
      </c>
      <c r="C392" s="1" t="n">
        <v>45840</v>
      </c>
      <c r="D392" t="inlineStr">
        <is>
          <t>JÄMTLANDS LÄN</t>
        </is>
      </c>
      <c r="E392" t="inlineStr">
        <is>
          <t>KROKOM</t>
        </is>
      </c>
      <c r="G392" t="n">
        <v>0.9</v>
      </c>
      <c r="H392" t="n">
        <v>0</v>
      </c>
      <c r="I392" t="n">
        <v>0</v>
      </c>
      <c r="J392" t="n">
        <v>0</v>
      </c>
      <c r="K392" t="n">
        <v>0</v>
      </c>
      <c r="L392" t="n">
        <v>0</v>
      </c>
      <c r="M392" t="n">
        <v>0</v>
      </c>
      <c r="N392" t="n">
        <v>0</v>
      </c>
      <c r="O392" t="n">
        <v>0</v>
      </c>
      <c r="P392" t="n">
        <v>0</v>
      </c>
      <c r="Q392" t="n">
        <v>0</v>
      </c>
      <c r="R392" s="2" t="inlineStr"/>
    </row>
    <row r="393" ht="15" customHeight="1">
      <c r="A393" t="inlineStr">
        <is>
          <t>A 22135-2019</t>
        </is>
      </c>
      <c r="B393" s="1" t="n">
        <v>43585</v>
      </c>
      <c r="C393" s="1" t="n">
        <v>45840</v>
      </c>
      <c r="D393" t="inlineStr">
        <is>
          <t>JÄMTLANDS LÄN</t>
        </is>
      </c>
      <c r="E393" t="inlineStr">
        <is>
          <t>KROKOM</t>
        </is>
      </c>
      <c r="G393" t="n">
        <v>8.1</v>
      </c>
      <c r="H393" t="n">
        <v>0</v>
      </c>
      <c r="I393" t="n">
        <v>0</v>
      </c>
      <c r="J393" t="n">
        <v>0</v>
      </c>
      <c r="K393" t="n">
        <v>0</v>
      </c>
      <c r="L393" t="n">
        <v>0</v>
      </c>
      <c r="M393" t="n">
        <v>0</v>
      </c>
      <c r="N393" t="n">
        <v>0</v>
      </c>
      <c r="O393" t="n">
        <v>0</v>
      </c>
      <c r="P393" t="n">
        <v>0</v>
      </c>
      <c r="Q393" t="n">
        <v>0</v>
      </c>
      <c r="R393" s="2" t="inlineStr"/>
    </row>
    <row r="394" ht="15" customHeight="1">
      <c r="A394" t="inlineStr">
        <is>
          <t>A 22129-2019</t>
        </is>
      </c>
      <c r="B394" s="1" t="n">
        <v>43585</v>
      </c>
      <c r="C394" s="1" t="n">
        <v>45840</v>
      </c>
      <c r="D394" t="inlineStr">
        <is>
          <t>JÄMTLANDS LÄN</t>
        </is>
      </c>
      <c r="E394" t="inlineStr">
        <is>
          <t>KROKOM</t>
        </is>
      </c>
      <c r="G394" t="n">
        <v>7</v>
      </c>
      <c r="H394" t="n">
        <v>0</v>
      </c>
      <c r="I394" t="n">
        <v>0</v>
      </c>
      <c r="J394" t="n">
        <v>0</v>
      </c>
      <c r="K394" t="n">
        <v>0</v>
      </c>
      <c r="L394" t="n">
        <v>0</v>
      </c>
      <c r="M394" t="n">
        <v>0</v>
      </c>
      <c r="N394" t="n">
        <v>0</v>
      </c>
      <c r="O394" t="n">
        <v>0</v>
      </c>
      <c r="P394" t="n">
        <v>0</v>
      </c>
      <c r="Q394" t="n">
        <v>0</v>
      </c>
      <c r="R394" s="2" t="inlineStr"/>
    </row>
    <row r="395" ht="15" customHeight="1">
      <c r="A395" t="inlineStr">
        <is>
          <t>A 22521-2019</t>
        </is>
      </c>
      <c r="B395" s="1" t="n">
        <v>43587</v>
      </c>
      <c r="C395" s="1" t="n">
        <v>45840</v>
      </c>
      <c r="D395" t="inlineStr">
        <is>
          <t>JÄMTLANDS LÄN</t>
        </is>
      </c>
      <c r="E395" t="inlineStr">
        <is>
          <t>KROKOM</t>
        </is>
      </c>
      <c r="F395" t="inlineStr">
        <is>
          <t>Kyrkan</t>
        </is>
      </c>
      <c r="G395" t="n">
        <v>14.5</v>
      </c>
      <c r="H395" t="n">
        <v>0</v>
      </c>
      <c r="I395" t="n">
        <v>0</v>
      </c>
      <c r="J395" t="n">
        <v>0</v>
      </c>
      <c r="K395" t="n">
        <v>0</v>
      </c>
      <c r="L395" t="n">
        <v>0</v>
      </c>
      <c r="M395" t="n">
        <v>0</v>
      </c>
      <c r="N395" t="n">
        <v>0</v>
      </c>
      <c r="O395" t="n">
        <v>0</v>
      </c>
      <c r="P395" t="n">
        <v>0</v>
      </c>
      <c r="Q395" t="n">
        <v>0</v>
      </c>
      <c r="R395" s="2" t="inlineStr"/>
    </row>
    <row r="396" ht="15" customHeight="1">
      <c r="A396" t="inlineStr">
        <is>
          <t>A 22533-2019</t>
        </is>
      </c>
      <c r="B396" s="1" t="n">
        <v>43587</v>
      </c>
      <c r="C396" s="1" t="n">
        <v>45840</v>
      </c>
      <c r="D396" t="inlineStr">
        <is>
          <t>JÄMTLANDS LÄN</t>
        </is>
      </c>
      <c r="E396" t="inlineStr">
        <is>
          <t>KROKOM</t>
        </is>
      </c>
      <c r="F396" t="inlineStr">
        <is>
          <t>Kyrkan</t>
        </is>
      </c>
      <c r="G396" t="n">
        <v>1.5</v>
      </c>
      <c r="H396" t="n">
        <v>0</v>
      </c>
      <c r="I396" t="n">
        <v>0</v>
      </c>
      <c r="J396" t="n">
        <v>0</v>
      </c>
      <c r="K396" t="n">
        <v>0</v>
      </c>
      <c r="L396" t="n">
        <v>0</v>
      </c>
      <c r="M396" t="n">
        <v>0</v>
      </c>
      <c r="N396" t="n">
        <v>0</v>
      </c>
      <c r="O396" t="n">
        <v>0</v>
      </c>
      <c r="P396" t="n">
        <v>0</v>
      </c>
      <c r="Q396" t="n">
        <v>0</v>
      </c>
      <c r="R396" s="2" t="inlineStr"/>
    </row>
    <row r="397" ht="15" customHeight="1">
      <c r="A397" t="inlineStr">
        <is>
          <t>A 22877-2019</t>
        </is>
      </c>
      <c r="B397" s="1" t="n">
        <v>43591</v>
      </c>
      <c r="C397" s="1" t="n">
        <v>45840</v>
      </c>
      <c r="D397" t="inlineStr">
        <is>
          <t>JÄMTLANDS LÄN</t>
        </is>
      </c>
      <c r="E397" t="inlineStr">
        <is>
          <t>KROKOM</t>
        </is>
      </c>
      <c r="G397" t="n">
        <v>11</v>
      </c>
      <c r="H397" t="n">
        <v>0</v>
      </c>
      <c r="I397" t="n">
        <v>0</v>
      </c>
      <c r="J397" t="n">
        <v>0</v>
      </c>
      <c r="K397" t="n">
        <v>0</v>
      </c>
      <c r="L397" t="n">
        <v>0</v>
      </c>
      <c r="M397" t="n">
        <v>0</v>
      </c>
      <c r="N397" t="n">
        <v>0</v>
      </c>
      <c r="O397" t="n">
        <v>0</v>
      </c>
      <c r="P397" t="n">
        <v>0</v>
      </c>
      <c r="Q397" t="n">
        <v>0</v>
      </c>
      <c r="R397" s="2" t="inlineStr"/>
    </row>
    <row r="398" ht="15" customHeight="1">
      <c r="A398" t="inlineStr">
        <is>
          <t>A 23698-2019</t>
        </is>
      </c>
      <c r="B398" s="1" t="n">
        <v>43594</v>
      </c>
      <c r="C398" s="1" t="n">
        <v>45840</v>
      </c>
      <c r="D398" t="inlineStr">
        <is>
          <t>JÄMTLANDS LÄN</t>
        </is>
      </c>
      <c r="E398" t="inlineStr">
        <is>
          <t>KROKOM</t>
        </is>
      </c>
      <c r="G398" t="n">
        <v>14.3</v>
      </c>
      <c r="H398" t="n">
        <v>0</v>
      </c>
      <c r="I398" t="n">
        <v>0</v>
      </c>
      <c r="J398" t="n">
        <v>0</v>
      </c>
      <c r="K398" t="n">
        <v>0</v>
      </c>
      <c r="L398" t="n">
        <v>0</v>
      </c>
      <c r="M398" t="n">
        <v>0</v>
      </c>
      <c r="N398" t="n">
        <v>0</v>
      </c>
      <c r="O398" t="n">
        <v>0</v>
      </c>
      <c r="P398" t="n">
        <v>0</v>
      </c>
      <c r="Q398" t="n">
        <v>0</v>
      </c>
      <c r="R398" s="2" t="inlineStr"/>
    </row>
    <row r="399" ht="15" customHeight="1">
      <c r="A399" t="inlineStr">
        <is>
          <t>A 24900-2019</t>
        </is>
      </c>
      <c r="B399" s="1" t="n">
        <v>43599</v>
      </c>
      <c r="C399" s="1" t="n">
        <v>45840</v>
      </c>
      <c r="D399" t="inlineStr">
        <is>
          <t>JÄMTLANDS LÄN</t>
        </is>
      </c>
      <c r="E399" t="inlineStr">
        <is>
          <t>KROKOM</t>
        </is>
      </c>
      <c r="G399" t="n">
        <v>3.3</v>
      </c>
      <c r="H399" t="n">
        <v>0</v>
      </c>
      <c r="I399" t="n">
        <v>0</v>
      </c>
      <c r="J399" t="n">
        <v>0</v>
      </c>
      <c r="K399" t="n">
        <v>0</v>
      </c>
      <c r="L399" t="n">
        <v>0</v>
      </c>
      <c r="M399" t="n">
        <v>0</v>
      </c>
      <c r="N399" t="n">
        <v>0</v>
      </c>
      <c r="O399" t="n">
        <v>0</v>
      </c>
      <c r="P399" t="n">
        <v>0</v>
      </c>
      <c r="Q399" t="n">
        <v>0</v>
      </c>
      <c r="R399" s="2" t="inlineStr"/>
    </row>
    <row r="400" ht="15" customHeight="1">
      <c r="A400" t="inlineStr">
        <is>
          <t>A 25641-2019</t>
        </is>
      </c>
      <c r="B400" s="1" t="n">
        <v>43602</v>
      </c>
      <c r="C400" s="1" t="n">
        <v>45840</v>
      </c>
      <c r="D400" t="inlineStr">
        <is>
          <t>JÄMTLANDS LÄN</t>
        </is>
      </c>
      <c r="E400" t="inlineStr">
        <is>
          <t>KROKOM</t>
        </is>
      </c>
      <c r="G400" t="n">
        <v>1.3</v>
      </c>
      <c r="H400" t="n">
        <v>0</v>
      </c>
      <c r="I400" t="n">
        <v>0</v>
      </c>
      <c r="J400" t="n">
        <v>0</v>
      </c>
      <c r="K400" t="n">
        <v>0</v>
      </c>
      <c r="L400" t="n">
        <v>0</v>
      </c>
      <c r="M400" t="n">
        <v>0</v>
      </c>
      <c r="N400" t="n">
        <v>0</v>
      </c>
      <c r="O400" t="n">
        <v>0</v>
      </c>
      <c r="P400" t="n">
        <v>0</v>
      </c>
      <c r="Q400" t="n">
        <v>0</v>
      </c>
      <c r="R400" s="2" t="inlineStr"/>
    </row>
    <row r="401" ht="15" customHeight="1">
      <c r="A401" t="inlineStr">
        <is>
          <t>A 25644-2019</t>
        </is>
      </c>
      <c r="B401" s="1" t="n">
        <v>43602</v>
      </c>
      <c r="C401" s="1" t="n">
        <v>45840</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25634-2019</t>
        </is>
      </c>
      <c r="B402" s="1" t="n">
        <v>43602</v>
      </c>
      <c r="C402" s="1" t="n">
        <v>45840</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25115-2019</t>
        </is>
      </c>
      <c r="B403" s="1" t="n">
        <v>43605</v>
      </c>
      <c r="C403" s="1" t="n">
        <v>45840</v>
      </c>
      <c r="D403" t="inlineStr">
        <is>
          <t>JÄMTLANDS LÄN</t>
        </is>
      </c>
      <c r="E403" t="inlineStr">
        <is>
          <t>KROKOM</t>
        </is>
      </c>
      <c r="G403" t="n">
        <v>2.2</v>
      </c>
      <c r="H403" t="n">
        <v>0</v>
      </c>
      <c r="I403" t="n">
        <v>0</v>
      </c>
      <c r="J403" t="n">
        <v>0</v>
      </c>
      <c r="K403" t="n">
        <v>0</v>
      </c>
      <c r="L403" t="n">
        <v>0</v>
      </c>
      <c r="M403" t="n">
        <v>0</v>
      </c>
      <c r="N403" t="n">
        <v>0</v>
      </c>
      <c r="O403" t="n">
        <v>0</v>
      </c>
      <c r="P403" t="n">
        <v>0</v>
      </c>
      <c r="Q403" t="n">
        <v>0</v>
      </c>
      <c r="R403" s="2" t="inlineStr"/>
    </row>
    <row r="404" ht="15" customHeight="1">
      <c r="A404" t="inlineStr">
        <is>
          <t>A 25858-2019</t>
        </is>
      </c>
      <c r="B404" s="1" t="n">
        <v>43608</v>
      </c>
      <c r="C404" s="1" t="n">
        <v>45840</v>
      </c>
      <c r="D404" t="inlineStr">
        <is>
          <t>JÄMTLANDS LÄN</t>
        </is>
      </c>
      <c r="E404" t="inlineStr">
        <is>
          <t>KROKOM</t>
        </is>
      </c>
      <c r="F404" t="inlineStr">
        <is>
          <t>Övriga Aktiebolag</t>
        </is>
      </c>
      <c r="G404" t="n">
        <v>32.2</v>
      </c>
      <c r="H404" t="n">
        <v>0</v>
      </c>
      <c r="I404" t="n">
        <v>0</v>
      </c>
      <c r="J404" t="n">
        <v>0</v>
      </c>
      <c r="K404" t="n">
        <v>0</v>
      </c>
      <c r="L404" t="n">
        <v>0</v>
      </c>
      <c r="M404" t="n">
        <v>0</v>
      </c>
      <c r="N404" t="n">
        <v>0</v>
      </c>
      <c r="O404" t="n">
        <v>0</v>
      </c>
      <c r="P404" t="n">
        <v>0</v>
      </c>
      <c r="Q404" t="n">
        <v>0</v>
      </c>
      <c r="R404" s="2" t="inlineStr"/>
    </row>
    <row r="405" ht="15" customHeight="1">
      <c r="A405" t="inlineStr">
        <is>
          <t>A 26486-2019</t>
        </is>
      </c>
      <c r="B405" s="1" t="n">
        <v>43612</v>
      </c>
      <c r="C405" s="1" t="n">
        <v>45840</v>
      </c>
      <c r="D405" t="inlineStr">
        <is>
          <t>JÄMTLANDS LÄN</t>
        </is>
      </c>
      <c r="E405" t="inlineStr">
        <is>
          <t>KROKOM</t>
        </is>
      </c>
      <c r="G405" t="n">
        <v>3.5</v>
      </c>
      <c r="H405" t="n">
        <v>0</v>
      </c>
      <c r="I405" t="n">
        <v>0</v>
      </c>
      <c r="J405" t="n">
        <v>0</v>
      </c>
      <c r="K405" t="n">
        <v>0</v>
      </c>
      <c r="L405" t="n">
        <v>0</v>
      </c>
      <c r="M405" t="n">
        <v>0</v>
      </c>
      <c r="N405" t="n">
        <v>0</v>
      </c>
      <c r="O405" t="n">
        <v>0</v>
      </c>
      <c r="P405" t="n">
        <v>0</v>
      </c>
      <c r="Q405" t="n">
        <v>0</v>
      </c>
      <c r="R405" s="2" t="inlineStr"/>
    </row>
    <row r="406" ht="15" customHeight="1">
      <c r="A406" t="inlineStr">
        <is>
          <t>A 26408-2019</t>
        </is>
      </c>
      <c r="B406" s="1" t="n">
        <v>43612</v>
      </c>
      <c r="C406" s="1" t="n">
        <v>45840</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28077-2019</t>
        </is>
      </c>
      <c r="B407" s="1" t="n">
        <v>43613</v>
      </c>
      <c r="C407" s="1" t="n">
        <v>45840</v>
      </c>
      <c r="D407" t="inlineStr">
        <is>
          <t>JÄMTLANDS LÄN</t>
        </is>
      </c>
      <c r="E407" t="inlineStr">
        <is>
          <t>KROKOM</t>
        </is>
      </c>
      <c r="F407" t="inlineStr">
        <is>
          <t>Övriga Aktiebolag</t>
        </is>
      </c>
      <c r="G407" t="n">
        <v>26.1</v>
      </c>
      <c r="H407" t="n">
        <v>0</v>
      </c>
      <c r="I407" t="n">
        <v>0</v>
      </c>
      <c r="J407" t="n">
        <v>0</v>
      </c>
      <c r="K407" t="n">
        <v>0</v>
      </c>
      <c r="L407" t="n">
        <v>0</v>
      </c>
      <c r="M407" t="n">
        <v>0</v>
      </c>
      <c r="N407" t="n">
        <v>0</v>
      </c>
      <c r="O407" t="n">
        <v>0</v>
      </c>
      <c r="P407" t="n">
        <v>0</v>
      </c>
      <c r="Q407" t="n">
        <v>0</v>
      </c>
      <c r="R407" s="2" t="inlineStr"/>
    </row>
    <row r="408" ht="15" customHeight="1">
      <c r="A408" t="inlineStr">
        <is>
          <t>A 27031-2019</t>
        </is>
      </c>
      <c r="B408" s="1" t="n">
        <v>43614</v>
      </c>
      <c r="C408" s="1" t="n">
        <v>45840</v>
      </c>
      <c r="D408" t="inlineStr">
        <is>
          <t>JÄMTLANDS LÄN</t>
        </is>
      </c>
      <c r="E408" t="inlineStr">
        <is>
          <t>KROKOM</t>
        </is>
      </c>
      <c r="G408" t="n">
        <v>3.4</v>
      </c>
      <c r="H408" t="n">
        <v>0</v>
      </c>
      <c r="I408" t="n">
        <v>0</v>
      </c>
      <c r="J408" t="n">
        <v>0</v>
      </c>
      <c r="K408" t="n">
        <v>0</v>
      </c>
      <c r="L408" t="n">
        <v>0</v>
      </c>
      <c r="M408" t="n">
        <v>0</v>
      </c>
      <c r="N408" t="n">
        <v>0</v>
      </c>
      <c r="O408" t="n">
        <v>0</v>
      </c>
      <c r="P408" t="n">
        <v>0</v>
      </c>
      <c r="Q408" t="n">
        <v>0</v>
      </c>
      <c r="R408" s="2" t="inlineStr"/>
    </row>
    <row r="409" ht="15" customHeight="1">
      <c r="A409" t="inlineStr">
        <is>
          <t>A 27348-2019</t>
        </is>
      </c>
      <c r="B409" s="1" t="n">
        <v>43616</v>
      </c>
      <c r="C409" s="1" t="n">
        <v>45840</v>
      </c>
      <c r="D409" t="inlineStr">
        <is>
          <t>JÄMTLANDS LÄN</t>
        </is>
      </c>
      <c r="E409" t="inlineStr">
        <is>
          <t>KROKOM</t>
        </is>
      </c>
      <c r="G409" t="n">
        <v>3.3</v>
      </c>
      <c r="H409" t="n">
        <v>0</v>
      </c>
      <c r="I409" t="n">
        <v>0</v>
      </c>
      <c r="J409" t="n">
        <v>0</v>
      </c>
      <c r="K409" t="n">
        <v>0</v>
      </c>
      <c r="L409" t="n">
        <v>0</v>
      </c>
      <c r="M409" t="n">
        <v>0</v>
      </c>
      <c r="N409" t="n">
        <v>0</v>
      </c>
      <c r="O409" t="n">
        <v>0</v>
      </c>
      <c r="P409" t="n">
        <v>0</v>
      </c>
      <c r="Q409" t="n">
        <v>0</v>
      </c>
      <c r="R409" s="2" t="inlineStr"/>
    </row>
    <row r="410" ht="15" customHeight="1">
      <c r="A410" t="inlineStr">
        <is>
          <t>A 27765-2019</t>
        </is>
      </c>
      <c r="B410" s="1" t="n">
        <v>43619</v>
      </c>
      <c r="C410" s="1" t="n">
        <v>45840</v>
      </c>
      <c r="D410" t="inlineStr">
        <is>
          <t>JÄMTLANDS LÄN</t>
        </is>
      </c>
      <c r="E410" t="inlineStr">
        <is>
          <t>KROKOM</t>
        </is>
      </c>
      <c r="G410" t="n">
        <v>20.1</v>
      </c>
      <c r="H410" t="n">
        <v>0</v>
      </c>
      <c r="I410" t="n">
        <v>0</v>
      </c>
      <c r="J410" t="n">
        <v>0</v>
      </c>
      <c r="K410" t="n">
        <v>0</v>
      </c>
      <c r="L410" t="n">
        <v>0</v>
      </c>
      <c r="M410" t="n">
        <v>0</v>
      </c>
      <c r="N410" t="n">
        <v>0</v>
      </c>
      <c r="O410" t="n">
        <v>0</v>
      </c>
      <c r="P410" t="n">
        <v>0</v>
      </c>
      <c r="Q410" t="n">
        <v>0</v>
      </c>
      <c r="R410" s="2" t="inlineStr"/>
    </row>
    <row r="411" ht="15" customHeight="1">
      <c r="A411" t="inlineStr">
        <is>
          <t>A 27766-2019</t>
        </is>
      </c>
      <c r="B411" s="1" t="n">
        <v>43619</v>
      </c>
      <c r="C411" s="1" t="n">
        <v>45840</v>
      </c>
      <c r="D411" t="inlineStr">
        <is>
          <t>JÄMTLANDS LÄN</t>
        </is>
      </c>
      <c r="E411" t="inlineStr">
        <is>
          <t>KROKOM</t>
        </is>
      </c>
      <c r="G411" t="n">
        <v>17.7</v>
      </c>
      <c r="H411" t="n">
        <v>0</v>
      </c>
      <c r="I411" t="n">
        <v>0</v>
      </c>
      <c r="J411" t="n">
        <v>0</v>
      </c>
      <c r="K411" t="n">
        <v>0</v>
      </c>
      <c r="L411" t="n">
        <v>0</v>
      </c>
      <c r="M411" t="n">
        <v>0</v>
      </c>
      <c r="N411" t="n">
        <v>0</v>
      </c>
      <c r="O411" t="n">
        <v>0</v>
      </c>
      <c r="P411" t="n">
        <v>0</v>
      </c>
      <c r="Q411" t="n">
        <v>0</v>
      </c>
      <c r="R411" s="2" t="inlineStr"/>
    </row>
    <row r="412" ht="15" customHeight="1">
      <c r="A412" t="inlineStr">
        <is>
          <t>A 27764-2019</t>
        </is>
      </c>
      <c r="B412" s="1" t="n">
        <v>43619</v>
      </c>
      <c r="C412" s="1" t="n">
        <v>45840</v>
      </c>
      <c r="D412" t="inlineStr">
        <is>
          <t>JÄMTLANDS LÄN</t>
        </is>
      </c>
      <c r="E412" t="inlineStr">
        <is>
          <t>KROKOM</t>
        </is>
      </c>
      <c r="G412" t="n">
        <v>41.8</v>
      </c>
      <c r="H412" t="n">
        <v>0</v>
      </c>
      <c r="I412" t="n">
        <v>0</v>
      </c>
      <c r="J412" t="n">
        <v>0</v>
      </c>
      <c r="K412" t="n">
        <v>0</v>
      </c>
      <c r="L412" t="n">
        <v>0</v>
      </c>
      <c r="M412" t="n">
        <v>0</v>
      </c>
      <c r="N412" t="n">
        <v>0</v>
      </c>
      <c r="O412" t="n">
        <v>0</v>
      </c>
      <c r="P412" t="n">
        <v>0</v>
      </c>
      <c r="Q412" t="n">
        <v>0</v>
      </c>
      <c r="R412" s="2" t="inlineStr"/>
    </row>
    <row r="413" ht="15" customHeight="1">
      <c r="A413" t="inlineStr">
        <is>
          <t>A 27763-2019</t>
        </is>
      </c>
      <c r="B413" s="1" t="n">
        <v>43619</v>
      </c>
      <c r="C413" s="1" t="n">
        <v>45840</v>
      </c>
      <c r="D413" t="inlineStr">
        <is>
          <t>JÄMTLANDS LÄN</t>
        </is>
      </c>
      <c r="E413" t="inlineStr">
        <is>
          <t>KROKOM</t>
        </is>
      </c>
      <c r="G413" t="n">
        <v>15.1</v>
      </c>
      <c r="H413" t="n">
        <v>0</v>
      </c>
      <c r="I413" t="n">
        <v>0</v>
      </c>
      <c r="J413" t="n">
        <v>0</v>
      </c>
      <c r="K413" t="n">
        <v>0</v>
      </c>
      <c r="L413" t="n">
        <v>0</v>
      </c>
      <c r="M413" t="n">
        <v>0</v>
      </c>
      <c r="N413" t="n">
        <v>0</v>
      </c>
      <c r="O413" t="n">
        <v>0</v>
      </c>
      <c r="P413" t="n">
        <v>0</v>
      </c>
      <c r="Q413" t="n">
        <v>0</v>
      </c>
      <c r="R413" s="2" t="inlineStr"/>
    </row>
    <row r="414" ht="15" customHeight="1">
      <c r="A414" t="inlineStr">
        <is>
          <t>A 29270-2019</t>
        </is>
      </c>
      <c r="B414" s="1" t="n">
        <v>43623</v>
      </c>
      <c r="C414" s="1" t="n">
        <v>45840</v>
      </c>
      <c r="D414" t="inlineStr">
        <is>
          <t>JÄMTLANDS LÄN</t>
        </is>
      </c>
      <c r="E414" t="inlineStr">
        <is>
          <t>KROKOM</t>
        </is>
      </c>
      <c r="G414" t="n">
        <v>0.3</v>
      </c>
      <c r="H414" t="n">
        <v>0</v>
      </c>
      <c r="I414" t="n">
        <v>0</v>
      </c>
      <c r="J414" t="n">
        <v>0</v>
      </c>
      <c r="K414" t="n">
        <v>0</v>
      </c>
      <c r="L414" t="n">
        <v>0</v>
      </c>
      <c r="M414" t="n">
        <v>0</v>
      </c>
      <c r="N414" t="n">
        <v>0</v>
      </c>
      <c r="O414" t="n">
        <v>0</v>
      </c>
      <c r="P414" t="n">
        <v>0</v>
      </c>
      <c r="Q414" t="n">
        <v>0</v>
      </c>
      <c r="R414" s="2" t="inlineStr"/>
    </row>
    <row r="415" ht="15" customHeight="1">
      <c r="A415" t="inlineStr">
        <is>
          <t>A 29222-2019</t>
        </is>
      </c>
      <c r="B415" s="1" t="n">
        <v>43623</v>
      </c>
      <c r="C415" s="1" t="n">
        <v>45840</v>
      </c>
      <c r="D415" t="inlineStr">
        <is>
          <t>JÄMTLANDS LÄN</t>
        </is>
      </c>
      <c r="E415" t="inlineStr">
        <is>
          <t>KROKOM</t>
        </is>
      </c>
      <c r="G415" t="n">
        <v>5.9</v>
      </c>
      <c r="H415" t="n">
        <v>0</v>
      </c>
      <c r="I415" t="n">
        <v>0</v>
      </c>
      <c r="J415" t="n">
        <v>0</v>
      </c>
      <c r="K415" t="n">
        <v>0</v>
      </c>
      <c r="L415" t="n">
        <v>0</v>
      </c>
      <c r="M415" t="n">
        <v>0</v>
      </c>
      <c r="N415" t="n">
        <v>0</v>
      </c>
      <c r="O415" t="n">
        <v>0</v>
      </c>
      <c r="P415" t="n">
        <v>0</v>
      </c>
      <c r="Q415" t="n">
        <v>0</v>
      </c>
      <c r="R415" s="2" t="inlineStr"/>
    </row>
    <row r="416" ht="15" customHeight="1">
      <c r="A416" t="inlineStr">
        <is>
          <t>A 29211-2019</t>
        </is>
      </c>
      <c r="B416" s="1" t="n">
        <v>43623</v>
      </c>
      <c r="C416" s="1" t="n">
        <v>45840</v>
      </c>
      <c r="D416" t="inlineStr">
        <is>
          <t>JÄMTLANDS LÄN</t>
        </is>
      </c>
      <c r="E416" t="inlineStr">
        <is>
          <t>KROKOM</t>
        </is>
      </c>
      <c r="G416" t="n">
        <v>5</v>
      </c>
      <c r="H416" t="n">
        <v>0</v>
      </c>
      <c r="I416" t="n">
        <v>0</v>
      </c>
      <c r="J416" t="n">
        <v>0</v>
      </c>
      <c r="K416" t="n">
        <v>0</v>
      </c>
      <c r="L416" t="n">
        <v>0</v>
      </c>
      <c r="M416" t="n">
        <v>0</v>
      </c>
      <c r="N416" t="n">
        <v>0</v>
      </c>
      <c r="O416" t="n">
        <v>0</v>
      </c>
      <c r="P416" t="n">
        <v>0</v>
      </c>
      <c r="Q416" t="n">
        <v>0</v>
      </c>
      <c r="R416" s="2" t="inlineStr"/>
    </row>
    <row r="417" ht="15" customHeight="1">
      <c r="A417" t="inlineStr">
        <is>
          <t>A 28521-2019</t>
        </is>
      </c>
      <c r="B417" s="1" t="n">
        <v>43626</v>
      </c>
      <c r="C417" s="1" t="n">
        <v>45840</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29153-2019</t>
        </is>
      </c>
      <c r="B418" s="1" t="n">
        <v>43628</v>
      </c>
      <c r="C418" s="1" t="n">
        <v>45840</v>
      </c>
      <c r="D418" t="inlineStr">
        <is>
          <t>JÄMTLANDS LÄN</t>
        </is>
      </c>
      <c r="E418" t="inlineStr">
        <is>
          <t>KROKOM</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29705-2019</t>
        </is>
      </c>
      <c r="B419" s="1" t="n">
        <v>43628</v>
      </c>
      <c r="C419" s="1" t="n">
        <v>45840</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29925-2019</t>
        </is>
      </c>
      <c r="B420" s="1" t="n">
        <v>43633</v>
      </c>
      <c r="C420" s="1" t="n">
        <v>45840</v>
      </c>
      <c r="D420" t="inlineStr">
        <is>
          <t>JÄMTLANDS LÄN</t>
        </is>
      </c>
      <c r="E420" t="inlineStr">
        <is>
          <t>KROKOM</t>
        </is>
      </c>
      <c r="G420" t="n">
        <v>1.8</v>
      </c>
      <c r="H420" t="n">
        <v>0</v>
      </c>
      <c r="I420" t="n">
        <v>0</v>
      </c>
      <c r="J420" t="n">
        <v>0</v>
      </c>
      <c r="K420" t="n">
        <v>0</v>
      </c>
      <c r="L420" t="n">
        <v>0</v>
      </c>
      <c r="M420" t="n">
        <v>0</v>
      </c>
      <c r="N420" t="n">
        <v>0</v>
      </c>
      <c r="O420" t="n">
        <v>0</v>
      </c>
      <c r="P420" t="n">
        <v>0</v>
      </c>
      <c r="Q420" t="n">
        <v>0</v>
      </c>
      <c r="R420" s="2" t="inlineStr"/>
    </row>
    <row r="421" ht="15" customHeight="1">
      <c r="A421" t="inlineStr">
        <is>
          <t>A 29823-2019</t>
        </is>
      </c>
      <c r="B421" s="1" t="n">
        <v>43633</v>
      </c>
      <c r="C421" s="1" t="n">
        <v>45840</v>
      </c>
      <c r="D421" t="inlineStr">
        <is>
          <t>JÄMTLANDS LÄN</t>
        </is>
      </c>
      <c r="E421" t="inlineStr">
        <is>
          <t>KROKOM</t>
        </is>
      </c>
      <c r="G421" t="n">
        <v>1.7</v>
      </c>
      <c r="H421" t="n">
        <v>0</v>
      </c>
      <c r="I421" t="n">
        <v>0</v>
      </c>
      <c r="J421" t="n">
        <v>0</v>
      </c>
      <c r="K421" t="n">
        <v>0</v>
      </c>
      <c r="L421" t="n">
        <v>0</v>
      </c>
      <c r="M421" t="n">
        <v>0</v>
      </c>
      <c r="N421" t="n">
        <v>0</v>
      </c>
      <c r="O421" t="n">
        <v>0</v>
      </c>
      <c r="P421" t="n">
        <v>0</v>
      </c>
      <c r="Q421" t="n">
        <v>0</v>
      </c>
      <c r="R421" s="2" t="inlineStr"/>
    </row>
    <row r="422" ht="15" customHeight="1">
      <c r="A422" t="inlineStr">
        <is>
          <t>A 30032-2019</t>
        </is>
      </c>
      <c r="B422" s="1" t="n">
        <v>43633</v>
      </c>
      <c r="C422" s="1" t="n">
        <v>45840</v>
      </c>
      <c r="D422" t="inlineStr">
        <is>
          <t>JÄMTLANDS LÄN</t>
        </is>
      </c>
      <c r="E422" t="inlineStr">
        <is>
          <t>KROKOM</t>
        </is>
      </c>
      <c r="G422" t="n">
        <v>4.1</v>
      </c>
      <c r="H422" t="n">
        <v>0</v>
      </c>
      <c r="I422" t="n">
        <v>0</v>
      </c>
      <c r="J422" t="n">
        <v>0</v>
      </c>
      <c r="K422" t="n">
        <v>0</v>
      </c>
      <c r="L422" t="n">
        <v>0</v>
      </c>
      <c r="M422" t="n">
        <v>0</v>
      </c>
      <c r="N422" t="n">
        <v>0</v>
      </c>
      <c r="O422" t="n">
        <v>0</v>
      </c>
      <c r="P422" t="n">
        <v>0</v>
      </c>
      <c r="Q422" t="n">
        <v>0</v>
      </c>
      <c r="R422" s="2" t="inlineStr"/>
    </row>
    <row r="423" ht="15" customHeight="1">
      <c r="A423" t="inlineStr">
        <is>
          <t>A 30138-2019</t>
        </is>
      </c>
      <c r="B423" s="1" t="n">
        <v>43634</v>
      </c>
      <c r="C423" s="1" t="n">
        <v>45840</v>
      </c>
      <c r="D423" t="inlineStr">
        <is>
          <t>JÄMTLANDS LÄN</t>
        </is>
      </c>
      <c r="E423" t="inlineStr">
        <is>
          <t>KROKOM</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30691-2019</t>
        </is>
      </c>
      <c r="B424" s="1" t="n">
        <v>43636</v>
      </c>
      <c r="C424" s="1" t="n">
        <v>45840</v>
      </c>
      <c r="D424" t="inlineStr">
        <is>
          <t>JÄMTLANDS LÄN</t>
        </is>
      </c>
      <c r="E424" t="inlineStr">
        <is>
          <t>KROKOM</t>
        </is>
      </c>
      <c r="G424" t="n">
        <v>1.3</v>
      </c>
      <c r="H424" t="n">
        <v>0</v>
      </c>
      <c r="I424" t="n">
        <v>0</v>
      </c>
      <c r="J424" t="n">
        <v>0</v>
      </c>
      <c r="K424" t="n">
        <v>0</v>
      </c>
      <c r="L424" t="n">
        <v>0</v>
      </c>
      <c r="M424" t="n">
        <v>0</v>
      </c>
      <c r="N424" t="n">
        <v>0</v>
      </c>
      <c r="O424" t="n">
        <v>0</v>
      </c>
      <c r="P424" t="n">
        <v>0</v>
      </c>
      <c r="Q424" t="n">
        <v>0</v>
      </c>
      <c r="R424" s="2" t="inlineStr"/>
    </row>
    <row r="425" ht="15" customHeight="1">
      <c r="A425" t="inlineStr">
        <is>
          <t>A 30758-2019</t>
        </is>
      </c>
      <c r="B425" s="1" t="n">
        <v>43636</v>
      </c>
      <c r="C425" s="1" t="n">
        <v>45840</v>
      </c>
      <c r="D425" t="inlineStr">
        <is>
          <t>JÄMTLANDS LÄN</t>
        </is>
      </c>
      <c r="E425" t="inlineStr">
        <is>
          <t>KROKOM</t>
        </is>
      </c>
      <c r="G425" t="n">
        <v>6.4</v>
      </c>
      <c r="H425" t="n">
        <v>0</v>
      </c>
      <c r="I425" t="n">
        <v>0</v>
      </c>
      <c r="J425" t="n">
        <v>0</v>
      </c>
      <c r="K425" t="n">
        <v>0</v>
      </c>
      <c r="L425" t="n">
        <v>0</v>
      </c>
      <c r="M425" t="n">
        <v>0</v>
      </c>
      <c r="N425" t="n">
        <v>0</v>
      </c>
      <c r="O425" t="n">
        <v>0</v>
      </c>
      <c r="P425" t="n">
        <v>0</v>
      </c>
      <c r="Q425" t="n">
        <v>0</v>
      </c>
      <c r="R425" s="2" t="inlineStr"/>
    </row>
    <row r="426" ht="15" customHeight="1">
      <c r="A426" t="inlineStr">
        <is>
          <t>A 31070-2019</t>
        </is>
      </c>
      <c r="B426" s="1" t="n">
        <v>43640</v>
      </c>
      <c r="C426" s="1" t="n">
        <v>45840</v>
      </c>
      <c r="D426" t="inlineStr">
        <is>
          <t>JÄMTLANDS LÄN</t>
        </is>
      </c>
      <c r="E426" t="inlineStr">
        <is>
          <t>KROKOM</t>
        </is>
      </c>
      <c r="G426" t="n">
        <v>5.1</v>
      </c>
      <c r="H426" t="n">
        <v>0</v>
      </c>
      <c r="I426" t="n">
        <v>0</v>
      </c>
      <c r="J426" t="n">
        <v>0</v>
      </c>
      <c r="K426" t="n">
        <v>0</v>
      </c>
      <c r="L426" t="n">
        <v>0</v>
      </c>
      <c r="M426" t="n">
        <v>0</v>
      </c>
      <c r="N426" t="n">
        <v>0</v>
      </c>
      <c r="O426" t="n">
        <v>0</v>
      </c>
      <c r="P426" t="n">
        <v>0</v>
      </c>
      <c r="Q426" t="n">
        <v>0</v>
      </c>
      <c r="R426" s="2" t="inlineStr"/>
    </row>
    <row r="427" ht="15" customHeight="1">
      <c r="A427" t="inlineStr">
        <is>
          <t>A 31032-2019</t>
        </is>
      </c>
      <c r="B427" s="1" t="n">
        <v>43640</v>
      </c>
      <c r="C427" s="1" t="n">
        <v>45840</v>
      </c>
      <c r="D427" t="inlineStr">
        <is>
          <t>JÄMTLANDS LÄN</t>
        </is>
      </c>
      <c r="E427" t="inlineStr">
        <is>
          <t>KROKOM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31071-2019</t>
        </is>
      </c>
      <c r="B428" s="1" t="n">
        <v>43640</v>
      </c>
      <c r="C428" s="1" t="n">
        <v>45840</v>
      </c>
      <c r="D428" t="inlineStr">
        <is>
          <t>JÄMTLANDS LÄN</t>
        </is>
      </c>
      <c r="E428" t="inlineStr">
        <is>
          <t>KROKOM</t>
        </is>
      </c>
      <c r="F428" t="inlineStr">
        <is>
          <t>Övriga Aktiebolag</t>
        </is>
      </c>
      <c r="G428" t="n">
        <v>2.1</v>
      </c>
      <c r="H428" t="n">
        <v>0</v>
      </c>
      <c r="I428" t="n">
        <v>0</v>
      </c>
      <c r="J428" t="n">
        <v>0</v>
      </c>
      <c r="K428" t="n">
        <v>0</v>
      </c>
      <c r="L428" t="n">
        <v>0</v>
      </c>
      <c r="M428" t="n">
        <v>0</v>
      </c>
      <c r="N428" t="n">
        <v>0</v>
      </c>
      <c r="O428" t="n">
        <v>0</v>
      </c>
      <c r="P428" t="n">
        <v>0</v>
      </c>
      <c r="Q428" t="n">
        <v>0</v>
      </c>
      <c r="R428" s="2" t="inlineStr"/>
    </row>
    <row r="429" ht="15" customHeight="1">
      <c r="A429" t="inlineStr">
        <is>
          <t>A 31574-2019</t>
        </is>
      </c>
      <c r="B429" s="1" t="n">
        <v>43641</v>
      </c>
      <c r="C429" s="1" t="n">
        <v>45840</v>
      </c>
      <c r="D429" t="inlineStr">
        <is>
          <t>JÄMTLANDS LÄN</t>
        </is>
      </c>
      <c r="E429" t="inlineStr">
        <is>
          <t>KROKOM</t>
        </is>
      </c>
      <c r="G429" t="n">
        <v>5.7</v>
      </c>
      <c r="H429" t="n">
        <v>0</v>
      </c>
      <c r="I429" t="n">
        <v>0</v>
      </c>
      <c r="J429" t="n">
        <v>0</v>
      </c>
      <c r="K429" t="n">
        <v>0</v>
      </c>
      <c r="L429" t="n">
        <v>0</v>
      </c>
      <c r="M429" t="n">
        <v>0</v>
      </c>
      <c r="N429" t="n">
        <v>0</v>
      </c>
      <c r="O429" t="n">
        <v>0</v>
      </c>
      <c r="P429" t="n">
        <v>0</v>
      </c>
      <c r="Q429" t="n">
        <v>0</v>
      </c>
      <c r="R429" s="2" t="inlineStr"/>
    </row>
    <row r="430" ht="15" customHeight="1">
      <c r="A430" t="inlineStr">
        <is>
          <t>A 31575-2019</t>
        </is>
      </c>
      <c r="B430" s="1" t="n">
        <v>43641</v>
      </c>
      <c r="C430" s="1" t="n">
        <v>45840</v>
      </c>
      <c r="D430" t="inlineStr">
        <is>
          <t>JÄMTLANDS LÄN</t>
        </is>
      </c>
      <c r="E430" t="inlineStr">
        <is>
          <t>KROKOM</t>
        </is>
      </c>
      <c r="G430" t="n">
        <v>0.7</v>
      </c>
      <c r="H430" t="n">
        <v>0</v>
      </c>
      <c r="I430" t="n">
        <v>0</v>
      </c>
      <c r="J430" t="n">
        <v>0</v>
      </c>
      <c r="K430" t="n">
        <v>0</v>
      </c>
      <c r="L430" t="n">
        <v>0</v>
      </c>
      <c r="M430" t="n">
        <v>0</v>
      </c>
      <c r="N430" t="n">
        <v>0</v>
      </c>
      <c r="O430" t="n">
        <v>0</v>
      </c>
      <c r="P430" t="n">
        <v>0</v>
      </c>
      <c r="Q430" t="n">
        <v>0</v>
      </c>
      <c r="R430" s="2" t="inlineStr"/>
    </row>
    <row r="431" ht="15" customHeight="1">
      <c r="A431" t="inlineStr">
        <is>
          <t>A 31911-2019</t>
        </is>
      </c>
      <c r="B431" s="1" t="n">
        <v>43642</v>
      </c>
      <c r="C431" s="1" t="n">
        <v>45840</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32053-2019</t>
        </is>
      </c>
      <c r="B432" s="1" t="n">
        <v>43642</v>
      </c>
      <c r="C432" s="1" t="n">
        <v>45840</v>
      </c>
      <c r="D432" t="inlineStr">
        <is>
          <t>JÄMTLANDS LÄN</t>
        </is>
      </c>
      <c r="E432" t="inlineStr">
        <is>
          <t>KROKOM</t>
        </is>
      </c>
      <c r="G432" t="n">
        <v>0.6</v>
      </c>
      <c r="H432" t="n">
        <v>0</v>
      </c>
      <c r="I432" t="n">
        <v>0</v>
      </c>
      <c r="J432" t="n">
        <v>0</v>
      </c>
      <c r="K432" t="n">
        <v>0</v>
      </c>
      <c r="L432" t="n">
        <v>0</v>
      </c>
      <c r="M432" t="n">
        <v>0</v>
      </c>
      <c r="N432" t="n">
        <v>0</v>
      </c>
      <c r="O432" t="n">
        <v>0</v>
      </c>
      <c r="P432" t="n">
        <v>0</v>
      </c>
      <c r="Q432" t="n">
        <v>0</v>
      </c>
      <c r="R432" s="2" t="inlineStr"/>
    </row>
    <row r="433" ht="15" customHeight="1">
      <c r="A433" t="inlineStr">
        <is>
          <t>A 33001-2019</t>
        </is>
      </c>
      <c r="B433" s="1" t="n">
        <v>43649</v>
      </c>
      <c r="C433" s="1" t="n">
        <v>45840</v>
      </c>
      <c r="D433" t="inlineStr">
        <is>
          <t>JÄMTLANDS LÄN</t>
        </is>
      </c>
      <c r="E433" t="inlineStr">
        <is>
          <t>KROKOM</t>
        </is>
      </c>
      <c r="F433" t="inlineStr">
        <is>
          <t>Övriga Aktiebolag</t>
        </is>
      </c>
      <c r="G433" t="n">
        <v>7.8</v>
      </c>
      <c r="H433" t="n">
        <v>0</v>
      </c>
      <c r="I433" t="n">
        <v>0</v>
      </c>
      <c r="J433" t="n">
        <v>0</v>
      </c>
      <c r="K433" t="n">
        <v>0</v>
      </c>
      <c r="L433" t="n">
        <v>0</v>
      </c>
      <c r="M433" t="n">
        <v>0</v>
      </c>
      <c r="N433" t="n">
        <v>0</v>
      </c>
      <c r="O433" t="n">
        <v>0</v>
      </c>
      <c r="P433" t="n">
        <v>0</v>
      </c>
      <c r="Q433" t="n">
        <v>0</v>
      </c>
      <c r="R433" s="2" t="inlineStr"/>
    </row>
    <row r="434" ht="15" customHeight="1">
      <c r="A434" t="inlineStr">
        <is>
          <t>A 33015-2019</t>
        </is>
      </c>
      <c r="B434" s="1" t="n">
        <v>43649</v>
      </c>
      <c r="C434" s="1" t="n">
        <v>45840</v>
      </c>
      <c r="D434" t="inlineStr">
        <is>
          <t>JÄMTLANDS LÄN</t>
        </is>
      </c>
      <c r="E434" t="inlineStr">
        <is>
          <t>KROKOM</t>
        </is>
      </c>
      <c r="F434" t="inlineStr">
        <is>
          <t>Övriga Aktiebolag</t>
        </is>
      </c>
      <c r="G434" t="n">
        <v>12.7</v>
      </c>
      <c r="H434" t="n">
        <v>0</v>
      </c>
      <c r="I434" t="n">
        <v>0</v>
      </c>
      <c r="J434" t="n">
        <v>0</v>
      </c>
      <c r="K434" t="n">
        <v>0</v>
      </c>
      <c r="L434" t="n">
        <v>0</v>
      </c>
      <c r="M434" t="n">
        <v>0</v>
      </c>
      <c r="N434" t="n">
        <v>0</v>
      </c>
      <c r="O434" t="n">
        <v>0</v>
      </c>
      <c r="P434" t="n">
        <v>0</v>
      </c>
      <c r="Q434" t="n">
        <v>0</v>
      </c>
      <c r="R434" s="2" t="inlineStr"/>
    </row>
    <row r="435" ht="15" customHeight="1">
      <c r="A435" t="inlineStr">
        <is>
          <t>A 33360-2019</t>
        </is>
      </c>
      <c r="B435" s="1" t="n">
        <v>43650</v>
      </c>
      <c r="C435" s="1" t="n">
        <v>45840</v>
      </c>
      <c r="D435" t="inlineStr">
        <is>
          <t>JÄMTLANDS LÄN</t>
        </is>
      </c>
      <c r="E435" t="inlineStr">
        <is>
          <t>KROKOM</t>
        </is>
      </c>
      <c r="G435" t="n">
        <v>15.8</v>
      </c>
      <c r="H435" t="n">
        <v>0</v>
      </c>
      <c r="I435" t="n">
        <v>0</v>
      </c>
      <c r="J435" t="n">
        <v>0</v>
      </c>
      <c r="K435" t="n">
        <v>0</v>
      </c>
      <c r="L435" t="n">
        <v>0</v>
      </c>
      <c r="M435" t="n">
        <v>0</v>
      </c>
      <c r="N435" t="n">
        <v>0</v>
      </c>
      <c r="O435" t="n">
        <v>0</v>
      </c>
      <c r="P435" t="n">
        <v>0</v>
      </c>
      <c r="Q435" t="n">
        <v>0</v>
      </c>
      <c r="R435" s="2" t="inlineStr"/>
    </row>
    <row r="436" ht="15" customHeight="1">
      <c r="A436" t="inlineStr">
        <is>
          <t>A 35288-2019</t>
        </is>
      </c>
      <c r="B436" s="1" t="n">
        <v>43651</v>
      </c>
      <c r="C436" s="1" t="n">
        <v>45840</v>
      </c>
      <c r="D436" t="inlineStr">
        <is>
          <t>JÄMTLANDS LÄN</t>
        </is>
      </c>
      <c r="E436" t="inlineStr">
        <is>
          <t>KROKOM</t>
        </is>
      </c>
      <c r="G436" t="n">
        <v>6.9</v>
      </c>
      <c r="H436" t="n">
        <v>0</v>
      </c>
      <c r="I436" t="n">
        <v>0</v>
      </c>
      <c r="J436" t="n">
        <v>0</v>
      </c>
      <c r="K436" t="n">
        <v>0</v>
      </c>
      <c r="L436" t="n">
        <v>0</v>
      </c>
      <c r="M436" t="n">
        <v>0</v>
      </c>
      <c r="N436" t="n">
        <v>0</v>
      </c>
      <c r="O436" t="n">
        <v>0</v>
      </c>
      <c r="P436" t="n">
        <v>0</v>
      </c>
      <c r="Q436" t="n">
        <v>0</v>
      </c>
      <c r="R436" s="2" t="inlineStr"/>
    </row>
    <row r="437" ht="15" customHeight="1">
      <c r="A437" t="inlineStr">
        <is>
          <t>A 35337-2019</t>
        </is>
      </c>
      <c r="B437" s="1" t="n">
        <v>43651</v>
      </c>
      <c r="C437" s="1" t="n">
        <v>45840</v>
      </c>
      <c r="D437" t="inlineStr">
        <is>
          <t>JÄMTLANDS LÄN</t>
        </is>
      </c>
      <c r="E437" t="inlineStr">
        <is>
          <t>KROKOM</t>
        </is>
      </c>
      <c r="G437" t="n">
        <v>3.7</v>
      </c>
      <c r="H437" t="n">
        <v>0</v>
      </c>
      <c r="I437" t="n">
        <v>0</v>
      </c>
      <c r="J437" t="n">
        <v>0</v>
      </c>
      <c r="K437" t="n">
        <v>0</v>
      </c>
      <c r="L437" t="n">
        <v>0</v>
      </c>
      <c r="M437" t="n">
        <v>0</v>
      </c>
      <c r="N437" t="n">
        <v>0</v>
      </c>
      <c r="O437" t="n">
        <v>0</v>
      </c>
      <c r="P437" t="n">
        <v>0</v>
      </c>
      <c r="Q437" t="n">
        <v>0</v>
      </c>
      <c r="R437" s="2" t="inlineStr"/>
    </row>
    <row r="438" ht="15" customHeight="1">
      <c r="A438" t="inlineStr">
        <is>
          <t>A 35264-2019</t>
        </is>
      </c>
      <c r="B438" s="1" t="n">
        <v>43651</v>
      </c>
      <c r="C438" s="1" t="n">
        <v>45840</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35339-2019</t>
        </is>
      </c>
      <c r="B439" s="1" t="n">
        <v>43651</v>
      </c>
      <c r="C439" s="1" t="n">
        <v>45840</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35266-2019</t>
        </is>
      </c>
      <c r="B440" s="1" t="n">
        <v>43651</v>
      </c>
      <c r="C440" s="1" t="n">
        <v>45840</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34065-2019</t>
        </is>
      </c>
      <c r="B441" s="1" t="n">
        <v>43654</v>
      </c>
      <c r="C441" s="1" t="n">
        <v>45840</v>
      </c>
      <c r="D441" t="inlineStr">
        <is>
          <t>JÄMTLANDS LÄN</t>
        </is>
      </c>
      <c r="E441" t="inlineStr">
        <is>
          <t>KROKOM</t>
        </is>
      </c>
      <c r="G441" t="n">
        <v>12.3</v>
      </c>
      <c r="H441" t="n">
        <v>0</v>
      </c>
      <c r="I441" t="n">
        <v>0</v>
      </c>
      <c r="J441" t="n">
        <v>0</v>
      </c>
      <c r="K441" t="n">
        <v>0</v>
      </c>
      <c r="L441" t="n">
        <v>0</v>
      </c>
      <c r="M441" t="n">
        <v>0</v>
      </c>
      <c r="N441" t="n">
        <v>0</v>
      </c>
      <c r="O441" t="n">
        <v>0</v>
      </c>
      <c r="P441" t="n">
        <v>0</v>
      </c>
      <c r="Q441" t="n">
        <v>0</v>
      </c>
      <c r="R441" s="2" t="inlineStr"/>
    </row>
    <row r="442" ht="15" customHeight="1">
      <c r="A442" t="inlineStr">
        <is>
          <t>A 34108-2019</t>
        </is>
      </c>
      <c r="B442" s="1" t="n">
        <v>43655</v>
      </c>
      <c r="C442" s="1" t="n">
        <v>45840</v>
      </c>
      <c r="D442" t="inlineStr">
        <is>
          <t>JÄMTLANDS LÄN</t>
        </is>
      </c>
      <c r="E442" t="inlineStr">
        <is>
          <t>KROKOM</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35668-2019</t>
        </is>
      </c>
      <c r="B443" s="1" t="n">
        <v>43655</v>
      </c>
      <c r="C443" s="1" t="n">
        <v>45840</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35754-2019</t>
        </is>
      </c>
      <c r="B444" s="1" t="n">
        <v>43656</v>
      </c>
      <c r="C444" s="1" t="n">
        <v>45840</v>
      </c>
      <c r="D444" t="inlineStr">
        <is>
          <t>JÄMTLANDS LÄN</t>
        </is>
      </c>
      <c r="E444" t="inlineStr">
        <is>
          <t>KROKOM</t>
        </is>
      </c>
      <c r="G444" t="n">
        <v>4.5</v>
      </c>
      <c r="H444" t="n">
        <v>0</v>
      </c>
      <c r="I444" t="n">
        <v>0</v>
      </c>
      <c r="J444" t="n">
        <v>0</v>
      </c>
      <c r="K444" t="n">
        <v>0</v>
      </c>
      <c r="L444" t="n">
        <v>0</v>
      </c>
      <c r="M444" t="n">
        <v>0</v>
      </c>
      <c r="N444" t="n">
        <v>0</v>
      </c>
      <c r="O444" t="n">
        <v>0</v>
      </c>
      <c r="P444" t="n">
        <v>0</v>
      </c>
      <c r="Q444" t="n">
        <v>0</v>
      </c>
      <c r="R444" s="2" t="inlineStr"/>
    </row>
    <row r="445" ht="15" customHeight="1">
      <c r="A445" t="inlineStr">
        <is>
          <t>A 34739-2019</t>
        </is>
      </c>
      <c r="B445" s="1" t="n">
        <v>43657</v>
      </c>
      <c r="C445" s="1" t="n">
        <v>45840</v>
      </c>
      <c r="D445" t="inlineStr">
        <is>
          <t>JÄMTLANDS LÄN</t>
        </is>
      </c>
      <c r="E445" t="inlineStr">
        <is>
          <t>KROKOM</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36009-2019</t>
        </is>
      </c>
      <c r="B446" s="1" t="n">
        <v>43657</v>
      </c>
      <c r="C446" s="1" t="n">
        <v>45840</v>
      </c>
      <c r="D446" t="inlineStr">
        <is>
          <t>JÄMTLANDS LÄN</t>
        </is>
      </c>
      <c r="E446" t="inlineStr">
        <is>
          <t>KROKOM</t>
        </is>
      </c>
      <c r="G446" t="n">
        <v>1.7</v>
      </c>
      <c r="H446" t="n">
        <v>0</v>
      </c>
      <c r="I446" t="n">
        <v>0</v>
      </c>
      <c r="J446" t="n">
        <v>0</v>
      </c>
      <c r="K446" t="n">
        <v>0</v>
      </c>
      <c r="L446" t="n">
        <v>0</v>
      </c>
      <c r="M446" t="n">
        <v>0</v>
      </c>
      <c r="N446" t="n">
        <v>0</v>
      </c>
      <c r="O446" t="n">
        <v>0</v>
      </c>
      <c r="P446" t="n">
        <v>0</v>
      </c>
      <c r="Q446" t="n">
        <v>0</v>
      </c>
      <c r="R446" s="2" t="inlineStr"/>
    </row>
    <row r="447" ht="15" customHeight="1">
      <c r="A447" t="inlineStr">
        <is>
          <t>A 35131-2019</t>
        </is>
      </c>
      <c r="B447" s="1" t="n">
        <v>43661</v>
      </c>
      <c r="C447" s="1" t="n">
        <v>45840</v>
      </c>
      <c r="D447" t="inlineStr">
        <is>
          <t>JÄMTLANDS LÄN</t>
        </is>
      </c>
      <c r="E447" t="inlineStr">
        <is>
          <t>KROKOM</t>
        </is>
      </c>
      <c r="G447" t="n">
        <v>10.4</v>
      </c>
      <c r="H447" t="n">
        <v>0</v>
      </c>
      <c r="I447" t="n">
        <v>0</v>
      </c>
      <c r="J447" t="n">
        <v>0</v>
      </c>
      <c r="K447" t="n">
        <v>0</v>
      </c>
      <c r="L447" t="n">
        <v>0</v>
      </c>
      <c r="M447" t="n">
        <v>0</v>
      </c>
      <c r="N447" t="n">
        <v>0</v>
      </c>
      <c r="O447" t="n">
        <v>0</v>
      </c>
      <c r="P447" t="n">
        <v>0</v>
      </c>
      <c r="Q447" t="n">
        <v>0</v>
      </c>
      <c r="R447" s="2" t="inlineStr"/>
    </row>
    <row r="448" ht="15" customHeight="1">
      <c r="A448" t="inlineStr">
        <is>
          <t>A 35340-2019</t>
        </is>
      </c>
      <c r="B448" s="1" t="n">
        <v>43661</v>
      </c>
      <c r="C448" s="1" t="n">
        <v>45840</v>
      </c>
      <c r="D448" t="inlineStr">
        <is>
          <t>JÄMTLANDS LÄN</t>
        </is>
      </c>
      <c r="E448" t="inlineStr">
        <is>
          <t>KROKOM</t>
        </is>
      </c>
      <c r="G448" t="n">
        <v>4.4</v>
      </c>
      <c r="H448" t="n">
        <v>0</v>
      </c>
      <c r="I448" t="n">
        <v>0</v>
      </c>
      <c r="J448" t="n">
        <v>0</v>
      </c>
      <c r="K448" t="n">
        <v>0</v>
      </c>
      <c r="L448" t="n">
        <v>0</v>
      </c>
      <c r="M448" t="n">
        <v>0</v>
      </c>
      <c r="N448" t="n">
        <v>0</v>
      </c>
      <c r="O448" t="n">
        <v>0</v>
      </c>
      <c r="P448" t="n">
        <v>0</v>
      </c>
      <c r="Q448" t="n">
        <v>0</v>
      </c>
      <c r="R448" s="2" t="inlineStr"/>
    </row>
    <row r="449" ht="15" customHeight="1">
      <c r="A449" t="inlineStr">
        <is>
          <t>A 36271-2019</t>
        </is>
      </c>
      <c r="B449" s="1" t="n">
        <v>43661</v>
      </c>
      <c r="C449" s="1" t="n">
        <v>45840</v>
      </c>
      <c r="D449" t="inlineStr">
        <is>
          <t>JÄMTLANDS LÄN</t>
        </is>
      </c>
      <c r="E449" t="inlineStr">
        <is>
          <t>KROKOM</t>
        </is>
      </c>
      <c r="G449" t="n">
        <v>2.4</v>
      </c>
      <c r="H449" t="n">
        <v>0</v>
      </c>
      <c r="I449" t="n">
        <v>0</v>
      </c>
      <c r="J449" t="n">
        <v>0</v>
      </c>
      <c r="K449" t="n">
        <v>0</v>
      </c>
      <c r="L449" t="n">
        <v>0</v>
      </c>
      <c r="M449" t="n">
        <v>0</v>
      </c>
      <c r="N449" t="n">
        <v>0</v>
      </c>
      <c r="O449" t="n">
        <v>0</v>
      </c>
      <c r="P449" t="n">
        <v>0</v>
      </c>
      <c r="Q449" t="n">
        <v>0</v>
      </c>
      <c r="R449" s="2" t="inlineStr"/>
    </row>
    <row r="450" ht="15" customHeight="1">
      <c r="A450" t="inlineStr">
        <is>
          <t>A 37369-2019</t>
        </is>
      </c>
      <c r="B450" s="1" t="n">
        <v>43678</v>
      </c>
      <c r="C450" s="1" t="n">
        <v>45840</v>
      </c>
      <c r="D450" t="inlineStr">
        <is>
          <t>JÄMTLANDS LÄN</t>
        </is>
      </c>
      <c r="E450" t="inlineStr">
        <is>
          <t>KROKOM</t>
        </is>
      </c>
      <c r="G450" t="n">
        <v>1.9</v>
      </c>
      <c r="H450" t="n">
        <v>0</v>
      </c>
      <c r="I450" t="n">
        <v>0</v>
      </c>
      <c r="J450" t="n">
        <v>0</v>
      </c>
      <c r="K450" t="n">
        <v>0</v>
      </c>
      <c r="L450" t="n">
        <v>0</v>
      </c>
      <c r="M450" t="n">
        <v>0</v>
      </c>
      <c r="N450" t="n">
        <v>0</v>
      </c>
      <c r="O450" t="n">
        <v>0</v>
      </c>
      <c r="P450" t="n">
        <v>0</v>
      </c>
      <c r="Q450" t="n">
        <v>0</v>
      </c>
      <c r="R450" s="2" t="inlineStr"/>
    </row>
    <row r="451" ht="15" customHeight="1">
      <c r="A451" t="inlineStr">
        <is>
          <t>A 37756-2019</t>
        </is>
      </c>
      <c r="B451" s="1" t="n">
        <v>43682</v>
      </c>
      <c r="C451" s="1" t="n">
        <v>45840</v>
      </c>
      <c r="D451" t="inlineStr">
        <is>
          <t>JÄMTLANDS LÄN</t>
        </is>
      </c>
      <c r="E451" t="inlineStr">
        <is>
          <t>KROKOM</t>
        </is>
      </c>
      <c r="G451" t="n">
        <v>2.1</v>
      </c>
      <c r="H451" t="n">
        <v>0</v>
      </c>
      <c r="I451" t="n">
        <v>0</v>
      </c>
      <c r="J451" t="n">
        <v>0</v>
      </c>
      <c r="K451" t="n">
        <v>0</v>
      </c>
      <c r="L451" t="n">
        <v>0</v>
      </c>
      <c r="M451" t="n">
        <v>0</v>
      </c>
      <c r="N451" t="n">
        <v>0</v>
      </c>
      <c r="O451" t="n">
        <v>0</v>
      </c>
      <c r="P451" t="n">
        <v>0</v>
      </c>
      <c r="Q451" t="n">
        <v>0</v>
      </c>
      <c r="R451" s="2" t="inlineStr"/>
    </row>
    <row r="452" ht="15" customHeight="1">
      <c r="A452" t="inlineStr">
        <is>
          <t>A 38208-2019</t>
        </is>
      </c>
      <c r="B452" s="1" t="n">
        <v>43684</v>
      </c>
      <c r="C452" s="1" t="n">
        <v>45840</v>
      </c>
      <c r="D452" t="inlineStr">
        <is>
          <t>JÄMTLANDS LÄN</t>
        </is>
      </c>
      <c r="E452" t="inlineStr">
        <is>
          <t>KROKOM</t>
        </is>
      </c>
      <c r="G452" t="n">
        <v>6.4</v>
      </c>
      <c r="H452" t="n">
        <v>0</v>
      </c>
      <c r="I452" t="n">
        <v>0</v>
      </c>
      <c r="J452" t="n">
        <v>0</v>
      </c>
      <c r="K452" t="n">
        <v>0</v>
      </c>
      <c r="L452" t="n">
        <v>0</v>
      </c>
      <c r="M452" t="n">
        <v>0</v>
      </c>
      <c r="N452" t="n">
        <v>0</v>
      </c>
      <c r="O452" t="n">
        <v>0</v>
      </c>
      <c r="P452" t="n">
        <v>0</v>
      </c>
      <c r="Q452" t="n">
        <v>0</v>
      </c>
      <c r="R452" s="2" t="inlineStr"/>
    </row>
    <row r="453" ht="15" customHeight="1">
      <c r="A453" t="inlineStr">
        <is>
          <t>A 39353-2019</t>
        </is>
      </c>
      <c r="B453" s="1" t="n">
        <v>43690</v>
      </c>
      <c r="C453" s="1" t="n">
        <v>45840</v>
      </c>
      <c r="D453" t="inlineStr">
        <is>
          <t>JÄMTLANDS LÄN</t>
        </is>
      </c>
      <c r="E453" t="inlineStr">
        <is>
          <t>KROKOM</t>
        </is>
      </c>
      <c r="G453" t="n">
        <v>7.8</v>
      </c>
      <c r="H453" t="n">
        <v>0</v>
      </c>
      <c r="I453" t="n">
        <v>0</v>
      </c>
      <c r="J453" t="n">
        <v>0</v>
      </c>
      <c r="K453" t="n">
        <v>0</v>
      </c>
      <c r="L453" t="n">
        <v>0</v>
      </c>
      <c r="M453" t="n">
        <v>0</v>
      </c>
      <c r="N453" t="n">
        <v>0</v>
      </c>
      <c r="O453" t="n">
        <v>0</v>
      </c>
      <c r="P453" t="n">
        <v>0</v>
      </c>
      <c r="Q453" t="n">
        <v>0</v>
      </c>
      <c r="R453" s="2" t="inlineStr"/>
    </row>
    <row r="454" ht="15" customHeight="1">
      <c r="A454" t="inlineStr">
        <is>
          <t>A 39587-2019</t>
        </is>
      </c>
      <c r="B454" s="1" t="n">
        <v>43691</v>
      </c>
      <c r="C454" s="1" t="n">
        <v>45840</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39956-2019</t>
        </is>
      </c>
      <c r="B455" s="1" t="n">
        <v>43692</v>
      </c>
      <c r="C455" s="1" t="n">
        <v>45840</v>
      </c>
      <c r="D455" t="inlineStr">
        <is>
          <t>JÄMTLANDS LÄN</t>
        </is>
      </c>
      <c r="E455" t="inlineStr">
        <is>
          <t>KROKOM</t>
        </is>
      </c>
      <c r="G455" t="n">
        <v>4.3</v>
      </c>
      <c r="H455" t="n">
        <v>0</v>
      </c>
      <c r="I455" t="n">
        <v>0</v>
      </c>
      <c r="J455" t="n">
        <v>0</v>
      </c>
      <c r="K455" t="n">
        <v>0</v>
      </c>
      <c r="L455" t="n">
        <v>0</v>
      </c>
      <c r="M455" t="n">
        <v>0</v>
      </c>
      <c r="N455" t="n">
        <v>0</v>
      </c>
      <c r="O455" t="n">
        <v>0</v>
      </c>
      <c r="P455" t="n">
        <v>0</v>
      </c>
      <c r="Q455" t="n">
        <v>0</v>
      </c>
      <c r="R455" s="2" t="inlineStr"/>
    </row>
    <row r="456" ht="15" customHeight="1">
      <c r="A456" t="inlineStr">
        <is>
          <t>A 39943-2019</t>
        </is>
      </c>
      <c r="B456" s="1" t="n">
        <v>43692</v>
      </c>
      <c r="C456" s="1" t="n">
        <v>45840</v>
      </c>
      <c r="D456" t="inlineStr">
        <is>
          <t>JÄMTLANDS LÄN</t>
        </is>
      </c>
      <c r="E456" t="inlineStr">
        <is>
          <t>KROKOM</t>
        </is>
      </c>
      <c r="G456" t="n">
        <v>17.9</v>
      </c>
      <c r="H456" t="n">
        <v>0</v>
      </c>
      <c r="I456" t="n">
        <v>0</v>
      </c>
      <c r="J456" t="n">
        <v>0</v>
      </c>
      <c r="K456" t="n">
        <v>0</v>
      </c>
      <c r="L456" t="n">
        <v>0</v>
      </c>
      <c r="M456" t="n">
        <v>0</v>
      </c>
      <c r="N456" t="n">
        <v>0</v>
      </c>
      <c r="O456" t="n">
        <v>0</v>
      </c>
      <c r="P456" t="n">
        <v>0</v>
      </c>
      <c r="Q456" t="n">
        <v>0</v>
      </c>
      <c r="R456" s="2" t="inlineStr"/>
    </row>
    <row r="457" ht="15" customHeight="1">
      <c r="A457" t="inlineStr">
        <is>
          <t>A 40929-2019</t>
        </is>
      </c>
      <c r="B457" s="1" t="n">
        <v>43693</v>
      </c>
      <c r="C457" s="1" t="n">
        <v>45840</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40491-2019</t>
        </is>
      </c>
      <c r="B458" s="1" t="n">
        <v>43696</v>
      </c>
      <c r="C458" s="1" t="n">
        <v>45840</v>
      </c>
      <c r="D458" t="inlineStr">
        <is>
          <t>JÄMTLANDS LÄN</t>
        </is>
      </c>
      <c r="E458" t="inlineStr">
        <is>
          <t>KROKOM</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41491-2019</t>
        </is>
      </c>
      <c r="B459" s="1" t="n">
        <v>43699</v>
      </c>
      <c r="C459" s="1" t="n">
        <v>45840</v>
      </c>
      <c r="D459" t="inlineStr">
        <is>
          <t>JÄMTLANDS LÄN</t>
        </is>
      </c>
      <c r="E459" t="inlineStr">
        <is>
          <t>KROKOM</t>
        </is>
      </c>
      <c r="G459" t="n">
        <v>9.1</v>
      </c>
      <c r="H459" t="n">
        <v>0</v>
      </c>
      <c r="I459" t="n">
        <v>0</v>
      </c>
      <c r="J459" t="n">
        <v>0</v>
      </c>
      <c r="K459" t="n">
        <v>0</v>
      </c>
      <c r="L459" t="n">
        <v>0</v>
      </c>
      <c r="M459" t="n">
        <v>0</v>
      </c>
      <c r="N459" t="n">
        <v>0</v>
      </c>
      <c r="O459" t="n">
        <v>0</v>
      </c>
      <c r="P459" t="n">
        <v>0</v>
      </c>
      <c r="Q459" t="n">
        <v>0</v>
      </c>
      <c r="R459" s="2" t="inlineStr"/>
    </row>
    <row r="460" ht="15" customHeight="1">
      <c r="A460" t="inlineStr">
        <is>
          <t>A 42258-2019</t>
        </is>
      </c>
      <c r="B460" s="1" t="n">
        <v>43703</v>
      </c>
      <c r="C460" s="1" t="n">
        <v>45840</v>
      </c>
      <c r="D460" t="inlineStr">
        <is>
          <t>JÄMTLANDS LÄN</t>
        </is>
      </c>
      <c r="E460" t="inlineStr">
        <is>
          <t>KROKOM</t>
        </is>
      </c>
      <c r="G460" t="n">
        <v>4.9</v>
      </c>
      <c r="H460" t="n">
        <v>0</v>
      </c>
      <c r="I460" t="n">
        <v>0</v>
      </c>
      <c r="J460" t="n">
        <v>0</v>
      </c>
      <c r="K460" t="n">
        <v>0</v>
      </c>
      <c r="L460" t="n">
        <v>0</v>
      </c>
      <c r="M460" t="n">
        <v>0</v>
      </c>
      <c r="N460" t="n">
        <v>0</v>
      </c>
      <c r="O460" t="n">
        <v>0</v>
      </c>
      <c r="P460" t="n">
        <v>0</v>
      </c>
      <c r="Q460" t="n">
        <v>0</v>
      </c>
      <c r="R460" s="2" t="inlineStr"/>
    </row>
    <row r="461" ht="15" customHeight="1">
      <c r="A461" t="inlineStr">
        <is>
          <t>A 42237-2019</t>
        </is>
      </c>
      <c r="B461" s="1" t="n">
        <v>43703</v>
      </c>
      <c r="C461" s="1" t="n">
        <v>45840</v>
      </c>
      <c r="D461" t="inlineStr">
        <is>
          <t>JÄMTLANDS LÄN</t>
        </is>
      </c>
      <c r="E461" t="inlineStr">
        <is>
          <t>KROKOM</t>
        </is>
      </c>
      <c r="G461" t="n">
        <v>7.1</v>
      </c>
      <c r="H461" t="n">
        <v>0</v>
      </c>
      <c r="I461" t="n">
        <v>0</v>
      </c>
      <c r="J461" t="n">
        <v>0</v>
      </c>
      <c r="K461" t="n">
        <v>0</v>
      </c>
      <c r="L461" t="n">
        <v>0</v>
      </c>
      <c r="M461" t="n">
        <v>0</v>
      </c>
      <c r="N461" t="n">
        <v>0</v>
      </c>
      <c r="O461" t="n">
        <v>0</v>
      </c>
      <c r="P461" t="n">
        <v>0</v>
      </c>
      <c r="Q461" t="n">
        <v>0</v>
      </c>
      <c r="R461" s="2" t="inlineStr"/>
    </row>
    <row r="462" ht="15" customHeight="1">
      <c r="A462" t="inlineStr">
        <is>
          <t>A 42537-2019</t>
        </is>
      </c>
      <c r="B462" s="1" t="n">
        <v>43704</v>
      </c>
      <c r="C462" s="1" t="n">
        <v>45840</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42547-2019</t>
        </is>
      </c>
      <c r="B463" s="1" t="n">
        <v>43704</v>
      </c>
      <c r="C463" s="1" t="n">
        <v>45840</v>
      </c>
      <c r="D463" t="inlineStr">
        <is>
          <t>JÄMTLANDS LÄN</t>
        </is>
      </c>
      <c r="E463" t="inlineStr">
        <is>
          <t>KROKOM</t>
        </is>
      </c>
      <c r="F463" t="inlineStr">
        <is>
          <t>Övriga Aktiebolag</t>
        </is>
      </c>
      <c r="G463" t="n">
        <v>27.5</v>
      </c>
      <c r="H463" t="n">
        <v>0</v>
      </c>
      <c r="I463" t="n">
        <v>0</v>
      </c>
      <c r="J463" t="n">
        <v>0</v>
      </c>
      <c r="K463" t="n">
        <v>0</v>
      </c>
      <c r="L463" t="n">
        <v>0</v>
      </c>
      <c r="M463" t="n">
        <v>0</v>
      </c>
      <c r="N463" t="n">
        <v>0</v>
      </c>
      <c r="O463" t="n">
        <v>0</v>
      </c>
      <c r="P463" t="n">
        <v>0</v>
      </c>
      <c r="Q463" t="n">
        <v>0</v>
      </c>
      <c r="R463" s="2" t="inlineStr"/>
    </row>
    <row r="464" ht="15" customHeight="1">
      <c r="A464" t="inlineStr">
        <is>
          <t>A 42498-2019</t>
        </is>
      </c>
      <c r="B464" s="1" t="n">
        <v>43704</v>
      </c>
      <c r="C464" s="1" t="n">
        <v>45840</v>
      </c>
      <c r="D464" t="inlineStr">
        <is>
          <t>JÄMTLANDS LÄN</t>
        </is>
      </c>
      <c r="E464" t="inlineStr">
        <is>
          <t>KROKOM</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42602-2019</t>
        </is>
      </c>
      <c r="B465" s="1" t="n">
        <v>43704</v>
      </c>
      <c r="C465" s="1" t="n">
        <v>45840</v>
      </c>
      <c r="D465" t="inlineStr">
        <is>
          <t>JÄMTLANDS LÄN</t>
        </is>
      </c>
      <c r="E465" t="inlineStr">
        <is>
          <t>KROKOM</t>
        </is>
      </c>
      <c r="G465" t="n">
        <v>3.9</v>
      </c>
      <c r="H465" t="n">
        <v>0</v>
      </c>
      <c r="I465" t="n">
        <v>0</v>
      </c>
      <c r="J465" t="n">
        <v>0</v>
      </c>
      <c r="K465" t="n">
        <v>0</v>
      </c>
      <c r="L465" t="n">
        <v>0</v>
      </c>
      <c r="M465" t="n">
        <v>0</v>
      </c>
      <c r="N465" t="n">
        <v>0</v>
      </c>
      <c r="O465" t="n">
        <v>0</v>
      </c>
      <c r="P465" t="n">
        <v>0</v>
      </c>
      <c r="Q465" t="n">
        <v>0</v>
      </c>
      <c r="R465" s="2" t="inlineStr"/>
    </row>
    <row r="466" ht="15" customHeight="1">
      <c r="A466" t="inlineStr">
        <is>
          <t>A 42635-2019</t>
        </is>
      </c>
      <c r="B466" s="1" t="n">
        <v>43704</v>
      </c>
      <c r="C466" s="1" t="n">
        <v>45840</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43708-2019</t>
        </is>
      </c>
      <c r="B467" s="1" t="n">
        <v>43707</v>
      </c>
      <c r="C467" s="1" t="n">
        <v>45840</v>
      </c>
      <c r="D467" t="inlineStr">
        <is>
          <t>JÄMTLANDS LÄN</t>
        </is>
      </c>
      <c r="E467" t="inlineStr">
        <is>
          <t>KROKOM</t>
        </is>
      </c>
      <c r="G467" t="n">
        <v>3.1</v>
      </c>
      <c r="H467" t="n">
        <v>0</v>
      </c>
      <c r="I467" t="n">
        <v>0</v>
      </c>
      <c r="J467" t="n">
        <v>0</v>
      </c>
      <c r="K467" t="n">
        <v>0</v>
      </c>
      <c r="L467" t="n">
        <v>0</v>
      </c>
      <c r="M467" t="n">
        <v>0</v>
      </c>
      <c r="N467" t="n">
        <v>0</v>
      </c>
      <c r="O467" t="n">
        <v>0</v>
      </c>
      <c r="P467" t="n">
        <v>0</v>
      </c>
      <c r="Q467" t="n">
        <v>0</v>
      </c>
      <c r="R467" s="2" t="inlineStr"/>
    </row>
    <row r="468" ht="15" customHeight="1">
      <c r="A468" t="inlineStr">
        <is>
          <t>A 43721-2019</t>
        </is>
      </c>
      <c r="B468" s="1" t="n">
        <v>43707</v>
      </c>
      <c r="C468" s="1" t="n">
        <v>45840</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44128-2019</t>
        </is>
      </c>
      <c r="B469" s="1" t="n">
        <v>43710</v>
      </c>
      <c r="C469" s="1" t="n">
        <v>45840</v>
      </c>
      <c r="D469" t="inlineStr">
        <is>
          <t>JÄMTLANDS LÄN</t>
        </is>
      </c>
      <c r="E469" t="inlineStr">
        <is>
          <t>KROKOM</t>
        </is>
      </c>
      <c r="G469" t="n">
        <v>8.1</v>
      </c>
      <c r="H469" t="n">
        <v>0</v>
      </c>
      <c r="I469" t="n">
        <v>0</v>
      </c>
      <c r="J469" t="n">
        <v>0</v>
      </c>
      <c r="K469" t="n">
        <v>0</v>
      </c>
      <c r="L469" t="n">
        <v>0</v>
      </c>
      <c r="M469" t="n">
        <v>0</v>
      </c>
      <c r="N469" t="n">
        <v>0</v>
      </c>
      <c r="O469" t="n">
        <v>0</v>
      </c>
      <c r="P469" t="n">
        <v>0</v>
      </c>
      <c r="Q469" t="n">
        <v>0</v>
      </c>
      <c r="R469" s="2" t="inlineStr"/>
    </row>
    <row r="470" ht="15" customHeight="1">
      <c r="A470" t="inlineStr">
        <is>
          <t>A 44190-2019</t>
        </is>
      </c>
      <c r="B470" s="1" t="n">
        <v>43710</v>
      </c>
      <c r="C470" s="1" t="n">
        <v>45840</v>
      </c>
      <c r="D470" t="inlineStr">
        <is>
          <t>JÄMTLANDS LÄN</t>
        </is>
      </c>
      <c r="E470" t="inlineStr">
        <is>
          <t>KROKOM</t>
        </is>
      </c>
      <c r="G470" t="n">
        <v>1.8</v>
      </c>
      <c r="H470" t="n">
        <v>0</v>
      </c>
      <c r="I470" t="n">
        <v>0</v>
      </c>
      <c r="J470" t="n">
        <v>0</v>
      </c>
      <c r="K470" t="n">
        <v>0</v>
      </c>
      <c r="L470" t="n">
        <v>0</v>
      </c>
      <c r="M470" t="n">
        <v>0</v>
      </c>
      <c r="N470" t="n">
        <v>0</v>
      </c>
      <c r="O470" t="n">
        <v>0</v>
      </c>
      <c r="P470" t="n">
        <v>0</v>
      </c>
      <c r="Q470" t="n">
        <v>0</v>
      </c>
      <c r="R470" s="2" t="inlineStr"/>
    </row>
    <row r="471" ht="15" customHeight="1">
      <c r="A471" t="inlineStr">
        <is>
          <t>A 44653-2019</t>
        </is>
      </c>
      <c r="B471" s="1" t="n">
        <v>43712</v>
      </c>
      <c r="C471" s="1" t="n">
        <v>45840</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46288-2019</t>
        </is>
      </c>
      <c r="B472" s="1" t="n">
        <v>43717</v>
      </c>
      <c r="C472" s="1" t="n">
        <v>45840</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47406-2019</t>
        </is>
      </c>
      <c r="B473" s="1" t="n">
        <v>43722</v>
      </c>
      <c r="C473" s="1" t="n">
        <v>45840</v>
      </c>
      <c r="D473" t="inlineStr">
        <is>
          <t>JÄMTLANDS LÄN</t>
        </is>
      </c>
      <c r="E473" t="inlineStr">
        <is>
          <t>KROKOM</t>
        </is>
      </c>
      <c r="G473" t="n">
        <v>7.4</v>
      </c>
      <c r="H473" t="n">
        <v>0</v>
      </c>
      <c r="I473" t="n">
        <v>0</v>
      </c>
      <c r="J473" t="n">
        <v>0</v>
      </c>
      <c r="K473" t="n">
        <v>0</v>
      </c>
      <c r="L473" t="n">
        <v>0</v>
      </c>
      <c r="M473" t="n">
        <v>0</v>
      </c>
      <c r="N473" t="n">
        <v>0</v>
      </c>
      <c r="O473" t="n">
        <v>0</v>
      </c>
      <c r="P473" t="n">
        <v>0</v>
      </c>
      <c r="Q473" t="n">
        <v>0</v>
      </c>
      <c r="R473" s="2" t="inlineStr"/>
    </row>
    <row r="474" ht="15" customHeight="1">
      <c r="A474" t="inlineStr">
        <is>
          <t>A 48311-2019</t>
        </is>
      </c>
      <c r="B474" s="1" t="n">
        <v>43726</v>
      </c>
      <c r="C474" s="1" t="n">
        <v>45840</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48613-2019</t>
        </is>
      </c>
      <c r="B475" s="1" t="n">
        <v>43727</v>
      </c>
      <c r="C475" s="1" t="n">
        <v>45840</v>
      </c>
      <c r="D475" t="inlineStr">
        <is>
          <t>JÄMTLANDS LÄN</t>
        </is>
      </c>
      <c r="E475" t="inlineStr">
        <is>
          <t>KROKOM</t>
        </is>
      </c>
      <c r="G475" t="n">
        <v>0.1</v>
      </c>
      <c r="H475" t="n">
        <v>0</v>
      </c>
      <c r="I475" t="n">
        <v>0</v>
      </c>
      <c r="J475" t="n">
        <v>0</v>
      </c>
      <c r="K475" t="n">
        <v>0</v>
      </c>
      <c r="L475" t="n">
        <v>0</v>
      </c>
      <c r="M475" t="n">
        <v>0</v>
      </c>
      <c r="N475" t="n">
        <v>0</v>
      </c>
      <c r="O475" t="n">
        <v>0</v>
      </c>
      <c r="P475" t="n">
        <v>0</v>
      </c>
      <c r="Q475" t="n">
        <v>0</v>
      </c>
      <c r="R475" s="2" t="inlineStr"/>
    </row>
    <row r="476" ht="15" customHeight="1">
      <c r="A476" t="inlineStr">
        <is>
          <t>A 49213-2019</t>
        </is>
      </c>
      <c r="B476" s="1" t="n">
        <v>43731</v>
      </c>
      <c r="C476" s="1" t="n">
        <v>45840</v>
      </c>
      <c r="D476" t="inlineStr">
        <is>
          <t>JÄMTLANDS LÄN</t>
        </is>
      </c>
      <c r="E476" t="inlineStr">
        <is>
          <t>KROKOM</t>
        </is>
      </c>
      <c r="G476" t="n">
        <v>3.8</v>
      </c>
      <c r="H476" t="n">
        <v>0</v>
      </c>
      <c r="I476" t="n">
        <v>0</v>
      </c>
      <c r="J476" t="n">
        <v>0</v>
      </c>
      <c r="K476" t="n">
        <v>0</v>
      </c>
      <c r="L476" t="n">
        <v>0</v>
      </c>
      <c r="M476" t="n">
        <v>0</v>
      </c>
      <c r="N476" t="n">
        <v>0</v>
      </c>
      <c r="O476" t="n">
        <v>0</v>
      </c>
      <c r="P476" t="n">
        <v>0</v>
      </c>
      <c r="Q476" t="n">
        <v>0</v>
      </c>
      <c r="R476" s="2" t="inlineStr"/>
    </row>
    <row r="477" ht="15" customHeight="1">
      <c r="A477" t="inlineStr">
        <is>
          <t>A 50104-2019</t>
        </is>
      </c>
      <c r="B477" s="1" t="n">
        <v>43731</v>
      </c>
      <c r="C477" s="1" t="n">
        <v>45840</v>
      </c>
      <c r="D477" t="inlineStr">
        <is>
          <t>JÄMTLANDS LÄN</t>
        </is>
      </c>
      <c r="E477" t="inlineStr">
        <is>
          <t>KROKOM</t>
        </is>
      </c>
      <c r="G477" t="n">
        <v>4.2</v>
      </c>
      <c r="H477" t="n">
        <v>0</v>
      </c>
      <c r="I477" t="n">
        <v>0</v>
      </c>
      <c r="J477" t="n">
        <v>0</v>
      </c>
      <c r="K477" t="n">
        <v>0</v>
      </c>
      <c r="L477" t="n">
        <v>0</v>
      </c>
      <c r="M477" t="n">
        <v>0</v>
      </c>
      <c r="N477" t="n">
        <v>0</v>
      </c>
      <c r="O477" t="n">
        <v>0</v>
      </c>
      <c r="P477" t="n">
        <v>0</v>
      </c>
      <c r="Q477" t="n">
        <v>0</v>
      </c>
      <c r="R477" s="2" t="inlineStr"/>
    </row>
    <row r="478" ht="15" customHeight="1">
      <c r="A478" t="inlineStr">
        <is>
          <t>A 50115-2019</t>
        </is>
      </c>
      <c r="B478" s="1" t="n">
        <v>43731</v>
      </c>
      <c r="C478" s="1" t="n">
        <v>45840</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50084-2019</t>
        </is>
      </c>
      <c r="B479" s="1" t="n">
        <v>43731</v>
      </c>
      <c r="C479" s="1" t="n">
        <v>45840</v>
      </c>
      <c r="D479" t="inlineStr">
        <is>
          <t>JÄMTLANDS LÄN</t>
        </is>
      </c>
      <c r="E479" t="inlineStr">
        <is>
          <t>KROKOM</t>
        </is>
      </c>
      <c r="G479" t="n">
        <v>12.5</v>
      </c>
      <c r="H479" t="n">
        <v>0</v>
      </c>
      <c r="I479" t="n">
        <v>0</v>
      </c>
      <c r="J479" t="n">
        <v>0</v>
      </c>
      <c r="K479" t="n">
        <v>0</v>
      </c>
      <c r="L479" t="n">
        <v>0</v>
      </c>
      <c r="M479" t="n">
        <v>0</v>
      </c>
      <c r="N479" t="n">
        <v>0</v>
      </c>
      <c r="O479" t="n">
        <v>0</v>
      </c>
      <c r="P479" t="n">
        <v>0</v>
      </c>
      <c r="Q479" t="n">
        <v>0</v>
      </c>
      <c r="R479" s="2" t="inlineStr"/>
    </row>
    <row r="480" ht="15" customHeight="1">
      <c r="A480" t="inlineStr">
        <is>
          <t>A 50112-2019</t>
        </is>
      </c>
      <c r="B480" s="1" t="n">
        <v>43731</v>
      </c>
      <c r="C480" s="1" t="n">
        <v>45840</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50144-2019</t>
        </is>
      </c>
      <c r="B481" s="1" t="n">
        <v>43734</v>
      </c>
      <c r="C481" s="1" t="n">
        <v>45840</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52049-2019</t>
        </is>
      </c>
      <c r="B482" s="1" t="n">
        <v>43734</v>
      </c>
      <c r="C482" s="1" t="n">
        <v>45840</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52028-2019</t>
        </is>
      </c>
      <c r="B483" s="1" t="n">
        <v>43734</v>
      </c>
      <c r="C483" s="1" t="n">
        <v>45840</v>
      </c>
      <c r="D483" t="inlineStr">
        <is>
          <t>JÄMTLANDS LÄN</t>
        </is>
      </c>
      <c r="E483" t="inlineStr">
        <is>
          <t>KROKOM</t>
        </is>
      </c>
      <c r="F483" t="inlineStr">
        <is>
          <t>Övriga Aktiebolag</t>
        </is>
      </c>
      <c r="G483" t="n">
        <v>5.5</v>
      </c>
      <c r="H483" t="n">
        <v>0</v>
      </c>
      <c r="I483" t="n">
        <v>0</v>
      </c>
      <c r="J483" t="n">
        <v>0</v>
      </c>
      <c r="K483" t="n">
        <v>0</v>
      </c>
      <c r="L483" t="n">
        <v>0</v>
      </c>
      <c r="M483" t="n">
        <v>0</v>
      </c>
      <c r="N483" t="n">
        <v>0</v>
      </c>
      <c r="O483" t="n">
        <v>0</v>
      </c>
      <c r="P483" t="n">
        <v>0</v>
      </c>
      <c r="Q483" t="n">
        <v>0</v>
      </c>
      <c r="R483" s="2" t="inlineStr"/>
    </row>
    <row r="484" ht="15" customHeight="1">
      <c r="A484" t="inlineStr">
        <is>
          <t>A 50360-2019</t>
        </is>
      </c>
      <c r="B484" s="1" t="n">
        <v>43735</v>
      </c>
      <c r="C484" s="1" t="n">
        <v>45840</v>
      </c>
      <c r="D484" t="inlineStr">
        <is>
          <t>JÄMTLANDS LÄN</t>
        </is>
      </c>
      <c r="E484" t="inlineStr">
        <is>
          <t>KROKOM</t>
        </is>
      </c>
      <c r="G484" t="n">
        <v>2.3</v>
      </c>
      <c r="H484" t="n">
        <v>0</v>
      </c>
      <c r="I484" t="n">
        <v>0</v>
      </c>
      <c r="J484" t="n">
        <v>0</v>
      </c>
      <c r="K484" t="n">
        <v>0</v>
      </c>
      <c r="L484" t="n">
        <v>0</v>
      </c>
      <c r="M484" t="n">
        <v>0</v>
      </c>
      <c r="N484" t="n">
        <v>0</v>
      </c>
      <c r="O484" t="n">
        <v>0</v>
      </c>
      <c r="P484" t="n">
        <v>0</v>
      </c>
      <c r="Q484" t="n">
        <v>0</v>
      </c>
      <c r="R484" s="2" t="inlineStr"/>
    </row>
    <row r="485" ht="15" customHeight="1">
      <c r="A485" t="inlineStr">
        <is>
          <t>A 52446-2019</t>
        </is>
      </c>
      <c r="B485" s="1" t="n">
        <v>43735</v>
      </c>
      <c r="C485" s="1" t="n">
        <v>45840</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53662-2019</t>
        </is>
      </c>
      <c r="B486" s="1" t="n">
        <v>43741</v>
      </c>
      <c r="C486" s="1" t="n">
        <v>45840</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54154-2019</t>
        </is>
      </c>
      <c r="B487" s="1" t="n">
        <v>43745</v>
      </c>
      <c r="C487" s="1" t="n">
        <v>45840</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54494-2019</t>
        </is>
      </c>
      <c r="B488" s="1" t="n">
        <v>43747</v>
      </c>
      <c r="C488" s="1" t="n">
        <v>45840</v>
      </c>
      <c r="D488" t="inlineStr">
        <is>
          <t>JÄMTLANDS LÄN</t>
        </is>
      </c>
      <c r="E488" t="inlineStr">
        <is>
          <t>KROKOM</t>
        </is>
      </c>
      <c r="G488" t="n">
        <v>2.7</v>
      </c>
      <c r="H488" t="n">
        <v>0</v>
      </c>
      <c r="I488" t="n">
        <v>0</v>
      </c>
      <c r="J488" t="n">
        <v>0</v>
      </c>
      <c r="K488" t="n">
        <v>0</v>
      </c>
      <c r="L488" t="n">
        <v>0</v>
      </c>
      <c r="M488" t="n">
        <v>0</v>
      </c>
      <c r="N488" t="n">
        <v>0</v>
      </c>
      <c r="O488" t="n">
        <v>0</v>
      </c>
      <c r="P488" t="n">
        <v>0</v>
      </c>
      <c r="Q488" t="n">
        <v>0</v>
      </c>
      <c r="R488" s="2" t="inlineStr"/>
    </row>
    <row r="489" ht="15" customHeight="1">
      <c r="A489" t="inlineStr">
        <is>
          <t>A 53941-2019</t>
        </is>
      </c>
      <c r="B489" s="1" t="n">
        <v>43752</v>
      </c>
      <c r="C489" s="1" t="n">
        <v>45840</v>
      </c>
      <c r="D489" t="inlineStr">
        <is>
          <t>JÄMTLANDS LÄN</t>
        </is>
      </c>
      <c r="E489" t="inlineStr">
        <is>
          <t>KROKOM</t>
        </is>
      </c>
      <c r="G489" t="n">
        <v>2.6</v>
      </c>
      <c r="H489" t="n">
        <v>0</v>
      </c>
      <c r="I489" t="n">
        <v>0</v>
      </c>
      <c r="J489" t="n">
        <v>0</v>
      </c>
      <c r="K489" t="n">
        <v>0</v>
      </c>
      <c r="L489" t="n">
        <v>0</v>
      </c>
      <c r="M489" t="n">
        <v>0</v>
      </c>
      <c r="N489" t="n">
        <v>0</v>
      </c>
      <c r="O489" t="n">
        <v>0</v>
      </c>
      <c r="P489" t="n">
        <v>0</v>
      </c>
      <c r="Q489" t="n">
        <v>0</v>
      </c>
      <c r="R489" s="2" t="inlineStr"/>
    </row>
    <row r="490" ht="15" customHeight="1">
      <c r="A490" t="inlineStr">
        <is>
          <t>A 54013-2019</t>
        </is>
      </c>
      <c r="B490" s="1" t="n">
        <v>43752</v>
      </c>
      <c r="C490" s="1" t="n">
        <v>45840</v>
      </c>
      <c r="D490" t="inlineStr">
        <is>
          <t>JÄMTLANDS LÄN</t>
        </is>
      </c>
      <c r="E490" t="inlineStr">
        <is>
          <t>KROKOM</t>
        </is>
      </c>
      <c r="F490" t="inlineStr">
        <is>
          <t>Övriga Aktiebolag</t>
        </is>
      </c>
      <c r="G490" t="n">
        <v>32.6</v>
      </c>
      <c r="H490" t="n">
        <v>0</v>
      </c>
      <c r="I490" t="n">
        <v>0</v>
      </c>
      <c r="J490" t="n">
        <v>0</v>
      </c>
      <c r="K490" t="n">
        <v>0</v>
      </c>
      <c r="L490" t="n">
        <v>0</v>
      </c>
      <c r="M490" t="n">
        <v>0</v>
      </c>
      <c r="N490" t="n">
        <v>0</v>
      </c>
      <c r="O490" t="n">
        <v>0</v>
      </c>
      <c r="P490" t="n">
        <v>0</v>
      </c>
      <c r="Q490" t="n">
        <v>0</v>
      </c>
      <c r="R490" s="2" t="inlineStr"/>
    </row>
    <row r="491" ht="15" customHeight="1">
      <c r="A491" t="inlineStr">
        <is>
          <t>A 54045-2019</t>
        </is>
      </c>
      <c r="B491" s="1" t="n">
        <v>43752</v>
      </c>
      <c r="C491" s="1" t="n">
        <v>45840</v>
      </c>
      <c r="D491" t="inlineStr">
        <is>
          <t>JÄMTLANDS LÄN</t>
        </is>
      </c>
      <c r="E491" t="inlineStr">
        <is>
          <t>KROKOM</t>
        </is>
      </c>
      <c r="F491" t="inlineStr">
        <is>
          <t>Övriga Aktiebolag</t>
        </is>
      </c>
      <c r="G491" t="n">
        <v>15.2</v>
      </c>
      <c r="H491" t="n">
        <v>0</v>
      </c>
      <c r="I491" t="n">
        <v>0</v>
      </c>
      <c r="J491" t="n">
        <v>0</v>
      </c>
      <c r="K491" t="n">
        <v>0</v>
      </c>
      <c r="L491" t="n">
        <v>0</v>
      </c>
      <c r="M491" t="n">
        <v>0</v>
      </c>
      <c r="N491" t="n">
        <v>0</v>
      </c>
      <c r="O491" t="n">
        <v>0</v>
      </c>
      <c r="P491" t="n">
        <v>0</v>
      </c>
      <c r="Q491" t="n">
        <v>0</v>
      </c>
      <c r="R491" s="2" t="inlineStr"/>
    </row>
    <row r="492" ht="15" customHeight="1">
      <c r="A492" t="inlineStr">
        <is>
          <t>A 54820-2019</t>
        </is>
      </c>
      <c r="B492" s="1" t="n">
        <v>43755</v>
      </c>
      <c r="C492" s="1" t="n">
        <v>45840</v>
      </c>
      <c r="D492" t="inlineStr">
        <is>
          <t>JÄMTLANDS LÄN</t>
        </is>
      </c>
      <c r="E492" t="inlineStr">
        <is>
          <t>KROKOM</t>
        </is>
      </c>
      <c r="G492" t="n">
        <v>5.4</v>
      </c>
      <c r="H492" t="n">
        <v>0</v>
      </c>
      <c r="I492" t="n">
        <v>0</v>
      </c>
      <c r="J492" t="n">
        <v>0</v>
      </c>
      <c r="K492" t="n">
        <v>0</v>
      </c>
      <c r="L492" t="n">
        <v>0</v>
      </c>
      <c r="M492" t="n">
        <v>0</v>
      </c>
      <c r="N492" t="n">
        <v>0</v>
      </c>
      <c r="O492" t="n">
        <v>0</v>
      </c>
      <c r="P492" t="n">
        <v>0</v>
      </c>
      <c r="Q492" t="n">
        <v>0</v>
      </c>
      <c r="R492" s="2" t="inlineStr"/>
    </row>
    <row r="493" ht="15" customHeight="1">
      <c r="A493" t="inlineStr">
        <is>
          <t>A 55013-2019</t>
        </is>
      </c>
      <c r="B493" s="1" t="n">
        <v>43755</v>
      </c>
      <c r="C493" s="1" t="n">
        <v>45840</v>
      </c>
      <c r="D493" t="inlineStr">
        <is>
          <t>JÄMTLANDS LÄN</t>
        </is>
      </c>
      <c r="E493" t="inlineStr">
        <is>
          <t>KROKOM</t>
        </is>
      </c>
      <c r="G493" t="n">
        <v>4.5</v>
      </c>
      <c r="H493" t="n">
        <v>0</v>
      </c>
      <c r="I493" t="n">
        <v>0</v>
      </c>
      <c r="J493" t="n">
        <v>0</v>
      </c>
      <c r="K493" t="n">
        <v>0</v>
      </c>
      <c r="L493" t="n">
        <v>0</v>
      </c>
      <c r="M493" t="n">
        <v>0</v>
      </c>
      <c r="N493" t="n">
        <v>0</v>
      </c>
      <c r="O493" t="n">
        <v>0</v>
      </c>
      <c r="P493" t="n">
        <v>0</v>
      </c>
      <c r="Q493" t="n">
        <v>0</v>
      </c>
      <c r="R493" s="2" t="inlineStr"/>
    </row>
    <row r="494" ht="15" customHeight="1">
      <c r="A494" t="inlineStr">
        <is>
          <t>A 55804-2019</t>
        </is>
      </c>
      <c r="B494" s="1" t="n">
        <v>43759</v>
      </c>
      <c r="C494" s="1" t="n">
        <v>45840</v>
      </c>
      <c r="D494" t="inlineStr">
        <is>
          <t>JÄMTLANDS LÄN</t>
        </is>
      </c>
      <c r="E494" t="inlineStr">
        <is>
          <t>KROKOM</t>
        </is>
      </c>
      <c r="G494" t="n">
        <v>1.9</v>
      </c>
      <c r="H494" t="n">
        <v>0</v>
      </c>
      <c r="I494" t="n">
        <v>0</v>
      </c>
      <c r="J494" t="n">
        <v>0</v>
      </c>
      <c r="K494" t="n">
        <v>0</v>
      </c>
      <c r="L494" t="n">
        <v>0</v>
      </c>
      <c r="M494" t="n">
        <v>0</v>
      </c>
      <c r="N494" t="n">
        <v>0</v>
      </c>
      <c r="O494" t="n">
        <v>0</v>
      </c>
      <c r="P494" t="n">
        <v>0</v>
      </c>
      <c r="Q494" t="n">
        <v>0</v>
      </c>
      <c r="R494" s="2" t="inlineStr"/>
    </row>
    <row r="495" ht="15" customHeight="1">
      <c r="A495" t="inlineStr">
        <is>
          <t>A 56672-2019</t>
        </is>
      </c>
      <c r="B495" s="1" t="n">
        <v>43759</v>
      </c>
      <c r="C495" s="1" t="n">
        <v>45840</v>
      </c>
      <c r="D495" t="inlineStr">
        <is>
          <t>JÄMTLANDS LÄN</t>
        </is>
      </c>
      <c r="E495" t="inlineStr">
        <is>
          <t>KROKOM</t>
        </is>
      </c>
      <c r="G495" t="n">
        <v>0.4</v>
      </c>
      <c r="H495" t="n">
        <v>0</v>
      </c>
      <c r="I495" t="n">
        <v>0</v>
      </c>
      <c r="J495" t="n">
        <v>0</v>
      </c>
      <c r="K495" t="n">
        <v>0</v>
      </c>
      <c r="L495" t="n">
        <v>0</v>
      </c>
      <c r="M495" t="n">
        <v>0</v>
      </c>
      <c r="N495" t="n">
        <v>0</v>
      </c>
      <c r="O495" t="n">
        <v>0</v>
      </c>
      <c r="P495" t="n">
        <v>0</v>
      </c>
      <c r="Q495" t="n">
        <v>0</v>
      </c>
      <c r="R495" s="2" t="inlineStr"/>
    </row>
    <row r="496" ht="15" customHeight="1">
      <c r="A496" t="inlineStr">
        <is>
          <t>A 56321-2019</t>
        </is>
      </c>
      <c r="B496" s="1" t="n">
        <v>43762</v>
      </c>
      <c r="C496" s="1" t="n">
        <v>45840</v>
      </c>
      <c r="D496" t="inlineStr">
        <is>
          <t>JÄMTLANDS LÄN</t>
        </is>
      </c>
      <c r="E496" t="inlineStr">
        <is>
          <t>KROKOM</t>
        </is>
      </c>
      <c r="G496" t="n">
        <v>1.7</v>
      </c>
      <c r="H496" t="n">
        <v>0</v>
      </c>
      <c r="I496" t="n">
        <v>0</v>
      </c>
      <c r="J496" t="n">
        <v>0</v>
      </c>
      <c r="K496" t="n">
        <v>0</v>
      </c>
      <c r="L496" t="n">
        <v>0</v>
      </c>
      <c r="M496" t="n">
        <v>0</v>
      </c>
      <c r="N496" t="n">
        <v>0</v>
      </c>
      <c r="O496" t="n">
        <v>0</v>
      </c>
      <c r="P496" t="n">
        <v>0</v>
      </c>
      <c r="Q496" t="n">
        <v>0</v>
      </c>
      <c r="R496" s="2" t="inlineStr"/>
    </row>
    <row r="497" ht="15" customHeight="1">
      <c r="A497" t="inlineStr">
        <is>
          <t>A 56397-2019</t>
        </is>
      </c>
      <c r="B497" s="1" t="n">
        <v>43762</v>
      </c>
      <c r="C497" s="1" t="n">
        <v>45840</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56320-2019</t>
        </is>
      </c>
      <c r="B498" s="1" t="n">
        <v>43762</v>
      </c>
      <c r="C498" s="1" t="n">
        <v>45840</v>
      </c>
      <c r="D498" t="inlineStr">
        <is>
          <t>JÄMTLANDS LÄN</t>
        </is>
      </c>
      <c r="E498" t="inlineStr">
        <is>
          <t>KROKOM</t>
        </is>
      </c>
      <c r="G498" t="n">
        <v>2.3</v>
      </c>
      <c r="H498" t="n">
        <v>0</v>
      </c>
      <c r="I498" t="n">
        <v>0</v>
      </c>
      <c r="J498" t="n">
        <v>0</v>
      </c>
      <c r="K498" t="n">
        <v>0</v>
      </c>
      <c r="L498" t="n">
        <v>0</v>
      </c>
      <c r="M498" t="n">
        <v>0</v>
      </c>
      <c r="N498" t="n">
        <v>0</v>
      </c>
      <c r="O498" t="n">
        <v>0</v>
      </c>
      <c r="P498" t="n">
        <v>0</v>
      </c>
      <c r="Q498" t="n">
        <v>0</v>
      </c>
      <c r="R498" s="2" t="inlineStr"/>
    </row>
    <row r="499" ht="15" customHeight="1">
      <c r="A499" t="inlineStr">
        <is>
          <t>A 56403-2019</t>
        </is>
      </c>
      <c r="B499" s="1" t="n">
        <v>43762</v>
      </c>
      <c r="C499" s="1" t="n">
        <v>45840</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56510-2019</t>
        </is>
      </c>
      <c r="B500" s="1" t="n">
        <v>43762</v>
      </c>
      <c r="C500" s="1" t="n">
        <v>45840</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56332-2019</t>
        </is>
      </c>
      <c r="B501" s="1" t="n">
        <v>43762</v>
      </c>
      <c r="C501" s="1" t="n">
        <v>45840</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57796-2019</t>
        </is>
      </c>
      <c r="B502" s="1" t="n">
        <v>43762</v>
      </c>
      <c r="C502" s="1" t="n">
        <v>45840</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56763-2019</t>
        </is>
      </c>
      <c r="B503" s="1" t="n">
        <v>43763</v>
      </c>
      <c r="C503" s="1" t="n">
        <v>45840</v>
      </c>
      <c r="D503" t="inlineStr">
        <is>
          <t>JÄMTLANDS LÄN</t>
        </is>
      </c>
      <c r="E503" t="inlineStr">
        <is>
          <t>KROKOM</t>
        </is>
      </c>
      <c r="F503" t="inlineStr">
        <is>
          <t>Övriga Aktiebolag</t>
        </is>
      </c>
      <c r="G503" t="n">
        <v>29.4</v>
      </c>
      <c r="H503" t="n">
        <v>0</v>
      </c>
      <c r="I503" t="n">
        <v>0</v>
      </c>
      <c r="J503" t="n">
        <v>0</v>
      </c>
      <c r="K503" t="n">
        <v>0</v>
      </c>
      <c r="L503" t="n">
        <v>0</v>
      </c>
      <c r="M503" t="n">
        <v>0</v>
      </c>
      <c r="N503" t="n">
        <v>0</v>
      </c>
      <c r="O503" t="n">
        <v>0</v>
      </c>
      <c r="P503" t="n">
        <v>0</v>
      </c>
      <c r="Q503" t="n">
        <v>0</v>
      </c>
      <c r="R503" s="2" t="inlineStr"/>
    </row>
    <row r="504" ht="15" customHeight="1">
      <c r="A504" t="inlineStr">
        <is>
          <t>A 57732-2019</t>
        </is>
      </c>
      <c r="B504" s="1" t="n">
        <v>43768</v>
      </c>
      <c r="C504" s="1" t="n">
        <v>45840</v>
      </c>
      <c r="D504" t="inlineStr">
        <is>
          <t>JÄMTLANDS LÄN</t>
        </is>
      </c>
      <c r="E504" t="inlineStr">
        <is>
          <t>KROKOM</t>
        </is>
      </c>
      <c r="G504" t="n">
        <v>4.1</v>
      </c>
      <c r="H504" t="n">
        <v>0</v>
      </c>
      <c r="I504" t="n">
        <v>0</v>
      </c>
      <c r="J504" t="n">
        <v>0</v>
      </c>
      <c r="K504" t="n">
        <v>0</v>
      </c>
      <c r="L504" t="n">
        <v>0</v>
      </c>
      <c r="M504" t="n">
        <v>0</v>
      </c>
      <c r="N504" t="n">
        <v>0</v>
      </c>
      <c r="O504" t="n">
        <v>0</v>
      </c>
      <c r="P504" t="n">
        <v>0</v>
      </c>
      <c r="Q504" t="n">
        <v>0</v>
      </c>
      <c r="R504" s="2" t="inlineStr"/>
    </row>
    <row r="505" ht="15" customHeight="1">
      <c r="A505" t="inlineStr">
        <is>
          <t>A 58235-2019</t>
        </is>
      </c>
      <c r="B505" s="1" t="n">
        <v>43770</v>
      </c>
      <c r="C505" s="1" t="n">
        <v>45840</v>
      </c>
      <c r="D505" t="inlineStr">
        <is>
          <t>JÄMTLANDS LÄN</t>
        </is>
      </c>
      <c r="E505" t="inlineStr">
        <is>
          <t>KROKOM</t>
        </is>
      </c>
      <c r="G505" t="n">
        <v>47.9</v>
      </c>
      <c r="H505" t="n">
        <v>0</v>
      </c>
      <c r="I505" t="n">
        <v>0</v>
      </c>
      <c r="J505" t="n">
        <v>0</v>
      </c>
      <c r="K505" t="n">
        <v>0</v>
      </c>
      <c r="L505" t="n">
        <v>0</v>
      </c>
      <c r="M505" t="n">
        <v>0</v>
      </c>
      <c r="N505" t="n">
        <v>0</v>
      </c>
      <c r="O505" t="n">
        <v>0</v>
      </c>
      <c r="P505" t="n">
        <v>0</v>
      </c>
      <c r="Q505" t="n">
        <v>0</v>
      </c>
      <c r="R505" s="2" t="inlineStr"/>
    </row>
    <row r="506" ht="15" customHeight="1">
      <c r="A506" t="inlineStr">
        <is>
          <t>A 58778-2019</t>
        </is>
      </c>
      <c r="B506" s="1" t="n">
        <v>43773</v>
      </c>
      <c r="C506" s="1" t="n">
        <v>45840</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59027-2019</t>
        </is>
      </c>
      <c r="B507" s="1" t="n">
        <v>43774</v>
      </c>
      <c r="C507" s="1" t="n">
        <v>45840</v>
      </c>
      <c r="D507" t="inlineStr">
        <is>
          <t>JÄMTLANDS LÄN</t>
        </is>
      </c>
      <c r="E507" t="inlineStr">
        <is>
          <t>KROKOM</t>
        </is>
      </c>
      <c r="F507" t="inlineStr">
        <is>
          <t>Övriga Aktiebolag</t>
        </is>
      </c>
      <c r="G507" t="n">
        <v>19.6</v>
      </c>
      <c r="H507" t="n">
        <v>0</v>
      </c>
      <c r="I507" t="n">
        <v>0</v>
      </c>
      <c r="J507" t="n">
        <v>0</v>
      </c>
      <c r="K507" t="n">
        <v>0</v>
      </c>
      <c r="L507" t="n">
        <v>0</v>
      </c>
      <c r="M507" t="n">
        <v>0</v>
      </c>
      <c r="N507" t="n">
        <v>0</v>
      </c>
      <c r="O507" t="n">
        <v>0</v>
      </c>
      <c r="P507" t="n">
        <v>0</v>
      </c>
      <c r="Q507" t="n">
        <v>0</v>
      </c>
      <c r="R507" s="2" t="inlineStr"/>
    </row>
    <row r="508" ht="15" customHeight="1">
      <c r="A508" t="inlineStr">
        <is>
          <t>A 59588-2019</t>
        </is>
      </c>
      <c r="B508" s="1" t="n">
        <v>43776</v>
      </c>
      <c r="C508" s="1" t="n">
        <v>45840</v>
      </c>
      <c r="D508" t="inlineStr">
        <is>
          <t>JÄMTLANDS LÄN</t>
        </is>
      </c>
      <c r="E508" t="inlineStr">
        <is>
          <t>KROKOM</t>
        </is>
      </c>
      <c r="F508" t="inlineStr">
        <is>
          <t>Övriga Aktiebolag</t>
        </is>
      </c>
      <c r="G508" t="n">
        <v>9</v>
      </c>
      <c r="H508" t="n">
        <v>0</v>
      </c>
      <c r="I508" t="n">
        <v>0</v>
      </c>
      <c r="J508" t="n">
        <v>0</v>
      </c>
      <c r="K508" t="n">
        <v>0</v>
      </c>
      <c r="L508" t="n">
        <v>0</v>
      </c>
      <c r="M508" t="n">
        <v>0</v>
      </c>
      <c r="N508" t="n">
        <v>0</v>
      </c>
      <c r="O508" t="n">
        <v>0</v>
      </c>
      <c r="P508" t="n">
        <v>0</v>
      </c>
      <c r="Q508" t="n">
        <v>0</v>
      </c>
      <c r="R508" s="2" t="inlineStr"/>
    </row>
    <row r="509" ht="15" customHeight="1">
      <c r="A509" t="inlineStr">
        <is>
          <t>A 59672-2019</t>
        </is>
      </c>
      <c r="B509" s="1" t="n">
        <v>43776</v>
      </c>
      <c r="C509" s="1" t="n">
        <v>45840</v>
      </c>
      <c r="D509" t="inlineStr">
        <is>
          <t>JÄMTLANDS LÄN</t>
        </is>
      </c>
      <c r="E509" t="inlineStr">
        <is>
          <t>KROKOM</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60867-2019</t>
        </is>
      </c>
      <c r="B510" s="1" t="n">
        <v>43781</v>
      </c>
      <c r="C510" s="1" t="n">
        <v>45840</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61018-2019</t>
        </is>
      </c>
      <c r="B511" s="1" t="n">
        <v>43782</v>
      </c>
      <c r="C511" s="1" t="n">
        <v>45840</v>
      </c>
      <c r="D511" t="inlineStr">
        <is>
          <t>JÄMTLANDS LÄN</t>
        </is>
      </c>
      <c r="E511" t="inlineStr">
        <is>
          <t>KROKOM</t>
        </is>
      </c>
      <c r="F511" t="inlineStr">
        <is>
          <t>Övriga Aktiebolag</t>
        </is>
      </c>
      <c r="G511" t="n">
        <v>18.6</v>
      </c>
      <c r="H511" t="n">
        <v>0</v>
      </c>
      <c r="I511" t="n">
        <v>0</v>
      </c>
      <c r="J511" t="n">
        <v>0</v>
      </c>
      <c r="K511" t="n">
        <v>0</v>
      </c>
      <c r="L511" t="n">
        <v>0</v>
      </c>
      <c r="M511" t="n">
        <v>0</v>
      </c>
      <c r="N511" t="n">
        <v>0</v>
      </c>
      <c r="O511" t="n">
        <v>0</v>
      </c>
      <c r="P511" t="n">
        <v>0</v>
      </c>
      <c r="Q511" t="n">
        <v>0</v>
      </c>
      <c r="R511" s="2" t="inlineStr"/>
    </row>
    <row r="512" ht="15" customHeight="1">
      <c r="A512" t="inlineStr">
        <is>
          <t>A 61424-2019</t>
        </is>
      </c>
      <c r="B512" s="1" t="n">
        <v>43783</v>
      </c>
      <c r="C512" s="1" t="n">
        <v>45840</v>
      </c>
      <c r="D512" t="inlineStr">
        <is>
          <t>JÄMTLANDS LÄN</t>
        </is>
      </c>
      <c r="E512" t="inlineStr">
        <is>
          <t>KROKOM</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61472-2019</t>
        </is>
      </c>
      <c r="B513" s="1" t="n">
        <v>43783</v>
      </c>
      <c r="C513" s="1" t="n">
        <v>45840</v>
      </c>
      <c r="D513" t="inlineStr">
        <is>
          <t>JÄMTLANDS LÄN</t>
        </is>
      </c>
      <c r="E513" t="inlineStr">
        <is>
          <t>KROKOM</t>
        </is>
      </c>
      <c r="G513" t="n">
        <v>13.8</v>
      </c>
      <c r="H513" t="n">
        <v>0</v>
      </c>
      <c r="I513" t="n">
        <v>0</v>
      </c>
      <c r="J513" t="n">
        <v>0</v>
      </c>
      <c r="K513" t="n">
        <v>0</v>
      </c>
      <c r="L513" t="n">
        <v>0</v>
      </c>
      <c r="M513" t="n">
        <v>0</v>
      </c>
      <c r="N513" t="n">
        <v>0</v>
      </c>
      <c r="O513" t="n">
        <v>0</v>
      </c>
      <c r="P513" t="n">
        <v>0</v>
      </c>
      <c r="Q513" t="n">
        <v>0</v>
      </c>
      <c r="R513" s="2" t="inlineStr"/>
    </row>
    <row r="514" ht="15" customHeight="1">
      <c r="A514" t="inlineStr">
        <is>
          <t>A 62400-2019</t>
        </is>
      </c>
      <c r="B514" s="1" t="n">
        <v>43783</v>
      </c>
      <c r="C514" s="1" t="n">
        <v>45840</v>
      </c>
      <c r="D514" t="inlineStr">
        <is>
          <t>JÄMTLANDS LÄN</t>
        </is>
      </c>
      <c r="E514" t="inlineStr">
        <is>
          <t>KROKOM</t>
        </is>
      </c>
      <c r="G514" t="n">
        <v>6.4</v>
      </c>
      <c r="H514" t="n">
        <v>0</v>
      </c>
      <c r="I514" t="n">
        <v>0</v>
      </c>
      <c r="J514" t="n">
        <v>0</v>
      </c>
      <c r="K514" t="n">
        <v>0</v>
      </c>
      <c r="L514" t="n">
        <v>0</v>
      </c>
      <c r="M514" t="n">
        <v>0</v>
      </c>
      <c r="N514" t="n">
        <v>0</v>
      </c>
      <c r="O514" t="n">
        <v>0</v>
      </c>
      <c r="P514" t="n">
        <v>0</v>
      </c>
      <c r="Q514" t="n">
        <v>0</v>
      </c>
      <c r="R514" s="2" t="inlineStr"/>
    </row>
    <row r="515" ht="15" customHeight="1">
      <c r="A515" t="inlineStr">
        <is>
          <t>A 62927-2019</t>
        </is>
      </c>
      <c r="B515" s="1" t="n">
        <v>43784</v>
      </c>
      <c r="C515" s="1" t="n">
        <v>45840</v>
      </c>
      <c r="D515" t="inlineStr">
        <is>
          <t>JÄMTLANDS LÄN</t>
        </is>
      </c>
      <c r="E515" t="inlineStr">
        <is>
          <t>KROKOM</t>
        </is>
      </c>
      <c r="G515" t="n">
        <v>9</v>
      </c>
      <c r="H515" t="n">
        <v>0</v>
      </c>
      <c r="I515" t="n">
        <v>0</v>
      </c>
      <c r="J515" t="n">
        <v>0</v>
      </c>
      <c r="K515" t="n">
        <v>0</v>
      </c>
      <c r="L515" t="n">
        <v>0</v>
      </c>
      <c r="M515" t="n">
        <v>0</v>
      </c>
      <c r="N515" t="n">
        <v>0</v>
      </c>
      <c r="O515" t="n">
        <v>0</v>
      </c>
      <c r="P515" t="n">
        <v>0</v>
      </c>
      <c r="Q515" t="n">
        <v>0</v>
      </c>
      <c r="R515" s="2" t="inlineStr"/>
    </row>
    <row r="516" ht="15" customHeight="1">
      <c r="A516" t="inlineStr">
        <is>
          <t>A 62056-2019</t>
        </is>
      </c>
      <c r="B516" s="1" t="n">
        <v>43787</v>
      </c>
      <c r="C516" s="1" t="n">
        <v>45840</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62110-2019</t>
        </is>
      </c>
      <c r="B517" s="1" t="n">
        <v>43787</v>
      </c>
      <c r="C517" s="1" t="n">
        <v>45840</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62194-2019</t>
        </is>
      </c>
      <c r="B518" s="1" t="n">
        <v>43787</v>
      </c>
      <c r="C518" s="1" t="n">
        <v>45840</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62187-2019</t>
        </is>
      </c>
      <c r="B519" s="1" t="n">
        <v>43787</v>
      </c>
      <c r="C519" s="1" t="n">
        <v>45840</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62656-2019</t>
        </is>
      </c>
      <c r="B520" s="1" t="n">
        <v>43789</v>
      </c>
      <c r="C520" s="1" t="n">
        <v>45840</v>
      </c>
      <c r="D520" t="inlineStr">
        <is>
          <t>JÄMTLANDS LÄN</t>
        </is>
      </c>
      <c r="E520" t="inlineStr">
        <is>
          <t>KROKOM</t>
        </is>
      </c>
      <c r="F520" t="inlineStr">
        <is>
          <t>Övriga Aktiebolag</t>
        </is>
      </c>
      <c r="G520" t="n">
        <v>58.5</v>
      </c>
      <c r="H520" t="n">
        <v>0</v>
      </c>
      <c r="I520" t="n">
        <v>0</v>
      </c>
      <c r="J520" t="n">
        <v>0</v>
      </c>
      <c r="K520" t="n">
        <v>0</v>
      </c>
      <c r="L520" t="n">
        <v>0</v>
      </c>
      <c r="M520" t="n">
        <v>0</v>
      </c>
      <c r="N520" t="n">
        <v>0</v>
      </c>
      <c r="O520" t="n">
        <v>0</v>
      </c>
      <c r="P520" t="n">
        <v>0</v>
      </c>
      <c r="Q520" t="n">
        <v>0</v>
      </c>
      <c r="R520" s="2" t="inlineStr"/>
    </row>
    <row r="521" ht="15" customHeight="1">
      <c r="A521" t="inlineStr">
        <is>
          <t>A 62568-2019</t>
        </is>
      </c>
      <c r="B521" s="1" t="n">
        <v>43789</v>
      </c>
      <c r="C521" s="1" t="n">
        <v>45840</v>
      </c>
      <c r="D521" t="inlineStr">
        <is>
          <t>JÄMTLANDS LÄN</t>
        </is>
      </c>
      <c r="E521" t="inlineStr">
        <is>
          <t>KROKOM</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62864-2019</t>
        </is>
      </c>
      <c r="B522" s="1" t="n">
        <v>43790</v>
      </c>
      <c r="C522" s="1" t="n">
        <v>45840</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63987-2019</t>
        </is>
      </c>
      <c r="B523" s="1" t="n">
        <v>43791</v>
      </c>
      <c r="C523" s="1" t="n">
        <v>45840</v>
      </c>
      <c r="D523" t="inlineStr">
        <is>
          <t>JÄMTLANDS LÄN</t>
        </is>
      </c>
      <c r="E523" t="inlineStr">
        <is>
          <t>KROKOM</t>
        </is>
      </c>
      <c r="G523" t="n">
        <v>2</v>
      </c>
      <c r="H523" t="n">
        <v>0</v>
      </c>
      <c r="I523" t="n">
        <v>0</v>
      </c>
      <c r="J523" t="n">
        <v>0</v>
      </c>
      <c r="K523" t="n">
        <v>0</v>
      </c>
      <c r="L523" t="n">
        <v>0</v>
      </c>
      <c r="M523" t="n">
        <v>0</v>
      </c>
      <c r="N523" t="n">
        <v>0</v>
      </c>
      <c r="O523" t="n">
        <v>0</v>
      </c>
      <c r="P523" t="n">
        <v>0</v>
      </c>
      <c r="Q523" t="n">
        <v>0</v>
      </c>
      <c r="R523" s="2" t="inlineStr"/>
    </row>
    <row r="524" ht="15" customHeight="1">
      <c r="A524" t="inlineStr">
        <is>
          <t>A 63338-2019</t>
        </is>
      </c>
      <c r="B524" s="1" t="n">
        <v>43794</v>
      </c>
      <c r="C524" s="1" t="n">
        <v>45840</v>
      </c>
      <c r="D524" t="inlineStr">
        <is>
          <t>JÄMTLANDS LÄN</t>
        </is>
      </c>
      <c r="E524" t="inlineStr">
        <is>
          <t>KROKOM</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63345-2019</t>
        </is>
      </c>
      <c r="B525" s="1" t="n">
        <v>43794</v>
      </c>
      <c r="C525" s="1" t="n">
        <v>45840</v>
      </c>
      <c r="D525" t="inlineStr">
        <is>
          <t>JÄMTLANDS LÄN</t>
        </is>
      </c>
      <c r="E525" t="inlineStr">
        <is>
          <t>KROKOM</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65065-2019</t>
        </is>
      </c>
      <c r="B526" s="1" t="n">
        <v>43801</v>
      </c>
      <c r="C526" s="1" t="n">
        <v>45840</v>
      </c>
      <c r="D526" t="inlineStr">
        <is>
          <t>JÄMTLANDS LÄN</t>
        </is>
      </c>
      <c r="E526" t="inlineStr">
        <is>
          <t>KROKOM</t>
        </is>
      </c>
      <c r="F526" t="inlineStr">
        <is>
          <t>Övriga Aktiebolag</t>
        </is>
      </c>
      <c r="G526" t="n">
        <v>30.7</v>
      </c>
      <c r="H526" t="n">
        <v>0</v>
      </c>
      <c r="I526" t="n">
        <v>0</v>
      </c>
      <c r="J526" t="n">
        <v>0</v>
      </c>
      <c r="K526" t="n">
        <v>0</v>
      </c>
      <c r="L526" t="n">
        <v>0</v>
      </c>
      <c r="M526" t="n">
        <v>0</v>
      </c>
      <c r="N526" t="n">
        <v>0</v>
      </c>
      <c r="O526" t="n">
        <v>0</v>
      </c>
      <c r="P526" t="n">
        <v>0</v>
      </c>
      <c r="Q526" t="n">
        <v>0</v>
      </c>
      <c r="R526" s="2" t="inlineStr"/>
    </row>
    <row r="527" ht="15" customHeight="1">
      <c r="A527" t="inlineStr">
        <is>
          <t>A 65323-2019</t>
        </is>
      </c>
      <c r="B527" s="1" t="n">
        <v>43802</v>
      </c>
      <c r="C527" s="1" t="n">
        <v>45840</v>
      </c>
      <c r="D527" t="inlineStr">
        <is>
          <t>JÄMTLANDS LÄN</t>
        </is>
      </c>
      <c r="E527" t="inlineStr">
        <is>
          <t>KROKOM</t>
        </is>
      </c>
      <c r="G527" t="n">
        <v>1.8</v>
      </c>
      <c r="H527" t="n">
        <v>0</v>
      </c>
      <c r="I527" t="n">
        <v>0</v>
      </c>
      <c r="J527" t="n">
        <v>0</v>
      </c>
      <c r="K527" t="n">
        <v>0</v>
      </c>
      <c r="L527" t="n">
        <v>0</v>
      </c>
      <c r="M527" t="n">
        <v>0</v>
      </c>
      <c r="N527" t="n">
        <v>0</v>
      </c>
      <c r="O527" t="n">
        <v>0</v>
      </c>
      <c r="P527" t="n">
        <v>0</v>
      </c>
      <c r="Q527" t="n">
        <v>0</v>
      </c>
      <c r="R527" s="2" t="inlineStr"/>
    </row>
    <row r="528" ht="15" customHeight="1">
      <c r="A528" t="inlineStr">
        <is>
          <t>A 65322-2019</t>
        </is>
      </c>
      <c r="B528" s="1" t="n">
        <v>43802</v>
      </c>
      <c r="C528" s="1" t="n">
        <v>45840</v>
      </c>
      <c r="D528" t="inlineStr">
        <is>
          <t>JÄMTLANDS LÄN</t>
        </is>
      </c>
      <c r="E528" t="inlineStr">
        <is>
          <t>KROKOM</t>
        </is>
      </c>
      <c r="F528" t="inlineStr">
        <is>
          <t>SCA</t>
        </is>
      </c>
      <c r="G528" t="n">
        <v>6</v>
      </c>
      <c r="H528" t="n">
        <v>0</v>
      </c>
      <c r="I528" t="n">
        <v>0</v>
      </c>
      <c r="J528" t="n">
        <v>0</v>
      </c>
      <c r="K528" t="n">
        <v>0</v>
      </c>
      <c r="L528" t="n">
        <v>0</v>
      </c>
      <c r="M528" t="n">
        <v>0</v>
      </c>
      <c r="N528" t="n">
        <v>0</v>
      </c>
      <c r="O528" t="n">
        <v>0</v>
      </c>
      <c r="P528" t="n">
        <v>0</v>
      </c>
      <c r="Q528" t="n">
        <v>0</v>
      </c>
      <c r="R528" s="2" t="inlineStr"/>
    </row>
    <row r="529" ht="15" customHeight="1">
      <c r="A529" t="inlineStr">
        <is>
          <t>A 65786-2019</t>
        </is>
      </c>
      <c r="B529" s="1" t="n">
        <v>43804</v>
      </c>
      <c r="C529" s="1" t="n">
        <v>45840</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65780-2019</t>
        </is>
      </c>
      <c r="B530" s="1" t="n">
        <v>43804</v>
      </c>
      <c r="C530" s="1" t="n">
        <v>45840</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66051-2019</t>
        </is>
      </c>
      <c r="B531" s="1" t="n">
        <v>43805</v>
      </c>
      <c r="C531" s="1" t="n">
        <v>45840</v>
      </c>
      <c r="D531" t="inlineStr">
        <is>
          <t>JÄMTLANDS LÄN</t>
        </is>
      </c>
      <c r="E531" t="inlineStr">
        <is>
          <t>KROKOM</t>
        </is>
      </c>
      <c r="G531" t="n">
        <v>12.1</v>
      </c>
      <c r="H531" t="n">
        <v>0</v>
      </c>
      <c r="I531" t="n">
        <v>0</v>
      </c>
      <c r="J531" t="n">
        <v>0</v>
      </c>
      <c r="K531" t="n">
        <v>0</v>
      </c>
      <c r="L531" t="n">
        <v>0</v>
      </c>
      <c r="M531" t="n">
        <v>0</v>
      </c>
      <c r="N531" t="n">
        <v>0</v>
      </c>
      <c r="O531" t="n">
        <v>0</v>
      </c>
      <c r="P531" t="n">
        <v>0</v>
      </c>
      <c r="Q531" t="n">
        <v>0</v>
      </c>
      <c r="R531" s="2" t="inlineStr"/>
    </row>
    <row r="532" ht="15" customHeight="1">
      <c r="A532" t="inlineStr">
        <is>
          <t>A 66444-2019</t>
        </is>
      </c>
      <c r="B532" s="1" t="n">
        <v>43809</v>
      </c>
      <c r="C532" s="1" t="n">
        <v>45840</v>
      </c>
      <c r="D532" t="inlineStr">
        <is>
          <t>JÄMTLANDS LÄN</t>
        </is>
      </c>
      <c r="E532" t="inlineStr">
        <is>
          <t>KROKOM</t>
        </is>
      </c>
      <c r="G532" t="n">
        <v>1</v>
      </c>
      <c r="H532" t="n">
        <v>0</v>
      </c>
      <c r="I532" t="n">
        <v>0</v>
      </c>
      <c r="J532" t="n">
        <v>0</v>
      </c>
      <c r="K532" t="n">
        <v>0</v>
      </c>
      <c r="L532" t="n">
        <v>0</v>
      </c>
      <c r="M532" t="n">
        <v>0</v>
      </c>
      <c r="N532" t="n">
        <v>0</v>
      </c>
      <c r="O532" t="n">
        <v>0</v>
      </c>
      <c r="P532" t="n">
        <v>0</v>
      </c>
      <c r="Q532" t="n">
        <v>0</v>
      </c>
      <c r="R532" s="2" t="inlineStr"/>
    </row>
    <row r="533" ht="15" customHeight="1">
      <c r="A533" t="inlineStr">
        <is>
          <t>A 67323-2019</t>
        </is>
      </c>
      <c r="B533" s="1" t="n">
        <v>43810</v>
      </c>
      <c r="C533" s="1" t="n">
        <v>45840</v>
      </c>
      <c r="D533" t="inlineStr">
        <is>
          <t>JÄMTLANDS LÄN</t>
        </is>
      </c>
      <c r="E533" t="inlineStr">
        <is>
          <t>KROKOM</t>
        </is>
      </c>
      <c r="G533" t="n">
        <v>4.3</v>
      </c>
      <c r="H533" t="n">
        <v>0</v>
      </c>
      <c r="I533" t="n">
        <v>0</v>
      </c>
      <c r="J533" t="n">
        <v>0</v>
      </c>
      <c r="K533" t="n">
        <v>0</v>
      </c>
      <c r="L533" t="n">
        <v>0</v>
      </c>
      <c r="M533" t="n">
        <v>0</v>
      </c>
      <c r="N533" t="n">
        <v>0</v>
      </c>
      <c r="O533" t="n">
        <v>0</v>
      </c>
      <c r="P533" t="n">
        <v>0</v>
      </c>
      <c r="Q533" t="n">
        <v>0</v>
      </c>
      <c r="R533" s="2" t="inlineStr"/>
    </row>
    <row r="534" ht="15" customHeight="1">
      <c r="A534" t="inlineStr">
        <is>
          <t>A 67098-2019</t>
        </is>
      </c>
      <c r="B534" s="1" t="n">
        <v>43811</v>
      </c>
      <c r="C534" s="1" t="n">
        <v>45840</v>
      </c>
      <c r="D534" t="inlineStr">
        <is>
          <t>JÄMTLANDS LÄN</t>
        </is>
      </c>
      <c r="E534" t="inlineStr">
        <is>
          <t>KROKOM</t>
        </is>
      </c>
      <c r="F534" t="inlineStr">
        <is>
          <t>Övriga Aktiebolag</t>
        </is>
      </c>
      <c r="G534" t="n">
        <v>0.4</v>
      </c>
      <c r="H534" t="n">
        <v>0</v>
      </c>
      <c r="I534" t="n">
        <v>0</v>
      </c>
      <c r="J534" t="n">
        <v>0</v>
      </c>
      <c r="K534" t="n">
        <v>0</v>
      </c>
      <c r="L534" t="n">
        <v>0</v>
      </c>
      <c r="M534" t="n">
        <v>0</v>
      </c>
      <c r="N534" t="n">
        <v>0</v>
      </c>
      <c r="O534" t="n">
        <v>0</v>
      </c>
      <c r="P534" t="n">
        <v>0</v>
      </c>
      <c r="Q534" t="n">
        <v>0</v>
      </c>
      <c r="R534" s="2" t="inlineStr"/>
    </row>
    <row r="535" ht="15" customHeight="1">
      <c r="A535" t="inlineStr">
        <is>
          <t>A 67102-2019</t>
        </is>
      </c>
      <c r="B535" s="1" t="n">
        <v>43811</v>
      </c>
      <c r="C535" s="1" t="n">
        <v>45840</v>
      </c>
      <c r="D535" t="inlineStr">
        <is>
          <t>JÄMTLANDS LÄN</t>
        </is>
      </c>
      <c r="E535" t="inlineStr">
        <is>
          <t>KROKOM</t>
        </is>
      </c>
      <c r="F535" t="inlineStr">
        <is>
          <t>Övriga Aktiebolag</t>
        </is>
      </c>
      <c r="G535" t="n">
        <v>0.5</v>
      </c>
      <c r="H535" t="n">
        <v>0</v>
      </c>
      <c r="I535" t="n">
        <v>0</v>
      </c>
      <c r="J535" t="n">
        <v>0</v>
      </c>
      <c r="K535" t="n">
        <v>0</v>
      </c>
      <c r="L535" t="n">
        <v>0</v>
      </c>
      <c r="M535" t="n">
        <v>0</v>
      </c>
      <c r="N535" t="n">
        <v>0</v>
      </c>
      <c r="O535" t="n">
        <v>0</v>
      </c>
      <c r="P535" t="n">
        <v>0</v>
      </c>
      <c r="Q535" t="n">
        <v>0</v>
      </c>
      <c r="R535" s="2" t="inlineStr"/>
    </row>
    <row r="536" ht="15" customHeight="1">
      <c r="A536" t="inlineStr">
        <is>
          <t>A 67071-2019</t>
        </is>
      </c>
      <c r="B536" s="1" t="n">
        <v>43811</v>
      </c>
      <c r="C536" s="1" t="n">
        <v>45840</v>
      </c>
      <c r="D536" t="inlineStr">
        <is>
          <t>JÄMTLANDS LÄN</t>
        </is>
      </c>
      <c r="E536" t="inlineStr">
        <is>
          <t>KROKOM</t>
        </is>
      </c>
      <c r="F536" t="inlineStr">
        <is>
          <t>Övriga Aktiebolag</t>
        </is>
      </c>
      <c r="G536" t="n">
        <v>0.4</v>
      </c>
      <c r="H536" t="n">
        <v>0</v>
      </c>
      <c r="I536" t="n">
        <v>0</v>
      </c>
      <c r="J536" t="n">
        <v>0</v>
      </c>
      <c r="K536" t="n">
        <v>0</v>
      </c>
      <c r="L536" t="n">
        <v>0</v>
      </c>
      <c r="M536" t="n">
        <v>0</v>
      </c>
      <c r="N536" t="n">
        <v>0</v>
      </c>
      <c r="O536" t="n">
        <v>0</v>
      </c>
      <c r="P536" t="n">
        <v>0</v>
      </c>
      <c r="Q536" t="n">
        <v>0</v>
      </c>
      <c r="R536" s="2" t="inlineStr"/>
    </row>
    <row r="537" ht="15" customHeight="1">
      <c r="A537" t="inlineStr">
        <is>
          <t>A 67081-2019</t>
        </is>
      </c>
      <c r="B537" s="1" t="n">
        <v>43811</v>
      </c>
      <c r="C537" s="1" t="n">
        <v>45840</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68480-2019</t>
        </is>
      </c>
      <c r="B538" s="1" t="n">
        <v>43811</v>
      </c>
      <c r="C538" s="1" t="n">
        <v>45840</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68081-2019</t>
        </is>
      </c>
      <c r="B539" s="1" t="n">
        <v>43816</v>
      </c>
      <c r="C539" s="1" t="n">
        <v>45840</v>
      </c>
      <c r="D539" t="inlineStr">
        <is>
          <t>JÄMTLANDS LÄN</t>
        </is>
      </c>
      <c r="E539" t="inlineStr">
        <is>
          <t>KROKOM</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908-2020</t>
        </is>
      </c>
      <c r="B540" s="1" t="n">
        <v>43818</v>
      </c>
      <c r="C540" s="1" t="n">
        <v>45840</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911-2020</t>
        </is>
      </c>
      <c r="B541" s="1" t="n">
        <v>43818</v>
      </c>
      <c r="C541" s="1" t="n">
        <v>45840</v>
      </c>
      <c r="D541" t="inlineStr">
        <is>
          <t>JÄMTLANDS LÄN</t>
        </is>
      </c>
      <c r="E541" t="inlineStr">
        <is>
          <t>KROKOM</t>
        </is>
      </c>
      <c r="G541" t="n">
        <v>1</v>
      </c>
      <c r="H541" t="n">
        <v>0</v>
      </c>
      <c r="I541" t="n">
        <v>0</v>
      </c>
      <c r="J541" t="n">
        <v>0</v>
      </c>
      <c r="K541" t="n">
        <v>0</v>
      </c>
      <c r="L541" t="n">
        <v>0</v>
      </c>
      <c r="M541" t="n">
        <v>0</v>
      </c>
      <c r="N541" t="n">
        <v>0</v>
      </c>
      <c r="O541" t="n">
        <v>0</v>
      </c>
      <c r="P541" t="n">
        <v>0</v>
      </c>
      <c r="Q541" t="n">
        <v>0</v>
      </c>
      <c r="R541" s="2" t="inlineStr"/>
    </row>
    <row r="542" ht="15" customHeight="1">
      <c r="A542" t="inlineStr">
        <is>
          <t>A 69010-2019</t>
        </is>
      </c>
      <c r="B542" s="1" t="n">
        <v>43826</v>
      </c>
      <c r="C542" s="1" t="n">
        <v>45840</v>
      </c>
      <c r="D542" t="inlineStr">
        <is>
          <t>JÄMTLANDS LÄN</t>
        </is>
      </c>
      <c r="E542" t="inlineStr">
        <is>
          <t>KROKOM</t>
        </is>
      </c>
      <c r="G542" t="n">
        <v>4.7</v>
      </c>
      <c r="H542" t="n">
        <v>0</v>
      </c>
      <c r="I542" t="n">
        <v>0</v>
      </c>
      <c r="J542" t="n">
        <v>0</v>
      </c>
      <c r="K542" t="n">
        <v>0</v>
      </c>
      <c r="L542" t="n">
        <v>0</v>
      </c>
      <c r="M542" t="n">
        <v>0</v>
      </c>
      <c r="N542" t="n">
        <v>0</v>
      </c>
      <c r="O542" t="n">
        <v>0</v>
      </c>
      <c r="P542" t="n">
        <v>0</v>
      </c>
      <c r="Q542" t="n">
        <v>0</v>
      </c>
      <c r="R542" s="2" t="inlineStr"/>
    </row>
    <row r="543" ht="15" customHeight="1">
      <c r="A543" t="inlineStr">
        <is>
          <t>A 68996-2019</t>
        </is>
      </c>
      <c r="B543" s="1" t="n">
        <v>43826</v>
      </c>
      <c r="C543" s="1" t="n">
        <v>45840</v>
      </c>
      <c r="D543" t="inlineStr">
        <is>
          <t>JÄMTLANDS LÄN</t>
        </is>
      </c>
      <c r="E543" t="inlineStr">
        <is>
          <t>KROKOM</t>
        </is>
      </c>
      <c r="G543" t="n">
        <v>5</v>
      </c>
      <c r="H543" t="n">
        <v>0</v>
      </c>
      <c r="I543" t="n">
        <v>0</v>
      </c>
      <c r="J543" t="n">
        <v>0</v>
      </c>
      <c r="K543" t="n">
        <v>0</v>
      </c>
      <c r="L543" t="n">
        <v>0</v>
      </c>
      <c r="M543" t="n">
        <v>0</v>
      </c>
      <c r="N543" t="n">
        <v>0</v>
      </c>
      <c r="O543" t="n">
        <v>0</v>
      </c>
      <c r="P543" t="n">
        <v>0</v>
      </c>
      <c r="Q543" t="n">
        <v>0</v>
      </c>
      <c r="R543" s="2" t="inlineStr"/>
    </row>
    <row r="544" ht="15" customHeight="1">
      <c r="A544" t="inlineStr">
        <is>
          <t>A 12-2020</t>
        </is>
      </c>
      <c r="B544" s="1" t="n">
        <v>43831</v>
      </c>
      <c r="C544" s="1" t="n">
        <v>45840</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327-2020</t>
        </is>
      </c>
      <c r="B545" s="1" t="n">
        <v>43837</v>
      </c>
      <c r="C545" s="1" t="n">
        <v>45840</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735-2020</t>
        </is>
      </c>
      <c r="B546" s="1" t="n">
        <v>43838</v>
      </c>
      <c r="C546" s="1" t="n">
        <v>45840</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4599-2020</t>
        </is>
      </c>
      <c r="B547" s="1" t="n">
        <v>43858</v>
      </c>
      <c r="C547" s="1" t="n">
        <v>45840</v>
      </c>
      <c r="D547" t="inlineStr">
        <is>
          <t>JÄMTLANDS LÄN</t>
        </is>
      </c>
      <c r="E547" t="inlineStr">
        <is>
          <t>KROKOM</t>
        </is>
      </c>
      <c r="G547" t="n">
        <v>32.1</v>
      </c>
      <c r="H547" t="n">
        <v>0</v>
      </c>
      <c r="I547" t="n">
        <v>0</v>
      </c>
      <c r="J547" t="n">
        <v>0</v>
      </c>
      <c r="K547" t="n">
        <v>0</v>
      </c>
      <c r="L547" t="n">
        <v>0</v>
      </c>
      <c r="M547" t="n">
        <v>0</v>
      </c>
      <c r="N547" t="n">
        <v>0</v>
      </c>
      <c r="O547" t="n">
        <v>0</v>
      </c>
      <c r="P547" t="n">
        <v>0</v>
      </c>
      <c r="Q547" t="n">
        <v>0</v>
      </c>
      <c r="R547" s="2" t="inlineStr"/>
    </row>
    <row r="548" ht="15" customHeight="1">
      <c r="A548" t="inlineStr">
        <is>
          <t>A 4762-2020</t>
        </is>
      </c>
      <c r="B548" s="1" t="n">
        <v>43859</v>
      </c>
      <c r="C548" s="1" t="n">
        <v>45840</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5337-2020</t>
        </is>
      </c>
      <c r="B549" s="1" t="n">
        <v>43860</v>
      </c>
      <c r="C549" s="1" t="n">
        <v>45840</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8110-2020</t>
        </is>
      </c>
      <c r="B550" s="1" t="n">
        <v>43874</v>
      </c>
      <c r="C550" s="1" t="n">
        <v>45840</v>
      </c>
      <c r="D550" t="inlineStr">
        <is>
          <t>JÄMTLANDS LÄN</t>
        </is>
      </c>
      <c r="E550" t="inlineStr">
        <is>
          <t>KROKOM</t>
        </is>
      </c>
      <c r="G550" t="n">
        <v>3</v>
      </c>
      <c r="H550" t="n">
        <v>0</v>
      </c>
      <c r="I550" t="n">
        <v>0</v>
      </c>
      <c r="J550" t="n">
        <v>0</v>
      </c>
      <c r="K550" t="n">
        <v>0</v>
      </c>
      <c r="L550" t="n">
        <v>0</v>
      </c>
      <c r="M550" t="n">
        <v>0</v>
      </c>
      <c r="N550" t="n">
        <v>0</v>
      </c>
      <c r="O550" t="n">
        <v>0</v>
      </c>
      <c r="P550" t="n">
        <v>0</v>
      </c>
      <c r="Q550" t="n">
        <v>0</v>
      </c>
      <c r="R550" s="2" t="inlineStr"/>
    </row>
    <row r="551" ht="15" customHeight="1">
      <c r="A551" t="inlineStr">
        <is>
          <t>A 8380-2020</t>
        </is>
      </c>
      <c r="B551" s="1" t="n">
        <v>43874</v>
      </c>
      <c r="C551" s="1" t="n">
        <v>45840</v>
      </c>
      <c r="D551" t="inlineStr">
        <is>
          <t>JÄMTLANDS LÄN</t>
        </is>
      </c>
      <c r="E551" t="inlineStr">
        <is>
          <t>KROKOM</t>
        </is>
      </c>
      <c r="G551" t="n">
        <v>1.6</v>
      </c>
      <c r="H551" t="n">
        <v>0</v>
      </c>
      <c r="I551" t="n">
        <v>0</v>
      </c>
      <c r="J551" t="n">
        <v>0</v>
      </c>
      <c r="K551" t="n">
        <v>0</v>
      </c>
      <c r="L551" t="n">
        <v>0</v>
      </c>
      <c r="M551" t="n">
        <v>0</v>
      </c>
      <c r="N551" t="n">
        <v>0</v>
      </c>
      <c r="O551" t="n">
        <v>0</v>
      </c>
      <c r="P551" t="n">
        <v>0</v>
      </c>
      <c r="Q551" t="n">
        <v>0</v>
      </c>
      <c r="R551" s="2" t="inlineStr"/>
    </row>
    <row r="552" ht="15" customHeight="1">
      <c r="A552" t="inlineStr">
        <is>
          <t>A 9049-2020</t>
        </is>
      </c>
      <c r="B552" s="1" t="n">
        <v>43879</v>
      </c>
      <c r="C552" s="1" t="n">
        <v>45840</v>
      </c>
      <c r="D552" t="inlineStr">
        <is>
          <t>JÄMTLANDS LÄN</t>
        </is>
      </c>
      <c r="E552" t="inlineStr">
        <is>
          <t>KROKOM</t>
        </is>
      </c>
      <c r="G552" t="n">
        <v>9.5</v>
      </c>
      <c r="H552" t="n">
        <v>0</v>
      </c>
      <c r="I552" t="n">
        <v>0</v>
      </c>
      <c r="J552" t="n">
        <v>0</v>
      </c>
      <c r="K552" t="n">
        <v>0</v>
      </c>
      <c r="L552" t="n">
        <v>0</v>
      </c>
      <c r="M552" t="n">
        <v>0</v>
      </c>
      <c r="N552" t="n">
        <v>0</v>
      </c>
      <c r="O552" t="n">
        <v>0</v>
      </c>
      <c r="P552" t="n">
        <v>0</v>
      </c>
      <c r="Q552" t="n">
        <v>0</v>
      </c>
      <c r="R552" s="2" t="inlineStr"/>
    </row>
    <row r="553" ht="15" customHeight="1">
      <c r="A553" t="inlineStr">
        <is>
          <t>A 9412-2020</t>
        </is>
      </c>
      <c r="B553" s="1" t="n">
        <v>43880</v>
      </c>
      <c r="C553" s="1" t="n">
        <v>45840</v>
      </c>
      <c r="D553" t="inlineStr">
        <is>
          <t>JÄMTLANDS LÄN</t>
        </is>
      </c>
      <c r="E553" t="inlineStr">
        <is>
          <t>KROKOM</t>
        </is>
      </c>
      <c r="G553" t="n">
        <v>12.1</v>
      </c>
      <c r="H553" t="n">
        <v>0</v>
      </c>
      <c r="I553" t="n">
        <v>0</v>
      </c>
      <c r="J553" t="n">
        <v>0</v>
      </c>
      <c r="K553" t="n">
        <v>0</v>
      </c>
      <c r="L553" t="n">
        <v>0</v>
      </c>
      <c r="M553" t="n">
        <v>0</v>
      </c>
      <c r="N553" t="n">
        <v>0</v>
      </c>
      <c r="O553" t="n">
        <v>0</v>
      </c>
      <c r="P553" t="n">
        <v>0</v>
      </c>
      <c r="Q553" t="n">
        <v>0</v>
      </c>
      <c r="R553" s="2" t="inlineStr"/>
    </row>
    <row r="554" ht="15" customHeight="1">
      <c r="A554" t="inlineStr">
        <is>
          <t>A 10206-2020</t>
        </is>
      </c>
      <c r="B554" s="1" t="n">
        <v>43885</v>
      </c>
      <c r="C554" s="1" t="n">
        <v>45840</v>
      </c>
      <c r="D554" t="inlineStr">
        <is>
          <t>JÄMTLANDS LÄN</t>
        </is>
      </c>
      <c r="E554" t="inlineStr">
        <is>
          <t>KROKOM</t>
        </is>
      </c>
      <c r="G554" t="n">
        <v>5.4</v>
      </c>
      <c r="H554" t="n">
        <v>0</v>
      </c>
      <c r="I554" t="n">
        <v>0</v>
      </c>
      <c r="J554" t="n">
        <v>0</v>
      </c>
      <c r="K554" t="n">
        <v>0</v>
      </c>
      <c r="L554" t="n">
        <v>0</v>
      </c>
      <c r="M554" t="n">
        <v>0</v>
      </c>
      <c r="N554" t="n">
        <v>0</v>
      </c>
      <c r="O554" t="n">
        <v>0</v>
      </c>
      <c r="P554" t="n">
        <v>0</v>
      </c>
      <c r="Q554" t="n">
        <v>0</v>
      </c>
      <c r="R554" s="2" t="inlineStr"/>
    </row>
    <row r="555" ht="15" customHeight="1">
      <c r="A555" t="inlineStr">
        <is>
          <t>A 10180-2020</t>
        </is>
      </c>
      <c r="B555" s="1" t="n">
        <v>43887</v>
      </c>
      <c r="C555" s="1" t="n">
        <v>45840</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11021-2020</t>
        </is>
      </c>
      <c r="B556" s="1" t="n">
        <v>43889</v>
      </c>
      <c r="C556" s="1" t="n">
        <v>45840</v>
      </c>
      <c r="D556" t="inlineStr">
        <is>
          <t>JÄMTLANDS LÄN</t>
        </is>
      </c>
      <c r="E556" t="inlineStr">
        <is>
          <t>KROKOM</t>
        </is>
      </c>
      <c r="G556" t="n">
        <v>14.3</v>
      </c>
      <c r="H556" t="n">
        <v>0</v>
      </c>
      <c r="I556" t="n">
        <v>0</v>
      </c>
      <c r="J556" t="n">
        <v>0</v>
      </c>
      <c r="K556" t="n">
        <v>0</v>
      </c>
      <c r="L556" t="n">
        <v>0</v>
      </c>
      <c r="M556" t="n">
        <v>0</v>
      </c>
      <c r="N556" t="n">
        <v>0</v>
      </c>
      <c r="O556" t="n">
        <v>0</v>
      </c>
      <c r="P556" t="n">
        <v>0</v>
      </c>
      <c r="Q556" t="n">
        <v>0</v>
      </c>
      <c r="R556" s="2" t="inlineStr"/>
    </row>
    <row r="557" ht="15" customHeight="1">
      <c r="A557" t="inlineStr">
        <is>
          <t>A 11500-2020</t>
        </is>
      </c>
      <c r="B557" s="1" t="n">
        <v>43893</v>
      </c>
      <c r="C557" s="1" t="n">
        <v>45840</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11487-2020</t>
        </is>
      </c>
      <c r="B558" s="1" t="n">
        <v>43893</v>
      </c>
      <c r="C558" s="1" t="n">
        <v>45840</v>
      </c>
      <c r="D558" t="inlineStr">
        <is>
          <t>JÄMTLANDS LÄN</t>
        </is>
      </c>
      <c r="E558" t="inlineStr">
        <is>
          <t>KROKOM</t>
        </is>
      </c>
      <c r="G558" t="n">
        <v>2.4</v>
      </c>
      <c r="H558" t="n">
        <v>0</v>
      </c>
      <c r="I558" t="n">
        <v>0</v>
      </c>
      <c r="J558" t="n">
        <v>0</v>
      </c>
      <c r="K558" t="n">
        <v>0</v>
      </c>
      <c r="L558" t="n">
        <v>0</v>
      </c>
      <c r="M558" t="n">
        <v>0</v>
      </c>
      <c r="N558" t="n">
        <v>0</v>
      </c>
      <c r="O558" t="n">
        <v>0</v>
      </c>
      <c r="P558" t="n">
        <v>0</v>
      </c>
      <c r="Q558" t="n">
        <v>0</v>
      </c>
      <c r="R558" s="2" t="inlineStr"/>
    </row>
    <row r="559" ht="15" customHeight="1">
      <c r="A559" t="inlineStr">
        <is>
          <t>A 13367-2020</t>
        </is>
      </c>
      <c r="B559" s="1" t="n">
        <v>43894</v>
      </c>
      <c r="C559" s="1" t="n">
        <v>45840</v>
      </c>
      <c r="D559" t="inlineStr">
        <is>
          <t>JÄMTLANDS LÄN</t>
        </is>
      </c>
      <c r="E559" t="inlineStr">
        <is>
          <t>KROKOM</t>
        </is>
      </c>
      <c r="G559" t="n">
        <v>3</v>
      </c>
      <c r="H559" t="n">
        <v>0</v>
      </c>
      <c r="I559" t="n">
        <v>0</v>
      </c>
      <c r="J559" t="n">
        <v>0</v>
      </c>
      <c r="K559" t="n">
        <v>0</v>
      </c>
      <c r="L559" t="n">
        <v>0</v>
      </c>
      <c r="M559" t="n">
        <v>0</v>
      </c>
      <c r="N559" t="n">
        <v>0</v>
      </c>
      <c r="O559" t="n">
        <v>0</v>
      </c>
      <c r="P559" t="n">
        <v>0</v>
      </c>
      <c r="Q559" t="n">
        <v>0</v>
      </c>
      <c r="R559" s="2" t="inlineStr"/>
    </row>
    <row r="560" ht="15" customHeight="1">
      <c r="A560" t="inlineStr">
        <is>
          <t>A 12914-2020</t>
        </is>
      </c>
      <c r="B560" s="1" t="n">
        <v>43900</v>
      </c>
      <c r="C560" s="1" t="n">
        <v>45840</v>
      </c>
      <c r="D560" t="inlineStr">
        <is>
          <t>JÄMTLANDS LÄN</t>
        </is>
      </c>
      <c r="E560" t="inlineStr">
        <is>
          <t>KROKOM</t>
        </is>
      </c>
      <c r="G560" t="n">
        <v>5.3</v>
      </c>
      <c r="H560" t="n">
        <v>0</v>
      </c>
      <c r="I560" t="n">
        <v>0</v>
      </c>
      <c r="J560" t="n">
        <v>0</v>
      </c>
      <c r="K560" t="n">
        <v>0</v>
      </c>
      <c r="L560" t="n">
        <v>0</v>
      </c>
      <c r="M560" t="n">
        <v>0</v>
      </c>
      <c r="N560" t="n">
        <v>0</v>
      </c>
      <c r="O560" t="n">
        <v>0</v>
      </c>
      <c r="P560" t="n">
        <v>0</v>
      </c>
      <c r="Q560" t="n">
        <v>0</v>
      </c>
      <c r="R560" s="2" t="inlineStr"/>
    </row>
    <row r="561" ht="15" customHeight="1">
      <c r="A561" t="inlineStr">
        <is>
          <t>A 13502-2020</t>
        </is>
      </c>
      <c r="B561" s="1" t="n">
        <v>43900</v>
      </c>
      <c r="C561" s="1" t="n">
        <v>45840</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12908-2020</t>
        </is>
      </c>
      <c r="B562" s="1" t="n">
        <v>43900</v>
      </c>
      <c r="C562" s="1" t="n">
        <v>45840</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14285-2020</t>
        </is>
      </c>
      <c r="B563" s="1" t="n">
        <v>43907</v>
      </c>
      <c r="C563" s="1" t="n">
        <v>45840</v>
      </c>
      <c r="D563" t="inlineStr">
        <is>
          <t>JÄMTLANDS LÄN</t>
        </is>
      </c>
      <c r="E563" t="inlineStr">
        <is>
          <t>KROKOM</t>
        </is>
      </c>
      <c r="G563" t="n">
        <v>13.9</v>
      </c>
      <c r="H563" t="n">
        <v>0</v>
      </c>
      <c r="I563" t="n">
        <v>0</v>
      </c>
      <c r="J563" t="n">
        <v>0</v>
      </c>
      <c r="K563" t="n">
        <v>0</v>
      </c>
      <c r="L563" t="n">
        <v>0</v>
      </c>
      <c r="M563" t="n">
        <v>0</v>
      </c>
      <c r="N563" t="n">
        <v>0</v>
      </c>
      <c r="O563" t="n">
        <v>0</v>
      </c>
      <c r="P563" t="n">
        <v>0</v>
      </c>
      <c r="Q563" t="n">
        <v>0</v>
      </c>
      <c r="R563" s="2" t="inlineStr"/>
    </row>
    <row r="564" ht="15" customHeight="1">
      <c r="A564" t="inlineStr">
        <is>
          <t>A 15315-2020</t>
        </is>
      </c>
      <c r="B564" s="1" t="n">
        <v>43913</v>
      </c>
      <c r="C564" s="1" t="n">
        <v>45840</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17527-2020</t>
        </is>
      </c>
      <c r="B565" s="1" t="n">
        <v>43920</v>
      </c>
      <c r="C565" s="1" t="n">
        <v>45840</v>
      </c>
      <c r="D565" t="inlineStr">
        <is>
          <t>JÄMTLANDS LÄN</t>
        </is>
      </c>
      <c r="E565" t="inlineStr">
        <is>
          <t>KROKOM</t>
        </is>
      </c>
      <c r="G565" t="n">
        <v>4.2</v>
      </c>
      <c r="H565" t="n">
        <v>0</v>
      </c>
      <c r="I565" t="n">
        <v>0</v>
      </c>
      <c r="J565" t="n">
        <v>0</v>
      </c>
      <c r="K565" t="n">
        <v>0</v>
      </c>
      <c r="L565" t="n">
        <v>0</v>
      </c>
      <c r="M565" t="n">
        <v>0</v>
      </c>
      <c r="N565" t="n">
        <v>0</v>
      </c>
      <c r="O565" t="n">
        <v>0</v>
      </c>
      <c r="P565" t="n">
        <v>0</v>
      </c>
      <c r="Q565" t="n">
        <v>0</v>
      </c>
      <c r="R565" s="2" t="inlineStr"/>
    </row>
    <row r="566" ht="15" customHeight="1">
      <c r="A566" t="inlineStr">
        <is>
          <t>A 18445-2020</t>
        </is>
      </c>
      <c r="B566" s="1" t="n">
        <v>43927</v>
      </c>
      <c r="C566" s="1" t="n">
        <v>45840</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18591-2020</t>
        </is>
      </c>
      <c r="B567" s="1" t="n">
        <v>43928</v>
      </c>
      <c r="C567" s="1" t="n">
        <v>45840</v>
      </c>
      <c r="D567" t="inlineStr">
        <is>
          <t>JÄMTLANDS LÄN</t>
        </is>
      </c>
      <c r="E567" t="inlineStr">
        <is>
          <t>KROKOM</t>
        </is>
      </c>
      <c r="G567" t="n">
        <v>13.6</v>
      </c>
      <c r="H567" t="n">
        <v>0</v>
      </c>
      <c r="I567" t="n">
        <v>0</v>
      </c>
      <c r="J567" t="n">
        <v>0</v>
      </c>
      <c r="K567" t="n">
        <v>0</v>
      </c>
      <c r="L567" t="n">
        <v>0</v>
      </c>
      <c r="M567" t="n">
        <v>0</v>
      </c>
      <c r="N567" t="n">
        <v>0</v>
      </c>
      <c r="O567" t="n">
        <v>0</v>
      </c>
      <c r="P567" t="n">
        <v>0</v>
      </c>
      <c r="Q567" t="n">
        <v>0</v>
      </c>
      <c r="R567" s="2" t="inlineStr"/>
    </row>
    <row r="568" ht="15" customHeight="1">
      <c r="A568" t="inlineStr">
        <is>
          <t>A 19031-2020</t>
        </is>
      </c>
      <c r="B568" s="1" t="n">
        <v>43936</v>
      </c>
      <c r="C568" s="1" t="n">
        <v>45840</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19827-2020</t>
        </is>
      </c>
      <c r="B569" s="1" t="n">
        <v>43938</v>
      </c>
      <c r="C569" s="1" t="n">
        <v>45840</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19648-2020</t>
        </is>
      </c>
      <c r="B570" s="1" t="n">
        <v>43941</v>
      </c>
      <c r="C570" s="1" t="n">
        <v>45840</v>
      </c>
      <c r="D570" t="inlineStr">
        <is>
          <t>JÄMTLANDS LÄN</t>
        </is>
      </c>
      <c r="E570" t="inlineStr">
        <is>
          <t>KROKOM</t>
        </is>
      </c>
      <c r="G570" t="n">
        <v>21.6</v>
      </c>
      <c r="H570" t="n">
        <v>0</v>
      </c>
      <c r="I570" t="n">
        <v>0</v>
      </c>
      <c r="J570" t="n">
        <v>0</v>
      </c>
      <c r="K570" t="n">
        <v>0</v>
      </c>
      <c r="L570" t="n">
        <v>0</v>
      </c>
      <c r="M570" t="n">
        <v>0</v>
      </c>
      <c r="N570" t="n">
        <v>0</v>
      </c>
      <c r="O570" t="n">
        <v>0</v>
      </c>
      <c r="P570" t="n">
        <v>0</v>
      </c>
      <c r="Q570" t="n">
        <v>0</v>
      </c>
      <c r="R570" s="2" t="inlineStr"/>
    </row>
    <row r="571" ht="15" customHeight="1">
      <c r="A571" t="inlineStr">
        <is>
          <t>A 19768-2020</t>
        </is>
      </c>
      <c r="B571" s="1" t="n">
        <v>43942</v>
      </c>
      <c r="C571" s="1" t="n">
        <v>45840</v>
      </c>
      <c r="D571" t="inlineStr">
        <is>
          <t>JÄMTLANDS LÄN</t>
        </is>
      </c>
      <c r="E571" t="inlineStr">
        <is>
          <t>KROKOM</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21106-2020</t>
        </is>
      </c>
      <c r="B572" s="1" t="n">
        <v>43951</v>
      </c>
      <c r="C572" s="1" t="n">
        <v>45840</v>
      </c>
      <c r="D572" t="inlineStr">
        <is>
          <t>JÄMTLANDS LÄN</t>
        </is>
      </c>
      <c r="E572" t="inlineStr">
        <is>
          <t>KROKOM</t>
        </is>
      </c>
      <c r="G572" t="n">
        <v>17.7</v>
      </c>
      <c r="H572" t="n">
        <v>0</v>
      </c>
      <c r="I572" t="n">
        <v>0</v>
      </c>
      <c r="J572" t="n">
        <v>0</v>
      </c>
      <c r="K572" t="n">
        <v>0</v>
      </c>
      <c r="L572" t="n">
        <v>0</v>
      </c>
      <c r="M572" t="n">
        <v>0</v>
      </c>
      <c r="N572" t="n">
        <v>0</v>
      </c>
      <c r="O572" t="n">
        <v>0</v>
      </c>
      <c r="P572" t="n">
        <v>0</v>
      </c>
      <c r="Q572" t="n">
        <v>0</v>
      </c>
      <c r="R572" s="2" t="inlineStr"/>
    </row>
    <row r="573" ht="15" customHeight="1">
      <c r="A573" t="inlineStr">
        <is>
          <t>A 21144-2020</t>
        </is>
      </c>
      <c r="B573" s="1" t="n">
        <v>43951</v>
      </c>
      <c r="C573" s="1" t="n">
        <v>45840</v>
      </c>
      <c r="D573" t="inlineStr">
        <is>
          <t>JÄMTLANDS LÄN</t>
        </is>
      </c>
      <c r="E573" t="inlineStr">
        <is>
          <t>KROKOM</t>
        </is>
      </c>
      <c r="G573" t="n">
        <v>2.7</v>
      </c>
      <c r="H573" t="n">
        <v>0</v>
      </c>
      <c r="I573" t="n">
        <v>0</v>
      </c>
      <c r="J573" t="n">
        <v>0</v>
      </c>
      <c r="K573" t="n">
        <v>0</v>
      </c>
      <c r="L573" t="n">
        <v>0</v>
      </c>
      <c r="M573" t="n">
        <v>0</v>
      </c>
      <c r="N573" t="n">
        <v>0</v>
      </c>
      <c r="O573" t="n">
        <v>0</v>
      </c>
      <c r="P573" t="n">
        <v>0</v>
      </c>
      <c r="Q573" t="n">
        <v>0</v>
      </c>
      <c r="R573" s="2" t="inlineStr"/>
    </row>
    <row r="574" ht="15" customHeight="1">
      <c r="A574" t="inlineStr">
        <is>
          <t>A 21443-2020</t>
        </is>
      </c>
      <c r="B574" s="1" t="n">
        <v>43955</v>
      </c>
      <c r="C574" s="1" t="n">
        <v>45840</v>
      </c>
      <c r="D574" t="inlineStr">
        <is>
          <t>JÄMTLANDS LÄN</t>
        </is>
      </c>
      <c r="E574" t="inlineStr">
        <is>
          <t>KROKOM</t>
        </is>
      </c>
      <c r="G574" t="n">
        <v>7.7</v>
      </c>
      <c r="H574" t="n">
        <v>0</v>
      </c>
      <c r="I574" t="n">
        <v>0</v>
      </c>
      <c r="J574" t="n">
        <v>0</v>
      </c>
      <c r="K574" t="n">
        <v>0</v>
      </c>
      <c r="L574" t="n">
        <v>0</v>
      </c>
      <c r="M574" t="n">
        <v>0</v>
      </c>
      <c r="N574" t="n">
        <v>0</v>
      </c>
      <c r="O574" t="n">
        <v>0</v>
      </c>
      <c r="P574" t="n">
        <v>0</v>
      </c>
      <c r="Q574" t="n">
        <v>0</v>
      </c>
      <c r="R574" s="2" t="inlineStr"/>
    </row>
    <row r="575" ht="15" customHeight="1">
      <c r="A575" t="inlineStr">
        <is>
          <t>A 22005-2020</t>
        </is>
      </c>
      <c r="B575" s="1" t="n">
        <v>43959</v>
      </c>
      <c r="C575" s="1" t="n">
        <v>45840</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25520-2020</t>
        </is>
      </c>
      <c r="B576" s="1" t="n">
        <v>43983</v>
      </c>
      <c r="C576" s="1" t="n">
        <v>45840</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25489-2020</t>
        </is>
      </c>
      <c r="B577" s="1" t="n">
        <v>43983</v>
      </c>
      <c r="C577" s="1" t="n">
        <v>45840</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27056-2020</t>
        </is>
      </c>
      <c r="B578" s="1" t="n">
        <v>43991</v>
      </c>
      <c r="C578" s="1" t="n">
        <v>45840</v>
      </c>
      <c r="D578" t="inlineStr">
        <is>
          <t>JÄMTLANDS LÄN</t>
        </is>
      </c>
      <c r="E578" t="inlineStr">
        <is>
          <t>KROKOM</t>
        </is>
      </c>
      <c r="F578" t="inlineStr">
        <is>
          <t>Övriga Aktiebolag</t>
        </is>
      </c>
      <c r="G578" t="n">
        <v>4.7</v>
      </c>
      <c r="H578" t="n">
        <v>0</v>
      </c>
      <c r="I578" t="n">
        <v>0</v>
      </c>
      <c r="J578" t="n">
        <v>0</v>
      </c>
      <c r="K578" t="n">
        <v>0</v>
      </c>
      <c r="L578" t="n">
        <v>0</v>
      </c>
      <c r="M578" t="n">
        <v>0</v>
      </c>
      <c r="N578" t="n">
        <v>0</v>
      </c>
      <c r="O578" t="n">
        <v>0</v>
      </c>
      <c r="P578" t="n">
        <v>0</v>
      </c>
      <c r="Q578" t="n">
        <v>0</v>
      </c>
      <c r="R578" s="2" t="inlineStr"/>
    </row>
    <row r="579" ht="15" customHeight="1">
      <c r="A579" t="inlineStr">
        <is>
          <t>A 30368-2020</t>
        </is>
      </c>
      <c r="B579" s="1" t="n">
        <v>44007</v>
      </c>
      <c r="C579" s="1" t="n">
        <v>45840</v>
      </c>
      <c r="D579" t="inlineStr">
        <is>
          <t>JÄMTLANDS LÄN</t>
        </is>
      </c>
      <c r="E579" t="inlineStr">
        <is>
          <t>KROKOM</t>
        </is>
      </c>
      <c r="G579" t="n">
        <v>1.9</v>
      </c>
      <c r="H579" t="n">
        <v>0</v>
      </c>
      <c r="I579" t="n">
        <v>0</v>
      </c>
      <c r="J579" t="n">
        <v>0</v>
      </c>
      <c r="K579" t="n">
        <v>0</v>
      </c>
      <c r="L579" t="n">
        <v>0</v>
      </c>
      <c r="M579" t="n">
        <v>0</v>
      </c>
      <c r="N579" t="n">
        <v>0</v>
      </c>
      <c r="O579" t="n">
        <v>0</v>
      </c>
      <c r="P579" t="n">
        <v>0</v>
      </c>
      <c r="Q579" t="n">
        <v>0</v>
      </c>
      <c r="R579" s="2" t="inlineStr"/>
    </row>
    <row r="580" ht="15" customHeight="1">
      <c r="A580" t="inlineStr">
        <is>
          <t>A 31421-2020</t>
        </is>
      </c>
      <c r="B580" s="1" t="n">
        <v>44013</v>
      </c>
      <c r="C580" s="1" t="n">
        <v>45840</v>
      </c>
      <c r="D580" t="inlineStr">
        <is>
          <t>JÄMTLANDS LÄN</t>
        </is>
      </c>
      <c r="E580" t="inlineStr">
        <is>
          <t>KROKOM</t>
        </is>
      </c>
      <c r="G580" t="n">
        <v>14.1</v>
      </c>
      <c r="H580" t="n">
        <v>0</v>
      </c>
      <c r="I580" t="n">
        <v>0</v>
      </c>
      <c r="J580" t="n">
        <v>0</v>
      </c>
      <c r="K580" t="n">
        <v>0</v>
      </c>
      <c r="L580" t="n">
        <v>0</v>
      </c>
      <c r="M580" t="n">
        <v>0</v>
      </c>
      <c r="N580" t="n">
        <v>0</v>
      </c>
      <c r="O580" t="n">
        <v>0</v>
      </c>
      <c r="P580" t="n">
        <v>0</v>
      </c>
      <c r="Q580" t="n">
        <v>0</v>
      </c>
      <c r="R580" s="2" t="inlineStr"/>
    </row>
    <row r="581" ht="15" customHeight="1">
      <c r="A581" t="inlineStr">
        <is>
          <t>A 32084-2020</t>
        </is>
      </c>
      <c r="B581" s="1" t="n">
        <v>44015</v>
      </c>
      <c r="C581" s="1" t="n">
        <v>45840</v>
      </c>
      <c r="D581" t="inlineStr">
        <is>
          <t>JÄMTLANDS LÄN</t>
        </is>
      </c>
      <c r="E581" t="inlineStr">
        <is>
          <t>KROKOM</t>
        </is>
      </c>
      <c r="G581" t="n">
        <v>3</v>
      </c>
      <c r="H581" t="n">
        <v>0</v>
      </c>
      <c r="I581" t="n">
        <v>0</v>
      </c>
      <c r="J581" t="n">
        <v>0</v>
      </c>
      <c r="K581" t="n">
        <v>0</v>
      </c>
      <c r="L581" t="n">
        <v>0</v>
      </c>
      <c r="M581" t="n">
        <v>0</v>
      </c>
      <c r="N581" t="n">
        <v>0</v>
      </c>
      <c r="O581" t="n">
        <v>0</v>
      </c>
      <c r="P581" t="n">
        <v>0</v>
      </c>
      <c r="Q581" t="n">
        <v>0</v>
      </c>
      <c r="R581" s="2" t="inlineStr"/>
    </row>
    <row r="582" ht="15" customHeight="1">
      <c r="A582" t="inlineStr">
        <is>
          <t>A 34469-2020</t>
        </is>
      </c>
      <c r="B582" s="1" t="n">
        <v>44032</v>
      </c>
      <c r="C582" s="1" t="n">
        <v>45840</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34619-2020</t>
        </is>
      </c>
      <c r="B583" s="1" t="n">
        <v>44033</v>
      </c>
      <c r="C583" s="1" t="n">
        <v>45840</v>
      </c>
      <c r="D583" t="inlineStr">
        <is>
          <t>JÄMTLANDS LÄN</t>
        </is>
      </c>
      <c r="E583" t="inlineStr">
        <is>
          <t>KROKOM</t>
        </is>
      </c>
      <c r="G583" t="n">
        <v>1.3</v>
      </c>
      <c r="H583" t="n">
        <v>0</v>
      </c>
      <c r="I583" t="n">
        <v>0</v>
      </c>
      <c r="J583" t="n">
        <v>0</v>
      </c>
      <c r="K583" t="n">
        <v>0</v>
      </c>
      <c r="L583" t="n">
        <v>0</v>
      </c>
      <c r="M583" t="n">
        <v>0</v>
      </c>
      <c r="N583" t="n">
        <v>0</v>
      </c>
      <c r="O583" t="n">
        <v>0</v>
      </c>
      <c r="P583" t="n">
        <v>0</v>
      </c>
      <c r="Q583" t="n">
        <v>0</v>
      </c>
      <c r="R583" s="2" t="inlineStr"/>
    </row>
    <row r="584" ht="15" customHeight="1">
      <c r="A584" t="inlineStr">
        <is>
          <t>A 34954-2020</t>
        </is>
      </c>
      <c r="B584" s="1" t="n">
        <v>44038</v>
      </c>
      <c r="C584" s="1" t="n">
        <v>45840</v>
      </c>
      <c r="D584" t="inlineStr">
        <is>
          <t>JÄMTLANDS LÄN</t>
        </is>
      </c>
      <c r="E584" t="inlineStr">
        <is>
          <t>KROKOM</t>
        </is>
      </c>
      <c r="G584" t="n">
        <v>14.3</v>
      </c>
      <c r="H584" t="n">
        <v>0</v>
      </c>
      <c r="I584" t="n">
        <v>0</v>
      </c>
      <c r="J584" t="n">
        <v>0</v>
      </c>
      <c r="K584" t="n">
        <v>0</v>
      </c>
      <c r="L584" t="n">
        <v>0</v>
      </c>
      <c r="M584" t="n">
        <v>0</v>
      </c>
      <c r="N584" t="n">
        <v>0</v>
      </c>
      <c r="O584" t="n">
        <v>0</v>
      </c>
      <c r="P584" t="n">
        <v>0</v>
      </c>
      <c r="Q584" t="n">
        <v>0</v>
      </c>
      <c r="R584" s="2" t="inlineStr"/>
    </row>
    <row r="585" ht="15" customHeight="1">
      <c r="A585" t="inlineStr">
        <is>
          <t>A 36098-2020</t>
        </is>
      </c>
      <c r="B585" s="1" t="n">
        <v>44048</v>
      </c>
      <c r="C585" s="1" t="n">
        <v>45840</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36698-2020</t>
        </is>
      </c>
      <c r="B586" s="1" t="n">
        <v>44050</v>
      </c>
      <c r="C586" s="1" t="n">
        <v>45840</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36523-2020</t>
        </is>
      </c>
      <c r="B587" s="1" t="n">
        <v>44050</v>
      </c>
      <c r="C587" s="1" t="n">
        <v>45840</v>
      </c>
      <c r="D587" t="inlineStr">
        <is>
          <t>JÄMTLANDS LÄN</t>
        </is>
      </c>
      <c r="E587" t="inlineStr">
        <is>
          <t>KROKOM</t>
        </is>
      </c>
      <c r="G587" t="n">
        <v>5.1</v>
      </c>
      <c r="H587" t="n">
        <v>0</v>
      </c>
      <c r="I587" t="n">
        <v>0</v>
      </c>
      <c r="J587" t="n">
        <v>0</v>
      </c>
      <c r="K587" t="n">
        <v>0</v>
      </c>
      <c r="L587" t="n">
        <v>0</v>
      </c>
      <c r="M587" t="n">
        <v>0</v>
      </c>
      <c r="N587" t="n">
        <v>0</v>
      </c>
      <c r="O587" t="n">
        <v>0</v>
      </c>
      <c r="P587" t="n">
        <v>0</v>
      </c>
      <c r="Q587" t="n">
        <v>0</v>
      </c>
      <c r="R587" s="2" t="inlineStr"/>
    </row>
    <row r="588" ht="15" customHeight="1">
      <c r="A588" t="inlineStr">
        <is>
          <t>A 36696-2020</t>
        </is>
      </c>
      <c r="B588" s="1" t="n">
        <v>44050</v>
      </c>
      <c r="C588" s="1" t="n">
        <v>45840</v>
      </c>
      <c r="D588" t="inlineStr">
        <is>
          <t>JÄMTLANDS LÄN</t>
        </is>
      </c>
      <c r="E588" t="inlineStr">
        <is>
          <t>KROKOM</t>
        </is>
      </c>
      <c r="G588" t="n">
        <v>8</v>
      </c>
      <c r="H588" t="n">
        <v>0</v>
      </c>
      <c r="I588" t="n">
        <v>0</v>
      </c>
      <c r="J588" t="n">
        <v>0</v>
      </c>
      <c r="K588" t="n">
        <v>0</v>
      </c>
      <c r="L588" t="n">
        <v>0</v>
      </c>
      <c r="M588" t="n">
        <v>0</v>
      </c>
      <c r="N588" t="n">
        <v>0</v>
      </c>
      <c r="O588" t="n">
        <v>0</v>
      </c>
      <c r="P588" t="n">
        <v>0</v>
      </c>
      <c r="Q588" t="n">
        <v>0</v>
      </c>
      <c r="R588" s="2" t="inlineStr"/>
    </row>
    <row r="589" ht="15" customHeight="1">
      <c r="A589" t="inlineStr">
        <is>
          <t>A 38001-2020</t>
        </is>
      </c>
      <c r="B589" s="1" t="n">
        <v>44057</v>
      </c>
      <c r="C589" s="1" t="n">
        <v>45840</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38720-2020</t>
        </is>
      </c>
      <c r="B590" s="1" t="n">
        <v>44061</v>
      </c>
      <c r="C590" s="1" t="n">
        <v>45840</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38866-2020</t>
        </is>
      </c>
      <c r="B591" s="1" t="n">
        <v>44062</v>
      </c>
      <c r="C591" s="1" t="n">
        <v>45840</v>
      </c>
      <c r="D591" t="inlineStr">
        <is>
          <t>JÄMTLANDS LÄN</t>
        </is>
      </c>
      <c r="E591" t="inlineStr">
        <is>
          <t>KROKOM</t>
        </is>
      </c>
      <c r="F591" t="inlineStr">
        <is>
          <t>Övriga Aktiebolag</t>
        </is>
      </c>
      <c r="G591" t="n">
        <v>4.6</v>
      </c>
      <c r="H591" t="n">
        <v>0</v>
      </c>
      <c r="I591" t="n">
        <v>0</v>
      </c>
      <c r="J591" t="n">
        <v>0</v>
      </c>
      <c r="K591" t="n">
        <v>0</v>
      </c>
      <c r="L591" t="n">
        <v>0</v>
      </c>
      <c r="M591" t="n">
        <v>0</v>
      </c>
      <c r="N591" t="n">
        <v>0</v>
      </c>
      <c r="O591" t="n">
        <v>0</v>
      </c>
      <c r="P591" t="n">
        <v>0</v>
      </c>
      <c r="Q591" t="n">
        <v>0</v>
      </c>
      <c r="R591" s="2" t="inlineStr"/>
    </row>
    <row r="592" ht="15" customHeight="1">
      <c r="A592" t="inlineStr">
        <is>
          <t>A 42385-2020</t>
        </is>
      </c>
      <c r="B592" s="1" t="n">
        <v>44076</v>
      </c>
      <c r="C592" s="1" t="n">
        <v>45840</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42550-2020</t>
        </is>
      </c>
      <c r="B593" s="1" t="n">
        <v>44077</v>
      </c>
      <c r="C593" s="1" t="n">
        <v>45840</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45602-2020</t>
        </is>
      </c>
      <c r="B594" s="1" t="n">
        <v>44090</v>
      </c>
      <c r="C594" s="1" t="n">
        <v>45840</v>
      </c>
      <c r="D594" t="inlineStr">
        <is>
          <t>JÄMTLANDS LÄN</t>
        </is>
      </c>
      <c r="E594" t="inlineStr">
        <is>
          <t>KROKOM</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46589-2020</t>
        </is>
      </c>
      <c r="B595" s="1" t="n">
        <v>44095</v>
      </c>
      <c r="C595" s="1" t="n">
        <v>45840</v>
      </c>
      <c r="D595" t="inlineStr">
        <is>
          <t>JÄMTLANDS LÄN</t>
        </is>
      </c>
      <c r="E595" t="inlineStr">
        <is>
          <t>KROKOM</t>
        </is>
      </c>
      <c r="G595" t="n">
        <v>8.5</v>
      </c>
      <c r="H595" t="n">
        <v>0</v>
      </c>
      <c r="I595" t="n">
        <v>0</v>
      </c>
      <c r="J595" t="n">
        <v>0</v>
      </c>
      <c r="K595" t="n">
        <v>0</v>
      </c>
      <c r="L595" t="n">
        <v>0</v>
      </c>
      <c r="M595" t="n">
        <v>0</v>
      </c>
      <c r="N595" t="n">
        <v>0</v>
      </c>
      <c r="O595" t="n">
        <v>0</v>
      </c>
      <c r="P595" t="n">
        <v>0</v>
      </c>
      <c r="Q595" t="n">
        <v>0</v>
      </c>
      <c r="R595" s="2" t="inlineStr"/>
    </row>
    <row r="596" ht="15" customHeight="1">
      <c r="A596" t="inlineStr">
        <is>
          <t>A 46597-2020</t>
        </is>
      </c>
      <c r="B596" s="1" t="n">
        <v>44095</v>
      </c>
      <c r="C596" s="1" t="n">
        <v>45840</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49037-2020</t>
        </is>
      </c>
      <c r="B597" s="1" t="n">
        <v>44102</v>
      </c>
      <c r="C597" s="1" t="n">
        <v>45840</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48610-2020</t>
        </is>
      </c>
      <c r="B598" s="1" t="n">
        <v>44103</v>
      </c>
      <c r="C598" s="1" t="n">
        <v>45840</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49697-2020</t>
        </is>
      </c>
      <c r="B599" s="1" t="n">
        <v>44106</v>
      </c>
      <c r="C599" s="1" t="n">
        <v>45840</v>
      </c>
      <c r="D599" t="inlineStr">
        <is>
          <t>JÄMTLANDS LÄN</t>
        </is>
      </c>
      <c r="E599" t="inlineStr">
        <is>
          <t>KROKOM</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51719-2020</t>
        </is>
      </c>
      <c r="B600" s="1" t="n">
        <v>44113</v>
      </c>
      <c r="C600" s="1" t="n">
        <v>45840</v>
      </c>
      <c r="D600" t="inlineStr">
        <is>
          <t>JÄMTLANDS LÄN</t>
        </is>
      </c>
      <c r="E600" t="inlineStr">
        <is>
          <t>KROKOM</t>
        </is>
      </c>
      <c r="F600" t="inlineStr">
        <is>
          <t>SCA</t>
        </is>
      </c>
      <c r="G600" t="n">
        <v>9</v>
      </c>
      <c r="H600" t="n">
        <v>0</v>
      </c>
      <c r="I600" t="n">
        <v>0</v>
      </c>
      <c r="J600" t="n">
        <v>0</v>
      </c>
      <c r="K600" t="n">
        <v>0</v>
      </c>
      <c r="L600" t="n">
        <v>0</v>
      </c>
      <c r="M600" t="n">
        <v>0</v>
      </c>
      <c r="N600" t="n">
        <v>0</v>
      </c>
      <c r="O600" t="n">
        <v>0</v>
      </c>
      <c r="P600" t="n">
        <v>0</v>
      </c>
      <c r="Q600" t="n">
        <v>0</v>
      </c>
      <c r="R600" s="2" t="inlineStr"/>
    </row>
    <row r="601" ht="15" customHeight="1">
      <c r="A601" t="inlineStr">
        <is>
          <t>A 51717-2020</t>
        </is>
      </c>
      <c r="B601" s="1" t="n">
        <v>44113</v>
      </c>
      <c r="C601" s="1" t="n">
        <v>45840</v>
      </c>
      <c r="D601" t="inlineStr">
        <is>
          <t>JÄMTLANDS LÄN</t>
        </is>
      </c>
      <c r="E601" t="inlineStr">
        <is>
          <t>KROKOM</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52487-2020</t>
        </is>
      </c>
      <c r="B602" s="1" t="n">
        <v>44113</v>
      </c>
      <c r="C602" s="1" t="n">
        <v>45840</v>
      </c>
      <c r="D602" t="inlineStr">
        <is>
          <t>JÄMTLANDS LÄN</t>
        </is>
      </c>
      <c r="E602" t="inlineStr">
        <is>
          <t>KROKOM</t>
        </is>
      </c>
      <c r="F602" t="inlineStr">
        <is>
          <t>SCA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52491-2020</t>
        </is>
      </c>
      <c r="B603" s="1" t="n">
        <v>44113</v>
      </c>
      <c r="C603" s="1" t="n">
        <v>45840</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52626-2020</t>
        </is>
      </c>
      <c r="B604" s="1" t="n">
        <v>44119</v>
      </c>
      <c r="C604" s="1" t="n">
        <v>45840</v>
      </c>
      <c r="D604" t="inlineStr">
        <is>
          <t>JÄMTLANDS LÄN</t>
        </is>
      </c>
      <c r="E604" t="inlineStr">
        <is>
          <t>KROKOM</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53241-2020</t>
        </is>
      </c>
      <c r="B605" s="1" t="n">
        <v>44123</v>
      </c>
      <c r="C605" s="1" t="n">
        <v>45840</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53501-2020</t>
        </is>
      </c>
      <c r="B606" s="1" t="n">
        <v>44123</v>
      </c>
      <c r="C606" s="1" t="n">
        <v>45840</v>
      </c>
      <c r="D606" t="inlineStr">
        <is>
          <t>JÄMTLANDS LÄN</t>
        </is>
      </c>
      <c r="E606" t="inlineStr">
        <is>
          <t>KROKOM</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53499-2020</t>
        </is>
      </c>
      <c r="B607" s="1" t="n">
        <v>44123</v>
      </c>
      <c r="C607" s="1" t="n">
        <v>45840</v>
      </c>
      <c r="D607" t="inlineStr">
        <is>
          <t>JÄMTLANDS LÄN</t>
        </is>
      </c>
      <c r="E607" t="inlineStr">
        <is>
          <t>KROKOM</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53500-2020</t>
        </is>
      </c>
      <c r="B608" s="1" t="n">
        <v>44123</v>
      </c>
      <c r="C608" s="1" t="n">
        <v>45840</v>
      </c>
      <c r="D608" t="inlineStr">
        <is>
          <t>JÄMTLANDS LÄN</t>
        </is>
      </c>
      <c r="E608" t="inlineStr">
        <is>
          <t>KROKOM</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54575-2020</t>
        </is>
      </c>
      <c r="B609" s="1" t="n">
        <v>44126</v>
      </c>
      <c r="C609" s="1" t="n">
        <v>45840</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54582-2020</t>
        </is>
      </c>
      <c r="B610" s="1" t="n">
        <v>44127</v>
      </c>
      <c r="C610" s="1" t="n">
        <v>45840</v>
      </c>
      <c r="D610" t="inlineStr">
        <is>
          <t>JÄMTLANDS LÄN</t>
        </is>
      </c>
      <c r="E610" t="inlineStr">
        <is>
          <t>KROKOM</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56203-2020</t>
        </is>
      </c>
      <c r="B611" s="1" t="n">
        <v>44133</v>
      </c>
      <c r="C611" s="1" t="n">
        <v>45840</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56596-2020</t>
        </is>
      </c>
      <c r="B612" s="1" t="n">
        <v>44133</v>
      </c>
      <c r="C612" s="1" t="n">
        <v>45840</v>
      </c>
      <c r="D612" t="inlineStr">
        <is>
          <t>JÄMTLANDS LÄN</t>
        </is>
      </c>
      <c r="E612" t="inlineStr">
        <is>
          <t>KROKOM</t>
        </is>
      </c>
      <c r="G612" t="n">
        <v>7.2</v>
      </c>
      <c r="H612" t="n">
        <v>0</v>
      </c>
      <c r="I612" t="n">
        <v>0</v>
      </c>
      <c r="J612" t="n">
        <v>0</v>
      </c>
      <c r="K612" t="n">
        <v>0</v>
      </c>
      <c r="L612" t="n">
        <v>0</v>
      </c>
      <c r="M612" t="n">
        <v>0</v>
      </c>
      <c r="N612" t="n">
        <v>0</v>
      </c>
      <c r="O612" t="n">
        <v>0</v>
      </c>
      <c r="P612" t="n">
        <v>0</v>
      </c>
      <c r="Q612" t="n">
        <v>0</v>
      </c>
      <c r="R612" s="2" t="inlineStr"/>
    </row>
    <row r="613" ht="15" customHeight="1">
      <c r="A613" t="inlineStr">
        <is>
          <t>A 56168-2020</t>
        </is>
      </c>
      <c r="B613" s="1" t="n">
        <v>44133</v>
      </c>
      <c r="C613" s="1" t="n">
        <v>45840</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57375-2020</t>
        </is>
      </c>
      <c r="B614" s="1" t="n">
        <v>44139</v>
      </c>
      <c r="C614" s="1" t="n">
        <v>45840</v>
      </c>
      <c r="D614" t="inlineStr">
        <is>
          <t>JÄMTLANDS LÄN</t>
        </is>
      </c>
      <c r="E614" t="inlineStr">
        <is>
          <t>KROKOM</t>
        </is>
      </c>
      <c r="F614" t="inlineStr">
        <is>
          <t>SCA</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57726-2020</t>
        </is>
      </c>
      <c r="B615" s="1" t="n">
        <v>44140</v>
      </c>
      <c r="C615" s="1" t="n">
        <v>45840</v>
      </c>
      <c r="D615" t="inlineStr">
        <is>
          <t>JÄMTLANDS LÄN</t>
        </is>
      </c>
      <c r="E615" t="inlineStr">
        <is>
          <t>KROKOM</t>
        </is>
      </c>
      <c r="G615" t="n">
        <v>3.8</v>
      </c>
      <c r="H615" t="n">
        <v>0</v>
      </c>
      <c r="I615" t="n">
        <v>0</v>
      </c>
      <c r="J615" t="n">
        <v>0</v>
      </c>
      <c r="K615" t="n">
        <v>0</v>
      </c>
      <c r="L615" t="n">
        <v>0</v>
      </c>
      <c r="M615" t="n">
        <v>0</v>
      </c>
      <c r="N615" t="n">
        <v>0</v>
      </c>
      <c r="O615" t="n">
        <v>0</v>
      </c>
      <c r="P615" t="n">
        <v>0</v>
      </c>
      <c r="Q615" t="n">
        <v>0</v>
      </c>
      <c r="R615" s="2" t="inlineStr"/>
    </row>
    <row r="616" ht="15" customHeight="1">
      <c r="A616" t="inlineStr">
        <is>
          <t>A 57728-2020</t>
        </is>
      </c>
      <c r="B616" s="1" t="n">
        <v>44140</v>
      </c>
      <c r="C616" s="1" t="n">
        <v>45840</v>
      </c>
      <c r="D616" t="inlineStr">
        <is>
          <t>JÄMTLANDS LÄN</t>
        </is>
      </c>
      <c r="E616" t="inlineStr">
        <is>
          <t>KROKOM</t>
        </is>
      </c>
      <c r="G616" t="n">
        <v>5</v>
      </c>
      <c r="H616" t="n">
        <v>0</v>
      </c>
      <c r="I616" t="n">
        <v>0</v>
      </c>
      <c r="J616" t="n">
        <v>0</v>
      </c>
      <c r="K616" t="n">
        <v>0</v>
      </c>
      <c r="L616" t="n">
        <v>0</v>
      </c>
      <c r="M616" t="n">
        <v>0</v>
      </c>
      <c r="N616" t="n">
        <v>0</v>
      </c>
      <c r="O616" t="n">
        <v>0</v>
      </c>
      <c r="P616" t="n">
        <v>0</v>
      </c>
      <c r="Q616" t="n">
        <v>0</v>
      </c>
      <c r="R616" s="2" t="inlineStr"/>
    </row>
    <row r="617" ht="15" customHeight="1">
      <c r="A617" t="inlineStr">
        <is>
          <t>A 58378-2020</t>
        </is>
      </c>
      <c r="B617" s="1" t="n">
        <v>44141</v>
      </c>
      <c r="C617" s="1" t="n">
        <v>45840</v>
      </c>
      <c r="D617" t="inlineStr">
        <is>
          <t>JÄMTLANDS LÄN</t>
        </is>
      </c>
      <c r="E617" t="inlineStr">
        <is>
          <t>KROKOM</t>
        </is>
      </c>
      <c r="G617" t="n">
        <v>14.4</v>
      </c>
      <c r="H617" t="n">
        <v>0</v>
      </c>
      <c r="I617" t="n">
        <v>0</v>
      </c>
      <c r="J617" t="n">
        <v>0</v>
      </c>
      <c r="K617" t="n">
        <v>0</v>
      </c>
      <c r="L617" t="n">
        <v>0</v>
      </c>
      <c r="M617" t="n">
        <v>0</v>
      </c>
      <c r="N617" t="n">
        <v>0</v>
      </c>
      <c r="O617" t="n">
        <v>0</v>
      </c>
      <c r="P617" t="n">
        <v>0</v>
      </c>
      <c r="Q617" t="n">
        <v>0</v>
      </c>
      <c r="R617" s="2" t="inlineStr"/>
    </row>
    <row r="618" ht="15" customHeight="1">
      <c r="A618" t="inlineStr">
        <is>
          <t>A 58569-2020</t>
        </is>
      </c>
      <c r="B618" s="1" t="n">
        <v>44141</v>
      </c>
      <c r="C618" s="1" t="n">
        <v>45840</v>
      </c>
      <c r="D618" t="inlineStr">
        <is>
          <t>JÄMTLANDS LÄN</t>
        </is>
      </c>
      <c r="E618" t="inlineStr">
        <is>
          <t>KROKOM</t>
        </is>
      </c>
      <c r="G618" t="n">
        <v>52.8</v>
      </c>
      <c r="H618" t="n">
        <v>0</v>
      </c>
      <c r="I618" t="n">
        <v>0</v>
      </c>
      <c r="J618" t="n">
        <v>0</v>
      </c>
      <c r="K618" t="n">
        <v>0</v>
      </c>
      <c r="L618" t="n">
        <v>0</v>
      </c>
      <c r="M618" t="n">
        <v>0</v>
      </c>
      <c r="N618" t="n">
        <v>0</v>
      </c>
      <c r="O618" t="n">
        <v>0</v>
      </c>
      <c r="P618" t="n">
        <v>0</v>
      </c>
      <c r="Q618" t="n">
        <v>0</v>
      </c>
      <c r="R618" s="2" t="inlineStr"/>
    </row>
    <row r="619" ht="15" customHeight="1">
      <c r="A619" t="inlineStr">
        <is>
          <t>A 58868-2020</t>
        </is>
      </c>
      <c r="B619" s="1" t="n">
        <v>44146</v>
      </c>
      <c r="C619" s="1" t="n">
        <v>45840</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59778-2020</t>
        </is>
      </c>
      <c r="B620" s="1" t="n">
        <v>44148</v>
      </c>
      <c r="C620" s="1" t="n">
        <v>45840</v>
      </c>
      <c r="D620" t="inlineStr">
        <is>
          <t>JÄMTLANDS LÄN</t>
        </is>
      </c>
      <c r="E620" t="inlineStr">
        <is>
          <t>KROKOM</t>
        </is>
      </c>
      <c r="G620" t="n">
        <v>39.3</v>
      </c>
      <c r="H620" t="n">
        <v>0</v>
      </c>
      <c r="I620" t="n">
        <v>0</v>
      </c>
      <c r="J620" t="n">
        <v>0</v>
      </c>
      <c r="K620" t="n">
        <v>0</v>
      </c>
      <c r="L620" t="n">
        <v>0</v>
      </c>
      <c r="M620" t="n">
        <v>0</v>
      </c>
      <c r="N620" t="n">
        <v>0</v>
      </c>
      <c r="O620" t="n">
        <v>0</v>
      </c>
      <c r="P620" t="n">
        <v>0</v>
      </c>
      <c r="Q620" t="n">
        <v>0</v>
      </c>
      <c r="R620" s="2" t="inlineStr"/>
    </row>
    <row r="621" ht="15" customHeight="1">
      <c r="A621" t="inlineStr">
        <is>
          <t>A 59718-2020</t>
        </is>
      </c>
      <c r="B621" s="1" t="n">
        <v>44151</v>
      </c>
      <c r="C621" s="1" t="n">
        <v>45840</v>
      </c>
      <c r="D621" t="inlineStr">
        <is>
          <t>JÄMTLANDS LÄN</t>
        </is>
      </c>
      <c r="E621" t="inlineStr">
        <is>
          <t>KROKOM</t>
        </is>
      </c>
      <c r="G621" t="n">
        <v>3.7</v>
      </c>
      <c r="H621" t="n">
        <v>0</v>
      </c>
      <c r="I621" t="n">
        <v>0</v>
      </c>
      <c r="J621" t="n">
        <v>0</v>
      </c>
      <c r="K621" t="n">
        <v>0</v>
      </c>
      <c r="L621" t="n">
        <v>0</v>
      </c>
      <c r="M621" t="n">
        <v>0</v>
      </c>
      <c r="N621" t="n">
        <v>0</v>
      </c>
      <c r="O621" t="n">
        <v>0</v>
      </c>
      <c r="P621" t="n">
        <v>0</v>
      </c>
      <c r="Q621" t="n">
        <v>0</v>
      </c>
      <c r="R621" s="2" t="inlineStr"/>
    </row>
    <row r="622" ht="15" customHeight="1">
      <c r="A622" t="inlineStr">
        <is>
          <t>A 59706-2020</t>
        </is>
      </c>
      <c r="B622" s="1" t="n">
        <v>44151</v>
      </c>
      <c r="C622" s="1" t="n">
        <v>45840</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61091-2020</t>
        </is>
      </c>
      <c r="B623" s="1" t="n">
        <v>44153</v>
      </c>
      <c r="C623" s="1" t="n">
        <v>45840</v>
      </c>
      <c r="D623" t="inlineStr">
        <is>
          <t>JÄMTLANDS LÄN</t>
        </is>
      </c>
      <c r="E623" t="inlineStr">
        <is>
          <t>KROKOM</t>
        </is>
      </c>
      <c r="G623" t="n">
        <v>1.4</v>
      </c>
      <c r="H623" t="n">
        <v>0</v>
      </c>
      <c r="I623" t="n">
        <v>0</v>
      </c>
      <c r="J623" t="n">
        <v>0</v>
      </c>
      <c r="K623" t="n">
        <v>0</v>
      </c>
      <c r="L623" t="n">
        <v>0</v>
      </c>
      <c r="M623" t="n">
        <v>0</v>
      </c>
      <c r="N623" t="n">
        <v>0</v>
      </c>
      <c r="O623" t="n">
        <v>0</v>
      </c>
      <c r="P623" t="n">
        <v>0</v>
      </c>
      <c r="Q623" t="n">
        <v>0</v>
      </c>
      <c r="R623" s="2" t="inlineStr"/>
    </row>
    <row r="624" ht="15" customHeight="1">
      <c r="A624" t="inlineStr">
        <is>
          <t>A 61609-2020</t>
        </is>
      </c>
      <c r="B624" s="1" t="n">
        <v>44154</v>
      </c>
      <c r="C624" s="1" t="n">
        <v>45840</v>
      </c>
      <c r="D624" t="inlineStr">
        <is>
          <t>JÄMTLANDS LÄN</t>
        </is>
      </c>
      <c r="E624" t="inlineStr">
        <is>
          <t>KROKOM</t>
        </is>
      </c>
      <c r="G624" t="n">
        <v>6.4</v>
      </c>
      <c r="H624" t="n">
        <v>0</v>
      </c>
      <c r="I624" t="n">
        <v>0</v>
      </c>
      <c r="J624" t="n">
        <v>0</v>
      </c>
      <c r="K624" t="n">
        <v>0</v>
      </c>
      <c r="L624" t="n">
        <v>0</v>
      </c>
      <c r="M624" t="n">
        <v>0</v>
      </c>
      <c r="N624" t="n">
        <v>0</v>
      </c>
      <c r="O624" t="n">
        <v>0</v>
      </c>
      <c r="P624" t="n">
        <v>0</v>
      </c>
      <c r="Q624" t="n">
        <v>0</v>
      </c>
      <c r="R624" s="2" t="inlineStr"/>
    </row>
    <row r="625" ht="15" customHeight="1">
      <c r="A625" t="inlineStr">
        <is>
          <t>A 60928-2020</t>
        </is>
      </c>
      <c r="B625" s="1" t="n">
        <v>44154</v>
      </c>
      <c r="C625" s="1" t="n">
        <v>45840</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62406-2020</t>
        </is>
      </c>
      <c r="B626" s="1" t="n">
        <v>44159</v>
      </c>
      <c r="C626" s="1" t="n">
        <v>45840</v>
      </c>
      <c r="D626" t="inlineStr">
        <is>
          <t>JÄMTLANDS LÄN</t>
        </is>
      </c>
      <c r="E626" t="inlineStr">
        <is>
          <t>KROKOM</t>
        </is>
      </c>
      <c r="G626" t="n">
        <v>4</v>
      </c>
      <c r="H626" t="n">
        <v>0</v>
      </c>
      <c r="I626" t="n">
        <v>0</v>
      </c>
      <c r="J626" t="n">
        <v>0</v>
      </c>
      <c r="K626" t="n">
        <v>0</v>
      </c>
      <c r="L626" t="n">
        <v>0</v>
      </c>
      <c r="M626" t="n">
        <v>0</v>
      </c>
      <c r="N626" t="n">
        <v>0</v>
      </c>
      <c r="O626" t="n">
        <v>0</v>
      </c>
      <c r="P626" t="n">
        <v>0</v>
      </c>
      <c r="Q626" t="n">
        <v>0</v>
      </c>
      <c r="R626" s="2" t="inlineStr"/>
    </row>
    <row r="627" ht="15" customHeight="1">
      <c r="A627" t="inlineStr">
        <is>
          <t>A 63821-2020</t>
        </is>
      </c>
      <c r="B627" s="1" t="n">
        <v>44161</v>
      </c>
      <c r="C627" s="1" t="n">
        <v>45840</v>
      </c>
      <c r="D627" t="inlineStr">
        <is>
          <t>JÄMTLANDS LÄN</t>
        </is>
      </c>
      <c r="E627" t="inlineStr">
        <is>
          <t>KROKOM</t>
        </is>
      </c>
      <c r="G627" t="n">
        <v>6.8</v>
      </c>
      <c r="H627" t="n">
        <v>0</v>
      </c>
      <c r="I627" t="n">
        <v>0</v>
      </c>
      <c r="J627" t="n">
        <v>0</v>
      </c>
      <c r="K627" t="n">
        <v>0</v>
      </c>
      <c r="L627" t="n">
        <v>0</v>
      </c>
      <c r="M627" t="n">
        <v>0</v>
      </c>
      <c r="N627" t="n">
        <v>0</v>
      </c>
      <c r="O627" t="n">
        <v>0</v>
      </c>
      <c r="P627" t="n">
        <v>0</v>
      </c>
      <c r="Q627" t="n">
        <v>0</v>
      </c>
      <c r="R627" s="2" t="inlineStr"/>
    </row>
    <row r="628" ht="15" customHeight="1">
      <c r="A628" t="inlineStr">
        <is>
          <t>A 63701-2020</t>
        </is>
      </c>
      <c r="B628" s="1" t="n">
        <v>44162</v>
      </c>
      <c r="C628" s="1" t="n">
        <v>45840</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63787-2020</t>
        </is>
      </c>
      <c r="B629" s="1" t="n">
        <v>44162</v>
      </c>
      <c r="C629" s="1" t="n">
        <v>45840</v>
      </c>
      <c r="D629" t="inlineStr">
        <is>
          <t>JÄMTLANDS LÄN</t>
        </is>
      </c>
      <c r="E629" t="inlineStr">
        <is>
          <t>KROKOM</t>
        </is>
      </c>
      <c r="G629" t="n">
        <v>60.3</v>
      </c>
      <c r="H629" t="n">
        <v>0</v>
      </c>
      <c r="I629" t="n">
        <v>0</v>
      </c>
      <c r="J629" t="n">
        <v>0</v>
      </c>
      <c r="K629" t="n">
        <v>0</v>
      </c>
      <c r="L629" t="n">
        <v>0</v>
      </c>
      <c r="M629" t="n">
        <v>0</v>
      </c>
      <c r="N629" t="n">
        <v>0</v>
      </c>
      <c r="O629" t="n">
        <v>0</v>
      </c>
      <c r="P629" t="n">
        <v>0</v>
      </c>
      <c r="Q629" t="n">
        <v>0</v>
      </c>
      <c r="R629" s="2" t="inlineStr"/>
    </row>
    <row r="630" ht="15" customHeight="1">
      <c r="A630" t="inlineStr">
        <is>
          <t>A 64777-2020</t>
        </is>
      </c>
      <c r="B630" s="1" t="n">
        <v>44167</v>
      </c>
      <c r="C630" s="1" t="n">
        <v>45840</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65433-2020</t>
        </is>
      </c>
      <c r="B631" s="1" t="n">
        <v>44169</v>
      </c>
      <c r="C631" s="1" t="n">
        <v>45840</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65451-2020</t>
        </is>
      </c>
      <c r="B632" s="1" t="n">
        <v>44169</v>
      </c>
      <c r="C632" s="1" t="n">
        <v>45840</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65787-2020</t>
        </is>
      </c>
      <c r="B633" s="1" t="n">
        <v>44172</v>
      </c>
      <c r="C633" s="1" t="n">
        <v>45840</v>
      </c>
      <c r="D633" t="inlineStr">
        <is>
          <t>JÄMTLANDS LÄN</t>
        </is>
      </c>
      <c r="E633" t="inlineStr">
        <is>
          <t>KROKOM</t>
        </is>
      </c>
      <c r="G633" t="n">
        <v>5.8</v>
      </c>
      <c r="H633" t="n">
        <v>0</v>
      </c>
      <c r="I633" t="n">
        <v>0</v>
      </c>
      <c r="J633" t="n">
        <v>0</v>
      </c>
      <c r="K633" t="n">
        <v>0</v>
      </c>
      <c r="L633" t="n">
        <v>0</v>
      </c>
      <c r="M633" t="n">
        <v>0</v>
      </c>
      <c r="N633" t="n">
        <v>0</v>
      </c>
      <c r="O633" t="n">
        <v>0</v>
      </c>
      <c r="P633" t="n">
        <v>0</v>
      </c>
      <c r="Q633" t="n">
        <v>0</v>
      </c>
      <c r="R633" s="2" t="inlineStr"/>
    </row>
    <row r="634" ht="15" customHeight="1">
      <c r="A634" t="inlineStr">
        <is>
          <t>A 65783-2020</t>
        </is>
      </c>
      <c r="B634" s="1" t="n">
        <v>44172</v>
      </c>
      <c r="C634" s="1" t="n">
        <v>45840</v>
      </c>
      <c r="D634" t="inlineStr">
        <is>
          <t>JÄMTLANDS LÄN</t>
        </is>
      </c>
      <c r="E634" t="inlineStr">
        <is>
          <t>KROKOM</t>
        </is>
      </c>
      <c r="G634" t="n">
        <v>3.8</v>
      </c>
      <c r="H634" t="n">
        <v>0</v>
      </c>
      <c r="I634" t="n">
        <v>0</v>
      </c>
      <c r="J634" t="n">
        <v>0</v>
      </c>
      <c r="K634" t="n">
        <v>0</v>
      </c>
      <c r="L634" t="n">
        <v>0</v>
      </c>
      <c r="M634" t="n">
        <v>0</v>
      </c>
      <c r="N634" t="n">
        <v>0</v>
      </c>
      <c r="O634" t="n">
        <v>0</v>
      </c>
      <c r="P634" t="n">
        <v>0</v>
      </c>
      <c r="Q634" t="n">
        <v>0</v>
      </c>
      <c r="R634" s="2" t="inlineStr"/>
    </row>
    <row r="635" ht="15" customHeight="1">
      <c r="A635" t="inlineStr">
        <is>
          <t>A 65316-2020</t>
        </is>
      </c>
      <c r="B635" s="1" t="n">
        <v>44173</v>
      </c>
      <c r="C635" s="1" t="n">
        <v>45840</v>
      </c>
      <c r="D635" t="inlineStr">
        <is>
          <t>JÄMTLANDS LÄN</t>
        </is>
      </c>
      <c r="E635" t="inlineStr">
        <is>
          <t>KROKOM</t>
        </is>
      </c>
      <c r="F635" t="inlineStr">
        <is>
          <t>Övriga Aktiebolag</t>
        </is>
      </c>
      <c r="G635" t="n">
        <v>12.5</v>
      </c>
      <c r="H635" t="n">
        <v>0</v>
      </c>
      <c r="I635" t="n">
        <v>0</v>
      </c>
      <c r="J635" t="n">
        <v>0</v>
      </c>
      <c r="K635" t="n">
        <v>0</v>
      </c>
      <c r="L635" t="n">
        <v>0</v>
      </c>
      <c r="M635" t="n">
        <v>0</v>
      </c>
      <c r="N635" t="n">
        <v>0</v>
      </c>
      <c r="O635" t="n">
        <v>0</v>
      </c>
      <c r="P635" t="n">
        <v>0</v>
      </c>
      <c r="Q635" t="n">
        <v>0</v>
      </c>
      <c r="R635" s="2" t="inlineStr"/>
    </row>
    <row r="636" ht="15" customHeight="1">
      <c r="A636" t="inlineStr">
        <is>
          <t>A 66784-2020</t>
        </is>
      </c>
      <c r="B636" s="1" t="n">
        <v>44175</v>
      </c>
      <c r="C636" s="1" t="n">
        <v>45840</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66774-2020</t>
        </is>
      </c>
      <c r="B637" s="1" t="n">
        <v>44175</v>
      </c>
      <c r="C637" s="1" t="n">
        <v>45840</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67730-2020</t>
        </is>
      </c>
      <c r="B638" s="1" t="n">
        <v>44179</v>
      </c>
      <c r="C638" s="1" t="n">
        <v>45840</v>
      </c>
      <c r="D638" t="inlineStr">
        <is>
          <t>JÄMTLANDS LÄN</t>
        </is>
      </c>
      <c r="E638" t="inlineStr">
        <is>
          <t>KROKOM</t>
        </is>
      </c>
      <c r="G638" t="n">
        <v>7.5</v>
      </c>
      <c r="H638" t="n">
        <v>0</v>
      </c>
      <c r="I638" t="n">
        <v>0</v>
      </c>
      <c r="J638" t="n">
        <v>0</v>
      </c>
      <c r="K638" t="n">
        <v>0</v>
      </c>
      <c r="L638" t="n">
        <v>0</v>
      </c>
      <c r="M638" t="n">
        <v>0</v>
      </c>
      <c r="N638" t="n">
        <v>0</v>
      </c>
      <c r="O638" t="n">
        <v>0</v>
      </c>
      <c r="P638" t="n">
        <v>0</v>
      </c>
      <c r="Q638" t="n">
        <v>0</v>
      </c>
      <c r="R638" s="2" t="inlineStr"/>
    </row>
    <row r="639" ht="15" customHeight="1">
      <c r="A639" t="inlineStr">
        <is>
          <t>A 68060-2020</t>
        </is>
      </c>
      <c r="B639" s="1" t="n">
        <v>44183</v>
      </c>
      <c r="C639" s="1" t="n">
        <v>45840</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68387-2020</t>
        </is>
      </c>
      <c r="B640" s="1" t="n">
        <v>44183</v>
      </c>
      <c r="C640" s="1" t="n">
        <v>45840</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68393-2020</t>
        </is>
      </c>
      <c r="B641" s="1" t="n">
        <v>44183</v>
      </c>
      <c r="C641" s="1" t="n">
        <v>45840</v>
      </c>
      <c r="D641" t="inlineStr">
        <is>
          <t>JÄMTLANDS LÄN</t>
        </is>
      </c>
      <c r="E641" t="inlineStr">
        <is>
          <t>KROKOM</t>
        </is>
      </c>
      <c r="G641" t="n">
        <v>0.4</v>
      </c>
      <c r="H641" t="n">
        <v>0</v>
      </c>
      <c r="I641" t="n">
        <v>0</v>
      </c>
      <c r="J641" t="n">
        <v>0</v>
      </c>
      <c r="K641" t="n">
        <v>0</v>
      </c>
      <c r="L641" t="n">
        <v>0</v>
      </c>
      <c r="M641" t="n">
        <v>0</v>
      </c>
      <c r="N641" t="n">
        <v>0</v>
      </c>
      <c r="O641" t="n">
        <v>0</v>
      </c>
      <c r="P641" t="n">
        <v>0</v>
      </c>
      <c r="Q641" t="n">
        <v>0</v>
      </c>
      <c r="R641" s="2" t="inlineStr"/>
    </row>
    <row r="642" ht="15" customHeight="1">
      <c r="A642" t="inlineStr">
        <is>
          <t>A 68433-2020</t>
        </is>
      </c>
      <c r="B642" s="1" t="n">
        <v>44183</v>
      </c>
      <c r="C642" s="1" t="n">
        <v>45840</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68395-2020</t>
        </is>
      </c>
      <c r="B643" s="1" t="n">
        <v>44183</v>
      </c>
      <c r="C643" s="1" t="n">
        <v>45840</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68658-2020</t>
        </is>
      </c>
      <c r="B644" s="1" t="n">
        <v>44186</v>
      </c>
      <c r="C644" s="1" t="n">
        <v>45840</v>
      </c>
      <c r="D644" t="inlineStr">
        <is>
          <t>JÄMTLANDS LÄN</t>
        </is>
      </c>
      <c r="E644" t="inlineStr">
        <is>
          <t>KROKOM</t>
        </is>
      </c>
      <c r="G644" t="n">
        <v>1.3</v>
      </c>
      <c r="H644" t="n">
        <v>0</v>
      </c>
      <c r="I644" t="n">
        <v>0</v>
      </c>
      <c r="J644" t="n">
        <v>0</v>
      </c>
      <c r="K644" t="n">
        <v>0</v>
      </c>
      <c r="L644" t="n">
        <v>0</v>
      </c>
      <c r="M644" t="n">
        <v>0</v>
      </c>
      <c r="N644" t="n">
        <v>0</v>
      </c>
      <c r="O644" t="n">
        <v>0</v>
      </c>
      <c r="P644" t="n">
        <v>0</v>
      </c>
      <c r="Q644" t="n">
        <v>0</v>
      </c>
      <c r="R644" s="2" t="inlineStr"/>
    </row>
    <row r="645" ht="15" customHeight="1">
      <c r="A645" t="inlineStr">
        <is>
          <t>A 68764-2020</t>
        </is>
      </c>
      <c r="B645" s="1" t="n">
        <v>44186</v>
      </c>
      <c r="C645" s="1" t="n">
        <v>45840</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69120-2020</t>
        </is>
      </c>
      <c r="B646" s="1" t="n">
        <v>44188</v>
      </c>
      <c r="C646" s="1" t="n">
        <v>45840</v>
      </c>
      <c r="D646" t="inlineStr">
        <is>
          <t>JÄMTLANDS LÄN</t>
        </is>
      </c>
      <c r="E646" t="inlineStr">
        <is>
          <t>KROKOM</t>
        </is>
      </c>
      <c r="G646" t="n">
        <v>4.1</v>
      </c>
      <c r="H646" t="n">
        <v>0</v>
      </c>
      <c r="I646" t="n">
        <v>0</v>
      </c>
      <c r="J646" t="n">
        <v>0</v>
      </c>
      <c r="K646" t="n">
        <v>0</v>
      </c>
      <c r="L646" t="n">
        <v>0</v>
      </c>
      <c r="M646" t="n">
        <v>0</v>
      </c>
      <c r="N646" t="n">
        <v>0</v>
      </c>
      <c r="O646" t="n">
        <v>0</v>
      </c>
      <c r="P646" t="n">
        <v>0</v>
      </c>
      <c r="Q646" t="n">
        <v>0</v>
      </c>
      <c r="R646" s="2" t="inlineStr"/>
    </row>
    <row r="647" ht="15" customHeight="1">
      <c r="A647" t="inlineStr">
        <is>
          <t>A 327-2021</t>
        </is>
      </c>
      <c r="B647" s="1" t="n">
        <v>44200</v>
      </c>
      <c r="C647" s="1" t="n">
        <v>45840</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688-2021</t>
        </is>
      </c>
      <c r="B648" s="1" t="n">
        <v>44203</v>
      </c>
      <c r="C648" s="1" t="n">
        <v>45840</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884-2021</t>
        </is>
      </c>
      <c r="B649" s="1" t="n">
        <v>44206</v>
      </c>
      <c r="C649" s="1" t="n">
        <v>45840</v>
      </c>
      <c r="D649" t="inlineStr">
        <is>
          <t>JÄMTLANDS LÄN</t>
        </is>
      </c>
      <c r="E649" t="inlineStr">
        <is>
          <t>KROKOM</t>
        </is>
      </c>
      <c r="G649" t="n">
        <v>0.2</v>
      </c>
      <c r="H649" t="n">
        <v>0</v>
      </c>
      <c r="I649" t="n">
        <v>0</v>
      </c>
      <c r="J649" t="n">
        <v>0</v>
      </c>
      <c r="K649" t="n">
        <v>0</v>
      </c>
      <c r="L649" t="n">
        <v>0</v>
      </c>
      <c r="M649" t="n">
        <v>0</v>
      </c>
      <c r="N649" t="n">
        <v>0</v>
      </c>
      <c r="O649" t="n">
        <v>0</v>
      </c>
      <c r="P649" t="n">
        <v>0</v>
      </c>
      <c r="Q649" t="n">
        <v>0</v>
      </c>
      <c r="R649" s="2" t="inlineStr"/>
    </row>
    <row r="650" ht="15" customHeight="1">
      <c r="A650" t="inlineStr">
        <is>
          <t>A 913-2021</t>
        </is>
      </c>
      <c r="B650" s="1" t="n">
        <v>44207</v>
      </c>
      <c r="C650" s="1" t="n">
        <v>45840</v>
      </c>
      <c r="D650" t="inlineStr">
        <is>
          <t>JÄMTLANDS LÄN</t>
        </is>
      </c>
      <c r="E650" t="inlineStr">
        <is>
          <t>KROKOM</t>
        </is>
      </c>
      <c r="F650" t="inlineStr">
        <is>
          <t>Övriga Aktiebolag</t>
        </is>
      </c>
      <c r="G650" t="n">
        <v>50.8</v>
      </c>
      <c r="H650" t="n">
        <v>0</v>
      </c>
      <c r="I650" t="n">
        <v>0</v>
      </c>
      <c r="J650" t="n">
        <v>0</v>
      </c>
      <c r="K650" t="n">
        <v>0</v>
      </c>
      <c r="L650" t="n">
        <v>0</v>
      </c>
      <c r="M650" t="n">
        <v>0</v>
      </c>
      <c r="N650" t="n">
        <v>0</v>
      </c>
      <c r="O650" t="n">
        <v>0</v>
      </c>
      <c r="P650" t="n">
        <v>0</v>
      </c>
      <c r="Q650" t="n">
        <v>0</v>
      </c>
      <c r="R650" s="2" t="inlineStr"/>
    </row>
    <row r="651" ht="15" customHeight="1">
      <c r="A651" t="inlineStr">
        <is>
          <t>A 981-2021</t>
        </is>
      </c>
      <c r="B651" s="1" t="n">
        <v>44207</v>
      </c>
      <c r="C651" s="1" t="n">
        <v>45840</v>
      </c>
      <c r="D651" t="inlineStr">
        <is>
          <t>JÄMTLANDS LÄN</t>
        </is>
      </c>
      <c r="E651" t="inlineStr">
        <is>
          <t>KROKOM</t>
        </is>
      </c>
      <c r="G651" t="n">
        <v>3.5</v>
      </c>
      <c r="H651" t="n">
        <v>0</v>
      </c>
      <c r="I651" t="n">
        <v>0</v>
      </c>
      <c r="J651" t="n">
        <v>0</v>
      </c>
      <c r="K651" t="n">
        <v>0</v>
      </c>
      <c r="L651" t="n">
        <v>0</v>
      </c>
      <c r="M651" t="n">
        <v>0</v>
      </c>
      <c r="N651" t="n">
        <v>0</v>
      </c>
      <c r="O651" t="n">
        <v>0</v>
      </c>
      <c r="P651" t="n">
        <v>0</v>
      </c>
      <c r="Q651" t="n">
        <v>0</v>
      </c>
      <c r="R651" s="2" t="inlineStr"/>
    </row>
    <row r="652" ht="15" customHeight="1">
      <c r="A652" t="inlineStr">
        <is>
          <t>A 915-2021</t>
        </is>
      </c>
      <c r="B652" s="1" t="n">
        <v>44207</v>
      </c>
      <c r="C652" s="1" t="n">
        <v>45840</v>
      </c>
      <c r="D652" t="inlineStr">
        <is>
          <t>JÄMTLANDS LÄN</t>
        </is>
      </c>
      <c r="E652" t="inlineStr">
        <is>
          <t>KROKOM</t>
        </is>
      </c>
      <c r="F652" t="inlineStr">
        <is>
          <t>Övriga Aktiebolag</t>
        </is>
      </c>
      <c r="G652" t="n">
        <v>107.9</v>
      </c>
      <c r="H652" t="n">
        <v>0</v>
      </c>
      <c r="I652" t="n">
        <v>0</v>
      </c>
      <c r="J652" t="n">
        <v>0</v>
      </c>
      <c r="K652" t="n">
        <v>0</v>
      </c>
      <c r="L652" t="n">
        <v>0</v>
      </c>
      <c r="M652" t="n">
        <v>0</v>
      </c>
      <c r="N652" t="n">
        <v>0</v>
      </c>
      <c r="O652" t="n">
        <v>0</v>
      </c>
      <c r="P652" t="n">
        <v>0</v>
      </c>
      <c r="Q652" t="n">
        <v>0</v>
      </c>
      <c r="R652" s="2" t="inlineStr"/>
    </row>
    <row r="653" ht="15" customHeight="1">
      <c r="A653" t="inlineStr">
        <is>
          <t>A 1287-2021</t>
        </is>
      </c>
      <c r="B653" s="1" t="n">
        <v>44207</v>
      </c>
      <c r="C653" s="1" t="n">
        <v>45840</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1696-2021</t>
        </is>
      </c>
      <c r="B654" s="1" t="n">
        <v>44209</v>
      </c>
      <c r="C654" s="1" t="n">
        <v>45840</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1718-2021</t>
        </is>
      </c>
      <c r="B655" s="1" t="n">
        <v>44209</v>
      </c>
      <c r="C655" s="1" t="n">
        <v>45840</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1753-2021</t>
        </is>
      </c>
      <c r="B656" s="1" t="n">
        <v>44209</v>
      </c>
      <c r="C656" s="1" t="n">
        <v>45840</v>
      </c>
      <c r="D656" t="inlineStr">
        <is>
          <t>JÄMTLANDS LÄN</t>
        </is>
      </c>
      <c r="E656" t="inlineStr">
        <is>
          <t>KROKOM</t>
        </is>
      </c>
      <c r="G656" t="n">
        <v>17.2</v>
      </c>
      <c r="H656" t="n">
        <v>0</v>
      </c>
      <c r="I656" t="n">
        <v>0</v>
      </c>
      <c r="J656" t="n">
        <v>0</v>
      </c>
      <c r="K656" t="n">
        <v>0</v>
      </c>
      <c r="L656" t="n">
        <v>0</v>
      </c>
      <c r="M656" t="n">
        <v>0</v>
      </c>
      <c r="N656" t="n">
        <v>0</v>
      </c>
      <c r="O656" t="n">
        <v>0</v>
      </c>
      <c r="P656" t="n">
        <v>0</v>
      </c>
      <c r="Q656" t="n">
        <v>0</v>
      </c>
      <c r="R656" s="2" t="inlineStr"/>
    </row>
    <row r="657" ht="15" customHeight="1">
      <c r="A657" t="inlineStr">
        <is>
          <t>A 1756-2021</t>
        </is>
      </c>
      <c r="B657" s="1" t="n">
        <v>44209</v>
      </c>
      <c r="C657" s="1" t="n">
        <v>45840</v>
      </c>
      <c r="D657" t="inlineStr">
        <is>
          <t>JÄMTLANDS LÄN</t>
        </is>
      </c>
      <c r="E657" t="inlineStr">
        <is>
          <t>KROKOM</t>
        </is>
      </c>
      <c r="G657" t="n">
        <v>7.4</v>
      </c>
      <c r="H657" t="n">
        <v>0</v>
      </c>
      <c r="I657" t="n">
        <v>0</v>
      </c>
      <c r="J657" t="n">
        <v>0</v>
      </c>
      <c r="K657" t="n">
        <v>0</v>
      </c>
      <c r="L657" t="n">
        <v>0</v>
      </c>
      <c r="M657" t="n">
        <v>0</v>
      </c>
      <c r="N657" t="n">
        <v>0</v>
      </c>
      <c r="O657" t="n">
        <v>0</v>
      </c>
      <c r="P657" t="n">
        <v>0</v>
      </c>
      <c r="Q657" t="n">
        <v>0</v>
      </c>
      <c r="R657" s="2" t="inlineStr"/>
    </row>
    <row r="658" ht="15" customHeight="1">
      <c r="A658" t="inlineStr">
        <is>
          <t>A 2062-2021</t>
        </is>
      </c>
      <c r="B658" s="1" t="n">
        <v>44211</v>
      </c>
      <c r="C658" s="1" t="n">
        <v>45840</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2356-2021</t>
        </is>
      </c>
      <c r="B659" s="1" t="n">
        <v>44214</v>
      </c>
      <c r="C659" s="1" t="n">
        <v>45840</v>
      </c>
      <c r="D659" t="inlineStr">
        <is>
          <t>JÄMTLANDS LÄN</t>
        </is>
      </c>
      <c r="E659" t="inlineStr">
        <is>
          <t>KROKOM</t>
        </is>
      </c>
      <c r="G659" t="n">
        <v>22.6</v>
      </c>
      <c r="H659" t="n">
        <v>0</v>
      </c>
      <c r="I659" t="n">
        <v>0</v>
      </c>
      <c r="J659" t="n">
        <v>0</v>
      </c>
      <c r="K659" t="n">
        <v>0</v>
      </c>
      <c r="L659" t="n">
        <v>0</v>
      </c>
      <c r="M659" t="n">
        <v>0</v>
      </c>
      <c r="N659" t="n">
        <v>0</v>
      </c>
      <c r="O659" t="n">
        <v>0</v>
      </c>
      <c r="P659" t="n">
        <v>0</v>
      </c>
      <c r="Q659" t="n">
        <v>0</v>
      </c>
      <c r="R659" s="2" t="inlineStr"/>
    </row>
    <row r="660" ht="15" customHeight="1">
      <c r="A660" t="inlineStr">
        <is>
          <t>A 2410-2021</t>
        </is>
      </c>
      <c r="B660" s="1" t="n">
        <v>44214</v>
      </c>
      <c r="C660" s="1" t="n">
        <v>45840</v>
      </c>
      <c r="D660" t="inlineStr">
        <is>
          <t>JÄMTLANDS LÄN</t>
        </is>
      </c>
      <c r="E660" t="inlineStr">
        <is>
          <t>KROKOM</t>
        </is>
      </c>
      <c r="G660" t="n">
        <v>32.7</v>
      </c>
      <c r="H660" t="n">
        <v>0</v>
      </c>
      <c r="I660" t="n">
        <v>0</v>
      </c>
      <c r="J660" t="n">
        <v>0</v>
      </c>
      <c r="K660" t="n">
        <v>0</v>
      </c>
      <c r="L660" t="n">
        <v>0</v>
      </c>
      <c r="M660" t="n">
        <v>0</v>
      </c>
      <c r="N660" t="n">
        <v>0</v>
      </c>
      <c r="O660" t="n">
        <v>0</v>
      </c>
      <c r="P660" t="n">
        <v>0</v>
      </c>
      <c r="Q660" t="n">
        <v>0</v>
      </c>
      <c r="R660" s="2" t="inlineStr"/>
    </row>
    <row r="661" ht="15" customHeight="1">
      <c r="A661" t="inlineStr">
        <is>
          <t>A 2427-2021</t>
        </is>
      </c>
      <c r="B661" s="1" t="n">
        <v>44214</v>
      </c>
      <c r="C661" s="1" t="n">
        <v>45840</v>
      </c>
      <c r="D661" t="inlineStr">
        <is>
          <t>JÄMTLANDS LÄN</t>
        </is>
      </c>
      <c r="E661" t="inlineStr">
        <is>
          <t>KROKOM</t>
        </is>
      </c>
      <c r="G661" t="n">
        <v>20.5</v>
      </c>
      <c r="H661" t="n">
        <v>0</v>
      </c>
      <c r="I661" t="n">
        <v>0</v>
      </c>
      <c r="J661" t="n">
        <v>0</v>
      </c>
      <c r="K661" t="n">
        <v>0</v>
      </c>
      <c r="L661" t="n">
        <v>0</v>
      </c>
      <c r="M661" t="n">
        <v>0</v>
      </c>
      <c r="N661" t="n">
        <v>0</v>
      </c>
      <c r="O661" t="n">
        <v>0</v>
      </c>
      <c r="P661" t="n">
        <v>0</v>
      </c>
      <c r="Q661" t="n">
        <v>0</v>
      </c>
      <c r="R661" s="2" t="inlineStr"/>
    </row>
    <row r="662" ht="15" customHeight="1">
      <c r="A662" t="inlineStr">
        <is>
          <t>A 2442-2021</t>
        </is>
      </c>
      <c r="B662" s="1" t="n">
        <v>44214</v>
      </c>
      <c r="C662" s="1" t="n">
        <v>45840</v>
      </c>
      <c r="D662" t="inlineStr">
        <is>
          <t>JÄMTLANDS LÄN</t>
        </is>
      </c>
      <c r="E662" t="inlineStr">
        <is>
          <t>KROKOM</t>
        </is>
      </c>
      <c r="G662" t="n">
        <v>25.4</v>
      </c>
      <c r="H662" t="n">
        <v>0</v>
      </c>
      <c r="I662" t="n">
        <v>0</v>
      </c>
      <c r="J662" t="n">
        <v>0</v>
      </c>
      <c r="K662" t="n">
        <v>0</v>
      </c>
      <c r="L662" t="n">
        <v>0</v>
      </c>
      <c r="M662" t="n">
        <v>0</v>
      </c>
      <c r="N662" t="n">
        <v>0</v>
      </c>
      <c r="O662" t="n">
        <v>0</v>
      </c>
      <c r="P662" t="n">
        <v>0</v>
      </c>
      <c r="Q662" t="n">
        <v>0</v>
      </c>
      <c r="R662" s="2" t="inlineStr"/>
    </row>
    <row r="663" ht="15" customHeight="1">
      <c r="A663" t="inlineStr">
        <is>
          <t>A 2451-2021</t>
        </is>
      </c>
      <c r="B663" s="1" t="n">
        <v>44214</v>
      </c>
      <c r="C663" s="1" t="n">
        <v>45840</v>
      </c>
      <c r="D663" t="inlineStr">
        <is>
          <t>JÄMTLANDS LÄN</t>
        </is>
      </c>
      <c r="E663" t="inlineStr">
        <is>
          <t>KROKOM</t>
        </is>
      </c>
      <c r="G663" t="n">
        <v>29.5</v>
      </c>
      <c r="H663" t="n">
        <v>0</v>
      </c>
      <c r="I663" t="n">
        <v>0</v>
      </c>
      <c r="J663" t="n">
        <v>0</v>
      </c>
      <c r="K663" t="n">
        <v>0</v>
      </c>
      <c r="L663" t="n">
        <v>0</v>
      </c>
      <c r="M663" t="n">
        <v>0</v>
      </c>
      <c r="N663" t="n">
        <v>0</v>
      </c>
      <c r="O663" t="n">
        <v>0</v>
      </c>
      <c r="P663" t="n">
        <v>0</v>
      </c>
      <c r="Q663" t="n">
        <v>0</v>
      </c>
      <c r="R663" s="2" t="inlineStr"/>
    </row>
    <row r="664" ht="15" customHeight="1">
      <c r="A664" t="inlineStr">
        <is>
          <t>A 2568-2021</t>
        </is>
      </c>
      <c r="B664" s="1" t="n">
        <v>44214</v>
      </c>
      <c r="C664" s="1" t="n">
        <v>45840</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5422-2021</t>
        </is>
      </c>
      <c r="B665" s="1" t="n">
        <v>44228</v>
      </c>
      <c r="C665" s="1" t="n">
        <v>45840</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8154-2021</t>
        </is>
      </c>
      <c r="B666" s="1" t="n">
        <v>44243</v>
      </c>
      <c r="C666" s="1" t="n">
        <v>45840</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8302-2021</t>
        </is>
      </c>
      <c r="B667" s="1" t="n">
        <v>44244</v>
      </c>
      <c r="C667" s="1" t="n">
        <v>45840</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10008-2021</t>
        </is>
      </c>
      <c r="B668" s="1" t="n">
        <v>44255</v>
      </c>
      <c r="C668" s="1" t="n">
        <v>45840</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10303-2021</t>
        </is>
      </c>
      <c r="B669" s="1" t="n">
        <v>44256</v>
      </c>
      <c r="C669" s="1" t="n">
        <v>45840</v>
      </c>
      <c r="D669" t="inlineStr">
        <is>
          <t>JÄMTLANDS LÄN</t>
        </is>
      </c>
      <c r="E669" t="inlineStr">
        <is>
          <t>KROKOM</t>
        </is>
      </c>
      <c r="G669" t="n">
        <v>1.1</v>
      </c>
      <c r="H669" t="n">
        <v>0</v>
      </c>
      <c r="I669" t="n">
        <v>0</v>
      </c>
      <c r="J669" t="n">
        <v>0</v>
      </c>
      <c r="K669" t="n">
        <v>0</v>
      </c>
      <c r="L669" t="n">
        <v>0</v>
      </c>
      <c r="M669" t="n">
        <v>0</v>
      </c>
      <c r="N669" t="n">
        <v>0</v>
      </c>
      <c r="O669" t="n">
        <v>0</v>
      </c>
      <c r="P669" t="n">
        <v>0</v>
      </c>
      <c r="Q669" t="n">
        <v>0</v>
      </c>
      <c r="R669" s="2" t="inlineStr"/>
    </row>
    <row r="670" ht="15" customHeight="1">
      <c r="A670" t="inlineStr">
        <is>
          <t>A 11117-2021</t>
        </is>
      </c>
      <c r="B670" s="1" t="n">
        <v>44260</v>
      </c>
      <c r="C670" s="1" t="n">
        <v>45840</v>
      </c>
      <c r="D670" t="inlineStr">
        <is>
          <t>JÄMTLANDS LÄN</t>
        </is>
      </c>
      <c r="E670" t="inlineStr">
        <is>
          <t>KROKOM</t>
        </is>
      </c>
      <c r="G670" t="n">
        <v>8</v>
      </c>
      <c r="H670" t="n">
        <v>0</v>
      </c>
      <c r="I670" t="n">
        <v>0</v>
      </c>
      <c r="J670" t="n">
        <v>0</v>
      </c>
      <c r="K670" t="n">
        <v>0</v>
      </c>
      <c r="L670" t="n">
        <v>0</v>
      </c>
      <c r="M670" t="n">
        <v>0</v>
      </c>
      <c r="N670" t="n">
        <v>0</v>
      </c>
      <c r="O670" t="n">
        <v>0</v>
      </c>
      <c r="P670" t="n">
        <v>0</v>
      </c>
      <c r="Q670" t="n">
        <v>0</v>
      </c>
      <c r="R670" s="2" t="inlineStr"/>
    </row>
    <row r="671" ht="15" customHeight="1">
      <c r="A671" t="inlineStr">
        <is>
          <t>A 11530-2021</t>
        </is>
      </c>
      <c r="B671" s="1" t="n">
        <v>44263</v>
      </c>
      <c r="C671" s="1" t="n">
        <v>45840</v>
      </c>
      <c r="D671" t="inlineStr">
        <is>
          <t>JÄMTLANDS LÄN</t>
        </is>
      </c>
      <c r="E671" t="inlineStr">
        <is>
          <t>KROKOM</t>
        </is>
      </c>
      <c r="G671" t="n">
        <v>9</v>
      </c>
      <c r="H671" t="n">
        <v>0</v>
      </c>
      <c r="I671" t="n">
        <v>0</v>
      </c>
      <c r="J671" t="n">
        <v>0</v>
      </c>
      <c r="K671" t="n">
        <v>0</v>
      </c>
      <c r="L671" t="n">
        <v>0</v>
      </c>
      <c r="M671" t="n">
        <v>0</v>
      </c>
      <c r="N671" t="n">
        <v>0</v>
      </c>
      <c r="O671" t="n">
        <v>0</v>
      </c>
      <c r="P671" t="n">
        <v>0</v>
      </c>
      <c r="Q671" t="n">
        <v>0</v>
      </c>
      <c r="R671" s="2" t="inlineStr"/>
    </row>
    <row r="672" ht="15" customHeight="1">
      <c r="A672" t="inlineStr">
        <is>
          <t>A 12721-2021</t>
        </is>
      </c>
      <c r="B672" s="1" t="n">
        <v>44270</v>
      </c>
      <c r="C672" s="1" t="n">
        <v>45840</v>
      </c>
      <c r="D672" t="inlineStr">
        <is>
          <t>JÄMTLANDS LÄN</t>
        </is>
      </c>
      <c r="E672" t="inlineStr">
        <is>
          <t>KROKOM</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12884-2021</t>
        </is>
      </c>
      <c r="B673" s="1" t="n">
        <v>44271</v>
      </c>
      <c r="C673" s="1" t="n">
        <v>45840</v>
      </c>
      <c r="D673" t="inlineStr">
        <is>
          <t>JÄMTLANDS LÄN</t>
        </is>
      </c>
      <c r="E673" t="inlineStr">
        <is>
          <t>KROKOM</t>
        </is>
      </c>
      <c r="G673" t="n">
        <v>5.5</v>
      </c>
      <c r="H673" t="n">
        <v>0</v>
      </c>
      <c r="I673" t="n">
        <v>0</v>
      </c>
      <c r="J673" t="n">
        <v>0</v>
      </c>
      <c r="K673" t="n">
        <v>0</v>
      </c>
      <c r="L673" t="n">
        <v>0</v>
      </c>
      <c r="M673" t="n">
        <v>0</v>
      </c>
      <c r="N673" t="n">
        <v>0</v>
      </c>
      <c r="O673" t="n">
        <v>0</v>
      </c>
      <c r="P673" t="n">
        <v>0</v>
      </c>
      <c r="Q673" t="n">
        <v>0</v>
      </c>
      <c r="R673" s="2" t="inlineStr"/>
    </row>
    <row r="674" ht="15" customHeight="1">
      <c r="A674" t="inlineStr">
        <is>
          <t>A 12889-2021</t>
        </is>
      </c>
      <c r="B674" s="1" t="n">
        <v>44271</v>
      </c>
      <c r="C674" s="1" t="n">
        <v>45840</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13395-2021</t>
        </is>
      </c>
      <c r="B675" s="1" t="n">
        <v>44273</v>
      </c>
      <c r="C675" s="1" t="n">
        <v>45840</v>
      </c>
      <c r="D675" t="inlineStr">
        <is>
          <t>JÄMTLANDS LÄN</t>
        </is>
      </c>
      <c r="E675" t="inlineStr">
        <is>
          <t>KROKOM</t>
        </is>
      </c>
      <c r="G675" t="n">
        <v>13.7</v>
      </c>
      <c r="H675" t="n">
        <v>0</v>
      </c>
      <c r="I675" t="n">
        <v>0</v>
      </c>
      <c r="J675" t="n">
        <v>0</v>
      </c>
      <c r="K675" t="n">
        <v>0</v>
      </c>
      <c r="L675" t="n">
        <v>0</v>
      </c>
      <c r="M675" t="n">
        <v>0</v>
      </c>
      <c r="N675" t="n">
        <v>0</v>
      </c>
      <c r="O675" t="n">
        <v>0</v>
      </c>
      <c r="P675" t="n">
        <v>0</v>
      </c>
      <c r="Q675" t="n">
        <v>0</v>
      </c>
      <c r="R675" s="2" t="inlineStr"/>
    </row>
    <row r="676" ht="15" customHeight="1">
      <c r="A676" t="inlineStr">
        <is>
          <t>A 13989-2021</t>
        </is>
      </c>
      <c r="B676" s="1" t="n">
        <v>44277</v>
      </c>
      <c r="C676" s="1" t="n">
        <v>45840</v>
      </c>
      <c r="D676" t="inlineStr">
        <is>
          <t>JÄMTLANDS LÄN</t>
        </is>
      </c>
      <c r="E676" t="inlineStr">
        <is>
          <t>KROKOM</t>
        </is>
      </c>
      <c r="G676" t="n">
        <v>2.2</v>
      </c>
      <c r="H676" t="n">
        <v>0</v>
      </c>
      <c r="I676" t="n">
        <v>0</v>
      </c>
      <c r="J676" t="n">
        <v>0</v>
      </c>
      <c r="K676" t="n">
        <v>0</v>
      </c>
      <c r="L676" t="n">
        <v>0</v>
      </c>
      <c r="M676" t="n">
        <v>0</v>
      </c>
      <c r="N676" t="n">
        <v>0</v>
      </c>
      <c r="O676" t="n">
        <v>0</v>
      </c>
      <c r="P676" t="n">
        <v>0</v>
      </c>
      <c r="Q676" t="n">
        <v>0</v>
      </c>
      <c r="R676" s="2" t="inlineStr"/>
    </row>
    <row r="677" ht="15" customHeight="1">
      <c r="A677" t="inlineStr">
        <is>
          <t>A 14167-2021</t>
        </is>
      </c>
      <c r="B677" s="1" t="n">
        <v>44278</v>
      </c>
      <c r="C677" s="1" t="n">
        <v>45840</v>
      </c>
      <c r="D677" t="inlineStr">
        <is>
          <t>JÄMTLANDS LÄN</t>
        </is>
      </c>
      <c r="E677" t="inlineStr">
        <is>
          <t>KROKOM</t>
        </is>
      </c>
      <c r="G677" t="n">
        <v>5.4</v>
      </c>
      <c r="H677" t="n">
        <v>0</v>
      </c>
      <c r="I677" t="n">
        <v>0</v>
      </c>
      <c r="J677" t="n">
        <v>0</v>
      </c>
      <c r="K677" t="n">
        <v>0</v>
      </c>
      <c r="L677" t="n">
        <v>0</v>
      </c>
      <c r="M677" t="n">
        <v>0</v>
      </c>
      <c r="N677" t="n">
        <v>0</v>
      </c>
      <c r="O677" t="n">
        <v>0</v>
      </c>
      <c r="P677" t="n">
        <v>0</v>
      </c>
      <c r="Q677" t="n">
        <v>0</v>
      </c>
      <c r="R677" s="2" t="inlineStr"/>
    </row>
    <row r="678" ht="15" customHeight="1">
      <c r="A678" t="inlineStr">
        <is>
          <t>A 14593-2021</t>
        </is>
      </c>
      <c r="B678" s="1" t="n">
        <v>44279</v>
      </c>
      <c r="C678" s="1" t="n">
        <v>45840</v>
      </c>
      <c r="D678" t="inlineStr">
        <is>
          <t>JÄMTLANDS LÄN</t>
        </is>
      </c>
      <c r="E678" t="inlineStr">
        <is>
          <t>KROKOM</t>
        </is>
      </c>
      <c r="G678" t="n">
        <v>3.1</v>
      </c>
      <c r="H678" t="n">
        <v>0</v>
      </c>
      <c r="I678" t="n">
        <v>0</v>
      </c>
      <c r="J678" t="n">
        <v>0</v>
      </c>
      <c r="K678" t="n">
        <v>0</v>
      </c>
      <c r="L678" t="n">
        <v>0</v>
      </c>
      <c r="M678" t="n">
        <v>0</v>
      </c>
      <c r="N678" t="n">
        <v>0</v>
      </c>
      <c r="O678" t="n">
        <v>0</v>
      </c>
      <c r="P678" t="n">
        <v>0</v>
      </c>
      <c r="Q678" t="n">
        <v>0</v>
      </c>
      <c r="R678" s="2" t="inlineStr"/>
    </row>
    <row r="679" ht="15" customHeight="1">
      <c r="A679" t="inlineStr">
        <is>
          <t>A 14598-2021</t>
        </is>
      </c>
      <c r="B679" s="1" t="n">
        <v>44279</v>
      </c>
      <c r="C679" s="1" t="n">
        <v>45840</v>
      </c>
      <c r="D679" t="inlineStr">
        <is>
          <t>JÄMTLANDS LÄN</t>
        </is>
      </c>
      <c r="E679" t="inlineStr">
        <is>
          <t>KROKOM</t>
        </is>
      </c>
      <c r="G679" t="n">
        <v>25.4</v>
      </c>
      <c r="H679" t="n">
        <v>0</v>
      </c>
      <c r="I679" t="n">
        <v>0</v>
      </c>
      <c r="J679" t="n">
        <v>0</v>
      </c>
      <c r="K679" t="n">
        <v>0</v>
      </c>
      <c r="L679" t="n">
        <v>0</v>
      </c>
      <c r="M679" t="n">
        <v>0</v>
      </c>
      <c r="N679" t="n">
        <v>0</v>
      </c>
      <c r="O679" t="n">
        <v>0</v>
      </c>
      <c r="P679" t="n">
        <v>0</v>
      </c>
      <c r="Q679" t="n">
        <v>0</v>
      </c>
      <c r="R679" s="2" t="inlineStr"/>
    </row>
    <row r="680" ht="15" customHeight="1">
      <c r="A680" t="inlineStr">
        <is>
          <t>A 14591-2021</t>
        </is>
      </c>
      <c r="B680" s="1" t="n">
        <v>44279</v>
      </c>
      <c r="C680" s="1" t="n">
        <v>45840</v>
      </c>
      <c r="D680" t="inlineStr">
        <is>
          <t>JÄMTLANDS LÄN</t>
        </is>
      </c>
      <c r="E680" t="inlineStr">
        <is>
          <t>KROKOM</t>
        </is>
      </c>
      <c r="G680" t="n">
        <v>4</v>
      </c>
      <c r="H680" t="n">
        <v>0</v>
      </c>
      <c r="I680" t="n">
        <v>0</v>
      </c>
      <c r="J680" t="n">
        <v>0</v>
      </c>
      <c r="K680" t="n">
        <v>0</v>
      </c>
      <c r="L680" t="n">
        <v>0</v>
      </c>
      <c r="M680" t="n">
        <v>0</v>
      </c>
      <c r="N680" t="n">
        <v>0</v>
      </c>
      <c r="O680" t="n">
        <v>0</v>
      </c>
      <c r="P680" t="n">
        <v>0</v>
      </c>
      <c r="Q680" t="n">
        <v>0</v>
      </c>
      <c r="R680" s="2" t="inlineStr"/>
    </row>
    <row r="681" ht="15" customHeight="1">
      <c r="A681" t="inlineStr">
        <is>
          <t>A 14595-2021</t>
        </is>
      </c>
      <c r="B681" s="1" t="n">
        <v>44279</v>
      </c>
      <c r="C681" s="1" t="n">
        <v>45840</v>
      </c>
      <c r="D681" t="inlineStr">
        <is>
          <t>JÄMTLANDS LÄN</t>
        </is>
      </c>
      <c r="E681" t="inlineStr">
        <is>
          <t>KROKOM</t>
        </is>
      </c>
      <c r="G681" t="n">
        <v>4.5</v>
      </c>
      <c r="H681" t="n">
        <v>0</v>
      </c>
      <c r="I681" t="n">
        <v>0</v>
      </c>
      <c r="J681" t="n">
        <v>0</v>
      </c>
      <c r="K681" t="n">
        <v>0</v>
      </c>
      <c r="L681" t="n">
        <v>0</v>
      </c>
      <c r="M681" t="n">
        <v>0</v>
      </c>
      <c r="N681" t="n">
        <v>0</v>
      </c>
      <c r="O681" t="n">
        <v>0</v>
      </c>
      <c r="P681" t="n">
        <v>0</v>
      </c>
      <c r="Q681" t="n">
        <v>0</v>
      </c>
      <c r="R681" s="2" t="inlineStr"/>
    </row>
    <row r="682" ht="15" customHeight="1">
      <c r="A682" t="inlineStr">
        <is>
          <t>A 14592-2021</t>
        </is>
      </c>
      <c r="B682" s="1" t="n">
        <v>44279</v>
      </c>
      <c r="C682" s="1" t="n">
        <v>45840</v>
      </c>
      <c r="D682" t="inlineStr">
        <is>
          <t>JÄMTLANDS LÄN</t>
        </is>
      </c>
      <c r="E682" t="inlineStr">
        <is>
          <t>KROKOM</t>
        </is>
      </c>
      <c r="G682" t="n">
        <v>5.6</v>
      </c>
      <c r="H682" t="n">
        <v>0</v>
      </c>
      <c r="I682" t="n">
        <v>0</v>
      </c>
      <c r="J682" t="n">
        <v>0</v>
      </c>
      <c r="K682" t="n">
        <v>0</v>
      </c>
      <c r="L682" t="n">
        <v>0</v>
      </c>
      <c r="M682" t="n">
        <v>0</v>
      </c>
      <c r="N682" t="n">
        <v>0</v>
      </c>
      <c r="O682" t="n">
        <v>0</v>
      </c>
      <c r="P682" t="n">
        <v>0</v>
      </c>
      <c r="Q682" t="n">
        <v>0</v>
      </c>
      <c r="R682" s="2" t="inlineStr"/>
    </row>
    <row r="683" ht="15" customHeight="1">
      <c r="A683" t="inlineStr">
        <is>
          <t>A 14596-2021</t>
        </is>
      </c>
      <c r="B683" s="1" t="n">
        <v>44279</v>
      </c>
      <c r="C683" s="1" t="n">
        <v>45840</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15425-2021</t>
        </is>
      </c>
      <c r="B684" s="1" t="n">
        <v>44284</v>
      </c>
      <c r="C684" s="1" t="n">
        <v>45840</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15452-2021</t>
        </is>
      </c>
      <c r="B685" s="1" t="n">
        <v>44285</v>
      </c>
      <c r="C685" s="1" t="n">
        <v>45840</v>
      </c>
      <c r="D685" t="inlineStr">
        <is>
          <t>JÄMTLANDS LÄN</t>
        </is>
      </c>
      <c r="E685" t="inlineStr">
        <is>
          <t>KROKOM</t>
        </is>
      </c>
      <c r="G685" t="n">
        <v>1.3</v>
      </c>
      <c r="H685" t="n">
        <v>0</v>
      </c>
      <c r="I685" t="n">
        <v>0</v>
      </c>
      <c r="J685" t="n">
        <v>0</v>
      </c>
      <c r="K685" t="n">
        <v>0</v>
      </c>
      <c r="L685" t="n">
        <v>0</v>
      </c>
      <c r="M685" t="n">
        <v>0</v>
      </c>
      <c r="N685" t="n">
        <v>0</v>
      </c>
      <c r="O685" t="n">
        <v>0</v>
      </c>
      <c r="P685" t="n">
        <v>0</v>
      </c>
      <c r="Q685" t="n">
        <v>0</v>
      </c>
      <c r="R685" s="2" t="inlineStr"/>
    </row>
    <row r="686" ht="15" customHeight="1">
      <c r="A686" t="inlineStr">
        <is>
          <t>A 15455-2021</t>
        </is>
      </c>
      <c r="B686" s="1" t="n">
        <v>44285</v>
      </c>
      <c r="C686" s="1" t="n">
        <v>45840</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15451-2021</t>
        </is>
      </c>
      <c r="B687" s="1" t="n">
        <v>44285</v>
      </c>
      <c r="C687" s="1" t="n">
        <v>45840</v>
      </c>
      <c r="D687" t="inlineStr">
        <is>
          <t>JÄMTLANDS LÄN</t>
        </is>
      </c>
      <c r="E687" t="inlineStr">
        <is>
          <t>KROKOM</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15748-2021</t>
        </is>
      </c>
      <c r="B688" s="1" t="n">
        <v>44286</v>
      </c>
      <c r="C688" s="1" t="n">
        <v>45840</v>
      </c>
      <c r="D688" t="inlineStr">
        <is>
          <t>JÄMTLANDS LÄN</t>
        </is>
      </c>
      <c r="E688" t="inlineStr">
        <is>
          <t>KROKOM</t>
        </is>
      </c>
      <c r="G688" t="n">
        <v>2.5</v>
      </c>
      <c r="H688" t="n">
        <v>0</v>
      </c>
      <c r="I688" t="n">
        <v>0</v>
      </c>
      <c r="J688" t="n">
        <v>0</v>
      </c>
      <c r="K688" t="n">
        <v>0</v>
      </c>
      <c r="L688" t="n">
        <v>0</v>
      </c>
      <c r="M688" t="n">
        <v>0</v>
      </c>
      <c r="N688" t="n">
        <v>0</v>
      </c>
      <c r="O688" t="n">
        <v>0</v>
      </c>
      <c r="P688" t="n">
        <v>0</v>
      </c>
      <c r="Q688" t="n">
        <v>0</v>
      </c>
      <c r="R688" s="2" t="inlineStr"/>
    </row>
    <row r="689" ht="15" customHeight="1">
      <c r="A689" t="inlineStr">
        <is>
          <t>A 16188-2021</t>
        </is>
      </c>
      <c r="B689" s="1" t="n">
        <v>44287</v>
      </c>
      <c r="C689" s="1" t="n">
        <v>45840</v>
      </c>
      <c r="D689" t="inlineStr">
        <is>
          <t>JÄMTLANDS LÄN</t>
        </is>
      </c>
      <c r="E689" t="inlineStr">
        <is>
          <t>KROKOM</t>
        </is>
      </c>
      <c r="G689" t="n">
        <v>30.5</v>
      </c>
      <c r="H689" t="n">
        <v>0</v>
      </c>
      <c r="I689" t="n">
        <v>0</v>
      </c>
      <c r="J689" t="n">
        <v>0</v>
      </c>
      <c r="K689" t="n">
        <v>0</v>
      </c>
      <c r="L689" t="n">
        <v>0</v>
      </c>
      <c r="M689" t="n">
        <v>0</v>
      </c>
      <c r="N689" t="n">
        <v>0</v>
      </c>
      <c r="O689" t="n">
        <v>0</v>
      </c>
      <c r="P689" t="n">
        <v>0</v>
      </c>
      <c r="Q689" t="n">
        <v>0</v>
      </c>
      <c r="R689" s="2" t="inlineStr"/>
    </row>
    <row r="690" ht="15" customHeight="1">
      <c r="A690" t="inlineStr">
        <is>
          <t>A 16242-2021</t>
        </is>
      </c>
      <c r="B690" s="1" t="n">
        <v>44292</v>
      </c>
      <c r="C690" s="1" t="n">
        <v>45840</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17599-2021</t>
        </is>
      </c>
      <c r="B691" s="1" t="n">
        <v>44299</v>
      </c>
      <c r="C691" s="1" t="n">
        <v>45840</v>
      </c>
      <c r="D691" t="inlineStr">
        <is>
          <t>JÄMTLANDS LÄN</t>
        </is>
      </c>
      <c r="E691" t="inlineStr">
        <is>
          <t>KROKOM</t>
        </is>
      </c>
      <c r="G691" t="n">
        <v>1.8</v>
      </c>
      <c r="H691" t="n">
        <v>0</v>
      </c>
      <c r="I691" t="n">
        <v>0</v>
      </c>
      <c r="J691" t="n">
        <v>0</v>
      </c>
      <c r="K691" t="n">
        <v>0</v>
      </c>
      <c r="L691" t="n">
        <v>0</v>
      </c>
      <c r="M691" t="n">
        <v>0</v>
      </c>
      <c r="N691" t="n">
        <v>0</v>
      </c>
      <c r="O691" t="n">
        <v>0</v>
      </c>
      <c r="P691" t="n">
        <v>0</v>
      </c>
      <c r="Q691" t="n">
        <v>0</v>
      </c>
      <c r="R691" s="2" t="inlineStr"/>
    </row>
    <row r="692" ht="15" customHeight="1">
      <c r="A692" t="inlineStr">
        <is>
          <t>A 17726-2021</t>
        </is>
      </c>
      <c r="B692" s="1" t="n">
        <v>44300</v>
      </c>
      <c r="C692" s="1" t="n">
        <v>45840</v>
      </c>
      <c r="D692" t="inlineStr">
        <is>
          <t>JÄMTLANDS LÄN</t>
        </is>
      </c>
      <c r="E692" t="inlineStr">
        <is>
          <t>KROKOM</t>
        </is>
      </c>
      <c r="G692" t="n">
        <v>30.7</v>
      </c>
      <c r="H692" t="n">
        <v>0</v>
      </c>
      <c r="I692" t="n">
        <v>0</v>
      </c>
      <c r="J692" t="n">
        <v>0</v>
      </c>
      <c r="K692" t="n">
        <v>0</v>
      </c>
      <c r="L692" t="n">
        <v>0</v>
      </c>
      <c r="M692" t="n">
        <v>0</v>
      </c>
      <c r="N692" t="n">
        <v>0</v>
      </c>
      <c r="O692" t="n">
        <v>0</v>
      </c>
      <c r="P692" t="n">
        <v>0</v>
      </c>
      <c r="Q692" t="n">
        <v>0</v>
      </c>
      <c r="R692" s="2" t="inlineStr"/>
    </row>
    <row r="693" ht="15" customHeight="1">
      <c r="A693" t="inlineStr">
        <is>
          <t>A 18544-2021</t>
        </is>
      </c>
      <c r="B693" s="1" t="n">
        <v>44306</v>
      </c>
      <c r="C693" s="1" t="n">
        <v>45840</v>
      </c>
      <c r="D693" t="inlineStr">
        <is>
          <t>JÄMTLANDS LÄN</t>
        </is>
      </c>
      <c r="E693" t="inlineStr">
        <is>
          <t>KROKOM</t>
        </is>
      </c>
      <c r="G693" t="n">
        <v>4.1</v>
      </c>
      <c r="H693" t="n">
        <v>0</v>
      </c>
      <c r="I693" t="n">
        <v>0</v>
      </c>
      <c r="J693" t="n">
        <v>0</v>
      </c>
      <c r="K693" t="n">
        <v>0</v>
      </c>
      <c r="L693" t="n">
        <v>0</v>
      </c>
      <c r="M693" t="n">
        <v>0</v>
      </c>
      <c r="N693" t="n">
        <v>0</v>
      </c>
      <c r="O693" t="n">
        <v>0</v>
      </c>
      <c r="P693" t="n">
        <v>0</v>
      </c>
      <c r="Q693" t="n">
        <v>0</v>
      </c>
      <c r="R693" s="2" t="inlineStr"/>
    </row>
    <row r="694" ht="15" customHeight="1">
      <c r="A694" t="inlineStr">
        <is>
          <t>A 18731-2021</t>
        </is>
      </c>
      <c r="B694" s="1" t="n">
        <v>44307</v>
      </c>
      <c r="C694" s="1" t="n">
        <v>45840</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20405-2021</t>
        </is>
      </c>
      <c r="B695" s="1" t="n">
        <v>44312</v>
      </c>
      <c r="C695" s="1" t="n">
        <v>45840</v>
      </c>
      <c r="D695" t="inlineStr">
        <is>
          <t>JÄMTLANDS LÄN</t>
        </is>
      </c>
      <c r="E695" t="inlineStr">
        <is>
          <t>KROKOM</t>
        </is>
      </c>
      <c r="G695" t="n">
        <v>7.1</v>
      </c>
      <c r="H695" t="n">
        <v>0</v>
      </c>
      <c r="I695" t="n">
        <v>0</v>
      </c>
      <c r="J695" t="n">
        <v>0</v>
      </c>
      <c r="K695" t="n">
        <v>0</v>
      </c>
      <c r="L695" t="n">
        <v>0</v>
      </c>
      <c r="M695" t="n">
        <v>0</v>
      </c>
      <c r="N695" t="n">
        <v>0</v>
      </c>
      <c r="O695" t="n">
        <v>0</v>
      </c>
      <c r="P695" t="n">
        <v>0</v>
      </c>
      <c r="Q695" t="n">
        <v>0</v>
      </c>
      <c r="R695" s="2" t="inlineStr"/>
    </row>
    <row r="696" ht="15" customHeight="1">
      <c r="A696" t="inlineStr">
        <is>
          <t>A 19984-2021</t>
        </is>
      </c>
      <c r="B696" s="1" t="n">
        <v>44313</v>
      </c>
      <c r="C696" s="1" t="n">
        <v>45840</v>
      </c>
      <c r="D696" t="inlineStr">
        <is>
          <t>JÄMTLANDS LÄN</t>
        </is>
      </c>
      <c r="E696" t="inlineStr">
        <is>
          <t>KROKOM</t>
        </is>
      </c>
      <c r="G696" t="n">
        <v>1.9</v>
      </c>
      <c r="H696" t="n">
        <v>0</v>
      </c>
      <c r="I696" t="n">
        <v>0</v>
      </c>
      <c r="J696" t="n">
        <v>0</v>
      </c>
      <c r="K696" t="n">
        <v>0</v>
      </c>
      <c r="L696" t="n">
        <v>0</v>
      </c>
      <c r="M696" t="n">
        <v>0</v>
      </c>
      <c r="N696" t="n">
        <v>0</v>
      </c>
      <c r="O696" t="n">
        <v>0</v>
      </c>
      <c r="P696" t="n">
        <v>0</v>
      </c>
      <c r="Q696" t="n">
        <v>0</v>
      </c>
      <c r="R696" s="2" t="inlineStr"/>
    </row>
    <row r="697" ht="15" customHeight="1">
      <c r="A697" t="inlineStr">
        <is>
          <t>A 21000-2021</t>
        </is>
      </c>
      <c r="B697" s="1" t="n">
        <v>44316</v>
      </c>
      <c r="C697" s="1" t="n">
        <v>45840</v>
      </c>
      <c r="D697" t="inlineStr">
        <is>
          <t>JÄMTLANDS LÄN</t>
        </is>
      </c>
      <c r="E697" t="inlineStr">
        <is>
          <t>KROKOM</t>
        </is>
      </c>
      <c r="G697" t="n">
        <v>2.5</v>
      </c>
      <c r="H697" t="n">
        <v>0</v>
      </c>
      <c r="I697" t="n">
        <v>0</v>
      </c>
      <c r="J697" t="n">
        <v>0</v>
      </c>
      <c r="K697" t="n">
        <v>0</v>
      </c>
      <c r="L697" t="n">
        <v>0</v>
      </c>
      <c r="M697" t="n">
        <v>0</v>
      </c>
      <c r="N697" t="n">
        <v>0</v>
      </c>
      <c r="O697" t="n">
        <v>0</v>
      </c>
      <c r="P697" t="n">
        <v>0</v>
      </c>
      <c r="Q697" t="n">
        <v>0</v>
      </c>
      <c r="R697" s="2" t="inlineStr"/>
    </row>
    <row r="698" ht="15" customHeight="1">
      <c r="A698" t="inlineStr">
        <is>
          <t>A 23139-2021</t>
        </is>
      </c>
      <c r="B698" s="1" t="n">
        <v>44331</v>
      </c>
      <c r="C698" s="1" t="n">
        <v>45840</v>
      </c>
      <c r="D698" t="inlineStr">
        <is>
          <t>JÄMTLANDS LÄN</t>
        </is>
      </c>
      <c r="E698" t="inlineStr">
        <is>
          <t>KROKOM</t>
        </is>
      </c>
      <c r="G698" t="n">
        <v>0.6</v>
      </c>
      <c r="H698" t="n">
        <v>0</v>
      </c>
      <c r="I698" t="n">
        <v>0</v>
      </c>
      <c r="J698" t="n">
        <v>0</v>
      </c>
      <c r="K698" t="n">
        <v>0</v>
      </c>
      <c r="L698" t="n">
        <v>0</v>
      </c>
      <c r="M698" t="n">
        <v>0</v>
      </c>
      <c r="N698" t="n">
        <v>0</v>
      </c>
      <c r="O698" t="n">
        <v>0</v>
      </c>
      <c r="P698" t="n">
        <v>0</v>
      </c>
      <c r="Q698" t="n">
        <v>0</v>
      </c>
      <c r="R698" s="2" t="inlineStr"/>
    </row>
    <row r="699" ht="15" customHeight="1">
      <c r="A699" t="inlineStr">
        <is>
          <t>A 23601-2021</t>
        </is>
      </c>
      <c r="B699" s="1" t="n">
        <v>44334</v>
      </c>
      <c r="C699" s="1" t="n">
        <v>45840</v>
      </c>
      <c r="D699" t="inlineStr">
        <is>
          <t>JÄMTLANDS LÄN</t>
        </is>
      </c>
      <c r="E699" t="inlineStr">
        <is>
          <t>KROKOM</t>
        </is>
      </c>
      <c r="G699" t="n">
        <v>1.7</v>
      </c>
      <c r="H699" t="n">
        <v>0</v>
      </c>
      <c r="I699" t="n">
        <v>0</v>
      </c>
      <c r="J699" t="n">
        <v>0</v>
      </c>
      <c r="K699" t="n">
        <v>0</v>
      </c>
      <c r="L699" t="n">
        <v>0</v>
      </c>
      <c r="M699" t="n">
        <v>0</v>
      </c>
      <c r="N699" t="n">
        <v>0</v>
      </c>
      <c r="O699" t="n">
        <v>0</v>
      </c>
      <c r="P699" t="n">
        <v>0</v>
      </c>
      <c r="Q699" t="n">
        <v>0</v>
      </c>
      <c r="R699" s="2" t="inlineStr"/>
    </row>
    <row r="700" ht="15" customHeight="1">
      <c r="A700" t="inlineStr">
        <is>
          <t>A 23832-2021</t>
        </is>
      </c>
      <c r="B700" s="1" t="n">
        <v>44335</v>
      </c>
      <c r="C700" s="1" t="n">
        <v>45840</v>
      </c>
      <c r="D700" t="inlineStr">
        <is>
          <t>JÄMTLANDS LÄN</t>
        </is>
      </c>
      <c r="E700" t="inlineStr">
        <is>
          <t>KROKOM</t>
        </is>
      </c>
      <c r="G700" t="n">
        <v>20</v>
      </c>
      <c r="H700" t="n">
        <v>0</v>
      </c>
      <c r="I700" t="n">
        <v>0</v>
      </c>
      <c r="J700" t="n">
        <v>0</v>
      </c>
      <c r="K700" t="n">
        <v>0</v>
      </c>
      <c r="L700" t="n">
        <v>0</v>
      </c>
      <c r="M700" t="n">
        <v>0</v>
      </c>
      <c r="N700" t="n">
        <v>0</v>
      </c>
      <c r="O700" t="n">
        <v>0</v>
      </c>
      <c r="P700" t="n">
        <v>0</v>
      </c>
      <c r="Q700" t="n">
        <v>0</v>
      </c>
      <c r="R700" s="2" t="inlineStr"/>
    </row>
    <row r="701" ht="15" customHeight="1">
      <c r="A701" t="inlineStr">
        <is>
          <t>A 24436-2021</t>
        </is>
      </c>
      <c r="B701" s="1" t="n">
        <v>44337</v>
      </c>
      <c r="C701" s="1" t="n">
        <v>45840</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24677-2021</t>
        </is>
      </c>
      <c r="B702" s="1" t="n">
        <v>44337</v>
      </c>
      <c r="C702" s="1" t="n">
        <v>45840</v>
      </c>
      <c r="D702" t="inlineStr">
        <is>
          <t>JÄMTLANDS LÄN</t>
        </is>
      </c>
      <c r="E702" t="inlineStr">
        <is>
          <t>KROKOM</t>
        </is>
      </c>
      <c r="G702" t="n">
        <v>1.8</v>
      </c>
      <c r="H702" t="n">
        <v>0</v>
      </c>
      <c r="I702" t="n">
        <v>0</v>
      </c>
      <c r="J702" t="n">
        <v>0</v>
      </c>
      <c r="K702" t="n">
        <v>0</v>
      </c>
      <c r="L702" t="n">
        <v>0</v>
      </c>
      <c r="M702" t="n">
        <v>0</v>
      </c>
      <c r="N702" t="n">
        <v>0</v>
      </c>
      <c r="O702" t="n">
        <v>0</v>
      </c>
      <c r="P702" t="n">
        <v>0</v>
      </c>
      <c r="Q702" t="n">
        <v>0</v>
      </c>
      <c r="R702" s="2" t="inlineStr"/>
    </row>
    <row r="703" ht="15" customHeight="1">
      <c r="A703" t="inlineStr">
        <is>
          <t>A 26077-2021</t>
        </is>
      </c>
      <c r="B703" s="1" t="n">
        <v>44344</v>
      </c>
      <c r="C703" s="1" t="n">
        <v>45840</v>
      </c>
      <c r="D703" t="inlineStr">
        <is>
          <t>JÄMTLANDS LÄN</t>
        </is>
      </c>
      <c r="E703" t="inlineStr">
        <is>
          <t>KROKOM</t>
        </is>
      </c>
      <c r="G703" t="n">
        <v>7.6</v>
      </c>
      <c r="H703" t="n">
        <v>0</v>
      </c>
      <c r="I703" t="n">
        <v>0</v>
      </c>
      <c r="J703" t="n">
        <v>0</v>
      </c>
      <c r="K703" t="n">
        <v>0</v>
      </c>
      <c r="L703" t="n">
        <v>0</v>
      </c>
      <c r="M703" t="n">
        <v>0</v>
      </c>
      <c r="N703" t="n">
        <v>0</v>
      </c>
      <c r="O703" t="n">
        <v>0</v>
      </c>
      <c r="P703" t="n">
        <v>0</v>
      </c>
      <c r="Q703" t="n">
        <v>0</v>
      </c>
      <c r="R703" s="2" t="inlineStr"/>
    </row>
    <row r="704" ht="15" customHeight="1">
      <c r="A704" t="inlineStr">
        <is>
          <t>A 26508-2021</t>
        </is>
      </c>
      <c r="B704" s="1" t="n">
        <v>44348</v>
      </c>
      <c r="C704" s="1" t="n">
        <v>45840</v>
      </c>
      <c r="D704" t="inlineStr">
        <is>
          <t>JÄMTLANDS LÄN</t>
        </is>
      </c>
      <c r="E704" t="inlineStr">
        <is>
          <t>KROKOM</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27000-2021</t>
        </is>
      </c>
      <c r="B705" s="1" t="n">
        <v>44349</v>
      </c>
      <c r="C705" s="1" t="n">
        <v>45840</v>
      </c>
      <c r="D705" t="inlineStr">
        <is>
          <t>JÄMTLANDS LÄN</t>
        </is>
      </c>
      <c r="E705" t="inlineStr">
        <is>
          <t>KROKOM</t>
        </is>
      </c>
      <c r="F705" t="inlineStr">
        <is>
          <t>Allmännings- och besparingsskogar</t>
        </is>
      </c>
      <c r="G705" t="n">
        <v>2.3</v>
      </c>
      <c r="H705" t="n">
        <v>0</v>
      </c>
      <c r="I705" t="n">
        <v>0</v>
      </c>
      <c r="J705" t="n">
        <v>0</v>
      </c>
      <c r="K705" t="n">
        <v>0</v>
      </c>
      <c r="L705" t="n">
        <v>0</v>
      </c>
      <c r="M705" t="n">
        <v>0</v>
      </c>
      <c r="N705" t="n">
        <v>0</v>
      </c>
      <c r="O705" t="n">
        <v>0</v>
      </c>
      <c r="P705" t="n">
        <v>0</v>
      </c>
      <c r="Q705" t="n">
        <v>0</v>
      </c>
      <c r="R705" s="2" t="inlineStr"/>
    </row>
    <row r="706" ht="15" customHeight="1">
      <c r="A706" t="inlineStr">
        <is>
          <t>A 28990-2021</t>
        </is>
      </c>
      <c r="B706" s="1" t="n">
        <v>44358</v>
      </c>
      <c r="C706" s="1" t="n">
        <v>45840</v>
      </c>
      <c r="D706" t="inlineStr">
        <is>
          <t>JÄMTLANDS LÄN</t>
        </is>
      </c>
      <c r="E706" t="inlineStr">
        <is>
          <t>KROKOM</t>
        </is>
      </c>
      <c r="G706" t="n">
        <v>4.3</v>
      </c>
      <c r="H706" t="n">
        <v>0</v>
      </c>
      <c r="I706" t="n">
        <v>0</v>
      </c>
      <c r="J706" t="n">
        <v>0</v>
      </c>
      <c r="K706" t="n">
        <v>0</v>
      </c>
      <c r="L706" t="n">
        <v>0</v>
      </c>
      <c r="M706" t="n">
        <v>0</v>
      </c>
      <c r="N706" t="n">
        <v>0</v>
      </c>
      <c r="O706" t="n">
        <v>0</v>
      </c>
      <c r="P706" t="n">
        <v>0</v>
      </c>
      <c r="Q706" t="n">
        <v>0</v>
      </c>
      <c r="R706" s="2" t="inlineStr"/>
    </row>
    <row r="707" ht="15" customHeight="1">
      <c r="A707" t="inlineStr">
        <is>
          <t>A 29146-2021</t>
        </is>
      </c>
      <c r="B707" s="1" t="n">
        <v>44358</v>
      </c>
      <c r="C707" s="1" t="n">
        <v>45840</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29896-2021</t>
        </is>
      </c>
      <c r="B708" s="1" t="n">
        <v>44362</v>
      </c>
      <c r="C708" s="1" t="n">
        <v>45840</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31467-2021</t>
        </is>
      </c>
      <c r="B709" s="1" t="n">
        <v>44369</v>
      </c>
      <c r="C709" s="1" t="n">
        <v>45840</v>
      </c>
      <c r="D709" t="inlineStr">
        <is>
          <t>JÄMTLANDS LÄN</t>
        </is>
      </c>
      <c r="E709" t="inlineStr">
        <is>
          <t>KROKOM</t>
        </is>
      </c>
      <c r="G709" t="n">
        <v>24.7</v>
      </c>
      <c r="H709" t="n">
        <v>0</v>
      </c>
      <c r="I709" t="n">
        <v>0</v>
      </c>
      <c r="J709" t="n">
        <v>0</v>
      </c>
      <c r="K709" t="n">
        <v>0</v>
      </c>
      <c r="L709" t="n">
        <v>0</v>
      </c>
      <c r="M709" t="n">
        <v>0</v>
      </c>
      <c r="N709" t="n">
        <v>0</v>
      </c>
      <c r="O709" t="n">
        <v>0</v>
      </c>
      <c r="P709" t="n">
        <v>0</v>
      </c>
      <c r="Q709" t="n">
        <v>0</v>
      </c>
      <c r="R709" s="2" t="inlineStr"/>
    </row>
    <row r="710" ht="15" customHeight="1">
      <c r="A710" t="inlineStr">
        <is>
          <t>A 31858-2021</t>
        </is>
      </c>
      <c r="B710" s="1" t="n">
        <v>44370</v>
      </c>
      <c r="C710" s="1" t="n">
        <v>45840</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31905-2021</t>
        </is>
      </c>
      <c r="B711" s="1" t="n">
        <v>44370</v>
      </c>
      <c r="C711" s="1" t="n">
        <v>45840</v>
      </c>
      <c r="D711" t="inlineStr">
        <is>
          <t>JÄMTLANDS LÄN</t>
        </is>
      </c>
      <c r="E711" t="inlineStr">
        <is>
          <t>KROKOM</t>
        </is>
      </c>
      <c r="G711" t="n">
        <v>12.9</v>
      </c>
      <c r="H711" t="n">
        <v>0</v>
      </c>
      <c r="I711" t="n">
        <v>0</v>
      </c>
      <c r="J711" t="n">
        <v>0</v>
      </c>
      <c r="K711" t="n">
        <v>0</v>
      </c>
      <c r="L711" t="n">
        <v>0</v>
      </c>
      <c r="M711" t="n">
        <v>0</v>
      </c>
      <c r="N711" t="n">
        <v>0</v>
      </c>
      <c r="O711" t="n">
        <v>0</v>
      </c>
      <c r="P711" t="n">
        <v>0</v>
      </c>
      <c r="Q711" t="n">
        <v>0</v>
      </c>
      <c r="R711" s="2" t="inlineStr"/>
    </row>
    <row r="712" ht="15" customHeight="1">
      <c r="A712" t="inlineStr">
        <is>
          <t>A 32472-2021</t>
        </is>
      </c>
      <c r="B712" s="1" t="n">
        <v>44371</v>
      </c>
      <c r="C712" s="1" t="n">
        <v>45840</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32693-2021</t>
        </is>
      </c>
      <c r="B713" s="1" t="n">
        <v>44375</v>
      </c>
      <c r="C713" s="1" t="n">
        <v>45840</v>
      </c>
      <c r="D713" t="inlineStr">
        <is>
          <t>JÄMTLANDS LÄN</t>
        </is>
      </c>
      <c r="E713" t="inlineStr">
        <is>
          <t>KROKOM</t>
        </is>
      </c>
      <c r="G713" t="n">
        <v>5.7</v>
      </c>
      <c r="H713" t="n">
        <v>0</v>
      </c>
      <c r="I713" t="n">
        <v>0</v>
      </c>
      <c r="J713" t="n">
        <v>0</v>
      </c>
      <c r="K713" t="n">
        <v>0</v>
      </c>
      <c r="L713" t="n">
        <v>0</v>
      </c>
      <c r="M713" t="n">
        <v>0</v>
      </c>
      <c r="N713" t="n">
        <v>0</v>
      </c>
      <c r="O713" t="n">
        <v>0</v>
      </c>
      <c r="P713" t="n">
        <v>0</v>
      </c>
      <c r="Q713" t="n">
        <v>0</v>
      </c>
      <c r="R713" s="2" t="inlineStr"/>
    </row>
    <row r="714" ht="15" customHeight="1">
      <c r="A714" t="inlineStr">
        <is>
          <t>A 33189-2021</t>
        </is>
      </c>
      <c r="B714" s="1" t="n">
        <v>44376</v>
      </c>
      <c r="C714" s="1" t="n">
        <v>45840</v>
      </c>
      <c r="D714" t="inlineStr">
        <is>
          <t>JÄMTLANDS LÄN</t>
        </is>
      </c>
      <c r="E714" t="inlineStr">
        <is>
          <t>KROKOM</t>
        </is>
      </c>
      <c r="G714" t="n">
        <v>2.7</v>
      </c>
      <c r="H714" t="n">
        <v>0</v>
      </c>
      <c r="I714" t="n">
        <v>0</v>
      </c>
      <c r="J714" t="n">
        <v>0</v>
      </c>
      <c r="K714" t="n">
        <v>0</v>
      </c>
      <c r="L714" t="n">
        <v>0</v>
      </c>
      <c r="M714" t="n">
        <v>0</v>
      </c>
      <c r="N714" t="n">
        <v>0</v>
      </c>
      <c r="O714" t="n">
        <v>0</v>
      </c>
      <c r="P714" t="n">
        <v>0</v>
      </c>
      <c r="Q714" t="n">
        <v>0</v>
      </c>
      <c r="R714" s="2" t="inlineStr"/>
    </row>
    <row r="715" ht="15" customHeight="1">
      <c r="A715" t="inlineStr">
        <is>
          <t>A 33320-2021</t>
        </is>
      </c>
      <c r="B715" s="1" t="n">
        <v>44377</v>
      </c>
      <c r="C715" s="1" t="n">
        <v>45840</v>
      </c>
      <c r="D715" t="inlineStr">
        <is>
          <t>JÄMTLANDS LÄN</t>
        </is>
      </c>
      <c r="E715" t="inlineStr">
        <is>
          <t>KROKOM</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33333-2021</t>
        </is>
      </c>
      <c r="B716" s="1" t="n">
        <v>44377</v>
      </c>
      <c r="C716" s="1" t="n">
        <v>45840</v>
      </c>
      <c r="D716" t="inlineStr">
        <is>
          <t>JÄMTLANDS LÄN</t>
        </is>
      </c>
      <c r="E716" t="inlineStr">
        <is>
          <t>KROKOM</t>
        </is>
      </c>
      <c r="F716" t="inlineStr">
        <is>
          <t>Övriga Aktiebolag</t>
        </is>
      </c>
      <c r="G716" t="n">
        <v>2.3</v>
      </c>
      <c r="H716" t="n">
        <v>0</v>
      </c>
      <c r="I716" t="n">
        <v>0</v>
      </c>
      <c r="J716" t="n">
        <v>0</v>
      </c>
      <c r="K716" t="n">
        <v>0</v>
      </c>
      <c r="L716" t="n">
        <v>0</v>
      </c>
      <c r="M716" t="n">
        <v>0</v>
      </c>
      <c r="N716" t="n">
        <v>0</v>
      </c>
      <c r="O716" t="n">
        <v>0</v>
      </c>
      <c r="P716" t="n">
        <v>0</v>
      </c>
      <c r="Q716" t="n">
        <v>0</v>
      </c>
      <c r="R716" s="2" t="inlineStr"/>
    </row>
    <row r="717" ht="15" customHeight="1">
      <c r="A717" t="inlineStr">
        <is>
          <t>A 33364-2021</t>
        </is>
      </c>
      <c r="B717" s="1" t="n">
        <v>44377</v>
      </c>
      <c r="C717" s="1" t="n">
        <v>45840</v>
      </c>
      <c r="D717" t="inlineStr">
        <is>
          <t>JÄMTLANDS LÄN</t>
        </is>
      </c>
      <c r="E717" t="inlineStr">
        <is>
          <t>KROKOM</t>
        </is>
      </c>
      <c r="F717" t="inlineStr">
        <is>
          <t>Övriga Aktiebolag</t>
        </is>
      </c>
      <c r="G717" t="n">
        <v>12.7</v>
      </c>
      <c r="H717" t="n">
        <v>0</v>
      </c>
      <c r="I717" t="n">
        <v>0</v>
      </c>
      <c r="J717" t="n">
        <v>0</v>
      </c>
      <c r="K717" t="n">
        <v>0</v>
      </c>
      <c r="L717" t="n">
        <v>0</v>
      </c>
      <c r="M717" t="n">
        <v>0</v>
      </c>
      <c r="N717" t="n">
        <v>0</v>
      </c>
      <c r="O717" t="n">
        <v>0</v>
      </c>
      <c r="P717" t="n">
        <v>0</v>
      </c>
      <c r="Q717" t="n">
        <v>0</v>
      </c>
      <c r="R717" s="2" t="inlineStr"/>
    </row>
    <row r="718" ht="15" customHeight="1">
      <c r="A718" t="inlineStr">
        <is>
          <t>A 33469-2021</t>
        </is>
      </c>
      <c r="B718" s="1" t="n">
        <v>44377</v>
      </c>
      <c r="C718" s="1" t="n">
        <v>45840</v>
      </c>
      <c r="D718" t="inlineStr">
        <is>
          <t>JÄMTLANDS LÄN</t>
        </is>
      </c>
      <c r="E718" t="inlineStr">
        <is>
          <t>KROKOM</t>
        </is>
      </c>
      <c r="F718" t="inlineStr">
        <is>
          <t>Övriga Aktiebolag</t>
        </is>
      </c>
      <c r="G718" t="n">
        <v>19.1</v>
      </c>
      <c r="H718" t="n">
        <v>0</v>
      </c>
      <c r="I718" t="n">
        <v>0</v>
      </c>
      <c r="J718" t="n">
        <v>0</v>
      </c>
      <c r="K718" t="n">
        <v>0</v>
      </c>
      <c r="L718" t="n">
        <v>0</v>
      </c>
      <c r="M718" t="n">
        <v>0</v>
      </c>
      <c r="N718" t="n">
        <v>0</v>
      </c>
      <c r="O718" t="n">
        <v>0</v>
      </c>
      <c r="P718" t="n">
        <v>0</v>
      </c>
      <c r="Q718" t="n">
        <v>0</v>
      </c>
      <c r="R718" s="2" t="inlineStr"/>
    </row>
    <row r="719" ht="15" customHeight="1">
      <c r="A719" t="inlineStr">
        <is>
          <t>A 33802-2021</t>
        </is>
      </c>
      <c r="B719" s="1" t="n">
        <v>44377</v>
      </c>
      <c r="C719" s="1" t="n">
        <v>45840</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34279-2021</t>
        </is>
      </c>
      <c r="B720" s="1" t="n">
        <v>44379</v>
      </c>
      <c r="C720" s="1" t="n">
        <v>45840</v>
      </c>
      <c r="D720" t="inlineStr">
        <is>
          <t>JÄMTLANDS LÄN</t>
        </is>
      </c>
      <c r="E720" t="inlineStr">
        <is>
          <t>KROKOM</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34289-2021</t>
        </is>
      </c>
      <c r="B721" s="1" t="n">
        <v>44379</v>
      </c>
      <c r="C721" s="1" t="n">
        <v>45840</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34769-2021</t>
        </is>
      </c>
      <c r="B722" s="1" t="n">
        <v>44383</v>
      </c>
      <c r="C722" s="1" t="n">
        <v>45840</v>
      </c>
      <c r="D722" t="inlineStr">
        <is>
          <t>JÄMTLANDS LÄN</t>
        </is>
      </c>
      <c r="E722" t="inlineStr">
        <is>
          <t>KROKOM</t>
        </is>
      </c>
      <c r="G722" t="n">
        <v>14.5</v>
      </c>
      <c r="H722" t="n">
        <v>0</v>
      </c>
      <c r="I722" t="n">
        <v>0</v>
      </c>
      <c r="J722" t="n">
        <v>0</v>
      </c>
      <c r="K722" t="n">
        <v>0</v>
      </c>
      <c r="L722" t="n">
        <v>0</v>
      </c>
      <c r="M722" t="n">
        <v>0</v>
      </c>
      <c r="N722" t="n">
        <v>0</v>
      </c>
      <c r="O722" t="n">
        <v>0</v>
      </c>
      <c r="P722" t="n">
        <v>0</v>
      </c>
      <c r="Q722" t="n">
        <v>0</v>
      </c>
      <c r="R722" s="2" t="inlineStr"/>
    </row>
    <row r="723" ht="15" customHeight="1">
      <c r="A723" t="inlineStr">
        <is>
          <t>A 36079-2021</t>
        </is>
      </c>
      <c r="B723" s="1" t="n">
        <v>44389</v>
      </c>
      <c r="C723" s="1" t="n">
        <v>45840</v>
      </c>
      <c r="D723" t="inlineStr">
        <is>
          <t>JÄMTLANDS LÄN</t>
        </is>
      </c>
      <c r="E723" t="inlineStr">
        <is>
          <t>KROKOM</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36248-2021</t>
        </is>
      </c>
      <c r="B724" s="1" t="n">
        <v>44389</v>
      </c>
      <c r="C724" s="1" t="n">
        <v>45840</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36491-2021</t>
        </is>
      </c>
      <c r="B725" s="1" t="n">
        <v>44390</v>
      </c>
      <c r="C725" s="1" t="n">
        <v>45840</v>
      </c>
      <c r="D725" t="inlineStr">
        <is>
          <t>JÄMTLANDS LÄN</t>
        </is>
      </c>
      <c r="E725" t="inlineStr">
        <is>
          <t>KROKOM</t>
        </is>
      </c>
      <c r="G725" t="n">
        <v>5.4</v>
      </c>
      <c r="H725" t="n">
        <v>0</v>
      </c>
      <c r="I725" t="n">
        <v>0</v>
      </c>
      <c r="J725" t="n">
        <v>0</v>
      </c>
      <c r="K725" t="n">
        <v>0</v>
      </c>
      <c r="L725" t="n">
        <v>0</v>
      </c>
      <c r="M725" t="n">
        <v>0</v>
      </c>
      <c r="N725" t="n">
        <v>0</v>
      </c>
      <c r="O725" t="n">
        <v>0</v>
      </c>
      <c r="P725" t="n">
        <v>0</v>
      </c>
      <c r="Q725" t="n">
        <v>0</v>
      </c>
      <c r="R725" s="2" t="inlineStr"/>
    </row>
    <row r="726" ht="15" customHeight="1">
      <c r="A726" t="inlineStr">
        <is>
          <t>A 36567-2021</t>
        </is>
      </c>
      <c r="B726" s="1" t="n">
        <v>44391</v>
      </c>
      <c r="C726" s="1" t="n">
        <v>45840</v>
      </c>
      <c r="D726" t="inlineStr">
        <is>
          <t>JÄMTLANDS LÄN</t>
        </is>
      </c>
      <c r="E726" t="inlineStr">
        <is>
          <t>KROKOM</t>
        </is>
      </c>
      <c r="G726" t="n">
        <v>3.5</v>
      </c>
      <c r="H726" t="n">
        <v>0</v>
      </c>
      <c r="I726" t="n">
        <v>0</v>
      </c>
      <c r="J726" t="n">
        <v>0</v>
      </c>
      <c r="K726" t="n">
        <v>0</v>
      </c>
      <c r="L726" t="n">
        <v>0</v>
      </c>
      <c r="M726" t="n">
        <v>0</v>
      </c>
      <c r="N726" t="n">
        <v>0</v>
      </c>
      <c r="O726" t="n">
        <v>0</v>
      </c>
      <c r="P726" t="n">
        <v>0</v>
      </c>
      <c r="Q726" t="n">
        <v>0</v>
      </c>
      <c r="R726" s="2" t="inlineStr"/>
    </row>
    <row r="727" ht="15" customHeight="1">
      <c r="A727" t="inlineStr">
        <is>
          <t>A 36577-2021</t>
        </is>
      </c>
      <c r="B727" s="1" t="n">
        <v>44391</v>
      </c>
      <c r="C727" s="1" t="n">
        <v>45840</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37641-2021</t>
        </is>
      </c>
      <c r="B728" s="1" t="n">
        <v>44400</v>
      </c>
      <c r="C728" s="1" t="n">
        <v>45840</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38511-2021</t>
        </is>
      </c>
      <c r="B729" s="1" t="n">
        <v>44407</v>
      </c>
      <c r="C729" s="1" t="n">
        <v>45840</v>
      </c>
      <c r="D729" t="inlineStr">
        <is>
          <t>JÄMTLANDS LÄN</t>
        </is>
      </c>
      <c r="E729" t="inlineStr">
        <is>
          <t>KROKOM</t>
        </is>
      </c>
      <c r="G729" t="n">
        <v>0.5</v>
      </c>
      <c r="H729" t="n">
        <v>0</v>
      </c>
      <c r="I729" t="n">
        <v>0</v>
      </c>
      <c r="J729" t="n">
        <v>0</v>
      </c>
      <c r="K729" t="n">
        <v>0</v>
      </c>
      <c r="L729" t="n">
        <v>0</v>
      </c>
      <c r="M729" t="n">
        <v>0</v>
      </c>
      <c r="N729" t="n">
        <v>0</v>
      </c>
      <c r="O729" t="n">
        <v>0</v>
      </c>
      <c r="P729" t="n">
        <v>0</v>
      </c>
      <c r="Q729" t="n">
        <v>0</v>
      </c>
      <c r="R729" s="2" t="inlineStr"/>
    </row>
    <row r="730" ht="15" customHeight="1">
      <c r="A730" t="inlineStr">
        <is>
          <t>A 42369-2021</t>
        </is>
      </c>
      <c r="B730" s="1" t="n">
        <v>44427</v>
      </c>
      <c r="C730" s="1" t="n">
        <v>45840</v>
      </c>
      <c r="D730" t="inlineStr">
        <is>
          <t>JÄMTLANDS LÄN</t>
        </is>
      </c>
      <c r="E730" t="inlineStr">
        <is>
          <t>KROKOM</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46625-2021</t>
        </is>
      </c>
      <c r="B731" s="1" t="n">
        <v>44445</v>
      </c>
      <c r="C731" s="1" t="n">
        <v>45840</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44374-2021</t>
        </is>
      </c>
      <c r="B732" s="1" t="n">
        <v>44447</v>
      </c>
      <c r="C732" s="1" t="n">
        <v>45840</v>
      </c>
      <c r="D732" t="inlineStr">
        <is>
          <t>JÄMTLANDS LÄN</t>
        </is>
      </c>
      <c r="E732" t="inlineStr">
        <is>
          <t>KROKOM</t>
        </is>
      </c>
      <c r="G732" t="n">
        <v>7.8</v>
      </c>
      <c r="H732" t="n">
        <v>0</v>
      </c>
      <c r="I732" t="n">
        <v>0</v>
      </c>
      <c r="J732" t="n">
        <v>0</v>
      </c>
      <c r="K732" t="n">
        <v>0</v>
      </c>
      <c r="L732" t="n">
        <v>0</v>
      </c>
      <c r="M732" t="n">
        <v>0</v>
      </c>
      <c r="N732" t="n">
        <v>0</v>
      </c>
      <c r="O732" t="n">
        <v>0</v>
      </c>
      <c r="P732" t="n">
        <v>0</v>
      </c>
      <c r="Q732" t="n">
        <v>0</v>
      </c>
      <c r="R732" s="2" t="inlineStr"/>
    </row>
    <row r="733" ht="15" customHeight="1">
      <c r="A733" t="inlineStr">
        <is>
          <t>A 48440-2021</t>
        </is>
      </c>
      <c r="B733" s="1" t="n">
        <v>44449</v>
      </c>
      <c r="C733" s="1" t="n">
        <v>45840</v>
      </c>
      <c r="D733" t="inlineStr">
        <is>
          <t>JÄMTLANDS LÄN</t>
        </is>
      </c>
      <c r="E733" t="inlineStr">
        <is>
          <t>KROKOM</t>
        </is>
      </c>
      <c r="G733" t="n">
        <v>8.6</v>
      </c>
      <c r="H733" t="n">
        <v>0</v>
      </c>
      <c r="I733" t="n">
        <v>0</v>
      </c>
      <c r="J733" t="n">
        <v>0</v>
      </c>
      <c r="K733" t="n">
        <v>0</v>
      </c>
      <c r="L733" t="n">
        <v>0</v>
      </c>
      <c r="M733" t="n">
        <v>0</v>
      </c>
      <c r="N733" t="n">
        <v>0</v>
      </c>
      <c r="O733" t="n">
        <v>0</v>
      </c>
      <c r="P733" t="n">
        <v>0</v>
      </c>
      <c r="Q733" t="n">
        <v>0</v>
      </c>
      <c r="R733" s="2" t="inlineStr"/>
    </row>
    <row r="734" ht="15" customHeight="1">
      <c r="A734" t="inlineStr">
        <is>
          <t>A 50177-2021</t>
        </is>
      </c>
      <c r="B734" s="1" t="n">
        <v>44456</v>
      </c>
      <c r="C734" s="1" t="n">
        <v>45840</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50476-2021</t>
        </is>
      </c>
      <c r="B735" s="1" t="n">
        <v>44459</v>
      </c>
      <c r="C735" s="1" t="n">
        <v>45840</v>
      </c>
      <c r="D735" t="inlineStr">
        <is>
          <t>JÄMTLANDS LÄN</t>
        </is>
      </c>
      <c r="E735" t="inlineStr">
        <is>
          <t>KROKOM</t>
        </is>
      </c>
      <c r="G735" t="n">
        <v>2.7</v>
      </c>
      <c r="H735" t="n">
        <v>0</v>
      </c>
      <c r="I735" t="n">
        <v>0</v>
      </c>
      <c r="J735" t="n">
        <v>0</v>
      </c>
      <c r="K735" t="n">
        <v>0</v>
      </c>
      <c r="L735" t="n">
        <v>0</v>
      </c>
      <c r="M735" t="n">
        <v>0</v>
      </c>
      <c r="N735" t="n">
        <v>0</v>
      </c>
      <c r="O735" t="n">
        <v>0</v>
      </c>
      <c r="P735" t="n">
        <v>0</v>
      </c>
      <c r="Q735" t="n">
        <v>0</v>
      </c>
      <c r="R735" s="2" t="inlineStr"/>
    </row>
    <row r="736" ht="15" customHeight="1">
      <c r="A736" t="inlineStr">
        <is>
          <t>A 50887-2021</t>
        </is>
      </c>
      <c r="B736" s="1" t="n">
        <v>44459</v>
      </c>
      <c r="C736" s="1" t="n">
        <v>45840</v>
      </c>
      <c r="D736" t="inlineStr">
        <is>
          <t>JÄMTLANDS LÄN</t>
        </is>
      </c>
      <c r="E736" t="inlineStr">
        <is>
          <t>KROKOM</t>
        </is>
      </c>
      <c r="G736" t="n">
        <v>4.5</v>
      </c>
      <c r="H736" t="n">
        <v>0</v>
      </c>
      <c r="I736" t="n">
        <v>0</v>
      </c>
      <c r="J736" t="n">
        <v>0</v>
      </c>
      <c r="K736" t="n">
        <v>0</v>
      </c>
      <c r="L736" t="n">
        <v>0</v>
      </c>
      <c r="M736" t="n">
        <v>0</v>
      </c>
      <c r="N736" t="n">
        <v>0</v>
      </c>
      <c r="O736" t="n">
        <v>0</v>
      </c>
      <c r="P736" t="n">
        <v>0</v>
      </c>
      <c r="Q736" t="n">
        <v>0</v>
      </c>
      <c r="R736" s="2" t="inlineStr"/>
    </row>
    <row r="737" ht="15" customHeight="1">
      <c r="A737" t="inlineStr">
        <is>
          <t>A 50790-2021</t>
        </is>
      </c>
      <c r="B737" s="1" t="n">
        <v>44460</v>
      </c>
      <c r="C737" s="1" t="n">
        <v>45840</v>
      </c>
      <c r="D737" t="inlineStr">
        <is>
          <t>JÄMTLANDS LÄN</t>
        </is>
      </c>
      <c r="E737" t="inlineStr">
        <is>
          <t>KROKOM</t>
        </is>
      </c>
      <c r="G737" t="n">
        <v>2.4</v>
      </c>
      <c r="H737" t="n">
        <v>0</v>
      </c>
      <c r="I737" t="n">
        <v>0</v>
      </c>
      <c r="J737" t="n">
        <v>0</v>
      </c>
      <c r="K737" t="n">
        <v>0</v>
      </c>
      <c r="L737" t="n">
        <v>0</v>
      </c>
      <c r="M737" t="n">
        <v>0</v>
      </c>
      <c r="N737" t="n">
        <v>0</v>
      </c>
      <c r="O737" t="n">
        <v>0</v>
      </c>
      <c r="P737" t="n">
        <v>0</v>
      </c>
      <c r="Q737" t="n">
        <v>0</v>
      </c>
      <c r="R737" s="2" t="inlineStr"/>
    </row>
    <row r="738" ht="15" customHeight="1">
      <c r="A738" t="inlineStr">
        <is>
          <t>A 52557-2021</t>
        </is>
      </c>
      <c r="B738" s="1" t="n">
        <v>44466</v>
      </c>
      <c r="C738" s="1" t="n">
        <v>45840</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52578-2021</t>
        </is>
      </c>
      <c r="B739" s="1" t="n">
        <v>44466</v>
      </c>
      <c r="C739" s="1" t="n">
        <v>45840</v>
      </c>
      <c r="D739" t="inlineStr">
        <is>
          <t>JÄMTLANDS LÄN</t>
        </is>
      </c>
      <c r="E739" t="inlineStr">
        <is>
          <t>KROKOM</t>
        </is>
      </c>
      <c r="G739" t="n">
        <v>17.1</v>
      </c>
      <c r="H739" t="n">
        <v>0</v>
      </c>
      <c r="I739" t="n">
        <v>0</v>
      </c>
      <c r="J739" t="n">
        <v>0</v>
      </c>
      <c r="K739" t="n">
        <v>0</v>
      </c>
      <c r="L739" t="n">
        <v>0</v>
      </c>
      <c r="M739" t="n">
        <v>0</v>
      </c>
      <c r="N739" t="n">
        <v>0</v>
      </c>
      <c r="O739" t="n">
        <v>0</v>
      </c>
      <c r="P739" t="n">
        <v>0</v>
      </c>
      <c r="Q739" t="n">
        <v>0</v>
      </c>
      <c r="R739" s="2" t="inlineStr"/>
    </row>
    <row r="740" ht="15" customHeight="1">
      <c r="A740" t="inlineStr">
        <is>
          <t>A 53191-2021</t>
        </is>
      </c>
      <c r="B740" s="1" t="n">
        <v>44468</v>
      </c>
      <c r="C740" s="1" t="n">
        <v>45840</v>
      </c>
      <c r="D740" t="inlineStr">
        <is>
          <t>JÄMTLANDS LÄN</t>
        </is>
      </c>
      <c r="E740" t="inlineStr">
        <is>
          <t>KROKOM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54039-2021</t>
        </is>
      </c>
      <c r="B741" s="1" t="n">
        <v>44470</v>
      </c>
      <c r="C741" s="1" t="n">
        <v>45840</v>
      </c>
      <c r="D741" t="inlineStr">
        <is>
          <t>JÄMTLANDS LÄN</t>
        </is>
      </c>
      <c r="E741" t="inlineStr">
        <is>
          <t>KROKOM</t>
        </is>
      </c>
      <c r="G741" t="n">
        <v>9.9</v>
      </c>
      <c r="H741" t="n">
        <v>0</v>
      </c>
      <c r="I741" t="n">
        <v>0</v>
      </c>
      <c r="J741" t="n">
        <v>0</v>
      </c>
      <c r="K741" t="n">
        <v>0</v>
      </c>
      <c r="L741" t="n">
        <v>0</v>
      </c>
      <c r="M741" t="n">
        <v>0</v>
      </c>
      <c r="N741" t="n">
        <v>0</v>
      </c>
      <c r="O741" t="n">
        <v>0</v>
      </c>
      <c r="P741" t="n">
        <v>0</v>
      </c>
      <c r="Q741" t="n">
        <v>0</v>
      </c>
      <c r="R741" s="2" t="inlineStr"/>
    </row>
    <row r="742" ht="15" customHeight="1">
      <c r="A742" t="inlineStr">
        <is>
          <t>A 54037-2021</t>
        </is>
      </c>
      <c r="B742" s="1" t="n">
        <v>44470</v>
      </c>
      <c r="C742" s="1" t="n">
        <v>45840</v>
      </c>
      <c r="D742" t="inlineStr">
        <is>
          <t>JÄMTLANDS LÄN</t>
        </is>
      </c>
      <c r="E742" t="inlineStr">
        <is>
          <t>KROKOM</t>
        </is>
      </c>
      <c r="G742" t="n">
        <v>6.3</v>
      </c>
      <c r="H742" t="n">
        <v>0</v>
      </c>
      <c r="I742" t="n">
        <v>0</v>
      </c>
      <c r="J742" t="n">
        <v>0</v>
      </c>
      <c r="K742" t="n">
        <v>0</v>
      </c>
      <c r="L742" t="n">
        <v>0</v>
      </c>
      <c r="M742" t="n">
        <v>0</v>
      </c>
      <c r="N742" t="n">
        <v>0</v>
      </c>
      <c r="O742" t="n">
        <v>0</v>
      </c>
      <c r="P742" t="n">
        <v>0</v>
      </c>
      <c r="Q742" t="n">
        <v>0</v>
      </c>
      <c r="R742" s="2" t="inlineStr"/>
    </row>
    <row r="743" ht="15" customHeight="1">
      <c r="A743" t="inlineStr">
        <is>
          <t>A 54152-2021</t>
        </is>
      </c>
      <c r="B743" s="1" t="n">
        <v>44470</v>
      </c>
      <c r="C743" s="1" t="n">
        <v>45840</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54516-2021</t>
        </is>
      </c>
      <c r="B744" s="1" t="n">
        <v>44473</v>
      </c>
      <c r="C744" s="1" t="n">
        <v>45840</v>
      </c>
      <c r="D744" t="inlineStr">
        <is>
          <t>JÄMTLANDS LÄN</t>
        </is>
      </c>
      <c r="E744" t="inlineStr">
        <is>
          <t>KROKOM</t>
        </is>
      </c>
      <c r="G744" t="n">
        <v>1.6</v>
      </c>
      <c r="H744" t="n">
        <v>0</v>
      </c>
      <c r="I744" t="n">
        <v>0</v>
      </c>
      <c r="J744" t="n">
        <v>0</v>
      </c>
      <c r="K744" t="n">
        <v>0</v>
      </c>
      <c r="L744" t="n">
        <v>0</v>
      </c>
      <c r="M744" t="n">
        <v>0</v>
      </c>
      <c r="N744" t="n">
        <v>0</v>
      </c>
      <c r="O744" t="n">
        <v>0</v>
      </c>
      <c r="P744" t="n">
        <v>0</v>
      </c>
      <c r="Q744" t="n">
        <v>0</v>
      </c>
      <c r="R744" s="2" t="inlineStr"/>
    </row>
    <row r="745" ht="15" customHeight="1">
      <c r="A745" t="inlineStr">
        <is>
          <t>A 54438-2021</t>
        </is>
      </c>
      <c r="B745" s="1" t="n">
        <v>44473</v>
      </c>
      <c r="C745" s="1" t="n">
        <v>45840</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54499-2021</t>
        </is>
      </c>
      <c r="B746" s="1" t="n">
        <v>44473</v>
      </c>
      <c r="C746" s="1" t="n">
        <v>45840</v>
      </c>
      <c r="D746" t="inlineStr">
        <is>
          <t>JÄMTLANDS LÄN</t>
        </is>
      </c>
      <c r="E746" t="inlineStr">
        <is>
          <t>KROKOM</t>
        </is>
      </c>
      <c r="G746" t="n">
        <v>1.2</v>
      </c>
      <c r="H746" t="n">
        <v>0</v>
      </c>
      <c r="I746" t="n">
        <v>0</v>
      </c>
      <c r="J746" t="n">
        <v>0</v>
      </c>
      <c r="K746" t="n">
        <v>0</v>
      </c>
      <c r="L746" t="n">
        <v>0</v>
      </c>
      <c r="M746" t="n">
        <v>0</v>
      </c>
      <c r="N746" t="n">
        <v>0</v>
      </c>
      <c r="O746" t="n">
        <v>0</v>
      </c>
      <c r="P746" t="n">
        <v>0</v>
      </c>
      <c r="Q746" t="n">
        <v>0</v>
      </c>
      <c r="R746" s="2" t="inlineStr"/>
    </row>
    <row r="747" ht="15" customHeight="1">
      <c r="A747" t="inlineStr">
        <is>
          <t>A 54497-2021</t>
        </is>
      </c>
      <c r="B747" s="1" t="n">
        <v>44473</v>
      </c>
      <c r="C747" s="1" t="n">
        <v>45840</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54526-2021</t>
        </is>
      </c>
      <c r="B748" s="1" t="n">
        <v>44473</v>
      </c>
      <c r="C748" s="1" t="n">
        <v>45840</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54573-2021</t>
        </is>
      </c>
      <c r="B749" s="1" t="n">
        <v>44473</v>
      </c>
      <c r="C749" s="1" t="n">
        <v>45840</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56577-2021</t>
        </is>
      </c>
      <c r="B750" s="1" t="n">
        <v>44480</v>
      </c>
      <c r="C750" s="1" t="n">
        <v>45840</v>
      </c>
      <c r="D750" t="inlineStr">
        <is>
          <t>JÄMTLANDS LÄN</t>
        </is>
      </c>
      <c r="E750" t="inlineStr">
        <is>
          <t>KROKOM</t>
        </is>
      </c>
      <c r="F750" t="inlineStr">
        <is>
          <t>Kyrkan</t>
        </is>
      </c>
      <c r="G750" t="n">
        <v>13.8</v>
      </c>
      <c r="H750" t="n">
        <v>0</v>
      </c>
      <c r="I750" t="n">
        <v>0</v>
      </c>
      <c r="J750" t="n">
        <v>0</v>
      </c>
      <c r="K750" t="n">
        <v>0</v>
      </c>
      <c r="L750" t="n">
        <v>0</v>
      </c>
      <c r="M750" t="n">
        <v>0</v>
      </c>
      <c r="N750" t="n">
        <v>0</v>
      </c>
      <c r="O750" t="n">
        <v>0</v>
      </c>
      <c r="P750" t="n">
        <v>0</v>
      </c>
      <c r="Q750" t="n">
        <v>0</v>
      </c>
      <c r="R750" s="2" t="inlineStr"/>
    </row>
    <row r="751" ht="15" customHeight="1">
      <c r="A751" t="inlineStr">
        <is>
          <t>A 57304-2021</t>
        </is>
      </c>
      <c r="B751" s="1" t="n">
        <v>44483</v>
      </c>
      <c r="C751" s="1" t="n">
        <v>45840</v>
      </c>
      <c r="D751" t="inlineStr">
        <is>
          <t>JÄMTLANDS LÄN</t>
        </is>
      </c>
      <c r="E751" t="inlineStr">
        <is>
          <t>KROKOM</t>
        </is>
      </c>
      <c r="G751" t="n">
        <v>2.9</v>
      </c>
      <c r="H751" t="n">
        <v>0</v>
      </c>
      <c r="I751" t="n">
        <v>0</v>
      </c>
      <c r="J751" t="n">
        <v>0</v>
      </c>
      <c r="K751" t="n">
        <v>0</v>
      </c>
      <c r="L751" t="n">
        <v>0</v>
      </c>
      <c r="M751" t="n">
        <v>0</v>
      </c>
      <c r="N751" t="n">
        <v>0</v>
      </c>
      <c r="O751" t="n">
        <v>0</v>
      </c>
      <c r="P751" t="n">
        <v>0</v>
      </c>
      <c r="Q751" t="n">
        <v>0</v>
      </c>
      <c r="R751" s="2" t="inlineStr"/>
    </row>
    <row r="752" ht="15" customHeight="1">
      <c r="A752" t="inlineStr">
        <is>
          <t>A 58390-2021</t>
        </is>
      </c>
      <c r="B752" s="1" t="n">
        <v>44488</v>
      </c>
      <c r="C752" s="1" t="n">
        <v>45840</v>
      </c>
      <c r="D752" t="inlineStr">
        <is>
          <t>JÄMTLANDS LÄN</t>
        </is>
      </c>
      <c r="E752" t="inlineStr">
        <is>
          <t>KROKOM</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59506-2021</t>
        </is>
      </c>
      <c r="B753" s="1" t="n">
        <v>44491</v>
      </c>
      <c r="C753" s="1" t="n">
        <v>45840</v>
      </c>
      <c r="D753" t="inlineStr">
        <is>
          <t>JÄMTLANDS LÄN</t>
        </is>
      </c>
      <c r="E753" t="inlineStr">
        <is>
          <t>KROKOM</t>
        </is>
      </c>
      <c r="G753" t="n">
        <v>6</v>
      </c>
      <c r="H753" t="n">
        <v>0</v>
      </c>
      <c r="I753" t="n">
        <v>0</v>
      </c>
      <c r="J753" t="n">
        <v>0</v>
      </c>
      <c r="K753" t="n">
        <v>0</v>
      </c>
      <c r="L753" t="n">
        <v>0</v>
      </c>
      <c r="M753" t="n">
        <v>0</v>
      </c>
      <c r="N753" t="n">
        <v>0</v>
      </c>
      <c r="O753" t="n">
        <v>0</v>
      </c>
      <c r="P753" t="n">
        <v>0</v>
      </c>
      <c r="Q753" t="n">
        <v>0</v>
      </c>
      <c r="R753" s="2" t="inlineStr"/>
    </row>
    <row r="754" ht="15" customHeight="1">
      <c r="A754" t="inlineStr">
        <is>
          <t>A 59916-2021</t>
        </is>
      </c>
      <c r="B754" s="1" t="n">
        <v>44494</v>
      </c>
      <c r="C754" s="1" t="n">
        <v>45840</v>
      </c>
      <c r="D754" t="inlineStr">
        <is>
          <t>JÄMTLANDS LÄN</t>
        </is>
      </c>
      <c r="E754" t="inlineStr">
        <is>
          <t>KROKOM</t>
        </is>
      </c>
      <c r="G754" t="n">
        <v>1.1</v>
      </c>
      <c r="H754" t="n">
        <v>0</v>
      </c>
      <c r="I754" t="n">
        <v>0</v>
      </c>
      <c r="J754" t="n">
        <v>0</v>
      </c>
      <c r="K754" t="n">
        <v>0</v>
      </c>
      <c r="L754" t="n">
        <v>0</v>
      </c>
      <c r="M754" t="n">
        <v>0</v>
      </c>
      <c r="N754" t="n">
        <v>0</v>
      </c>
      <c r="O754" t="n">
        <v>0</v>
      </c>
      <c r="P754" t="n">
        <v>0</v>
      </c>
      <c r="Q754" t="n">
        <v>0</v>
      </c>
      <c r="R754" s="2" t="inlineStr"/>
    </row>
    <row r="755" ht="15" customHeight="1">
      <c r="A755" t="inlineStr">
        <is>
          <t>A 59913-2021</t>
        </is>
      </c>
      <c r="B755" s="1" t="n">
        <v>44494</v>
      </c>
      <c r="C755" s="1" t="n">
        <v>45840</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60348-2021</t>
        </is>
      </c>
      <c r="B756" s="1" t="n">
        <v>44495</v>
      </c>
      <c r="C756" s="1" t="n">
        <v>45840</v>
      </c>
      <c r="D756" t="inlineStr">
        <is>
          <t>JÄMTLANDS LÄN</t>
        </is>
      </c>
      <c r="E756" t="inlineStr">
        <is>
          <t>KROKOM</t>
        </is>
      </c>
      <c r="G756" t="n">
        <v>11.2</v>
      </c>
      <c r="H756" t="n">
        <v>0</v>
      </c>
      <c r="I756" t="n">
        <v>0</v>
      </c>
      <c r="J756" t="n">
        <v>0</v>
      </c>
      <c r="K756" t="n">
        <v>0</v>
      </c>
      <c r="L756" t="n">
        <v>0</v>
      </c>
      <c r="M756" t="n">
        <v>0</v>
      </c>
      <c r="N756" t="n">
        <v>0</v>
      </c>
      <c r="O756" t="n">
        <v>0</v>
      </c>
      <c r="P756" t="n">
        <v>0</v>
      </c>
      <c r="Q756" t="n">
        <v>0</v>
      </c>
      <c r="R756" s="2" t="inlineStr"/>
    </row>
    <row r="757" ht="15" customHeight="1">
      <c r="A757" t="inlineStr">
        <is>
          <t>A 60351-2021</t>
        </is>
      </c>
      <c r="B757" s="1" t="n">
        <v>44495</v>
      </c>
      <c r="C757" s="1" t="n">
        <v>45840</v>
      </c>
      <c r="D757" t="inlineStr">
        <is>
          <t>JÄMTLANDS LÄN</t>
        </is>
      </c>
      <c r="E757" t="inlineStr">
        <is>
          <t>KROKOM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61230-2021</t>
        </is>
      </c>
      <c r="B758" s="1" t="n">
        <v>44498</v>
      </c>
      <c r="C758" s="1" t="n">
        <v>45840</v>
      </c>
      <c r="D758" t="inlineStr">
        <is>
          <t>JÄMTLANDS LÄN</t>
        </is>
      </c>
      <c r="E758" t="inlineStr">
        <is>
          <t>KROKOM</t>
        </is>
      </c>
      <c r="G758" t="n">
        <v>0.9</v>
      </c>
      <c r="H758" t="n">
        <v>0</v>
      </c>
      <c r="I758" t="n">
        <v>0</v>
      </c>
      <c r="J758" t="n">
        <v>0</v>
      </c>
      <c r="K758" t="n">
        <v>0</v>
      </c>
      <c r="L758" t="n">
        <v>0</v>
      </c>
      <c r="M758" t="n">
        <v>0</v>
      </c>
      <c r="N758" t="n">
        <v>0</v>
      </c>
      <c r="O758" t="n">
        <v>0</v>
      </c>
      <c r="P758" t="n">
        <v>0</v>
      </c>
      <c r="Q758" t="n">
        <v>0</v>
      </c>
      <c r="R758" s="2" t="inlineStr"/>
    </row>
    <row r="759" ht="15" customHeight="1">
      <c r="A759" t="inlineStr">
        <is>
          <t>A 61182-2021</t>
        </is>
      </c>
      <c r="B759" s="1" t="n">
        <v>44498</v>
      </c>
      <c r="C759" s="1" t="n">
        <v>45840</v>
      </c>
      <c r="D759" t="inlineStr">
        <is>
          <t>JÄMTLANDS LÄN</t>
        </is>
      </c>
      <c r="E759" t="inlineStr">
        <is>
          <t>KROKOM</t>
        </is>
      </c>
      <c r="G759" t="n">
        <v>2.7</v>
      </c>
      <c r="H759" t="n">
        <v>0</v>
      </c>
      <c r="I759" t="n">
        <v>0</v>
      </c>
      <c r="J759" t="n">
        <v>0</v>
      </c>
      <c r="K759" t="n">
        <v>0</v>
      </c>
      <c r="L759" t="n">
        <v>0</v>
      </c>
      <c r="M759" t="n">
        <v>0</v>
      </c>
      <c r="N759" t="n">
        <v>0</v>
      </c>
      <c r="O759" t="n">
        <v>0</v>
      </c>
      <c r="P759" t="n">
        <v>0</v>
      </c>
      <c r="Q759" t="n">
        <v>0</v>
      </c>
      <c r="R759" s="2" t="inlineStr"/>
    </row>
    <row r="760" ht="15" customHeight="1">
      <c r="A760" t="inlineStr">
        <is>
          <t>A 61732-2021</t>
        </is>
      </c>
      <c r="B760" s="1" t="n">
        <v>44498</v>
      </c>
      <c r="C760" s="1" t="n">
        <v>45840</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62205-2021</t>
        </is>
      </c>
      <c r="B761" s="1" t="n">
        <v>44502</v>
      </c>
      <c r="C761" s="1" t="n">
        <v>45840</v>
      </c>
      <c r="D761" t="inlineStr">
        <is>
          <t>JÄMTLANDS LÄN</t>
        </is>
      </c>
      <c r="E761" t="inlineStr">
        <is>
          <t>KROKOM</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62206-2021</t>
        </is>
      </c>
      <c r="B762" s="1" t="n">
        <v>44502</v>
      </c>
      <c r="C762" s="1" t="n">
        <v>45840</v>
      </c>
      <c r="D762" t="inlineStr">
        <is>
          <t>JÄMTLANDS LÄN</t>
        </is>
      </c>
      <c r="E762" t="inlineStr">
        <is>
          <t>KROKOM</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62201-2021</t>
        </is>
      </c>
      <c r="B763" s="1" t="n">
        <v>44502</v>
      </c>
      <c r="C763" s="1" t="n">
        <v>45840</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62739-2021</t>
        </is>
      </c>
      <c r="B764" s="1" t="n">
        <v>44504</v>
      </c>
      <c r="C764" s="1" t="n">
        <v>45840</v>
      </c>
      <c r="D764" t="inlineStr">
        <is>
          <t>JÄMTLANDS LÄN</t>
        </is>
      </c>
      <c r="E764" t="inlineStr">
        <is>
          <t>KROKOM</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64299-2021</t>
        </is>
      </c>
      <c r="B765" s="1" t="n">
        <v>44510</v>
      </c>
      <c r="C765" s="1" t="n">
        <v>45840</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64298-2021</t>
        </is>
      </c>
      <c r="B766" s="1" t="n">
        <v>44510</v>
      </c>
      <c r="C766" s="1" t="n">
        <v>45840</v>
      </c>
      <c r="D766" t="inlineStr">
        <is>
          <t>JÄMTLANDS LÄN</t>
        </is>
      </c>
      <c r="E766" t="inlineStr">
        <is>
          <t>KROKOM</t>
        </is>
      </c>
      <c r="G766" t="n">
        <v>3.2</v>
      </c>
      <c r="H766" t="n">
        <v>0</v>
      </c>
      <c r="I766" t="n">
        <v>0</v>
      </c>
      <c r="J766" t="n">
        <v>0</v>
      </c>
      <c r="K766" t="n">
        <v>0</v>
      </c>
      <c r="L766" t="n">
        <v>0</v>
      </c>
      <c r="M766" t="n">
        <v>0</v>
      </c>
      <c r="N766" t="n">
        <v>0</v>
      </c>
      <c r="O766" t="n">
        <v>0</v>
      </c>
      <c r="P766" t="n">
        <v>0</v>
      </c>
      <c r="Q766" t="n">
        <v>0</v>
      </c>
      <c r="R766" s="2" t="inlineStr"/>
    </row>
    <row r="767" ht="15" customHeight="1">
      <c r="A767" t="inlineStr">
        <is>
          <t>A 64953-2021</t>
        </is>
      </c>
      <c r="B767" s="1" t="n">
        <v>44512</v>
      </c>
      <c r="C767" s="1" t="n">
        <v>45840</v>
      </c>
      <c r="D767" t="inlineStr">
        <is>
          <t>JÄMTLANDS LÄN</t>
        </is>
      </c>
      <c r="E767" t="inlineStr">
        <is>
          <t>KROKOM</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64966-2021</t>
        </is>
      </c>
      <c r="B768" s="1" t="n">
        <v>44512</v>
      </c>
      <c r="C768" s="1" t="n">
        <v>45840</v>
      </c>
      <c r="D768" t="inlineStr">
        <is>
          <t>JÄMTLANDS LÄN</t>
        </is>
      </c>
      <c r="E768" t="inlineStr">
        <is>
          <t>KROKOM</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65508-2021</t>
        </is>
      </c>
      <c r="B769" s="1" t="n">
        <v>44516</v>
      </c>
      <c r="C769" s="1" t="n">
        <v>45840</v>
      </c>
      <c r="D769" t="inlineStr">
        <is>
          <t>JÄMTLANDS LÄN</t>
        </is>
      </c>
      <c r="E769" t="inlineStr">
        <is>
          <t>KROKOM</t>
        </is>
      </c>
      <c r="G769" t="n">
        <v>0.3</v>
      </c>
      <c r="H769" t="n">
        <v>0</v>
      </c>
      <c r="I769" t="n">
        <v>0</v>
      </c>
      <c r="J769" t="n">
        <v>0</v>
      </c>
      <c r="K769" t="n">
        <v>0</v>
      </c>
      <c r="L769" t="n">
        <v>0</v>
      </c>
      <c r="M769" t="n">
        <v>0</v>
      </c>
      <c r="N769" t="n">
        <v>0</v>
      </c>
      <c r="O769" t="n">
        <v>0</v>
      </c>
      <c r="P769" t="n">
        <v>0</v>
      </c>
      <c r="Q769" t="n">
        <v>0</v>
      </c>
      <c r="R769" s="2" t="inlineStr"/>
    </row>
    <row r="770" ht="15" customHeight="1">
      <c r="A770" t="inlineStr">
        <is>
          <t>A 66477-2021</t>
        </is>
      </c>
      <c r="B770" s="1" t="n">
        <v>44518</v>
      </c>
      <c r="C770" s="1" t="n">
        <v>45840</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66476-2021</t>
        </is>
      </c>
      <c r="B771" s="1" t="n">
        <v>44518</v>
      </c>
      <c r="C771" s="1" t="n">
        <v>45840</v>
      </c>
      <c r="D771" t="inlineStr">
        <is>
          <t>JÄMTLANDS LÄN</t>
        </is>
      </c>
      <c r="E771" t="inlineStr">
        <is>
          <t>KROKOM</t>
        </is>
      </c>
      <c r="G771" t="n">
        <v>2.7</v>
      </c>
      <c r="H771" t="n">
        <v>0</v>
      </c>
      <c r="I771" t="n">
        <v>0</v>
      </c>
      <c r="J771" t="n">
        <v>0</v>
      </c>
      <c r="K771" t="n">
        <v>0</v>
      </c>
      <c r="L771" t="n">
        <v>0</v>
      </c>
      <c r="M771" t="n">
        <v>0</v>
      </c>
      <c r="N771" t="n">
        <v>0</v>
      </c>
      <c r="O771" t="n">
        <v>0</v>
      </c>
      <c r="P771" t="n">
        <v>0</v>
      </c>
      <c r="Q771" t="n">
        <v>0</v>
      </c>
      <c r="R771" s="2" t="inlineStr"/>
    </row>
    <row r="772" ht="15" customHeight="1">
      <c r="A772" t="inlineStr">
        <is>
          <t>A 66683-2021</t>
        </is>
      </c>
      <c r="B772" s="1" t="n">
        <v>44519</v>
      </c>
      <c r="C772" s="1" t="n">
        <v>45840</v>
      </c>
      <c r="D772" t="inlineStr">
        <is>
          <t>JÄMTLANDS LÄN</t>
        </is>
      </c>
      <c r="E772" t="inlineStr">
        <is>
          <t>KROKOM</t>
        </is>
      </c>
      <c r="G772" t="n">
        <v>5.4</v>
      </c>
      <c r="H772" t="n">
        <v>0</v>
      </c>
      <c r="I772" t="n">
        <v>0</v>
      </c>
      <c r="J772" t="n">
        <v>0</v>
      </c>
      <c r="K772" t="n">
        <v>0</v>
      </c>
      <c r="L772" t="n">
        <v>0</v>
      </c>
      <c r="M772" t="n">
        <v>0</v>
      </c>
      <c r="N772" t="n">
        <v>0</v>
      </c>
      <c r="O772" t="n">
        <v>0</v>
      </c>
      <c r="P772" t="n">
        <v>0</v>
      </c>
      <c r="Q772" t="n">
        <v>0</v>
      </c>
      <c r="R772" s="2" t="inlineStr"/>
    </row>
    <row r="773" ht="15" customHeight="1">
      <c r="A773" t="inlineStr">
        <is>
          <t>A 66880-2021</t>
        </is>
      </c>
      <c r="B773" s="1" t="n">
        <v>44522</v>
      </c>
      <c r="C773" s="1" t="n">
        <v>45840</v>
      </c>
      <c r="D773" t="inlineStr">
        <is>
          <t>JÄMTLANDS LÄN</t>
        </is>
      </c>
      <c r="E773" t="inlineStr">
        <is>
          <t>KROKOM</t>
        </is>
      </c>
      <c r="G773" t="n">
        <v>2</v>
      </c>
      <c r="H773" t="n">
        <v>0</v>
      </c>
      <c r="I773" t="n">
        <v>0</v>
      </c>
      <c r="J773" t="n">
        <v>0</v>
      </c>
      <c r="K773" t="n">
        <v>0</v>
      </c>
      <c r="L773" t="n">
        <v>0</v>
      </c>
      <c r="M773" t="n">
        <v>0</v>
      </c>
      <c r="N773" t="n">
        <v>0</v>
      </c>
      <c r="O773" t="n">
        <v>0</v>
      </c>
      <c r="P773" t="n">
        <v>0</v>
      </c>
      <c r="Q773" t="n">
        <v>0</v>
      </c>
      <c r="R773" s="2" t="inlineStr"/>
    </row>
    <row r="774" ht="15" customHeight="1">
      <c r="A774" t="inlineStr">
        <is>
          <t>A 67488-2021</t>
        </is>
      </c>
      <c r="B774" s="1" t="n">
        <v>44524</v>
      </c>
      <c r="C774" s="1" t="n">
        <v>45840</v>
      </c>
      <c r="D774" t="inlineStr">
        <is>
          <t>JÄMTLANDS LÄN</t>
        </is>
      </c>
      <c r="E774" t="inlineStr">
        <is>
          <t>KROKOM</t>
        </is>
      </c>
      <c r="G774" t="n">
        <v>0.5</v>
      </c>
      <c r="H774" t="n">
        <v>0</v>
      </c>
      <c r="I774" t="n">
        <v>0</v>
      </c>
      <c r="J774" t="n">
        <v>0</v>
      </c>
      <c r="K774" t="n">
        <v>0</v>
      </c>
      <c r="L774" t="n">
        <v>0</v>
      </c>
      <c r="M774" t="n">
        <v>0</v>
      </c>
      <c r="N774" t="n">
        <v>0</v>
      </c>
      <c r="O774" t="n">
        <v>0</v>
      </c>
      <c r="P774" t="n">
        <v>0</v>
      </c>
      <c r="Q774" t="n">
        <v>0</v>
      </c>
      <c r="R774" s="2" t="inlineStr"/>
    </row>
    <row r="775" ht="15" customHeight="1">
      <c r="A775" t="inlineStr">
        <is>
          <t>A 67740-2021</t>
        </is>
      </c>
      <c r="B775" s="1" t="n">
        <v>44524</v>
      </c>
      <c r="C775" s="1" t="n">
        <v>45840</v>
      </c>
      <c r="D775" t="inlineStr">
        <is>
          <t>JÄMTLANDS LÄN</t>
        </is>
      </c>
      <c r="E775" t="inlineStr">
        <is>
          <t>KROKOM</t>
        </is>
      </c>
      <c r="G775" t="n">
        <v>12.3</v>
      </c>
      <c r="H775" t="n">
        <v>0</v>
      </c>
      <c r="I775" t="n">
        <v>0</v>
      </c>
      <c r="J775" t="n">
        <v>0</v>
      </c>
      <c r="K775" t="n">
        <v>0</v>
      </c>
      <c r="L775" t="n">
        <v>0</v>
      </c>
      <c r="M775" t="n">
        <v>0</v>
      </c>
      <c r="N775" t="n">
        <v>0</v>
      </c>
      <c r="O775" t="n">
        <v>0</v>
      </c>
      <c r="P775" t="n">
        <v>0</v>
      </c>
      <c r="Q775" t="n">
        <v>0</v>
      </c>
      <c r="R775" s="2" t="inlineStr"/>
    </row>
    <row r="776" ht="15" customHeight="1">
      <c r="A776" t="inlineStr">
        <is>
          <t>A 67797-2021</t>
        </is>
      </c>
      <c r="B776" s="1" t="n">
        <v>44524</v>
      </c>
      <c r="C776" s="1" t="n">
        <v>45840</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67722-2021</t>
        </is>
      </c>
      <c r="B777" s="1" t="n">
        <v>44525</v>
      </c>
      <c r="C777" s="1" t="n">
        <v>45840</v>
      </c>
      <c r="D777" t="inlineStr">
        <is>
          <t>JÄMTLANDS LÄN</t>
        </is>
      </c>
      <c r="E777" t="inlineStr">
        <is>
          <t>KROKOM</t>
        </is>
      </c>
      <c r="G777" t="n">
        <v>1.7</v>
      </c>
      <c r="H777" t="n">
        <v>0</v>
      </c>
      <c r="I777" t="n">
        <v>0</v>
      </c>
      <c r="J777" t="n">
        <v>0</v>
      </c>
      <c r="K777" t="n">
        <v>0</v>
      </c>
      <c r="L777" t="n">
        <v>0</v>
      </c>
      <c r="M777" t="n">
        <v>0</v>
      </c>
      <c r="N777" t="n">
        <v>0</v>
      </c>
      <c r="O777" t="n">
        <v>0</v>
      </c>
      <c r="P777" t="n">
        <v>0</v>
      </c>
      <c r="Q777" t="n">
        <v>0</v>
      </c>
      <c r="R777" s="2" t="inlineStr"/>
    </row>
    <row r="778" ht="15" customHeight="1">
      <c r="A778" t="inlineStr">
        <is>
          <t>A 68686-2021</t>
        </is>
      </c>
      <c r="B778" s="1" t="n">
        <v>44526</v>
      </c>
      <c r="C778" s="1" t="n">
        <v>45840</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69751-2021</t>
        </is>
      </c>
      <c r="B779" s="1" t="n">
        <v>44532</v>
      </c>
      <c r="C779" s="1" t="n">
        <v>45840</v>
      </c>
      <c r="D779" t="inlineStr">
        <is>
          <t>JÄMTLANDS LÄN</t>
        </is>
      </c>
      <c r="E779" t="inlineStr">
        <is>
          <t>KROKOM</t>
        </is>
      </c>
      <c r="F779" t="inlineStr">
        <is>
          <t>Övriga Aktiebolag</t>
        </is>
      </c>
      <c r="G779" t="n">
        <v>2.6</v>
      </c>
      <c r="H779" t="n">
        <v>0</v>
      </c>
      <c r="I779" t="n">
        <v>0</v>
      </c>
      <c r="J779" t="n">
        <v>0</v>
      </c>
      <c r="K779" t="n">
        <v>0</v>
      </c>
      <c r="L779" t="n">
        <v>0</v>
      </c>
      <c r="M779" t="n">
        <v>0</v>
      </c>
      <c r="N779" t="n">
        <v>0</v>
      </c>
      <c r="O779" t="n">
        <v>0</v>
      </c>
      <c r="P779" t="n">
        <v>0</v>
      </c>
      <c r="Q779" t="n">
        <v>0</v>
      </c>
      <c r="R779" s="2" t="inlineStr"/>
    </row>
    <row r="780" ht="15" customHeight="1">
      <c r="A780" t="inlineStr">
        <is>
          <t>A 69949-2021</t>
        </is>
      </c>
      <c r="B780" s="1" t="n">
        <v>44533</v>
      </c>
      <c r="C780" s="1" t="n">
        <v>45840</v>
      </c>
      <c r="D780" t="inlineStr">
        <is>
          <t>JÄMTLANDS LÄN</t>
        </is>
      </c>
      <c r="E780" t="inlineStr">
        <is>
          <t>KROKOM</t>
        </is>
      </c>
      <c r="G780" t="n">
        <v>15.8</v>
      </c>
      <c r="H780" t="n">
        <v>0</v>
      </c>
      <c r="I780" t="n">
        <v>0</v>
      </c>
      <c r="J780" t="n">
        <v>0</v>
      </c>
      <c r="K780" t="n">
        <v>0</v>
      </c>
      <c r="L780" t="n">
        <v>0</v>
      </c>
      <c r="M780" t="n">
        <v>0</v>
      </c>
      <c r="N780" t="n">
        <v>0</v>
      </c>
      <c r="O780" t="n">
        <v>0</v>
      </c>
      <c r="P780" t="n">
        <v>0</v>
      </c>
      <c r="Q780" t="n">
        <v>0</v>
      </c>
      <c r="R780" s="2" t="inlineStr"/>
    </row>
    <row r="781" ht="15" customHeight="1">
      <c r="A781" t="inlineStr">
        <is>
          <t>A 69972-2021</t>
        </is>
      </c>
      <c r="B781" s="1" t="n">
        <v>44533</v>
      </c>
      <c r="C781" s="1" t="n">
        <v>45840</v>
      </c>
      <c r="D781" t="inlineStr">
        <is>
          <t>JÄMTLANDS LÄN</t>
        </is>
      </c>
      <c r="E781" t="inlineStr">
        <is>
          <t>KROKOM</t>
        </is>
      </c>
      <c r="G781" t="n">
        <v>22.9</v>
      </c>
      <c r="H781" t="n">
        <v>0</v>
      </c>
      <c r="I781" t="n">
        <v>0</v>
      </c>
      <c r="J781" t="n">
        <v>0</v>
      </c>
      <c r="K781" t="n">
        <v>0</v>
      </c>
      <c r="L781" t="n">
        <v>0</v>
      </c>
      <c r="M781" t="n">
        <v>0</v>
      </c>
      <c r="N781" t="n">
        <v>0</v>
      </c>
      <c r="O781" t="n">
        <v>0</v>
      </c>
      <c r="P781" t="n">
        <v>0</v>
      </c>
      <c r="Q781" t="n">
        <v>0</v>
      </c>
      <c r="R781" s="2" t="inlineStr"/>
    </row>
    <row r="782" ht="15" customHeight="1">
      <c r="A782" t="inlineStr">
        <is>
          <t>A 70222-2021</t>
        </is>
      </c>
      <c r="B782" s="1" t="n">
        <v>44535</v>
      </c>
      <c r="C782" s="1" t="n">
        <v>45840</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71307-2021</t>
        </is>
      </c>
      <c r="B783" s="1" t="n">
        <v>44539</v>
      </c>
      <c r="C783" s="1" t="n">
        <v>45840</v>
      </c>
      <c r="D783" t="inlineStr">
        <is>
          <t>JÄMTLANDS LÄN</t>
        </is>
      </c>
      <c r="E783" t="inlineStr">
        <is>
          <t>KROKOM</t>
        </is>
      </c>
      <c r="G783" t="n">
        <v>21.5</v>
      </c>
      <c r="H783" t="n">
        <v>0</v>
      </c>
      <c r="I783" t="n">
        <v>0</v>
      </c>
      <c r="J783" t="n">
        <v>0</v>
      </c>
      <c r="K783" t="n">
        <v>0</v>
      </c>
      <c r="L783" t="n">
        <v>0</v>
      </c>
      <c r="M783" t="n">
        <v>0</v>
      </c>
      <c r="N783" t="n">
        <v>0</v>
      </c>
      <c r="O783" t="n">
        <v>0</v>
      </c>
      <c r="P783" t="n">
        <v>0</v>
      </c>
      <c r="Q783" t="n">
        <v>0</v>
      </c>
      <c r="R783" s="2" t="inlineStr"/>
    </row>
    <row r="784" ht="15" customHeight="1">
      <c r="A784" t="inlineStr">
        <is>
          <t>A 71246-2021</t>
        </is>
      </c>
      <c r="B784" s="1" t="n">
        <v>44539</v>
      </c>
      <c r="C784" s="1" t="n">
        <v>45840</v>
      </c>
      <c r="D784" t="inlineStr">
        <is>
          <t>JÄMTLANDS LÄN</t>
        </is>
      </c>
      <c r="E784" t="inlineStr">
        <is>
          <t>KROKOM</t>
        </is>
      </c>
      <c r="G784" t="n">
        <v>0.7</v>
      </c>
      <c r="H784" t="n">
        <v>0</v>
      </c>
      <c r="I784" t="n">
        <v>0</v>
      </c>
      <c r="J784" t="n">
        <v>0</v>
      </c>
      <c r="K784" t="n">
        <v>0</v>
      </c>
      <c r="L784" t="n">
        <v>0</v>
      </c>
      <c r="M784" t="n">
        <v>0</v>
      </c>
      <c r="N784" t="n">
        <v>0</v>
      </c>
      <c r="O784" t="n">
        <v>0</v>
      </c>
      <c r="P784" t="n">
        <v>0</v>
      </c>
      <c r="Q784" t="n">
        <v>0</v>
      </c>
      <c r="R784" s="2" t="inlineStr"/>
    </row>
    <row r="785" ht="15" customHeight="1">
      <c r="A785" t="inlineStr">
        <is>
          <t>A 71572-2021</t>
        </is>
      </c>
      <c r="B785" s="1" t="n">
        <v>44540</v>
      </c>
      <c r="C785" s="1" t="n">
        <v>45840</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71654-2021</t>
        </is>
      </c>
      <c r="B786" s="1" t="n">
        <v>44543</v>
      </c>
      <c r="C786" s="1" t="n">
        <v>45840</v>
      </c>
      <c r="D786" t="inlineStr">
        <is>
          <t>JÄMTLANDS LÄN</t>
        </is>
      </c>
      <c r="E786" t="inlineStr">
        <is>
          <t>KROKOM</t>
        </is>
      </c>
      <c r="G786" t="n">
        <v>4.4</v>
      </c>
      <c r="H786" t="n">
        <v>0</v>
      </c>
      <c r="I786" t="n">
        <v>0</v>
      </c>
      <c r="J786" t="n">
        <v>0</v>
      </c>
      <c r="K786" t="n">
        <v>0</v>
      </c>
      <c r="L786" t="n">
        <v>0</v>
      </c>
      <c r="M786" t="n">
        <v>0</v>
      </c>
      <c r="N786" t="n">
        <v>0</v>
      </c>
      <c r="O786" t="n">
        <v>0</v>
      </c>
      <c r="P786" t="n">
        <v>0</v>
      </c>
      <c r="Q786" t="n">
        <v>0</v>
      </c>
      <c r="R786" s="2" t="inlineStr"/>
    </row>
    <row r="787" ht="15" customHeight="1">
      <c r="A787" t="inlineStr">
        <is>
          <t>A 72286-2021</t>
        </is>
      </c>
      <c r="B787" s="1" t="n">
        <v>44543</v>
      </c>
      <c r="C787" s="1" t="n">
        <v>45840</v>
      </c>
      <c r="D787" t="inlineStr">
        <is>
          <t>JÄMTLANDS LÄN</t>
        </is>
      </c>
      <c r="E787" t="inlineStr">
        <is>
          <t>KROKOM</t>
        </is>
      </c>
      <c r="G787" t="n">
        <v>2.3</v>
      </c>
      <c r="H787" t="n">
        <v>0</v>
      </c>
      <c r="I787" t="n">
        <v>0</v>
      </c>
      <c r="J787" t="n">
        <v>0</v>
      </c>
      <c r="K787" t="n">
        <v>0</v>
      </c>
      <c r="L787" t="n">
        <v>0</v>
      </c>
      <c r="M787" t="n">
        <v>0</v>
      </c>
      <c r="N787" t="n">
        <v>0</v>
      </c>
      <c r="O787" t="n">
        <v>0</v>
      </c>
      <c r="P787" t="n">
        <v>0</v>
      </c>
      <c r="Q787" t="n">
        <v>0</v>
      </c>
      <c r="R787" s="2" t="inlineStr"/>
    </row>
    <row r="788" ht="15" customHeight="1">
      <c r="A788" t="inlineStr">
        <is>
          <t>A 72064-2021</t>
        </is>
      </c>
      <c r="B788" s="1" t="n">
        <v>44544</v>
      </c>
      <c r="C788" s="1" t="n">
        <v>45840</v>
      </c>
      <c r="D788" t="inlineStr">
        <is>
          <t>JÄMTLANDS LÄN</t>
        </is>
      </c>
      <c r="E788" t="inlineStr">
        <is>
          <t>KROKOM</t>
        </is>
      </c>
      <c r="G788" t="n">
        <v>18.7</v>
      </c>
      <c r="H788" t="n">
        <v>0</v>
      </c>
      <c r="I788" t="n">
        <v>0</v>
      </c>
      <c r="J788" t="n">
        <v>0</v>
      </c>
      <c r="K788" t="n">
        <v>0</v>
      </c>
      <c r="L788" t="n">
        <v>0</v>
      </c>
      <c r="M788" t="n">
        <v>0</v>
      </c>
      <c r="N788" t="n">
        <v>0</v>
      </c>
      <c r="O788" t="n">
        <v>0</v>
      </c>
      <c r="P788" t="n">
        <v>0</v>
      </c>
      <c r="Q788" t="n">
        <v>0</v>
      </c>
      <c r="R788" s="2" t="inlineStr"/>
    </row>
    <row r="789" ht="15" customHeight="1">
      <c r="A789" t="inlineStr">
        <is>
          <t>A 72599-2021</t>
        </is>
      </c>
      <c r="B789" s="1" t="n">
        <v>44544</v>
      </c>
      <c r="C789" s="1" t="n">
        <v>45840</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72591-2021</t>
        </is>
      </c>
      <c r="B790" s="1" t="n">
        <v>44544</v>
      </c>
      <c r="C790" s="1" t="n">
        <v>45840</v>
      </c>
      <c r="D790" t="inlineStr">
        <is>
          <t>JÄMTLANDS LÄN</t>
        </is>
      </c>
      <c r="E790" t="inlineStr">
        <is>
          <t>KROKOM</t>
        </is>
      </c>
      <c r="G790" t="n">
        <v>0.3</v>
      </c>
      <c r="H790" t="n">
        <v>0</v>
      </c>
      <c r="I790" t="n">
        <v>0</v>
      </c>
      <c r="J790" t="n">
        <v>0</v>
      </c>
      <c r="K790" t="n">
        <v>0</v>
      </c>
      <c r="L790" t="n">
        <v>0</v>
      </c>
      <c r="M790" t="n">
        <v>0</v>
      </c>
      <c r="N790" t="n">
        <v>0</v>
      </c>
      <c r="O790" t="n">
        <v>0</v>
      </c>
      <c r="P790" t="n">
        <v>0</v>
      </c>
      <c r="Q790" t="n">
        <v>0</v>
      </c>
      <c r="R790" s="2" t="inlineStr"/>
    </row>
    <row r="791" ht="15" customHeight="1">
      <c r="A791" t="inlineStr">
        <is>
          <t>A 72482-2021</t>
        </is>
      </c>
      <c r="B791" s="1" t="n">
        <v>44545</v>
      </c>
      <c r="C791" s="1" t="n">
        <v>45840</v>
      </c>
      <c r="D791" t="inlineStr">
        <is>
          <t>JÄMTLANDS LÄN</t>
        </is>
      </c>
      <c r="E791" t="inlineStr">
        <is>
          <t>KROKOM</t>
        </is>
      </c>
      <c r="G791" t="n">
        <v>1.7</v>
      </c>
      <c r="H791" t="n">
        <v>0</v>
      </c>
      <c r="I791" t="n">
        <v>0</v>
      </c>
      <c r="J791" t="n">
        <v>0</v>
      </c>
      <c r="K791" t="n">
        <v>0</v>
      </c>
      <c r="L791" t="n">
        <v>0</v>
      </c>
      <c r="M791" t="n">
        <v>0</v>
      </c>
      <c r="N791" t="n">
        <v>0</v>
      </c>
      <c r="O791" t="n">
        <v>0</v>
      </c>
      <c r="P791" t="n">
        <v>0</v>
      </c>
      <c r="Q791" t="n">
        <v>0</v>
      </c>
      <c r="R791" s="2" t="inlineStr"/>
    </row>
    <row r="792" ht="15" customHeight="1">
      <c r="A792" t="inlineStr">
        <is>
          <t>A 73174-2021</t>
        </is>
      </c>
      <c r="B792" s="1" t="n">
        <v>44550</v>
      </c>
      <c r="C792" s="1" t="n">
        <v>45840</v>
      </c>
      <c r="D792" t="inlineStr">
        <is>
          <t>JÄMTLANDS LÄN</t>
        </is>
      </c>
      <c r="E792" t="inlineStr">
        <is>
          <t>KROKOM</t>
        </is>
      </c>
      <c r="G792" t="n">
        <v>152.9</v>
      </c>
      <c r="H792" t="n">
        <v>0</v>
      </c>
      <c r="I792" t="n">
        <v>0</v>
      </c>
      <c r="J792" t="n">
        <v>0</v>
      </c>
      <c r="K792" t="n">
        <v>0</v>
      </c>
      <c r="L792" t="n">
        <v>0</v>
      </c>
      <c r="M792" t="n">
        <v>0</v>
      </c>
      <c r="N792" t="n">
        <v>0</v>
      </c>
      <c r="O792" t="n">
        <v>0</v>
      </c>
      <c r="P792" t="n">
        <v>0</v>
      </c>
      <c r="Q792" t="n">
        <v>0</v>
      </c>
      <c r="R792" s="2" t="inlineStr"/>
    </row>
    <row r="793" ht="15" customHeight="1">
      <c r="A793" t="inlineStr">
        <is>
          <t>A 74011-2021</t>
        </is>
      </c>
      <c r="B793" s="1" t="n">
        <v>44557</v>
      </c>
      <c r="C793" s="1" t="n">
        <v>45840</v>
      </c>
      <c r="D793" t="inlineStr">
        <is>
          <t>JÄMTLANDS LÄN</t>
        </is>
      </c>
      <c r="E793" t="inlineStr">
        <is>
          <t>KROKOM</t>
        </is>
      </c>
      <c r="G793" t="n">
        <v>33.2</v>
      </c>
      <c r="H793" t="n">
        <v>0</v>
      </c>
      <c r="I793" t="n">
        <v>0</v>
      </c>
      <c r="J793" t="n">
        <v>0</v>
      </c>
      <c r="K793" t="n">
        <v>0</v>
      </c>
      <c r="L793" t="n">
        <v>0</v>
      </c>
      <c r="M793" t="n">
        <v>0</v>
      </c>
      <c r="N793" t="n">
        <v>0</v>
      </c>
      <c r="O793" t="n">
        <v>0</v>
      </c>
      <c r="P793" t="n">
        <v>0</v>
      </c>
      <c r="Q793" t="n">
        <v>0</v>
      </c>
      <c r="R793" s="2" t="inlineStr"/>
    </row>
    <row r="794" ht="15" customHeight="1">
      <c r="A794" t="inlineStr">
        <is>
          <t>A 1625-2022</t>
        </is>
      </c>
      <c r="B794" s="1" t="n">
        <v>44573</v>
      </c>
      <c r="C794" s="1" t="n">
        <v>45840</v>
      </c>
      <c r="D794" t="inlineStr">
        <is>
          <t>JÄMTLANDS LÄN</t>
        </is>
      </c>
      <c r="E794" t="inlineStr">
        <is>
          <t>KROKOM</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2093-2022</t>
        </is>
      </c>
      <c r="B795" s="1" t="n">
        <v>44577</v>
      </c>
      <c r="C795" s="1" t="n">
        <v>45840</v>
      </c>
      <c r="D795" t="inlineStr">
        <is>
          <t>JÄMTLANDS LÄN</t>
        </is>
      </c>
      <c r="E795" t="inlineStr">
        <is>
          <t>KROKOM</t>
        </is>
      </c>
      <c r="G795" t="n">
        <v>0.4</v>
      </c>
      <c r="H795" t="n">
        <v>0</v>
      </c>
      <c r="I795" t="n">
        <v>0</v>
      </c>
      <c r="J795" t="n">
        <v>0</v>
      </c>
      <c r="K795" t="n">
        <v>0</v>
      </c>
      <c r="L795" t="n">
        <v>0</v>
      </c>
      <c r="M795" t="n">
        <v>0</v>
      </c>
      <c r="N795" t="n">
        <v>0</v>
      </c>
      <c r="O795" t="n">
        <v>0</v>
      </c>
      <c r="P795" t="n">
        <v>0</v>
      </c>
      <c r="Q795" t="n">
        <v>0</v>
      </c>
      <c r="R795" s="2" t="inlineStr"/>
    </row>
    <row r="796" ht="15" customHeight="1">
      <c r="A796" t="inlineStr">
        <is>
          <t>A 3231-2022</t>
        </is>
      </c>
      <c r="B796" s="1" t="n">
        <v>44582</v>
      </c>
      <c r="C796" s="1" t="n">
        <v>45840</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4569-2022</t>
        </is>
      </c>
      <c r="B797" s="1" t="n">
        <v>44591</v>
      </c>
      <c r="C797" s="1" t="n">
        <v>45840</v>
      </c>
      <c r="D797" t="inlineStr">
        <is>
          <t>JÄMTLANDS LÄN</t>
        </is>
      </c>
      <c r="E797" t="inlineStr">
        <is>
          <t>KROKOM</t>
        </is>
      </c>
      <c r="G797" t="n">
        <v>20.3</v>
      </c>
      <c r="H797" t="n">
        <v>0</v>
      </c>
      <c r="I797" t="n">
        <v>0</v>
      </c>
      <c r="J797" t="n">
        <v>0</v>
      </c>
      <c r="K797" t="n">
        <v>0</v>
      </c>
      <c r="L797" t="n">
        <v>0</v>
      </c>
      <c r="M797" t="n">
        <v>0</v>
      </c>
      <c r="N797" t="n">
        <v>0</v>
      </c>
      <c r="O797" t="n">
        <v>0</v>
      </c>
      <c r="P797" t="n">
        <v>0</v>
      </c>
      <c r="Q797" t="n">
        <v>0</v>
      </c>
      <c r="R797" s="2" t="inlineStr"/>
    </row>
    <row r="798" ht="15" customHeight="1">
      <c r="A798" t="inlineStr">
        <is>
          <t>A 4741-2022</t>
        </is>
      </c>
      <c r="B798" s="1" t="n">
        <v>44592</v>
      </c>
      <c r="C798" s="1" t="n">
        <v>45840</v>
      </c>
      <c r="D798" t="inlineStr">
        <is>
          <t>JÄMTLANDS LÄN</t>
        </is>
      </c>
      <c r="E798" t="inlineStr">
        <is>
          <t>KROKOM</t>
        </is>
      </c>
      <c r="G798" t="n">
        <v>54.2</v>
      </c>
      <c r="H798" t="n">
        <v>0</v>
      </c>
      <c r="I798" t="n">
        <v>0</v>
      </c>
      <c r="J798" t="n">
        <v>0</v>
      </c>
      <c r="K798" t="n">
        <v>0</v>
      </c>
      <c r="L798" t="n">
        <v>0</v>
      </c>
      <c r="M798" t="n">
        <v>0</v>
      </c>
      <c r="N798" t="n">
        <v>0</v>
      </c>
      <c r="O798" t="n">
        <v>0</v>
      </c>
      <c r="P798" t="n">
        <v>0</v>
      </c>
      <c r="Q798" t="n">
        <v>0</v>
      </c>
      <c r="R798" s="2" t="inlineStr"/>
    </row>
    <row r="799" ht="15" customHeight="1">
      <c r="A799" t="inlineStr">
        <is>
          <t>A 5693-2022</t>
        </is>
      </c>
      <c r="B799" s="1" t="n">
        <v>44596</v>
      </c>
      <c r="C799" s="1" t="n">
        <v>45840</v>
      </c>
      <c r="D799" t="inlineStr">
        <is>
          <t>JÄMTLANDS LÄN</t>
        </is>
      </c>
      <c r="E799" t="inlineStr">
        <is>
          <t>KROKOM</t>
        </is>
      </c>
      <c r="G799" t="n">
        <v>40.8</v>
      </c>
      <c r="H799" t="n">
        <v>0</v>
      </c>
      <c r="I799" t="n">
        <v>0</v>
      </c>
      <c r="J799" t="n">
        <v>0</v>
      </c>
      <c r="K799" t="n">
        <v>0</v>
      </c>
      <c r="L799" t="n">
        <v>0</v>
      </c>
      <c r="M799" t="n">
        <v>0</v>
      </c>
      <c r="N799" t="n">
        <v>0</v>
      </c>
      <c r="O799" t="n">
        <v>0</v>
      </c>
      <c r="P799" t="n">
        <v>0</v>
      </c>
      <c r="Q799" t="n">
        <v>0</v>
      </c>
      <c r="R799" s="2" t="inlineStr"/>
    </row>
    <row r="800" ht="15" customHeight="1">
      <c r="A800" t="inlineStr">
        <is>
          <t>A 6214-2022</t>
        </is>
      </c>
      <c r="B800" s="1" t="n">
        <v>44600</v>
      </c>
      <c r="C800" s="1" t="n">
        <v>45840</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6451-2022</t>
        </is>
      </c>
      <c r="B801" s="1" t="n">
        <v>44601</v>
      </c>
      <c r="C801" s="1" t="n">
        <v>45840</v>
      </c>
      <c r="D801" t="inlineStr">
        <is>
          <t>JÄMTLANDS LÄN</t>
        </is>
      </c>
      <c r="E801" t="inlineStr">
        <is>
          <t>KROKOM</t>
        </is>
      </c>
      <c r="G801" t="n">
        <v>5.8</v>
      </c>
      <c r="H801" t="n">
        <v>0</v>
      </c>
      <c r="I801" t="n">
        <v>0</v>
      </c>
      <c r="J801" t="n">
        <v>0</v>
      </c>
      <c r="K801" t="n">
        <v>0</v>
      </c>
      <c r="L801" t="n">
        <v>0</v>
      </c>
      <c r="M801" t="n">
        <v>0</v>
      </c>
      <c r="N801" t="n">
        <v>0</v>
      </c>
      <c r="O801" t="n">
        <v>0</v>
      </c>
      <c r="P801" t="n">
        <v>0</v>
      </c>
      <c r="Q801" t="n">
        <v>0</v>
      </c>
      <c r="R801" s="2" t="inlineStr"/>
    </row>
    <row r="802" ht="15" customHeight="1">
      <c r="A802" t="inlineStr">
        <is>
          <t>A 7180-2022</t>
        </is>
      </c>
      <c r="B802" s="1" t="n">
        <v>44605</v>
      </c>
      <c r="C802" s="1" t="n">
        <v>45840</v>
      </c>
      <c r="D802" t="inlineStr">
        <is>
          <t>JÄMTLANDS LÄN</t>
        </is>
      </c>
      <c r="E802" t="inlineStr">
        <is>
          <t>KROKOM</t>
        </is>
      </c>
      <c r="G802" t="n">
        <v>5.9</v>
      </c>
      <c r="H802" t="n">
        <v>0</v>
      </c>
      <c r="I802" t="n">
        <v>0</v>
      </c>
      <c r="J802" t="n">
        <v>0</v>
      </c>
      <c r="K802" t="n">
        <v>0</v>
      </c>
      <c r="L802" t="n">
        <v>0</v>
      </c>
      <c r="M802" t="n">
        <v>0</v>
      </c>
      <c r="N802" t="n">
        <v>0</v>
      </c>
      <c r="O802" t="n">
        <v>0</v>
      </c>
      <c r="P802" t="n">
        <v>0</v>
      </c>
      <c r="Q802" t="n">
        <v>0</v>
      </c>
      <c r="R802" s="2" t="inlineStr"/>
    </row>
    <row r="803" ht="15" customHeight="1">
      <c r="A803" t="inlineStr">
        <is>
          <t>A 8230-2022</t>
        </is>
      </c>
      <c r="B803" s="1" t="n">
        <v>44609</v>
      </c>
      <c r="C803" s="1" t="n">
        <v>45840</v>
      </c>
      <c r="D803" t="inlineStr">
        <is>
          <t>JÄMTLANDS LÄN</t>
        </is>
      </c>
      <c r="E803" t="inlineStr">
        <is>
          <t>KROKOM</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8569-2022</t>
        </is>
      </c>
      <c r="B804" s="1" t="n">
        <v>44610</v>
      </c>
      <c r="C804" s="1" t="n">
        <v>45840</v>
      </c>
      <c r="D804" t="inlineStr">
        <is>
          <t>JÄMTLANDS LÄN</t>
        </is>
      </c>
      <c r="E804" t="inlineStr">
        <is>
          <t>KROKOM</t>
        </is>
      </c>
      <c r="G804" t="n">
        <v>0.9</v>
      </c>
      <c r="H804" t="n">
        <v>0</v>
      </c>
      <c r="I804" t="n">
        <v>0</v>
      </c>
      <c r="J804" t="n">
        <v>0</v>
      </c>
      <c r="K804" t="n">
        <v>0</v>
      </c>
      <c r="L804" t="n">
        <v>0</v>
      </c>
      <c r="M804" t="n">
        <v>0</v>
      </c>
      <c r="N804" t="n">
        <v>0</v>
      </c>
      <c r="O804" t="n">
        <v>0</v>
      </c>
      <c r="P804" t="n">
        <v>0</v>
      </c>
      <c r="Q804" t="n">
        <v>0</v>
      </c>
      <c r="R804" s="2" t="inlineStr"/>
    </row>
    <row r="805" ht="15" customHeight="1">
      <c r="A805" t="inlineStr">
        <is>
          <t>A 8559-2022</t>
        </is>
      </c>
      <c r="B805" s="1" t="n">
        <v>44610</v>
      </c>
      <c r="C805" s="1" t="n">
        <v>45840</v>
      </c>
      <c r="D805" t="inlineStr">
        <is>
          <t>JÄMTLANDS LÄN</t>
        </is>
      </c>
      <c r="E805" t="inlineStr">
        <is>
          <t>KROKOM</t>
        </is>
      </c>
      <c r="G805" t="n">
        <v>0.5</v>
      </c>
      <c r="H805" t="n">
        <v>0</v>
      </c>
      <c r="I805" t="n">
        <v>0</v>
      </c>
      <c r="J805" t="n">
        <v>0</v>
      </c>
      <c r="K805" t="n">
        <v>0</v>
      </c>
      <c r="L805" t="n">
        <v>0</v>
      </c>
      <c r="M805" t="n">
        <v>0</v>
      </c>
      <c r="N805" t="n">
        <v>0</v>
      </c>
      <c r="O805" t="n">
        <v>0</v>
      </c>
      <c r="P805" t="n">
        <v>0</v>
      </c>
      <c r="Q805" t="n">
        <v>0</v>
      </c>
      <c r="R805" s="2" t="inlineStr"/>
    </row>
    <row r="806" ht="15" customHeight="1">
      <c r="A806" t="inlineStr">
        <is>
          <t>A 11113-2022</t>
        </is>
      </c>
      <c r="B806" s="1" t="n">
        <v>44628</v>
      </c>
      <c r="C806" s="1" t="n">
        <v>45840</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11591-2022</t>
        </is>
      </c>
      <c r="B807" s="1" t="n">
        <v>44631</v>
      </c>
      <c r="C807" s="1" t="n">
        <v>45840</v>
      </c>
      <c r="D807" t="inlineStr">
        <is>
          <t>JÄMTLANDS LÄN</t>
        </is>
      </c>
      <c r="E807" t="inlineStr">
        <is>
          <t>KROKOM</t>
        </is>
      </c>
      <c r="G807" t="n">
        <v>2</v>
      </c>
      <c r="H807" t="n">
        <v>0</v>
      </c>
      <c r="I807" t="n">
        <v>0</v>
      </c>
      <c r="J807" t="n">
        <v>0</v>
      </c>
      <c r="K807" t="n">
        <v>0</v>
      </c>
      <c r="L807" t="n">
        <v>0</v>
      </c>
      <c r="M807" t="n">
        <v>0</v>
      </c>
      <c r="N807" t="n">
        <v>0</v>
      </c>
      <c r="O807" t="n">
        <v>0</v>
      </c>
      <c r="P807" t="n">
        <v>0</v>
      </c>
      <c r="Q807" t="n">
        <v>0</v>
      </c>
      <c r="R807" s="2" t="inlineStr"/>
    </row>
    <row r="808" ht="15" customHeight="1">
      <c r="A808" t="inlineStr">
        <is>
          <t>A 12543-2022</t>
        </is>
      </c>
      <c r="B808" s="1" t="n">
        <v>44638</v>
      </c>
      <c r="C808" s="1" t="n">
        <v>45840</v>
      </c>
      <c r="D808" t="inlineStr">
        <is>
          <t>JÄMTLANDS LÄN</t>
        </is>
      </c>
      <c r="E808" t="inlineStr">
        <is>
          <t>KROKOM</t>
        </is>
      </c>
      <c r="G808" t="n">
        <v>7.9</v>
      </c>
      <c r="H808" t="n">
        <v>0</v>
      </c>
      <c r="I808" t="n">
        <v>0</v>
      </c>
      <c r="J808" t="n">
        <v>0</v>
      </c>
      <c r="K808" t="n">
        <v>0</v>
      </c>
      <c r="L808" t="n">
        <v>0</v>
      </c>
      <c r="M808" t="n">
        <v>0</v>
      </c>
      <c r="N808" t="n">
        <v>0</v>
      </c>
      <c r="O808" t="n">
        <v>0</v>
      </c>
      <c r="P808" t="n">
        <v>0</v>
      </c>
      <c r="Q808" t="n">
        <v>0</v>
      </c>
      <c r="R808" s="2" t="inlineStr"/>
    </row>
    <row r="809" ht="15" customHeight="1">
      <c r="A809" t="inlineStr">
        <is>
          <t>A 14341-2022</t>
        </is>
      </c>
      <c r="B809" s="1" t="n">
        <v>44652</v>
      </c>
      <c r="C809" s="1" t="n">
        <v>45840</v>
      </c>
      <c r="D809" t="inlineStr">
        <is>
          <t>JÄMTLANDS LÄN</t>
        </is>
      </c>
      <c r="E809" t="inlineStr">
        <is>
          <t>KROKOM</t>
        </is>
      </c>
      <c r="G809" t="n">
        <v>39.8</v>
      </c>
      <c r="H809" t="n">
        <v>0</v>
      </c>
      <c r="I809" t="n">
        <v>0</v>
      </c>
      <c r="J809" t="n">
        <v>0</v>
      </c>
      <c r="K809" t="n">
        <v>0</v>
      </c>
      <c r="L809" t="n">
        <v>0</v>
      </c>
      <c r="M809" t="n">
        <v>0</v>
      </c>
      <c r="N809" t="n">
        <v>0</v>
      </c>
      <c r="O809" t="n">
        <v>0</v>
      </c>
      <c r="P809" t="n">
        <v>0</v>
      </c>
      <c r="Q809" t="n">
        <v>0</v>
      </c>
      <c r="R809" s="2" t="inlineStr"/>
    </row>
    <row r="810" ht="15" customHeight="1">
      <c r="A810" t="inlineStr">
        <is>
          <t>A 15231-2022</t>
        </is>
      </c>
      <c r="B810" s="1" t="n">
        <v>44658</v>
      </c>
      <c r="C810" s="1" t="n">
        <v>45840</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16037-2022</t>
        </is>
      </c>
      <c r="B811" s="1" t="n">
        <v>44665</v>
      </c>
      <c r="C811" s="1" t="n">
        <v>45840</v>
      </c>
      <c r="D811" t="inlineStr">
        <is>
          <t>JÄMTLANDS LÄN</t>
        </is>
      </c>
      <c r="E811" t="inlineStr">
        <is>
          <t>KROKOM</t>
        </is>
      </c>
      <c r="G811" t="n">
        <v>0.3</v>
      </c>
      <c r="H811" t="n">
        <v>0</v>
      </c>
      <c r="I811" t="n">
        <v>0</v>
      </c>
      <c r="J811" t="n">
        <v>0</v>
      </c>
      <c r="K811" t="n">
        <v>0</v>
      </c>
      <c r="L811" t="n">
        <v>0</v>
      </c>
      <c r="M811" t="n">
        <v>0</v>
      </c>
      <c r="N811" t="n">
        <v>0</v>
      </c>
      <c r="O811" t="n">
        <v>0</v>
      </c>
      <c r="P811" t="n">
        <v>0</v>
      </c>
      <c r="Q811" t="n">
        <v>0</v>
      </c>
      <c r="R811" s="2" t="inlineStr"/>
    </row>
    <row r="812" ht="15" customHeight="1">
      <c r="A812" t="inlineStr">
        <is>
          <t>A 16694-2022</t>
        </is>
      </c>
      <c r="B812" s="1" t="n">
        <v>44672</v>
      </c>
      <c r="C812" s="1" t="n">
        <v>45840</v>
      </c>
      <c r="D812" t="inlineStr">
        <is>
          <t>JÄMTLANDS LÄN</t>
        </is>
      </c>
      <c r="E812" t="inlineStr">
        <is>
          <t>KROKOM</t>
        </is>
      </c>
      <c r="G812" t="n">
        <v>16.9</v>
      </c>
      <c r="H812" t="n">
        <v>0</v>
      </c>
      <c r="I812" t="n">
        <v>0</v>
      </c>
      <c r="J812" t="n">
        <v>0</v>
      </c>
      <c r="K812" t="n">
        <v>0</v>
      </c>
      <c r="L812" t="n">
        <v>0</v>
      </c>
      <c r="M812" t="n">
        <v>0</v>
      </c>
      <c r="N812" t="n">
        <v>0</v>
      </c>
      <c r="O812" t="n">
        <v>0</v>
      </c>
      <c r="P812" t="n">
        <v>0</v>
      </c>
      <c r="Q812" t="n">
        <v>0</v>
      </c>
      <c r="R812" s="2" t="inlineStr"/>
    </row>
    <row r="813" ht="15" customHeight="1">
      <c r="A813" t="inlineStr">
        <is>
          <t>A 17051-2022</t>
        </is>
      </c>
      <c r="B813" s="1" t="n">
        <v>44677</v>
      </c>
      <c r="C813" s="1" t="n">
        <v>45840</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17528-2022</t>
        </is>
      </c>
      <c r="B814" s="1" t="n">
        <v>44679</v>
      </c>
      <c r="C814" s="1" t="n">
        <v>45840</v>
      </c>
      <c r="D814" t="inlineStr">
        <is>
          <t>JÄMTLANDS LÄN</t>
        </is>
      </c>
      <c r="E814" t="inlineStr">
        <is>
          <t>KROKOM</t>
        </is>
      </c>
      <c r="F814" t="inlineStr">
        <is>
          <t>Kyrkan</t>
        </is>
      </c>
      <c r="G814" t="n">
        <v>2.2</v>
      </c>
      <c r="H814" t="n">
        <v>0</v>
      </c>
      <c r="I814" t="n">
        <v>0</v>
      </c>
      <c r="J814" t="n">
        <v>0</v>
      </c>
      <c r="K814" t="n">
        <v>0</v>
      </c>
      <c r="L814" t="n">
        <v>0</v>
      </c>
      <c r="M814" t="n">
        <v>0</v>
      </c>
      <c r="N814" t="n">
        <v>0</v>
      </c>
      <c r="O814" t="n">
        <v>0</v>
      </c>
      <c r="P814" t="n">
        <v>0</v>
      </c>
      <c r="Q814" t="n">
        <v>0</v>
      </c>
      <c r="R814" s="2" t="inlineStr"/>
    </row>
    <row r="815" ht="15" customHeight="1">
      <c r="A815" t="inlineStr">
        <is>
          <t>A 18426-2022</t>
        </is>
      </c>
      <c r="B815" s="1" t="n">
        <v>44686</v>
      </c>
      <c r="C815" s="1" t="n">
        <v>45840</v>
      </c>
      <c r="D815" t="inlineStr">
        <is>
          <t>JÄMTLANDS LÄN</t>
        </is>
      </c>
      <c r="E815" t="inlineStr">
        <is>
          <t>KROKOM</t>
        </is>
      </c>
      <c r="F815" t="inlineStr">
        <is>
          <t>Övriga Aktiebolag</t>
        </is>
      </c>
      <c r="G815" t="n">
        <v>24.8</v>
      </c>
      <c r="H815" t="n">
        <v>0</v>
      </c>
      <c r="I815" t="n">
        <v>0</v>
      </c>
      <c r="J815" t="n">
        <v>0</v>
      </c>
      <c r="K815" t="n">
        <v>0</v>
      </c>
      <c r="L815" t="n">
        <v>0</v>
      </c>
      <c r="M815" t="n">
        <v>0</v>
      </c>
      <c r="N815" t="n">
        <v>0</v>
      </c>
      <c r="O815" t="n">
        <v>0</v>
      </c>
      <c r="P815" t="n">
        <v>0</v>
      </c>
      <c r="Q815" t="n">
        <v>0</v>
      </c>
      <c r="R815" s="2" t="inlineStr"/>
    </row>
    <row r="816" ht="15" customHeight="1">
      <c r="A816" t="inlineStr">
        <is>
          <t>A 18466-2022</t>
        </is>
      </c>
      <c r="B816" s="1" t="n">
        <v>44686</v>
      </c>
      <c r="C816" s="1" t="n">
        <v>45840</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18476-2022</t>
        </is>
      </c>
      <c r="B817" s="1" t="n">
        <v>44686</v>
      </c>
      <c r="C817" s="1" t="n">
        <v>45840</v>
      </c>
      <c r="D817" t="inlineStr">
        <is>
          <t>JÄMTLANDS LÄN</t>
        </is>
      </c>
      <c r="E817" t="inlineStr">
        <is>
          <t>KROKOM</t>
        </is>
      </c>
      <c r="G817" t="n">
        <v>11.7</v>
      </c>
      <c r="H817" t="n">
        <v>0</v>
      </c>
      <c r="I817" t="n">
        <v>0</v>
      </c>
      <c r="J817" t="n">
        <v>0</v>
      </c>
      <c r="K817" t="n">
        <v>0</v>
      </c>
      <c r="L817" t="n">
        <v>0</v>
      </c>
      <c r="M817" t="n">
        <v>0</v>
      </c>
      <c r="N817" t="n">
        <v>0</v>
      </c>
      <c r="O817" t="n">
        <v>0</v>
      </c>
      <c r="P817" t="n">
        <v>0</v>
      </c>
      <c r="Q817" t="n">
        <v>0</v>
      </c>
      <c r="R817" s="2" t="inlineStr"/>
    </row>
    <row r="818" ht="15" customHeight="1">
      <c r="A818" t="inlineStr">
        <is>
          <t>A 18671-2022</t>
        </is>
      </c>
      <c r="B818" s="1" t="n">
        <v>44687</v>
      </c>
      <c r="C818" s="1" t="n">
        <v>45840</v>
      </c>
      <c r="D818" t="inlineStr">
        <is>
          <t>JÄMTLANDS LÄN</t>
        </is>
      </c>
      <c r="E818" t="inlineStr">
        <is>
          <t>KROKOM</t>
        </is>
      </c>
      <c r="G818" t="n">
        <v>1.7</v>
      </c>
      <c r="H818" t="n">
        <v>0</v>
      </c>
      <c r="I818" t="n">
        <v>0</v>
      </c>
      <c r="J818" t="n">
        <v>0</v>
      </c>
      <c r="K818" t="n">
        <v>0</v>
      </c>
      <c r="L818" t="n">
        <v>0</v>
      </c>
      <c r="M818" t="n">
        <v>0</v>
      </c>
      <c r="N818" t="n">
        <v>0</v>
      </c>
      <c r="O818" t="n">
        <v>0</v>
      </c>
      <c r="P818" t="n">
        <v>0</v>
      </c>
      <c r="Q818" t="n">
        <v>0</v>
      </c>
      <c r="R818" s="2" t="inlineStr"/>
    </row>
    <row r="819" ht="15" customHeight="1">
      <c r="A819" t="inlineStr">
        <is>
          <t>A 18669-2022</t>
        </is>
      </c>
      <c r="B819" s="1" t="n">
        <v>44687</v>
      </c>
      <c r="C819" s="1" t="n">
        <v>45840</v>
      </c>
      <c r="D819" t="inlineStr">
        <is>
          <t>JÄMTLANDS LÄN</t>
        </is>
      </c>
      <c r="E819" t="inlineStr">
        <is>
          <t>KROKOM</t>
        </is>
      </c>
      <c r="G819" t="n">
        <v>2.8</v>
      </c>
      <c r="H819" t="n">
        <v>0</v>
      </c>
      <c r="I819" t="n">
        <v>0</v>
      </c>
      <c r="J819" t="n">
        <v>0</v>
      </c>
      <c r="K819" t="n">
        <v>0</v>
      </c>
      <c r="L819" t="n">
        <v>0</v>
      </c>
      <c r="M819" t="n">
        <v>0</v>
      </c>
      <c r="N819" t="n">
        <v>0</v>
      </c>
      <c r="O819" t="n">
        <v>0</v>
      </c>
      <c r="P819" t="n">
        <v>0</v>
      </c>
      <c r="Q819" t="n">
        <v>0</v>
      </c>
      <c r="R819" s="2" t="inlineStr"/>
    </row>
    <row r="820" ht="15" customHeight="1">
      <c r="A820" t="inlineStr">
        <is>
          <t>A 18957-2022</t>
        </is>
      </c>
      <c r="B820" s="1" t="n">
        <v>44690</v>
      </c>
      <c r="C820" s="1" t="n">
        <v>45840</v>
      </c>
      <c r="D820" t="inlineStr">
        <is>
          <t>JÄMTLANDS LÄN</t>
        </is>
      </c>
      <c r="E820" t="inlineStr">
        <is>
          <t>KROKOM</t>
        </is>
      </c>
      <c r="G820" t="n">
        <v>11.5</v>
      </c>
      <c r="H820" t="n">
        <v>0</v>
      </c>
      <c r="I820" t="n">
        <v>0</v>
      </c>
      <c r="J820" t="n">
        <v>0</v>
      </c>
      <c r="K820" t="n">
        <v>0</v>
      </c>
      <c r="L820" t="n">
        <v>0</v>
      </c>
      <c r="M820" t="n">
        <v>0</v>
      </c>
      <c r="N820" t="n">
        <v>0</v>
      </c>
      <c r="O820" t="n">
        <v>0</v>
      </c>
      <c r="P820" t="n">
        <v>0</v>
      </c>
      <c r="Q820" t="n">
        <v>0</v>
      </c>
      <c r="R820" s="2" t="inlineStr"/>
    </row>
    <row r="821" ht="15" customHeight="1">
      <c r="A821" t="inlineStr">
        <is>
          <t>A 19455-2022</t>
        </is>
      </c>
      <c r="B821" s="1" t="n">
        <v>44693</v>
      </c>
      <c r="C821" s="1" t="n">
        <v>45840</v>
      </c>
      <c r="D821" t="inlineStr">
        <is>
          <t>JÄMTLANDS LÄN</t>
        </is>
      </c>
      <c r="E821" t="inlineStr">
        <is>
          <t>KROKOM</t>
        </is>
      </c>
      <c r="G821" t="n">
        <v>7</v>
      </c>
      <c r="H821" t="n">
        <v>0</v>
      </c>
      <c r="I821" t="n">
        <v>0</v>
      </c>
      <c r="J821" t="n">
        <v>0</v>
      </c>
      <c r="K821" t="n">
        <v>0</v>
      </c>
      <c r="L821" t="n">
        <v>0</v>
      </c>
      <c r="M821" t="n">
        <v>0</v>
      </c>
      <c r="N821" t="n">
        <v>0</v>
      </c>
      <c r="O821" t="n">
        <v>0</v>
      </c>
      <c r="P821" t="n">
        <v>0</v>
      </c>
      <c r="Q821" t="n">
        <v>0</v>
      </c>
      <c r="R821" s="2" t="inlineStr"/>
    </row>
    <row r="822" ht="15" customHeight="1">
      <c r="A822" t="inlineStr">
        <is>
          <t>A 19799-2022</t>
        </is>
      </c>
      <c r="B822" s="1" t="n">
        <v>44694</v>
      </c>
      <c r="C822" s="1" t="n">
        <v>45840</v>
      </c>
      <c r="D822" t="inlineStr">
        <is>
          <t>JÄMTLANDS LÄN</t>
        </is>
      </c>
      <c r="E822" t="inlineStr">
        <is>
          <t>KROKOM</t>
        </is>
      </c>
      <c r="F822" t="inlineStr">
        <is>
          <t>SCA</t>
        </is>
      </c>
      <c r="G822" t="n">
        <v>16.3</v>
      </c>
      <c r="H822" t="n">
        <v>0</v>
      </c>
      <c r="I822" t="n">
        <v>0</v>
      </c>
      <c r="J822" t="n">
        <v>0</v>
      </c>
      <c r="K822" t="n">
        <v>0</v>
      </c>
      <c r="L822" t="n">
        <v>0</v>
      </c>
      <c r="M822" t="n">
        <v>0</v>
      </c>
      <c r="N822" t="n">
        <v>0</v>
      </c>
      <c r="O822" t="n">
        <v>0</v>
      </c>
      <c r="P822" t="n">
        <v>0</v>
      </c>
      <c r="Q822" t="n">
        <v>0</v>
      </c>
      <c r="R822" s="2" t="inlineStr"/>
    </row>
    <row r="823" ht="15" customHeight="1">
      <c r="A823" t="inlineStr">
        <is>
          <t>A 20074-2022</t>
        </is>
      </c>
      <c r="B823" s="1" t="n">
        <v>44698</v>
      </c>
      <c r="C823" s="1" t="n">
        <v>45840</v>
      </c>
      <c r="D823" t="inlineStr">
        <is>
          <t>JÄMTLANDS LÄN</t>
        </is>
      </c>
      <c r="E823" t="inlineStr">
        <is>
          <t>KROKOM</t>
        </is>
      </c>
      <c r="G823" t="n">
        <v>3</v>
      </c>
      <c r="H823" t="n">
        <v>0</v>
      </c>
      <c r="I823" t="n">
        <v>0</v>
      </c>
      <c r="J823" t="n">
        <v>0</v>
      </c>
      <c r="K823" t="n">
        <v>0</v>
      </c>
      <c r="L823" t="n">
        <v>0</v>
      </c>
      <c r="M823" t="n">
        <v>0</v>
      </c>
      <c r="N823" t="n">
        <v>0</v>
      </c>
      <c r="O823" t="n">
        <v>0</v>
      </c>
      <c r="P823" t="n">
        <v>0</v>
      </c>
      <c r="Q823" t="n">
        <v>0</v>
      </c>
      <c r="R823" s="2" t="inlineStr"/>
    </row>
    <row r="824" ht="15" customHeight="1">
      <c r="A824" t="inlineStr">
        <is>
          <t>A 20721-2022</t>
        </is>
      </c>
      <c r="B824" s="1" t="n">
        <v>44700</v>
      </c>
      <c r="C824" s="1" t="n">
        <v>45840</v>
      </c>
      <c r="D824" t="inlineStr">
        <is>
          <t>JÄMTLANDS LÄN</t>
        </is>
      </c>
      <c r="E824" t="inlineStr">
        <is>
          <t>KROKOM</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21139-2022</t>
        </is>
      </c>
      <c r="B825" s="1" t="n">
        <v>44704</v>
      </c>
      <c r="C825" s="1" t="n">
        <v>45840</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21301-2022</t>
        </is>
      </c>
      <c r="B826" s="1" t="n">
        <v>44705</v>
      </c>
      <c r="C826" s="1" t="n">
        <v>45840</v>
      </c>
      <c r="D826" t="inlineStr">
        <is>
          <t>JÄMTLANDS LÄN</t>
        </is>
      </c>
      <c r="E826" t="inlineStr">
        <is>
          <t>KROKOM</t>
        </is>
      </c>
      <c r="G826" t="n">
        <v>2.5</v>
      </c>
      <c r="H826" t="n">
        <v>0</v>
      </c>
      <c r="I826" t="n">
        <v>0</v>
      </c>
      <c r="J826" t="n">
        <v>0</v>
      </c>
      <c r="K826" t="n">
        <v>0</v>
      </c>
      <c r="L826" t="n">
        <v>0</v>
      </c>
      <c r="M826" t="n">
        <v>0</v>
      </c>
      <c r="N826" t="n">
        <v>0</v>
      </c>
      <c r="O826" t="n">
        <v>0</v>
      </c>
      <c r="P826" t="n">
        <v>0</v>
      </c>
      <c r="Q826" t="n">
        <v>0</v>
      </c>
      <c r="R826" s="2" t="inlineStr"/>
    </row>
    <row r="827" ht="15" customHeight="1">
      <c r="A827" t="inlineStr">
        <is>
          <t>A 21990-2022</t>
        </is>
      </c>
      <c r="B827" s="1" t="n">
        <v>44711</v>
      </c>
      <c r="C827" s="1" t="n">
        <v>45840</v>
      </c>
      <c r="D827" t="inlineStr">
        <is>
          <t>JÄMTLANDS LÄN</t>
        </is>
      </c>
      <c r="E827" t="inlineStr">
        <is>
          <t>KROKOM</t>
        </is>
      </c>
      <c r="F827" t="inlineStr">
        <is>
          <t>Övriga Aktiebolag</t>
        </is>
      </c>
      <c r="G827" t="n">
        <v>26.3</v>
      </c>
      <c r="H827" t="n">
        <v>0</v>
      </c>
      <c r="I827" t="n">
        <v>0</v>
      </c>
      <c r="J827" t="n">
        <v>0</v>
      </c>
      <c r="K827" t="n">
        <v>0</v>
      </c>
      <c r="L827" t="n">
        <v>0</v>
      </c>
      <c r="M827" t="n">
        <v>0</v>
      </c>
      <c r="N827" t="n">
        <v>0</v>
      </c>
      <c r="O827" t="n">
        <v>0</v>
      </c>
      <c r="P827" t="n">
        <v>0</v>
      </c>
      <c r="Q827" t="n">
        <v>0</v>
      </c>
      <c r="R827" s="2" t="inlineStr"/>
    </row>
    <row r="828" ht="15" customHeight="1">
      <c r="A828" t="inlineStr">
        <is>
          <t>A 22273-2022</t>
        </is>
      </c>
      <c r="B828" s="1" t="n">
        <v>44712</v>
      </c>
      <c r="C828" s="1" t="n">
        <v>45840</v>
      </c>
      <c r="D828" t="inlineStr">
        <is>
          <t>JÄMTLANDS LÄN</t>
        </is>
      </c>
      <c r="E828" t="inlineStr">
        <is>
          <t>KROKOM</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22339-2022</t>
        </is>
      </c>
      <c r="B829" s="1" t="n">
        <v>44713</v>
      </c>
      <c r="C829" s="1" t="n">
        <v>45840</v>
      </c>
      <c r="D829" t="inlineStr">
        <is>
          <t>JÄMTLANDS LÄN</t>
        </is>
      </c>
      <c r="E829" t="inlineStr">
        <is>
          <t>KROKOM</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22611-2022</t>
        </is>
      </c>
      <c r="B830" s="1" t="n">
        <v>44714</v>
      </c>
      <c r="C830" s="1" t="n">
        <v>45840</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22629-2022</t>
        </is>
      </c>
      <c r="B831" s="1" t="n">
        <v>44714</v>
      </c>
      <c r="C831" s="1" t="n">
        <v>45840</v>
      </c>
      <c r="D831" t="inlineStr">
        <is>
          <t>JÄMTLANDS LÄN</t>
        </is>
      </c>
      <c r="E831" t="inlineStr">
        <is>
          <t>KROKOM</t>
        </is>
      </c>
      <c r="G831" t="n">
        <v>17.1</v>
      </c>
      <c r="H831" t="n">
        <v>0</v>
      </c>
      <c r="I831" t="n">
        <v>0</v>
      </c>
      <c r="J831" t="n">
        <v>0</v>
      </c>
      <c r="K831" t="n">
        <v>0</v>
      </c>
      <c r="L831" t="n">
        <v>0</v>
      </c>
      <c r="M831" t="n">
        <v>0</v>
      </c>
      <c r="N831" t="n">
        <v>0</v>
      </c>
      <c r="O831" t="n">
        <v>0</v>
      </c>
      <c r="P831" t="n">
        <v>0</v>
      </c>
      <c r="Q831" t="n">
        <v>0</v>
      </c>
      <c r="R831" s="2" t="inlineStr"/>
    </row>
    <row r="832" ht="15" customHeight="1">
      <c r="A832" t="inlineStr">
        <is>
          <t>A 22863-2022</t>
        </is>
      </c>
      <c r="B832" s="1" t="n">
        <v>44715</v>
      </c>
      <c r="C832" s="1" t="n">
        <v>45840</v>
      </c>
      <c r="D832" t="inlineStr">
        <is>
          <t>JÄMTLANDS LÄN</t>
        </is>
      </c>
      <c r="E832" t="inlineStr">
        <is>
          <t>KROKOM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22868-2022</t>
        </is>
      </c>
      <c r="B833" s="1" t="n">
        <v>44715</v>
      </c>
      <c r="C833" s="1" t="n">
        <v>45840</v>
      </c>
      <c r="D833" t="inlineStr">
        <is>
          <t>JÄMTLANDS LÄN</t>
        </is>
      </c>
      <c r="E833" t="inlineStr">
        <is>
          <t>KROKOM</t>
        </is>
      </c>
      <c r="F833" t="inlineStr">
        <is>
          <t>Övriga Aktiebolag</t>
        </is>
      </c>
      <c r="G833" t="n">
        <v>2.3</v>
      </c>
      <c r="H833" t="n">
        <v>0</v>
      </c>
      <c r="I833" t="n">
        <v>0</v>
      </c>
      <c r="J833" t="n">
        <v>0</v>
      </c>
      <c r="K833" t="n">
        <v>0</v>
      </c>
      <c r="L833" t="n">
        <v>0</v>
      </c>
      <c r="M833" t="n">
        <v>0</v>
      </c>
      <c r="N833" t="n">
        <v>0</v>
      </c>
      <c r="O833" t="n">
        <v>0</v>
      </c>
      <c r="P833" t="n">
        <v>0</v>
      </c>
      <c r="Q833" t="n">
        <v>0</v>
      </c>
      <c r="R833" s="2" t="inlineStr"/>
    </row>
    <row r="834" ht="15" customHeight="1">
      <c r="A834" t="inlineStr">
        <is>
          <t>A 22821-2022</t>
        </is>
      </c>
      <c r="B834" s="1" t="n">
        <v>44715</v>
      </c>
      <c r="C834" s="1" t="n">
        <v>45840</v>
      </c>
      <c r="D834" t="inlineStr">
        <is>
          <t>JÄMTLANDS LÄN</t>
        </is>
      </c>
      <c r="E834" t="inlineStr">
        <is>
          <t>KROKOM</t>
        </is>
      </c>
      <c r="F834" t="inlineStr">
        <is>
          <t>Övriga Aktiebolag</t>
        </is>
      </c>
      <c r="G834" t="n">
        <v>10.1</v>
      </c>
      <c r="H834" t="n">
        <v>0</v>
      </c>
      <c r="I834" t="n">
        <v>0</v>
      </c>
      <c r="J834" t="n">
        <v>0</v>
      </c>
      <c r="K834" t="n">
        <v>0</v>
      </c>
      <c r="L834" t="n">
        <v>0</v>
      </c>
      <c r="M834" t="n">
        <v>0</v>
      </c>
      <c r="N834" t="n">
        <v>0</v>
      </c>
      <c r="O834" t="n">
        <v>0</v>
      </c>
      <c r="P834" t="n">
        <v>0</v>
      </c>
      <c r="Q834" t="n">
        <v>0</v>
      </c>
      <c r="R834" s="2" t="inlineStr"/>
    </row>
    <row r="835" ht="15" customHeight="1">
      <c r="A835" t="inlineStr">
        <is>
          <t>A 22865-2022</t>
        </is>
      </c>
      <c r="B835" s="1" t="n">
        <v>44715</v>
      </c>
      <c r="C835" s="1" t="n">
        <v>45840</v>
      </c>
      <c r="D835" t="inlineStr">
        <is>
          <t>JÄMTLANDS LÄN</t>
        </is>
      </c>
      <c r="E835" t="inlineStr">
        <is>
          <t>KROKOM</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23504-2022</t>
        </is>
      </c>
      <c r="B836" s="1" t="n">
        <v>44721</v>
      </c>
      <c r="C836" s="1" t="n">
        <v>45840</v>
      </c>
      <c r="D836" t="inlineStr">
        <is>
          <t>JÄMTLANDS LÄN</t>
        </is>
      </c>
      <c r="E836" t="inlineStr">
        <is>
          <t>KROKOM</t>
        </is>
      </c>
      <c r="F836" t="inlineStr">
        <is>
          <t>Övriga Aktiebolag</t>
        </is>
      </c>
      <c r="G836" t="n">
        <v>2.4</v>
      </c>
      <c r="H836" t="n">
        <v>0</v>
      </c>
      <c r="I836" t="n">
        <v>0</v>
      </c>
      <c r="J836" t="n">
        <v>0</v>
      </c>
      <c r="K836" t="n">
        <v>0</v>
      </c>
      <c r="L836" t="n">
        <v>0</v>
      </c>
      <c r="M836" t="n">
        <v>0</v>
      </c>
      <c r="N836" t="n">
        <v>0</v>
      </c>
      <c r="O836" t="n">
        <v>0</v>
      </c>
      <c r="P836" t="n">
        <v>0</v>
      </c>
      <c r="Q836" t="n">
        <v>0</v>
      </c>
      <c r="R836" s="2" t="inlineStr"/>
    </row>
    <row r="837" ht="15" customHeight="1">
      <c r="A837" t="inlineStr">
        <is>
          <t>A 23512-2022</t>
        </is>
      </c>
      <c r="B837" s="1" t="n">
        <v>44721</v>
      </c>
      <c r="C837" s="1" t="n">
        <v>45840</v>
      </c>
      <c r="D837" t="inlineStr">
        <is>
          <t>JÄMTLANDS LÄN</t>
        </is>
      </c>
      <c r="E837" t="inlineStr">
        <is>
          <t>KROKOM</t>
        </is>
      </c>
      <c r="F837" t="inlineStr">
        <is>
          <t>Övriga Aktiebolag</t>
        </is>
      </c>
      <c r="G837" t="n">
        <v>4.8</v>
      </c>
      <c r="H837" t="n">
        <v>0</v>
      </c>
      <c r="I837" t="n">
        <v>0</v>
      </c>
      <c r="J837" t="n">
        <v>0</v>
      </c>
      <c r="K837" t="n">
        <v>0</v>
      </c>
      <c r="L837" t="n">
        <v>0</v>
      </c>
      <c r="M837" t="n">
        <v>0</v>
      </c>
      <c r="N837" t="n">
        <v>0</v>
      </c>
      <c r="O837" t="n">
        <v>0</v>
      </c>
      <c r="P837" t="n">
        <v>0</v>
      </c>
      <c r="Q837" t="n">
        <v>0</v>
      </c>
      <c r="R837" s="2" t="inlineStr"/>
    </row>
    <row r="838" ht="15" customHeight="1">
      <c r="A838" t="inlineStr">
        <is>
          <t>A 23467-2022</t>
        </is>
      </c>
      <c r="B838" s="1" t="n">
        <v>44721</v>
      </c>
      <c r="C838" s="1" t="n">
        <v>45840</v>
      </c>
      <c r="D838" t="inlineStr">
        <is>
          <t>JÄMTLANDS LÄN</t>
        </is>
      </c>
      <c r="E838" t="inlineStr">
        <is>
          <t>KROKOM</t>
        </is>
      </c>
      <c r="F838" t="inlineStr">
        <is>
          <t>Övriga Aktiebolag</t>
        </is>
      </c>
      <c r="G838" t="n">
        <v>1</v>
      </c>
      <c r="H838" t="n">
        <v>0</v>
      </c>
      <c r="I838" t="n">
        <v>0</v>
      </c>
      <c r="J838" t="n">
        <v>0</v>
      </c>
      <c r="K838" t="n">
        <v>0</v>
      </c>
      <c r="L838" t="n">
        <v>0</v>
      </c>
      <c r="M838" t="n">
        <v>0</v>
      </c>
      <c r="N838" t="n">
        <v>0</v>
      </c>
      <c r="O838" t="n">
        <v>0</v>
      </c>
      <c r="P838" t="n">
        <v>0</v>
      </c>
      <c r="Q838" t="n">
        <v>0</v>
      </c>
      <c r="R838" s="2" t="inlineStr"/>
    </row>
    <row r="839" ht="15" customHeight="1">
      <c r="A839" t="inlineStr">
        <is>
          <t>A 24014-2022</t>
        </is>
      </c>
      <c r="B839" s="1" t="n">
        <v>44723</v>
      </c>
      <c r="C839" s="1" t="n">
        <v>45840</v>
      </c>
      <c r="D839" t="inlineStr">
        <is>
          <t>JÄMTLANDS LÄN</t>
        </is>
      </c>
      <c r="E839" t="inlineStr">
        <is>
          <t>KROKOM</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24117-2022</t>
        </is>
      </c>
      <c r="B840" s="1" t="n">
        <v>44725</v>
      </c>
      <c r="C840" s="1" t="n">
        <v>45840</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24441-2022</t>
        </is>
      </c>
      <c r="B841" s="1" t="n">
        <v>44726</v>
      </c>
      <c r="C841" s="1" t="n">
        <v>45840</v>
      </c>
      <c r="D841" t="inlineStr">
        <is>
          <t>JÄMTLANDS LÄN</t>
        </is>
      </c>
      <c r="E841" t="inlineStr">
        <is>
          <t>KROKOM</t>
        </is>
      </c>
      <c r="G841" t="n">
        <v>12.1</v>
      </c>
      <c r="H841" t="n">
        <v>0</v>
      </c>
      <c r="I841" t="n">
        <v>0</v>
      </c>
      <c r="J841" t="n">
        <v>0</v>
      </c>
      <c r="K841" t="n">
        <v>0</v>
      </c>
      <c r="L841" t="n">
        <v>0</v>
      </c>
      <c r="M841" t="n">
        <v>0</v>
      </c>
      <c r="N841" t="n">
        <v>0</v>
      </c>
      <c r="O841" t="n">
        <v>0</v>
      </c>
      <c r="P841" t="n">
        <v>0</v>
      </c>
      <c r="Q841" t="n">
        <v>0</v>
      </c>
      <c r="R841" s="2" t="inlineStr"/>
    </row>
    <row r="842" ht="15" customHeight="1">
      <c r="A842" t="inlineStr">
        <is>
          <t>A 24402-2022</t>
        </is>
      </c>
      <c r="B842" s="1" t="n">
        <v>44726</v>
      </c>
      <c r="C842" s="1" t="n">
        <v>45840</v>
      </c>
      <c r="D842" t="inlineStr">
        <is>
          <t>JÄMTLANDS LÄN</t>
        </is>
      </c>
      <c r="E842" t="inlineStr">
        <is>
          <t>KROKOM</t>
        </is>
      </c>
      <c r="G842" t="n">
        <v>13.3</v>
      </c>
      <c r="H842" t="n">
        <v>0</v>
      </c>
      <c r="I842" t="n">
        <v>0</v>
      </c>
      <c r="J842" t="n">
        <v>0</v>
      </c>
      <c r="K842" t="n">
        <v>0</v>
      </c>
      <c r="L842" t="n">
        <v>0</v>
      </c>
      <c r="M842" t="n">
        <v>0</v>
      </c>
      <c r="N842" t="n">
        <v>0</v>
      </c>
      <c r="O842" t="n">
        <v>0</v>
      </c>
      <c r="P842" t="n">
        <v>0</v>
      </c>
      <c r="Q842" t="n">
        <v>0</v>
      </c>
      <c r="R842" s="2" t="inlineStr"/>
    </row>
    <row r="843" ht="15" customHeight="1">
      <c r="A843" t="inlineStr">
        <is>
          <t>A 24612-2022</t>
        </is>
      </c>
      <c r="B843" s="1" t="n">
        <v>44727</v>
      </c>
      <c r="C843" s="1" t="n">
        <v>45840</v>
      </c>
      <c r="D843" t="inlineStr">
        <is>
          <t>JÄMTLANDS LÄN</t>
        </is>
      </c>
      <c r="E843" t="inlineStr">
        <is>
          <t>KROKOM</t>
        </is>
      </c>
      <c r="G843" t="n">
        <v>1.2</v>
      </c>
      <c r="H843" t="n">
        <v>0</v>
      </c>
      <c r="I843" t="n">
        <v>0</v>
      </c>
      <c r="J843" t="n">
        <v>0</v>
      </c>
      <c r="K843" t="n">
        <v>0</v>
      </c>
      <c r="L843" t="n">
        <v>0</v>
      </c>
      <c r="M843" t="n">
        <v>0</v>
      </c>
      <c r="N843" t="n">
        <v>0</v>
      </c>
      <c r="O843" t="n">
        <v>0</v>
      </c>
      <c r="P843" t="n">
        <v>0</v>
      </c>
      <c r="Q843" t="n">
        <v>0</v>
      </c>
      <c r="R843" s="2" t="inlineStr"/>
    </row>
    <row r="844" ht="15" customHeight="1">
      <c r="A844" t="inlineStr">
        <is>
          <t>A 24692-2022</t>
        </is>
      </c>
      <c r="B844" s="1" t="n">
        <v>44727</v>
      </c>
      <c r="C844" s="1" t="n">
        <v>45840</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24688-2022</t>
        </is>
      </c>
      <c r="B845" s="1" t="n">
        <v>44727</v>
      </c>
      <c r="C845" s="1" t="n">
        <v>45840</v>
      </c>
      <c r="D845" t="inlineStr">
        <is>
          <t>JÄMTLANDS LÄN</t>
        </is>
      </c>
      <c r="E845" t="inlineStr">
        <is>
          <t>KROKOM</t>
        </is>
      </c>
      <c r="G845" t="n">
        <v>12.9</v>
      </c>
      <c r="H845" t="n">
        <v>0</v>
      </c>
      <c r="I845" t="n">
        <v>0</v>
      </c>
      <c r="J845" t="n">
        <v>0</v>
      </c>
      <c r="K845" t="n">
        <v>0</v>
      </c>
      <c r="L845" t="n">
        <v>0</v>
      </c>
      <c r="M845" t="n">
        <v>0</v>
      </c>
      <c r="N845" t="n">
        <v>0</v>
      </c>
      <c r="O845" t="n">
        <v>0</v>
      </c>
      <c r="P845" t="n">
        <v>0</v>
      </c>
      <c r="Q845" t="n">
        <v>0</v>
      </c>
      <c r="R845" s="2" t="inlineStr"/>
    </row>
    <row r="846" ht="15" customHeight="1">
      <c r="A846" t="inlineStr">
        <is>
          <t>A 25031-2022</t>
        </is>
      </c>
      <c r="B846" s="1" t="n">
        <v>44729</v>
      </c>
      <c r="C846" s="1" t="n">
        <v>45840</v>
      </c>
      <c r="D846" t="inlineStr">
        <is>
          <t>JÄMTLANDS LÄN</t>
        </is>
      </c>
      <c r="E846" t="inlineStr">
        <is>
          <t>KROKOM</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25428-2022</t>
        </is>
      </c>
      <c r="B847" s="1" t="n">
        <v>44732</v>
      </c>
      <c r="C847" s="1" t="n">
        <v>45840</v>
      </c>
      <c r="D847" t="inlineStr">
        <is>
          <t>JÄMTLANDS LÄN</t>
        </is>
      </c>
      <c r="E847" t="inlineStr">
        <is>
          <t>KROKOM</t>
        </is>
      </c>
      <c r="G847" t="n">
        <v>0.6</v>
      </c>
      <c r="H847" t="n">
        <v>0</v>
      </c>
      <c r="I847" t="n">
        <v>0</v>
      </c>
      <c r="J847" t="n">
        <v>0</v>
      </c>
      <c r="K847" t="n">
        <v>0</v>
      </c>
      <c r="L847" t="n">
        <v>0</v>
      </c>
      <c r="M847" t="n">
        <v>0</v>
      </c>
      <c r="N847" t="n">
        <v>0</v>
      </c>
      <c r="O847" t="n">
        <v>0</v>
      </c>
      <c r="P847" t="n">
        <v>0</v>
      </c>
      <c r="Q847" t="n">
        <v>0</v>
      </c>
      <c r="R847" s="2" t="inlineStr"/>
    </row>
    <row r="848" ht="15" customHeight="1">
      <c r="A848" t="inlineStr">
        <is>
          <t>A 25421-2022</t>
        </is>
      </c>
      <c r="B848" s="1" t="n">
        <v>44732</v>
      </c>
      <c r="C848" s="1" t="n">
        <v>45840</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26142-2022</t>
        </is>
      </c>
      <c r="B849" s="1" t="n">
        <v>44735</v>
      </c>
      <c r="C849" s="1" t="n">
        <v>45840</v>
      </c>
      <c r="D849" t="inlineStr">
        <is>
          <t>JÄMTLANDS LÄN</t>
        </is>
      </c>
      <c r="E849" t="inlineStr">
        <is>
          <t>KROKOM</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26448-2022</t>
        </is>
      </c>
      <c r="B850" s="1" t="n">
        <v>44739</v>
      </c>
      <c r="C850" s="1" t="n">
        <v>45840</v>
      </c>
      <c r="D850" t="inlineStr">
        <is>
          <t>JÄMTLANDS LÄN</t>
        </is>
      </c>
      <c r="E850" t="inlineStr">
        <is>
          <t>KROKOM</t>
        </is>
      </c>
      <c r="G850" t="n">
        <v>6.5</v>
      </c>
      <c r="H850" t="n">
        <v>0</v>
      </c>
      <c r="I850" t="n">
        <v>0</v>
      </c>
      <c r="J850" t="n">
        <v>0</v>
      </c>
      <c r="K850" t="n">
        <v>0</v>
      </c>
      <c r="L850" t="n">
        <v>0</v>
      </c>
      <c r="M850" t="n">
        <v>0</v>
      </c>
      <c r="N850" t="n">
        <v>0</v>
      </c>
      <c r="O850" t="n">
        <v>0</v>
      </c>
      <c r="P850" t="n">
        <v>0</v>
      </c>
      <c r="Q850" t="n">
        <v>0</v>
      </c>
      <c r="R850" s="2" t="inlineStr"/>
    </row>
    <row r="851" ht="15" customHeight="1">
      <c r="A851" t="inlineStr">
        <is>
          <t>A 27075-2022</t>
        </is>
      </c>
      <c r="B851" s="1" t="n">
        <v>44741</v>
      </c>
      <c r="C851" s="1" t="n">
        <v>45840</v>
      </c>
      <c r="D851" t="inlineStr">
        <is>
          <t>JÄMTLANDS LÄN</t>
        </is>
      </c>
      <c r="E851" t="inlineStr">
        <is>
          <t>KROKOM</t>
        </is>
      </c>
      <c r="G851" t="n">
        <v>10.4</v>
      </c>
      <c r="H851" t="n">
        <v>0</v>
      </c>
      <c r="I851" t="n">
        <v>0</v>
      </c>
      <c r="J851" t="n">
        <v>0</v>
      </c>
      <c r="K851" t="n">
        <v>0</v>
      </c>
      <c r="L851" t="n">
        <v>0</v>
      </c>
      <c r="M851" t="n">
        <v>0</v>
      </c>
      <c r="N851" t="n">
        <v>0</v>
      </c>
      <c r="O851" t="n">
        <v>0</v>
      </c>
      <c r="P851" t="n">
        <v>0</v>
      </c>
      <c r="Q851" t="n">
        <v>0</v>
      </c>
      <c r="R851" s="2" t="inlineStr"/>
    </row>
    <row r="852" ht="15" customHeight="1">
      <c r="A852" t="inlineStr">
        <is>
          <t>A 27157-2022</t>
        </is>
      </c>
      <c r="B852" s="1" t="n">
        <v>44741</v>
      </c>
      <c r="C852" s="1" t="n">
        <v>45840</v>
      </c>
      <c r="D852" t="inlineStr">
        <is>
          <t>JÄMTLANDS LÄN</t>
        </is>
      </c>
      <c r="E852" t="inlineStr">
        <is>
          <t>KROKOM</t>
        </is>
      </c>
      <c r="G852" t="n">
        <v>2</v>
      </c>
      <c r="H852" t="n">
        <v>0</v>
      </c>
      <c r="I852" t="n">
        <v>0</v>
      </c>
      <c r="J852" t="n">
        <v>0</v>
      </c>
      <c r="K852" t="n">
        <v>0</v>
      </c>
      <c r="L852" t="n">
        <v>0</v>
      </c>
      <c r="M852" t="n">
        <v>0</v>
      </c>
      <c r="N852" t="n">
        <v>0</v>
      </c>
      <c r="O852" t="n">
        <v>0</v>
      </c>
      <c r="P852" t="n">
        <v>0</v>
      </c>
      <c r="Q852" t="n">
        <v>0</v>
      </c>
      <c r="R852" s="2" t="inlineStr"/>
    </row>
    <row r="853" ht="15" customHeight="1">
      <c r="A853" t="inlineStr">
        <is>
          <t>A 27178-2022</t>
        </is>
      </c>
      <c r="B853" s="1" t="n">
        <v>44741</v>
      </c>
      <c r="C853" s="1" t="n">
        <v>45840</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27924-2022</t>
        </is>
      </c>
      <c r="B854" s="1" t="n">
        <v>44743</v>
      </c>
      <c r="C854" s="1" t="n">
        <v>45840</v>
      </c>
      <c r="D854" t="inlineStr">
        <is>
          <t>JÄMTLANDS LÄN</t>
        </is>
      </c>
      <c r="E854" t="inlineStr">
        <is>
          <t>KROKOM</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28669-2022</t>
        </is>
      </c>
      <c r="B855" s="1" t="n">
        <v>44748</v>
      </c>
      <c r="C855" s="1" t="n">
        <v>45840</v>
      </c>
      <c r="D855" t="inlineStr">
        <is>
          <t>JÄMTLANDS LÄN</t>
        </is>
      </c>
      <c r="E855" t="inlineStr">
        <is>
          <t>KROKOM</t>
        </is>
      </c>
      <c r="G855" t="n">
        <v>7.4</v>
      </c>
      <c r="H855" t="n">
        <v>0</v>
      </c>
      <c r="I855" t="n">
        <v>0</v>
      </c>
      <c r="J855" t="n">
        <v>0</v>
      </c>
      <c r="K855" t="n">
        <v>0</v>
      </c>
      <c r="L855" t="n">
        <v>0</v>
      </c>
      <c r="M855" t="n">
        <v>0</v>
      </c>
      <c r="N855" t="n">
        <v>0</v>
      </c>
      <c r="O855" t="n">
        <v>0</v>
      </c>
      <c r="P855" t="n">
        <v>0</v>
      </c>
      <c r="Q855" t="n">
        <v>0</v>
      </c>
      <c r="R855" s="2" t="inlineStr"/>
    </row>
    <row r="856" ht="15" customHeight="1">
      <c r="A856" t="inlineStr">
        <is>
          <t>A 28736-2022</t>
        </is>
      </c>
      <c r="B856" s="1" t="n">
        <v>44749</v>
      </c>
      <c r="C856" s="1" t="n">
        <v>45840</v>
      </c>
      <c r="D856" t="inlineStr">
        <is>
          <t>JÄMTLANDS LÄN</t>
        </is>
      </c>
      <c r="E856" t="inlineStr">
        <is>
          <t>KROKOM</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28735-2022</t>
        </is>
      </c>
      <c r="B857" s="1" t="n">
        <v>44749</v>
      </c>
      <c r="C857" s="1" t="n">
        <v>45840</v>
      </c>
      <c r="D857" t="inlineStr">
        <is>
          <t>JÄMTLANDS LÄN</t>
        </is>
      </c>
      <c r="E857" t="inlineStr">
        <is>
          <t>KROKOM</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28804-2022</t>
        </is>
      </c>
      <c r="B858" s="1" t="n">
        <v>44749</v>
      </c>
      <c r="C858" s="1" t="n">
        <v>45840</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28856-2022</t>
        </is>
      </c>
      <c r="B859" s="1" t="n">
        <v>44749</v>
      </c>
      <c r="C859" s="1" t="n">
        <v>45840</v>
      </c>
      <c r="D859" t="inlineStr">
        <is>
          <t>JÄMTLANDS LÄN</t>
        </is>
      </c>
      <c r="E859" t="inlineStr">
        <is>
          <t>KROKOM</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28776-2022</t>
        </is>
      </c>
      <c r="B860" s="1" t="n">
        <v>44749</v>
      </c>
      <c r="C860" s="1" t="n">
        <v>45840</v>
      </c>
      <c r="D860" t="inlineStr">
        <is>
          <t>JÄMTLANDS LÄN</t>
        </is>
      </c>
      <c r="E860" t="inlineStr">
        <is>
          <t>KROKOM</t>
        </is>
      </c>
      <c r="G860" t="n">
        <v>1.2</v>
      </c>
      <c r="H860" t="n">
        <v>0</v>
      </c>
      <c r="I860" t="n">
        <v>0</v>
      </c>
      <c r="J860" t="n">
        <v>0</v>
      </c>
      <c r="K860" t="n">
        <v>0</v>
      </c>
      <c r="L860" t="n">
        <v>0</v>
      </c>
      <c r="M860" t="n">
        <v>0</v>
      </c>
      <c r="N860" t="n">
        <v>0</v>
      </c>
      <c r="O860" t="n">
        <v>0</v>
      </c>
      <c r="P860" t="n">
        <v>0</v>
      </c>
      <c r="Q860" t="n">
        <v>0</v>
      </c>
      <c r="R860" s="2" t="inlineStr"/>
    </row>
    <row r="861" ht="15" customHeight="1">
      <c r="A861" t="inlineStr">
        <is>
          <t>A 28771-2022</t>
        </is>
      </c>
      <c r="B861" s="1" t="n">
        <v>44749</v>
      </c>
      <c r="C861" s="1" t="n">
        <v>45840</v>
      </c>
      <c r="D861" t="inlineStr">
        <is>
          <t>JÄMTLANDS LÄN</t>
        </is>
      </c>
      <c r="E861" t="inlineStr">
        <is>
          <t>KROKOM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28883-2022</t>
        </is>
      </c>
      <c r="B862" s="1" t="n">
        <v>44749</v>
      </c>
      <c r="C862" s="1" t="n">
        <v>45840</v>
      </c>
      <c r="D862" t="inlineStr">
        <is>
          <t>JÄMTLANDS LÄN</t>
        </is>
      </c>
      <c r="E862" t="inlineStr">
        <is>
          <t>KROKOM</t>
        </is>
      </c>
      <c r="F862" t="inlineStr">
        <is>
          <t>Övriga Aktiebolag</t>
        </is>
      </c>
      <c r="G862" t="n">
        <v>14.1</v>
      </c>
      <c r="H862" t="n">
        <v>0</v>
      </c>
      <c r="I862" t="n">
        <v>0</v>
      </c>
      <c r="J862" t="n">
        <v>0</v>
      </c>
      <c r="K862" t="n">
        <v>0</v>
      </c>
      <c r="L862" t="n">
        <v>0</v>
      </c>
      <c r="M862" t="n">
        <v>0</v>
      </c>
      <c r="N862" t="n">
        <v>0</v>
      </c>
      <c r="O862" t="n">
        <v>0</v>
      </c>
      <c r="P862" t="n">
        <v>0</v>
      </c>
      <c r="Q862" t="n">
        <v>0</v>
      </c>
      <c r="R862" s="2" t="inlineStr"/>
    </row>
    <row r="863" ht="15" customHeight="1">
      <c r="A863" t="inlineStr">
        <is>
          <t>A 29050-2022</t>
        </is>
      </c>
      <c r="B863" s="1" t="n">
        <v>44750</v>
      </c>
      <c r="C863" s="1" t="n">
        <v>45840</v>
      </c>
      <c r="D863" t="inlineStr">
        <is>
          <t>JÄMTLANDS LÄN</t>
        </is>
      </c>
      <c r="E863" t="inlineStr">
        <is>
          <t>KROKOM</t>
        </is>
      </c>
      <c r="F863" t="inlineStr">
        <is>
          <t>SCA</t>
        </is>
      </c>
      <c r="G863" t="n">
        <v>10.8</v>
      </c>
      <c r="H863" t="n">
        <v>0</v>
      </c>
      <c r="I863" t="n">
        <v>0</v>
      </c>
      <c r="J863" t="n">
        <v>0</v>
      </c>
      <c r="K863" t="n">
        <v>0</v>
      </c>
      <c r="L863" t="n">
        <v>0</v>
      </c>
      <c r="M863" t="n">
        <v>0</v>
      </c>
      <c r="N863" t="n">
        <v>0</v>
      </c>
      <c r="O863" t="n">
        <v>0</v>
      </c>
      <c r="P863" t="n">
        <v>0</v>
      </c>
      <c r="Q863" t="n">
        <v>0</v>
      </c>
      <c r="R863" s="2" t="inlineStr"/>
    </row>
    <row r="864" ht="15" customHeight="1">
      <c r="A864" t="inlineStr">
        <is>
          <t>A 29187-2022</t>
        </is>
      </c>
      <c r="B864" s="1" t="n">
        <v>44750</v>
      </c>
      <c r="C864" s="1" t="n">
        <v>45840</v>
      </c>
      <c r="D864" t="inlineStr">
        <is>
          <t>JÄMTLANDS LÄN</t>
        </is>
      </c>
      <c r="E864" t="inlineStr">
        <is>
          <t>KROKOM</t>
        </is>
      </c>
      <c r="F864" t="inlineStr">
        <is>
          <t>Övriga Aktiebolag</t>
        </is>
      </c>
      <c r="G864" t="n">
        <v>20.4</v>
      </c>
      <c r="H864" t="n">
        <v>0</v>
      </c>
      <c r="I864" t="n">
        <v>0</v>
      </c>
      <c r="J864" t="n">
        <v>0</v>
      </c>
      <c r="K864" t="n">
        <v>0</v>
      </c>
      <c r="L864" t="n">
        <v>0</v>
      </c>
      <c r="M864" t="n">
        <v>0</v>
      </c>
      <c r="N864" t="n">
        <v>0</v>
      </c>
      <c r="O864" t="n">
        <v>0</v>
      </c>
      <c r="P864" t="n">
        <v>0</v>
      </c>
      <c r="Q864" t="n">
        <v>0</v>
      </c>
      <c r="R864" s="2" t="inlineStr"/>
    </row>
    <row r="865" ht="15" customHeight="1">
      <c r="A865" t="inlineStr">
        <is>
          <t>A 29245-2022</t>
        </is>
      </c>
      <c r="B865" s="1" t="n">
        <v>44750</v>
      </c>
      <c r="C865" s="1" t="n">
        <v>45840</v>
      </c>
      <c r="D865" t="inlineStr">
        <is>
          <t>JÄMTLANDS LÄN</t>
        </is>
      </c>
      <c r="E865" t="inlineStr">
        <is>
          <t>KROKOM</t>
        </is>
      </c>
      <c r="G865" t="n">
        <v>7.6</v>
      </c>
      <c r="H865" t="n">
        <v>0</v>
      </c>
      <c r="I865" t="n">
        <v>0</v>
      </c>
      <c r="J865" t="n">
        <v>0</v>
      </c>
      <c r="K865" t="n">
        <v>0</v>
      </c>
      <c r="L865" t="n">
        <v>0</v>
      </c>
      <c r="M865" t="n">
        <v>0</v>
      </c>
      <c r="N865" t="n">
        <v>0</v>
      </c>
      <c r="O865" t="n">
        <v>0</v>
      </c>
      <c r="P865" t="n">
        <v>0</v>
      </c>
      <c r="Q865" t="n">
        <v>0</v>
      </c>
      <c r="R865" s="2" t="inlineStr"/>
    </row>
    <row r="866" ht="15" customHeight="1">
      <c r="A866" t="inlineStr">
        <is>
          <t>A 29238-2022</t>
        </is>
      </c>
      <c r="B866" s="1" t="n">
        <v>44750</v>
      </c>
      <c r="C866" s="1" t="n">
        <v>45840</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29314-2022</t>
        </is>
      </c>
      <c r="B867" s="1" t="n">
        <v>44751</v>
      </c>
      <c r="C867" s="1" t="n">
        <v>45840</v>
      </c>
      <c r="D867" t="inlineStr">
        <is>
          <t>JÄMTLANDS LÄN</t>
        </is>
      </c>
      <c r="E867" t="inlineStr">
        <is>
          <t>KROKOM</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30160-2022</t>
        </is>
      </c>
      <c r="B868" s="1" t="n">
        <v>44757</v>
      </c>
      <c r="C868" s="1" t="n">
        <v>45840</v>
      </c>
      <c r="D868" t="inlineStr">
        <is>
          <t>JÄMTLANDS LÄN</t>
        </is>
      </c>
      <c r="E868" t="inlineStr">
        <is>
          <t>KROKOM</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30058-2022</t>
        </is>
      </c>
      <c r="B869" s="1" t="n">
        <v>44757</v>
      </c>
      <c r="C869" s="1" t="n">
        <v>45840</v>
      </c>
      <c r="D869" t="inlineStr">
        <is>
          <t>JÄMTLANDS LÄN</t>
        </is>
      </c>
      <c r="E869" t="inlineStr">
        <is>
          <t>KROKOM</t>
        </is>
      </c>
      <c r="G869" t="n">
        <v>5</v>
      </c>
      <c r="H869" t="n">
        <v>0</v>
      </c>
      <c r="I869" t="n">
        <v>0</v>
      </c>
      <c r="J869" t="n">
        <v>0</v>
      </c>
      <c r="K869" t="n">
        <v>0</v>
      </c>
      <c r="L869" t="n">
        <v>0</v>
      </c>
      <c r="M869" t="n">
        <v>0</v>
      </c>
      <c r="N869" t="n">
        <v>0</v>
      </c>
      <c r="O869" t="n">
        <v>0</v>
      </c>
      <c r="P869" t="n">
        <v>0</v>
      </c>
      <c r="Q869" t="n">
        <v>0</v>
      </c>
      <c r="R869" s="2" t="inlineStr"/>
    </row>
    <row r="870" ht="15" customHeight="1">
      <c r="A870" t="inlineStr">
        <is>
          <t>A 30158-2022</t>
        </is>
      </c>
      <c r="B870" s="1" t="n">
        <v>44757</v>
      </c>
      <c r="C870" s="1" t="n">
        <v>45840</v>
      </c>
      <c r="D870" t="inlineStr">
        <is>
          <t>JÄMTLANDS LÄN</t>
        </is>
      </c>
      <c r="E870" t="inlineStr">
        <is>
          <t>KROKOM</t>
        </is>
      </c>
      <c r="F870" t="inlineStr">
        <is>
          <t>SCA</t>
        </is>
      </c>
      <c r="G870" t="n">
        <v>9.6</v>
      </c>
      <c r="H870" t="n">
        <v>0</v>
      </c>
      <c r="I870" t="n">
        <v>0</v>
      </c>
      <c r="J870" t="n">
        <v>0</v>
      </c>
      <c r="K870" t="n">
        <v>0</v>
      </c>
      <c r="L870" t="n">
        <v>0</v>
      </c>
      <c r="M870" t="n">
        <v>0</v>
      </c>
      <c r="N870" t="n">
        <v>0</v>
      </c>
      <c r="O870" t="n">
        <v>0</v>
      </c>
      <c r="P870" t="n">
        <v>0</v>
      </c>
      <c r="Q870" t="n">
        <v>0</v>
      </c>
      <c r="R870" s="2" t="inlineStr"/>
    </row>
    <row r="871" ht="15" customHeight="1">
      <c r="A871" t="inlineStr">
        <is>
          <t>A 30728-2022</t>
        </is>
      </c>
      <c r="B871" s="1" t="n">
        <v>44764</v>
      </c>
      <c r="C871" s="1" t="n">
        <v>45840</v>
      </c>
      <c r="D871" t="inlineStr">
        <is>
          <t>JÄMTLANDS LÄN</t>
        </is>
      </c>
      <c r="E871" t="inlineStr">
        <is>
          <t>KROKOM</t>
        </is>
      </c>
      <c r="G871" t="n">
        <v>6.4</v>
      </c>
      <c r="H871" t="n">
        <v>0</v>
      </c>
      <c r="I871" t="n">
        <v>0</v>
      </c>
      <c r="J871" t="n">
        <v>0</v>
      </c>
      <c r="K871" t="n">
        <v>0</v>
      </c>
      <c r="L871" t="n">
        <v>0</v>
      </c>
      <c r="M871" t="n">
        <v>0</v>
      </c>
      <c r="N871" t="n">
        <v>0</v>
      </c>
      <c r="O871" t="n">
        <v>0</v>
      </c>
      <c r="P871" t="n">
        <v>0</v>
      </c>
      <c r="Q871" t="n">
        <v>0</v>
      </c>
      <c r="R871" s="2" t="inlineStr"/>
    </row>
    <row r="872" ht="15" customHeight="1">
      <c r="A872" t="inlineStr">
        <is>
          <t>A 30729-2022</t>
        </is>
      </c>
      <c r="B872" s="1" t="n">
        <v>44764</v>
      </c>
      <c r="C872" s="1" t="n">
        <v>45840</v>
      </c>
      <c r="D872" t="inlineStr">
        <is>
          <t>JÄMTLANDS LÄN</t>
        </is>
      </c>
      <c r="E872" t="inlineStr">
        <is>
          <t>KROKOM</t>
        </is>
      </c>
      <c r="G872" t="n">
        <v>2.5</v>
      </c>
      <c r="H872" t="n">
        <v>0</v>
      </c>
      <c r="I872" t="n">
        <v>0</v>
      </c>
      <c r="J872" t="n">
        <v>0</v>
      </c>
      <c r="K872" t="n">
        <v>0</v>
      </c>
      <c r="L872" t="n">
        <v>0</v>
      </c>
      <c r="M872" t="n">
        <v>0</v>
      </c>
      <c r="N872" t="n">
        <v>0</v>
      </c>
      <c r="O872" t="n">
        <v>0</v>
      </c>
      <c r="P872" t="n">
        <v>0</v>
      </c>
      <c r="Q872" t="n">
        <v>0</v>
      </c>
      <c r="R872" s="2" t="inlineStr"/>
    </row>
    <row r="873" ht="15" customHeight="1">
      <c r="A873" t="inlineStr">
        <is>
          <t>A 32366-2022</t>
        </is>
      </c>
      <c r="B873" s="1" t="n">
        <v>44782</v>
      </c>
      <c r="C873" s="1" t="n">
        <v>45840</v>
      </c>
      <c r="D873" t="inlineStr">
        <is>
          <t>JÄMTLANDS LÄN</t>
        </is>
      </c>
      <c r="E873" t="inlineStr">
        <is>
          <t>KROKOM</t>
        </is>
      </c>
      <c r="F873" t="inlineStr">
        <is>
          <t>SCA</t>
        </is>
      </c>
      <c r="G873" t="n">
        <v>16.5</v>
      </c>
      <c r="H873" t="n">
        <v>0</v>
      </c>
      <c r="I873" t="n">
        <v>0</v>
      </c>
      <c r="J873" t="n">
        <v>0</v>
      </c>
      <c r="K873" t="n">
        <v>0</v>
      </c>
      <c r="L873" t="n">
        <v>0</v>
      </c>
      <c r="M873" t="n">
        <v>0</v>
      </c>
      <c r="N873" t="n">
        <v>0</v>
      </c>
      <c r="O873" t="n">
        <v>0</v>
      </c>
      <c r="P873" t="n">
        <v>0</v>
      </c>
      <c r="Q873" t="n">
        <v>0</v>
      </c>
      <c r="R873" s="2" t="inlineStr"/>
    </row>
    <row r="874" ht="15" customHeight="1">
      <c r="A874" t="inlineStr">
        <is>
          <t>A 33359-2022</t>
        </is>
      </c>
      <c r="B874" s="1" t="n">
        <v>44788</v>
      </c>
      <c r="C874" s="1" t="n">
        <v>45840</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33327-2022</t>
        </is>
      </c>
      <c r="B875" s="1" t="n">
        <v>44788</v>
      </c>
      <c r="C875" s="1" t="n">
        <v>45840</v>
      </c>
      <c r="D875" t="inlineStr">
        <is>
          <t>JÄMTLANDS LÄN</t>
        </is>
      </c>
      <c r="E875" t="inlineStr">
        <is>
          <t>KROKOM</t>
        </is>
      </c>
      <c r="G875" t="n">
        <v>0.8</v>
      </c>
      <c r="H875" t="n">
        <v>0</v>
      </c>
      <c r="I875" t="n">
        <v>0</v>
      </c>
      <c r="J875" t="n">
        <v>0</v>
      </c>
      <c r="K875" t="n">
        <v>0</v>
      </c>
      <c r="L875" t="n">
        <v>0</v>
      </c>
      <c r="M875" t="n">
        <v>0</v>
      </c>
      <c r="N875" t="n">
        <v>0</v>
      </c>
      <c r="O875" t="n">
        <v>0</v>
      </c>
      <c r="P875" t="n">
        <v>0</v>
      </c>
      <c r="Q875" t="n">
        <v>0</v>
      </c>
      <c r="R875" s="2" t="inlineStr"/>
    </row>
    <row r="876" ht="15" customHeight="1">
      <c r="A876" t="inlineStr">
        <is>
          <t>A 33395-2022</t>
        </is>
      </c>
      <c r="B876" s="1" t="n">
        <v>44788</v>
      </c>
      <c r="C876" s="1" t="n">
        <v>45840</v>
      </c>
      <c r="D876" t="inlineStr">
        <is>
          <t>JÄMTLANDS LÄN</t>
        </is>
      </c>
      <c r="E876" t="inlineStr">
        <is>
          <t>KROKOM</t>
        </is>
      </c>
      <c r="F876" t="inlineStr">
        <is>
          <t>Övriga Aktiebolag</t>
        </is>
      </c>
      <c r="G876" t="n">
        <v>6.2</v>
      </c>
      <c r="H876" t="n">
        <v>0</v>
      </c>
      <c r="I876" t="n">
        <v>0</v>
      </c>
      <c r="J876" t="n">
        <v>0</v>
      </c>
      <c r="K876" t="n">
        <v>0</v>
      </c>
      <c r="L876" t="n">
        <v>0</v>
      </c>
      <c r="M876" t="n">
        <v>0</v>
      </c>
      <c r="N876" t="n">
        <v>0</v>
      </c>
      <c r="O876" t="n">
        <v>0</v>
      </c>
      <c r="P876" t="n">
        <v>0</v>
      </c>
      <c r="Q876" t="n">
        <v>0</v>
      </c>
      <c r="R876" s="2" t="inlineStr"/>
    </row>
    <row r="877" ht="15" customHeight="1">
      <c r="A877" t="inlineStr">
        <is>
          <t>A 33314-2022</t>
        </is>
      </c>
      <c r="B877" s="1" t="n">
        <v>44788</v>
      </c>
      <c r="C877" s="1" t="n">
        <v>45840</v>
      </c>
      <c r="D877" t="inlineStr">
        <is>
          <t>JÄMTLANDS LÄN</t>
        </is>
      </c>
      <c r="E877" t="inlineStr">
        <is>
          <t>KROKOM</t>
        </is>
      </c>
      <c r="G877" t="n">
        <v>7.4</v>
      </c>
      <c r="H877" t="n">
        <v>0</v>
      </c>
      <c r="I877" t="n">
        <v>0</v>
      </c>
      <c r="J877" t="n">
        <v>0</v>
      </c>
      <c r="K877" t="n">
        <v>0</v>
      </c>
      <c r="L877" t="n">
        <v>0</v>
      </c>
      <c r="M877" t="n">
        <v>0</v>
      </c>
      <c r="N877" t="n">
        <v>0</v>
      </c>
      <c r="O877" t="n">
        <v>0</v>
      </c>
      <c r="P877" t="n">
        <v>0</v>
      </c>
      <c r="Q877" t="n">
        <v>0</v>
      </c>
      <c r="R877" s="2" t="inlineStr"/>
    </row>
    <row r="878" ht="15" customHeight="1">
      <c r="A878" t="inlineStr">
        <is>
          <t>A 33362-2022</t>
        </is>
      </c>
      <c r="B878" s="1" t="n">
        <v>44788</v>
      </c>
      <c r="C878" s="1" t="n">
        <v>45840</v>
      </c>
      <c r="D878" t="inlineStr">
        <is>
          <t>JÄMTLANDS LÄN</t>
        </is>
      </c>
      <c r="E878" t="inlineStr">
        <is>
          <t>KROKOM</t>
        </is>
      </c>
      <c r="F878" t="inlineStr">
        <is>
          <t>Övriga Aktiebolag</t>
        </is>
      </c>
      <c r="G878" t="n">
        <v>6.8</v>
      </c>
      <c r="H878" t="n">
        <v>0</v>
      </c>
      <c r="I878" t="n">
        <v>0</v>
      </c>
      <c r="J878" t="n">
        <v>0</v>
      </c>
      <c r="K878" t="n">
        <v>0</v>
      </c>
      <c r="L878" t="n">
        <v>0</v>
      </c>
      <c r="M878" t="n">
        <v>0</v>
      </c>
      <c r="N878" t="n">
        <v>0</v>
      </c>
      <c r="O878" t="n">
        <v>0</v>
      </c>
      <c r="P878" t="n">
        <v>0</v>
      </c>
      <c r="Q878" t="n">
        <v>0</v>
      </c>
      <c r="R878" s="2" t="inlineStr"/>
    </row>
    <row r="879" ht="15" customHeight="1">
      <c r="A879" t="inlineStr">
        <is>
          <t>A 33509-2022</t>
        </is>
      </c>
      <c r="B879" s="1" t="n">
        <v>44789</v>
      </c>
      <c r="C879" s="1" t="n">
        <v>45840</v>
      </c>
      <c r="D879" t="inlineStr">
        <is>
          <t>JÄMTLANDS LÄN</t>
        </is>
      </c>
      <c r="E879" t="inlineStr">
        <is>
          <t>KROKOM</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34278-2022</t>
        </is>
      </c>
      <c r="B880" s="1" t="n">
        <v>44792</v>
      </c>
      <c r="C880" s="1" t="n">
        <v>45840</v>
      </c>
      <c r="D880" t="inlineStr">
        <is>
          <t>JÄMTLANDS LÄN</t>
        </is>
      </c>
      <c r="E880" t="inlineStr">
        <is>
          <t>KROKOM</t>
        </is>
      </c>
      <c r="G880" t="n">
        <v>19.5</v>
      </c>
      <c r="H880" t="n">
        <v>0</v>
      </c>
      <c r="I880" t="n">
        <v>0</v>
      </c>
      <c r="J880" t="n">
        <v>0</v>
      </c>
      <c r="K880" t="n">
        <v>0</v>
      </c>
      <c r="L880" t="n">
        <v>0</v>
      </c>
      <c r="M880" t="n">
        <v>0</v>
      </c>
      <c r="N880" t="n">
        <v>0</v>
      </c>
      <c r="O880" t="n">
        <v>0</v>
      </c>
      <c r="P880" t="n">
        <v>0</v>
      </c>
      <c r="Q880" t="n">
        <v>0</v>
      </c>
      <c r="R880" s="2" t="inlineStr"/>
    </row>
    <row r="881" ht="15" customHeight="1">
      <c r="A881" t="inlineStr">
        <is>
          <t>A 34794-2022</t>
        </is>
      </c>
      <c r="B881" s="1" t="n">
        <v>44795</v>
      </c>
      <c r="C881" s="1" t="n">
        <v>45840</v>
      </c>
      <c r="D881" t="inlineStr">
        <is>
          <t>JÄMTLANDS LÄN</t>
        </is>
      </c>
      <c r="E881" t="inlineStr">
        <is>
          <t>KROKOM</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34793-2022</t>
        </is>
      </c>
      <c r="B882" s="1" t="n">
        <v>44795</v>
      </c>
      <c r="C882" s="1" t="n">
        <v>45840</v>
      </c>
      <c r="D882" t="inlineStr">
        <is>
          <t>JÄMTLANDS LÄN</t>
        </is>
      </c>
      <c r="E882" t="inlineStr">
        <is>
          <t>KROKOM</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35058-2022</t>
        </is>
      </c>
      <c r="B883" s="1" t="n">
        <v>44796</v>
      </c>
      <c r="C883" s="1" t="n">
        <v>45840</v>
      </c>
      <c r="D883" t="inlineStr">
        <is>
          <t>JÄMTLANDS LÄN</t>
        </is>
      </c>
      <c r="E883" t="inlineStr">
        <is>
          <t>KROKOM</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35226-2022</t>
        </is>
      </c>
      <c r="B884" s="1" t="n">
        <v>44797</v>
      </c>
      <c r="C884" s="1" t="n">
        <v>45840</v>
      </c>
      <c r="D884" t="inlineStr">
        <is>
          <t>JÄMTLANDS LÄN</t>
        </is>
      </c>
      <c r="E884" t="inlineStr">
        <is>
          <t>KROKOM</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35275-2022</t>
        </is>
      </c>
      <c r="B885" s="1" t="n">
        <v>44797</v>
      </c>
      <c r="C885" s="1" t="n">
        <v>45840</v>
      </c>
      <c r="D885" t="inlineStr">
        <is>
          <t>JÄMTLANDS LÄN</t>
        </is>
      </c>
      <c r="E885" t="inlineStr">
        <is>
          <t>KROKOM</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36122-2022</t>
        </is>
      </c>
      <c r="B886" s="1" t="n">
        <v>44803</v>
      </c>
      <c r="C886" s="1" t="n">
        <v>45840</v>
      </c>
      <c r="D886" t="inlineStr">
        <is>
          <t>JÄMTLANDS LÄN</t>
        </is>
      </c>
      <c r="E886" t="inlineStr">
        <is>
          <t>KROKOM</t>
        </is>
      </c>
      <c r="G886" t="n">
        <v>5.7</v>
      </c>
      <c r="H886" t="n">
        <v>0</v>
      </c>
      <c r="I886" t="n">
        <v>0</v>
      </c>
      <c r="J886" t="n">
        <v>0</v>
      </c>
      <c r="K886" t="n">
        <v>0</v>
      </c>
      <c r="L886" t="n">
        <v>0</v>
      </c>
      <c r="M886" t="n">
        <v>0</v>
      </c>
      <c r="N886" t="n">
        <v>0</v>
      </c>
      <c r="O886" t="n">
        <v>0</v>
      </c>
      <c r="P886" t="n">
        <v>0</v>
      </c>
      <c r="Q886" t="n">
        <v>0</v>
      </c>
      <c r="R886" s="2" t="inlineStr"/>
    </row>
    <row r="887" ht="15" customHeight="1">
      <c r="A887" t="inlineStr">
        <is>
          <t>A 39490-2022</t>
        </is>
      </c>
      <c r="B887" s="1" t="n">
        <v>44818</v>
      </c>
      <c r="C887" s="1" t="n">
        <v>45840</v>
      </c>
      <c r="D887" t="inlineStr">
        <is>
          <t>JÄMTLANDS LÄN</t>
        </is>
      </c>
      <c r="E887" t="inlineStr">
        <is>
          <t>KROKOM</t>
        </is>
      </c>
      <c r="G887" t="n">
        <v>11.9</v>
      </c>
      <c r="H887" t="n">
        <v>0</v>
      </c>
      <c r="I887" t="n">
        <v>0</v>
      </c>
      <c r="J887" t="n">
        <v>0</v>
      </c>
      <c r="K887" t="n">
        <v>0</v>
      </c>
      <c r="L887" t="n">
        <v>0</v>
      </c>
      <c r="M887" t="n">
        <v>0</v>
      </c>
      <c r="N887" t="n">
        <v>0</v>
      </c>
      <c r="O887" t="n">
        <v>0</v>
      </c>
      <c r="P887" t="n">
        <v>0</v>
      </c>
      <c r="Q887" t="n">
        <v>0</v>
      </c>
      <c r="R887" s="2" t="inlineStr"/>
    </row>
    <row r="888" ht="15" customHeight="1">
      <c r="A888" t="inlineStr">
        <is>
          <t>A 40866-2022</t>
        </is>
      </c>
      <c r="B888" s="1" t="n">
        <v>44820</v>
      </c>
      <c r="C888" s="1" t="n">
        <v>45840</v>
      </c>
      <c r="D888" t="inlineStr">
        <is>
          <t>JÄMTLANDS LÄN</t>
        </is>
      </c>
      <c r="E888" t="inlineStr">
        <is>
          <t>KROKOM</t>
        </is>
      </c>
      <c r="G888" t="n">
        <v>4.3</v>
      </c>
      <c r="H888" t="n">
        <v>0</v>
      </c>
      <c r="I888" t="n">
        <v>0</v>
      </c>
      <c r="J888" t="n">
        <v>0</v>
      </c>
      <c r="K888" t="n">
        <v>0</v>
      </c>
      <c r="L888" t="n">
        <v>0</v>
      </c>
      <c r="M888" t="n">
        <v>0</v>
      </c>
      <c r="N888" t="n">
        <v>0</v>
      </c>
      <c r="O888" t="n">
        <v>0</v>
      </c>
      <c r="P888" t="n">
        <v>0</v>
      </c>
      <c r="Q888" t="n">
        <v>0</v>
      </c>
      <c r="R888" s="2" t="inlineStr"/>
    </row>
    <row r="889" ht="15" customHeight="1">
      <c r="A889" t="inlineStr">
        <is>
          <t>A 41170-2022</t>
        </is>
      </c>
      <c r="B889" s="1" t="n">
        <v>44825</v>
      </c>
      <c r="C889" s="1" t="n">
        <v>45840</v>
      </c>
      <c r="D889" t="inlineStr">
        <is>
          <t>JÄMTLANDS LÄN</t>
        </is>
      </c>
      <c r="E889" t="inlineStr">
        <is>
          <t>KROKOM</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41197-2022</t>
        </is>
      </c>
      <c r="B890" s="1" t="n">
        <v>44825</v>
      </c>
      <c r="C890" s="1" t="n">
        <v>45840</v>
      </c>
      <c r="D890" t="inlineStr">
        <is>
          <t>JÄMTLANDS LÄN</t>
        </is>
      </c>
      <c r="E890" t="inlineStr">
        <is>
          <t>KROKOM</t>
        </is>
      </c>
      <c r="G890" t="n">
        <v>0.6</v>
      </c>
      <c r="H890" t="n">
        <v>0</v>
      </c>
      <c r="I890" t="n">
        <v>0</v>
      </c>
      <c r="J890" t="n">
        <v>0</v>
      </c>
      <c r="K890" t="n">
        <v>0</v>
      </c>
      <c r="L890" t="n">
        <v>0</v>
      </c>
      <c r="M890" t="n">
        <v>0</v>
      </c>
      <c r="N890" t="n">
        <v>0</v>
      </c>
      <c r="O890" t="n">
        <v>0</v>
      </c>
      <c r="P890" t="n">
        <v>0</v>
      </c>
      <c r="Q890" t="n">
        <v>0</v>
      </c>
      <c r="R890" s="2" t="inlineStr"/>
    </row>
    <row r="891" ht="15" customHeight="1">
      <c r="A891" t="inlineStr">
        <is>
          <t>A 42210-2022</t>
        </is>
      </c>
      <c r="B891" s="1" t="n">
        <v>44830</v>
      </c>
      <c r="C891" s="1" t="n">
        <v>45840</v>
      </c>
      <c r="D891" t="inlineStr">
        <is>
          <t>JÄMTLANDS LÄN</t>
        </is>
      </c>
      <c r="E891" t="inlineStr">
        <is>
          <t>KROKOM</t>
        </is>
      </c>
      <c r="F891" t="inlineStr">
        <is>
          <t>Övriga Aktiebolag</t>
        </is>
      </c>
      <c r="G891" t="n">
        <v>11.6</v>
      </c>
      <c r="H891" t="n">
        <v>0</v>
      </c>
      <c r="I891" t="n">
        <v>0</v>
      </c>
      <c r="J891" t="n">
        <v>0</v>
      </c>
      <c r="K891" t="n">
        <v>0</v>
      </c>
      <c r="L891" t="n">
        <v>0</v>
      </c>
      <c r="M891" t="n">
        <v>0</v>
      </c>
      <c r="N891" t="n">
        <v>0</v>
      </c>
      <c r="O891" t="n">
        <v>0</v>
      </c>
      <c r="P891" t="n">
        <v>0</v>
      </c>
      <c r="Q891" t="n">
        <v>0</v>
      </c>
      <c r="R891" s="2" t="inlineStr"/>
    </row>
    <row r="892" ht="15" customHeight="1">
      <c r="A892" t="inlineStr">
        <is>
          <t>A 42360-2022</t>
        </is>
      </c>
      <c r="B892" s="1" t="n">
        <v>44831</v>
      </c>
      <c r="C892" s="1" t="n">
        <v>45840</v>
      </c>
      <c r="D892" t="inlineStr">
        <is>
          <t>JÄMTLANDS LÄN</t>
        </is>
      </c>
      <c r="E892" t="inlineStr">
        <is>
          <t>KROKOM</t>
        </is>
      </c>
      <c r="F892" t="inlineStr">
        <is>
          <t>Övriga Aktiebolag</t>
        </is>
      </c>
      <c r="G892" t="n">
        <v>3.9</v>
      </c>
      <c r="H892" t="n">
        <v>0</v>
      </c>
      <c r="I892" t="n">
        <v>0</v>
      </c>
      <c r="J892" t="n">
        <v>0</v>
      </c>
      <c r="K892" t="n">
        <v>0</v>
      </c>
      <c r="L892" t="n">
        <v>0</v>
      </c>
      <c r="M892" t="n">
        <v>0</v>
      </c>
      <c r="N892" t="n">
        <v>0</v>
      </c>
      <c r="O892" t="n">
        <v>0</v>
      </c>
      <c r="P892" t="n">
        <v>0</v>
      </c>
      <c r="Q892" t="n">
        <v>0</v>
      </c>
      <c r="R892" s="2" t="inlineStr"/>
    </row>
    <row r="893" ht="15" customHeight="1">
      <c r="A893" t="inlineStr">
        <is>
          <t>A 42661-2022</t>
        </is>
      </c>
      <c r="B893" s="1" t="n">
        <v>44832</v>
      </c>
      <c r="C893" s="1" t="n">
        <v>45840</v>
      </c>
      <c r="D893" t="inlineStr">
        <is>
          <t>JÄMTLANDS LÄN</t>
        </is>
      </c>
      <c r="E893" t="inlineStr">
        <is>
          <t>KROKOM</t>
        </is>
      </c>
      <c r="G893" t="n">
        <v>14.4</v>
      </c>
      <c r="H893" t="n">
        <v>0</v>
      </c>
      <c r="I893" t="n">
        <v>0</v>
      </c>
      <c r="J893" t="n">
        <v>0</v>
      </c>
      <c r="K893" t="n">
        <v>0</v>
      </c>
      <c r="L893" t="n">
        <v>0</v>
      </c>
      <c r="M893" t="n">
        <v>0</v>
      </c>
      <c r="N893" t="n">
        <v>0</v>
      </c>
      <c r="O893" t="n">
        <v>0</v>
      </c>
      <c r="P893" t="n">
        <v>0</v>
      </c>
      <c r="Q893" t="n">
        <v>0</v>
      </c>
      <c r="R893" s="2" t="inlineStr"/>
    </row>
    <row r="894" ht="15" customHeight="1">
      <c r="A894" t="inlineStr">
        <is>
          <t>A 42980-2022</t>
        </is>
      </c>
      <c r="B894" s="1" t="n">
        <v>44833</v>
      </c>
      <c r="C894" s="1" t="n">
        <v>45840</v>
      </c>
      <c r="D894" t="inlineStr">
        <is>
          <t>JÄMTLANDS LÄN</t>
        </is>
      </c>
      <c r="E894" t="inlineStr">
        <is>
          <t>KROKOM</t>
        </is>
      </c>
      <c r="G894" t="n">
        <v>7.7</v>
      </c>
      <c r="H894" t="n">
        <v>0</v>
      </c>
      <c r="I894" t="n">
        <v>0</v>
      </c>
      <c r="J894" t="n">
        <v>0</v>
      </c>
      <c r="K894" t="n">
        <v>0</v>
      </c>
      <c r="L894" t="n">
        <v>0</v>
      </c>
      <c r="M894" t="n">
        <v>0</v>
      </c>
      <c r="N894" t="n">
        <v>0</v>
      </c>
      <c r="O894" t="n">
        <v>0</v>
      </c>
      <c r="P894" t="n">
        <v>0</v>
      </c>
      <c r="Q894" t="n">
        <v>0</v>
      </c>
      <c r="R894" s="2" t="inlineStr"/>
    </row>
    <row r="895" ht="15" customHeight="1">
      <c r="A895" t="inlineStr">
        <is>
          <t>A 43426-2022</t>
        </is>
      </c>
      <c r="B895" s="1" t="n">
        <v>44835</v>
      </c>
      <c r="C895" s="1" t="n">
        <v>45840</v>
      </c>
      <c r="D895" t="inlineStr">
        <is>
          <t>JÄMTLANDS LÄN</t>
        </is>
      </c>
      <c r="E895" t="inlineStr">
        <is>
          <t>KROKOM</t>
        </is>
      </c>
      <c r="F895" t="inlineStr">
        <is>
          <t>SCA</t>
        </is>
      </c>
      <c r="G895" t="n">
        <v>34.4</v>
      </c>
      <c r="H895" t="n">
        <v>0</v>
      </c>
      <c r="I895" t="n">
        <v>0</v>
      </c>
      <c r="J895" t="n">
        <v>0</v>
      </c>
      <c r="K895" t="n">
        <v>0</v>
      </c>
      <c r="L895" t="n">
        <v>0</v>
      </c>
      <c r="M895" t="n">
        <v>0</v>
      </c>
      <c r="N895" t="n">
        <v>0</v>
      </c>
      <c r="O895" t="n">
        <v>0</v>
      </c>
      <c r="P895" t="n">
        <v>0</v>
      </c>
      <c r="Q895" t="n">
        <v>0</v>
      </c>
      <c r="R895" s="2" t="inlineStr"/>
    </row>
    <row r="896" ht="15" customHeight="1">
      <c r="A896" t="inlineStr">
        <is>
          <t>A 46753-2022</t>
        </is>
      </c>
      <c r="B896" s="1" t="n">
        <v>44847</v>
      </c>
      <c r="C896" s="1" t="n">
        <v>45840</v>
      </c>
      <c r="D896" t="inlineStr">
        <is>
          <t>JÄMTLANDS LÄN</t>
        </is>
      </c>
      <c r="E896" t="inlineStr">
        <is>
          <t>KROKOM</t>
        </is>
      </c>
      <c r="G896" t="n">
        <v>0.5</v>
      </c>
      <c r="H896" t="n">
        <v>0</v>
      </c>
      <c r="I896" t="n">
        <v>0</v>
      </c>
      <c r="J896" t="n">
        <v>0</v>
      </c>
      <c r="K896" t="n">
        <v>0</v>
      </c>
      <c r="L896" t="n">
        <v>0</v>
      </c>
      <c r="M896" t="n">
        <v>0</v>
      </c>
      <c r="N896" t="n">
        <v>0</v>
      </c>
      <c r="O896" t="n">
        <v>0</v>
      </c>
      <c r="P896" t="n">
        <v>0</v>
      </c>
      <c r="Q896" t="n">
        <v>0</v>
      </c>
      <c r="R896" s="2" t="inlineStr"/>
    </row>
    <row r="897" ht="15" customHeight="1">
      <c r="A897" t="inlineStr">
        <is>
          <t>A 46761-2022</t>
        </is>
      </c>
      <c r="B897" s="1" t="n">
        <v>44847</v>
      </c>
      <c r="C897" s="1" t="n">
        <v>45840</v>
      </c>
      <c r="D897" t="inlineStr">
        <is>
          <t>JÄMTLANDS LÄN</t>
        </is>
      </c>
      <c r="E897" t="inlineStr">
        <is>
          <t>KROKOM</t>
        </is>
      </c>
      <c r="G897" t="n">
        <v>0.2</v>
      </c>
      <c r="H897" t="n">
        <v>0</v>
      </c>
      <c r="I897" t="n">
        <v>0</v>
      </c>
      <c r="J897" t="n">
        <v>0</v>
      </c>
      <c r="K897" t="n">
        <v>0</v>
      </c>
      <c r="L897" t="n">
        <v>0</v>
      </c>
      <c r="M897" t="n">
        <v>0</v>
      </c>
      <c r="N897" t="n">
        <v>0</v>
      </c>
      <c r="O897" t="n">
        <v>0</v>
      </c>
      <c r="P897" t="n">
        <v>0</v>
      </c>
      <c r="Q897" t="n">
        <v>0</v>
      </c>
      <c r="R897" s="2" t="inlineStr"/>
    </row>
    <row r="898" ht="15" customHeight="1">
      <c r="A898" t="inlineStr">
        <is>
          <t>A 46507-2022</t>
        </is>
      </c>
      <c r="B898" s="1" t="n">
        <v>44848</v>
      </c>
      <c r="C898" s="1" t="n">
        <v>45840</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46506-2022</t>
        </is>
      </c>
      <c r="B899" s="1" t="n">
        <v>44848</v>
      </c>
      <c r="C899" s="1" t="n">
        <v>45840</v>
      </c>
      <c r="D899" t="inlineStr">
        <is>
          <t>JÄMTLANDS LÄN</t>
        </is>
      </c>
      <c r="E899" t="inlineStr">
        <is>
          <t>KROKOM</t>
        </is>
      </c>
      <c r="G899" t="n">
        <v>1.9</v>
      </c>
      <c r="H899" t="n">
        <v>0</v>
      </c>
      <c r="I899" t="n">
        <v>0</v>
      </c>
      <c r="J899" t="n">
        <v>0</v>
      </c>
      <c r="K899" t="n">
        <v>0</v>
      </c>
      <c r="L899" t="n">
        <v>0</v>
      </c>
      <c r="M899" t="n">
        <v>0</v>
      </c>
      <c r="N899" t="n">
        <v>0</v>
      </c>
      <c r="O899" t="n">
        <v>0</v>
      </c>
      <c r="P899" t="n">
        <v>0</v>
      </c>
      <c r="Q899" t="n">
        <v>0</v>
      </c>
      <c r="R899" s="2" t="inlineStr"/>
    </row>
    <row r="900" ht="15" customHeight="1">
      <c r="A900" t="inlineStr">
        <is>
          <t>A 46519-2022</t>
        </is>
      </c>
      <c r="B900" s="1" t="n">
        <v>44848</v>
      </c>
      <c r="C900" s="1" t="n">
        <v>45840</v>
      </c>
      <c r="D900" t="inlineStr">
        <is>
          <t>JÄMTLANDS LÄN</t>
        </is>
      </c>
      <c r="E900" t="inlineStr">
        <is>
          <t>KROKOM</t>
        </is>
      </c>
      <c r="G900" t="n">
        <v>3.7</v>
      </c>
      <c r="H900" t="n">
        <v>0</v>
      </c>
      <c r="I900" t="n">
        <v>0</v>
      </c>
      <c r="J900" t="n">
        <v>0</v>
      </c>
      <c r="K900" t="n">
        <v>0</v>
      </c>
      <c r="L900" t="n">
        <v>0</v>
      </c>
      <c r="M900" t="n">
        <v>0</v>
      </c>
      <c r="N900" t="n">
        <v>0</v>
      </c>
      <c r="O900" t="n">
        <v>0</v>
      </c>
      <c r="P900" t="n">
        <v>0</v>
      </c>
      <c r="Q900" t="n">
        <v>0</v>
      </c>
      <c r="R900" s="2" t="inlineStr"/>
    </row>
    <row r="901" ht="15" customHeight="1">
      <c r="A901" t="inlineStr">
        <is>
          <t>A 46631-2022</t>
        </is>
      </c>
      <c r="B901" s="1" t="n">
        <v>44848</v>
      </c>
      <c r="C901" s="1" t="n">
        <v>45840</v>
      </c>
      <c r="D901" t="inlineStr">
        <is>
          <t>JÄMTLANDS LÄN</t>
        </is>
      </c>
      <c r="E901" t="inlineStr">
        <is>
          <t>KROKOM</t>
        </is>
      </c>
      <c r="G901" t="n">
        <v>14.3</v>
      </c>
      <c r="H901" t="n">
        <v>0</v>
      </c>
      <c r="I901" t="n">
        <v>0</v>
      </c>
      <c r="J901" t="n">
        <v>0</v>
      </c>
      <c r="K901" t="n">
        <v>0</v>
      </c>
      <c r="L901" t="n">
        <v>0</v>
      </c>
      <c r="M901" t="n">
        <v>0</v>
      </c>
      <c r="N901" t="n">
        <v>0</v>
      </c>
      <c r="O901" t="n">
        <v>0</v>
      </c>
      <c r="P901" t="n">
        <v>0</v>
      </c>
      <c r="Q901" t="n">
        <v>0</v>
      </c>
      <c r="R901" s="2" t="inlineStr"/>
    </row>
    <row r="902" ht="15" customHeight="1">
      <c r="A902" t="inlineStr">
        <is>
          <t>A 46644-2022</t>
        </is>
      </c>
      <c r="B902" s="1" t="n">
        <v>44849</v>
      </c>
      <c r="C902" s="1" t="n">
        <v>45840</v>
      </c>
      <c r="D902" t="inlineStr">
        <is>
          <t>JÄMTLANDS LÄN</t>
        </is>
      </c>
      <c r="E902" t="inlineStr">
        <is>
          <t>KROKOM</t>
        </is>
      </c>
      <c r="G902" t="n">
        <v>4.2</v>
      </c>
      <c r="H902" t="n">
        <v>0</v>
      </c>
      <c r="I902" t="n">
        <v>0</v>
      </c>
      <c r="J902" t="n">
        <v>0</v>
      </c>
      <c r="K902" t="n">
        <v>0</v>
      </c>
      <c r="L902" t="n">
        <v>0</v>
      </c>
      <c r="M902" t="n">
        <v>0</v>
      </c>
      <c r="N902" t="n">
        <v>0</v>
      </c>
      <c r="O902" t="n">
        <v>0</v>
      </c>
      <c r="P902" t="n">
        <v>0</v>
      </c>
      <c r="Q902" t="n">
        <v>0</v>
      </c>
      <c r="R902" s="2" t="inlineStr"/>
    </row>
    <row r="903" ht="15" customHeight="1">
      <c r="A903" t="inlineStr">
        <is>
          <t>A 46825-2022</t>
        </is>
      </c>
      <c r="B903" s="1" t="n">
        <v>44851</v>
      </c>
      <c r="C903" s="1" t="n">
        <v>45840</v>
      </c>
      <c r="D903" t="inlineStr">
        <is>
          <t>JÄMTLANDS LÄN</t>
        </is>
      </c>
      <c r="E903" t="inlineStr">
        <is>
          <t>KROKOM</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48777-2022</t>
        </is>
      </c>
      <c r="B904" s="1" t="n">
        <v>44855</v>
      </c>
      <c r="C904" s="1" t="n">
        <v>45840</v>
      </c>
      <c r="D904" t="inlineStr">
        <is>
          <t>JÄMTLANDS LÄN</t>
        </is>
      </c>
      <c r="E904" t="inlineStr">
        <is>
          <t>KROKOM</t>
        </is>
      </c>
      <c r="G904" t="n">
        <v>5.3</v>
      </c>
      <c r="H904" t="n">
        <v>0</v>
      </c>
      <c r="I904" t="n">
        <v>0</v>
      </c>
      <c r="J904" t="n">
        <v>0</v>
      </c>
      <c r="K904" t="n">
        <v>0</v>
      </c>
      <c r="L904" t="n">
        <v>0</v>
      </c>
      <c r="M904" t="n">
        <v>0</v>
      </c>
      <c r="N904" t="n">
        <v>0</v>
      </c>
      <c r="O904" t="n">
        <v>0</v>
      </c>
      <c r="P904" t="n">
        <v>0</v>
      </c>
      <c r="Q904" t="n">
        <v>0</v>
      </c>
      <c r="R904" s="2" t="inlineStr"/>
    </row>
    <row r="905" ht="15" customHeight="1">
      <c r="A905" t="inlineStr">
        <is>
          <t>A 48769-2022</t>
        </is>
      </c>
      <c r="B905" s="1" t="n">
        <v>44855</v>
      </c>
      <c r="C905" s="1" t="n">
        <v>45840</v>
      </c>
      <c r="D905" t="inlineStr">
        <is>
          <t>JÄMTLANDS LÄN</t>
        </is>
      </c>
      <c r="E905" t="inlineStr">
        <is>
          <t>KROKOM</t>
        </is>
      </c>
      <c r="G905" t="n">
        <v>7.5</v>
      </c>
      <c r="H905" t="n">
        <v>0</v>
      </c>
      <c r="I905" t="n">
        <v>0</v>
      </c>
      <c r="J905" t="n">
        <v>0</v>
      </c>
      <c r="K905" t="n">
        <v>0</v>
      </c>
      <c r="L905" t="n">
        <v>0</v>
      </c>
      <c r="M905" t="n">
        <v>0</v>
      </c>
      <c r="N905" t="n">
        <v>0</v>
      </c>
      <c r="O905" t="n">
        <v>0</v>
      </c>
      <c r="P905" t="n">
        <v>0</v>
      </c>
      <c r="Q905" t="n">
        <v>0</v>
      </c>
      <c r="R905" s="2" t="inlineStr"/>
    </row>
    <row r="906" ht="15" customHeight="1">
      <c r="A906" t="inlineStr">
        <is>
          <t>A 48250-2022</t>
        </is>
      </c>
      <c r="B906" s="1" t="n">
        <v>44858</v>
      </c>
      <c r="C906" s="1" t="n">
        <v>45840</v>
      </c>
      <c r="D906" t="inlineStr">
        <is>
          <t>JÄMTLANDS LÄN</t>
        </is>
      </c>
      <c r="E906" t="inlineStr">
        <is>
          <t>KROKOM</t>
        </is>
      </c>
      <c r="G906" t="n">
        <v>2.3</v>
      </c>
      <c r="H906" t="n">
        <v>0</v>
      </c>
      <c r="I906" t="n">
        <v>0</v>
      </c>
      <c r="J906" t="n">
        <v>0</v>
      </c>
      <c r="K906" t="n">
        <v>0</v>
      </c>
      <c r="L906" t="n">
        <v>0</v>
      </c>
      <c r="M906" t="n">
        <v>0</v>
      </c>
      <c r="N906" t="n">
        <v>0</v>
      </c>
      <c r="O906" t="n">
        <v>0</v>
      </c>
      <c r="P906" t="n">
        <v>0</v>
      </c>
      <c r="Q906" t="n">
        <v>0</v>
      </c>
      <c r="R906" s="2" t="inlineStr"/>
    </row>
    <row r="907" ht="15" customHeight="1">
      <c r="A907" t="inlineStr">
        <is>
          <t>A 48502-2022</t>
        </is>
      </c>
      <c r="B907" s="1" t="n">
        <v>44859</v>
      </c>
      <c r="C907" s="1" t="n">
        <v>45840</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48334-2022</t>
        </is>
      </c>
      <c r="B908" s="1" t="n">
        <v>44858</v>
      </c>
      <c r="C908" s="1" t="n">
        <v>45840</v>
      </c>
      <c r="D908" t="inlineStr">
        <is>
          <t>JÄMTLANDS LÄN</t>
        </is>
      </c>
      <c r="E908" t="inlineStr">
        <is>
          <t>KROKOM</t>
        </is>
      </c>
      <c r="G908" t="n">
        <v>1.4</v>
      </c>
      <c r="H908" t="n">
        <v>0</v>
      </c>
      <c r="I908" t="n">
        <v>0</v>
      </c>
      <c r="J908" t="n">
        <v>0</v>
      </c>
      <c r="K908" t="n">
        <v>0</v>
      </c>
      <c r="L908" t="n">
        <v>0</v>
      </c>
      <c r="M908" t="n">
        <v>0</v>
      </c>
      <c r="N908" t="n">
        <v>0</v>
      </c>
      <c r="O908" t="n">
        <v>0</v>
      </c>
      <c r="P908" t="n">
        <v>0</v>
      </c>
      <c r="Q908" t="n">
        <v>0</v>
      </c>
      <c r="R908" s="2" t="inlineStr"/>
    </row>
    <row r="909" ht="15" customHeight="1">
      <c r="A909" t="inlineStr">
        <is>
          <t>A 48417-2022</t>
        </is>
      </c>
      <c r="B909" s="1" t="n">
        <v>44858</v>
      </c>
      <c r="C909" s="1" t="n">
        <v>45840</v>
      </c>
      <c r="D909" t="inlineStr">
        <is>
          <t>JÄMTLANDS LÄN</t>
        </is>
      </c>
      <c r="E909" t="inlineStr">
        <is>
          <t>KROKOM</t>
        </is>
      </c>
      <c r="G909" t="n">
        <v>2.7</v>
      </c>
      <c r="H909" t="n">
        <v>0</v>
      </c>
      <c r="I909" t="n">
        <v>0</v>
      </c>
      <c r="J909" t="n">
        <v>0</v>
      </c>
      <c r="K909" t="n">
        <v>0</v>
      </c>
      <c r="L909" t="n">
        <v>0</v>
      </c>
      <c r="M909" t="n">
        <v>0</v>
      </c>
      <c r="N909" t="n">
        <v>0</v>
      </c>
      <c r="O909" t="n">
        <v>0</v>
      </c>
      <c r="P909" t="n">
        <v>0</v>
      </c>
      <c r="Q909" t="n">
        <v>0</v>
      </c>
      <c r="R909" s="2" t="inlineStr"/>
    </row>
    <row r="910" ht="15" customHeight="1">
      <c r="A910" t="inlineStr">
        <is>
          <t>A 48500-2022</t>
        </is>
      </c>
      <c r="B910" s="1" t="n">
        <v>44859</v>
      </c>
      <c r="C910" s="1" t="n">
        <v>45840</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49220-2022</t>
        </is>
      </c>
      <c r="B911" s="1" t="n">
        <v>44861</v>
      </c>
      <c r="C911" s="1" t="n">
        <v>45840</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50302-2022</t>
        </is>
      </c>
      <c r="B912" s="1" t="n">
        <v>44865</v>
      </c>
      <c r="C912" s="1" t="n">
        <v>45840</v>
      </c>
      <c r="D912" t="inlineStr">
        <is>
          <t>JÄMTLANDS LÄN</t>
        </is>
      </c>
      <c r="E912" t="inlineStr">
        <is>
          <t>KROKOM</t>
        </is>
      </c>
      <c r="G912" t="n">
        <v>3.4</v>
      </c>
      <c r="H912" t="n">
        <v>0</v>
      </c>
      <c r="I912" t="n">
        <v>0</v>
      </c>
      <c r="J912" t="n">
        <v>0</v>
      </c>
      <c r="K912" t="n">
        <v>0</v>
      </c>
      <c r="L912" t="n">
        <v>0</v>
      </c>
      <c r="M912" t="n">
        <v>0</v>
      </c>
      <c r="N912" t="n">
        <v>0</v>
      </c>
      <c r="O912" t="n">
        <v>0</v>
      </c>
      <c r="P912" t="n">
        <v>0</v>
      </c>
      <c r="Q912" t="n">
        <v>0</v>
      </c>
      <c r="R912" s="2" t="inlineStr"/>
    </row>
    <row r="913" ht="15" customHeight="1">
      <c r="A913" t="inlineStr">
        <is>
          <t>A 51345-2022</t>
        </is>
      </c>
      <c r="B913" s="1" t="n">
        <v>44866</v>
      </c>
      <c r="C913" s="1" t="n">
        <v>45840</v>
      </c>
      <c r="D913" t="inlineStr">
        <is>
          <t>JÄMTLANDS LÄN</t>
        </is>
      </c>
      <c r="E913" t="inlineStr">
        <is>
          <t>KROKOM</t>
        </is>
      </c>
      <c r="G913" t="n">
        <v>1.8</v>
      </c>
      <c r="H913" t="n">
        <v>0</v>
      </c>
      <c r="I913" t="n">
        <v>0</v>
      </c>
      <c r="J913" t="n">
        <v>0</v>
      </c>
      <c r="K913" t="n">
        <v>0</v>
      </c>
      <c r="L913" t="n">
        <v>0</v>
      </c>
      <c r="M913" t="n">
        <v>0</v>
      </c>
      <c r="N913" t="n">
        <v>0</v>
      </c>
      <c r="O913" t="n">
        <v>0</v>
      </c>
      <c r="P913" t="n">
        <v>0</v>
      </c>
      <c r="Q913" t="n">
        <v>0</v>
      </c>
      <c r="R913" s="2" t="inlineStr"/>
    </row>
    <row r="914" ht="15" customHeight="1">
      <c r="A914" t="inlineStr">
        <is>
          <t>A 51359-2022</t>
        </is>
      </c>
      <c r="B914" s="1" t="n">
        <v>44869</v>
      </c>
      <c r="C914" s="1" t="n">
        <v>45840</v>
      </c>
      <c r="D914" t="inlineStr">
        <is>
          <t>JÄMTLANDS LÄN</t>
        </is>
      </c>
      <c r="E914" t="inlineStr">
        <is>
          <t>KROKOM</t>
        </is>
      </c>
      <c r="G914" t="n">
        <v>1.2</v>
      </c>
      <c r="H914" t="n">
        <v>0</v>
      </c>
      <c r="I914" t="n">
        <v>0</v>
      </c>
      <c r="J914" t="n">
        <v>0</v>
      </c>
      <c r="K914" t="n">
        <v>0</v>
      </c>
      <c r="L914" t="n">
        <v>0</v>
      </c>
      <c r="M914" t="n">
        <v>0</v>
      </c>
      <c r="N914" t="n">
        <v>0</v>
      </c>
      <c r="O914" t="n">
        <v>0</v>
      </c>
      <c r="P914" t="n">
        <v>0</v>
      </c>
      <c r="Q914" t="n">
        <v>0</v>
      </c>
      <c r="R914" s="2" t="inlineStr"/>
    </row>
    <row r="915" ht="15" customHeight="1">
      <c r="A915" t="inlineStr">
        <is>
          <t>A 52253-2022</t>
        </is>
      </c>
      <c r="B915" s="1" t="n">
        <v>44873</v>
      </c>
      <c r="C915" s="1" t="n">
        <v>45840</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52268-2022</t>
        </is>
      </c>
      <c r="B916" s="1" t="n">
        <v>44873</v>
      </c>
      <c r="C916" s="1" t="n">
        <v>45840</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c r="U916">
        <f>HYPERLINK("https://klasma.github.io/Logging_2309/knärot/A 52268-2022 karta knärot.png", "A 52268-2022")</f>
        <v/>
      </c>
      <c r="V916">
        <f>HYPERLINK("https://klasma.github.io/Logging_2309/klagomål/A 52268-2022 FSC-klagomål.docx", "A 52268-2022")</f>
        <v/>
      </c>
      <c r="W916">
        <f>HYPERLINK("https://klasma.github.io/Logging_2309/klagomålsmail/A 52268-2022 FSC-klagomål mail.docx", "A 52268-2022")</f>
        <v/>
      </c>
      <c r="X916">
        <f>HYPERLINK("https://klasma.github.io/Logging_2309/tillsyn/A 52268-2022 tillsynsbegäran.docx", "A 52268-2022")</f>
        <v/>
      </c>
      <c r="Y916">
        <f>HYPERLINK("https://klasma.github.io/Logging_2309/tillsynsmail/A 52268-2022 tillsynsbegäran mail.docx", "A 52268-2022")</f>
        <v/>
      </c>
    </row>
    <row r="917" ht="15" customHeight="1">
      <c r="A917" t="inlineStr">
        <is>
          <t>A 52258-2022</t>
        </is>
      </c>
      <c r="B917" s="1" t="n">
        <v>44873</v>
      </c>
      <c r="C917" s="1" t="n">
        <v>45840</v>
      </c>
      <c r="D917" t="inlineStr">
        <is>
          <t>JÄMTLANDS LÄN</t>
        </is>
      </c>
      <c r="E917" t="inlineStr">
        <is>
          <t>KROKOM</t>
        </is>
      </c>
      <c r="G917" t="n">
        <v>1.3</v>
      </c>
      <c r="H917" t="n">
        <v>0</v>
      </c>
      <c r="I917" t="n">
        <v>0</v>
      </c>
      <c r="J917" t="n">
        <v>0</v>
      </c>
      <c r="K917" t="n">
        <v>0</v>
      </c>
      <c r="L917" t="n">
        <v>0</v>
      </c>
      <c r="M917" t="n">
        <v>0</v>
      </c>
      <c r="N917" t="n">
        <v>0</v>
      </c>
      <c r="O917" t="n">
        <v>0</v>
      </c>
      <c r="P917" t="n">
        <v>0</v>
      </c>
      <c r="Q917" t="n">
        <v>0</v>
      </c>
      <c r="R917" s="2" t="inlineStr"/>
    </row>
    <row r="918" ht="15" customHeight="1">
      <c r="A918" t="inlineStr">
        <is>
          <t>A 53402-2022</t>
        </is>
      </c>
      <c r="B918" s="1" t="n">
        <v>44874</v>
      </c>
      <c r="C918" s="1" t="n">
        <v>45840</v>
      </c>
      <c r="D918" t="inlineStr">
        <is>
          <t>JÄMTLANDS LÄN</t>
        </is>
      </c>
      <c r="E918" t="inlineStr">
        <is>
          <t>KROKOM</t>
        </is>
      </c>
      <c r="G918" t="n">
        <v>36.7</v>
      </c>
      <c r="H918" t="n">
        <v>0</v>
      </c>
      <c r="I918" t="n">
        <v>0</v>
      </c>
      <c r="J918" t="n">
        <v>0</v>
      </c>
      <c r="K918" t="n">
        <v>0</v>
      </c>
      <c r="L918" t="n">
        <v>0</v>
      </c>
      <c r="M918" t="n">
        <v>0</v>
      </c>
      <c r="N918" t="n">
        <v>0</v>
      </c>
      <c r="O918" t="n">
        <v>0</v>
      </c>
      <c r="P918" t="n">
        <v>0</v>
      </c>
      <c r="Q918" t="n">
        <v>0</v>
      </c>
      <c r="R918" s="2" t="inlineStr"/>
    </row>
    <row r="919" ht="15" customHeight="1">
      <c r="A919" t="inlineStr">
        <is>
          <t>A 52801-2022</t>
        </is>
      </c>
      <c r="B919" s="1" t="n">
        <v>44875</v>
      </c>
      <c r="C919" s="1" t="n">
        <v>45840</v>
      </c>
      <c r="D919" t="inlineStr">
        <is>
          <t>JÄMTLANDS LÄN</t>
        </is>
      </c>
      <c r="E919" t="inlineStr">
        <is>
          <t>KROKOM</t>
        </is>
      </c>
      <c r="G919" t="n">
        <v>3.1</v>
      </c>
      <c r="H919" t="n">
        <v>0</v>
      </c>
      <c r="I919" t="n">
        <v>0</v>
      </c>
      <c r="J919" t="n">
        <v>0</v>
      </c>
      <c r="K919" t="n">
        <v>0</v>
      </c>
      <c r="L919" t="n">
        <v>0</v>
      </c>
      <c r="M919" t="n">
        <v>0</v>
      </c>
      <c r="N919" t="n">
        <v>0</v>
      </c>
      <c r="O919" t="n">
        <v>0</v>
      </c>
      <c r="P919" t="n">
        <v>0</v>
      </c>
      <c r="Q919" t="n">
        <v>0</v>
      </c>
      <c r="R919" s="2" t="inlineStr"/>
    </row>
    <row r="920" ht="15" customHeight="1">
      <c r="A920" t="inlineStr">
        <is>
          <t>A 52788-2022</t>
        </is>
      </c>
      <c r="B920" s="1" t="n">
        <v>44875</v>
      </c>
      <c r="C920" s="1" t="n">
        <v>45840</v>
      </c>
      <c r="D920" t="inlineStr">
        <is>
          <t>JÄMTLANDS LÄN</t>
        </is>
      </c>
      <c r="E920" t="inlineStr">
        <is>
          <t>KROKOM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52843-2022</t>
        </is>
      </c>
      <c r="B921" s="1" t="n">
        <v>44875</v>
      </c>
      <c r="C921" s="1" t="n">
        <v>45840</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52858-2022</t>
        </is>
      </c>
      <c r="B922" s="1" t="n">
        <v>44875</v>
      </c>
      <c r="C922" s="1" t="n">
        <v>45840</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53765-2022</t>
        </is>
      </c>
      <c r="B923" s="1" t="n">
        <v>44875</v>
      </c>
      <c r="C923" s="1" t="n">
        <v>45840</v>
      </c>
      <c r="D923" t="inlineStr">
        <is>
          <t>JÄMTLANDS LÄN</t>
        </is>
      </c>
      <c r="E923" t="inlineStr">
        <is>
          <t>KROKOM</t>
        </is>
      </c>
      <c r="G923" t="n">
        <v>6.4</v>
      </c>
      <c r="H923" t="n">
        <v>0</v>
      </c>
      <c r="I923" t="n">
        <v>0</v>
      </c>
      <c r="J923" t="n">
        <v>0</v>
      </c>
      <c r="K923" t="n">
        <v>0</v>
      </c>
      <c r="L923" t="n">
        <v>0</v>
      </c>
      <c r="M923" t="n">
        <v>0</v>
      </c>
      <c r="N923" t="n">
        <v>0</v>
      </c>
      <c r="O923" t="n">
        <v>0</v>
      </c>
      <c r="P923" t="n">
        <v>0</v>
      </c>
      <c r="Q923" t="n">
        <v>0</v>
      </c>
      <c r="R923" s="2" t="inlineStr"/>
    </row>
    <row r="924" ht="15" customHeight="1">
      <c r="A924" t="inlineStr">
        <is>
          <t>A 53771-2022</t>
        </is>
      </c>
      <c r="B924" s="1" t="n">
        <v>44875</v>
      </c>
      <c r="C924" s="1" t="n">
        <v>45840</v>
      </c>
      <c r="D924" t="inlineStr">
        <is>
          <t>JÄMTLANDS LÄN</t>
        </is>
      </c>
      <c r="E924" t="inlineStr">
        <is>
          <t>KROKOM</t>
        </is>
      </c>
      <c r="G924" t="n">
        <v>8.1</v>
      </c>
      <c r="H924" t="n">
        <v>0</v>
      </c>
      <c r="I924" t="n">
        <v>0</v>
      </c>
      <c r="J924" t="n">
        <v>0</v>
      </c>
      <c r="K924" t="n">
        <v>0</v>
      </c>
      <c r="L924" t="n">
        <v>0</v>
      </c>
      <c r="M924" t="n">
        <v>0</v>
      </c>
      <c r="N924" t="n">
        <v>0</v>
      </c>
      <c r="O924" t="n">
        <v>0</v>
      </c>
      <c r="P924" t="n">
        <v>0</v>
      </c>
      <c r="Q924" t="n">
        <v>0</v>
      </c>
      <c r="R924" s="2" t="inlineStr"/>
    </row>
    <row r="925" ht="15" customHeight="1">
      <c r="A925" t="inlineStr">
        <is>
          <t>A 53843-2022</t>
        </is>
      </c>
      <c r="B925" s="1" t="n">
        <v>44880</v>
      </c>
      <c r="C925" s="1" t="n">
        <v>45840</v>
      </c>
      <c r="D925" t="inlineStr">
        <is>
          <t>JÄMTLANDS LÄN</t>
        </is>
      </c>
      <c r="E925" t="inlineStr">
        <is>
          <t>KROKOM</t>
        </is>
      </c>
      <c r="F925" t="inlineStr">
        <is>
          <t>Övriga Aktiebolag</t>
        </is>
      </c>
      <c r="G925" t="n">
        <v>26.4</v>
      </c>
      <c r="H925" t="n">
        <v>0</v>
      </c>
      <c r="I925" t="n">
        <v>0</v>
      </c>
      <c r="J925" t="n">
        <v>0</v>
      </c>
      <c r="K925" t="n">
        <v>0</v>
      </c>
      <c r="L925" t="n">
        <v>0</v>
      </c>
      <c r="M925" t="n">
        <v>0</v>
      </c>
      <c r="N925" t="n">
        <v>0</v>
      </c>
      <c r="O925" t="n">
        <v>0</v>
      </c>
      <c r="P925" t="n">
        <v>0</v>
      </c>
      <c r="Q925" t="n">
        <v>0</v>
      </c>
      <c r="R925" s="2" t="inlineStr"/>
    </row>
    <row r="926" ht="15" customHeight="1">
      <c r="A926" t="inlineStr">
        <is>
          <t>A 54491-2022</t>
        </is>
      </c>
      <c r="B926" s="1" t="n">
        <v>44880</v>
      </c>
      <c r="C926" s="1" t="n">
        <v>45840</v>
      </c>
      <c r="D926" t="inlineStr">
        <is>
          <t>JÄMTLANDS LÄN</t>
        </is>
      </c>
      <c r="E926" t="inlineStr">
        <is>
          <t>KROKOM</t>
        </is>
      </c>
      <c r="G926" t="n">
        <v>0.2</v>
      </c>
      <c r="H926" t="n">
        <v>0</v>
      </c>
      <c r="I926" t="n">
        <v>0</v>
      </c>
      <c r="J926" t="n">
        <v>0</v>
      </c>
      <c r="K926" t="n">
        <v>0</v>
      </c>
      <c r="L926" t="n">
        <v>0</v>
      </c>
      <c r="M926" t="n">
        <v>0</v>
      </c>
      <c r="N926" t="n">
        <v>0</v>
      </c>
      <c r="O926" t="n">
        <v>0</v>
      </c>
      <c r="P926" t="n">
        <v>0</v>
      </c>
      <c r="Q926" t="n">
        <v>0</v>
      </c>
      <c r="R926" s="2" t="inlineStr"/>
    </row>
    <row r="927" ht="15" customHeight="1">
      <c r="A927" t="inlineStr">
        <is>
          <t>A 54049-2022</t>
        </is>
      </c>
      <c r="B927" s="1" t="n">
        <v>44881</v>
      </c>
      <c r="C927" s="1" t="n">
        <v>45840</v>
      </c>
      <c r="D927" t="inlineStr">
        <is>
          <t>JÄMTLANDS LÄN</t>
        </is>
      </c>
      <c r="E927" t="inlineStr">
        <is>
          <t>KROKOM</t>
        </is>
      </c>
      <c r="G927" t="n">
        <v>6.8</v>
      </c>
      <c r="H927" t="n">
        <v>0</v>
      </c>
      <c r="I927" t="n">
        <v>0</v>
      </c>
      <c r="J927" t="n">
        <v>0</v>
      </c>
      <c r="K927" t="n">
        <v>0</v>
      </c>
      <c r="L927" t="n">
        <v>0</v>
      </c>
      <c r="M927" t="n">
        <v>0</v>
      </c>
      <c r="N927" t="n">
        <v>0</v>
      </c>
      <c r="O927" t="n">
        <v>0</v>
      </c>
      <c r="P927" t="n">
        <v>0</v>
      </c>
      <c r="Q927" t="n">
        <v>0</v>
      </c>
      <c r="R927" s="2" t="inlineStr"/>
    </row>
    <row r="928" ht="15" customHeight="1">
      <c r="A928" t="inlineStr">
        <is>
          <t>A 54605-2022</t>
        </is>
      </c>
      <c r="B928" s="1" t="n">
        <v>44881</v>
      </c>
      <c r="C928" s="1" t="n">
        <v>45840</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55564-2022</t>
        </is>
      </c>
      <c r="B929" s="1" t="n">
        <v>44883</v>
      </c>
      <c r="C929" s="1" t="n">
        <v>45840</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55567-2022</t>
        </is>
      </c>
      <c r="B930" s="1" t="n">
        <v>44883</v>
      </c>
      <c r="C930" s="1" t="n">
        <v>45840</v>
      </c>
      <c r="D930" t="inlineStr">
        <is>
          <t>JÄMTLANDS LÄN</t>
        </is>
      </c>
      <c r="E930" t="inlineStr">
        <is>
          <t>KROKOM</t>
        </is>
      </c>
      <c r="G930" t="n">
        <v>2.2</v>
      </c>
      <c r="H930" t="n">
        <v>0</v>
      </c>
      <c r="I930" t="n">
        <v>0</v>
      </c>
      <c r="J930" t="n">
        <v>0</v>
      </c>
      <c r="K930" t="n">
        <v>0</v>
      </c>
      <c r="L930" t="n">
        <v>0</v>
      </c>
      <c r="M930" t="n">
        <v>0</v>
      </c>
      <c r="N930" t="n">
        <v>0</v>
      </c>
      <c r="O930" t="n">
        <v>0</v>
      </c>
      <c r="P930" t="n">
        <v>0</v>
      </c>
      <c r="Q930" t="n">
        <v>0</v>
      </c>
      <c r="R930" s="2" t="inlineStr"/>
    </row>
    <row r="931" ht="15" customHeight="1">
      <c r="A931" t="inlineStr">
        <is>
          <t>A 55479-2022</t>
        </is>
      </c>
      <c r="B931" s="1" t="n">
        <v>44887</v>
      </c>
      <c r="C931" s="1" t="n">
        <v>45840</v>
      </c>
      <c r="D931" t="inlineStr">
        <is>
          <t>JÄMTLANDS LÄN</t>
        </is>
      </c>
      <c r="E931" t="inlineStr">
        <is>
          <t>KROKOM</t>
        </is>
      </c>
      <c r="F931" t="inlineStr">
        <is>
          <t>Övriga Aktiebolag</t>
        </is>
      </c>
      <c r="G931" t="n">
        <v>2.7</v>
      </c>
      <c r="H931" t="n">
        <v>0</v>
      </c>
      <c r="I931" t="n">
        <v>0</v>
      </c>
      <c r="J931" t="n">
        <v>0</v>
      </c>
      <c r="K931" t="n">
        <v>0</v>
      </c>
      <c r="L931" t="n">
        <v>0</v>
      </c>
      <c r="M931" t="n">
        <v>0</v>
      </c>
      <c r="N931" t="n">
        <v>0</v>
      </c>
      <c r="O931" t="n">
        <v>0</v>
      </c>
      <c r="P931" t="n">
        <v>0</v>
      </c>
      <c r="Q931" t="n">
        <v>0</v>
      </c>
      <c r="R931" s="2" t="inlineStr"/>
    </row>
    <row r="932" ht="15" customHeight="1">
      <c r="A932" t="inlineStr">
        <is>
          <t>A 55455-2022</t>
        </is>
      </c>
      <c r="B932" s="1" t="n">
        <v>44887</v>
      </c>
      <c r="C932" s="1" t="n">
        <v>45840</v>
      </c>
      <c r="D932" t="inlineStr">
        <is>
          <t>JÄMTLANDS LÄN</t>
        </is>
      </c>
      <c r="E932" t="inlineStr">
        <is>
          <t>KROKOM</t>
        </is>
      </c>
      <c r="F932" t="inlineStr">
        <is>
          <t>Övriga Aktiebolag</t>
        </is>
      </c>
      <c r="G932" t="n">
        <v>5.2</v>
      </c>
      <c r="H932" t="n">
        <v>0</v>
      </c>
      <c r="I932" t="n">
        <v>0</v>
      </c>
      <c r="J932" t="n">
        <v>0</v>
      </c>
      <c r="K932" t="n">
        <v>0</v>
      </c>
      <c r="L932" t="n">
        <v>0</v>
      </c>
      <c r="M932" t="n">
        <v>0</v>
      </c>
      <c r="N932" t="n">
        <v>0</v>
      </c>
      <c r="O932" t="n">
        <v>0</v>
      </c>
      <c r="P932" t="n">
        <v>0</v>
      </c>
      <c r="Q932" t="n">
        <v>0</v>
      </c>
      <c r="R932" s="2" t="inlineStr"/>
    </row>
    <row r="933" ht="15" customHeight="1">
      <c r="A933" t="inlineStr">
        <is>
          <t>A 56167-2022</t>
        </is>
      </c>
      <c r="B933" s="1" t="n">
        <v>44889</v>
      </c>
      <c r="C933" s="1" t="n">
        <v>45840</v>
      </c>
      <c r="D933" t="inlineStr">
        <is>
          <t>JÄMTLANDS LÄN</t>
        </is>
      </c>
      <c r="E933" t="inlineStr">
        <is>
          <t>KROKOM</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56166-2022</t>
        </is>
      </c>
      <c r="B934" s="1" t="n">
        <v>44889</v>
      </c>
      <c r="C934" s="1" t="n">
        <v>45840</v>
      </c>
      <c r="D934" t="inlineStr">
        <is>
          <t>JÄMTLANDS LÄN</t>
        </is>
      </c>
      <c r="E934" t="inlineStr">
        <is>
          <t>KROKOM</t>
        </is>
      </c>
      <c r="G934" t="n">
        <v>17.6</v>
      </c>
      <c r="H934" t="n">
        <v>0</v>
      </c>
      <c r="I934" t="n">
        <v>0</v>
      </c>
      <c r="J934" t="n">
        <v>0</v>
      </c>
      <c r="K934" t="n">
        <v>0</v>
      </c>
      <c r="L934" t="n">
        <v>0</v>
      </c>
      <c r="M934" t="n">
        <v>0</v>
      </c>
      <c r="N934" t="n">
        <v>0</v>
      </c>
      <c r="O934" t="n">
        <v>0</v>
      </c>
      <c r="P934" t="n">
        <v>0</v>
      </c>
      <c r="Q934" t="n">
        <v>0</v>
      </c>
      <c r="R934" s="2" t="inlineStr"/>
    </row>
    <row r="935" ht="15" customHeight="1">
      <c r="A935" t="inlineStr">
        <is>
          <t>A 57454-2022</t>
        </is>
      </c>
      <c r="B935" s="1" t="n">
        <v>44889</v>
      </c>
      <c r="C935" s="1" t="n">
        <v>45840</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58052-2022</t>
        </is>
      </c>
      <c r="B936" s="1" t="n">
        <v>44893</v>
      </c>
      <c r="C936" s="1" t="n">
        <v>45840</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58771-2022</t>
        </is>
      </c>
      <c r="B937" s="1" t="n">
        <v>44895</v>
      </c>
      <c r="C937" s="1" t="n">
        <v>45840</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57480-2022</t>
        </is>
      </c>
      <c r="B938" s="1" t="n">
        <v>44896</v>
      </c>
      <c r="C938" s="1" t="n">
        <v>45840</v>
      </c>
      <c r="D938" t="inlineStr">
        <is>
          <t>JÄMTLANDS LÄN</t>
        </is>
      </c>
      <c r="E938" t="inlineStr">
        <is>
          <t>KROKOM</t>
        </is>
      </c>
      <c r="G938" t="n">
        <v>12.3</v>
      </c>
      <c r="H938" t="n">
        <v>0</v>
      </c>
      <c r="I938" t="n">
        <v>0</v>
      </c>
      <c r="J938" t="n">
        <v>0</v>
      </c>
      <c r="K938" t="n">
        <v>0</v>
      </c>
      <c r="L938" t="n">
        <v>0</v>
      </c>
      <c r="M938" t="n">
        <v>0</v>
      </c>
      <c r="N938" t="n">
        <v>0</v>
      </c>
      <c r="O938" t="n">
        <v>0</v>
      </c>
      <c r="P938" t="n">
        <v>0</v>
      </c>
      <c r="Q938" t="n">
        <v>0</v>
      </c>
      <c r="R938" s="2" t="inlineStr"/>
    </row>
    <row r="939" ht="15" customHeight="1">
      <c r="A939" t="inlineStr">
        <is>
          <t>A 58044-2022</t>
        </is>
      </c>
      <c r="B939" s="1" t="n">
        <v>44900</v>
      </c>
      <c r="C939" s="1" t="n">
        <v>45840</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58041-2022</t>
        </is>
      </c>
      <c r="B940" s="1" t="n">
        <v>44900</v>
      </c>
      <c r="C940" s="1" t="n">
        <v>45840</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58313-2022</t>
        </is>
      </c>
      <c r="B941" s="1" t="n">
        <v>44901</v>
      </c>
      <c r="C941" s="1" t="n">
        <v>45840</v>
      </c>
      <c r="D941" t="inlineStr">
        <is>
          <t>JÄMTLANDS LÄN</t>
        </is>
      </c>
      <c r="E941" t="inlineStr">
        <is>
          <t>KROKOM</t>
        </is>
      </c>
      <c r="F941" t="inlineStr">
        <is>
          <t>Övriga Aktiebolag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58347-2022</t>
        </is>
      </c>
      <c r="B942" s="1" t="n">
        <v>44901</v>
      </c>
      <c r="C942" s="1" t="n">
        <v>45840</v>
      </c>
      <c r="D942" t="inlineStr">
        <is>
          <t>JÄMTLANDS LÄN</t>
        </is>
      </c>
      <c r="E942" t="inlineStr">
        <is>
          <t>KROKOM</t>
        </is>
      </c>
      <c r="F942" t="inlineStr">
        <is>
          <t>Övriga Aktiebolag</t>
        </is>
      </c>
      <c r="G942" t="n">
        <v>5.6</v>
      </c>
      <c r="H942" t="n">
        <v>0</v>
      </c>
      <c r="I942" t="n">
        <v>0</v>
      </c>
      <c r="J942" t="n">
        <v>0</v>
      </c>
      <c r="K942" t="n">
        <v>0</v>
      </c>
      <c r="L942" t="n">
        <v>0</v>
      </c>
      <c r="M942" t="n">
        <v>0</v>
      </c>
      <c r="N942" t="n">
        <v>0</v>
      </c>
      <c r="O942" t="n">
        <v>0</v>
      </c>
      <c r="P942" t="n">
        <v>0</v>
      </c>
      <c r="Q942" t="n">
        <v>0</v>
      </c>
      <c r="R942" s="2" t="inlineStr"/>
    </row>
    <row r="943" ht="15" customHeight="1">
      <c r="A943" t="inlineStr">
        <is>
          <t>A 58316-2022</t>
        </is>
      </c>
      <c r="B943" s="1" t="n">
        <v>44901</v>
      </c>
      <c r="C943" s="1" t="n">
        <v>45840</v>
      </c>
      <c r="D943" t="inlineStr">
        <is>
          <t>JÄMTLANDS LÄN</t>
        </is>
      </c>
      <c r="E943" t="inlineStr">
        <is>
          <t>KROKOM</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59830-2022</t>
        </is>
      </c>
      <c r="B944" s="1" t="n">
        <v>44901</v>
      </c>
      <c r="C944" s="1" t="n">
        <v>45840</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58870-2022</t>
        </is>
      </c>
      <c r="B945" s="1" t="n">
        <v>44903</v>
      </c>
      <c r="C945" s="1" t="n">
        <v>45840</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59076-2022</t>
        </is>
      </c>
      <c r="B946" s="1" t="n">
        <v>44904</v>
      </c>
      <c r="C946" s="1" t="n">
        <v>45840</v>
      </c>
      <c r="D946" t="inlineStr">
        <is>
          <t>JÄMTLANDS LÄN</t>
        </is>
      </c>
      <c r="E946" t="inlineStr">
        <is>
          <t>KROKOM</t>
        </is>
      </c>
      <c r="G946" t="n">
        <v>3.4</v>
      </c>
      <c r="H946" t="n">
        <v>0</v>
      </c>
      <c r="I946" t="n">
        <v>0</v>
      </c>
      <c r="J946" t="n">
        <v>0</v>
      </c>
      <c r="K946" t="n">
        <v>0</v>
      </c>
      <c r="L946" t="n">
        <v>0</v>
      </c>
      <c r="M946" t="n">
        <v>0</v>
      </c>
      <c r="N946" t="n">
        <v>0</v>
      </c>
      <c r="O946" t="n">
        <v>0</v>
      </c>
      <c r="P946" t="n">
        <v>0</v>
      </c>
      <c r="Q946" t="n">
        <v>0</v>
      </c>
      <c r="R946" s="2" t="inlineStr"/>
    </row>
    <row r="947" ht="15" customHeight="1">
      <c r="A947" t="inlineStr">
        <is>
          <t>A 59668-2022</t>
        </is>
      </c>
      <c r="B947" s="1" t="n">
        <v>44908</v>
      </c>
      <c r="C947" s="1" t="n">
        <v>45840</v>
      </c>
      <c r="D947" t="inlineStr">
        <is>
          <t>JÄMTLANDS LÄN</t>
        </is>
      </c>
      <c r="E947" t="inlineStr">
        <is>
          <t>KROKOM</t>
        </is>
      </c>
      <c r="F947" t="inlineStr">
        <is>
          <t>Övriga Aktiebolag</t>
        </is>
      </c>
      <c r="G947" t="n">
        <v>7.8</v>
      </c>
      <c r="H947" t="n">
        <v>0</v>
      </c>
      <c r="I947" t="n">
        <v>0</v>
      </c>
      <c r="J947" t="n">
        <v>0</v>
      </c>
      <c r="K947" t="n">
        <v>0</v>
      </c>
      <c r="L947" t="n">
        <v>0</v>
      </c>
      <c r="M947" t="n">
        <v>0</v>
      </c>
      <c r="N947" t="n">
        <v>0</v>
      </c>
      <c r="O947" t="n">
        <v>0</v>
      </c>
      <c r="P947" t="n">
        <v>0</v>
      </c>
      <c r="Q947" t="n">
        <v>0</v>
      </c>
      <c r="R947" s="2" t="inlineStr"/>
    </row>
    <row r="948" ht="15" customHeight="1">
      <c r="A948" t="inlineStr">
        <is>
          <t>A 60536-2022</t>
        </is>
      </c>
      <c r="B948" s="1" t="n">
        <v>44911</v>
      </c>
      <c r="C948" s="1" t="n">
        <v>45840</v>
      </c>
      <c r="D948" t="inlineStr">
        <is>
          <t>JÄMTLANDS LÄN</t>
        </is>
      </c>
      <c r="E948" t="inlineStr">
        <is>
          <t>KROKOM</t>
        </is>
      </c>
      <c r="F948" t="inlineStr">
        <is>
          <t>Övriga Aktiebolag</t>
        </is>
      </c>
      <c r="G948" t="n">
        <v>39.4</v>
      </c>
      <c r="H948" t="n">
        <v>0</v>
      </c>
      <c r="I948" t="n">
        <v>0</v>
      </c>
      <c r="J948" t="n">
        <v>0</v>
      </c>
      <c r="K948" t="n">
        <v>0</v>
      </c>
      <c r="L948" t="n">
        <v>0</v>
      </c>
      <c r="M948" t="n">
        <v>0</v>
      </c>
      <c r="N948" t="n">
        <v>0</v>
      </c>
      <c r="O948" t="n">
        <v>0</v>
      </c>
      <c r="P948" t="n">
        <v>0</v>
      </c>
      <c r="Q948" t="n">
        <v>0</v>
      </c>
      <c r="R948" s="2" t="inlineStr"/>
    </row>
    <row r="949" ht="15" customHeight="1">
      <c r="A949" t="inlineStr">
        <is>
          <t>A 61675-2022</t>
        </is>
      </c>
      <c r="B949" s="1" t="n">
        <v>44911</v>
      </c>
      <c r="C949" s="1" t="n">
        <v>45840</v>
      </c>
      <c r="D949" t="inlineStr">
        <is>
          <t>JÄMTLANDS LÄN</t>
        </is>
      </c>
      <c r="E949" t="inlineStr">
        <is>
          <t>KROKOM</t>
        </is>
      </c>
      <c r="G949" t="n">
        <v>2.6</v>
      </c>
      <c r="H949" t="n">
        <v>0</v>
      </c>
      <c r="I949" t="n">
        <v>0</v>
      </c>
      <c r="J949" t="n">
        <v>0</v>
      </c>
      <c r="K949" t="n">
        <v>0</v>
      </c>
      <c r="L949" t="n">
        <v>0</v>
      </c>
      <c r="M949" t="n">
        <v>0</v>
      </c>
      <c r="N949" t="n">
        <v>0</v>
      </c>
      <c r="O949" t="n">
        <v>0</v>
      </c>
      <c r="P949" t="n">
        <v>0</v>
      </c>
      <c r="Q949" t="n">
        <v>0</v>
      </c>
      <c r="R949" s="2" t="inlineStr"/>
    </row>
    <row r="950" ht="15" customHeight="1">
      <c r="A950" t="inlineStr">
        <is>
          <t>A 61572-2022</t>
        </is>
      </c>
      <c r="B950" s="1" t="n">
        <v>44916</v>
      </c>
      <c r="C950" s="1" t="n">
        <v>45840</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62146-2022</t>
        </is>
      </c>
      <c r="B951" s="1" t="n">
        <v>44922</v>
      </c>
      <c r="C951" s="1" t="n">
        <v>45840</v>
      </c>
      <c r="D951" t="inlineStr">
        <is>
          <t>JÄMTLANDS LÄN</t>
        </is>
      </c>
      <c r="E951" t="inlineStr">
        <is>
          <t>KROKOM</t>
        </is>
      </c>
      <c r="F951" t="inlineStr">
        <is>
          <t>Övriga Aktiebolag</t>
        </is>
      </c>
      <c r="G951" t="n">
        <v>17.5</v>
      </c>
      <c r="H951" t="n">
        <v>0</v>
      </c>
      <c r="I951" t="n">
        <v>0</v>
      </c>
      <c r="J951" t="n">
        <v>0</v>
      </c>
      <c r="K951" t="n">
        <v>0</v>
      </c>
      <c r="L951" t="n">
        <v>0</v>
      </c>
      <c r="M951" t="n">
        <v>0</v>
      </c>
      <c r="N951" t="n">
        <v>0</v>
      </c>
      <c r="O951" t="n">
        <v>0</v>
      </c>
      <c r="P951" t="n">
        <v>0</v>
      </c>
      <c r="Q951" t="n">
        <v>0</v>
      </c>
      <c r="R951" s="2" t="inlineStr"/>
    </row>
    <row r="952" ht="15" customHeight="1">
      <c r="A952" t="inlineStr">
        <is>
          <t>A 62142-2022</t>
        </is>
      </c>
      <c r="B952" s="1" t="n">
        <v>44922</v>
      </c>
      <c r="C952" s="1" t="n">
        <v>45840</v>
      </c>
      <c r="D952" t="inlineStr">
        <is>
          <t>JÄMTLANDS LÄN</t>
        </is>
      </c>
      <c r="E952" t="inlineStr">
        <is>
          <t>KROKOM</t>
        </is>
      </c>
      <c r="F952" t="inlineStr">
        <is>
          <t>Övriga Aktiebolag</t>
        </is>
      </c>
      <c r="G952" t="n">
        <v>11.7</v>
      </c>
      <c r="H952" t="n">
        <v>0</v>
      </c>
      <c r="I952" t="n">
        <v>0</v>
      </c>
      <c r="J952" t="n">
        <v>0</v>
      </c>
      <c r="K952" t="n">
        <v>0</v>
      </c>
      <c r="L952" t="n">
        <v>0</v>
      </c>
      <c r="M952" t="n">
        <v>0</v>
      </c>
      <c r="N952" t="n">
        <v>0</v>
      </c>
      <c r="O952" t="n">
        <v>0</v>
      </c>
      <c r="P952" t="n">
        <v>0</v>
      </c>
      <c r="Q952" t="n">
        <v>0</v>
      </c>
      <c r="R952" s="2" t="inlineStr"/>
    </row>
    <row r="953" ht="15" customHeight="1">
      <c r="A953" t="inlineStr">
        <is>
          <t>A 233-2023</t>
        </is>
      </c>
      <c r="B953" s="1" t="n">
        <v>44922</v>
      </c>
      <c r="C953" s="1" t="n">
        <v>45840</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731-2023</t>
        </is>
      </c>
      <c r="B954" s="1" t="n">
        <v>44930</v>
      </c>
      <c r="C954" s="1" t="n">
        <v>45840</v>
      </c>
      <c r="D954" t="inlineStr">
        <is>
          <t>JÄMTLANDS LÄN</t>
        </is>
      </c>
      <c r="E954" t="inlineStr">
        <is>
          <t>KROKOM</t>
        </is>
      </c>
      <c r="G954" t="n">
        <v>10.6</v>
      </c>
      <c r="H954" t="n">
        <v>0</v>
      </c>
      <c r="I954" t="n">
        <v>0</v>
      </c>
      <c r="J954" t="n">
        <v>0</v>
      </c>
      <c r="K954" t="n">
        <v>0</v>
      </c>
      <c r="L954" t="n">
        <v>0</v>
      </c>
      <c r="M954" t="n">
        <v>0</v>
      </c>
      <c r="N954" t="n">
        <v>0</v>
      </c>
      <c r="O954" t="n">
        <v>0</v>
      </c>
      <c r="P954" t="n">
        <v>0</v>
      </c>
      <c r="Q954" t="n">
        <v>0</v>
      </c>
      <c r="R954" s="2" t="inlineStr"/>
    </row>
    <row r="955" ht="15" customHeight="1">
      <c r="A955" t="inlineStr">
        <is>
          <t>A 1297-2023</t>
        </is>
      </c>
      <c r="B955" s="1" t="n">
        <v>44931</v>
      </c>
      <c r="C955" s="1" t="n">
        <v>45840</v>
      </c>
      <c r="D955" t="inlineStr">
        <is>
          <t>JÄMTLANDS LÄN</t>
        </is>
      </c>
      <c r="E955" t="inlineStr">
        <is>
          <t>KROKOM</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1517-2023</t>
        </is>
      </c>
      <c r="B956" s="1" t="n">
        <v>44935</v>
      </c>
      <c r="C956" s="1" t="n">
        <v>45840</v>
      </c>
      <c r="D956" t="inlineStr">
        <is>
          <t>JÄMTLANDS LÄN</t>
        </is>
      </c>
      <c r="E956" t="inlineStr">
        <is>
          <t>KROKOM</t>
        </is>
      </c>
      <c r="G956" t="n">
        <v>11.1</v>
      </c>
      <c r="H956" t="n">
        <v>0</v>
      </c>
      <c r="I956" t="n">
        <v>0</v>
      </c>
      <c r="J956" t="n">
        <v>0</v>
      </c>
      <c r="K956" t="n">
        <v>0</v>
      </c>
      <c r="L956" t="n">
        <v>0</v>
      </c>
      <c r="M956" t="n">
        <v>0</v>
      </c>
      <c r="N956" t="n">
        <v>0</v>
      </c>
      <c r="O956" t="n">
        <v>0</v>
      </c>
      <c r="P956" t="n">
        <v>0</v>
      </c>
      <c r="Q956" t="n">
        <v>0</v>
      </c>
      <c r="R956" s="2" t="inlineStr"/>
    </row>
    <row r="957" ht="15" customHeight="1">
      <c r="A957" t="inlineStr">
        <is>
          <t>A 1877-2023</t>
        </is>
      </c>
      <c r="B957" s="1" t="n">
        <v>44938</v>
      </c>
      <c r="C957" s="1" t="n">
        <v>45840</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2609-2023</t>
        </is>
      </c>
      <c r="B958" s="1" t="n">
        <v>44939</v>
      </c>
      <c r="C958" s="1" t="n">
        <v>45840</v>
      </c>
      <c r="D958" t="inlineStr">
        <is>
          <t>JÄMTLANDS LÄN</t>
        </is>
      </c>
      <c r="E958" t="inlineStr">
        <is>
          <t>KROKOM</t>
        </is>
      </c>
      <c r="G958" t="n">
        <v>16.9</v>
      </c>
      <c r="H958" t="n">
        <v>0</v>
      </c>
      <c r="I958" t="n">
        <v>0</v>
      </c>
      <c r="J958" t="n">
        <v>0</v>
      </c>
      <c r="K958" t="n">
        <v>0</v>
      </c>
      <c r="L958" t="n">
        <v>0</v>
      </c>
      <c r="M958" t="n">
        <v>0</v>
      </c>
      <c r="N958" t="n">
        <v>0</v>
      </c>
      <c r="O958" t="n">
        <v>0</v>
      </c>
      <c r="P958" t="n">
        <v>0</v>
      </c>
      <c r="Q958" t="n">
        <v>0</v>
      </c>
      <c r="R958" s="2" t="inlineStr"/>
    </row>
    <row r="959" ht="15" customHeight="1">
      <c r="A959" t="inlineStr">
        <is>
          <t>A 3213-2023</t>
        </is>
      </c>
      <c r="B959" s="1" t="n">
        <v>44946</v>
      </c>
      <c r="C959" s="1" t="n">
        <v>45840</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3218-2023</t>
        </is>
      </c>
      <c r="B960" s="1" t="n">
        <v>44946</v>
      </c>
      <c r="C960" s="1" t="n">
        <v>45840</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3210-2023</t>
        </is>
      </c>
      <c r="B961" s="1" t="n">
        <v>44946</v>
      </c>
      <c r="C961" s="1" t="n">
        <v>45840</v>
      </c>
      <c r="D961" t="inlineStr">
        <is>
          <t>JÄMTLANDS LÄN</t>
        </is>
      </c>
      <c r="E961" t="inlineStr">
        <is>
          <t>KROKOM</t>
        </is>
      </c>
      <c r="G961" t="n">
        <v>7.4</v>
      </c>
      <c r="H961" t="n">
        <v>0</v>
      </c>
      <c r="I961" t="n">
        <v>0</v>
      </c>
      <c r="J961" t="n">
        <v>0</v>
      </c>
      <c r="K961" t="n">
        <v>0</v>
      </c>
      <c r="L961" t="n">
        <v>0</v>
      </c>
      <c r="M961" t="n">
        <v>0</v>
      </c>
      <c r="N961" t="n">
        <v>0</v>
      </c>
      <c r="O961" t="n">
        <v>0</v>
      </c>
      <c r="P961" t="n">
        <v>0</v>
      </c>
      <c r="Q961" t="n">
        <v>0</v>
      </c>
      <c r="R961" s="2" t="inlineStr"/>
    </row>
    <row r="962" ht="15" customHeight="1">
      <c r="A962" t="inlineStr">
        <is>
          <t>A 5722-2023</t>
        </is>
      </c>
      <c r="B962" s="1" t="n">
        <v>44961</v>
      </c>
      <c r="C962" s="1" t="n">
        <v>45840</v>
      </c>
      <c r="D962" t="inlineStr">
        <is>
          <t>JÄMTLANDS LÄN</t>
        </is>
      </c>
      <c r="E962" t="inlineStr">
        <is>
          <t>KROKOM</t>
        </is>
      </c>
      <c r="G962" t="n">
        <v>12.3</v>
      </c>
      <c r="H962" t="n">
        <v>0</v>
      </c>
      <c r="I962" t="n">
        <v>0</v>
      </c>
      <c r="J962" t="n">
        <v>0</v>
      </c>
      <c r="K962" t="n">
        <v>0</v>
      </c>
      <c r="L962" t="n">
        <v>0</v>
      </c>
      <c r="M962" t="n">
        <v>0</v>
      </c>
      <c r="N962" t="n">
        <v>0</v>
      </c>
      <c r="O962" t="n">
        <v>0</v>
      </c>
      <c r="P962" t="n">
        <v>0</v>
      </c>
      <c r="Q962" t="n">
        <v>0</v>
      </c>
      <c r="R962" s="2" t="inlineStr"/>
    </row>
    <row r="963" ht="15" customHeight="1">
      <c r="A963" t="inlineStr">
        <is>
          <t>A 6595-2023</t>
        </is>
      </c>
      <c r="B963" s="1" t="n">
        <v>44963</v>
      </c>
      <c r="C963" s="1" t="n">
        <v>45840</v>
      </c>
      <c r="D963" t="inlineStr">
        <is>
          <t>JÄMTLANDS LÄN</t>
        </is>
      </c>
      <c r="E963" t="inlineStr">
        <is>
          <t>KROKOM</t>
        </is>
      </c>
      <c r="G963" t="n">
        <v>6.4</v>
      </c>
      <c r="H963" t="n">
        <v>0</v>
      </c>
      <c r="I963" t="n">
        <v>0</v>
      </c>
      <c r="J963" t="n">
        <v>0</v>
      </c>
      <c r="K963" t="n">
        <v>0</v>
      </c>
      <c r="L963" t="n">
        <v>0</v>
      </c>
      <c r="M963" t="n">
        <v>0</v>
      </c>
      <c r="N963" t="n">
        <v>0</v>
      </c>
      <c r="O963" t="n">
        <v>0</v>
      </c>
      <c r="P963" t="n">
        <v>0</v>
      </c>
      <c r="Q963" t="n">
        <v>0</v>
      </c>
      <c r="R963" s="2" t="inlineStr"/>
    </row>
    <row r="964" ht="15" customHeight="1">
      <c r="A964" t="inlineStr">
        <is>
          <t>A 6347-2023</t>
        </is>
      </c>
      <c r="B964" s="1" t="n">
        <v>44965</v>
      </c>
      <c r="C964" s="1" t="n">
        <v>45840</v>
      </c>
      <c r="D964" t="inlineStr">
        <is>
          <t>JÄMTLANDS LÄN</t>
        </is>
      </c>
      <c r="E964" t="inlineStr">
        <is>
          <t>KROKOM</t>
        </is>
      </c>
      <c r="F964" t="inlineStr">
        <is>
          <t>Övriga Aktiebolag</t>
        </is>
      </c>
      <c r="G964" t="n">
        <v>11</v>
      </c>
      <c r="H964" t="n">
        <v>0</v>
      </c>
      <c r="I964" t="n">
        <v>0</v>
      </c>
      <c r="J964" t="n">
        <v>0</v>
      </c>
      <c r="K964" t="n">
        <v>0</v>
      </c>
      <c r="L964" t="n">
        <v>0</v>
      </c>
      <c r="M964" t="n">
        <v>0</v>
      </c>
      <c r="N964" t="n">
        <v>0</v>
      </c>
      <c r="O964" t="n">
        <v>0</v>
      </c>
      <c r="P964" t="n">
        <v>0</v>
      </c>
      <c r="Q964" t="n">
        <v>0</v>
      </c>
      <c r="R964" s="2" t="inlineStr"/>
    </row>
    <row r="965" ht="15" customHeight="1">
      <c r="A965" t="inlineStr">
        <is>
          <t>A 7371-2023</t>
        </is>
      </c>
      <c r="B965" s="1" t="n">
        <v>44966</v>
      </c>
      <c r="C965" s="1" t="n">
        <v>45840</v>
      </c>
      <c r="D965" t="inlineStr">
        <is>
          <t>JÄMTLANDS LÄN</t>
        </is>
      </c>
      <c r="E965" t="inlineStr">
        <is>
          <t>KROKOM</t>
        </is>
      </c>
      <c r="G965" t="n">
        <v>5</v>
      </c>
      <c r="H965" t="n">
        <v>0</v>
      </c>
      <c r="I965" t="n">
        <v>0</v>
      </c>
      <c r="J965" t="n">
        <v>0</v>
      </c>
      <c r="K965" t="n">
        <v>0</v>
      </c>
      <c r="L965" t="n">
        <v>0</v>
      </c>
      <c r="M965" t="n">
        <v>0</v>
      </c>
      <c r="N965" t="n">
        <v>0</v>
      </c>
      <c r="O965" t="n">
        <v>0</v>
      </c>
      <c r="P965" t="n">
        <v>0</v>
      </c>
      <c r="Q965" t="n">
        <v>0</v>
      </c>
      <c r="R965" s="2" t="inlineStr"/>
    </row>
    <row r="966" ht="15" customHeight="1">
      <c r="A966" t="inlineStr">
        <is>
          <t>A 7373-2023</t>
        </is>
      </c>
      <c r="B966" s="1" t="n">
        <v>44966</v>
      </c>
      <c r="C966" s="1" t="n">
        <v>45840</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7952-2023</t>
        </is>
      </c>
      <c r="B967" s="1" t="n">
        <v>44970</v>
      </c>
      <c r="C967" s="1" t="n">
        <v>45840</v>
      </c>
      <c r="D967" t="inlineStr">
        <is>
          <t>JÄMTLANDS LÄN</t>
        </is>
      </c>
      <c r="E967" t="inlineStr">
        <is>
          <t>KROKOM</t>
        </is>
      </c>
      <c r="G967" t="n">
        <v>4.8</v>
      </c>
      <c r="H967" t="n">
        <v>0</v>
      </c>
      <c r="I967" t="n">
        <v>0</v>
      </c>
      <c r="J967" t="n">
        <v>0</v>
      </c>
      <c r="K967" t="n">
        <v>0</v>
      </c>
      <c r="L967" t="n">
        <v>0</v>
      </c>
      <c r="M967" t="n">
        <v>0</v>
      </c>
      <c r="N967" t="n">
        <v>0</v>
      </c>
      <c r="O967" t="n">
        <v>0</v>
      </c>
      <c r="P967" t="n">
        <v>0</v>
      </c>
      <c r="Q967" t="n">
        <v>0</v>
      </c>
      <c r="R967" s="2" t="inlineStr"/>
    </row>
    <row r="968" ht="15" customHeight="1">
      <c r="A968" t="inlineStr">
        <is>
          <t>A 7962-2023</t>
        </is>
      </c>
      <c r="B968" s="1" t="n">
        <v>44970</v>
      </c>
      <c r="C968" s="1" t="n">
        <v>45840</v>
      </c>
      <c r="D968" t="inlineStr">
        <is>
          <t>JÄMTLANDS LÄN</t>
        </is>
      </c>
      <c r="E968" t="inlineStr">
        <is>
          <t>KROKOM</t>
        </is>
      </c>
      <c r="G968" t="n">
        <v>12.2</v>
      </c>
      <c r="H968" t="n">
        <v>0</v>
      </c>
      <c r="I968" t="n">
        <v>0</v>
      </c>
      <c r="J968" t="n">
        <v>0</v>
      </c>
      <c r="K968" t="n">
        <v>0</v>
      </c>
      <c r="L968" t="n">
        <v>0</v>
      </c>
      <c r="M968" t="n">
        <v>0</v>
      </c>
      <c r="N968" t="n">
        <v>0</v>
      </c>
      <c r="O968" t="n">
        <v>0</v>
      </c>
      <c r="P968" t="n">
        <v>0</v>
      </c>
      <c r="Q968" t="n">
        <v>0</v>
      </c>
      <c r="R968" s="2" t="inlineStr"/>
    </row>
    <row r="969" ht="15" customHeight="1">
      <c r="A969" t="inlineStr">
        <is>
          <t>A 8369-2023</t>
        </is>
      </c>
      <c r="B969" s="1" t="n">
        <v>44971</v>
      </c>
      <c r="C969" s="1" t="n">
        <v>45840</v>
      </c>
      <c r="D969" t="inlineStr">
        <is>
          <t>JÄMTLANDS LÄN</t>
        </is>
      </c>
      <c r="E969" t="inlineStr">
        <is>
          <t>KROKOM</t>
        </is>
      </c>
      <c r="G969" t="n">
        <v>47.2</v>
      </c>
      <c r="H969" t="n">
        <v>0</v>
      </c>
      <c r="I969" t="n">
        <v>0</v>
      </c>
      <c r="J969" t="n">
        <v>0</v>
      </c>
      <c r="K969" t="n">
        <v>0</v>
      </c>
      <c r="L969" t="n">
        <v>0</v>
      </c>
      <c r="M969" t="n">
        <v>0</v>
      </c>
      <c r="N969" t="n">
        <v>0</v>
      </c>
      <c r="O969" t="n">
        <v>0</v>
      </c>
      <c r="P969" t="n">
        <v>0</v>
      </c>
      <c r="Q969" t="n">
        <v>0</v>
      </c>
      <c r="R969" s="2" t="inlineStr"/>
    </row>
    <row r="970" ht="15" customHeight="1">
      <c r="A970" t="inlineStr">
        <is>
          <t>A 7630-2023</t>
        </is>
      </c>
      <c r="B970" s="1" t="n">
        <v>44972</v>
      </c>
      <c r="C970" s="1" t="n">
        <v>45840</v>
      </c>
      <c r="D970" t="inlineStr">
        <is>
          <t>JÄMTLANDS LÄN</t>
        </is>
      </c>
      <c r="E970" t="inlineStr">
        <is>
          <t>KROKOM</t>
        </is>
      </c>
      <c r="G970" t="n">
        <v>2.1</v>
      </c>
      <c r="H970" t="n">
        <v>0</v>
      </c>
      <c r="I970" t="n">
        <v>0</v>
      </c>
      <c r="J970" t="n">
        <v>0</v>
      </c>
      <c r="K970" t="n">
        <v>0</v>
      </c>
      <c r="L970" t="n">
        <v>0</v>
      </c>
      <c r="M970" t="n">
        <v>0</v>
      </c>
      <c r="N970" t="n">
        <v>0</v>
      </c>
      <c r="O970" t="n">
        <v>0</v>
      </c>
      <c r="P970" t="n">
        <v>0</v>
      </c>
      <c r="Q970" t="n">
        <v>0</v>
      </c>
      <c r="R970" s="2" t="inlineStr"/>
    </row>
    <row r="971" ht="15" customHeight="1">
      <c r="A971" t="inlineStr">
        <is>
          <t>A 8037-2023</t>
        </is>
      </c>
      <c r="B971" s="1" t="n">
        <v>44973</v>
      </c>
      <c r="C971" s="1" t="n">
        <v>45840</v>
      </c>
      <c r="D971" t="inlineStr">
        <is>
          <t>JÄMTLANDS LÄN</t>
        </is>
      </c>
      <c r="E971" t="inlineStr">
        <is>
          <t>KROKOM</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9132-2023</t>
        </is>
      </c>
      <c r="B972" s="1" t="n">
        <v>44974</v>
      </c>
      <c r="C972" s="1" t="n">
        <v>45840</v>
      </c>
      <c r="D972" t="inlineStr">
        <is>
          <t>JÄMTLANDS LÄN</t>
        </is>
      </c>
      <c r="E972" t="inlineStr">
        <is>
          <t>KROKOM</t>
        </is>
      </c>
      <c r="F972" t="inlineStr">
        <is>
          <t>SCA</t>
        </is>
      </c>
      <c r="G972" t="n">
        <v>22.7</v>
      </c>
      <c r="H972" t="n">
        <v>0</v>
      </c>
      <c r="I972" t="n">
        <v>0</v>
      </c>
      <c r="J972" t="n">
        <v>0</v>
      </c>
      <c r="K972" t="n">
        <v>0</v>
      </c>
      <c r="L972" t="n">
        <v>0</v>
      </c>
      <c r="M972" t="n">
        <v>0</v>
      </c>
      <c r="N972" t="n">
        <v>0</v>
      </c>
      <c r="O972" t="n">
        <v>0</v>
      </c>
      <c r="P972" t="n">
        <v>0</v>
      </c>
      <c r="Q972" t="n">
        <v>0</v>
      </c>
      <c r="R972" s="2" t="inlineStr"/>
    </row>
    <row r="973" ht="15" customHeight="1">
      <c r="A973" t="inlineStr">
        <is>
          <t>A 9263-2023</t>
        </is>
      </c>
      <c r="B973" s="1" t="n">
        <v>44977</v>
      </c>
      <c r="C973" s="1" t="n">
        <v>45840</v>
      </c>
      <c r="D973" t="inlineStr">
        <is>
          <t>JÄMTLANDS LÄN</t>
        </is>
      </c>
      <c r="E973" t="inlineStr">
        <is>
          <t>KROKOM</t>
        </is>
      </c>
      <c r="F973" t="inlineStr">
        <is>
          <t>SCA</t>
        </is>
      </c>
      <c r="G973" t="n">
        <v>11.7</v>
      </c>
      <c r="H973" t="n">
        <v>0</v>
      </c>
      <c r="I973" t="n">
        <v>0</v>
      </c>
      <c r="J973" t="n">
        <v>0</v>
      </c>
      <c r="K973" t="n">
        <v>0</v>
      </c>
      <c r="L973" t="n">
        <v>0</v>
      </c>
      <c r="M973" t="n">
        <v>0</v>
      </c>
      <c r="N973" t="n">
        <v>0</v>
      </c>
      <c r="O973" t="n">
        <v>0</v>
      </c>
      <c r="P973" t="n">
        <v>0</v>
      </c>
      <c r="Q973" t="n">
        <v>0</v>
      </c>
      <c r="R973" s="2" t="inlineStr"/>
    </row>
    <row r="974" ht="15" customHeight="1">
      <c r="A974" t="inlineStr">
        <is>
          <t>A 9269-2023</t>
        </is>
      </c>
      <c r="B974" s="1" t="n">
        <v>44977</v>
      </c>
      <c r="C974" s="1" t="n">
        <v>45840</v>
      </c>
      <c r="D974" t="inlineStr">
        <is>
          <t>JÄMTLANDS LÄN</t>
        </is>
      </c>
      <c r="E974" t="inlineStr">
        <is>
          <t>KROKOM</t>
        </is>
      </c>
      <c r="G974" t="n">
        <v>6.3</v>
      </c>
      <c r="H974" t="n">
        <v>0</v>
      </c>
      <c r="I974" t="n">
        <v>0</v>
      </c>
      <c r="J974" t="n">
        <v>0</v>
      </c>
      <c r="K974" t="n">
        <v>0</v>
      </c>
      <c r="L974" t="n">
        <v>0</v>
      </c>
      <c r="M974" t="n">
        <v>0</v>
      </c>
      <c r="N974" t="n">
        <v>0</v>
      </c>
      <c r="O974" t="n">
        <v>0</v>
      </c>
      <c r="P974" t="n">
        <v>0</v>
      </c>
      <c r="Q974" t="n">
        <v>0</v>
      </c>
      <c r="R974" s="2" t="inlineStr"/>
    </row>
    <row r="975" ht="15" customHeight="1">
      <c r="A975" t="inlineStr">
        <is>
          <t>A 9671-2023</t>
        </is>
      </c>
      <c r="B975" s="1" t="n">
        <v>44978</v>
      </c>
      <c r="C975" s="1" t="n">
        <v>45840</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10310-2023</t>
        </is>
      </c>
      <c r="B976" s="1" t="n">
        <v>44986</v>
      </c>
      <c r="C976" s="1" t="n">
        <v>45840</v>
      </c>
      <c r="D976" t="inlineStr">
        <is>
          <t>JÄMTLANDS LÄN</t>
        </is>
      </c>
      <c r="E976" t="inlineStr">
        <is>
          <t>KROKOM</t>
        </is>
      </c>
      <c r="F976" t="inlineStr">
        <is>
          <t>SCA</t>
        </is>
      </c>
      <c r="G976" t="n">
        <v>10.6</v>
      </c>
      <c r="H976" t="n">
        <v>0</v>
      </c>
      <c r="I976" t="n">
        <v>0</v>
      </c>
      <c r="J976" t="n">
        <v>0</v>
      </c>
      <c r="K976" t="n">
        <v>0</v>
      </c>
      <c r="L976" t="n">
        <v>0</v>
      </c>
      <c r="M976" t="n">
        <v>0</v>
      </c>
      <c r="N976" t="n">
        <v>0</v>
      </c>
      <c r="O976" t="n">
        <v>0</v>
      </c>
      <c r="P976" t="n">
        <v>0</v>
      </c>
      <c r="Q976" t="n">
        <v>0</v>
      </c>
      <c r="R976" s="2" t="inlineStr"/>
    </row>
    <row r="977" ht="15" customHeight="1">
      <c r="A977" t="inlineStr">
        <is>
          <t>A 10314-2023</t>
        </is>
      </c>
      <c r="B977" s="1" t="n">
        <v>44986</v>
      </c>
      <c r="C977" s="1" t="n">
        <v>45840</v>
      </c>
      <c r="D977" t="inlineStr">
        <is>
          <t>JÄMTLANDS LÄN</t>
        </is>
      </c>
      <c r="E977" t="inlineStr">
        <is>
          <t>KROKOM</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10782-2023</t>
        </is>
      </c>
      <c r="B978" s="1" t="n">
        <v>44988</v>
      </c>
      <c r="C978" s="1" t="n">
        <v>45840</v>
      </c>
      <c r="D978" t="inlineStr">
        <is>
          <t>JÄMTLANDS LÄN</t>
        </is>
      </c>
      <c r="E978" t="inlineStr">
        <is>
          <t>KROKOM</t>
        </is>
      </c>
      <c r="F978" t="inlineStr">
        <is>
          <t>SCA</t>
        </is>
      </c>
      <c r="G978" t="n">
        <v>68.8</v>
      </c>
      <c r="H978" t="n">
        <v>0</v>
      </c>
      <c r="I978" t="n">
        <v>0</v>
      </c>
      <c r="J978" t="n">
        <v>0</v>
      </c>
      <c r="K978" t="n">
        <v>0</v>
      </c>
      <c r="L978" t="n">
        <v>0</v>
      </c>
      <c r="M978" t="n">
        <v>0</v>
      </c>
      <c r="N978" t="n">
        <v>0</v>
      </c>
      <c r="O978" t="n">
        <v>0</v>
      </c>
      <c r="P978" t="n">
        <v>0</v>
      </c>
      <c r="Q978" t="n">
        <v>0</v>
      </c>
      <c r="R978" s="2" t="inlineStr"/>
    </row>
    <row r="979" ht="15" customHeight="1">
      <c r="A979" t="inlineStr">
        <is>
          <t>A 11319-2023</t>
        </is>
      </c>
      <c r="B979" s="1" t="n">
        <v>44993</v>
      </c>
      <c r="C979" s="1" t="n">
        <v>45840</v>
      </c>
      <c r="D979" t="inlineStr">
        <is>
          <t>JÄMTLANDS LÄN</t>
        </is>
      </c>
      <c r="E979" t="inlineStr">
        <is>
          <t>KROKOM</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12520-2023</t>
        </is>
      </c>
      <c r="B980" s="1" t="n">
        <v>45000</v>
      </c>
      <c r="C980" s="1" t="n">
        <v>45840</v>
      </c>
      <c r="D980" t="inlineStr">
        <is>
          <t>JÄMTLANDS LÄN</t>
        </is>
      </c>
      <c r="E980" t="inlineStr">
        <is>
          <t>KROKOM</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12813-2023</t>
        </is>
      </c>
      <c r="B981" s="1" t="n">
        <v>45000</v>
      </c>
      <c r="C981" s="1" t="n">
        <v>45840</v>
      </c>
      <c r="D981" t="inlineStr">
        <is>
          <t>JÄMTLANDS LÄN</t>
        </is>
      </c>
      <c r="E981" t="inlineStr">
        <is>
          <t>KROKOM</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13703-2023</t>
        </is>
      </c>
      <c r="B982" s="1" t="n">
        <v>45006</v>
      </c>
      <c r="C982" s="1" t="n">
        <v>45840</v>
      </c>
      <c r="D982" t="inlineStr">
        <is>
          <t>JÄMTLANDS LÄN</t>
        </is>
      </c>
      <c r="E982" t="inlineStr">
        <is>
          <t>KROKOM</t>
        </is>
      </c>
      <c r="F982" t="inlineStr">
        <is>
          <t>SCA</t>
        </is>
      </c>
      <c r="G982" t="n">
        <v>22.2</v>
      </c>
      <c r="H982" t="n">
        <v>0</v>
      </c>
      <c r="I982" t="n">
        <v>0</v>
      </c>
      <c r="J982" t="n">
        <v>0</v>
      </c>
      <c r="K982" t="n">
        <v>0</v>
      </c>
      <c r="L982" t="n">
        <v>0</v>
      </c>
      <c r="M982" t="n">
        <v>0</v>
      </c>
      <c r="N982" t="n">
        <v>0</v>
      </c>
      <c r="O982" t="n">
        <v>0</v>
      </c>
      <c r="P982" t="n">
        <v>0</v>
      </c>
      <c r="Q982" t="n">
        <v>0</v>
      </c>
      <c r="R982" s="2" t="inlineStr"/>
    </row>
    <row r="983" ht="15" customHeight="1">
      <c r="A983" t="inlineStr">
        <is>
          <t>A 15595-2023</t>
        </is>
      </c>
      <c r="B983" s="1" t="n">
        <v>45019</v>
      </c>
      <c r="C983" s="1" t="n">
        <v>45840</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15826-2023</t>
        </is>
      </c>
      <c r="B984" s="1" t="n">
        <v>45022</v>
      </c>
      <c r="C984" s="1" t="n">
        <v>45840</v>
      </c>
      <c r="D984" t="inlineStr">
        <is>
          <t>JÄMTLANDS LÄN</t>
        </is>
      </c>
      <c r="E984" t="inlineStr">
        <is>
          <t>KROKOM</t>
        </is>
      </c>
      <c r="F984" t="inlineStr">
        <is>
          <t>SCA</t>
        </is>
      </c>
      <c r="G984" t="n">
        <v>13.9</v>
      </c>
      <c r="H984" t="n">
        <v>0</v>
      </c>
      <c r="I984" t="n">
        <v>0</v>
      </c>
      <c r="J984" t="n">
        <v>0</v>
      </c>
      <c r="K984" t="n">
        <v>0</v>
      </c>
      <c r="L984" t="n">
        <v>0</v>
      </c>
      <c r="M984" t="n">
        <v>0</v>
      </c>
      <c r="N984" t="n">
        <v>0</v>
      </c>
      <c r="O984" t="n">
        <v>0</v>
      </c>
      <c r="P984" t="n">
        <v>0</v>
      </c>
      <c r="Q984" t="n">
        <v>0</v>
      </c>
      <c r="R984" s="2" t="inlineStr"/>
    </row>
    <row r="985" ht="15" customHeight="1">
      <c r="A985" t="inlineStr">
        <is>
          <t>A 15805-2023</t>
        </is>
      </c>
      <c r="B985" s="1" t="n">
        <v>45022</v>
      </c>
      <c r="C985" s="1" t="n">
        <v>45840</v>
      </c>
      <c r="D985" t="inlineStr">
        <is>
          <t>JÄMTLANDS LÄN</t>
        </is>
      </c>
      <c r="E985" t="inlineStr">
        <is>
          <t>KROKOM</t>
        </is>
      </c>
      <c r="G985" t="n">
        <v>9.1</v>
      </c>
      <c r="H985" t="n">
        <v>0</v>
      </c>
      <c r="I985" t="n">
        <v>0</v>
      </c>
      <c r="J985" t="n">
        <v>0</v>
      </c>
      <c r="K985" t="n">
        <v>0</v>
      </c>
      <c r="L985" t="n">
        <v>0</v>
      </c>
      <c r="M985" t="n">
        <v>0</v>
      </c>
      <c r="N985" t="n">
        <v>0</v>
      </c>
      <c r="O985" t="n">
        <v>0</v>
      </c>
      <c r="P985" t="n">
        <v>0</v>
      </c>
      <c r="Q985" t="n">
        <v>0</v>
      </c>
      <c r="R985" s="2" t="inlineStr"/>
    </row>
    <row r="986" ht="15" customHeight="1">
      <c r="A986" t="inlineStr">
        <is>
          <t>A 15885-2023</t>
        </is>
      </c>
      <c r="B986" s="1" t="n">
        <v>45022</v>
      </c>
      <c r="C986" s="1" t="n">
        <v>45840</v>
      </c>
      <c r="D986" t="inlineStr">
        <is>
          <t>JÄMTLANDS LÄN</t>
        </is>
      </c>
      <c r="E986" t="inlineStr">
        <is>
          <t>KROKOM</t>
        </is>
      </c>
      <c r="G986" t="n">
        <v>2.3</v>
      </c>
      <c r="H986" t="n">
        <v>0</v>
      </c>
      <c r="I986" t="n">
        <v>0</v>
      </c>
      <c r="J986" t="n">
        <v>0</v>
      </c>
      <c r="K986" t="n">
        <v>0</v>
      </c>
      <c r="L986" t="n">
        <v>0</v>
      </c>
      <c r="M986" t="n">
        <v>0</v>
      </c>
      <c r="N986" t="n">
        <v>0</v>
      </c>
      <c r="O986" t="n">
        <v>0</v>
      </c>
      <c r="P986" t="n">
        <v>0</v>
      </c>
      <c r="Q986" t="n">
        <v>0</v>
      </c>
      <c r="R986" s="2" t="inlineStr"/>
    </row>
    <row r="987" ht="15" customHeight="1">
      <c r="A987" t="inlineStr">
        <is>
          <t>A 15980-2023</t>
        </is>
      </c>
      <c r="B987" s="1" t="n">
        <v>45023</v>
      </c>
      <c r="C987" s="1" t="n">
        <v>45840</v>
      </c>
      <c r="D987" t="inlineStr">
        <is>
          <t>JÄMTLANDS LÄN</t>
        </is>
      </c>
      <c r="E987" t="inlineStr">
        <is>
          <t>KROKOM</t>
        </is>
      </c>
      <c r="F987" t="inlineStr">
        <is>
          <t>SCA</t>
        </is>
      </c>
      <c r="G987" t="n">
        <v>7.8</v>
      </c>
      <c r="H987" t="n">
        <v>0</v>
      </c>
      <c r="I987" t="n">
        <v>0</v>
      </c>
      <c r="J987" t="n">
        <v>0</v>
      </c>
      <c r="K987" t="n">
        <v>0</v>
      </c>
      <c r="L987" t="n">
        <v>0</v>
      </c>
      <c r="M987" t="n">
        <v>0</v>
      </c>
      <c r="N987" t="n">
        <v>0</v>
      </c>
      <c r="O987" t="n">
        <v>0</v>
      </c>
      <c r="P987" t="n">
        <v>0</v>
      </c>
      <c r="Q987" t="n">
        <v>0</v>
      </c>
      <c r="R987" s="2" t="inlineStr"/>
    </row>
    <row r="988" ht="15" customHeight="1">
      <c r="A988" t="inlineStr">
        <is>
          <t>A 16566-2023</t>
        </is>
      </c>
      <c r="B988" s="1" t="n">
        <v>45029</v>
      </c>
      <c r="C988" s="1" t="n">
        <v>45840</v>
      </c>
      <c r="D988" t="inlineStr">
        <is>
          <t>JÄMTLANDS LÄN</t>
        </is>
      </c>
      <c r="E988" t="inlineStr">
        <is>
          <t>KROKOM</t>
        </is>
      </c>
      <c r="F988" t="inlineStr">
        <is>
          <t>SCA</t>
        </is>
      </c>
      <c r="G988" t="n">
        <v>11.9</v>
      </c>
      <c r="H988" t="n">
        <v>0</v>
      </c>
      <c r="I988" t="n">
        <v>0</v>
      </c>
      <c r="J988" t="n">
        <v>0</v>
      </c>
      <c r="K988" t="n">
        <v>0</v>
      </c>
      <c r="L988" t="n">
        <v>0</v>
      </c>
      <c r="M988" t="n">
        <v>0</v>
      </c>
      <c r="N988" t="n">
        <v>0</v>
      </c>
      <c r="O988" t="n">
        <v>0</v>
      </c>
      <c r="P988" t="n">
        <v>0</v>
      </c>
      <c r="Q988" t="n">
        <v>0</v>
      </c>
      <c r="R988" s="2" t="inlineStr"/>
    </row>
    <row r="989" ht="15" customHeight="1">
      <c r="A989" t="inlineStr">
        <is>
          <t>A 17555-2023</t>
        </is>
      </c>
      <c r="B989" s="1" t="n">
        <v>45034</v>
      </c>
      <c r="C989" s="1" t="n">
        <v>45840</v>
      </c>
      <c r="D989" t="inlineStr">
        <is>
          <t>JÄMTLANDS LÄN</t>
        </is>
      </c>
      <c r="E989" t="inlineStr">
        <is>
          <t>KROKOM</t>
        </is>
      </c>
      <c r="G989" t="n">
        <v>7.1</v>
      </c>
      <c r="H989" t="n">
        <v>0</v>
      </c>
      <c r="I989" t="n">
        <v>0</v>
      </c>
      <c r="J989" t="n">
        <v>0</v>
      </c>
      <c r="K989" t="n">
        <v>0</v>
      </c>
      <c r="L989" t="n">
        <v>0</v>
      </c>
      <c r="M989" t="n">
        <v>0</v>
      </c>
      <c r="N989" t="n">
        <v>0</v>
      </c>
      <c r="O989" t="n">
        <v>0</v>
      </c>
      <c r="P989" t="n">
        <v>0</v>
      </c>
      <c r="Q989" t="n">
        <v>0</v>
      </c>
      <c r="R989" s="2" t="inlineStr"/>
    </row>
    <row r="990" ht="15" customHeight="1">
      <c r="A990" t="inlineStr">
        <is>
          <t>A 17383-2023</t>
        </is>
      </c>
      <c r="B990" s="1" t="n">
        <v>45035</v>
      </c>
      <c r="C990" s="1" t="n">
        <v>45840</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17594-2023</t>
        </is>
      </c>
      <c r="B991" s="1" t="n">
        <v>45036</v>
      </c>
      <c r="C991" s="1" t="n">
        <v>45840</v>
      </c>
      <c r="D991" t="inlineStr">
        <is>
          <t>JÄMTLANDS LÄN</t>
        </is>
      </c>
      <c r="E991" t="inlineStr">
        <is>
          <t>KROKOM</t>
        </is>
      </c>
      <c r="G991" t="n">
        <v>5.5</v>
      </c>
      <c r="H991" t="n">
        <v>0</v>
      </c>
      <c r="I991" t="n">
        <v>0</v>
      </c>
      <c r="J991" t="n">
        <v>0</v>
      </c>
      <c r="K991" t="n">
        <v>0</v>
      </c>
      <c r="L991" t="n">
        <v>0</v>
      </c>
      <c r="M991" t="n">
        <v>0</v>
      </c>
      <c r="N991" t="n">
        <v>0</v>
      </c>
      <c r="O991" t="n">
        <v>0</v>
      </c>
      <c r="P991" t="n">
        <v>0</v>
      </c>
      <c r="Q991" t="n">
        <v>0</v>
      </c>
      <c r="R991" s="2" t="inlineStr"/>
    </row>
    <row r="992" ht="15" customHeight="1">
      <c r="A992" t="inlineStr">
        <is>
          <t>A 17591-2023</t>
        </is>
      </c>
      <c r="B992" s="1" t="n">
        <v>45036</v>
      </c>
      <c r="C992" s="1" t="n">
        <v>45840</v>
      </c>
      <c r="D992" t="inlineStr">
        <is>
          <t>JÄMTLANDS LÄN</t>
        </is>
      </c>
      <c r="E992" t="inlineStr">
        <is>
          <t>KROKOM</t>
        </is>
      </c>
      <c r="G992" t="n">
        <v>8.4</v>
      </c>
      <c r="H992" t="n">
        <v>0</v>
      </c>
      <c r="I992" t="n">
        <v>0</v>
      </c>
      <c r="J992" t="n">
        <v>0</v>
      </c>
      <c r="K992" t="n">
        <v>0</v>
      </c>
      <c r="L992" t="n">
        <v>0</v>
      </c>
      <c r="M992" t="n">
        <v>0</v>
      </c>
      <c r="N992" t="n">
        <v>0</v>
      </c>
      <c r="O992" t="n">
        <v>0</v>
      </c>
      <c r="P992" t="n">
        <v>0</v>
      </c>
      <c r="Q992" t="n">
        <v>0</v>
      </c>
      <c r="R992" s="2" t="inlineStr"/>
    </row>
    <row r="993" ht="15" customHeight="1">
      <c r="A993" t="inlineStr">
        <is>
          <t>A 17603-2023</t>
        </is>
      </c>
      <c r="B993" s="1" t="n">
        <v>45036</v>
      </c>
      <c r="C993" s="1" t="n">
        <v>45840</v>
      </c>
      <c r="D993" t="inlineStr">
        <is>
          <t>JÄMTLANDS LÄN</t>
        </is>
      </c>
      <c r="E993" t="inlineStr">
        <is>
          <t>KROKOM</t>
        </is>
      </c>
      <c r="G993" t="n">
        <v>7.4</v>
      </c>
      <c r="H993" t="n">
        <v>0</v>
      </c>
      <c r="I993" t="n">
        <v>0</v>
      </c>
      <c r="J993" t="n">
        <v>0</v>
      </c>
      <c r="K993" t="n">
        <v>0</v>
      </c>
      <c r="L993" t="n">
        <v>0</v>
      </c>
      <c r="M993" t="n">
        <v>0</v>
      </c>
      <c r="N993" t="n">
        <v>0</v>
      </c>
      <c r="O993" t="n">
        <v>0</v>
      </c>
      <c r="P993" t="n">
        <v>0</v>
      </c>
      <c r="Q993" t="n">
        <v>0</v>
      </c>
      <c r="R993" s="2" t="inlineStr"/>
    </row>
    <row r="994" ht="15" customHeight="1">
      <c r="A994" t="inlineStr">
        <is>
          <t>A 17602-2023</t>
        </is>
      </c>
      <c r="B994" s="1" t="n">
        <v>45036</v>
      </c>
      <c r="C994" s="1" t="n">
        <v>45840</v>
      </c>
      <c r="D994" t="inlineStr">
        <is>
          <t>JÄMTLANDS LÄN</t>
        </is>
      </c>
      <c r="E994" t="inlineStr">
        <is>
          <t>KROKOM</t>
        </is>
      </c>
      <c r="G994" t="n">
        <v>6.9</v>
      </c>
      <c r="H994" t="n">
        <v>0</v>
      </c>
      <c r="I994" t="n">
        <v>0</v>
      </c>
      <c r="J994" t="n">
        <v>0</v>
      </c>
      <c r="K994" t="n">
        <v>0</v>
      </c>
      <c r="L994" t="n">
        <v>0</v>
      </c>
      <c r="M994" t="n">
        <v>0</v>
      </c>
      <c r="N994" t="n">
        <v>0</v>
      </c>
      <c r="O994" t="n">
        <v>0</v>
      </c>
      <c r="P994" t="n">
        <v>0</v>
      </c>
      <c r="Q994" t="n">
        <v>0</v>
      </c>
      <c r="R994" s="2" t="inlineStr"/>
    </row>
    <row r="995" ht="15" customHeight="1">
      <c r="A995" t="inlineStr">
        <is>
          <t>A 17751-2023</t>
        </is>
      </c>
      <c r="B995" s="1" t="n">
        <v>45036</v>
      </c>
      <c r="C995" s="1" t="n">
        <v>45840</v>
      </c>
      <c r="D995" t="inlineStr">
        <is>
          <t>JÄMTLANDS LÄN</t>
        </is>
      </c>
      <c r="E995" t="inlineStr">
        <is>
          <t>KROKOM</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18139-2023</t>
        </is>
      </c>
      <c r="B996" s="1" t="n">
        <v>45040</v>
      </c>
      <c r="C996" s="1" t="n">
        <v>45840</v>
      </c>
      <c r="D996" t="inlineStr">
        <is>
          <t>JÄMTLANDS LÄN</t>
        </is>
      </c>
      <c r="E996" t="inlineStr">
        <is>
          <t>KROKOM</t>
        </is>
      </c>
      <c r="G996" t="n">
        <v>4.6</v>
      </c>
      <c r="H996" t="n">
        <v>0</v>
      </c>
      <c r="I996" t="n">
        <v>0</v>
      </c>
      <c r="J996" t="n">
        <v>0</v>
      </c>
      <c r="K996" t="n">
        <v>0</v>
      </c>
      <c r="L996" t="n">
        <v>0</v>
      </c>
      <c r="M996" t="n">
        <v>0</v>
      </c>
      <c r="N996" t="n">
        <v>0</v>
      </c>
      <c r="O996" t="n">
        <v>0</v>
      </c>
      <c r="P996" t="n">
        <v>0</v>
      </c>
      <c r="Q996" t="n">
        <v>0</v>
      </c>
      <c r="R996" s="2" t="inlineStr"/>
    </row>
    <row r="997" ht="15" customHeight="1">
      <c r="A997" t="inlineStr">
        <is>
          <t>A 18296-2023</t>
        </is>
      </c>
      <c r="B997" s="1" t="n">
        <v>45040</v>
      </c>
      <c r="C997" s="1" t="n">
        <v>45840</v>
      </c>
      <c r="D997" t="inlineStr">
        <is>
          <t>JÄMTLANDS LÄN</t>
        </is>
      </c>
      <c r="E997" t="inlineStr">
        <is>
          <t>KROKOM</t>
        </is>
      </c>
      <c r="G997" t="n">
        <v>20.3</v>
      </c>
      <c r="H997" t="n">
        <v>0</v>
      </c>
      <c r="I997" t="n">
        <v>0</v>
      </c>
      <c r="J997" t="n">
        <v>0</v>
      </c>
      <c r="K997" t="n">
        <v>0</v>
      </c>
      <c r="L997" t="n">
        <v>0</v>
      </c>
      <c r="M997" t="n">
        <v>0</v>
      </c>
      <c r="N997" t="n">
        <v>0</v>
      </c>
      <c r="O997" t="n">
        <v>0</v>
      </c>
      <c r="P997" t="n">
        <v>0</v>
      </c>
      <c r="Q997" t="n">
        <v>0</v>
      </c>
      <c r="R997" s="2" t="inlineStr"/>
    </row>
    <row r="998" ht="15" customHeight="1">
      <c r="A998" t="inlineStr">
        <is>
          <t>A 18539-2023</t>
        </is>
      </c>
      <c r="B998" s="1" t="n">
        <v>45041</v>
      </c>
      <c r="C998" s="1" t="n">
        <v>45840</v>
      </c>
      <c r="D998" t="inlineStr">
        <is>
          <t>JÄMTLANDS LÄN</t>
        </is>
      </c>
      <c r="E998" t="inlineStr">
        <is>
          <t>KROKOM</t>
        </is>
      </c>
      <c r="G998" t="n">
        <v>1.9</v>
      </c>
      <c r="H998" t="n">
        <v>0</v>
      </c>
      <c r="I998" t="n">
        <v>0</v>
      </c>
      <c r="J998" t="n">
        <v>0</v>
      </c>
      <c r="K998" t="n">
        <v>0</v>
      </c>
      <c r="L998" t="n">
        <v>0</v>
      </c>
      <c r="M998" t="n">
        <v>0</v>
      </c>
      <c r="N998" t="n">
        <v>0</v>
      </c>
      <c r="O998" t="n">
        <v>0</v>
      </c>
      <c r="P998" t="n">
        <v>0</v>
      </c>
      <c r="Q998" t="n">
        <v>0</v>
      </c>
      <c r="R998" s="2" t="inlineStr"/>
    </row>
    <row r="999" ht="15" customHeight="1">
      <c r="A999" t="inlineStr">
        <is>
          <t>A 18826-2023</t>
        </is>
      </c>
      <c r="B999" s="1" t="n">
        <v>45042</v>
      </c>
      <c r="C999" s="1" t="n">
        <v>45840</v>
      </c>
      <c r="D999" t="inlineStr">
        <is>
          <t>JÄMTLANDS LÄN</t>
        </is>
      </c>
      <c r="E999" t="inlineStr">
        <is>
          <t>KROKOM</t>
        </is>
      </c>
      <c r="G999" t="n">
        <v>17.1</v>
      </c>
      <c r="H999" t="n">
        <v>0</v>
      </c>
      <c r="I999" t="n">
        <v>0</v>
      </c>
      <c r="J999" t="n">
        <v>0</v>
      </c>
      <c r="K999" t="n">
        <v>0</v>
      </c>
      <c r="L999" t="n">
        <v>0</v>
      </c>
      <c r="M999" t="n">
        <v>0</v>
      </c>
      <c r="N999" t="n">
        <v>0</v>
      </c>
      <c r="O999" t="n">
        <v>0</v>
      </c>
      <c r="P999" t="n">
        <v>0</v>
      </c>
      <c r="Q999" t="n">
        <v>0</v>
      </c>
      <c r="R999" s="2" t="inlineStr"/>
    </row>
    <row r="1000" ht="15" customHeight="1">
      <c r="A1000" t="inlineStr">
        <is>
          <t>A 18990-2023</t>
        </is>
      </c>
      <c r="B1000" s="1" t="n">
        <v>45045</v>
      </c>
      <c r="C1000" s="1" t="n">
        <v>45840</v>
      </c>
      <c r="D1000" t="inlineStr">
        <is>
          <t>JÄMTLANDS LÄN</t>
        </is>
      </c>
      <c r="E1000" t="inlineStr">
        <is>
          <t>KROKOM</t>
        </is>
      </c>
      <c r="F1000" t="inlineStr">
        <is>
          <t>SCA</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19245-2023</t>
        </is>
      </c>
      <c r="B1001" s="1" t="n">
        <v>45048</v>
      </c>
      <c r="C1001" s="1" t="n">
        <v>45840</v>
      </c>
      <c r="D1001" t="inlineStr">
        <is>
          <t>JÄMTLANDS LÄN</t>
        </is>
      </c>
      <c r="E1001" t="inlineStr">
        <is>
          <t>KROKOM</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19247-2023</t>
        </is>
      </c>
      <c r="B1002" s="1" t="n">
        <v>45048</v>
      </c>
      <c r="C1002" s="1" t="n">
        <v>45840</v>
      </c>
      <c r="D1002" t="inlineStr">
        <is>
          <t>JÄMTLANDS LÄN</t>
        </is>
      </c>
      <c r="E1002" t="inlineStr">
        <is>
          <t>KROKOM</t>
        </is>
      </c>
      <c r="F1002" t="inlineStr">
        <is>
          <t>SCA</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19502-2023</t>
        </is>
      </c>
      <c r="B1003" s="1" t="n">
        <v>45049</v>
      </c>
      <c r="C1003" s="1" t="n">
        <v>45840</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19348-2023</t>
        </is>
      </c>
      <c r="B1004" s="1" t="n">
        <v>45049</v>
      </c>
      <c r="C1004" s="1" t="n">
        <v>45840</v>
      </c>
      <c r="D1004" t="inlineStr">
        <is>
          <t>JÄMTLANDS LÄN</t>
        </is>
      </c>
      <c r="E1004" t="inlineStr">
        <is>
          <t>KROKOM</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19478-2023</t>
        </is>
      </c>
      <c r="B1005" s="1" t="n">
        <v>45050</v>
      </c>
      <c r="C1005" s="1" t="n">
        <v>45840</v>
      </c>
      <c r="D1005" t="inlineStr">
        <is>
          <t>JÄMTLANDS LÄN</t>
        </is>
      </c>
      <c r="E1005" t="inlineStr">
        <is>
          <t>KROKOM</t>
        </is>
      </c>
      <c r="F1005" t="inlineStr">
        <is>
          <t>Övriga Aktiebolag</t>
        </is>
      </c>
      <c r="G1005" t="n">
        <v>22.2</v>
      </c>
      <c r="H1005" t="n">
        <v>0</v>
      </c>
      <c r="I1005" t="n">
        <v>0</v>
      </c>
      <c r="J1005" t="n">
        <v>0</v>
      </c>
      <c r="K1005" t="n">
        <v>0</v>
      </c>
      <c r="L1005" t="n">
        <v>0</v>
      </c>
      <c r="M1005" t="n">
        <v>0</v>
      </c>
      <c r="N1005" t="n">
        <v>0</v>
      </c>
      <c r="O1005" t="n">
        <v>0</v>
      </c>
      <c r="P1005" t="n">
        <v>0</v>
      </c>
      <c r="Q1005" t="n">
        <v>0</v>
      </c>
      <c r="R1005" s="2" t="inlineStr"/>
    </row>
    <row r="1006" ht="15" customHeight="1">
      <c r="A1006" t="inlineStr">
        <is>
          <t>A 20735-2023</t>
        </is>
      </c>
      <c r="B1006" s="1" t="n">
        <v>45055</v>
      </c>
      <c r="C1006" s="1" t="n">
        <v>45840</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20742-2023</t>
        </is>
      </c>
      <c r="B1007" s="1" t="n">
        <v>45055</v>
      </c>
      <c r="C1007" s="1" t="n">
        <v>45840</v>
      </c>
      <c r="D1007" t="inlineStr">
        <is>
          <t>JÄMTLANDS LÄN</t>
        </is>
      </c>
      <c r="E1007" t="inlineStr">
        <is>
          <t>KROKOM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20966-2023</t>
        </is>
      </c>
      <c r="B1008" s="1" t="n">
        <v>45056</v>
      </c>
      <c r="C1008" s="1" t="n">
        <v>45840</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20953-2023</t>
        </is>
      </c>
      <c r="B1009" s="1" t="n">
        <v>45056</v>
      </c>
      <c r="C1009" s="1" t="n">
        <v>45840</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20976-2023</t>
        </is>
      </c>
      <c r="B1010" s="1" t="n">
        <v>45056</v>
      </c>
      <c r="C1010" s="1" t="n">
        <v>45840</v>
      </c>
      <c r="D1010" t="inlineStr">
        <is>
          <t>JÄMTLANDS LÄN</t>
        </is>
      </c>
      <c r="E1010" t="inlineStr">
        <is>
          <t>KROKOM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20622-2023</t>
        </is>
      </c>
      <c r="B1011" s="1" t="n">
        <v>45057</v>
      </c>
      <c r="C1011" s="1" t="n">
        <v>45840</v>
      </c>
      <c r="D1011" t="inlineStr">
        <is>
          <t>JÄMTLANDS LÄN</t>
        </is>
      </c>
      <c r="E1011" t="inlineStr">
        <is>
          <t>KROKOM</t>
        </is>
      </c>
      <c r="F1011" t="inlineStr">
        <is>
          <t>SCA</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20623-2023</t>
        </is>
      </c>
      <c r="B1012" s="1" t="n">
        <v>45058</v>
      </c>
      <c r="C1012" s="1" t="n">
        <v>45840</v>
      </c>
      <c r="D1012" t="inlineStr">
        <is>
          <t>JÄMTLANDS LÄN</t>
        </is>
      </c>
      <c r="E1012" t="inlineStr">
        <is>
          <t>KROKOM</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20860-2023</t>
        </is>
      </c>
      <c r="B1013" s="1" t="n">
        <v>45059</v>
      </c>
      <c r="C1013" s="1" t="n">
        <v>45840</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21348-2023</t>
        </is>
      </c>
      <c r="B1014" s="1" t="n">
        <v>45062</v>
      </c>
      <c r="C1014" s="1" t="n">
        <v>45840</v>
      </c>
      <c r="D1014" t="inlineStr">
        <is>
          <t>JÄMTLANDS LÄN</t>
        </is>
      </c>
      <c r="E1014" t="inlineStr">
        <is>
          <t>KROKOM</t>
        </is>
      </c>
      <c r="F1014" t="inlineStr">
        <is>
          <t>SCA</t>
        </is>
      </c>
      <c r="G1014" t="n">
        <v>48.1</v>
      </c>
      <c r="H1014" t="n">
        <v>0</v>
      </c>
      <c r="I1014" t="n">
        <v>0</v>
      </c>
      <c r="J1014" t="n">
        <v>0</v>
      </c>
      <c r="K1014" t="n">
        <v>0</v>
      </c>
      <c r="L1014" t="n">
        <v>0</v>
      </c>
      <c r="M1014" t="n">
        <v>0</v>
      </c>
      <c r="N1014" t="n">
        <v>0</v>
      </c>
      <c r="O1014" t="n">
        <v>0</v>
      </c>
      <c r="P1014" t="n">
        <v>0</v>
      </c>
      <c r="Q1014" t="n">
        <v>0</v>
      </c>
      <c r="R1014" s="2" t="inlineStr"/>
    </row>
    <row r="1015" ht="15" customHeight="1">
      <c r="A1015" t="inlineStr">
        <is>
          <t>A 21347-2023</t>
        </is>
      </c>
      <c r="B1015" s="1" t="n">
        <v>45062</v>
      </c>
      <c r="C1015" s="1" t="n">
        <v>45840</v>
      </c>
      <c r="D1015" t="inlineStr">
        <is>
          <t>JÄMTLANDS LÄN</t>
        </is>
      </c>
      <c r="E1015" t="inlineStr">
        <is>
          <t>KROKOM</t>
        </is>
      </c>
      <c r="F1015" t="inlineStr">
        <is>
          <t>SCA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21784-2023</t>
        </is>
      </c>
      <c r="B1016" s="1" t="n">
        <v>45065</v>
      </c>
      <c r="C1016" s="1" t="n">
        <v>45840</v>
      </c>
      <c r="D1016" t="inlineStr">
        <is>
          <t>JÄMTLANDS LÄN</t>
        </is>
      </c>
      <c r="E1016" t="inlineStr">
        <is>
          <t>KROKOM</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23326-2023</t>
        </is>
      </c>
      <c r="B1017" s="1" t="n">
        <v>45071</v>
      </c>
      <c r="C1017" s="1" t="n">
        <v>45840</v>
      </c>
      <c r="D1017" t="inlineStr">
        <is>
          <t>JÄMTLANDS LÄN</t>
        </is>
      </c>
      <c r="E1017" t="inlineStr">
        <is>
          <t>KROKOM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22999-2023</t>
        </is>
      </c>
      <c r="B1018" s="1" t="n">
        <v>45073</v>
      </c>
      <c r="C1018" s="1" t="n">
        <v>45840</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23139-2023</t>
        </is>
      </c>
      <c r="B1019" s="1" t="n">
        <v>45075</v>
      </c>
      <c r="C1019" s="1" t="n">
        <v>45840</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24069-2023</t>
        </is>
      </c>
      <c r="B1020" s="1" t="n">
        <v>45079</v>
      </c>
      <c r="C1020" s="1" t="n">
        <v>45840</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24387-2023</t>
        </is>
      </c>
      <c r="B1021" s="1" t="n">
        <v>45082</v>
      </c>
      <c r="C1021" s="1" t="n">
        <v>45840</v>
      </c>
      <c r="D1021" t="inlineStr">
        <is>
          <t>JÄMTLANDS LÄN</t>
        </is>
      </c>
      <c r="E1021" t="inlineStr">
        <is>
          <t>KROKOM</t>
        </is>
      </c>
      <c r="F1021" t="inlineStr">
        <is>
          <t>Kyrkan</t>
        </is>
      </c>
      <c r="G1021" t="n">
        <v>21.2</v>
      </c>
      <c r="H1021" t="n">
        <v>0</v>
      </c>
      <c r="I1021" t="n">
        <v>0</v>
      </c>
      <c r="J1021" t="n">
        <v>0</v>
      </c>
      <c r="K1021" t="n">
        <v>0</v>
      </c>
      <c r="L1021" t="n">
        <v>0</v>
      </c>
      <c r="M1021" t="n">
        <v>0</v>
      </c>
      <c r="N1021" t="n">
        <v>0</v>
      </c>
      <c r="O1021" t="n">
        <v>0</v>
      </c>
      <c r="P1021" t="n">
        <v>0</v>
      </c>
      <c r="Q1021" t="n">
        <v>0</v>
      </c>
      <c r="R1021" s="2" t="inlineStr"/>
    </row>
    <row r="1022" ht="15" customHeight="1">
      <c r="A1022" t="inlineStr">
        <is>
          <t>A 25726-2023</t>
        </is>
      </c>
      <c r="B1022" s="1" t="n">
        <v>45084</v>
      </c>
      <c r="C1022" s="1" t="n">
        <v>45840</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24824-2023</t>
        </is>
      </c>
      <c r="B1023" s="1" t="n">
        <v>45085</v>
      </c>
      <c r="C1023" s="1" t="n">
        <v>45840</v>
      </c>
      <c r="D1023" t="inlineStr">
        <is>
          <t>JÄMTLANDS LÄN</t>
        </is>
      </c>
      <c r="E1023" t="inlineStr">
        <is>
          <t>KROKOM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25309-2023</t>
        </is>
      </c>
      <c r="B1024" s="1" t="n">
        <v>45087</v>
      </c>
      <c r="C1024" s="1" t="n">
        <v>45840</v>
      </c>
      <c r="D1024" t="inlineStr">
        <is>
          <t>JÄMTLANDS LÄN</t>
        </is>
      </c>
      <c r="E1024" t="inlineStr">
        <is>
          <t>KROKOM</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26270-2023</t>
        </is>
      </c>
      <c r="B1025" s="1" t="n">
        <v>45086</v>
      </c>
      <c r="C1025" s="1" t="n">
        <v>45840</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26693-2023</t>
        </is>
      </c>
      <c r="B1026" s="1" t="n">
        <v>45090</v>
      </c>
      <c r="C1026" s="1" t="n">
        <v>45840</v>
      </c>
      <c r="D1026" t="inlineStr">
        <is>
          <t>JÄMTLANDS LÄN</t>
        </is>
      </c>
      <c r="E1026" t="inlineStr">
        <is>
          <t>KROKOM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26005-2023</t>
        </is>
      </c>
      <c r="B1027" s="1" t="n">
        <v>45091</v>
      </c>
      <c r="C1027" s="1" t="n">
        <v>45840</v>
      </c>
      <c r="D1027" t="inlineStr">
        <is>
          <t>JÄMTLANDS LÄN</t>
        </is>
      </c>
      <c r="E1027" t="inlineStr">
        <is>
          <t>KROKOM</t>
        </is>
      </c>
      <c r="G1027" t="n">
        <v>18.3</v>
      </c>
      <c r="H1027" t="n">
        <v>0</v>
      </c>
      <c r="I1027" t="n">
        <v>0</v>
      </c>
      <c r="J1027" t="n">
        <v>0</v>
      </c>
      <c r="K1027" t="n">
        <v>0</v>
      </c>
      <c r="L1027" t="n">
        <v>0</v>
      </c>
      <c r="M1027" t="n">
        <v>0</v>
      </c>
      <c r="N1027" t="n">
        <v>0</v>
      </c>
      <c r="O1027" t="n">
        <v>0</v>
      </c>
      <c r="P1027" t="n">
        <v>0</v>
      </c>
      <c r="Q1027" t="n">
        <v>0</v>
      </c>
      <c r="R1027" s="2" t="inlineStr"/>
    </row>
    <row r="1028" ht="15" customHeight="1">
      <c r="A1028" t="inlineStr">
        <is>
          <t>A 26721-2023</t>
        </is>
      </c>
      <c r="B1028" s="1" t="n">
        <v>45090</v>
      </c>
      <c r="C1028" s="1" t="n">
        <v>45840</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26006-2023</t>
        </is>
      </c>
      <c r="B1029" s="1" t="n">
        <v>45091</v>
      </c>
      <c r="C1029" s="1" t="n">
        <v>45840</v>
      </c>
      <c r="D1029" t="inlineStr">
        <is>
          <t>JÄMTLANDS LÄN</t>
        </is>
      </c>
      <c r="E1029" t="inlineStr">
        <is>
          <t>KROKOM</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26739-2023</t>
        </is>
      </c>
      <c r="B1030" s="1" t="n">
        <v>45090</v>
      </c>
      <c r="C1030" s="1" t="n">
        <v>45840</v>
      </c>
      <c r="D1030" t="inlineStr">
        <is>
          <t>JÄMTLANDS LÄN</t>
        </is>
      </c>
      <c r="E1030" t="inlineStr">
        <is>
          <t>KROKOM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26805-2023</t>
        </is>
      </c>
      <c r="B1031" s="1" t="n">
        <v>45090</v>
      </c>
      <c r="C1031" s="1" t="n">
        <v>45840</v>
      </c>
      <c r="D1031" t="inlineStr">
        <is>
          <t>JÄMTLANDS LÄN</t>
        </is>
      </c>
      <c r="E1031" t="inlineStr">
        <is>
          <t>KROKOM</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26662-2023</t>
        </is>
      </c>
      <c r="B1032" s="1" t="n">
        <v>45093</v>
      </c>
      <c r="C1032" s="1" t="n">
        <v>45840</v>
      </c>
      <c r="D1032" t="inlineStr">
        <is>
          <t>JÄMTLANDS LÄN</t>
        </is>
      </c>
      <c r="E1032" t="inlineStr">
        <is>
          <t>KROKOM</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26661-2023</t>
        </is>
      </c>
      <c r="B1033" s="1" t="n">
        <v>45093</v>
      </c>
      <c r="C1033" s="1" t="n">
        <v>45840</v>
      </c>
      <c r="D1033" t="inlineStr">
        <is>
          <t>JÄMTLANDS LÄN</t>
        </is>
      </c>
      <c r="E1033" t="inlineStr">
        <is>
          <t>KROKOM</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28137-2023</t>
        </is>
      </c>
      <c r="B1034" s="1" t="n">
        <v>45096</v>
      </c>
      <c r="C1034" s="1" t="n">
        <v>45840</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27616-2023</t>
        </is>
      </c>
      <c r="B1035" s="1" t="n">
        <v>45097</v>
      </c>
      <c r="C1035" s="1" t="n">
        <v>45840</v>
      </c>
      <c r="D1035" t="inlineStr">
        <is>
          <t>JÄMTLANDS LÄN</t>
        </is>
      </c>
      <c r="E1035" t="inlineStr">
        <is>
          <t>KROKOM</t>
        </is>
      </c>
      <c r="F1035" t="inlineStr">
        <is>
          <t>Övriga Aktiebolag</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29224-2023</t>
        </is>
      </c>
      <c r="B1036" s="1" t="n">
        <v>45097</v>
      </c>
      <c r="C1036" s="1" t="n">
        <v>45840</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29244-2023</t>
        </is>
      </c>
      <c r="B1037" s="1" t="n">
        <v>45097</v>
      </c>
      <c r="C1037" s="1" t="n">
        <v>45840</v>
      </c>
      <c r="D1037" t="inlineStr">
        <is>
          <t>JÄMTLANDS LÄN</t>
        </is>
      </c>
      <c r="E1037" t="inlineStr">
        <is>
          <t>KROKOM</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28068-2023</t>
        </is>
      </c>
      <c r="B1038" s="1" t="n">
        <v>45099</v>
      </c>
      <c r="C1038" s="1" t="n">
        <v>45840</v>
      </c>
      <c r="D1038" t="inlineStr">
        <is>
          <t>JÄMTLANDS LÄN</t>
        </is>
      </c>
      <c r="E1038" t="inlineStr">
        <is>
          <t>KROKOM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28072-2023</t>
        </is>
      </c>
      <c r="B1039" s="1" t="n">
        <v>45099</v>
      </c>
      <c r="C1039" s="1" t="n">
        <v>45840</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28062-2023</t>
        </is>
      </c>
      <c r="B1040" s="1" t="n">
        <v>45099</v>
      </c>
      <c r="C1040" s="1" t="n">
        <v>45840</v>
      </c>
      <c r="D1040" t="inlineStr">
        <is>
          <t>JÄMTLANDS LÄN</t>
        </is>
      </c>
      <c r="E1040" t="inlineStr">
        <is>
          <t>KROKOM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28067-2023</t>
        </is>
      </c>
      <c r="B1041" s="1" t="n">
        <v>45099</v>
      </c>
      <c r="C1041" s="1" t="n">
        <v>45840</v>
      </c>
      <c r="D1041" t="inlineStr">
        <is>
          <t>JÄMTLANDS LÄN</t>
        </is>
      </c>
      <c r="E1041" t="inlineStr">
        <is>
          <t>KROKOM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30450-2023</t>
        </is>
      </c>
      <c r="B1042" s="1" t="n">
        <v>45099</v>
      </c>
      <c r="C1042" s="1" t="n">
        <v>45840</v>
      </c>
      <c r="D1042" t="inlineStr">
        <is>
          <t>JÄMTLANDS LÄN</t>
        </is>
      </c>
      <c r="E1042" t="inlineStr">
        <is>
          <t>KROKOM</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28758-2023</t>
        </is>
      </c>
      <c r="B1043" s="1" t="n">
        <v>45104</v>
      </c>
      <c r="C1043" s="1" t="n">
        <v>45840</v>
      </c>
      <c r="D1043" t="inlineStr">
        <is>
          <t>JÄMTLANDS LÄN</t>
        </is>
      </c>
      <c r="E1043" t="inlineStr">
        <is>
          <t>KROKOM</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28763-2023</t>
        </is>
      </c>
      <c r="B1044" s="1" t="n">
        <v>45104</v>
      </c>
      <c r="C1044" s="1" t="n">
        <v>45840</v>
      </c>
      <c r="D1044" t="inlineStr">
        <is>
          <t>JÄMTLANDS LÄN</t>
        </is>
      </c>
      <c r="E1044" t="inlineStr">
        <is>
          <t>KROKOM</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29345-2023</t>
        </is>
      </c>
      <c r="B1045" s="1" t="n">
        <v>45105</v>
      </c>
      <c r="C1045" s="1" t="n">
        <v>45840</v>
      </c>
      <c r="D1045" t="inlineStr">
        <is>
          <t>JÄMTLANDS LÄN</t>
        </is>
      </c>
      <c r="E1045" t="inlineStr">
        <is>
          <t>KROKOM</t>
        </is>
      </c>
      <c r="G1045" t="n">
        <v>33.9</v>
      </c>
      <c r="H1045" t="n">
        <v>0</v>
      </c>
      <c r="I1045" t="n">
        <v>0</v>
      </c>
      <c r="J1045" t="n">
        <v>0</v>
      </c>
      <c r="K1045" t="n">
        <v>0</v>
      </c>
      <c r="L1045" t="n">
        <v>0</v>
      </c>
      <c r="M1045" t="n">
        <v>0</v>
      </c>
      <c r="N1045" t="n">
        <v>0</v>
      </c>
      <c r="O1045" t="n">
        <v>0</v>
      </c>
      <c r="P1045" t="n">
        <v>0</v>
      </c>
      <c r="Q1045" t="n">
        <v>0</v>
      </c>
      <c r="R1045" s="2" t="inlineStr"/>
    </row>
    <row r="1046" ht="15" customHeight="1">
      <c r="A1046" t="inlineStr">
        <is>
          <t>A 29630-2023</t>
        </is>
      </c>
      <c r="B1046" s="1" t="n">
        <v>45107</v>
      </c>
      <c r="C1046" s="1" t="n">
        <v>45840</v>
      </c>
      <c r="D1046" t="inlineStr">
        <is>
          <t>JÄMTLANDS LÄN</t>
        </is>
      </c>
      <c r="E1046" t="inlineStr">
        <is>
          <t>KROKOM</t>
        </is>
      </c>
      <c r="G1046" t="n">
        <v>15.4</v>
      </c>
      <c r="H1046" t="n">
        <v>0</v>
      </c>
      <c r="I1046" t="n">
        <v>0</v>
      </c>
      <c r="J1046" t="n">
        <v>0</v>
      </c>
      <c r="K1046" t="n">
        <v>0</v>
      </c>
      <c r="L1046" t="n">
        <v>0</v>
      </c>
      <c r="M1046" t="n">
        <v>0</v>
      </c>
      <c r="N1046" t="n">
        <v>0</v>
      </c>
      <c r="O1046" t="n">
        <v>0</v>
      </c>
      <c r="P1046" t="n">
        <v>0</v>
      </c>
      <c r="Q1046" t="n">
        <v>0</v>
      </c>
      <c r="R1046" s="2" t="inlineStr"/>
    </row>
    <row r="1047" ht="15" customHeight="1">
      <c r="A1047" t="inlineStr">
        <is>
          <t>A 29936-2023</t>
        </is>
      </c>
      <c r="B1047" s="1" t="n">
        <v>45107</v>
      </c>
      <c r="C1047" s="1" t="n">
        <v>45840</v>
      </c>
      <c r="D1047" t="inlineStr">
        <is>
          <t>JÄMTLANDS LÄN</t>
        </is>
      </c>
      <c r="E1047" t="inlineStr">
        <is>
          <t>KROKOM</t>
        </is>
      </c>
      <c r="G1047" t="n">
        <v>77.40000000000001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32131-2023</t>
        </is>
      </c>
      <c r="B1048" s="1" t="n">
        <v>45107</v>
      </c>
      <c r="C1048" s="1" t="n">
        <v>45840</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32123-2023</t>
        </is>
      </c>
      <c r="B1049" s="1" t="n">
        <v>45107</v>
      </c>
      <c r="C1049" s="1" t="n">
        <v>45840</v>
      </c>
      <c r="D1049" t="inlineStr">
        <is>
          <t>JÄMTLANDS LÄN</t>
        </is>
      </c>
      <c r="E1049" t="inlineStr">
        <is>
          <t>KROKOM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29986-2023</t>
        </is>
      </c>
      <c r="B1050" s="1" t="n">
        <v>45109</v>
      </c>
      <c r="C1050" s="1" t="n">
        <v>45840</v>
      </c>
      <c r="D1050" t="inlineStr">
        <is>
          <t>JÄMTLANDS LÄN</t>
        </is>
      </c>
      <c r="E1050" t="inlineStr">
        <is>
          <t>KROKOM</t>
        </is>
      </c>
      <c r="F1050" t="inlineStr">
        <is>
          <t>Övriga Aktiebolag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30314-2023</t>
        </is>
      </c>
      <c r="B1051" s="1" t="n">
        <v>45111</v>
      </c>
      <c r="C1051" s="1" t="n">
        <v>45840</v>
      </c>
      <c r="D1051" t="inlineStr">
        <is>
          <t>JÄMTLANDS LÄN</t>
        </is>
      </c>
      <c r="E1051" t="inlineStr">
        <is>
          <t>KROKOM</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30486-2023</t>
        </is>
      </c>
      <c r="B1052" s="1" t="n">
        <v>45111</v>
      </c>
      <c r="C1052" s="1" t="n">
        <v>45840</v>
      </c>
      <c r="D1052" t="inlineStr">
        <is>
          <t>JÄMTLANDS LÄN</t>
        </is>
      </c>
      <c r="E1052" t="inlineStr">
        <is>
          <t>KROKOM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30488-2023</t>
        </is>
      </c>
      <c r="B1053" s="1" t="n">
        <v>45111</v>
      </c>
      <c r="C1053" s="1" t="n">
        <v>45840</v>
      </c>
      <c r="D1053" t="inlineStr">
        <is>
          <t>JÄMTLANDS LÄN</t>
        </is>
      </c>
      <c r="E1053" t="inlineStr">
        <is>
          <t>KROKOM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30429-2023</t>
        </is>
      </c>
      <c r="B1054" s="1" t="n">
        <v>45111</v>
      </c>
      <c r="C1054" s="1" t="n">
        <v>45840</v>
      </c>
      <c r="D1054" t="inlineStr">
        <is>
          <t>JÄMTLANDS LÄN</t>
        </is>
      </c>
      <c r="E1054" t="inlineStr">
        <is>
          <t>KROKOM</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30566-2023</t>
        </is>
      </c>
      <c r="B1055" s="1" t="n">
        <v>45112</v>
      </c>
      <c r="C1055" s="1" t="n">
        <v>45840</v>
      </c>
      <c r="D1055" t="inlineStr">
        <is>
          <t>JÄMTLANDS LÄN</t>
        </is>
      </c>
      <c r="E1055" t="inlineStr">
        <is>
          <t>KROKOM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30771-2023</t>
        </is>
      </c>
      <c r="B1056" s="1" t="n">
        <v>45112</v>
      </c>
      <c r="C1056" s="1" t="n">
        <v>45840</v>
      </c>
      <c r="D1056" t="inlineStr">
        <is>
          <t>JÄMTLANDS LÄN</t>
        </is>
      </c>
      <c r="E1056" t="inlineStr">
        <is>
          <t>KROKOM</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32692-2023</t>
        </is>
      </c>
      <c r="B1057" s="1" t="n">
        <v>45112</v>
      </c>
      <c r="C1057" s="1" t="n">
        <v>45840</v>
      </c>
      <c r="D1057" t="inlineStr">
        <is>
          <t>JÄMTLANDS LÄN</t>
        </is>
      </c>
      <c r="E1057" t="inlineStr">
        <is>
          <t>KROKOM</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32650-2023</t>
        </is>
      </c>
      <c r="B1058" s="1" t="n">
        <v>45112</v>
      </c>
      <c r="C1058" s="1" t="n">
        <v>45840</v>
      </c>
      <c r="D1058" t="inlineStr">
        <is>
          <t>JÄMTLANDS LÄN</t>
        </is>
      </c>
      <c r="E1058" t="inlineStr">
        <is>
          <t>KROKOM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32881-2023</t>
        </is>
      </c>
      <c r="B1059" s="1" t="n">
        <v>45112</v>
      </c>
      <c r="C1059" s="1" t="n">
        <v>45840</v>
      </c>
      <c r="D1059" t="inlineStr">
        <is>
          <t>JÄMTLANDS LÄN</t>
        </is>
      </c>
      <c r="E1059" t="inlineStr">
        <is>
          <t>KROKOM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32837-2023</t>
        </is>
      </c>
      <c r="B1060" s="1" t="n">
        <v>45112</v>
      </c>
      <c r="C1060" s="1" t="n">
        <v>45840</v>
      </c>
      <c r="D1060" t="inlineStr">
        <is>
          <t>JÄMTLANDS LÄN</t>
        </is>
      </c>
      <c r="E1060" t="inlineStr">
        <is>
          <t>KROKOM</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31386-2023</t>
        </is>
      </c>
      <c r="B1061" s="1" t="n">
        <v>45114</v>
      </c>
      <c r="C1061" s="1" t="n">
        <v>45840</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31395-2023</t>
        </is>
      </c>
      <c r="B1062" s="1" t="n">
        <v>45114</v>
      </c>
      <c r="C1062" s="1" t="n">
        <v>45840</v>
      </c>
      <c r="D1062" t="inlineStr">
        <is>
          <t>JÄMTLANDS LÄN</t>
        </is>
      </c>
      <c r="E1062" t="inlineStr">
        <is>
          <t>KROKOM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31580-2023</t>
        </is>
      </c>
      <c r="B1063" s="1" t="n">
        <v>45117</v>
      </c>
      <c r="C1063" s="1" t="n">
        <v>45840</v>
      </c>
      <c r="D1063" t="inlineStr">
        <is>
          <t>JÄMTLANDS LÄN</t>
        </is>
      </c>
      <c r="E1063" t="inlineStr">
        <is>
          <t>KROKOM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31584-2023</t>
        </is>
      </c>
      <c r="B1064" s="1" t="n">
        <v>45117</v>
      </c>
      <c r="C1064" s="1" t="n">
        <v>45840</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31537-2023</t>
        </is>
      </c>
      <c r="B1065" s="1" t="n">
        <v>45117</v>
      </c>
      <c r="C1065" s="1" t="n">
        <v>45840</v>
      </c>
      <c r="D1065" t="inlineStr">
        <is>
          <t>JÄMTLANDS LÄN</t>
        </is>
      </c>
      <c r="E1065" t="inlineStr">
        <is>
          <t>KROKOM</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31538-2023</t>
        </is>
      </c>
      <c r="B1066" s="1" t="n">
        <v>45117</v>
      </c>
      <c r="C1066" s="1" t="n">
        <v>45840</v>
      </c>
      <c r="D1066" t="inlineStr">
        <is>
          <t>JÄMTLANDS LÄN</t>
        </is>
      </c>
      <c r="E1066" t="inlineStr">
        <is>
          <t>KROKOM</t>
        </is>
      </c>
      <c r="F1066" t="inlineStr">
        <is>
          <t>Övriga Aktiebolag</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31601-2023</t>
        </is>
      </c>
      <c r="B1067" s="1" t="n">
        <v>45117</v>
      </c>
      <c r="C1067" s="1" t="n">
        <v>45840</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31550-2023</t>
        </is>
      </c>
      <c r="B1068" s="1" t="n">
        <v>45117</v>
      </c>
      <c r="C1068" s="1" t="n">
        <v>45840</v>
      </c>
      <c r="D1068" t="inlineStr">
        <is>
          <t>JÄMTLANDS LÄN</t>
        </is>
      </c>
      <c r="E1068" t="inlineStr">
        <is>
          <t>KROKOM</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31927-2023</t>
        </is>
      </c>
      <c r="B1069" s="1" t="n">
        <v>45119</v>
      </c>
      <c r="C1069" s="1" t="n">
        <v>45840</v>
      </c>
      <c r="D1069" t="inlineStr">
        <is>
          <t>JÄMTLANDS LÄN</t>
        </is>
      </c>
      <c r="E1069" t="inlineStr">
        <is>
          <t>KROKOM</t>
        </is>
      </c>
      <c r="G1069" t="n">
        <v>56.6</v>
      </c>
      <c r="H1069" t="n">
        <v>0</v>
      </c>
      <c r="I1069" t="n">
        <v>0</v>
      </c>
      <c r="J1069" t="n">
        <v>0</v>
      </c>
      <c r="K1069" t="n">
        <v>0</v>
      </c>
      <c r="L1069" t="n">
        <v>0</v>
      </c>
      <c r="M1069" t="n">
        <v>0</v>
      </c>
      <c r="N1069" t="n">
        <v>0</v>
      </c>
      <c r="O1069" t="n">
        <v>0</v>
      </c>
      <c r="P1069" t="n">
        <v>0</v>
      </c>
      <c r="Q1069" t="n">
        <v>0</v>
      </c>
      <c r="R1069" s="2" t="inlineStr"/>
    </row>
    <row r="1070" ht="15" customHeight="1">
      <c r="A1070" t="inlineStr">
        <is>
          <t>A 31877-2023</t>
        </is>
      </c>
      <c r="B1070" s="1" t="n">
        <v>45118</v>
      </c>
      <c r="C1070" s="1" t="n">
        <v>45840</v>
      </c>
      <c r="D1070" t="inlineStr">
        <is>
          <t>JÄMTLANDS LÄN</t>
        </is>
      </c>
      <c r="E1070" t="inlineStr">
        <is>
          <t>KROKOM</t>
        </is>
      </c>
      <c r="F1070" t="inlineStr">
        <is>
          <t>Övriga Aktiebolag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32019-2023</t>
        </is>
      </c>
      <c r="B1071" s="1" t="n">
        <v>45119</v>
      </c>
      <c r="C1071" s="1" t="n">
        <v>45840</v>
      </c>
      <c r="D1071" t="inlineStr">
        <is>
          <t>JÄMTLANDS LÄN</t>
        </is>
      </c>
      <c r="E1071" t="inlineStr">
        <is>
          <t>KROKOM</t>
        </is>
      </c>
      <c r="F1071" t="inlineStr">
        <is>
          <t>Övriga Aktiebolag</t>
        </is>
      </c>
      <c r="G1071" t="n">
        <v>37.5</v>
      </c>
      <c r="H1071" t="n">
        <v>0</v>
      </c>
      <c r="I1071" t="n">
        <v>0</v>
      </c>
      <c r="J1071" t="n">
        <v>0</v>
      </c>
      <c r="K1071" t="n">
        <v>0</v>
      </c>
      <c r="L1071" t="n">
        <v>0</v>
      </c>
      <c r="M1071" t="n">
        <v>0</v>
      </c>
      <c r="N1071" t="n">
        <v>0</v>
      </c>
      <c r="O1071" t="n">
        <v>0</v>
      </c>
      <c r="P1071" t="n">
        <v>0</v>
      </c>
      <c r="Q1071" t="n">
        <v>0</v>
      </c>
      <c r="R1071" s="2" t="inlineStr"/>
    </row>
    <row r="1072" ht="15" customHeight="1">
      <c r="A1072" t="inlineStr">
        <is>
          <t>A 32090-2023</t>
        </is>
      </c>
      <c r="B1072" s="1" t="n">
        <v>45119</v>
      </c>
      <c r="C1072" s="1" t="n">
        <v>45840</v>
      </c>
      <c r="D1072" t="inlineStr">
        <is>
          <t>JÄMTLANDS LÄN</t>
        </is>
      </c>
      <c r="E1072" t="inlineStr">
        <is>
          <t>KROKOM</t>
        </is>
      </c>
      <c r="F1072" t="inlineStr">
        <is>
          <t>Övriga Aktiebolag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33653-2023</t>
        </is>
      </c>
      <c r="B1073" s="1" t="n">
        <v>45119</v>
      </c>
      <c r="C1073" s="1" t="n">
        <v>45840</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32676-2023</t>
        </is>
      </c>
      <c r="B1074" s="1" t="n">
        <v>45121</v>
      </c>
      <c r="C1074" s="1" t="n">
        <v>45840</v>
      </c>
      <c r="D1074" t="inlineStr">
        <is>
          <t>JÄMTLANDS LÄN</t>
        </is>
      </c>
      <c r="E1074" t="inlineStr">
        <is>
          <t>KROKOM</t>
        </is>
      </c>
      <c r="F1074" t="inlineStr">
        <is>
          <t>Övriga Aktiebolag</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32765-2023</t>
        </is>
      </c>
      <c r="B1075" s="1" t="n">
        <v>45123</v>
      </c>
      <c r="C1075" s="1" t="n">
        <v>45840</v>
      </c>
      <c r="D1075" t="inlineStr">
        <is>
          <t>JÄMTLANDS LÄN</t>
        </is>
      </c>
      <c r="E1075" t="inlineStr">
        <is>
          <t>KROKOM</t>
        </is>
      </c>
      <c r="F1075" t="inlineStr">
        <is>
          <t>Övriga Aktiebolag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34070-2023</t>
        </is>
      </c>
      <c r="B1076" s="1" t="n">
        <v>45125</v>
      </c>
      <c r="C1076" s="1" t="n">
        <v>45840</v>
      </c>
      <c r="D1076" t="inlineStr">
        <is>
          <t>JÄMTLANDS LÄN</t>
        </is>
      </c>
      <c r="E1076" t="inlineStr">
        <is>
          <t>KROKOM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34502-2023</t>
        </is>
      </c>
      <c r="B1077" s="1" t="n">
        <v>45133</v>
      </c>
      <c r="C1077" s="1" t="n">
        <v>45840</v>
      </c>
      <c r="D1077" t="inlineStr">
        <is>
          <t>JÄMTLANDS LÄN</t>
        </is>
      </c>
      <c r="E1077" t="inlineStr">
        <is>
          <t>KROKOM</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34155-2023</t>
        </is>
      </c>
      <c r="B1078" s="1" t="n">
        <v>45137</v>
      </c>
      <c r="C1078" s="1" t="n">
        <v>45840</v>
      </c>
      <c r="D1078" t="inlineStr">
        <is>
          <t>JÄMTLANDS LÄN</t>
        </is>
      </c>
      <c r="E1078" t="inlineStr">
        <is>
          <t>KROKOM</t>
        </is>
      </c>
      <c r="F1078" t="inlineStr">
        <is>
          <t>Övriga Aktiebolag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34720-2023</t>
        </is>
      </c>
      <c r="B1079" s="1" t="n">
        <v>45139</v>
      </c>
      <c r="C1079" s="1" t="n">
        <v>45840</v>
      </c>
      <c r="D1079" t="inlineStr">
        <is>
          <t>JÄMTLANDS LÄN</t>
        </is>
      </c>
      <c r="E1079" t="inlineStr">
        <is>
          <t>KROKOM</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34801-2023</t>
        </is>
      </c>
      <c r="B1080" s="1" t="n">
        <v>45140</v>
      </c>
      <c r="C1080" s="1" t="n">
        <v>45840</v>
      </c>
      <c r="D1080" t="inlineStr">
        <is>
          <t>JÄMTLANDS LÄN</t>
        </is>
      </c>
      <c r="E1080" t="inlineStr">
        <is>
          <t>KROKOM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34803-2023</t>
        </is>
      </c>
      <c r="B1081" s="1" t="n">
        <v>45140</v>
      </c>
      <c r="C1081" s="1" t="n">
        <v>45840</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35257-2023</t>
        </is>
      </c>
      <c r="B1082" s="1" t="n">
        <v>45146</v>
      </c>
      <c r="C1082" s="1" t="n">
        <v>45840</v>
      </c>
      <c r="D1082" t="inlineStr">
        <is>
          <t>JÄMTLANDS LÄN</t>
        </is>
      </c>
      <c r="E1082" t="inlineStr">
        <is>
          <t>KROKOM</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35281-2023</t>
        </is>
      </c>
      <c r="B1083" s="1" t="n">
        <v>45146</v>
      </c>
      <c r="C1083" s="1" t="n">
        <v>45840</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35282-2023</t>
        </is>
      </c>
      <c r="B1084" s="1" t="n">
        <v>45146</v>
      </c>
      <c r="C1084" s="1" t="n">
        <v>45840</v>
      </c>
      <c r="D1084" t="inlineStr">
        <is>
          <t>JÄMTLANDS LÄN</t>
        </is>
      </c>
      <c r="E1084" t="inlineStr">
        <is>
          <t>KROKOM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35334-2023</t>
        </is>
      </c>
      <c r="B1085" s="1" t="n">
        <v>45146</v>
      </c>
      <c r="C1085" s="1" t="n">
        <v>45840</v>
      </c>
      <c r="D1085" t="inlineStr">
        <is>
          <t>JÄMTLANDS LÄN</t>
        </is>
      </c>
      <c r="E1085" t="inlineStr">
        <is>
          <t>KROKOM</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35350-2023</t>
        </is>
      </c>
      <c r="B1086" s="1" t="n">
        <v>45146</v>
      </c>
      <c r="C1086" s="1" t="n">
        <v>45840</v>
      </c>
      <c r="D1086" t="inlineStr">
        <is>
          <t>JÄMTLANDS LÄN</t>
        </is>
      </c>
      <c r="E1086" t="inlineStr">
        <is>
          <t>KROKOM</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35887-2023</t>
        </is>
      </c>
      <c r="B1087" s="1" t="n">
        <v>45148</v>
      </c>
      <c r="C1087" s="1" t="n">
        <v>45840</v>
      </c>
      <c r="D1087" t="inlineStr">
        <is>
          <t>JÄMTLANDS LÄN</t>
        </is>
      </c>
      <c r="E1087" t="inlineStr">
        <is>
          <t>KROKOM</t>
        </is>
      </c>
      <c r="F1087" t="inlineStr">
        <is>
          <t>Övriga Aktiebolag</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36396-2023</t>
        </is>
      </c>
      <c r="B1088" s="1" t="n">
        <v>45149</v>
      </c>
      <c r="C1088" s="1" t="n">
        <v>45840</v>
      </c>
      <c r="D1088" t="inlineStr">
        <is>
          <t>JÄMTLANDS LÄN</t>
        </is>
      </c>
      <c r="E1088" t="inlineStr">
        <is>
          <t>KROKOM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36439-2023</t>
        </is>
      </c>
      <c r="B1089" s="1" t="n">
        <v>45152</v>
      </c>
      <c r="C1089" s="1" t="n">
        <v>45840</v>
      </c>
      <c r="D1089" t="inlineStr">
        <is>
          <t>JÄMTLANDS LÄN</t>
        </is>
      </c>
      <c r="E1089" t="inlineStr">
        <is>
          <t>KROKOM</t>
        </is>
      </c>
      <c r="F1089" t="inlineStr">
        <is>
          <t>Övriga Aktiebolag</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36424-2023</t>
        </is>
      </c>
      <c r="B1090" s="1" t="n">
        <v>45152</v>
      </c>
      <c r="C1090" s="1" t="n">
        <v>45840</v>
      </c>
      <c r="D1090" t="inlineStr">
        <is>
          <t>JÄMTLANDS LÄN</t>
        </is>
      </c>
      <c r="E1090" t="inlineStr">
        <is>
          <t>KROKOM</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36488-2023</t>
        </is>
      </c>
      <c r="B1091" s="1" t="n">
        <v>45152</v>
      </c>
      <c r="C1091" s="1" t="n">
        <v>45840</v>
      </c>
      <c r="D1091" t="inlineStr">
        <is>
          <t>JÄMTLANDS LÄN</t>
        </is>
      </c>
      <c r="E1091" t="inlineStr">
        <is>
          <t>KROKOM</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36535-2023</t>
        </is>
      </c>
      <c r="B1092" s="1" t="n">
        <v>45152</v>
      </c>
      <c r="C1092" s="1" t="n">
        <v>45840</v>
      </c>
      <c r="D1092" t="inlineStr">
        <is>
          <t>JÄMTLANDS LÄN</t>
        </is>
      </c>
      <c r="E1092" t="inlineStr">
        <is>
          <t>KROKOM</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36990-2023</t>
        </is>
      </c>
      <c r="B1093" s="1" t="n">
        <v>45154</v>
      </c>
      <c r="C1093" s="1" t="n">
        <v>45840</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37019-2023</t>
        </is>
      </c>
      <c r="B1094" s="1" t="n">
        <v>45155</v>
      </c>
      <c r="C1094" s="1" t="n">
        <v>45840</v>
      </c>
      <c r="D1094" t="inlineStr">
        <is>
          <t>JÄMTLANDS LÄN</t>
        </is>
      </c>
      <c r="E1094" t="inlineStr">
        <is>
          <t>KROKOM</t>
        </is>
      </c>
      <c r="F1094" t="inlineStr">
        <is>
          <t>Kyrkan</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37844-2023</t>
        </is>
      </c>
      <c r="B1095" s="1" t="n">
        <v>45158</v>
      </c>
      <c r="C1095" s="1" t="n">
        <v>45840</v>
      </c>
      <c r="D1095" t="inlineStr">
        <is>
          <t>JÄMTLANDS LÄN</t>
        </is>
      </c>
      <c r="E1095" t="inlineStr">
        <is>
          <t>KROKOM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37946-2023</t>
        </is>
      </c>
      <c r="B1096" s="1" t="n">
        <v>45159</v>
      </c>
      <c r="C1096" s="1" t="n">
        <v>45840</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38043-2023</t>
        </is>
      </c>
      <c r="B1097" s="1" t="n">
        <v>45160</v>
      </c>
      <c r="C1097" s="1" t="n">
        <v>45840</v>
      </c>
      <c r="D1097" t="inlineStr">
        <is>
          <t>JÄMTLANDS LÄN</t>
        </is>
      </c>
      <c r="E1097" t="inlineStr">
        <is>
          <t>KROKOM</t>
        </is>
      </c>
      <c r="F1097" t="inlineStr">
        <is>
          <t>Övriga Aktiebolag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38589-2023</t>
        </is>
      </c>
      <c r="B1098" s="1" t="n">
        <v>45162</v>
      </c>
      <c r="C1098" s="1" t="n">
        <v>45840</v>
      </c>
      <c r="D1098" t="inlineStr">
        <is>
          <t>JÄMTLANDS LÄN</t>
        </is>
      </c>
      <c r="E1098" t="inlineStr">
        <is>
          <t>KROKOM</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39063-2023</t>
        </is>
      </c>
      <c r="B1099" s="1" t="n">
        <v>45163</v>
      </c>
      <c r="C1099" s="1" t="n">
        <v>45840</v>
      </c>
      <c r="D1099" t="inlineStr">
        <is>
          <t>JÄMTLANDS LÄN</t>
        </is>
      </c>
      <c r="E1099" t="inlineStr">
        <is>
          <t>KROKOM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39078-2023</t>
        </is>
      </c>
      <c r="B1100" s="1" t="n">
        <v>45164</v>
      </c>
      <c r="C1100" s="1" t="n">
        <v>45840</v>
      </c>
      <c r="D1100" t="inlineStr">
        <is>
          <t>JÄMTLANDS LÄN</t>
        </is>
      </c>
      <c r="E1100" t="inlineStr">
        <is>
          <t>KROKOM</t>
        </is>
      </c>
      <c r="G1100" t="n">
        <v>28.3</v>
      </c>
      <c r="H1100" t="n">
        <v>0</v>
      </c>
      <c r="I1100" t="n">
        <v>0</v>
      </c>
      <c r="J1100" t="n">
        <v>0</v>
      </c>
      <c r="K1100" t="n">
        <v>0</v>
      </c>
      <c r="L1100" t="n">
        <v>0</v>
      </c>
      <c r="M1100" t="n">
        <v>0</v>
      </c>
      <c r="N1100" t="n">
        <v>0</v>
      </c>
      <c r="O1100" t="n">
        <v>0</v>
      </c>
      <c r="P1100" t="n">
        <v>0</v>
      </c>
      <c r="Q1100" t="n">
        <v>0</v>
      </c>
      <c r="R1100" s="2" t="inlineStr"/>
    </row>
    <row r="1101" ht="15" customHeight="1">
      <c r="A1101" t="inlineStr">
        <is>
          <t>A 39127-2023</t>
        </is>
      </c>
      <c r="B1101" s="1" t="n">
        <v>45165</v>
      </c>
      <c r="C1101" s="1" t="n">
        <v>45840</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39126-2023</t>
        </is>
      </c>
      <c r="B1102" s="1" t="n">
        <v>45165</v>
      </c>
      <c r="C1102" s="1" t="n">
        <v>45840</v>
      </c>
      <c r="D1102" t="inlineStr">
        <is>
          <t>JÄMTLANDS LÄN</t>
        </is>
      </c>
      <c r="E1102" t="inlineStr">
        <is>
          <t>KROKOM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39169-2023</t>
        </is>
      </c>
      <c r="B1103" s="1" t="n">
        <v>45166</v>
      </c>
      <c r="C1103" s="1" t="n">
        <v>45840</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39701-2023</t>
        </is>
      </c>
      <c r="B1104" s="1" t="n">
        <v>45166</v>
      </c>
      <c r="C1104" s="1" t="n">
        <v>45840</v>
      </c>
      <c r="D1104" t="inlineStr">
        <is>
          <t>JÄMTLANDS LÄN</t>
        </is>
      </c>
      <c r="E1104" t="inlineStr">
        <is>
          <t>KROKOM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39563-2023</t>
        </is>
      </c>
      <c r="B1105" s="1" t="n">
        <v>45167</v>
      </c>
      <c r="C1105" s="1" t="n">
        <v>45840</v>
      </c>
      <c r="D1105" t="inlineStr">
        <is>
          <t>JÄMTLANDS LÄN</t>
        </is>
      </c>
      <c r="E1105" t="inlineStr">
        <is>
          <t>KROKOM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39683-2023</t>
        </is>
      </c>
      <c r="B1106" s="1" t="n">
        <v>45167</v>
      </c>
      <c r="C1106" s="1" t="n">
        <v>45840</v>
      </c>
      <c r="D1106" t="inlineStr">
        <is>
          <t>JÄMTLANDS LÄN</t>
        </is>
      </c>
      <c r="E1106" t="inlineStr">
        <is>
          <t>KROKOM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39902-2023</t>
        </is>
      </c>
      <c r="B1107" s="1" t="n">
        <v>45168</v>
      </c>
      <c r="C1107" s="1" t="n">
        <v>45840</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45840</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41090-2023</t>
        </is>
      </c>
      <c r="B1109" s="1" t="n">
        <v>45173</v>
      </c>
      <c r="C1109" s="1" t="n">
        <v>45840</v>
      </c>
      <c r="D1109" t="inlineStr">
        <is>
          <t>JÄMTLANDS LÄN</t>
        </is>
      </c>
      <c r="E1109" t="inlineStr">
        <is>
          <t>KROKOM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41142-2023</t>
        </is>
      </c>
      <c r="B1110" s="1" t="n">
        <v>45173</v>
      </c>
      <c r="C1110" s="1" t="n">
        <v>45840</v>
      </c>
      <c r="D1110" t="inlineStr">
        <is>
          <t>JÄMTLANDS LÄN</t>
        </is>
      </c>
      <c r="E1110" t="inlineStr">
        <is>
          <t>KROKOM</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41543-2023</t>
        </is>
      </c>
      <c r="B1111" s="1" t="n">
        <v>45173</v>
      </c>
      <c r="C1111" s="1" t="n">
        <v>45840</v>
      </c>
      <c r="D1111" t="inlineStr">
        <is>
          <t>JÄMTLANDS LÄN</t>
        </is>
      </c>
      <c r="E1111" t="inlineStr">
        <is>
          <t>KROKOM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41553-2023</t>
        </is>
      </c>
      <c r="B1112" s="1" t="n">
        <v>45173</v>
      </c>
      <c r="C1112" s="1" t="n">
        <v>45840</v>
      </c>
      <c r="D1112" t="inlineStr">
        <is>
          <t>JÄMTLANDS LÄN</t>
        </is>
      </c>
      <c r="E1112" t="inlineStr">
        <is>
          <t>KROKOM</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41769-2023</t>
        </is>
      </c>
      <c r="B1113" s="1" t="n">
        <v>45176</v>
      </c>
      <c r="C1113" s="1" t="n">
        <v>45840</v>
      </c>
      <c r="D1113" t="inlineStr">
        <is>
          <t>JÄMTLANDS LÄN</t>
        </is>
      </c>
      <c r="E1113" t="inlineStr">
        <is>
          <t>KROKOM</t>
        </is>
      </c>
      <c r="F1113" t="inlineStr">
        <is>
          <t>Övriga Aktiebolag</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41784-2023</t>
        </is>
      </c>
      <c r="B1114" s="1" t="n">
        <v>45176</v>
      </c>
      <c r="C1114" s="1" t="n">
        <v>45840</v>
      </c>
      <c r="D1114" t="inlineStr">
        <is>
          <t>JÄMTLANDS LÄN</t>
        </is>
      </c>
      <c r="E1114" t="inlineStr">
        <is>
          <t>KROKOM</t>
        </is>
      </c>
      <c r="F1114" t="inlineStr">
        <is>
          <t>Övriga Aktiebolag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42154-2023</t>
        </is>
      </c>
      <c r="B1115" s="1" t="n">
        <v>45177</v>
      </c>
      <c r="C1115" s="1" t="n">
        <v>45840</v>
      </c>
      <c r="D1115" t="inlineStr">
        <is>
          <t>JÄMTLANDS LÄN</t>
        </is>
      </c>
      <c r="E1115" t="inlineStr">
        <is>
          <t>KROKOM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42155-2023</t>
        </is>
      </c>
      <c r="B1116" s="1" t="n">
        <v>45177</v>
      </c>
      <c r="C1116" s="1" t="n">
        <v>45840</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42372-2023</t>
        </is>
      </c>
      <c r="B1117" s="1" t="n">
        <v>45180</v>
      </c>
      <c r="C1117" s="1" t="n">
        <v>45840</v>
      </c>
      <c r="D1117" t="inlineStr">
        <is>
          <t>JÄMTLANDS LÄN</t>
        </is>
      </c>
      <c r="E1117" t="inlineStr">
        <is>
          <t>KROKOM</t>
        </is>
      </c>
      <c r="F1117" t="inlineStr">
        <is>
          <t>Övriga Aktiebolag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42422-2023</t>
        </is>
      </c>
      <c r="B1118" s="1" t="n">
        <v>45180</v>
      </c>
      <c r="C1118" s="1" t="n">
        <v>45840</v>
      </c>
      <c r="D1118" t="inlineStr">
        <is>
          <t>JÄMTLANDS LÄN</t>
        </is>
      </c>
      <c r="E1118" t="inlineStr">
        <is>
          <t>KROKOM</t>
        </is>
      </c>
      <c r="F1118" t="inlineStr">
        <is>
          <t>Övriga Aktiebolag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42369-2023</t>
        </is>
      </c>
      <c r="B1119" s="1" t="n">
        <v>45180</v>
      </c>
      <c r="C1119" s="1" t="n">
        <v>45840</v>
      </c>
      <c r="D1119" t="inlineStr">
        <is>
          <t>JÄMTLANDS LÄN</t>
        </is>
      </c>
      <c r="E1119" t="inlineStr">
        <is>
          <t>KROKOM</t>
        </is>
      </c>
      <c r="F1119" t="inlineStr">
        <is>
          <t>Övriga Aktiebolag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42437-2023</t>
        </is>
      </c>
      <c r="B1120" s="1" t="n">
        <v>45180</v>
      </c>
      <c r="C1120" s="1" t="n">
        <v>45840</v>
      </c>
      <c r="D1120" t="inlineStr">
        <is>
          <t>JÄMTLANDS LÄN</t>
        </is>
      </c>
      <c r="E1120" t="inlineStr">
        <is>
          <t>KROKOM</t>
        </is>
      </c>
      <c r="F1120" t="inlineStr">
        <is>
          <t>Övriga Aktiebolag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42417-2023</t>
        </is>
      </c>
      <c r="B1121" s="1" t="n">
        <v>45180</v>
      </c>
      <c r="C1121" s="1" t="n">
        <v>45840</v>
      </c>
      <c r="D1121" t="inlineStr">
        <is>
          <t>JÄMTLANDS LÄN</t>
        </is>
      </c>
      <c r="E1121" t="inlineStr">
        <is>
          <t>KROKOM</t>
        </is>
      </c>
      <c r="F1121" t="inlineStr">
        <is>
          <t>Övriga Aktiebolag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42439-2023</t>
        </is>
      </c>
      <c r="B1122" s="1" t="n">
        <v>45180</v>
      </c>
      <c r="C1122" s="1" t="n">
        <v>45840</v>
      </c>
      <c r="D1122" t="inlineStr">
        <is>
          <t>JÄMTLANDS LÄN</t>
        </is>
      </c>
      <c r="E1122" t="inlineStr">
        <is>
          <t>KROKOM</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42424-2023</t>
        </is>
      </c>
      <c r="B1123" s="1" t="n">
        <v>45180</v>
      </c>
      <c r="C1123" s="1" t="n">
        <v>45840</v>
      </c>
      <c r="D1123" t="inlineStr">
        <is>
          <t>JÄMTLANDS LÄN</t>
        </is>
      </c>
      <c r="E1123" t="inlineStr">
        <is>
          <t>KROKOM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42828-2023</t>
        </is>
      </c>
      <c r="B1124" s="1" t="n">
        <v>45182</v>
      </c>
      <c r="C1124" s="1" t="n">
        <v>45840</v>
      </c>
      <c r="D1124" t="inlineStr">
        <is>
          <t>JÄMTLANDS LÄN</t>
        </is>
      </c>
      <c r="E1124" t="inlineStr">
        <is>
          <t>KROKOM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42816-2023</t>
        </is>
      </c>
      <c r="B1125" s="1" t="n">
        <v>45182</v>
      </c>
      <c r="C1125" s="1" t="n">
        <v>45840</v>
      </c>
      <c r="D1125" t="inlineStr">
        <is>
          <t>JÄMTLANDS LÄN</t>
        </is>
      </c>
      <c r="E1125" t="inlineStr">
        <is>
          <t>KROKOM</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42825-2023</t>
        </is>
      </c>
      <c r="B1126" s="1" t="n">
        <v>45182</v>
      </c>
      <c r="C1126" s="1" t="n">
        <v>45840</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44751-2023</t>
        </is>
      </c>
      <c r="B1127" s="1" t="n">
        <v>45184</v>
      </c>
      <c r="C1127" s="1" t="n">
        <v>45840</v>
      </c>
      <c r="D1127" t="inlineStr">
        <is>
          <t>JÄMTLANDS LÄN</t>
        </is>
      </c>
      <c r="E1127" t="inlineStr">
        <is>
          <t>KROKOM</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44594-2023</t>
        </is>
      </c>
      <c r="B1128" s="1" t="n">
        <v>45189</v>
      </c>
      <c r="C1128" s="1" t="n">
        <v>45840</v>
      </c>
      <c r="D1128" t="inlineStr">
        <is>
          <t>JÄMTLANDS LÄN</t>
        </is>
      </c>
      <c r="E1128" t="inlineStr">
        <is>
          <t>KROKOM</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44453-2023</t>
        </is>
      </c>
      <c r="B1129" s="1" t="n">
        <v>45189</v>
      </c>
      <c r="C1129" s="1" t="n">
        <v>45840</v>
      </c>
      <c r="D1129" t="inlineStr">
        <is>
          <t>JÄMTLANDS LÄN</t>
        </is>
      </c>
      <c r="E1129" t="inlineStr">
        <is>
          <t>KROKOM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46061-2023</t>
        </is>
      </c>
      <c r="B1130" s="1" t="n">
        <v>45190</v>
      </c>
      <c r="C1130" s="1" t="n">
        <v>45840</v>
      </c>
      <c r="D1130" t="inlineStr">
        <is>
          <t>JÄMTLANDS LÄN</t>
        </is>
      </c>
      <c r="E1130" t="inlineStr">
        <is>
          <t>KROKOM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46046-2023</t>
        </is>
      </c>
      <c r="B1131" s="1" t="n">
        <v>45190</v>
      </c>
      <c r="C1131" s="1" t="n">
        <v>45840</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45455-2023</t>
        </is>
      </c>
      <c r="B1132" s="1" t="n">
        <v>45194</v>
      </c>
      <c r="C1132" s="1" t="n">
        <v>45840</v>
      </c>
      <c r="D1132" t="inlineStr">
        <is>
          <t>JÄMTLANDS LÄN</t>
        </is>
      </c>
      <c r="E1132" t="inlineStr">
        <is>
          <t>KROKOM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45494-2023</t>
        </is>
      </c>
      <c r="B1133" s="1" t="n">
        <v>45194</v>
      </c>
      <c r="C1133" s="1" t="n">
        <v>45840</v>
      </c>
      <c r="D1133" t="inlineStr">
        <is>
          <t>JÄMTLANDS LÄN</t>
        </is>
      </c>
      <c r="E1133" t="inlineStr">
        <is>
          <t>KROKOM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46676-2023</t>
        </is>
      </c>
      <c r="B1134" s="1" t="n">
        <v>45194</v>
      </c>
      <c r="C1134" s="1" t="n">
        <v>45840</v>
      </c>
      <c r="D1134" t="inlineStr">
        <is>
          <t>JÄMTLANDS LÄN</t>
        </is>
      </c>
      <c r="E1134" t="inlineStr">
        <is>
          <t>KROKOM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45786-2023</t>
        </is>
      </c>
      <c r="B1135" s="1" t="n">
        <v>45195</v>
      </c>
      <c r="C1135" s="1" t="n">
        <v>45840</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45822-2023</t>
        </is>
      </c>
      <c r="B1136" s="1" t="n">
        <v>45195</v>
      </c>
      <c r="C1136" s="1" t="n">
        <v>45840</v>
      </c>
      <c r="D1136" t="inlineStr">
        <is>
          <t>JÄMTLANDS LÄN</t>
        </is>
      </c>
      <c r="E1136" t="inlineStr">
        <is>
          <t>KROKOM</t>
        </is>
      </c>
      <c r="F1136" t="inlineStr">
        <is>
          <t>Övriga Aktiebolag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45827-2023</t>
        </is>
      </c>
      <c r="B1137" s="1" t="n">
        <v>45195</v>
      </c>
      <c r="C1137" s="1" t="n">
        <v>45840</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46592-2023</t>
        </is>
      </c>
      <c r="B1138" s="1" t="n">
        <v>45198</v>
      </c>
      <c r="C1138" s="1" t="n">
        <v>45840</v>
      </c>
      <c r="D1138" t="inlineStr">
        <is>
          <t>JÄMTLANDS LÄN</t>
        </is>
      </c>
      <c r="E1138" t="inlineStr">
        <is>
          <t>KROKOM</t>
        </is>
      </c>
      <c r="F1138" t="inlineStr">
        <is>
          <t>Övriga Aktiebolag</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46626-2023</t>
        </is>
      </c>
      <c r="B1139" s="1" t="n">
        <v>45198</v>
      </c>
      <c r="C1139" s="1" t="n">
        <v>45840</v>
      </c>
      <c r="D1139" t="inlineStr">
        <is>
          <t>JÄMTLANDS LÄN</t>
        </is>
      </c>
      <c r="E1139" t="inlineStr">
        <is>
          <t>KROKOM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46636-2023</t>
        </is>
      </c>
      <c r="B1140" s="1" t="n">
        <v>45198</v>
      </c>
      <c r="C1140" s="1" t="n">
        <v>45840</v>
      </c>
      <c r="D1140" t="inlineStr">
        <is>
          <t>JÄMTLANDS LÄN</t>
        </is>
      </c>
      <c r="E1140" t="inlineStr">
        <is>
          <t>KROKOM</t>
        </is>
      </c>
      <c r="F1140" t="inlineStr">
        <is>
          <t>Övriga Aktiebolag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46632-2023</t>
        </is>
      </c>
      <c r="B1141" s="1" t="n">
        <v>45198</v>
      </c>
      <c r="C1141" s="1" t="n">
        <v>45840</v>
      </c>
      <c r="D1141" t="inlineStr">
        <is>
          <t>JÄMTLANDS LÄN</t>
        </is>
      </c>
      <c r="E1141" t="inlineStr">
        <is>
          <t>KROKOM</t>
        </is>
      </c>
      <c r="F1141" t="inlineStr">
        <is>
          <t>Övriga Aktiebolag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46820-2023</t>
        </is>
      </c>
      <c r="B1142" s="1" t="n">
        <v>45199</v>
      </c>
      <c r="C1142" s="1" t="n">
        <v>45840</v>
      </c>
      <c r="D1142" t="inlineStr">
        <is>
          <t>JÄMTLANDS LÄN</t>
        </is>
      </c>
      <c r="E1142" t="inlineStr">
        <is>
          <t>KROKOM</t>
        </is>
      </c>
      <c r="F1142" t="inlineStr">
        <is>
          <t>SCA</t>
        </is>
      </c>
      <c r="G1142" t="n">
        <v>60.6</v>
      </c>
      <c r="H1142" t="n">
        <v>0</v>
      </c>
      <c r="I1142" t="n">
        <v>0</v>
      </c>
      <c r="J1142" t="n">
        <v>0</v>
      </c>
      <c r="K1142" t="n">
        <v>0</v>
      </c>
      <c r="L1142" t="n">
        <v>0</v>
      </c>
      <c r="M1142" t="n">
        <v>0</v>
      </c>
      <c r="N1142" t="n">
        <v>0</v>
      </c>
      <c r="O1142" t="n">
        <v>0</v>
      </c>
      <c r="P1142" t="n">
        <v>0</v>
      </c>
      <c r="Q1142" t="n">
        <v>0</v>
      </c>
      <c r="R1142" s="2" t="inlineStr"/>
    </row>
    <row r="1143" ht="15" customHeight="1">
      <c r="A1143" t="inlineStr">
        <is>
          <t>A 46832-2023</t>
        </is>
      </c>
      <c r="B1143" s="1" t="n">
        <v>45199</v>
      </c>
      <c r="C1143" s="1" t="n">
        <v>45840</v>
      </c>
      <c r="D1143" t="inlineStr">
        <is>
          <t>JÄMTLANDS LÄN</t>
        </is>
      </c>
      <c r="E1143" t="inlineStr">
        <is>
          <t>KROKOM</t>
        </is>
      </c>
      <c r="F1143" t="inlineStr">
        <is>
          <t>Övriga Aktiebolag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46841-2023</t>
        </is>
      </c>
      <c r="B1144" s="1" t="n">
        <v>45199</v>
      </c>
      <c r="C1144" s="1" t="n">
        <v>45840</v>
      </c>
      <c r="D1144" t="inlineStr">
        <is>
          <t>JÄMTLANDS LÄN</t>
        </is>
      </c>
      <c r="E1144" t="inlineStr">
        <is>
          <t>KROKOM</t>
        </is>
      </c>
      <c r="F1144" t="inlineStr">
        <is>
          <t>Övriga Aktiebolag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47073-2023</t>
        </is>
      </c>
      <c r="B1145" s="1" t="n">
        <v>45201</v>
      </c>
      <c r="C1145" s="1" t="n">
        <v>45840</v>
      </c>
      <c r="D1145" t="inlineStr">
        <is>
          <t>JÄMTLANDS LÄN</t>
        </is>
      </c>
      <c r="E1145" t="inlineStr">
        <is>
          <t>KROKOM</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48161-2023</t>
        </is>
      </c>
      <c r="B1146" s="1" t="n">
        <v>45201</v>
      </c>
      <c r="C1146" s="1" t="n">
        <v>45840</v>
      </c>
      <c r="D1146" t="inlineStr">
        <is>
          <t>JÄMTLANDS LÄN</t>
        </is>
      </c>
      <c r="E1146" t="inlineStr">
        <is>
          <t>KROKOM</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47726-2023</t>
        </is>
      </c>
      <c r="B1147" s="1" t="n">
        <v>45203</v>
      </c>
      <c r="C1147" s="1" t="n">
        <v>45840</v>
      </c>
      <c r="D1147" t="inlineStr">
        <is>
          <t>JÄMTLANDS LÄN</t>
        </is>
      </c>
      <c r="E1147" t="inlineStr">
        <is>
          <t>KROKOM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47625-2023</t>
        </is>
      </c>
      <c r="B1148" s="1" t="n">
        <v>45203</v>
      </c>
      <c r="C1148" s="1" t="n">
        <v>45840</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47587-2023</t>
        </is>
      </c>
      <c r="B1149" s="1" t="n">
        <v>45203</v>
      </c>
      <c r="C1149" s="1" t="n">
        <v>45840</v>
      </c>
      <c r="D1149" t="inlineStr">
        <is>
          <t>JÄMTLANDS LÄN</t>
        </is>
      </c>
      <c r="E1149" t="inlineStr">
        <is>
          <t>KROKOM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47606-2023</t>
        </is>
      </c>
      <c r="B1150" s="1" t="n">
        <v>45203</v>
      </c>
      <c r="C1150" s="1" t="n">
        <v>45840</v>
      </c>
      <c r="D1150" t="inlineStr">
        <is>
          <t>JÄMTLANDS LÄN</t>
        </is>
      </c>
      <c r="E1150" t="inlineStr">
        <is>
          <t>KROKOM</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47623-2023</t>
        </is>
      </c>
      <c r="B1151" s="1" t="n">
        <v>45203</v>
      </c>
      <c r="C1151" s="1" t="n">
        <v>45840</v>
      </c>
      <c r="D1151" t="inlineStr">
        <is>
          <t>JÄMTLANDS LÄN</t>
        </is>
      </c>
      <c r="E1151" t="inlineStr">
        <is>
          <t>KROKOM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47596-2023</t>
        </is>
      </c>
      <c r="B1152" s="1" t="n">
        <v>45203</v>
      </c>
      <c r="C1152" s="1" t="n">
        <v>45840</v>
      </c>
      <c r="D1152" t="inlineStr">
        <is>
          <t>JÄMTLANDS LÄN</t>
        </is>
      </c>
      <c r="E1152" t="inlineStr">
        <is>
          <t>KROKOM</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47635-2023</t>
        </is>
      </c>
      <c r="B1153" s="1" t="n">
        <v>45203</v>
      </c>
      <c r="C1153" s="1" t="n">
        <v>45840</v>
      </c>
      <c r="D1153" t="inlineStr">
        <is>
          <t>JÄMTLANDS LÄN</t>
        </is>
      </c>
      <c r="E1153" t="inlineStr">
        <is>
          <t>KROKOM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47838-2023</t>
        </is>
      </c>
      <c r="B1154" s="1" t="n">
        <v>45204</v>
      </c>
      <c r="C1154" s="1" t="n">
        <v>45840</v>
      </c>
      <c r="D1154" t="inlineStr">
        <is>
          <t>JÄMTLANDS LÄN</t>
        </is>
      </c>
      <c r="E1154" t="inlineStr">
        <is>
          <t>KROKOM</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47850-2023</t>
        </is>
      </c>
      <c r="B1155" s="1" t="n">
        <v>45204</v>
      </c>
      <c r="C1155" s="1" t="n">
        <v>45840</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49380-2023</t>
        </is>
      </c>
      <c r="B1156" s="1" t="n">
        <v>45205</v>
      </c>
      <c r="C1156" s="1" t="n">
        <v>45840</v>
      </c>
      <c r="D1156" t="inlineStr">
        <is>
          <t>JÄMTLANDS LÄN</t>
        </is>
      </c>
      <c r="E1156" t="inlineStr">
        <is>
          <t>KROKOM</t>
        </is>
      </c>
      <c r="G1156" t="n">
        <v>14.1</v>
      </c>
      <c r="H1156" t="n">
        <v>0</v>
      </c>
      <c r="I1156" t="n">
        <v>0</v>
      </c>
      <c r="J1156" t="n">
        <v>0</v>
      </c>
      <c r="K1156" t="n">
        <v>0</v>
      </c>
      <c r="L1156" t="n">
        <v>0</v>
      </c>
      <c r="M1156" t="n">
        <v>0</v>
      </c>
      <c r="N1156" t="n">
        <v>0</v>
      </c>
      <c r="O1156" t="n">
        <v>0</v>
      </c>
      <c r="P1156" t="n">
        <v>0</v>
      </c>
      <c r="Q1156" t="n">
        <v>0</v>
      </c>
      <c r="R1156" s="2" t="inlineStr"/>
    </row>
    <row r="1157" ht="15" customHeight="1">
      <c r="A1157" t="inlineStr">
        <is>
          <t>A 49438-2023</t>
        </is>
      </c>
      <c r="B1157" s="1" t="n">
        <v>45205</v>
      </c>
      <c r="C1157" s="1" t="n">
        <v>45840</v>
      </c>
      <c r="D1157" t="inlineStr">
        <is>
          <t>JÄMTLANDS LÄN</t>
        </is>
      </c>
      <c r="E1157" t="inlineStr">
        <is>
          <t>KROKOM</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49536-2023</t>
        </is>
      </c>
      <c r="B1158" s="1" t="n">
        <v>45205</v>
      </c>
      <c r="C1158" s="1" t="n">
        <v>45840</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49046-2023</t>
        </is>
      </c>
      <c r="B1159" s="1" t="n">
        <v>45209</v>
      </c>
      <c r="C1159" s="1" t="n">
        <v>45840</v>
      </c>
      <c r="D1159" t="inlineStr">
        <is>
          <t>JÄMTLANDS LÄN</t>
        </is>
      </c>
      <c r="E1159" t="inlineStr">
        <is>
          <t>KROKOM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51050-2023</t>
        </is>
      </c>
      <c r="B1160" s="1" t="n">
        <v>45211</v>
      </c>
      <c r="C1160" s="1" t="n">
        <v>45840</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50227-2023</t>
        </is>
      </c>
      <c r="B1161" s="1" t="n">
        <v>45216</v>
      </c>
      <c r="C1161" s="1" t="n">
        <v>45840</v>
      </c>
      <c r="D1161" t="inlineStr">
        <is>
          <t>JÄMTLANDS LÄN</t>
        </is>
      </c>
      <c r="E1161" t="inlineStr">
        <is>
          <t>KROKOM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50216-2023</t>
        </is>
      </c>
      <c r="B1162" s="1" t="n">
        <v>45215</v>
      </c>
      <c r="C1162" s="1" t="n">
        <v>45840</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50228-2023</t>
        </is>
      </c>
      <c r="B1163" s="1" t="n">
        <v>45216</v>
      </c>
      <c r="C1163" s="1" t="n">
        <v>45840</v>
      </c>
      <c r="D1163" t="inlineStr">
        <is>
          <t>JÄMTLANDS LÄN</t>
        </is>
      </c>
      <c r="E1163" t="inlineStr">
        <is>
          <t>KROKOM</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50270-2023</t>
        </is>
      </c>
      <c r="B1164" s="1" t="n">
        <v>45216</v>
      </c>
      <c r="C1164" s="1" t="n">
        <v>45840</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50493-2023</t>
        </is>
      </c>
      <c r="B1165" s="1" t="n">
        <v>45217</v>
      </c>
      <c r="C1165" s="1" t="n">
        <v>45840</v>
      </c>
      <c r="D1165" t="inlineStr">
        <is>
          <t>JÄMTLANDS LÄN</t>
        </is>
      </c>
      <c r="E1165" t="inlineStr">
        <is>
          <t>KROKOM</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50246-2023</t>
        </is>
      </c>
      <c r="B1166" s="1" t="n">
        <v>45216</v>
      </c>
      <c r="C1166" s="1" t="n">
        <v>45840</v>
      </c>
      <c r="D1166" t="inlineStr">
        <is>
          <t>JÄMTLANDS LÄN</t>
        </is>
      </c>
      <c r="E1166" t="inlineStr">
        <is>
          <t>KROKOM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50363-2023</t>
        </is>
      </c>
      <c r="B1167" s="1" t="n">
        <v>45216</v>
      </c>
      <c r="C1167" s="1" t="n">
        <v>45840</v>
      </c>
      <c r="D1167" t="inlineStr">
        <is>
          <t>JÄMTLANDS LÄN</t>
        </is>
      </c>
      <c r="E1167" t="inlineStr">
        <is>
          <t>KROKOM</t>
        </is>
      </c>
      <c r="F1167" t="inlineStr">
        <is>
          <t>Övriga Aktiebolag</t>
        </is>
      </c>
      <c r="G1167" t="n">
        <v>12.2</v>
      </c>
      <c r="H1167" t="n">
        <v>0</v>
      </c>
      <c r="I1167" t="n">
        <v>0</v>
      </c>
      <c r="J1167" t="n">
        <v>0</v>
      </c>
      <c r="K1167" t="n">
        <v>0</v>
      </c>
      <c r="L1167" t="n">
        <v>0</v>
      </c>
      <c r="M1167" t="n">
        <v>0</v>
      </c>
      <c r="N1167" t="n">
        <v>0</v>
      </c>
      <c r="O1167" t="n">
        <v>0</v>
      </c>
      <c r="P1167" t="n">
        <v>0</v>
      </c>
      <c r="Q1167" t="n">
        <v>0</v>
      </c>
      <c r="R1167" s="2" t="inlineStr"/>
    </row>
    <row r="1168" ht="15" customHeight="1">
      <c r="A1168" t="inlineStr">
        <is>
          <t>A 51929-2023</t>
        </is>
      </c>
      <c r="B1168" s="1" t="n">
        <v>45216</v>
      </c>
      <c r="C1168" s="1" t="n">
        <v>45840</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51910-2023</t>
        </is>
      </c>
      <c r="B1169" s="1" t="n">
        <v>45216</v>
      </c>
      <c r="C1169" s="1" t="n">
        <v>45840</v>
      </c>
      <c r="D1169" t="inlineStr">
        <is>
          <t>JÄMTLANDS LÄN</t>
        </is>
      </c>
      <c r="E1169" t="inlineStr">
        <is>
          <t>KROKOM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50606-2023</t>
        </is>
      </c>
      <c r="B1170" s="1" t="n">
        <v>45217</v>
      </c>
      <c r="C1170" s="1" t="n">
        <v>45840</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50782-2023</t>
        </is>
      </c>
      <c r="B1171" s="1" t="n">
        <v>45217</v>
      </c>
      <c r="C1171" s="1" t="n">
        <v>45840</v>
      </c>
      <c r="D1171" t="inlineStr">
        <is>
          <t>JÄMTLANDS LÄN</t>
        </is>
      </c>
      <c r="E1171" t="inlineStr">
        <is>
          <t>KROKOM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50787-2023</t>
        </is>
      </c>
      <c r="B1172" s="1" t="n">
        <v>45217</v>
      </c>
      <c r="C1172" s="1" t="n">
        <v>45840</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51816-2023</t>
        </is>
      </c>
      <c r="B1173" s="1" t="n">
        <v>45222</v>
      </c>
      <c r="C1173" s="1" t="n">
        <v>45840</v>
      </c>
      <c r="D1173" t="inlineStr">
        <is>
          <t>JÄMTLANDS LÄN</t>
        </is>
      </c>
      <c r="E1173" t="inlineStr">
        <is>
          <t>KROKOM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51817-2023</t>
        </is>
      </c>
      <c r="B1174" s="1" t="n">
        <v>45223</v>
      </c>
      <c r="C1174" s="1" t="n">
        <v>45840</v>
      </c>
      <c r="D1174" t="inlineStr">
        <is>
          <t>JÄMTLANDS LÄN</t>
        </is>
      </c>
      <c r="E1174" t="inlineStr">
        <is>
          <t>KROKOM</t>
        </is>
      </c>
      <c r="G1174" t="n">
        <v>14.6</v>
      </c>
      <c r="H1174" t="n">
        <v>0</v>
      </c>
      <c r="I1174" t="n">
        <v>0</v>
      </c>
      <c r="J1174" t="n">
        <v>0</v>
      </c>
      <c r="K1174" t="n">
        <v>0</v>
      </c>
      <c r="L1174" t="n">
        <v>0</v>
      </c>
      <c r="M1174" t="n">
        <v>0</v>
      </c>
      <c r="N1174" t="n">
        <v>0</v>
      </c>
      <c r="O1174" t="n">
        <v>0</v>
      </c>
      <c r="P1174" t="n">
        <v>0</v>
      </c>
      <c r="Q1174" t="n">
        <v>0</v>
      </c>
      <c r="R1174" s="2" t="inlineStr"/>
    </row>
    <row r="1175" ht="15" customHeight="1">
      <c r="A1175" t="inlineStr">
        <is>
          <t>A 51882-2023</t>
        </is>
      </c>
      <c r="B1175" s="1" t="n">
        <v>45223</v>
      </c>
      <c r="C1175" s="1" t="n">
        <v>45840</v>
      </c>
      <c r="D1175" t="inlineStr">
        <is>
          <t>JÄMTLANDS LÄN</t>
        </is>
      </c>
      <c r="E1175" t="inlineStr">
        <is>
          <t>KROKOM</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51916-2023</t>
        </is>
      </c>
      <c r="B1176" s="1" t="n">
        <v>45223</v>
      </c>
      <c r="C1176" s="1" t="n">
        <v>45840</v>
      </c>
      <c r="D1176" t="inlineStr">
        <is>
          <t>JÄMTLANDS LÄN</t>
        </is>
      </c>
      <c r="E1176" t="inlineStr">
        <is>
          <t>KROKOM</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53429-2023</t>
        </is>
      </c>
      <c r="B1177" s="1" t="n">
        <v>45223</v>
      </c>
      <c r="C1177" s="1" t="n">
        <v>45840</v>
      </c>
      <c r="D1177" t="inlineStr">
        <is>
          <t>JÄMTLANDS LÄN</t>
        </is>
      </c>
      <c r="E1177" t="inlineStr">
        <is>
          <t>KROKOM</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52295-2023</t>
        </is>
      </c>
      <c r="B1178" s="1" t="n">
        <v>45224</v>
      </c>
      <c r="C1178" s="1" t="n">
        <v>45840</v>
      </c>
      <c r="D1178" t="inlineStr">
        <is>
          <t>JÄMTLANDS LÄN</t>
        </is>
      </c>
      <c r="E1178" t="inlineStr">
        <is>
          <t>KROKOM</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52590-2023</t>
        </is>
      </c>
      <c r="B1179" s="1" t="n">
        <v>45225</v>
      </c>
      <c r="C1179" s="1" t="n">
        <v>45840</v>
      </c>
      <c r="D1179" t="inlineStr">
        <is>
          <t>JÄMTLANDS LÄN</t>
        </is>
      </c>
      <c r="E1179" t="inlineStr">
        <is>
          <t>KROKOM</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52599-2023</t>
        </is>
      </c>
      <c r="B1180" s="1" t="n">
        <v>45225</v>
      </c>
      <c r="C1180" s="1" t="n">
        <v>45840</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52604-2023</t>
        </is>
      </c>
      <c r="B1181" s="1" t="n">
        <v>45225</v>
      </c>
      <c r="C1181" s="1" t="n">
        <v>45840</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54514-2023</t>
        </is>
      </c>
      <c r="B1182" s="1" t="n">
        <v>45226</v>
      </c>
      <c r="C1182" s="1" t="n">
        <v>45840</v>
      </c>
      <c r="D1182" t="inlineStr">
        <is>
          <t>JÄMTLANDS LÄN</t>
        </is>
      </c>
      <c r="E1182" t="inlineStr">
        <is>
          <t>KROKOM</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52911-2023</t>
        </is>
      </c>
      <c r="B1183" s="1" t="n">
        <v>45226</v>
      </c>
      <c r="C1183" s="1" t="n">
        <v>45840</v>
      </c>
      <c r="D1183" t="inlineStr">
        <is>
          <t>JÄMTLANDS LÄN</t>
        </is>
      </c>
      <c r="E1183" t="inlineStr">
        <is>
          <t>KROKOM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53055-2023</t>
        </is>
      </c>
      <c r="B1184" s="1" t="n">
        <v>45226</v>
      </c>
      <c r="C1184" s="1" t="n">
        <v>45840</v>
      </c>
      <c r="D1184" t="inlineStr">
        <is>
          <t>JÄMTLANDS LÄN</t>
        </is>
      </c>
      <c r="E1184" t="inlineStr">
        <is>
          <t>KROKOM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54503-2023</t>
        </is>
      </c>
      <c r="B1185" s="1" t="n">
        <v>45226</v>
      </c>
      <c r="C1185" s="1" t="n">
        <v>45840</v>
      </c>
      <c r="D1185" t="inlineStr">
        <is>
          <t>JÄMTLANDS LÄN</t>
        </is>
      </c>
      <c r="E1185" t="inlineStr">
        <is>
          <t>KROKOM</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52869-2023</t>
        </is>
      </c>
      <c r="B1186" s="1" t="n">
        <v>45226</v>
      </c>
      <c r="C1186" s="1" t="n">
        <v>45840</v>
      </c>
      <c r="D1186" t="inlineStr">
        <is>
          <t>JÄMTLANDS LÄN</t>
        </is>
      </c>
      <c r="E1186" t="inlineStr">
        <is>
          <t>KROKOM</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53908-2023</t>
        </is>
      </c>
      <c r="B1187" s="1" t="n">
        <v>45231</v>
      </c>
      <c r="C1187" s="1" t="n">
        <v>45840</v>
      </c>
      <c r="D1187" t="inlineStr">
        <is>
          <t>JÄMTLANDS LÄN</t>
        </is>
      </c>
      <c r="E1187" t="inlineStr">
        <is>
          <t>KROKOM</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53916-2023</t>
        </is>
      </c>
      <c r="B1188" s="1" t="n">
        <v>45231</v>
      </c>
      <c r="C1188" s="1" t="n">
        <v>45840</v>
      </c>
      <c r="D1188" t="inlineStr">
        <is>
          <t>JÄMTLANDS LÄN</t>
        </is>
      </c>
      <c r="E1188" t="inlineStr">
        <is>
          <t>KROKOM</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54043-2023</t>
        </is>
      </c>
      <c r="B1189" s="1" t="n">
        <v>45231</v>
      </c>
      <c r="C1189" s="1" t="n">
        <v>45840</v>
      </c>
      <c r="D1189" t="inlineStr">
        <is>
          <t>JÄMTLANDS LÄN</t>
        </is>
      </c>
      <c r="E1189" t="inlineStr">
        <is>
          <t>KROKOM</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54054-2023</t>
        </is>
      </c>
      <c r="B1190" s="1" t="n">
        <v>45232</v>
      </c>
      <c r="C1190" s="1" t="n">
        <v>45840</v>
      </c>
      <c r="D1190" t="inlineStr">
        <is>
          <t>JÄMTLANDS LÄN</t>
        </is>
      </c>
      <c r="E1190" t="inlineStr">
        <is>
          <t>KROKOM</t>
        </is>
      </c>
      <c r="G1190" t="n">
        <v>20.8</v>
      </c>
      <c r="H1190" t="n">
        <v>0</v>
      </c>
      <c r="I1190" t="n">
        <v>0</v>
      </c>
      <c r="J1190" t="n">
        <v>0</v>
      </c>
      <c r="K1190" t="n">
        <v>0</v>
      </c>
      <c r="L1190" t="n">
        <v>0</v>
      </c>
      <c r="M1190" t="n">
        <v>0</v>
      </c>
      <c r="N1190" t="n">
        <v>0</v>
      </c>
      <c r="O1190" t="n">
        <v>0</v>
      </c>
      <c r="P1190" t="n">
        <v>0</v>
      </c>
      <c r="Q1190" t="n">
        <v>0</v>
      </c>
      <c r="R1190" s="2" t="inlineStr"/>
    </row>
    <row r="1191" ht="15" customHeight="1">
      <c r="A1191" t="inlineStr">
        <is>
          <t>A 54058-2023</t>
        </is>
      </c>
      <c r="B1191" s="1" t="n">
        <v>45231</v>
      </c>
      <c r="C1191" s="1" t="n">
        <v>45840</v>
      </c>
      <c r="D1191" t="inlineStr">
        <is>
          <t>JÄMTLANDS LÄN</t>
        </is>
      </c>
      <c r="E1191" t="inlineStr">
        <is>
          <t>KROKOM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54062-2023</t>
        </is>
      </c>
      <c r="B1192" s="1" t="n">
        <v>45232</v>
      </c>
      <c r="C1192" s="1" t="n">
        <v>45840</v>
      </c>
      <c r="D1192" t="inlineStr">
        <is>
          <t>JÄMTLANDS LÄN</t>
        </is>
      </c>
      <c r="E1192" t="inlineStr">
        <is>
          <t>KROKOM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54056-2023</t>
        </is>
      </c>
      <c r="B1193" s="1" t="n">
        <v>45232</v>
      </c>
      <c r="C1193" s="1" t="n">
        <v>45840</v>
      </c>
      <c r="D1193" t="inlineStr">
        <is>
          <t>JÄMTLANDS LÄN</t>
        </is>
      </c>
      <c r="E1193" t="inlineStr">
        <is>
          <t>KROKOM</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53901-2023</t>
        </is>
      </c>
      <c r="B1194" s="1" t="n">
        <v>45231</v>
      </c>
      <c r="C1194" s="1" t="n">
        <v>45840</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54057-2023</t>
        </is>
      </c>
      <c r="B1195" s="1" t="n">
        <v>45232</v>
      </c>
      <c r="C1195" s="1" t="n">
        <v>45840</v>
      </c>
      <c r="D1195" t="inlineStr">
        <is>
          <t>JÄMTLANDS LÄN</t>
        </is>
      </c>
      <c r="E1195" t="inlineStr">
        <is>
          <t>KROKOM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54160-2023</t>
        </is>
      </c>
      <c r="B1196" s="1" t="n">
        <v>45232</v>
      </c>
      <c r="C1196" s="1" t="n">
        <v>45840</v>
      </c>
      <c r="D1196" t="inlineStr">
        <is>
          <t>JÄMTLANDS LÄN</t>
        </is>
      </c>
      <c r="E1196" t="inlineStr">
        <is>
          <t>KROKOM</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56177-2023</t>
        </is>
      </c>
      <c r="B1197" s="1" t="n">
        <v>45236</v>
      </c>
      <c r="C1197" s="1" t="n">
        <v>45840</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56171-2023</t>
        </is>
      </c>
      <c r="B1198" s="1" t="n">
        <v>45236</v>
      </c>
      <c r="C1198" s="1" t="n">
        <v>45840</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55645-2023</t>
        </is>
      </c>
      <c r="B1199" s="1" t="n">
        <v>45239</v>
      </c>
      <c r="C1199" s="1" t="n">
        <v>45840</v>
      </c>
      <c r="D1199" t="inlineStr">
        <is>
          <t>JÄMTLANDS LÄN</t>
        </is>
      </c>
      <c r="E1199" t="inlineStr">
        <is>
          <t>KROKOM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55661-2023</t>
        </is>
      </c>
      <c r="B1200" s="1" t="n">
        <v>45239</v>
      </c>
      <c r="C1200" s="1" t="n">
        <v>45840</v>
      </c>
      <c r="D1200" t="inlineStr">
        <is>
          <t>JÄMTLANDS LÄN</t>
        </is>
      </c>
      <c r="E1200" t="inlineStr">
        <is>
          <t>KROKOM</t>
        </is>
      </c>
      <c r="F1200" t="inlineStr">
        <is>
          <t>Kommuner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55660-2023</t>
        </is>
      </c>
      <c r="B1201" s="1" t="n">
        <v>45238</v>
      </c>
      <c r="C1201" s="1" t="n">
        <v>45840</v>
      </c>
      <c r="D1201" t="inlineStr">
        <is>
          <t>JÄMTLANDS LÄN</t>
        </is>
      </c>
      <c r="E1201" t="inlineStr">
        <is>
          <t>KROKOM</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56538-2023</t>
        </is>
      </c>
      <c r="B1202" s="1" t="n">
        <v>45238</v>
      </c>
      <c r="C1202" s="1" t="n">
        <v>45840</v>
      </c>
      <c r="D1202" t="inlineStr">
        <is>
          <t>JÄMTLANDS LÄN</t>
        </is>
      </c>
      <c r="E1202" t="inlineStr">
        <is>
          <t>KROKOM</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55914-2023</t>
        </is>
      </c>
      <c r="B1203" s="1" t="n">
        <v>45240</v>
      </c>
      <c r="C1203" s="1" t="n">
        <v>45840</v>
      </c>
      <c r="D1203" t="inlineStr">
        <is>
          <t>JÄMTLANDS LÄN</t>
        </is>
      </c>
      <c r="E1203" t="inlineStr">
        <is>
          <t>KROKOM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55693-2023</t>
        </is>
      </c>
      <c r="B1204" s="1" t="n">
        <v>45239</v>
      </c>
      <c r="C1204" s="1" t="n">
        <v>45840</v>
      </c>
      <c r="D1204" t="inlineStr">
        <is>
          <t>JÄMTLANDS LÄN</t>
        </is>
      </c>
      <c r="E1204" t="inlineStr">
        <is>
          <t>KROKOM</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55915-2023</t>
        </is>
      </c>
      <c r="B1205" s="1" t="n">
        <v>45240</v>
      </c>
      <c r="C1205" s="1" t="n">
        <v>45840</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57188-2023</t>
        </is>
      </c>
      <c r="B1206" s="1" t="n">
        <v>45239</v>
      </c>
      <c r="C1206" s="1" t="n">
        <v>45840</v>
      </c>
      <c r="D1206" t="inlineStr">
        <is>
          <t>JÄMTLANDS LÄN</t>
        </is>
      </c>
      <c r="E1206" t="inlineStr">
        <is>
          <t>KROKOM</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57257-2023</t>
        </is>
      </c>
      <c r="B1207" s="1" t="n">
        <v>45239</v>
      </c>
      <c r="C1207" s="1" t="n">
        <v>45840</v>
      </c>
      <c r="D1207" t="inlineStr">
        <is>
          <t>JÄMTLANDS LÄN</t>
        </is>
      </c>
      <c r="E1207" t="inlineStr">
        <is>
          <t>KROKOM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57266-2023</t>
        </is>
      </c>
      <c r="B1208" s="1" t="n">
        <v>45239</v>
      </c>
      <c r="C1208" s="1" t="n">
        <v>45840</v>
      </c>
      <c r="D1208" t="inlineStr">
        <is>
          <t>JÄMTLANDS LÄN</t>
        </is>
      </c>
      <c r="E1208" t="inlineStr">
        <is>
          <t>KROKOM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57360-2023</t>
        </is>
      </c>
      <c r="B1209" s="1" t="n">
        <v>45240</v>
      </c>
      <c r="C1209" s="1" t="n">
        <v>45840</v>
      </c>
      <c r="D1209" t="inlineStr">
        <is>
          <t>JÄMTLANDS LÄN</t>
        </is>
      </c>
      <c r="E1209" t="inlineStr">
        <is>
          <t>KROKOM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56353-2023</t>
        </is>
      </c>
      <c r="B1210" s="1" t="n">
        <v>45243</v>
      </c>
      <c r="C1210" s="1" t="n">
        <v>45840</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56328-2023</t>
        </is>
      </c>
      <c r="B1211" s="1" t="n">
        <v>45243</v>
      </c>
      <c r="C1211" s="1" t="n">
        <v>45840</v>
      </c>
      <c r="D1211" t="inlineStr">
        <is>
          <t>JÄMTLANDS LÄN</t>
        </is>
      </c>
      <c r="E1211" t="inlineStr">
        <is>
          <t>KROKOM</t>
        </is>
      </c>
      <c r="F1211" t="inlineStr">
        <is>
          <t>Övriga Aktiebolag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56694-2023</t>
        </is>
      </c>
      <c r="B1212" s="1" t="n">
        <v>45244</v>
      </c>
      <c r="C1212" s="1" t="n">
        <v>45840</v>
      </c>
      <c r="D1212" t="inlineStr">
        <is>
          <t>JÄMTLANDS LÄN</t>
        </is>
      </c>
      <c r="E1212" t="inlineStr">
        <is>
          <t>KROKOM</t>
        </is>
      </c>
      <c r="G1212" t="n">
        <v>9.4</v>
      </c>
      <c r="H1212" t="n">
        <v>0</v>
      </c>
      <c r="I1212" t="n">
        <v>0</v>
      </c>
      <c r="J1212" t="n">
        <v>0</v>
      </c>
      <c r="K1212" t="n">
        <v>0</v>
      </c>
      <c r="L1212" t="n">
        <v>0</v>
      </c>
      <c r="M1212" t="n">
        <v>0</v>
      </c>
      <c r="N1212" t="n">
        <v>0</v>
      </c>
      <c r="O1212" t="n">
        <v>0</v>
      </c>
      <c r="P1212" t="n">
        <v>0</v>
      </c>
      <c r="Q1212" t="n">
        <v>0</v>
      </c>
      <c r="R1212" s="2" t="inlineStr"/>
    </row>
    <row r="1213" ht="15" customHeight="1">
      <c r="A1213" t="inlineStr">
        <is>
          <t>A 56515-2023</t>
        </is>
      </c>
      <c r="B1213" s="1" t="n">
        <v>45243</v>
      </c>
      <c r="C1213" s="1" t="n">
        <v>45840</v>
      </c>
      <c r="D1213" t="inlineStr">
        <is>
          <t>JÄMTLANDS LÄN</t>
        </is>
      </c>
      <c r="E1213" t="inlineStr">
        <is>
          <t>KROKOM</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56601-2023</t>
        </is>
      </c>
      <c r="B1214" s="1" t="n">
        <v>45243</v>
      </c>
      <c r="C1214" s="1" t="n">
        <v>45840</v>
      </c>
      <c r="D1214" t="inlineStr">
        <is>
          <t>JÄMTLANDS LÄN</t>
        </is>
      </c>
      <c r="E1214" t="inlineStr">
        <is>
          <t>KROKOM</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56346-2023</t>
        </is>
      </c>
      <c r="B1215" s="1" t="n">
        <v>45243</v>
      </c>
      <c r="C1215" s="1" t="n">
        <v>45840</v>
      </c>
      <c r="D1215" t="inlineStr">
        <is>
          <t>JÄMTLANDS LÄN</t>
        </is>
      </c>
      <c r="E1215" t="inlineStr">
        <is>
          <t>KROKOM</t>
        </is>
      </c>
      <c r="G1215" t="n">
        <v>2.8</v>
      </c>
      <c r="H1215" t="n">
        <v>0</v>
      </c>
      <c r="I1215" t="n">
        <v>0</v>
      </c>
      <c r="J1215" t="n">
        <v>0</v>
      </c>
      <c r="K1215" t="n">
        <v>0</v>
      </c>
      <c r="L1215" t="n">
        <v>0</v>
      </c>
      <c r="M1215" t="n">
        <v>0</v>
      </c>
      <c r="N1215" t="n">
        <v>0</v>
      </c>
      <c r="O1215" t="n">
        <v>0</v>
      </c>
      <c r="P1215" t="n">
        <v>0</v>
      </c>
      <c r="Q1215" t="n">
        <v>0</v>
      </c>
      <c r="R1215" s="2" t="inlineStr"/>
      <c r="U1215">
        <f>HYPERLINK("https://klasma.github.io/Logging_2309/knärot/A 56346-2023 karta knärot.png", "A 56346-2023")</f>
        <v/>
      </c>
      <c r="V1215">
        <f>HYPERLINK("https://klasma.github.io/Logging_2309/klagomål/A 56346-2023 FSC-klagomål.docx", "A 56346-2023")</f>
        <v/>
      </c>
      <c r="W1215">
        <f>HYPERLINK("https://klasma.github.io/Logging_2309/klagomålsmail/A 56346-2023 FSC-klagomål mail.docx", "A 56346-2023")</f>
        <v/>
      </c>
      <c r="X1215">
        <f>HYPERLINK("https://klasma.github.io/Logging_2309/tillsyn/A 56346-2023 tillsynsbegäran.docx", "A 56346-2023")</f>
        <v/>
      </c>
      <c r="Y1215">
        <f>HYPERLINK("https://klasma.github.io/Logging_2309/tillsynsmail/A 56346-2023 tillsynsbegäran mail.docx", "A 56346-2023")</f>
        <v/>
      </c>
    </row>
    <row r="1216" ht="15" customHeight="1">
      <c r="A1216" t="inlineStr">
        <is>
          <t>A 56361-2023</t>
        </is>
      </c>
      <c r="B1216" s="1" t="n">
        <v>45243</v>
      </c>
      <c r="C1216" s="1" t="n">
        <v>45840</v>
      </c>
      <c r="D1216" t="inlineStr">
        <is>
          <t>JÄMTLANDS LÄN</t>
        </is>
      </c>
      <c r="E1216" t="inlineStr">
        <is>
          <t>KROKOM</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56546-2023</t>
        </is>
      </c>
      <c r="B1217" s="1" t="n">
        <v>45243</v>
      </c>
      <c r="C1217" s="1" t="n">
        <v>45840</v>
      </c>
      <c r="D1217" t="inlineStr">
        <is>
          <t>JÄMTLANDS LÄN</t>
        </is>
      </c>
      <c r="E1217" t="inlineStr">
        <is>
          <t>KROKOM</t>
        </is>
      </c>
      <c r="G1217" t="n">
        <v>19.9</v>
      </c>
      <c r="H1217" t="n">
        <v>0</v>
      </c>
      <c r="I1217" t="n">
        <v>0</v>
      </c>
      <c r="J1217" t="n">
        <v>0</v>
      </c>
      <c r="K1217" t="n">
        <v>0</v>
      </c>
      <c r="L1217" t="n">
        <v>0</v>
      </c>
      <c r="M1217" t="n">
        <v>0</v>
      </c>
      <c r="N1217" t="n">
        <v>0</v>
      </c>
      <c r="O1217" t="n">
        <v>0</v>
      </c>
      <c r="P1217" t="n">
        <v>0</v>
      </c>
      <c r="Q1217" t="n">
        <v>0</v>
      </c>
      <c r="R1217" s="2" t="inlineStr"/>
    </row>
    <row r="1218" ht="15" customHeight="1">
      <c r="A1218" t="inlineStr">
        <is>
          <t>A 56927-2023</t>
        </is>
      </c>
      <c r="B1218" s="1" t="n">
        <v>45244</v>
      </c>
      <c r="C1218" s="1" t="n">
        <v>45840</v>
      </c>
      <c r="D1218" t="inlineStr">
        <is>
          <t>JÄMTLANDS LÄN</t>
        </is>
      </c>
      <c r="E1218" t="inlineStr">
        <is>
          <t>KROKOM</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56924-2023</t>
        </is>
      </c>
      <c r="B1219" s="1" t="n">
        <v>45244</v>
      </c>
      <c r="C1219" s="1" t="n">
        <v>45840</v>
      </c>
      <c r="D1219" t="inlineStr">
        <is>
          <t>JÄMTLANDS LÄN</t>
        </is>
      </c>
      <c r="E1219" t="inlineStr">
        <is>
          <t>KROKOM</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56932-2023</t>
        </is>
      </c>
      <c r="B1220" s="1" t="n">
        <v>45244</v>
      </c>
      <c r="C1220" s="1" t="n">
        <v>45840</v>
      </c>
      <c r="D1220" t="inlineStr">
        <is>
          <t>JÄMTLANDS LÄN</t>
        </is>
      </c>
      <c r="E1220" t="inlineStr">
        <is>
          <t>KROKOM</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56936-2023</t>
        </is>
      </c>
      <c r="B1221" s="1" t="n">
        <v>45244</v>
      </c>
      <c r="C1221" s="1" t="n">
        <v>45840</v>
      </c>
      <c r="D1221" t="inlineStr">
        <is>
          <t>JÄMTLANDS LÄN</t>
        </is>
      </c>
      <c r="E1221" t="inlineStr">
        <is>
          <t>KROKOM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57239-2023</t>
        </is>
      </c>
      <c r="B1222" s="1" t="n">
        <v>45245</v>
      </c>
      <c r="C1222" s="1" t="n">
        <v>45840</v>
      </c>
      <c r="D1222" t="inlineStr">
        <is>
          <t>JÄMTLANDS LÄN</t>
        </is>
      </c>
      <c r="E1222" t="inlineStr">
        <is>
          <t>KROKOM</t>
        </is>
      </c>
      <c r="F1222" t="inlineStr">
        <is>
          <t>Övriga Aktiebolag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57259-2023</t>
        </is>
      </c>
      <c r="B1223" s="1" t="n">
        <v>45245</v>
      </c>
      <c r="C1223" s="1" t="n">
        <v>45840</v>
      </c>
      <c r="D1223" t="inlineStr">
        <is>
          <t>JÄMTLANDS LÄN</t>
        </is>
      </c>
      <c r="E1223" t="inlineStr">
        <is>
          <t>KROKOM</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57149-2023</t>
        </is>
      </c>
      <c r="B1224" s="1" t="n">
        <v>45245</v>
      </c>
      <c r="C1224" s="1" t="n">
        <v>45840</v>
      </c>
      <c r="D1224" t="inlineStr">
        <is>
          <t>JÄMTLANDS LÄN</t>
        </is>
      </c>
      <c r="E1224" t="inlineStr">
        <is>
          <t>KROKOM</t>
        </is>
      </c>
      <c r="F1224" t="inlineStr">
        <is>
          <t>Övriga Aktiebolag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57402-2023</t>
        </is>
      </c>
      <c r="B1225" s="1" t="n">
        <v>45246</v>
      </c>
      <c r="C1225" s="1" t="n">
        <v>45840</v>
      </c>
      <c r="D1225" t="inlineStr">
        <is>
          <t>JÄMTLANDS LÄN</t>
        </is>
      </c>
      <c r="E1225" t="inlineStr">
        <is>
          <t>KROKOM</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57401-2023</t>
        </is>
      </c>
      <c r="B1226" s="1" t="n">
        <v>45246</v>
      </c>
      <c r="C1226" s="1" t="n">
        <v>45840</v>
      </c>
      <c r="D1226" t="inlineStr">
        <is>
          <t>JÄMTLANDS LÄN</t>
        </is>
      </c>
      <c r="E1226" t="inlineStr">
        <is>
          <t>KROKOM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57514-2023</t>
        </is>
      </c>
      <c r="B1227" s="1" t="n">
        <v>45246</v>
      </c>
      <c r="C1227" s="1" t="n">
        <v>45840</v>
      </c>
      <c r="D1227" t="inlineStr">
        <is>
          <t>JÄMTLANDS LÄN</t>
        </is>
      </c>
      <c r="E1227" t="inlineStr">
        <is>
          <t>KROKOM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57782-2023</t>
        </is>
      </c>
      <c r="B1228" s="1" t="n">
        <v>45246</v>
      </c>
      <c r="C1228" s="1" t="n">
        <v>45840</v>
      </c>
      <c r="D1228" t="inlineStr">
        <is>
          <t>JÄMTLANDS LÄN</t>
        </is>
      </c>
      <c r="E1228" t="inlineStr">
        <is>
          <t>KROKOM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58569-2023</t>
        </is>
      </c>
      <c r="B1229" s="1" t="n">
        <v>45246</v>
      </c>
      <c r="C1229" s="1" t="n">
        <v>45840</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58556-2023</t>
        </is>
      </c>
      <c r="B1230" s="1" t="n">
        <v>45246</v>
      </c>
      <c r="C1230" s="1" t="n">
        <v>45840</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58594-2023</t>
        </is>
      </c>
      <c r="B1231" s="1" t="n">
        <v>45246</v>
      </c>
      <c r="C1231" s="1" t="n">
        <v>45840</v>
      </c>
      <c r="D1231" t="inlineStr">
        <is>
          <t>JÄMTLANDS LÄN</t>
        </is>
      </c>
      <c r="E1231" t="inlineStr">
        <is>
          <t>KROKOM</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58563-2023</t>
        </is>
      </c>
      <c r="B1232" s="1" t="n">
        <v>45246</v>
      </c>
      <c r="C1232" s="1" t="n">
        <v>45840</v>
      </c>
      <c r="D1232" t="inlineStr">
        <is>
          <t>JÄMTLANDS LÄN</t>
        </is>
      </c>
      <c r="E1232" t="inlineStr">
        <is>
          <t>KROKOM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57820-2023</t>
        </is>
      </c>
      <c r="B1233" s="1" t="n">
        <v>45247</v>
      </c>
      <c r="C1233" s="1" t="n">
        <v>45840</v>
      </c>
      <c r="D1233" t="inlineStr">
        <is>
          <t>JÄMTLANDS LÄN</t>
        </is>
      </c>
      <c r="E1233" t="inlineStr">
        <is>
          <t>KROKOM</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57847-2023</t>
        </is>
      </c>
      <c r="B1234" s="1" t="n">
        <v>45247</v>
      </c>
      <c r="C1234" s="1" t="n">
        <v>45840</v>
      </c>
      <c r="D1234" t="inlineStr">
        <is>
          <t>JÄMTLANDS LÄN</t>
        </is>
      </c>
      <c r="E1234" t="inlineStr">
        <is>
          <t>KROKOM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57814-2023</t>
        </is>
      </c>
      <c r="B1235" s="1" t="n">
        <v>45247</v>
      </c>
      <c r="C1235" s="1" t="n">
        <v>45840</v>
      </c>
      <c r="D1235" t="inlineStr">
        <is>
          <t>JÄMTLANDS LÄN</t>
        </is>
      </c>
      <c r="E1235" t="inlineStr">
        <is>
          <t>KROKOM</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57856-2023</t>
        </is>
      </c>
      <c r="B1236" s="1" t="n">
        <v>45247</v>
      </c>
      <c r="C1236" s="1" t="n">
        <v>45840</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57861-2023</t>
        </is>
      </c>
      <c r="B1237" s="1" t="n">
        <v>45247</v>
      </c>
      <c r="C1237" s="1" t="n">
        <v>45840</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57849-2023</t>
        </is>
      </c>
      <c r="B1238" s="1" t="n">
        <v>45247</v>
      </c>
      <c r="C1238" s="1" t="n">
        <v>45840</v>
      </c>
      <c r="D1238" t="inlineStr">
        <is>
          <t>JÄMTLANDS LÄN</t>
        </is>
      </c>
      <c r="E1238" t="inlineStr">
        <is>
          <t>KROKOM</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58355-2023</t>
        </is>
      </c>
      <c r="B1239" s="1" t="n">
        <v>45250</v>
      </c>
      <c r="C1239" s="1" t="n">
        <v>45840</v>
      </c>
      <c r="D1239" t="inlineStr">
        <is>
          <t>JÄMTLANDS LÄN</t>
        </is>
      </c>
      <c r="E1239" t="inlineStr">
        <is>
          <t>KROKOM</t>
        </is>
      </c>
      <c r="F1239" t="inlineStr">
        <is>
          <t>Övriga Aktiebolag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58264-2023</t>
        </is>
      </c>
      <c r="B1240" s="1" t="n">
        <v>45250</v>
      </c>
      <c r="C1240" s="1" t="n">
        <v>45840</v>
      </c>
      <c r="D1240" t="inlineStr">
        <is>
          <t>JÄMTLANDS LÄN</t>
        </is>
      </c>
      <c r="E1240" t="inlineStr">
        <is>
          <t>KROKOM</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58677-2023</t>
        </is>
      </c>
      <c r="B1241" s="1" t="n">
        <v>45251</v>
      </c>
      <c r="C1241" s="1" t="n">
        <v>45840</v>
      </c>
      <c r="D1241" t="inlineStr">
        <is>
          <t>JÄMTLANDS LÄN</t>
        </is>
      </c>
      <c r="E1241" t="inlineStr">
        <is>
          <t>KROKOM</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58942-2023</t>
        </is>
      </c>
      <c r="B1242" s="1" t="n">
        <v>45252</v>
      </c>
      <c r="C1242" s="1" t="n">
        <v>45840</v>
      </c>
      <c r="D1242" t="inlineStr">
        <is>
          <t>JÄMTLANDS LÄN</t>
        </is>
      </c>
      <c r="E1242" t="inlineStr">
        <is>
          <t>KROKOM</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58798-2023</t>
        </is>
      </c>
      <c r="B1243" s="1" t="n">
        <v>45252</v>
      </c>
      <c r="C1243" s="1" t="n">
        <v>45840</v>
      </c>
      <c r="D1243" t="inlineStr">
        <is>
          <t>JÄMTLANDS LÄN</t>
        </is>
      </c>
      <c r="E1243" t="inlineStr">
        <is>
          <t>KROKOM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59031-2023</t>
        </is>
      </c>
      <c r="B1244" s="1" t="n">
        <v>45252</v>
      </c>
      <c r="C1244" s="1" t="n">
        <v>45840</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59293-2023</t>
        </is>
      </c>
      <c r="B1245" s="1" t="n">
        <v>45253</v>
      </c>
      <c r="C1245" s="1" t="n">
        <v>45840</v>
      </c>
      <c r="D1245" t="inlineStr">
        <is>
          <t>JÄMTLANDS LÄN</t>
        </is>
      </c>
      <c r="E1245" t="inlineStr">
        <is>
          <t>KROKOM</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59622-2023</t>
        </is>
      </c>
      <c r="B1246" s="1" t="n">
        <v>45254</v>
      </c>
      <c r="C1246" s="1" t="n">
        <v>45840</v>
      </c>
      <c r="D1246" t="inlineStr">
        <is>
          <t>JÄMTLANDS LÄN</t>
        </is>
      </c>
      <c r="E1246" t="inlineStr">
        <is>
          <t>KROKOM</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59668-2023</t>
        </is>
      </c>
      <c r="B1247" s="1" t="n">
        <v>45254</v>
      </c>
      <c r="C1247" s="1" t="n">
        <v>45840</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59819-2023</t>
        </is>
      </c>
      <c r="B1248" s="1" t="n">
        <v>45257</v>
      </c>
      <c r="C1248" s="1" t="n">
        <v>45840</v>
      </c>
      <c r="D1248" t="inlineStr">
        <is>
          <t>JÄMTLANDS LÄN</t>
        </is>
      </c>
      <c r="E1248" t="inlineStr">
        <is>
          <t>KROKOM</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59843-2023</t>
        </is>
      </c>
      <c r="B1249" s="1" t="n">
        <v>45257</v>
      </c>
      <c r="C1249" s="1" t="n">
        <v>45840</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59973-2023</t>
        </is>
      </c>
      <c r="B1250" s="1" t="n">
        <v>45257</v>
      </c>
      <c r="C1250" s="1" t="n">
        <v>45840</v>
      </c>
      <c r="D1250" t="inlineStr">
        <is>
          <t>JÄMTLANDS LÄN</t>
        </is>
      </c>
      <c r="E1250" t="inlineStr">
        <is>
          <t>KROKOM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60006-2023</t>
        </is>
      </c>
      <c r="B1251" s="1" t="n">
        <v>45258</v>
      </c>
      <c r="C1251" s="1" t="n">
        <v>45840</v>
      </c>
      <c r="D1251" t="inlineStr">
        <is>
          <t>JÄMTLANDS LÄN</t>
        </is>
      </c>
      <c r="E1251" t="inlineStr">
        <is>
          <t>KROKOM</t>
        </is>
      </c>
      <c r="F1251" t="inlineStr">
        <is>
          <t>Kommuner</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60102-2023</t>
        </is>
      </c>
      <c r="B1252" s="1" t="n">
        <v>45257</v>
      </c>
      <c r="C1252" s="1" t="n">
        <v>45840</v>
      </c>
      <c r="D1252" t="inlineStr">
        <is>
          <t>JÄMTLANDS LÄN</t>
        </is>
      </c>
      <c r="E1252" t="inlineStr">
        <is>
          <t>KROKOM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59828-2023</t>
        </is>
      </c>
      <c r="B1253" s="1" t="n">
        <v>45257</v>
      </c>
      <c r="C1253" s="1" t="n">
        <v>45840</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60007-2023</t>
        </is>
      </c>
      <c r="B1254" s="1" t="n">
        <v>45258</v>
      </c>
      <c r="C1254" s="1" t="n">
        <v>45840</v>
      </c>
      <c r="D1254" t="inlineStr">
        <is>
          <t>JÄMTLANDS LÄN</t>
        </is>
      </c>
      <c r="E1254" t="inlineStr">
        <is>
          <t>KROKOM</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60333-2023</t>
        </is>
      </c>
      <c r="B1255" s="1" t="n">
        <v>45258</v>
      </c>
      <c r="C1255" s="1" t="n">
        <v>45840</v>
      </c>
      <c r="D1255" t="inlineStr">
        <is>
          <t>JÄMTLANDS LÄN</t>
        </is>
      </c>
      <c r="E1255" t="inlineStr">
        <is>
          <t>KROKOM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60364-2023</t>
        </is>
      </c>
      <c r="B1256" s="1" t="n">
        <v>45259</v>
      </c>
      <c r="C1256" s="1" t="n">
        <v>45840</v>
      </c>
      <c r="D1256" t="inlineStr">
        <is>
          <t>JÄMTLANDS LÄN</t>
        </is>
      </c>
      <c r="E1256" t="inlineStr">
        <is>
          <t>KROKOM</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60680-2023</t>
        </is>
      </c>
      <c r="B1257" s="1" t="n">
        <v>45260</v>
      </c>
      <c r="C1257" s="1" t="n">
        <v>45840</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61078-2023</t>
        </is>
      </c>
      <c r="B1258" s="1" t="n">
        <v>45261</v>
      </c>
      <c r="C1258" s="1" t="n">
        <v>45840</v>
      </c>
      <c r="D1258" t="inlineStr">
        <is>
          <t>JÄMTLANDS LÄN</t>
        </is>
      </c>
      <c r="E1258" t="inlineStr">
        <is>
          <t>KROKOM</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61337-2023</t>
        </is>
      </c>
      <c r="B1259" s="1" t="n">
        <v>45264</v>
      </c>
      <c r="C1259" s="1" t="n">
        <v>45840</v>
      </c>
      <c r="D1259" t="inlineStr">
        <is>
          <t>JÄMTLANDS LÄN</t>
        </is>
      </c>
      <c r="E1259" t="inlineStr">
        <is>
          <t>KROKOM</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61329-2023</t>
        </is>
      </c>
      <c r="B1260" s="1" t="n">
        <v>45264</v>
      </c>
      <c r="C1260" s="1" t="n">
        <v>45840</v>
      </c>
      <c r="D1260" t="inlineStr">
        <is>
          <t>JÄMTLANDS LÄN</t>
        </is>
      </c>
      <c r="E1260" t="inlineStr">
        <is>
          <t>KROKOM</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61886-2023</t>
        </is>
      </c>
      <c r="B1261" s="1" t="n">
        <v>45264</v>
      </c>
      <c r="C1261" s="1" t="n">
        <v>45840</v>
      </c>
      <c r="D1261" t="inlineStr">
        <is>
          <t>JÄMTLANDS LÄN</t>
        </is>
      </c>
      <c r="E1261" t="inlineStr">
        <is>
          <t>KROKOM</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61615-2023</t>
        </is>
      </c>
      <c r="B1262" s="1" t="n">
        <v>45265</v>
      </c>
      <c r="C1262" s="1" t="n">
        <v>45840</v>
      </c>
      <c r="D1262" t="inlineStr">
        <is>
          <t>JÄMTLANDS LÄN</t>
        </is>
      </c>
      <c r="E1262" t="inlineStr">
        <is>
          <t>KROKOM</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62042-2023</t>
        </is>
      </c>
      <c r="B1263" s="1" t="n">
        <v>45265</v>
      </c>
      <c r="C1263" s="1" t="n">
        <v>45840</v>
      </c>
      <c r="D1263" t="inlineStr">
        <is>
          <t>JÄMTLANDS LÄN</t>
        </is>
      </c>
      <c r="E1263" t="inlineStr">
        <is>
          <t>KROKOM</t>
        </is>
      </c>
      <c r="F1263" t="inlineStr">
        <is>
          <t>Övriga statliga verk och myndigheter</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62058-2023</t>
        </is>
      </c>
      <c r="B1264" s="1" t="n">
        <v>45265</v>
      </c>
      <c r="C1264" s="1" t="n">
        <v>45840</v>
      </c>
      <c r="D1264" t="inlineStr">
        <is>
          <t>JÄMTLANDS LÄN</t>
        </is>
      </c>
      <c r="E1264" t="inlineStr">
        <is>
          <t>KROKOM</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62117-2023</t>
        </is>
      </c>
      <c r="B1265" s="1" t="n">
        <v>45266</v>
      </c>
      <c r="C1265" s="1" t="n">
        <v>45840</v>
      </c>
      <c r="D1265" t="inlineStr">
        <is>
          <t>JÄMTLANDS LÄN</t>
        </is>
      </c>
      <c r="E1265" t="inlineStr">
        <is>
          <t>KROKOM</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62413-2023</t>
        </is>
      </c>
      <c r="B1266" s="1" t="n">
        <v>45266</v>
      </c>
      <c r="C1266" s="1" t="n">
        <v>45840</v>
      </c>
      <c r="D1266" t="inlineStr">
        <is>
          <t>JÄMTLANDS LÄN</t>
        </is>
      </c>
      <c r="E1266" t="inlineStr">
        <is>
          <t>KROKOM</t>
        </is>
      </c>
      <c r="G1266" t="n">
        <v>12.8</v>
      </c>
      <c r="H1266" t="n">
        <v>0</v>
      </c>
      <c r="I1266" t="n">
        <v>0</v>
      </c>
      <c r="J1266" t="n">
        <v>0</v>
      </c>
      <c r="K1266" t="n">
        <v>0</v>
      </c>
      <c r="L1266" t="n">
        <v>0</v>
      </c>
      <c r="M1266" t="n">
        <v>0</v>
      </c>
      <c r="N1266" t="n">
        <v>0</v>
      </c>
      <c r="O1266" t="n">
        <v>0</v>
      </c>
      <c r="P1266" t="n">
        <v>0</v>
      </c>
      <c r="Q1266" t="n">
        <v>0</v>
      </c>
      <c r="R1266" s="2" t="inlineStr"/>
    </row>
    <row r="1267" ht="15" customHeight="1">
      <c r="A1267" t="inlineStr">
        <is>
          <t>A 62929-2023</t>
        </is>
      </c>
      <c r="B1267" s="1" t="n">
        <v>45271</v>
      </c>
      <c r="C1267" s="1" t="n">
        <v>45840</v>
      </c>
      <c r="D1267" t="inlineStr">
        <is>
          <t>JÄMTLANDS LÄN</t>
        </is>
      </c>
      <c r="E1267" t="inlineStr">
        <is>
          <t>KROKOM</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63165-2023</t>
        </is>
      </c>
      <c r="B1268" s="1" t="n">
        <v>45272</v>
      </c>
      <c r="C1268" s="1" t="n">
        <v>45840</v>
      </c>
      <c r="D1268" t="inlineStr">
        <is>
          <t>JÄMTLANDS LÄN</t>
        </is>
      </c>
      <c r="E1268" t="inlineStr">
        <is>
          <t>KROKOM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63533-2023</t>
        </is>
      </c>
      <c r="B1269" s="1" t="n">
        <v>45274</v>
      </c>
      <c r="C1269" s="1" t="n">
        <v>45840</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63313-2023</t>
        </is>
      </c>
      <c r="B1270" s="1" t="n">
        <v>45274</v>
      </c>
      <c r="C1270" s="1" t="n">
        <v>45840</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63532-2023</t>
        </is>
      </c>
      <c r="B1271" s="1" t="n">
        <v>45274</v>
      </c>
      <c r="C1271" s="1" t="n">
        <v>45840</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63960-2023</t>
        </is>
      </c>
      <c r="B1272" s="1" t="n">
        <v>45278</v>
      </c>
      <c r="C1272" s="1" t="n">
        <v>45840</v>
      </c>
      <c r="D1272" t="inlineStr">
        <is>
          <t>JÄMTLANDS LÄN</t>
        </is>
      </c>
      <c r="E1272" t="inlineStr">
        <is>
          <t>KROKOM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64163-2023</t>
        </is>
      </c>
      <c r="B1273" s="1" t="n">
        <v>45279</v>
      </c>
      <c r="C1273" s="1" t="n">
        <v>45840</v>
      </c>
      <c r="D1273" t="inlineStr">
        <is>
          <t>JÄMTLANDS LÄN</t>
        </is>
      </c>
      <c r="E1273" t="inlineStr">
        <is>
          <t>KROKOM</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64174-2023</t>
        </is>
      </c>
      <c r="B1274" s="1" t="n">
        <v>45279</v>
      </c>
      <c r="C1274" s="1" t="n">
        <v>45840</v>
      </c>
      <c r="D1274" t="inlineStr">
        <is>
          <t>JÄMTLANDS LÄN</t>
        </is>
      </c>
      <c r="E1274" t="inlineStr">
        <is>
          <t>KROKOM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64273-2023</t>
        </is>
      </c>
      <c r="B1275" s="1" t="n">
        <v>45279</v>
      </c>
      <c r="C1275" s="1" t="n">
        <v>45840</v>
      </c>
      <c r="D1275" t="inlineStr">
        <is>
          <t>JÄMTLANDS LÄN</t>
        </is>
      </c>
      <c r="E1275" t="inlineStr">
        <is>
          <t>KROKOM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64662-2023</t>
        </is>
      </c>
      <c r="B1276" s="1" t="n">
        <v>45281</v>
      </c>
      <c r="C1276" s="1" t="n">
        <v>45840</v>
      </c>
      <c r="D1276" t="inlineStr">
        <is>
          <t>JÄMTLANDS LÄN</t>
        </is>
      </c>
      <c r="E1276" t="inlineStr">
        <is>
          <t>KROKOM</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64768-2023</t>
        </is>
      </c>
      <c r="B1277" s="1" t="n">
        <v>45282</v>
      </c>
      <c r="C1277" s="1" t="n">
        <v>45840</v>
      </c>
      <c r="D1277" t="inlineStr">
        <is>
          <t>JÄMTLANDS LÄN</t>
        </is>
      </c>
      <c r="E1277" t="inlineStr">
        <is>
          <t>KROKOM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64764-2023</t>
        </is>
      </c>
      <c r="B1278" s="1" t="n">
        <v>45282</v>
      </c>
      <c r="C1278" s="1" t="n">
        <v>45840</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65236-2023</t>
        </is>
      </c>
      <c r="B1279" s="1" t="n">
        <v>45289</v>
      </c>
      <c r="C1279" s="1" t="n">
        <v>45840</v>
      </c>
      <c r="D1279" t="inlineStr">
        <is>
          <t>JÄMTLANDS LÄN</t>
        </is>
      </c>
      <c r="E1279" t="inlineStr">
        <is>
          <t>KROKOM</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417-2024</t>
        </is>
      </c>
      <c r="B1280" s="1" t="n">
        <v>45296</v>
      </c>
      <c r="C1280" s="1" t="n">
        <v>45840</v>
      </c>
      <c r="D1280" t="inlineStr">
        <is>
          <t>JÄMTLANDS LÄN</t>
        </is>
      </c>
      <c r="E1280" t="inlineStr">
        <is>
          <t>KROKOM</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704-2024</t>
        </is>
      </c>
      <c r="B1281" s="1" t="n">
        <v>45300</v>
      </c>
      <c r="C1281" s="1" t="n">
        <v>45840</v>
      </c>
      <c r="D1281" t="inlineStr">
        <is>
          <t>JÄMTLANDS LÄN</t>
        </is>
      </c>
      <c r="E1281" t="inlineStr">
        <is>
          <t>KROKOM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785-2024</t>
        </is>
      </c>
      <c r="B1282" s="1" t="n">
        <v>45300</v>
      </c>
      <c r="C1282" s="1" t="n">
        <v>45840</v>
      </c>
      <c r="D1282" t="inlineStr">
        <is>
          <t>JÄMTLANDS LÄN</t>
        </is>
      </c>
      <c r="E1282" t="inlineStr">
        <is>
          <t>KROKOM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773-2024</t>
        </is>
      </c>
      <c r="B1283" s="1" t="n">
        <v>45300</v>
      </c>
      <c r="C1283" s="1" t="n">
        <v>45840</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739-2024</t>
        </is>
      </c>
      <c r="B1284" s="1" t="n">
        <v>45300</v>
      </c>
      <c r="C1284" s="1" t="n">
        <v>45840</v>
      </c>
      <c r="D1284" t="inlineStr">
        <is>
          <t>JÄMTLANDS LÄN</t>
        </is>
      </c>
      <c r="E1284" t="inlineStr">
        <is>
          <t>KROKOM</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715-2024</t>
        </is>
      </c>
      <c r="B1285" s="1" t="n">
        <v>45300</v>
      </c>
      <c r="C1285" s="1" t="n">
        <v>45840</v>
      </c>
      <c r="D1285" t="inlineStr">
        <is>
          <t>JÄMTLANDS LÄN</t>
        </is>
      </c>
      <c r="E1285" t="inlineStr">
        <is>
          <t>KROKOM</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1109-2024</t>
        </is>
      </c>
      <c r="B1286" s="1" t="n">
        <v>45302</v>
      </c>
      <c r="C1286" s="1" t="n">
        <v>45840</v>
      </c>
      <c r="D1286" t="inlineStr">
        <is>
          <t>JÄMTLANDS LÄN</t>
        </is>
      </c>
      <c r="E1286" t="inlineStr">
        <is>
          <t>KROKOM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1464-2024</t>
        </is>
      </c>
      <c r="B1287" s="1" t="n">
        <v>45304</v>
      </c>
      <c r="C1287" s="1" t="n">
        <v>45840</v>
      </c>
      <c r="D1287" t="inlineStr">
        <is>
          <t>JÄMTLANDS LÄN</t>
        </is>
      </c>
      <c r="E1287" t="inlineStr">
        <is>
          <t>KROKOM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1556-2024</t>
        </is>
      </c>
      <c r="B1288" s="1" t="n">
        <v>45306</v>
      </c>
      <c r="C1288" s="1" t="n">
        <v>45840</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2017-2024</t>
        </is>
      </c>
      <c r="B1289" s="1" t="n">
        <v>45308</v>
      </c>
      <c r="C1289" s="1" t="n">
        <v>45840</v>
      </c>
      <c r="D1289" t="inlineStr">
        <is>
          <t>JÄMTLANDS LÄN</t>
        </is>
      </c>
      <c r="E1289" t="inlineStr">
        <is>
          <t>KROKOM</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2237-2024</t>
        </is>
      </c>
      <c r="B1290" s="1" t="n">
        <v>45309</v>
      </c>
      <c r="C1290" s="1" t="n">
        <v>45840</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2238-2024</t>
        </is>
      </c>
      <c r="B1291" s="1" t="n">
        <v>45309</v>
      </c>
      <c r="C1291" s="1" t="n">
        <v>45840</v>
      </c>
      <c r="D1291" t="inlineStr">
        <is>
          <t>JÄMTLANDS LÄN</t>
        </is>
      </c>
      <c r="E1291" t="inlineStr">
        <is>
          <t>KROKOM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2236-2024</t>
        </is>
      </c>
      <c r="B1292" s="1" t="n">
        <v>45309</v>
      </c>
      <c r="C1292" s="1" t="n">
        <v>45840</v>
      </c>
      <c r="D1292" t="inlineStr">
        <is>
          <t>JÄMTLANDS LÄN</t>
        </is>
      </c>
      <c r="E1292" t="inlineStr">
        <is>
          <t>KROKOM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2257-2024</t>
        </is>
      </c>
      <c r="B1293" s="1" t="n">
        <v>45310</v>
      </c>
      <c r="C1293" s="1" t="n">
        <v>45840</v>
      </c>
      <c r="D1293" t="inlineStr">
        <is>
          <t>JÄMTLANDS LÄN</t>
        </is>
      </c>
      <c r="E1293" t="inlineStr">
        <is>
          <t>KROKOM</t>
        </is>
      </c>
      <c r="G1293" t="n">
        <v>14.5</v>
      </c>
      <c r="H1293" t="n">
        <v>0</v>
      </c>
      <c r="I1293" t="n">
        <v>0</v>
      </c>
      <c r="J1293" t="n">
        <v>0</v>
      </c>
      <c r="K1293" t="n">
        <v>0</v>
      </c>
      <c r="L1293" t="n">
        <v>0</v>
      </c>
      <c r="M1293" t="n">
        <v>0</v>
      </c>
      <c r="N1293" t="n">
        <v>0</v>
      </c>
      <c r="O1293" t="n">
        <v>0</v>
      </c>
      <c r="P1293" t="n">
        <v>0</v>
      </c>
      <c r="Q1293" t="n">
        <v>0</v>
      </c>
      <c r="R1293" s="2" t="inlineStr"/>
    </row>
    <row r="1294" ht="15" customHeight="1">
      <c r="A1294" t="inlineStr">
        <is>
          <t>A 2628-2024</t>
        </is>
      </c>
      <c r="B1294" s="1" t="n">
        <v>45313</v>
      </c>
      <c r="C1294" s="1" t="n">
        <v>45840</v>
      </c>
      <c r="D1294" t="inlineStr">
        <is>
          <t>JÄMTLANDS LÄN</t>
        </is>
      </c>
      <c r="E1294" t="inlineStr">
        <is>
          <t>KROKOM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2775-2024</t>
        </is>
      </c>
      <c r="B1295" s="1" t="n">
        <v>45314</v>
      </c>
      <c r="C1295" s="1" t="n">
        <v>45840</v>
      </c>
      <c r="D1295" t="inlineStr">
        <is>
          <t>JÄMTLANDS LÄN</t>
        </is>
      </c>
      <c r="E1295" t="inlineStr">
        <is>
          <t>KROKOM</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3188-2024</t>
        </is>
      </c>
      <c r="B1296" s="1" t="n">
        <v>45316</v>
      </c>
      <c r="C1296" s="1" t="n">
        <v>45840</v>
      </c>
      <c r="D1296" t="inlineStr">
        <is>
          <t>JÄMTLANDS LÄN</t>
        </is>
      </c>
      <c r="E1296" t="inlineStr">
        <is>
          <t>KROKOM</t>
        </is>
      </c>
      <c r="G1296" t="n">
        <v>24.9</v>
      </c>
      <c r="H1296" t="n">
        <v>0</v>
      </c>
      <c r="I1296" t="n">
        <v>0</v>
      </c>
      <c r="J1296" t="n">
        <v>0</v>
      </c>
      <c r="K1296" t="n">
        <v>0</v>
      </c>
      <c r="L1296" t="n">
        <v>0</v>
      </c>
      <c r="M1296" t="n">
        <v>0</v>
      </c>
      <c r="N1296" t="n">
        <v>0</v>
      </c>
      <c r="O1296" t="n">
        <v>0</v>
      </c>
      <c r="P1296" t="n">
        <v>0</v>
      </c>
      <c r="Q1296" t="n">
        <v>0</v>
      </c>
      <c r="R1296" s="2" t="inlineStr"/>
    </row>
    <row r="1297" ht="15" customHeight="1">
      <c r="A1297" t="inlineStr">
        <is>
          <t>A 3214-2024</t>
        </is>
      </c>
      <c r="B1297" s="1" t="n">
        <v>45316</v>
      </c>
      <c r="C1297" s="1" t="n">
        <v>45840</v>
      </c>
      <c r="D1297" t="inlineStr">
        <is>
          <t>JÄMTLANDS LÄN</t>
        </is>
      </c>
      <c r="E1297" t="inlineStr">
        <is>
          <t>KROKOM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3257-2024</t>
        </is>
      </c>
      <c r="B1298" s="1" t="n">
        <v>45316</v>
      </c>
      <c r="C1298" s="1" t="n">
        <v>45840</v>
      </c>
      <c r="D1298" t="inlineStr">
        <is>
          <t>JÄMTLANDS LÄN</t>
        </is>
      </c>
      <c r="E1298" t="inlineStr">
        <is>
          <t>KROKOM</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4354-2024</t>
        </is>
      </c>
      <c r="B1299" s="1" t="n">
        <v>45324</v>
      </c>
      <c r="C1299" s="1" t="n">
        <v>45840</v>
      </c>
      <c r="D1299" t="inlineStr">
        <is>
          <t>JÄMTLANDS LÄN</t>
        </is>
      </c>
      <c r="E1299" t="inlineStr">
        <is>
          <t>KROKOM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4355-2024</t>
        </is>
      </c>
      <c r="B1300" s="1" t="n">
        <v>45324</v>
      </c>
      <c r="C1300" s="1" t="n">
        <v>45840</v>
      </c>
      <c r="D1300" t="inlineStr">
        <is>
          <t>JÄMTLANDS LÄN</t>
        </is>
      </c>
      <c r="E1300" t="inlineStr">
        <is>
          <t>KROKOM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4353-2024</t>
        </is>
      </c>
      <c r="B1301" s="1" t="n">
        <v>45324</v>
      </c>
      <c r="C1301" s="1" t="n">
        <v>45840</v>
      </c>
      <c r="D1301" t="inlineStr">
        <is>
          <t>JÄMTLANDS LÄN</t>
        </is>
      </c>
      <c r="E1301" t="inlineStr">
        <is>
          <t>KROKOM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5438-2024</t>
        </is>
      </c>
      <c r="B1302" s="1" t="n">
        <v>45331</v>
      </c>
      <c r="C1302" s="1" t="n">
        <v>45840</v>
      </c>
      <c r="D1302" t="inlineStr">
        <is>
          <t>JÄMTLANDS LÄN</t>
        </is>
      </c>
      <c r="E1302" t="inlineStr">
        <is>
          <t>KROKOM</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5437-2024</t>
        </is>
      </c>
      <c r="B1303" s="1" t="n">
        <v>45331</v>
      </c>
      <c r="C1303" s="1" t="n">
        <v>45840</v>
      </c>
      <c r="D1303" t="inlineStr">
        <is>
          <t>JÄMTLANDS LÄN</t>
        </is>
      </c>
      <c r="E1303" t="inlineStr">
        <is>
          <t>KROKOM</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5440-2024</t>
        </is>
      </c>
      <c r="B1304" s="1" t="n">
        <v>45331</v>
      </c>
      <c r="C1304" s="1" t="n">
        <v>45840</v>
      </c>
      <c r="D1304" t="inlineStr">
        <is>
          <t>JÄMTLANDS LÄN</t>
        </is>
      </c>
      <c r="E1304" t="inlineStr">
        <is>
          <t>KROKOM</t>
        </is>
      </c>
      <c r="F1304" t="inlineStr">
        <is>
          <t>SCA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6283-2024</t>
        </is>
      </c>
      <c r="B1305" s="1" t="n">
        <v>45337</v>
      </c>
      <c r="C1305" s="1" t="n">
        <v>45840</v>
      </c>
      <c r="D1305" t="inlineStr">
        <is>
          <t>JÄMTLANDS LÄN</t>
        </is>
      </c>
      <c r="E1305" t="inlineStr">
        <is>
          <t>KROKOM</t>
        </is>
      </c>
      <c r="F1305" t="inlineStr">
        <is>
          <t>SCA</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6284-2024</t>
        </is>
      </c>
      <c r="B1306" s="1" t="n">
        <v>45337</v>
      </c>
      <c r="C1306" s="1" t="n">
        <v>45840</v>
      </c>
      <c r="D1306" t="inlineStr">
        <is>
          <t>JÄMTLANDS LÄN</t>
        </is>
      </c>
      <c r="E1306" t="inlineStr">
        <is>
          <t>KROKOM</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6403-2024</t>
        </is>
      </c>
      <c r="B1307" s="1" t="n">
        <v>45338</v>
      </c>
      <c r="C1307" s="1" t="n">
        <v>45840</v>
      </c>
      <c r="D1307" t="inlineStr">
        <is>
          <t>JÄMTLANDS LÄN</t>
        </is>
      </c>
      <c r="E1307" t="inlineStr">
        <is>
          <t>KROKOM</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6482-2024</t>
        </is>
      </c>
      <c r="B1308" s="1" t="n">
        <v>45338</v>
      </c>
      <c r="C1308" s="1" t="n">
        <v>45840</v>
      </c>
      <c r="D1308" t="inlineStr">
        <is>
          <t>JÄMTLANDS LÄN</t>
        </is>
      </c>
      <c r="E1308" t="inlineStr">
        <is>
          <t>KROKOM</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6483-2024</t>
        </is>
      </c>
      <c r="B1309" s="1" t="n">
        <v>45338</v>
      </c>
      <c r="C1309" s="1" t="n">
        <v>45840</v>
      </c>
      <c r="D1309" t="inlineStr">
        <is>
          <t>JÄMTLANDS LÄN</t>
        </is>
      </c>
      <c r="E1309" t="inlineStr">
        <is>
          <t>KROKOM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6900-2024</t>
        </is>
      </c>
      <c r="B1310" s="1" t="n">
        <v>45342</v>
      </c>
      <c r="C1310" s="1" t="n">
        <v>45840</v>
      </c>
      <c r="D1310" t="inlineStr">
        <is>
          <t>JÄMTLANDS LÄN</t>
        </is>
      </c>
      <c r="E1310" t="inlineStr">
        <is>
          <t>KROKOM</t>
        </is>
      </c>
      <c r="F1310" t="inlineStr">
        <is>
          <t>SCA</t>
        </is>
      </c>
      <c r="G1310" t="n">
        <v>64.59999999999999</v>
      </c>
      <c r="H1310" t="n">
        <v>0</v>
      </c>
      <c r="I1310" t="n">
        <v>0</v>
      </c>
      <c r="J1310" t="n">
        <v>0</v>
      </c>
      <c r="K1310" t="n">
        <v>0</v>
      </c>
      <c r="L1310" t="n">
        <v>0</v>
      </c>
      <c r="M1310" t="n">
        <v>0</v>
      </c>
      <c r="N1310" t="n">
        <v>0</v>
      </c>
      <c r="O1310" t="n">
        <v>0</v>
      </c>
      <c r="P1310" t="n">
        <v>0</v>
      </c>
      <c r="Q1310" t="n">
        <v>0</v>
      </c>
      <c r="R1310" s="2" t="inlineStr"/>
    </row>
    <row r="1311" ht="15" customHeight="1">
      <c r="A1311" t="inlineStr">
        <is>
          <t>A 6898-2024</t>
        </is>
      </c>
      <c r="B1311" s="1" t="n">
        <v>45342</v>
      </c>
      <c r="C1311" s="1" t="n">
        <v>45840</v>
      </c>
      <c r="D1311" t="inlineStr">
        <is>
          <t>JÄMTLANDS LÄN</t>
        </is>
      </c>
      <c r="E1311" t="inlineStr">
        <is>
          <t>KROKOM</t>
        </is>
      </c>
      <c r="F1311" t="inlineStr">
        <is>
          <t>SCA</t>
        </is>
      </c>
      <c r="G1311" t="n">
        <v>30.7</v>
      </c>
      <c r="H1311" t="n">
        <v>0</v>
      </c>
      <c r="I1311" t="n">
        <v>0</v>
      </c>
      <c r="J1311" t="n">
        <v>0</v>
      </c>
      <c r="K1311" t="n">
        <v>0</v>
      </c>
      <c r="L1311" t="n">
        <v>0</v>
      </c>
      <c r="M1311" t="n">
        <v>0</v>
      </c>
      <c r="N1311" t="n">
        <v>0</v>
      </c>
      <c r="O1311" t="n">
        <v>0</v>
      </c>
      <c r="P1311" t="n">
        <v>0</v>
      </c>
      <c r="Q1311" t="n">
        <v>0</v>
      </c>
      <c r="R1311" s="2" t="inlineStr"/>
    </row>
    <row r="1312" ht="15" customHeight="1">
      <c r="A1312" t="inlineStr">
        <is>
          <t>A 7111-2024</t>
        </is>
      </c>
      <c r="B1312" s="1" t="n">
        <v>45343</v>
      </c>
      <c r="C1312" s="1" t="n">
        <v>45840</v>
      </c>
      <c r="D1312" t="inlineStr">
        <is>
          <t>JÄMTLANDS LÄN</t>
        </is>
      </c>
      <c r="E1312" t="inlineStr">
        <is>
          <t>KROKOM</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7761-2024</t>
        </is>
      </c>
      <c r="B1313" s="1" t="n">
        <v>45348</v>
      </c>
      <c r="C1313" s="1" t="n">
        <v>45840</v>
      </c>
      <c r="D1313" t="inlineStr">
        <is>
          <t>JÄMTLANDS LÄN</t>
        </is>
      </c>
      <c r="E1313" t="inlineStr">
        <is>
          <t>KROKOM</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7763-2024</t>
        </is>
      </c>
      <c r="B1314" s="1" t="n">
        <v>45348</v>
      </c>
      <c r="C1314" s="1" t="n">
        <v>45840</v>
      </c>
      <c r="D1314" t="inlineStr">
        <is>
          <t>JÄMTLANDS LÄN</t>
        </is>
      </c>
      <c r="E1314" t="inlineStr">
        <is>
          <t>KROKOM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7863-2024</t>
        </is>
      </c>
      <c r="B1315" s="1" t="n">
        <v>45350</v>
      </c>
      <c r="C1315" s="1" t="n">
        <v>45840</v>
      </c>
      <c r="D1315" t="inlineStr">
        <is>
          <t>JÄMTLANDS LÄN</t>
        </is>
      </c>
      <c r="E1315" t="inlineStr">
        <is>
          <t>KROKOM</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8130-2024</t>
        </is>
      </c>
      <c r="B1316" s="1" t="n">
        <v>45351</v>
      </c>
      <c r="C1316" s="1" t="n">
        <v>45840</v>
      </c>
      <c r="D1316" t="inlineStr">
        <is>
          <t>JÄMTLANDS LÄN</t>
        </is>
      </c>
      <c r="E1316" t="inlineStr">
        <is>
          <t>KROKOM</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9750-2024</t>
        </is>
      </c>
      <c r="B1317" s="1" t="n">
        <v>45362</v>
      </c>
      <c r="C1317" s="1" t="n">
        <v>45840</v>
      </c>
      <c r="D1317" t="inlineStr">
        <is>
          <t>JÄMTLANDS LÄN</t>
        </is>
      </c>
      <c r="E1317" t="inlineStr">
        <is>
          <t>KROKOM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9755-2024</t>
        </is>
      </c>
      <c r="B1318" s="1" t="n">
        <v>45362</v>
      </c>
      <c r="C1318" s="1" t="n">
        <v>45840</v>
      </c>
      <c r="D1318" t="inlineStr">
        <is>
          <t>JÄMTLANDS LÄN</t>
        </is>
      </c>
      <c r="E1318" t="inlineStr">
        <is>
          <t>KROKOM</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10597-2024</t>
        </is>
      </c>
      <c r="B1319" s="1" t="n">
        <v>45366</v>
      </c>
      <c r="C1319" s="1" t="n">
        <v>45840</v>
      </c>
      <c r="D1319" t="inlineStr">
        <is>
          <t>JÄMTLANDS LÄN</t>
        </is>
      </c>
      <c r="E1319" t="inlineStr">
        <is>
          <t>KROKOM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10612-2024</t>
        </is>
      </c>
      <c r="B1320" s="1" t="n">
        <v>45367</v>
      </c>
      <c r="C1320" s="1" t="n">
        <v>45840</v>
      </c>
      <c r="D1320" t="inlineStr">
        <is>
          <t>JÄMTLANDS LÄN</t>
        </is>
      </c>
      <c r="E1320" t="inlineStr">
        <is>
          <t>KROKOM</t>
        </is>
      </c>
      <c r="F1320" t="inlineStr">
        <is>
          <t>SCA</t>
        </is>
      </c>
      <c r="G1320" t="n">
        <v>25.3</v>
      </c>
      <c r="H1320" t="n">
        <v>0</v>
      </c>
      <c r="I1320" t="n">
        <v>0</v>
      </c>
      <c r="J1320" t="n">
        <v>0</v>
      </c>
      <c r="K1320" t="n">
        <v>0</v>
      </c>
      <c r="L1320" t="n">
        <v>0</v>
      </c>
      <c r="M1320" t="n">
        <v>0</v>
      </c>
      <c r="N1320" t="n">
        <v>0</v>
      </c>
      <c r="O1320" t="n">
        <v>0</v>
      </c>
      <c r="P1320" t="n">
        <v>0</v>
      </c>
      <c r="Q1320" t="n">
        <v>0</v>
      </c>
      <c r="R1320" s="2" t="inlineStr"/>
    </row>
    <row r="1321" ht="15" customHeight="1">
      <c r="A1321" t="inlineStr">
        <is>
          <t>A 10842-2024</t>
        </is>
      </c>
      <c r="B1321" s="1" t="n">
        <v>45369</v>
      </c>
      <c r="C1321" s="1" t="n">
        <v>45840</v>
      </c>
      <c r="D1321" t="inlineStr">
        <is>
          <t>JÄMTLANDS LÄN</t>
        </is>
      </c>
      <c r="E1321" t="inlineStr">
        <is>
          <t>KROKOM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10773-2024</t>
        </is>
      </c>
      <c r="B1322" s="1" t="n">
        <v>45369</v>
      </c>
      <c r="C1322" s="1" t="n">
        <v>45840</v>
      </c>
      <c r="D1322" t="inlineStr">
        <is>
          <t>JÄMTLANDS LÄN</t>
        </is>
      </c>
      <c r="E1322" t="inlineStr">
        <is>
          <t>KROKOM</t>
        </is>
      </c>
      <c r="G1322" t="n">
        <v>27.1</v>
      </c>
      <c r="H1322" t="n">
        <v>0</v>
      </c>
      <c r="I1322" t="n">
        <v>0</v>
      </c>
      <c r="J1322" t="n">
        <v>0</v>
      </c>
      <c r="K1322" t="n">
        <v>0</v>
      </c>
      <c r="L1322" t="n">
        <v>0</v>
      </c>
      <c r="M1322" t="n">
        <v>0</v>
      </c>
      <c r="N1322" t="n">
        <v>0</v>
      </c>
      <c r="O1322" t="n">
        <v>0</v>
      </c>
      <c r="P1322" t="n">
        <v>0</v>
      </c>
      <c r="Q1322" t="n">
        <v>0</v>
      </c>
      <c r="R1322" s="2" t="inlineStr"/>
    </row>
    <row r="1323" ht="15" customHeight="1">
      <c r="A1323" t="inlineStr">
        <is>
          <t>A 10961-2024</t>
        </is>
      </c>
      <c r="B1323" s="1" t="n">
        <v>45370</v>
      </c>
      <c r="C1323" s="1" t="n">
        <v>45840</v>
      </c>
      <c r="D1323" t="inlineStr">
        <is>
          <t>JÄMTLANDS LÄN</t>
        </is>
      </c>
      <c r="E1323" t="inlineStr">
        <is>
          <t>KROKOM</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11059-2024</t>
        </is>
      </c>
      <c r="B1324" s="1" t="n">
        <v>45370</v>
      </c>
      <c r="C1324" s="1" t="n">
        <v>45840</v>
      </c>
      <c r="D1324" t="inlineStr">
        <is>
          <t>JÄMTLANDS LÄN</t>
        </is>
      </c>
      <c r="E1324" t="inlineStr">
        <is>
          <t>KROKOM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11045-2024</t>
        </is>
      </c>
      <c r="B1325" s="1" t="n">
        <v>45370</v>
      </c>
      <c r="C1325" s="1" t="n">
        <v>45840</v>
      </c>
      <c r="D1325" t="inlineStr">
        <is>
          <t>JÄMTLANDS LÄN</t>
        </is>
      </c>
      <c r="E1325" t="inlineStr">
        <is>
          <t>KROKOM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10976-2024</t>
        </is>
      </c>
      <c r="B1326" s="1" t="n">
        <v>45370</v>
      </c>
      <c r="C1326" s="1" t="n">
        <v>45840</v>
      </c>
      <c r="D1326" t="inlineStr">
        <is>
          <t>JÄMTLANDS LÄN</t>
        </is>
      </c>
      <c r="E1326" t="inlineStr">
        <is>
          <t>KROKOM</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11056-2024</t>
        </is>
      </c>
      <c r="B1327" s="1" t="n">
        <v>45370</v>
      </c>
      <c r="C1327" s="1" t="n">
        <v>45840</v>
      </c>
      <c r="D1327" t="inlineStr">
        <is>
          <t>JÄMTLANDS LÄN</t>
        </is>
      </c>
      <c r="E1327" t="inlineStr">
        <is>
          <t>KROKOM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11092-2024</t>
        </is>
      </c>
      <c r="B1328" s="1" t="n">
        <v>45370</v>
      </c>
      <c r="C1328" s="1" t="n">
        <v>45840</v>
      </c>
      <c r="D1328" t="inlineStr">
        <is>
          <t>JÄMTLANDS LÄN</t>
        </is>
      </c>
      <c r="E1328" t="inlineStr">
        <is>
          <t>KROKOM</t>
        </is>
      </c>
      <c r="F1328" t="inlineStr">
        <is>
          <t>SCA</t>
        </is>
      </c>
      <c r="G1328" t="n">
        <v>27.2</v>
      </c>
      <c r="H1328" t="n">
        <v>0</v>
      </c>
      <c r="I1328" t="n">
        <v>0</v>
      </c>
      <c r="J1328" t="n">
        <v>0</v>
      </c>
      <c r="K1328" t="n">
        <v>0</v>
      </c>
      <c r="L1328" t="n">
        <v>0</v>
      </c>
      <c r="M1328" t="n">
        <v>0</v>
      </c>
      <c r="N1328" t="n">
        <v>0</v>
      </c>
      <c r="O1328" t="n">
        <v>0</v>
      </c>
      <c r="P1328" t="n">
        <v>0</v>
      </c>
      <c r="Q1328" t="n">
        <v>0</v>
      </c>
      <c r="R1328" s="2" t="inlineStr"/>
    </row>
    <row r="1329" ht="15" customHeight="1">
      <c r="A1329" t="inlineStr">
        <is>
          <t>A 11193-2024</t>
        </is>
      </c>
      <c r="B1329" s="1" t="n">
        <v>45371</v>
      </c>
      <c r="C1329" s="1" t="n">
        <v>45840</v>
      </c>
      <c r="D1329" t="inlineStr">
        <is>
          <t>JÄMTLANDS LÄN</t>
        </is>
      </c>
      <c r="E1329" t="inlineStr">
        <is>
          <t>KROKOM</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11197-2024</t>
        </is>
      </c>
      <c r="B1330" s="1" t="n">
        <v>45371</v>
      </c>
      <c r="C1330" s="1" t="n">
        <v>45840</v>
      </c>
      <c r="D1330" t="inlineStr">
        <is>
          <t>JÄMTLANDS LÄN</t>
        </is>
      </c>
      <c r="E1330" t="inlineStr">
        <is>
          <t>KROKOM</t>
        </is>
      </c>
      <c r="G1330" t="n">
        <v>15.3</v>
      </c>
      <c r="H1330" t="n">
        <v>0</v>
      </c>
      <c r="I1330" t="n">
        <v>0</v>
      </c>
      <c r="J1330" t="n">
        <v>0</v>
      </c>
      <c r="K1330" t="n">
        <v>0</v>
      </c>
      <c r="L1330" t="n">
        <v>0</v>
      </c>
      <c r="M1330" t="n">
        <v>0</v>
      </c>
      <c r="N1330" t="n">
        <v>0</v>
      </c>
      <c r="O1330" t="n">
        <v>0</v>
      </c>
      <c r="P1330" t="n">
        <v>0</v>
      </c>
      <c r="Q1330" t="n">
        <v>0</v>
      </c>
      <c r="R1330" s="2" t="inlineStr"/>
    </row>
    <row r="1331" ht="15" customHeight="1">
      <c r="A1331" t="inlineStr">
        <is>
          <t>A 11417-2024</t>
        </is>
      </c>
      <c r="B1331" s="1" t="n">
        <v>45371</v>
      </c>
      <c r="C1331" s="1" t="n">
        <v>45840</v>
      </c>
      <c r="D1331" t="inlineStr">
        <is>
          <t>JÄMTLANDS LÄN</t>
        </is>
      </c>
      <c r="E1331" t="inlineStr">
        <is>
          <t>KROKOM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11384-2024</t>
        </is>
      </c>
      <c r="B1332" s="1" t="n">
        <v>45372</v>
      </c>
      <c r="C1332" s="1" t="n">
        <v>45840</v>
      </c>
      <c r="D1332" t="inlineStr">
        <is>
          <t>JÄMTLANDS LÄN</t>
        </is>
      </c>
      <c r="E1332" t="inlineStr">
        <is>
          <t>KROKOM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11412-2024</t>
        </is>
      </c>
      <c r="B1333" s="1" t="n">
        <v>45372</v>
      </c>
      <c r="C1333" s="1" t="n">
        <v>45840</v>
      </c>
      <c r="D1333" t="inlineStr">
        <is>
          <t>JÄMTLANDS LÄN</t>
        </is>
      </c>
      <c r="E1333" t="inlineStr">
        <is>
          <t>KROKOM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11639-2024</t>
        </is>
      </c>
      <c r="B1334" s="1" t="n">
        <v>45373</v>
      </c>
      <c r="C1334" s="1" t="n">
        <v>45840</v>
      </c>
      <c r="D1334" t="inlineStr">
        <is>
          <t>JÄMTLANDS LÄN</t>
        </is>
      </c>
      <c r="E1334" t="inlineStr">
        <is>
          <t>KROKOM</t>
        </is>
      </c>
      <c r="G1334" t="n">
        <v>22.2</v>
      </c>
      <c r="H1334" t="n">
        <v>0</v>
      </c>
      <c r="I1334" t="n">
        <v>0</v>
      </c>
      <c r="J1334" t="n">
        <v>0</v>
      </c>
      <c r="K1334" t="n">
        <v>0</v>
      </c>
      <c r="L1334" t="n">
        <v>0</v>
      </c>
      <c r="M1334" t="n">
        <v>0</v>
      </c>
      <c r="N1334" t="n">
        <v>0</v>
      </c>
      <c r="O1334" t="n">
        <v>0</v>
      </c>
      <c r="P1334" t="n">
        <v>0</v>
      </c>
      <c r="Q1334" t="n">
        <v>0</v>
      </c>
      <c r="R1334" s="2" t="inlineStr"/>
    </row>
    <row r="1335" ht="15" customHeight="1">
      <c r="A1335" t="inlineStr">
        <is>
          <t>A 12188-2024</t>
        </is>
      </c>
      <c r="B1335" s="1" t="n">
        <v>45377</v>
      </c>
      <c r="C1335" s="1" t="n">
        <v>45840</v>
      </c>
      <c r="D1335" t="inlineStr">
        <is>
          <t>JÄMTLANDS LÄN</t>
        </is>
      </c>
      <c r="E1335" t="inlineStr">
        <is>
          <t>KROKOM</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12412-2024</t>
        </is>
      </c>
      <c r="B1336" s="1" t="n">
        <v>45378</v>
      </c>
      <c r="C1336" s="1" t="n">
        <v>45840</v>
      </c>
      <c r="D1336" t="inlineStr">
        <is>
          <t>JÄMTLANDS LÄN</t>
        </is>
      </c>
      <c r="E1336" t="inlineStr">
        <is>
          <t>KROKOM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12471-2024</t>
        </is>
      </c>
      <c r="B1337" s="1" t="n">
        <v>45378</v>
      </c>
      <c r="C1337" s="1" t="n">
        <v>45840</v>
      </c>
      <c r="D1337" t="inlineStr">
        <is>
          <t>JÄMTLANDS LÄN</t>
        </is>
      </c>
      <c r="E1337" t="inlineStr">
        <is>
          <t>KROKOM</t>
        </is>
      </c>
      <c r="G1337" t="n">
        <v>20.2</v>
      </c>
      <c r="H1337" t="n">
        <v>0</v>
      </c>
      <c r="I1337" t="n">
        <v>0</v>
      </c>
      <c r="J1337" t="n">
        <v>0</v>
      </c>
      <c r="K1337" t="n">
        <v>0</v>
      </c>
      <c r="L1337" t="n">
        <v>0</v>
      </c>
      <c r="M1337" t="n">
        <v>0</v>
      </c>
      <c r="N1337" t="n">
        <v>0</v>
      </c>
      <c r="O1337" t="n">
        <v>0</v>
      </c>
      <c r="P1337" t="n">
        <v>0</v>
      </c>
      <c r="Q1337" t="n">
        <v>0</v>
      </c>
      <c r="R1337" s="2" t="inlineStr"/>
    </row>
    <row r="1338" ht="15" customHeight="1">
      <c r="A1338" t="inlineStr">
        <is>
          <t>A 12402-2024</t>
        </is>
      </c>
      <c r="B1338" s="1" t="n">
        <v>45379</v>
      </c>
      <c r="C1338" s="1" t="n">
        <v>45840</v>
      </c>
      <c r="D1338" t="inlineStr">
        <is>
          <t>JÄMTLANDS LÄN</t>
        </is>
      </c>
      <c r="E1338" t="inlineStr">
        <is>
          <t>KROKOM</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12407-2024</t>
        </is>
      </c>
      <c r="B1339" s="1" t="n">
        <v>45379</v>
      </c>
      <c r="C1339" s="1" t="n">
        <v>45840</v>
      </c>
      <c r="D1339" t="inlineStr">
        <is>
          <t>JÄMTLANDS LÄN</t>
        </is>
      </c>
      <c r="E1339" t="inlineStr">
        <is>
          <t>KROKOM</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12824-2024</t>
        </is>
      </c>
      <c r="B1340" s="1" t="n">
        <v>45384</v>
      </c>
      <c r="C1340" s="1" t="n">
        <v>45840</v>
      </c>
      <c r="D1340" t="inlineStr">
        <is>
          <t>JÄMTLANDS LÄN</t>
        </is>
      </c>
      <c r="E1340" t="inlineStr">
        <is>
          <t>KROKOM</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13249-2024</t>
        </is>
      </c>
      <c r="B1341" s="1" t="n">
        <v>45386</v>
      </c>
      <c r="C1341" s="1" t="n">
        <v>45840</v>
      </c>
      <c r="D1341" t="inlineStr">
        <is>
          <t>JÄMTLANDS LÄN</t>
        </is>
      </c>
      <c r="E1341" t="inlineStr">
        <is>
          <t>KROKOM</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14029-2024</t>
        </is>
      </c>
      <c r="B1342" s="1" t="n">
        <v>45392</v>
      </c>
      <c r="C1342" s="1" t="n">
        <v>45840</v>
      </c>
      <c r="D1342" t="inlineStr">
        <is>
          <t>JÄMTLANDS LÄN</t>
        </is>
      </c>
      <c r="E1342" t="inlineStr">
        <is>
          <t>KROKOM</t>
        </is>
      </c>
      <c r="F1342" t="inlineStr">
        <is>
          <t>Kyrkan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14032-2024</t>
        </is>
      </c>
      <c r="B1343" s="1" t="n">
        <v>45392</v>
      </c>
      <c r="C1343" s="1" t="n">
        <v>45840</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14170-2024</t>
        </is>
      </c>
      <c r="B1344" s="1" t="n">
        <v>45393</v>
      </c>
      <c r="C1344" s="1" t="n">
        <v>45840</v>
      </c>
      <c r="D1344" t="inlineStr">
        <is>
          <t>JÄMTLANDS LÄN</t>
        </is>
      </c>
      <c r="E1344" t="inlineStr">
        <is>
          <t>KROKOM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14026-2024</t>
        </is>
      </c>
      <c r="B1345" s="1" t="n">
        <v>45392</v>
      </c>
      <c r="C1345" s="1" t="n">
        <v>45840</v>
      </c>
      <c r="D1345" t="inlineStr">
        <is>
          <t>JÄMTLANDS LÄN</t>
        </is>
      </c>
      <c r="E1345" t="inlineStr">
        <is>
          <t>KROKOM</t>
        </is>
      </c>
      <c r="F1345" t="inlineStr">
        <is>
          <t>Kyrkan</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14171-2024</t>
        </is>
      </c>
      <c r="B1346" s="1" t="n">
        <v>45392</v>
      </c>
      <c r="C1346" s="1" t="n">
        <v>45840</v>
      </c>
      <c r="D1346" t="inlineStr">
        <is>
          <t>JÄMTLANDS LÄN</t>
        </is>
      </c>
      <c r="E1346" t="inlineStr">
        <is>
          <t>KROKOM</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14184-2024</t>
        </is>
      </c>
      <c r="B1347" s="1" t="n">
        <v>45393</v>
      </c>
      <c r="C1347" s="1" t="n">
        <v>45840</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14457-2024</t>
        </is>
      </c>
      <c r="B1348" s="1" t="n">
        <v>45394</v>
      </c>
      <c r="C1348" s="1" t="n">
        <v>45840</v>
      </c>
      <c r="D1348" t="inlineStr">
        <is>
          <t>JÄMTLANDS LÄN</t>
        </is>
      </c>
      <c r="E1348" t="inlineStr">
        <is>
          <t>KROKOM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14531-2024</t>
        </is>
      </c>
      <c r="B1349" s="1" t="n">
        <v>45394</v>
      </c>
      <c r="C1349" s="1" t="n">
        <v>45840</v>
      </c>
      <c r="D1349" t="inlineStr">
        <is>
          <t>JÄMTLANDS LÄN</t>
        </is>
      </c>
      <c r="E1349" t="inlineStr">
        <is>
          <t>KROKOM</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14687-2024</t>
        </is>
      </c>
      <c r="B1350" s="1" t="n">
        <v>45397</v>
      </c>
      <c r="C1350" s="1" t="n">
        <v>45840</v>
      </c>
      <c r="D1350" t="inlineStr">
        <is>
          <t>JÄMTLANDS LÄN</t>
        </is>
      </c>
      <c r="E1350" t="inlineStr">
        <is>
          <t>KROKOM</t>
        </is>
      </c>
      <c r="G1350" t="n">
        <v>16.3</v>
      </c>
      <c r="H1350" t="n">
        <v>0</v>
      </c>
      <c r="I1350" t="n">
        <v>0</v>
      </c>
      <c r="J1350" t="n">
        <v>0</v>
      </c>
      <c r="K1350" t="n">
        <v>0</v>
      </c>
      <c r="L1350" t="n">
        <v>0</v>
      </c>
      <c r="M1350" t="n">
        <v>0</v>
      </c>
      <c r="N1350" t="n">
        <v>0</v>
      </c>
      <c r="O1350" t="n">
        <v>0</v>
      </c>
      <c r="P1350" t="n">
        <v>0</v>
      </c>
      <c r="Q1350" t="n">
        <v>0</v>
      </c>
      <c r="R1350" s="2" t="inlineStr"/>
    </row>
    <row r="1351" ht="15" customHeight="1">
      <c r="A1351" t="inlineStr">
        <is>
          <t>A 14827-2024</t>
        </is>
      </c>
      <c r="B1351" s="1" t="n">
        <v>45398</v>
      </c>
      <c r="C1351" s="1" t="n">
        <v>45840</v>
      </c>
      <c r="D1351" t="inlineStr">
        <is>
          <t>JÄMTLANDS LÄN</t>
        </is>
      </c>
      <c r="E1351" t="inlineStr">
        <is>
          <t>KROKOM</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15528-2024</t>
        </is>
      </c>
      <c r="B1352" s="1" t="n">
        <v>45401</v>
      </c>
      <c r="C1352" s="1" t="n">
        <v>45840</v>
      </c>
      <c r="D1352" t="inlineStr">
        <is>
          <t>JÄMTLANDS LÄN</t>
        </is>
      </c>
      <c r="E1352" t="inlineStr">
        <is>
          <t>KROKOM</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15524-2024</t>
        </is>
      </c>
      <c r="B1353" s="1" t="n">
        <v>45401</v>
      </c>
      <c r="C1353" s="1" t="n">
        <v>45840</v>
      </c>
      <c r="D1353" t="inlineStr">
        <is>
          <t>JÄMTLANDS LÄN</t>
        </is>
      </c>
      <c r="E1353" t="inlineStr">
        <is>
          <t>KROKOM</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15797-2024</t>
        </is>
      </c>
      <c r="B1354" s="1" t="n">
        <v>45404</v>
      </c>
      <c r="C1354" s="1" t="n">
        <v>45840</v>
      </c>
      <c r="D1354" t="inlineStr">
        <is>
          <t>JÄMTLANDS LÄN</t>
        </is>
      </c>
      <c r="E1354" t="inlineStr">
        <is>
          <t>KROKOM</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15794-2024</t>
        </is>
      </c>
      <c r="B1355" s="1" t="n">
        <v>45404</v>
      </c>
      <c r="C1355" s="1" t="n">
        <v>45840</v>
      </c>
      <c r="D1355" t="inlineStr">
        <is>
          <t>JÄMTLANDS LÄN</t>
        </is>
      </c>
      <c r="E1355" t="inlineStr">
        <is>
          <t>KROKOM</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15934-2024</t>
        </is>
      </c>
      <c r="B1356" s="1" t="n">
        <v>45405</v>
      </c>
      <c r="C1356" s="1" t="n">
        <v>45840</v>
      </c>
      <c r="D1356" t="inlineStr">
        <is>
          <t>JÄMTLANDS LÄN</t>
        </is>
      </c>
      <c r="E1356" t="inlineStr">
        <is>
          <t>KROKOM</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16064-2024</t>
        </is>
      </c>
      <c r="B1357" s="1" t="n">
        <v>45406</v>
      </c>
      <c r="C1357" s="1" t="n">
        <v>45840</v>
      </c>
      <c r="D1357" t="inlineStr">
        <is>
          <t>JÄMTLANDS LÄN</t>
        </is>
      </c>
      <c r="E1357" t="inlineStr">
        <is>
          <t>KROKOM</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16349-2024</t>
        </is>
      </c>
      <c r="B1358" s="1" t="n">
        <v>45407</v>
      </c>
      <c r="C1358" s="1" t="n">
        <v>45840</v>
      </c>
      <c r="D1358" t="inlineStr">
        <is>
          <t>JÄMTLANDS LÄN</t>
        </is>
      </c>
      <c r="E1358" t="inlineStr">
        <is>
          <t>KROKOM</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16431-2024</t>
        </is>
      </c>
      <c r="B1359" s="1" t="n">
        <v>45407</v>
      </c>
      <c r="C1359" s="1" t="n">
        <v>45840</v>
      </c>
      <c r="D1359" t="inlineStr">
        <is>
          <t>JÄMTLANDS LÄN</t>
        </is>
      </c>
      <c r="E1359" t="inlineStr">
        <is>
          <t>KROKOM</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16545-2024</t>
        </is>
      </c>
      <c r="B1360" s="1" t="n">
        <v>45408</v>
      </c>
      <c r="C1360" s="1" t="n">
        <v>45840</v>
      </c>
      <c r="D1360" t="inlineStr">
        <is>
          <t>JÄMTLANDS LÄN</t>
        </is>
      </c>
      <c r="E1360" t="inlineStr">
        <is>
          <t>KROKOM</t>
        </is>
      </c>
      <c r="G1360" t="n">
        <v>46.1</v>
      </c>
      <c r="H1360" t="n">
        <v>0</v>
      </c>
      <c r="I1360" t="n">
        <v>0</v>
      </c>
      <c r="J1360" t="n">
        <v>0</v>
      </c>
      <c r="K1360" t="n">
        <v>0</v>
      </c>
      <c r="L1360" t="n">
        <v>0</v>
      </c>
      <c r="M1360" t="n">
        <v>0</v>
      </c>
      <c r="N1360" t="n">
        <v>0</v>
      </c>
      <c r="O1360" t="n">
        <v>0</v>
      </c>
      <c r="P1360" t="n">
        <v>0</v>
      </c>
      <c r="Q1360" t="n">
        <v>0</v>
      </c>
      <c r="R1360" s="2" t="inlineStr"/>
    </row>
    <row r="1361" ht="15" customHeight="1">
      <c r="A1361" t="inlineStr">
        <is>
          <t>A 16874-2024</t>
        </is>
      </c>
      <c r="B1361" s="1" t="n">
        <v>45411</v>
      </c>
      <c r="C1361" s="1" t="n">
        <v>45840</v>
      </c>
      <c r="D1361" t="inlineStr">
        <is>
          <t>JÄMTLANDS LÄN</t>
        </is>
      </c>
      <c r="E1361" t="inlineStr">
        <is>
          <t>KROKOM</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16817-2024</t>
        </is>
      </c>
      <c r="B1362" s="1" t="n">
        <v>45411</v>
      </c>
      <c r="C1362" s="1" t="n">
        <v>45840</v>
      </c>
      <c r="D1362" t="inlineStr">
        <is>
          <t>JÄMTLANDS LÄN</t>
        </is>
      </c>
      <c r="E1362" t="inlineStr">
        <is>
          <t>KROKOM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17090-2024</t>
        </is>
      </c>
      <c r="B1363" s="1" t="n">
        <v>45412</v>
      </c>
      <c r="C1363" s="1" t="n">
        <v>45840</v>
      </c>
      <c r="D1363" t="inlineStr">
        <is>
          <t>JÄMTLANDS LÄN</t>
        </is>
      </c>
      <c r="E1363" t="inlineStr">
        <is>
          <t>KROKOM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17298-2024</t>
        </is>
      </c>
      <c r="B1364" s="1" t="n">
        <v>45414</v>
      </c>
      <c r="C1364" s="1" t="n">
        <v>45840</v>
      </c>
      <c r="D1364" t="inlineStr">
        <is>
          <t>JÄMTLANDS LÄN</t>
        </is>
      </c>
      <c r="E1364" t="inlineStr">
        <is>
          <t>KROKOM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17417-2024</t>
        </is>
      </c>
      <c r="B1365" s="1" t="n">
        <v>45415</v>
      </c>
      <c r="C1365" s="1" t="n">
        <v>45840</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17469-2024</t>
        </is>
      </c>
      <c r="B1366" s="1" t="n">
        <v>45415</v>
      </c>
      <c r="C1366" s="1" t="n">
        <v>45840</v>
      </c>
      <c r="D1366" t="inlineStr">
        <is>
          <t>JÄMTLANDS LÄN</t>
        </is>
      </c>
      <c r="E1366" t="inlineStr">
        <is>
          <t>KROKOM</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17593-2024</t>
        </is>
      </c>
      <c r="B1367" s="1" t="n">
        <v>45415</v>
      </c>
      <c r="C1367" s="1" t="n">
        <v>45840</v>
      </c>
      <c r="D1367" t="inlineStr">
        <is>
          <t>JÄMTLANDS LÄN</t>
        </is>
      </c>
      <c r="E1367" t="inlineStr">
        <is>
          <t>KROKOM</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17820-2024</t>
        </is>
      </c>
      <c r="B1368" s="1" t="n">
        <v>45419</v>
      </c>
      <c r="C1368" s="1" t="n">
        <v>45840</v>
      </c>
      <c r="D1368" t="inlineStr">
        <is>
          <t>JÄMTLANDS LÄN</t>
        </is>
      </c>
      <c r="E1368" t="inlineStr">
        <is>
          <t>KROKOM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17821-2024</t>
        </is>
      </c>
      <c r="B1369" s="1" t="n">
        <v>45419</v>
      </c>
      <c r="C1369" s="1" t="n">
        <v>45840</v>
      </c>
      <c r="D1369" t="inlineStr">
        <is>
          <t>JÄMTLANDS LÄN</t>
        </is>
      </c>
      <c r="E1369" t="inlineStr">
        <is>
          <t>KROKOM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17853-2024</t>
        </is>
      </c>
      <c r="B1370" s="1" t="n">
        <v>45419</v>
      </c>
      <c r="C1370" s="1" t="n">
        <v>45840</v>
      </c>
      <c r="D1370" t="inlineStr">
        <is>
          <t>JÄMTLANDS LÄN</t>
        </is>
      </c>
      <c r="E1370" t="inlineStr">
        <is>
          <t>KROKOM</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18064-2024</t>
        </is>
      </c>
      <c r="B1371" s="1" t="n">
        <v>45420</v>
      </c>
      <c r="C1371" s="1" t="n">
        <v>45840</v>
      </c>
      <c r="D1371" t="inlineStr">
        <is>
          <t>JÄMTLANDS LÄN</t>
        </is>
      </c>
      <c r="E1371" t="inlineStr">
        <is>
          <t>KROKOM</t>
        </is>
      </c>
      <c r="F1371" t="inlineStr">
        <is>
          <t>Övriga Aktiebolag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18491-2024</t>
        </is>
      </c>
      <c r="B1372" s="1" t="n">
        <v>45425</v>
      </c>
      <c r="C1372" s="1" t="n">
        <v>45840</v>
      </c>
      <c r="D1372" t="inlineStr">
        <is>
          <t>JÄMTLANDS LÄN</t>
        </is>
      </c>
      <c r="E1372" t="inlineStr">
        <is>
          <t>KROKOM</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19248-2024</t>
        </is>
      </c>
      <c r="B1373" s="1" t="n">
        <v>45428</v>
      </c>
      <c r="C1373" s="1" t="n">
        <v>45840</v>
      </c>
      <c r="D1373" t="inlineStr">
        <is>
          <t>JÄMTLANDS LÄN</t>
        </is>
      </c>
      <c r="E1373" t="inlineStr">
        <is>
          <t>KROKOM</t>
        </is>
      </c>
      <c r="G1373" t="n">
        <v>13.7</v>
      </c>
      <c r="H1373" t="n">
        <v>0</v>
      </c>
      <c r="I1373" t="n">
        <v>0</v>
      </c>
      <c r="J1373" t="n">
        <v>0</v>
      </c>
      <c r="K1373" t="n">
        <v>0</v>
      </c>
      <c r="L1373" t="n">
        <v>0</v>
      </c>
      <c r="M1373" t="n">
        <v>0</v>
      </c>
      <c r="N1373" t="n">
        <v>0</v>
      </c>
      <c r="O1373" t="n">
        <v>0</v>
      </c>
      <c r="P1373" t="n">
        <v>0</v>
      </c>
      <c r="Q1373" t="n">
        <v>0</v>
      </c>
      <c r="R1373" s="2" t="inlineStr"/>
    </row>
    <row r="1374" ht="15" customHeight="1">
      <c r="A1374" t="inlineStr">
        <is>
          <t>A 19432-2024</t>
        </is>
      </c>
      <c r="B1374" s="1" t="n">
        <v>45429</v>
      </c>
      <c r="C1374" s="1" t="n">
        <v>45840</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19698-2024</t>
        </is>
      </c>
      <c r="B1375" s="1" t="n">
        <v>45432</v>
      </c>
      <c r="C1375" s="1" t="n">
        <v>45840</v>
      </c>
      <c r="D1375" t="inlineStr">
        <is>
          <t>JÄMTLANDS LÄN</t>
        </is>
      </c>
      <c r="E1375" t="inlineStr">
        <is>
          <t>KROKOM</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19635-2024</t>
        </is>
      </c>
      <c r="B1376" s="1" t="n">
        <v>45432</v>
      </c>
      <c r="C1376" s="1" t="n">
        <v>45840</v>
      </c>
      <c r="D1376" t="inlineStr">
        <is>
          <t>JÄMTLANDS LÄN</t>
        </is>
      </c>
      <c r="E1376" t="inlineStr">
        <is>
          <t>KROKOM</t>
        </is>
      </c>
      <c r="G1376" t="n">
        <v>14.5</v>
      </c>
      <c r="H1376" t="n">
        <v>0</v>
      </c>
      <c r="I1376" t="n">
        <v>0</v>
      </c>
      <c r="J1376" t="n">
        <v>0</v>
      </c>
      <c r="K1376" t="n">
        <v>0</v>
      </c>
      <c r="L1376" t="n">
        <v>0</v>
      </c>
      <c r="M1376" t="n">
        <v>0</v>
      </c>
      <c r="N1376" t="n">
        <v>0</v>
      </c>
      <c r="O1376" t="n">
        <v>0</v>
      </c>
      <c r="P1376" t="n">
        <v>0</v>
      </c>
      <c r="Q1376" t="n">
        <v>0</v>
      </c>
      <c r="R1376" s="2" t="inlineStr"/>
    </row>
    <row r="1377" ht="15" customHeight="1">
      <c r="A1377" t="inlineStr">
        <is>
          <t>A 21261-2024</t>
        </is>
      </c>
      <c r="B1377" s="1" t="n">
        <v>45440</v>
      </c>
      <c r="C1377" s="1" t="n">
        <v>45840</v>
      </c>
      <c r="D1377" t="inlineStr">
        <is>
          <t>JÄMTLANDS LÄN</t>
        </is>
      </c>
      <c r="E1377" t="inlineStr">
        <is>
          <t>KROKOM</t>
        </is>
      </c>
      <c r="F1377" t="inlineStr">
        <is>
          <t>Övriga Aktiebolag</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21304-2024</t>
        </is>
      </c>
      <c r="B1378" s="1" t="n">
        <v>45440</v>
      </c>
      <c r="C1378" s="1" t="n">
        <v>45840</v>
      </c>
      <c r="D1378" t="inlineStr">
        <is>
          <t>JÄMTLANDS LÄN</t>
        </is>
      </c>
      <c r="E1378" t="inlineStr">
        <is>
          <t>KROKOM</t>
        </is>
      </c>
      <c r="F1378" t="inlineStr">
        <is>
          <t>Övriga Aktiebolag</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21579-2024</t>
        </is>
      </c>
      <c r="B1379" s="1" t="n">
        <v>45441</v>
      </c>
      <c r="C1379" s="1" t="n">
        <v>45840</v>
      </c>
      <c r="D1379" t="inlineStr">
        <is>
          <t>JÄMTLANDS LÄN</t>
        </is>
      </c>
      <c r="E1379" t="inlineStr">
        <is>
          <t>KROKOM</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21806-2024</t>
        </is>
      </c>
      <c r="B1380" s="1" t="n">
        <v>45442</v>
      </c>
      <c r="C1380" s="1" t="n">
        <v>45840</v>
      </c>
      <c r="D1380" t="inlineStr">
        <is>
          <t>JÄMTLANDS LÄN</t>
        </is>
      </c>
      <c r="E1380" t="inlineStr">
        <is>
          <t>KROKOM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21801-2024</t>
        </is>
      </c>
      <c r="B1381" s="1" t="n">
        <v>45442</v>
      </c>
      <c r="C1381" s="1" t="n">
        <v>45840</v>
      </c>
      <c r="D1381" t="inlineStr">
        <is>
          <t>JÄMTLANDS LÄN</t>
        </is>
      </c>
      <c r="E1381" t="inlineStr">
        <is>
          <t>KROKOM</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21839-2024</t>
        </is>
      </c>
      <c r="B1382" s="1" t="n">
        <v>45442</v>
      </c>
      <c r="C1382" s="1" t="n">
        <v>45840</v>
      </c>
      <c r="D1382" t="inlineStr">
        <is>
          <t>JÄMTLANDS LÄN</t>
        </is>
      </c>
      <c r="E1382" t="inlineStr">
        <is>
          <t>KROKOM</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22127-2024</t>
        </is>
      </c>
      <c r="B1383" s="1" t="n">
        <v>45443</v>
      </c>
      <c r="C1383" s="1" t="n">
        <v>45840</v>
      </c>
      <c r="D1383" t="inlineStr">
        <is>
          <t>JÄMTLANDS LÄN</t>
        </is>
      </c>
      <c r="E1383" t="inlineStr">
        <is>
          <t>KROKOM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22411-2024</t>
        </is>
      </c>
      <c r="B1384" s="1" t="n">
        <v>45446</v>
      </c>
      <c r="C1384" s="1" t="n">
        <v>45840</v>
      </c>
      <c r="D1384" t="inlineStr">
        <is>
          <t>JÄMTLANDS LÄN</t>
        </is>
      </c>
      <c r="E1384" t="inlineStr">
        <is>
          <t>KROKOM</t>
        </is>
      </c>
      <c r="F1384" t="inlineStr">
        <is>
          <t>Övriga Aktiebolag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22258-2024</t>
        </is>
      </c>
      <c r="B1385" s="1" t="n">
        <v>45446</v>
      </c>
      <c r="C1385" s="1" t="n">
        <v>45840</v>
      </c>
      <c r="D1385" t="inlineStr">
        <is>
          <t>JÄMTLANDS LÄN</t>
        </is>
      </c>
      <c r="E1385" t="inlineStr">
        <is>
          <t>KROKOM</t>
        </is>
      </c>
      <c r="F1385" t="inlineStr">
        <is>
          <t>Övriga Aktiebolag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22949-2024</t>
        </is>
      </c>
      <c r="B1386" s="1" t="n">
        <v>45448</v>
      </c>
      <c r="C1386" s="1" t="n">
        <v>45840</v>
      </c>
      <c r="D1386" t="inlineStr">
        <is>
          <t>JÄMTLANDS LÄN</t>
        </is>
      </c>
      <c r="E1386" t="inlineStr">
        <is>
          <t>KROKOM</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22850-2024</t>
        </is>
      </c>
      <c r="B1387" s="1" t="n">
        <v>45448</v>
      </c>
      <c r="C1387" s="1" t="n">
        <v>45840</v>
      </c>
      <c r="D1387" t="inlineStr">
        <is>
          <t>JÄMTLANDS LÄN</t>
        </is>
      </c>
      <c r="E1387" t="inlineStr">
        <is>
          <t>KROKOM</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22890-2024</t>
        </is>
      </c>
      <c r="B1388" s="1" t="n">
        <v>45448</v>
      </c>
      <c r="C1388" s="1" t="n">
        <v>45840</v>
      </c>
      <c r="D1388" t="inlineStr">
        <is>
          <t>JÄMTLANDS LÄN</t>
        </is>
      </c>
      <c r="E1388" t="inlineStr">
        <is>
          <t>KROKOM</t>
        </is>
      </c>
      <c r="F1388" t="inlineStr">
        <is>
          <t>Övriga Aktiebolag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22967-2024</t>
        </is>
      </c>
      <c r="B1389" s="1" t="n">
        <v>45449</v>
      </c>
      <c r="C1389" s="1" t="n">
        <v>45840</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22971-2024</t>
        </is>
      </c>
      <c r="B1390" s="1" t="n">
        <v>45449</v>
      </c>
      <c r="C1390" s="1" t="n">
        <v>45840</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23017-2024</t>
        </is>
      </c>
      <c r="B1391" s="1" t="n">
        <v>45450</v>
      </c>
      <c r="C1391" s="1" t="n">
        <v>45840</v>
      </c>
      <c r="D1391" t="inlineStr">
        <is>
          <t>JÄMTLANDS LÄN</t>
        </is>
      </c>
      <c r="E1391" t="inlineStr">
        <is>
          <t>KROKOM</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23215-2024</t>
        </is>
      </c>
      <c r="B1392" s="1" t="n">
        <v>45452</v>
      </c>
      <c r="C1392" s="1" t="n">
        <v>45840</v>
      </c>
      <c r="D1392" t="inlineStr">
        <is>
          <t>JÄMTLANDS LÄN</t>
        </is>
      </c>
      <c r="E1392" t="inlineStr">
        <is>
          <t>KROKOM</t>
        </is>
      </c>
      <c r="F1392" t="inlineStr">
        <is>
          <t>Övriga Aktiebolag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23214-2024</t>
        </is>
      </c>
      <c r="B1393" s="1" t="n">
        <v>45452</v>
      </c>
      <c r="C1393" s="1" t="n">
        <v>45840</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23210-2024</t>
        </is>
      </c>
      <c r="B1394" s="1" t="n">
        <v>45452</v>
      </c>
      <c r="C1394" s="1" t="n">
        <v>45840</v>
      </c>
      <c r="D1394" t="inlineStr">
        <is>
          <t>JÄMTLANDS LÄN</t>
        </is>
      </c>
      <c r="E1394" t="inlineStr">
        <is>
          <t>KROKOM</t>
        </is>
      </c>
      <c r="F1394" t="inlineStr">
        <is>
          <t>Övriga Aktiebolag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23281-2024</t>
        </is>
      </c>
      <c r="B1395" s="1" t="n">
        <v>45453</v>
      </c>
      <c r="C1395" s="1" t="n">
        <v>45840</v>
      </c>
      <c r="D1395" t="inlineStr">
        <is>
          <t>JÄMTLANDS LÄN</t>
        </is>
      </c>
      <c r="E1395" t="inlineStr">
        <is>
          <t>KROKOM</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23297-2024</t>
        </is>
      </c>
      <c r="B1396" s="1" t="n">
        <v>45453</v>
      </c>
      <c r="C1396" s="1" t="n">
        <v>45840</v>
      </c>
      <c r="D1396" t="inlineStr">
        <is>
          <t>JÄMTLANDS LÄN</t>
        </is>
      </c>
      <c r="E1396" t="inlineStr">
        <is>
          <t>KROKOM</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23313-2024</t>
        </is>
      </c>
      <c r="B1397" s="1" t="n">
        <v>45453</v>
      </c>
      <c r="C1397" s="1" t="n">
        <v>45840</v>
      </c>
      <c r="D1397" t="inlineStr">
        <is>
          <t>JÄMTLANDS LÄN</t>
        </is>
      </c>
      <c r="E1397" t="inlineStr">
        <is>
          <t>KROKOM</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23319-2024</t>
        </is>
      </c>
      <c r="B1398" s="1" t="n">
        <v>45453</v>
      </c>
      <c r="C1398" s="1" t="n">
        <v>45840</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23554-2024</t>
        </is>
      </c>
      <c r="B1399" s="1" t="n">
        <v>45454</v>
      </c>
      <c r="C1399" s="1" t="n">
        <v>45840</v>
      </c>
      <c r="D1399" t="inlineStr">
        <is>
          <t>JÄMTLANDS LÄN</t>
        </is>
      </c>
      <c r="E1399" t="inlineStr">
        <is>
          <t>KROKOM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23316-2024</t>
        </is>
      </c>
      <c r="B1400" s="1" t="n">
        <v>45453</v>
      </c>
      <c r="C1400" s="1" t="n">
        <v>45840</v>
      </c>
      <c r="D1400" t="inlineStr">
        <is>
          <t>JÄMTLANDS LÄN</t>
        </is>
      </c>
      <c r="E1400" t="inlineStr">
        <is>
          <t>KROKOM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23507-2024</t>
        </is>
      </c>
      <c r="B1401" s="1" t="n">
        <v>45453</v>
      </c>
      <c r="C1401" s="1" t="n">
        <v>45840</v>
      </c>
      <c r="D1401" t="inlineStr">
        <is>
          <t>JÄMTLANDS LÄN</t>
        </is>
      </c>
      <c r="E1401" t="inlineStr">
        <is>
          <t>KROKOM</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23539-2024</t>
        </is>
      </c>
      <c r="B1402" s="1" t="n">
        <v>45454</v>
      </c>
      <c r="C1402" s="1" t="n">
        <v>45840</v>
      </c>
      <c r="D1402" t="inlineStr">
        <is>
          <t>JÄMTLANDS LÄN</t>
        </is>
      </c>
      <c r="E1402" t="inlineStr">
        <is>
          <t>KROKOM</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23379-2024</t>
        </is>
      </c>
      <c r="B1403" s="1" t="n">
        <v>45453</v>
      </c>
      <c r="C1403" s="1" t="n">
        <v>45840</v>
      </c>
      <c r="D1403" t="inlineStr">
        <is>
          <t>JÄMTLANDS LÄN</t>
        </is>
      </c>
      <c r="E1403" t="inlineStr">
        <is>
          <t>KROKOM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23635-2024</t>
        </is>
      </c>
      <c r="B1404" s="1" t="n">
        <v>45454</v>
      </c>
      <c r="C1404" s="1" t="n">
        <v>45840</v>
      </c>
      <c r="D1404" t="inlineStr">
        <is>
          <t>JÄMTLANDS LÄN</t>
        </is>
      </c>
      <c r="E1404" t="inlineStr">
        <is>
          <t>KROKOM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23665-2024</t>
        </is>
      </c>
      <c r="B1405" s="1" t="n">
        <v>45454</v>
      </c>
      <c r="C1405" s="1" t="n">
        <v>45840</v>
      </c>
      <c r="D1405" t="inlineStr">
        <is>
          <t>JÄMTLANDS LÄN</t>
        </is>
      </c>
      <c r="E1405" t="inlineStr">
        <is>
          <t>KROKOM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23948-2024</t>
        </is>
      </c>
      <c r="B1406" s="1" t="n">
        <v>45456</v>
      </c>
      <c r="C1406" s="1" t="n">
        <v>45840</v>
      </c>
      <c r="D1406" t="inlineStr">
        <is>
          <t>JÄMTLANDS LÄN</t>
        </is>
      </c>
      <c r="E1406" t="inlineStr">
        <is>
          <t>KROKOM</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23988-2024</t>
        </is>
      </c>
      <c r="B1407" s="1" t="n">
        <v>45456</v>
      </c>
      <c r="C1407" s="1" t="n">
        <v>45840</v>
      </c>
      <c r="D1407" t="inlineStr">
        <is>
          <t>JÄMTLANDS LÄN</t>
        </is>
      </c>
      <c r="E1407" t="inlineStr">
        <is>
          <t>KROKOM</t>
        </is>
      </c>
      <c r="F1407" t="inlineStr">
        <is>
          <t>Kyrkan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24198-2024</t>
        </is>
      </c>
      <c r="B1408" s="1" t="n">
        <v>45457</v>
      </c>
      <c r="C1408" s="1" t="n">
        <v>45840</v>
      </c>
      <c r="D1408" t="inlineStr">
        <is>
          <t>JÄMTLANDS LÄN</t>
        </is>
      </c>
      <c r="E1408" t="inlineStr">
        <is>
          <t>KROKOM</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24234-2024</t>
        </is>
      </c>
      <c r="B1409" s="1" t="n">
        <v>45457</v>
      </c>
      <c r="C1409" s="1" t="n">
        <v>45840</v>
      </c>
      <c r="D1409" t="inlineStr">
        <is>
          <t>JÄMTLANDS LÄN</t>
        </is>
      </c>
      <c r="E1409" t="inlineStr">
        <is>
          <t>KROKOM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24241-2024</t>
        </is>
      </c>
      <c r="B1410" s="1" t="n">
        <v>45457</v>
      </c>
      <c r="C1410" s="1" t="n">
        <v>45840</v>
      </c>
      <c r="D1410" t="inlineStr">
        <is>
          <t>JÄMTLANDS LÄN</t>
        </is>
      </c>
      <c r="E1410" t="inlineStr">
        <is>
          <t>KROKOM</t>
        </is>
      </c>
      <c r="F1410" t="inlineStr">
        <is>
          <t>Övriga Aktiebolag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24333-2024</t>
        </is>
      </c>
      <c r="B1411" s="1" t="n">
        <v>45457</v>
      </c>
      <c r="C1411" s="1" t="n">
        <v>45840</v>
      </c>
      <c r="D1411" t="inlineStr">
        <is>
          <t>JÄMTLANDS LÄN</t>
        </is>
      </c>
      <c r="E1411" t="inlineStr">
        <is>
          <t>KROKOM</t>
        </is>
      </c>
      <c r="F1411" t="inlineStr">
        <is>
          <t>Övriga Aktiebolag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24252-2024</t>
        </is>
      </c>
      <c r="B1412" s="1" t="n">
        <v>45457</v>
      </c>
      <c r="C1412" s="1" t="n">
        <v>45840</v>
      </c>
      <c r="D1412" t="inlineStr">
        <is>
          <t>JÄMTLANDS LÄN</t>
        </is>
      </c>
      <c r="E1412" t="inlineStr">
        <is>
          <t>KROKOM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24484-2024</t>
        </is>
      </c>
      <c r="B1413" s="1" t="n">
        <v>45459</v>
      </c>
      <c r="C1413" s="1" t="n">
        <v>45840</v>
      </c>
      <c r="D1413" t="inlineStr">
        <is>
          <t>JÄMTLANDS LÄN</t>
        </is>
      </c>
      <c r="E1413" t="inlineStr">
        <is>
          <t>KROKOM</t>
        </is>
      </c>
      <c r="F1413" t="inlineStr">
        <is>
          <t>Övriga Aktiebolag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24559-2024</t>
        </is>
      </c>
      <c r="B1414" s="1" t="n">
        <v>45460</v>
      </c>
      <c r="C1414" s="1" t="n">
        <v>45840</v>
      </c>
      <c r="D1414" t="inlineStr">
        <is>
          <t>JÄMTLANDS LÄN</t>
        </is>
      </c>
      <c r="E1414" t="inlineStr">
        <is>
          <t>KROKOM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24877-2024</t>
        </is>
      </c>
      <c r="B1415" s="1" t="n">
        <v>45461</v>
      </c>
      <c r="C1415" s="1" t="n">
        <v>45840</v>
      </c>
      <c r="D1415" t="inlineStr">
        <is>
          <t>JÄMTLANDS LÄN</t>
        </is>
      </c>
      <c r="E1415" t="inlineStr">
        <is>
          <t>KROKOM</t>
        </is>
      </c>
      <c r="F1415" t="inlineStr">
        <is>
          <t>Övriga Aktiebolag</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25532-2024</t>
        </is>
      </c>
      <c r="B1416" s="1" t="n">
        <v>45463</v>
      </c>
      <c r="C1416" s="1" t="n">
        <v>45840</v>
      </c>
      <c r="D1416" t="inlineStr">
        <is>
          <t>JÄMTLANDS LÄN</t>
        </is>
      </c>
      <c r="E1416" t="inlineStr">
        <is>
          <t>KROKOM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25775-2024</t>
        </is>
      </c>
      <c r="B1417" s="1" t="n">
        <v>45466</v>
      </c>
      <c r="C1417" s="1" t="n">
        <v>45840</v>
      </c>
      <c r="D1417" t="inlineStr">
        <is>
          <t>JÄMTLANDS LÄN</t>
        </is>
      </c>
      <c r="E1417" t="inlineStr">
        <is>
          <t>KROKOM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25906-2024</t>
        </is>
      </c>
      <c r="B1418" s="1" t="n">
        <v>45467</v>
      </c>
      <c r="C1418" s="1" t="n">
        <v>45840</v>
      </c>
      <c r="D1418" t="inlineStr">
        <is>
          <t>JÄMTLANDS LÄN</t>
        </is>
      </c>
      <c r="E1418" t="inlineStr">
        <is>
          <t>KROKOM</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25956-2024</t>
        </is>
      </c>
      <c r="B1419" s="1" t="n">
        <v>45467</v>
      </c>
      <c r="C1419" s="1" t="n">
        <v>45840</v>
      </c>
      <c r="D1419" t="inlineStr">
        <is>
          <t>JÄMTLANDS LÄN</t>
        </is>
      </c>
      <c r="E1419" t="inlineStr">
        <is>
          <t>KROKOM</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26207-2024</t>
        </is>
      </c>
      <c r="B1420" s="1" t="n">
        <v>45467</v>
      </c>
      <c r="C1420" s="1" t="n">
        <v>45840</v>
      </c>
      <c r="D1420" t="inlineStr">
        <is>
          <t>JÄMTLANDS LÄN</t>
        </is>
      </c>
      <c r="E1420" t="inlineStr">
        <is>
          <t>KROKOM</t>
        </is>
      </c>
      <c r="G1420" t="n">
        <v>14.4</v>
      </c>
      <c r="H1420" t="n">
        <v>0</v>
      </c>
      <c r="I1420" t="n">
        <v>0</v>
      </c>
      <c r="J1420" t="n">
        <v>0</v>
      </c>
      <c r="K1420" t="n">
        <v>0</v>
      </c>
      <c r="L1420" t="n">
        <v>0</v>
      </c>
      <c r="M1420" t="n">
        <v>0</v>
      </c>
      <c r="N1420" t="n">
        <v>0</v>
      </c>
      <c r="O1420" t="n">
        <v>0</v>
      </c>
      <c r="P1420" t="n">
        <v>0</v>
      </c>
      <c r="Q1420" t="n">
        <v>0</v>
      </c>
      <c r="R1420" s="2" t="inlineStr"/>
    </row>
    <row r="1421" ht="15" customHeight="1">
      <c r="A1421" t="inlineStr">
        <is>
          <t>A 26231-2024</t>
        </is>
      </c>
      <c r="B1421" s="1" t="n">
        <v>45467</v>
      </c>
      <c r="C1421" s="1" t="n">
        <v>45840</v>
      </c>
      <c r="D1421" t="inlineStr">
        <is>
          <t>JÄMTLANDS LÄN</t>
        </is>
      </c>
      <c r="E1421" t="inlineStr">
        <is>
          <t>KROKOM</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26228-2024</t>
        </is>
      </c>
      <c r="B1422" s="1" t="n">
        <v>45467</v>
      </c>
      <c r="C1422" s="1" t="n">
        <v>45840</v>
      </c>
      <c r="D1422" t="inlineStr">
        <is>
          <t>JÄMTLANDS LÄN</t>
        </is>
      </c>
      <c r="E1422" t="inlineStr">
        <is>
          <t>KROKOM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26235-2024</t>
        </is>
      </c>
      <c r="B1423" s="1" t="n">
        <v>45467</v>
      </c>
      <c r="C1423" s="1" t="n">
        <v>45840</v>
      </c>
      <c r="D1423" t="inlineStr">
        <is>
          <t>JÄMTLANDS LÄN</t>
        </is>
      </c>
      <c r="E1423" t="inlineStr">
        <is>
          <t>KROKOM</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26310-2024</t>
        </is>
      </c>
      <c r="B1424" s="1" t="n">
        <v>45469</v>
      </c>
      <c r="C1424" s="1" t="n">
        <v>45840</v>
      </c>
      <c r="D1424" t="inlineStr">
        <is>
          <t>JÄMTLANDS LÄN</t>
        </is>
      </c>
      <c r="E1424" t="inlineStr">
        <is>
          <t>KROKOM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26311-2024</t>
        </is>
      </c>
      <c r="B1425" s="1" t="n">
        <v>45469</v>
      </c>
      <c r="C1425" s="1" t="n">
        <v>45840</v>
      </c>
      <c r="D1425" t="inlineStr">
        <is>
          <t>JÄMTLANDS LÄN</t>
        </is>
      </c>
      <c r="E1425" t="inlineStr">
        <is>
          <t>KROKOM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26375-2024</t>
        </is>
      </c>
      <c r="B1426" s="1" t="n">
        <v>45469</v>
      </c>
      <c r="C1426" s="1" t="n">
        <v>45840</v>
      </c>
      <c r="D1426" t="inlineStr">
        <is>
          <t>JÄMTLANDS LÄN</t>
        </is>
      </c>
      <c r="E1426" t="inlineStr">
        <is>
          <t>KROKOM</t>
        </is>
      </c>
      <c r="G1426" t="n">
        <v>23.7</v>
      </c>
      <c r="H1426" t="n">
        <v>0</v>
      </c>
      <c r="I1426" t="n">
        <v>0</v>
      </c>
      <c r="J1426" t="n">
        <v>0</v>
      </c>
      <c r="K1426" t="n">
        <v>0</v>
      </c>
      <c r="L1426" t="n">
        <v>0</v>
      </c>
      <c r="M1426" t="n">
        <v>0</v>
      </c>
      <c r="N1426" t="n">
        <v>0</v>
      </c>
      <c r="O1426" t="n">
        <v>0</v>
      </c>
      <c r="P1426" t="n">
        <v>0</v>
      </c>
      <c r="Q1426" t="n">
        <v>0</v>
      </c>
      <c r="R1426" s="2" t="inlineStr"/>
    </row>
    <row r="1427" ht="15" customHeight="1">
      <c r="A1427" t="inlineStr">
        <is>
          <t>A 26414-2024</t>
        </is>
      </c>
      <c r="B1427" s="1" t="n">
        <v>45469</v>
      </c>
      <c r="C1427" s="1" t="n">
        <v>45840</v>
      </c>
      <c r="D1427" t="inlineStr">
        <is>
          <t>JÄMTLANDS LÄN</t>
        </is>
      </c>
      <c r="E1427" t="inlineStr">
        <is>
          <t>KROKOM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26881-2024</t>
        </is>
      </c>
      <c r="B1428" s="1" t="n">
        <v>45470</v>
      </c>
      <c r="C1428" s="1" t="n">
        <v>45840</v>
      </c>
      <c r="D1428" t="inlineStr">
        <is>
          <t>JÄMTLANDS LÄN</t>
        </is>
      </c>
      <c r="E1428" t="inlineStr">
        <is>
          <t>KROKOM</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27224-2024</t>
        </is>
      </c>
      <c r="B1429" s="1" t="n">
        <v>45471</v>
      </c>
      <c r="C1429" s="1" t="n">
        <v>45840</v>
      </c>
      <c r="D1429" t="inlineStr">
        <is>
          <t>JÄMTLANDS LÄN</t>
        </is>
      </c>
      <c r="E1429" t="inlineStr">
        <is>
          <t>KROKOM</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27431-2024</t>
        </is>
      </c>
      <c r="B1430" s="1" t="n">
        <v>45474</v>
      </c>
      <c r="C1430" s="1" t="n">
        <v>45840</v>
      </c>
      <c r="D1430" t="inlineStr">
        <is>
          <t>JÄMTLANDS LÄN</t>
        </is>
      </c>
      <c r="E1430" t="inlineStr">
        <is>
          <t>KROKOM</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27416-2024</t>
        </is>
      </c>
      <c r="B1431" s="1" t="n">
        <v>45474</v>
      </c>
      <c r="C1431" s="1" t="n">
        <v>45840</v>
      </c>
      <c r="D1431" t="inlineStr">
        <is>
          <t>JÄMTLANDS LÄN</t>
        </is>
      </c>
      <c r="E1431" t="inlineStr">
        <is>
          <t>KROKOM</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27440-2024</t>
        </is>
      </c>
      <c r="B1432" s="1" t="n">
        <v>45474</v>
      </c>
      <c r="C1432" s="1" t="n">
        <v>45840</v>
      </c>
      <c r="D1432" t="inlineStr">
        <is>
          <t>JÄMTLANDS LÄN</t>
        </is>
      </c>
      <c r="E1432" t="inlineStr">
        <is>
          <t>KROKOM</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27434-2024</t>
        </is>
      </c>
      <c r="B1433" s="1" t="n">
        <v>45474</v>
      </c>
      <c r="C1433" s="1" t="n">
        <v>45840</v>
      </c>
      <c r="D1433" t="inlineStr">
        <is>
          <t>JÄMTLANDS LÄN</t>
        </is>
      </c>
      <c r="E1433" t="inlineStr">
        <is>
          <t>KROKOM</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27596-2024</t>
        </is>
      </c>
      <c r="B1434" s="1" t="n">
        <v>45474</v>
      </c>
      <c r="C1434" s="1" t="n">
        <v>45840</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27600-2024</t>
        </is>
      </c>
      <c r="B1435" s="1" t="n">
        <v>45474</v>
      </c>
      <c r="C1435" s="1" t="n">
        <v>45840</v>
      </c>
      <c r="D1435" t="inlineStr">
        <is>
          <t>JÄMTLANDS LÄN</t>
        </is>
      </c>
      <c r="E1435" t="inlineStr">
        <is>
          <t>KROKOM</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27597-2024</t>
        </is>
      </c>
      <c r="B1436" s="1" t="n">
        <v>45474</v>
      </c>
      <c r="C1436" s="1" t="n">
        <v>45840</v>
      </c>
      <c r="D1436" t="inlineStr">
        <is>
          <t>JÄMTLANDS LÄN</t>
        </is>
      </c>
      <c r="E1436" t="inlineStr">
        <is>
          <t>KROKOM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27695-2024</t>
        </is>
      </c>
      <c r="B1437" s="1" t="n">
        <v>45475</v>
      </c>
      <c r="C1437" s="1" t="n">
        <v>45840</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27730-2024</t>
        </is>
      </c>
      <c r="B1438" s="1" t="n">
        <v>45475</v>
      </c>
      <c r="C1438" s="1" t="n">
        <v>45840</v>
      </c>
      <c r="D1438" t="inlineStr">
        <is>
          <t>JÄMTLANDS LÄN</t>
        </is>
      </c>
      <c r="E1438" t="inlineStr">
        <is>
          <t>KROKOM</t>
        </is>
      </c>
      <c r="F1438" t="inlineStr">
        <is>
          <t>Övriga Aktiebolag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27716-2024</t>
        </is>
      </c>
      <c r="B1439" s="1" t="n">
        <v>45475</v>
      </c>
      <c r="C1439" s="1" t="n">
        <v>45840</v>
      </c>
      <c r="D1439" t="inlineStr">
        <is>
          <t>JÄMTLANDS LÄN</t>
        </is>
      </c>
      <c r="E1439" t="inlineStr">
        <is>
          <t>KROKOM</t>
        </is>
      </c>
      <c r="F1439" t="inlineStr">
        <is>
          <t>Övriga Aktiebolag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27729-2024</t>
        </is>
      </c>
      <c r="B1440" s="1" t="n">
        <v>45475</v>
      </c>
      <c r="C1440" s="1" t="n">
        <v>45840</v>
      </c>
      <c r="D1440" t="inlineStr">
        <is>
          <t>JÄMTLANDS LÄN</t>
        </is>
      </c>
      <c r="E1440" t="inlineStr">
        <is>
          <t>KROKOM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27954-2024</t>
        </is>
      </c>
      <c r="B1441" s="1" t="n">
        <v>45476</v>
      </c>
      <c r="C1441" s="1" t="n">
        <v>45840</v>
      </c>
      <c r="D1441" t="inlineStr">
        <is>
          <t>JÄMTLANDS LÄN</t>
        </is>
      </c>
      <c r="E1441" t="inlineStr">
        <is>
          <t>KROKOM</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28191-2024</t>
        </is>
      </c>
      <c r="B1442" s="1" t="n">
        <v>45477</v>
      </c>
      <c r="C1442" s="1" t="n">
        <v>45840</v>
      </c>
      <c r="D1442" t="inlineStr">
        <is>
          <t>JÄMTLANDS LÄN</t>
        </is>
      </c>
      <c r="E1442" t="inlineStr">
        <is>
          <t>KROKOM</t>
        </is>
      </c>
      <c r="F1442" t="inlineStr">
        <is>
          <t>Övriga Aktiebolag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28210-2024</t>
        </is>
      </c>
      <c r="B1443" s="1" t="n">
        <v>45477</v>
      </c>
      <c r="C1443" s="1" t="n">
        <v>45840</v>
      </c>
      <c r="D1443" t="inlineStr">
        <is>
          <t>JÄMTLANDS LÄN</t>
        </is>
      </c>
      <c r="E1443" t="inlineStr">
        <is>
          <t>KROKOM</t>
        </is>
      </c>
      <c r="F1443" t="inlineStr">
        <is>
          <t>Övriga Aktiebolag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28185-2024</t>
        </is>
      </c>
      <c r="B1444" s="1" t="n">
        <v>45477</v>
      </c>
      <c r="C1444" s="1" t="n">
        <v>45840</v>
      </c>
      <c r="D1444" t="inlineStr">
        <is>
          <t>JÄMTLANDS LÄN</t>
        </is>
      </c>
      <c r="E1444" t="inlineStr">
        <is>
          <t>KROKOM</t>
        </is>
      </c>
      <c r="F1444" t="inlineStr">
        <is>
          <t>Övriga Aktiebolag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28595-2024</t>
        </is>
      </c>
      <c r="B1445" s="1" t="n">
        <v>45478</v>
      </c>
      <c r="C1445" s="1" t="n">
        <v>45840</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28533-2024</t>
        </is>
      </c>
      <c r="B1446" s="1" t="n">
        <v>45478</v>
      </c>
      <c r="C1446" s="1" t="n">
        <v>45840</v>
      </c>
      <c r="D1446" t="inlineStr">
        <is>
          <t>JÄMTLANDS LÄN</t>
        </is>
      </c>
      <c r="E1446" t="inlineStr">
        <is>
          <t>KROKOM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28780-2024</t>
        </is>
      </c>
      <c r="B1447" s="1" t="n">
        <v>45478</v>
      </c>
      <c r="C1447" s="1" t="n">
        <v>45840</v>
      </c>
      <c r="D1447" t="inlineStr">
        <is>
          <t>JÄMTLANDS LÄN</t>
        </is>
      </c>
      <c r="E1447" t="inlineStr">
        <is>
          <t>KROKOM</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28568-2024</t>
        </is>
      </c>
      <c r="B1448" s="1" t="n">
        <v>45478</v>
      </c>
      <c r="C1448" s="1" t="n">
        <v>45840</v>
      </c>
      <c r="D1448" t="inlineStr">
        <is>
          <t>JÄMTLANDS LÄN</t>
        </is>
      </c>
      <c r="E1448" t="inlineStr">
        <is>
          <t>KROKOM</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29276-2024</t>
        </is>
      </c>
      <c r="B1449" s="1" t="n">
        <v>45483</v>
      </c>
      <c r="C1449" s="1" t="n">
        <v>45840</v>
      </c>
      <c r="D1449" t="inlineStr">
        <is>
          <t>JÄMTLANDS LÄN</t>
        </is>
      </c>
      <c r="E1449" t="inlineStr">
        <is>
          <t>KROKOM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29275-2024</t>
        </is>
      </c>
      <c r="B1450" s="1" t="n">
        <v>45483</v>
      </c>
      <c r="C1450" s="1" t="n">
        <v>45840</v>
      </c>
      <c r="D1450" t="inlineStr">
        <is>
          <t>JÄMTLANDS LÄN</t>
        </is>
      </c>
      <c r="E1450" t="inlineStr">
        <is>
          <t>KROKOM</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29524-2024</t>
        </is>
      </c>
      <c r="B1451" s="1" t="n">
        <v>45484</v>
      </c>
      <c r="C1451" s="1" t="n">
        <v>45840</v>
      </c>
      <c r="D1451" t="inlineStr">
        <is>
          <t>JÄMTLANDS LÄN</t>
        </is>
      </c>
      <c r="E1451" t="inlineStr">
        <is>
          <t>KROKOM</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29484-2024</t>
        </is>
      </c>
      <c r="B1452" s="1" t="n">
        <v>45484</v>
      </c>
      <c r="C1452" s="1" t="n">
        <v>45840</v>
      </c>
      <c r="D1452" t="inlineStr">
        <is>
          <t>JÄMTLANDS LÄN</t>
        </is>
      </c>
      <c r="E1452" t="inlineStr">
        <is>
          <t>KROKOM</t>
        </is>
      </c>
      <c r="F1452" t="inlineStr">
        <is>
          <t>Övriga Aktiebolag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29477-2024</t>
        </is>
      </c>
      <c r="B1453" s="1" t="n">
        <v>45484</v>
      </c>
      <c r="C1453" s="1" t="n">
        <v>45840</v>
      </c>
      <c r="D1453" t="inlineStr">
        <is>
          <t>JÄMTLANDS LÄN</t>
        </is>
      </c>
      <c r="E1453" t="inlineStr">
        <is>
          <t>KROKOM</t>
        </is>
      </c>
      <c r="F1453" t="inlineStr">
        <is>
          <t>Övriga Aktiebolag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30065-2024</t>
        </is>
      </c>
      <c r="B1454" s="1" t="n">
        <v>45489</v>
      </c>
      <c r="C1454" s="1" t="n">
        <v>45840</v>
      </c>
      <c r="D1454" t="inlineStr">
        <is>
          <t>JÄMTLANDS LÄN</t>
        </is>
      </c>
      <c r="E1454" t="inlineStr">
        <is>
          <t>KROKOM</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30383-2024</t>
        </is>
      </c>
      <c r="B1455" s="1" t="n">
        <v>45491</v>
      </c>
      <c r="C1455" s="1" t="n">
        <v>45840</v>
      </c>
      <c r="D1455" t="inlineStr">
        <is>
          <t>JÄMTLANDS LÄN</t>
        </is>
      </c>
      <c r="E1455" t="inlineStr">
        <is>
          <t>KROKOM</t>
        </is>
      </c>
      <c r="G1455" t="n">
        <v>22.9</v>
      </c>
      <c r="H1455" t="n">
        <v>0</v>
      </c>
      <c r="I1455" t="n">
        <v>0</v>
      </c>
      <c r="J1455" t="n">
        <v>0</v>
      </c>
      <c r="K1455" t="n">
        <v>0</v>
      </c>
      <c r="L1455" t="n">
        <v>0</v>
      </c>
      <c r="M1455" t="n">
        <v>0</v>
      </c>
      <c r="N1455" t="n">
        <v>0</v>
      </c>
      <c r="O1455" t="n">
        <v>0</v>
      </c>
      <c r="P1455" t="n">
        <v>0</v>
      </c>
      <c r="Q1455" t="n">
        <v>0</v>
      </c>
      <c r="R1455" s="2" t="inlineStr"/>
    </row>
    <row r="1456" ht="15" customHeight="1">
      <c r="A1456" t="inlineStr">
        <is>
          <t>A 30494-2024</t>
        </is>
      </c>
      <c r="B1456" s="1" t="n">
        <v>45491</v>
      </c>
      <c r="C1456" s="1" t="n">
        <v>45840</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30709-2024</t>
        </is>
      </c>
      <c r="B1457" s="1" t="n">
        <v>45496</v>
      </c>
      <c r="C1457" s="1" t="n">
        <v>45840</v>
      </c>
      <c r="D1457" t="inlineStr">
        <is>
          <t>JÄMTLANDS LÄN</t>
        </is>
      </c>
      <c r="E1457" t="inlineStr">
        <is>
          <t>KROKOM</t>
        </is>
      </c>
      <c r="F1457" t="inlineStr">
        <is>
          <t>Övriga Aktiebolag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30979-2024</t>
        </is>
      </c>
      <c r="B1458" s="1" t="n">
        <v>45499</v>
      </c>
      <c r="C1458" s="1" t="n">
        <v>45840</v>
      </c>
      <c r="D1458" t="inlineStr">
        <is>
          <t>JÄMTLANDS LÄN</t>
        </is>
      </c>
      <c r="E1458" t="inlineStr">
        <is>
          <t>KROKOM</t>
        </is>
      </c>
      <c r="G1458" t="n">
        <v>18.2</v>
      </c>
      <c r="H1458" t="n">
        <v>0</v>
      </c>
      <c r="I1458" t="n">
        <v>0</v>
      </c>
      <c r="J1458" t="n">
        <v>0</v>
      </c>
      <c r="K1458" t="n">
        <v>0</v>
      </c>
      <c r="L1458" t="n">
        <v>0</v>
      </c>
      <c r="M1458" t="n">
        <v>0</v>
      </c>
      <c r="N1458" t="n">
        <v>0</v>
      </c>
      <c r="O1458" t="n">
        <v>0</v>
      </c>
      <c r="P1458" t="n">
        <v>0</v>
      </c>
      <c r="Q1458" t="n">
        <v>0</v>
      </c>
      <c r="R1458" s="2" t="inlineStr"/>
    </row>
    <row r="1459" ht="15" customHeight="1">
      <c r="A1459" t="inlineStr">
        <is>
          <t>A 31478-2024</t>
        </is>
      </c>
      <c r="B1459" s="1" t="n">
        <v>45506</v>
      </c>
      <c r="C1459" s="1" t="n">
        <v>45840</v>
      </c>
      <c r="D1459" t="inlineStr">
        <is>
          <t>JÄMTLANDS LÄN</t>
        </is>
      </c>
      <c r="E1459" t="inlineStr">
        <is>
          <t>KROKOM</t>
        </is>
      </c>
      <c r="G1459" t="n">
        <v>12.4</v>
      </c>
      <c r="H1459" t="n">
        <v>0</v>
      </c>
      <c r="I1459" t="n">
        <v>0</v>
      </c>
      <c r="J1459" t="n">
        <v>0</v>
      </c>
      <c r="K1459" t="n">
        <v>0</v>
      </c>
      <c r="L1459" t="n">
        <v>0</v>
      </c>
      <c r="M1459" t="n">
        <v>0</v>
      </c>
      <c r="N1459" t="n">
        <v>0</v>
      </c>
      <c r="O1459" t="n">
        <v>0</v>
      </c>
      <c r="P1459" t="n">
        <v>0</v>
      </c>
      <c r="Q1459" t="n">
        <v>0</v>
      </c>
      <c r="R1459" s="2" t="inlineStr"/>
    </row>
    <row r="1460" ht="15" customHeight="1">
      <c r="A1460" t="inlineStr">
        <is>
          <t>A 31988-2024</t>
        </is>
      </c>
      <c r="B1460" s="1" t="n">
        <v>45510</v>
      </c>
      <c r="C1460" s="1" t="n">
        <v>45840</v>
      </c>
      <c r="D1460" t="inlineStr">
        <is>
          <t>JÄMTLANDS LÄN</t>
        </is>
      </c>
      <c r="E1460" t="inlineStr">
        <is>
          <t>KROKOM</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32244-2024</t>
        </is>
      </c>
      <c r="B1461" s="1" t="n">
        <v>45512</v>
      </c>
      <c r="C1461" s="1" t="n">
        <v>45840</v>
      </c>
      <c r="D1461" t="inlineStr">
        <is>
          <t>JÄMTLANDS LÄN</t>
        </is>
      </c>
      <c r="E1461" t="inlineStr">
        <is>
          <t>KROKOM</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32243-2024</t>
        </is>
      </c>
      <c r="B1462" s="1" t="n">
        <v>45512</v>
      </c>
      <c r="C1462" s="1" t="n">
        <v>45840</v>
      </c>
      <c r="D1462" t="inlineStr">
        <is>
          <t>JÄMTLANDS LÄN</t>
        </is>
      </c>
      <c r="E1462" t="inlineStr">
        <is>
          <t>KROKOM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33480-2024</t>
        </is>
      </c>
      <c r="B1463" s="1" t="n">
        <v>45519</v>
      </c>
      <c r="C1463" s="1" t="n">
        <v>45840</v>
      </c>
      <c r="D1463" t="inlineStr">
        <is>
          <t>JÄMTLANDS LÄN</t>
        </is>
      </c>
      <c r="E1463" t="inlineStr">
        <is>
          <t>KROKOM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34517-2024</t>
        </is>
      </c>
      <c r="B1464" s="1" t="n">
        <v>45525</v>
      </c>
      <c r="C1464" s="1" t="n">
        <v>45840</v>
      </c>
      <c r="D1464" t="inlineStr">
        <is>
          <t>JÄMTLANDS LÄN</t>
        </is>
      </c>
      <c r="E1464" t="inlineStr">
        <is>
          <t>KROKOM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34902-2024</t>
        </is>
      </c>
      <c r="B1465" s="1" t="n">
        <v>45527</v>
      </c>
      <c r="C1465" s="1" t="n">
        <v>45840</v>
      </c>
      <c r="D1465" t="inlineStr">
        <is>
          <t>JÄMTLANDS LÄN</t>
        </is>
      </c>
      <c r="E1465" t="inlineStr">
        <is>
          <t>KROKOM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34912-2024</t>
        </is>
      </c>
      <c r="B1466" s="1" t="n">
        <v>45527</v>
      </c>
      <c r="C1466" s="1" t="n">
        <v>45840</v>
      </c>
      <c r="D1466" t="inlineStr">
        <is>
          <t>JÄMTLANDS LÄN</t>
        </is>
      </c>
      <c r="E1466" t="inlineStr">
        <is>
          <t>KROKOM</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35542-2024</t>
        </is>
      </c>
      <c r="B1467" s="1" t="n">
        <v>45531</v>
      </c>
      <c r="C1467" s="1" t="n">
        <v>45840</v>
      </c>
      <c r="D1467" t="inlineStr">
        <is>
          <t>JÄMTLANDS LÄN</t>
        </is>
      </c>
      <c r="E1467" t="inlineStr">
        <is>
          <t>KROKOM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35559-2024</t>
        </is>
      </c>
      <c r="B1468" s="1" t="n">
        <v>45531</v>
      </c>
      <c r="C1468" s="1" t="n">
        <v>45840</v>
      </c>
      <c r="D1468" t="inlineStr">
        <is>
          <t>JÄMTLANDS LÄN</t>
        </is>
      </c>
      <c r="E1468" t="inlineStr">
        <is>
          <t>KROKOM</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35667-2024</t>
        </is>
      </c>
      <c r="B1469" s="1" t="n">
        <v>45532</v>
      </c>
      <c r="C1469" s="1" t="n">
        <v>45840</v>
      </c>
      <c r="D1469" t="inlineStr">
        <is>
          <t>JÄMTLANDS LÄN</t>
        </is>
      </c>
      <c r="E1469" t="inlineStr">
        <is>
          <t>KROKOM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35767-2024</t>
        </is>
      </c>
      <c r="B1470" s="1" t="n">
        <v>45532</v>
      </c>
      <c r="C1470" s="1" t="n">
        <v>45840</v>
      </c>
      <c r="D1470" t="inlineStr">
        <is>
          <t>JÄMTLANDS LÄN</t>
        </is>
      </c>
      <c r="E1470" t="inlineStr">
        <is>
          <t>KROKOM</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35651-2024</t>
        </is>
      </c>
      <c r="B1471" s="1" t="n">
        <v>45532</v>
      </c>
      <c r="C1471" s="1" t="n">
        <v>45840</v>
      </c>
      <c r="D1471" t="inlineStr">
        <is>
          <t>JÄMTLANDS LÄN</t>
        </is>
      </c>
      <c r="E1471" t="inlineStr">
        <is>
          <t>KROKOM</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35720-2024</t>
        </is>
      </c>
      <c r="B1472" s="1" t="n">
        <v>45532</v>
      </c>
      <c r="C1472" s="1" t="n">
        <v>45840</v>
      </c>
      <c r="D1472" t="inlineStr">
        <is>
          <t>JÄMTLANDS LÄN</t>
        </is>
      </c>
      <c r="E1472" t="inlineStr">
        <is>
          <t>KROKOM</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35753-2024</t>
        </is>
      </c>
      <c r="B1473" s="1" t="n">
        <v>45532</v>
      </c>
      <c r="C1473" s="1" t="n">
        <v>45840</v>
      </c>
      <c r="D1473" t="inlineStr">
        <is>
          <t>JÄMTLANDS LÄN</t>
        </is>
      </c>
      <c r="E1473" t="inlineStr">
        <is>
          <t>KROKOM</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36272-2024</t>
        </is>
      </c>
      <c r="B1474" s="1" t="n">
        <v>45534</v>
      </c>
      <c r="C1474" s="1" t="n">
        <v>45840</v>
      </c>
      <c r="D1474" t="inlineStr">
        <is>
          <t>JÄMTLANDS LÄN</t>
        </is>
      </c>
      <c r="E1474" t="inlineStr">
        <is>
          <t>KROKOM</t>
        </is>
      </c>
      <c r="F1474" t="inlineStr">
        <is>
          <t>Övriga Aktiebolag</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36504-2024</t>
        </is>
      </c>
      <c r="B1475" s="1" t="n">
        <v>45537</v>
      </c>
      <c r="C1475" s="1" t="n">
        <v>45840</v>
      </c>
      <c r="D1475" t="inlineStr">
        <is>
          <t>JÄMTLANDS LÄN</t>
        </is>
      </c>
      <c r="E1475" t="inlineStr">
        <is>
          <t>KROKOM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36531-2024</t>
        </is>
      </c>
      <c r="B1476" s="1" t="n">
        <v>45537</v>
      </c>
      <c r="C1476" s="1" t="n">
        <v>45840</v>
      </c>
      <c r="D1476" t="inlineStr">
        <is>
          <t>JÄMTLANDS LÄN</t>
        </is>
      </c>
      <c r="E1476" t="inlineStr">
        <is>
          <t>KROKOM</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36615-2024</t>
        </is>
      </c>
      <c r="B1477" s="1" t="n">
        <v>45537</v>
      </c>
      <c r="C1477" s="1" t="n">
        <v>45840</v>
      </c>
      <c r="D1477" t="inlineStr">
        <is>
          <t>JÄMTLANDS LÄN</t>
        </is>
      </c>
      <c r="E1477" t="inlineStr">
        <is>
          <t>KROKOM</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36929-2024</t>
        </is>
      </c>
      <c r="B1478" s="1" t="n">
        <v>45538</v>
      </c>
      <c r="C1478" s="1" t="n">
        <v>45840</v>
      </c>
      <c r="D1478" t="inlineStr">
        <is>
          <t>JÄMTLANDS LÄN</t>
        </is>
      </c>
      <c r="E1478" t="inlineStr">
        <is>
          <t>KROKOM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37230-2024</t>
        </is>
      </c>
      <c r="B1479" s="1" t="n">
        <v>45539</v>
      </c>
      <c r="C1479" s="1" t="n">
        <v>45840</v>
      </c>
      <c r="D1479" t="inlineStr">
        <is>
          <t>JÄMTLANDS LÄN</t>
        </is>
      </c>
      <c r="E1479" t="inlineStr">
        <is>
          <t>KROKOM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37293-2024</t>
        </is>
      </c>
      <c r="B1480" s="1" t="n">
        <v>45540</v>
      </c>
      <c r="C1480" s="1" t="n">
        <v>45840</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38535-2024</t>
        </is>
      </c>
      <c r="B1481" s="1" t="n">
        <v>45546</v>
      </c>
      <c r="C1481" s="1" t="n">
        <v>45840</v>
      </c>
      <c r="D1481" t="inlineStr">
        <is>
          <t>JÄMTLANDS LÄN</t>
        </is>
      </c>
      <c r="E1481" t="inlineStr">
        <is>
          <t>KROKOM</t>
        </is>
      </c>
      <c r="G1481" t="n">
        <v>27.6</v>
      </c>
      <c r="H1481" t="n">
        <v>0</v>
      </c>
      <c r="I1481" t="n">
        <v>0</v>
      </c>
      <c r="J1481" t="n">
        <v>0</v>
      </c>
      <c r="K1481" t="n">
        <v>0</v>
      </c>
      <c r="L1481" t="n">
        <v>0</v>
      </c>
      <c r="M1481" t="n">
        <v>0</v>
      </c>
      <c r="N1481" t="n">
        <v>0</v>
      </c>
      <c r="O1481" t="n">
        <v>0</v>
      </c>
      <c r="P1481" t="n">
        <v>0</v>
      </c>
      <c r="Q1481" t="n">
        <v>0</v>
      </c>
      <c r="R1481" s="2" t="inlineStr"/>
    </row>
    <row r="1482" ht="15" customHeight="1">
      <c r="A1482" t="inlineStr">
        <is>
          <t>A 38748-2024</t>
        </is>
      </c>
      <c r="B1482" s="1" t="n">
        <v>45547</v>
      </c>
      <c r="C1482" s="1" t="n">
        <v>45840</v>
      </c>
      <c r="D1482" t="inlineStr">
        <is>
          <t>JÄMTLANDS LÄN</t>
        </is>
      </c>
      <c r="E1482" t="inlineStr">
        <is>
          <t>KROKOM</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38723-2024</t>
        </is>
      </c>
      <c r="B1483" s="1" t="n">
        <v>45547</v>
      </c>
      <c r="C1483" s="1" t="n">
        <v>45840</v>
      </c>
      <c r="D1483" t="inlineStr">
        <is>
          <t>JÄMTLANDS LÄN</t>
        </is>
      </c>
      <c r="E1483" t="inlineStr">
        <is>
          <t>KROKOM</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38747-2024</t>
        </is>
      </c>
      <c r="B1484" s="1" t="n">
        <v>45547</v>
      </c>
      <c r="C1484" s="1" t="n">
        <v>45840</v>
      </c>
      <c r="D1484" t="inlineStr">
        <is>
          <t>JÄMTLANDS LÄN</t>
        </is>
      </c>
      <c r="E1484" t="inlineStr">
        <is>
          <t>KROKOM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39056-2024</t>
        </is>
      </c>
      <c r="B1485" s="1" t="n">
        <v>45548</v>
      </c>
      <c r="C1485" s="1" t="n">
        <v>45840</v>
      </c>
      <c r="D1485" t="inlineStr">
        <is>
          <t>JÄMTLANDS LÄN</t>
        </is>
      </c>
      <c r="E1485" t="inlineStr">
        <is>
          <t>KROKOM</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39230-2024</t>
        </is>
      </c>
      <c r="B1486" s="1" t="n">
        <v>45550</v>
      </c>
      <c r="C1486" s="1" t="n">
        <v>45840</v>
      </c>
      <c r="D1486" t="inlineStr">
        <is>
          <t>JÄMTLANDS LÄN</t>
        </is>
      </c>
      <c r="E1486" t="inlineStr">
        <is>
          <t>KROKOM</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39263-2024</t>
        </is>
      </c>
      <c r="B1487" s="1" t="n">
        <v>45551</v>
      </c>
      <c r="C1487" s="1" t="n">
        <v>45840</v>
      </c>
      <c r="D1487" t="inlineStr">
        <is>
          <t>JÄMTLANDS LÄN</t>
        </is>
      </c>
      <c r="E1487" t="inlineStr">
        <is>
          <t>KROKOM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39368-2024</t>
        </is>
      </c>
      <c r="B1488" s="1" t="n">
        <v>45551</v>
      </c>
      <c r="C1488" s="1" t="n">
        <v>45840</v>
      </c>
      <c r="D1488" t="inlineStr">
        <is>
          <t>JÄMTLANDS LÄN</t>
        </is>
      </c>
      <c r="E1488" t="inlineStr">
        <is>
          <t>KROKOM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39546-2024</t>
        </is>
      </c>
      <c r="B1489" s="1" t="n">
        <v>45552</v>
      </c>
      <c r="C1489" s="1" t="n">
        <v>45840</v>
      </c>
      <c r="D1489" t="inlineStr">
        <is>
          <t>JÄMTLANDS LÄN</t>
        </is>
      </c>
      <c r="E1489" t="inlineStr">
        <is>
          <t>KROKOM</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39696-2024</t>
        </is>
      </c>
      <c r="B1490" s="1" t="n">
        <v>45552</v>
      </c>
      <c r="C1490" s="1" t="n">
        <v>45840</v>
      </c>
      <c r="D1490" t="inlineStr">
        <is>
          <t>JÄMTLANDS LÄN</t>
        </is>
      </c>
      <c r="E1490" t="inlineStr">
        <is>
          <t>KROKOM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39701-2024</t>
        </is>
      </c>
      <c r="B1491" s="1" t="n">
        <v>45552</v>
      </c>
      <c r="C1491" s="1" t="n">
        <v>45840</v>
      </c>
      <c r="D1491" t="inlineStr">
        <is>
          <t>JÄMTLANDS LÄN</t>
        </is>
      </c>
      <c r="E1491" t="inlineStr">
        <is>
          <t>KROKOM</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39753-2024</t>
        </is>
      </c>
      <c r="B1492" s="1" t="n">
        <v>45552</v>
      </c>
      <c r="C1492" s="1" t="n">
        <v>45840</v>
      </c>
      <c r="D1492" t="inlineStr">
        <is>
          <t>JÄMTLANDS LÄN</t>
        </is>
      </c>
      <c r="E1492" t="inlineStr">
        <is>
          <t>KROKOM</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39751-2024</t>
        </is>
      </c>
      <c r="B1493" s="1" t="n">
        <v>45552</v>
      </c>
      <c r="C1493" s="1" t="n">
        <v>45840</v>
      </c>
      <c r="D1493" t="inlineStr">
        <is>
          <t>JÄMTLANDS LÄN</t>
        </is>
      </c>
      <c r="E1493" t="inlineStr">
        <is>
          <t>KROKOM</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39843-2024</t>
        </is>
      </c>
      <c r="B1494" s="1" t="n">
        <v>45553</v>
      </c>
      <c r="C1494" s="1" t="n">
        <v>45840</v>
      </c>
      <c r="D1494" t="inlineStr">
        <is>
          <t>JÄMTLANDS LÄN</t>
        </is>
      </c>
      <c r="E1494" t="inlineStr">
        <is>
          <t>KROKOM</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39847-2024</t>
        </is>
      </c>
      <c r="B1495" s="1" t="n">
        <v>45553</v>
      </c>
      <c r="C1495" s="1" t="n">
        <v>45840</v>
      </c>
      <c r="D1495" t="inlineStr">
        <is>
          <t>JÄMTLANDS LÄN</t>
        </is>
      </c>
      <c r="E1495" t="inlineStr">
        <is>
          <t>KROKOM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39896-2024</t>
        </is>
      </c>
      <c r="B1496" s="1" t="n">
        <v>45553</v>
      </c>
      <c r="C1496" s="1" t="n">
        <v>45840</v>
      </c>
      <c r="D1496" t="inlineStr">
        <is>
          <t>JÄMTLANDS LÄN</t>
        </is>
      </c>
      <c r="E1496" t="inlineStr">
        <is>
          <t>KROKOM</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40213-2024</t>
        </is>
      </c>
      <c r="B1497" s="1" t="n">
        <v>45554</v>
      </c>
      <c r="C1497" s="1" t="n">
        <v>45840</v>
      </c>
      <c r="D1497" t="inlineStr">
        <is>
          <t>JÄMTLANDS LÄN</t>
        </is>
      </c>
      <c r="E1497" t="inlineStr">
        <is>
          <t>KROKOM</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40221-2024</t>
        </is>
      </c>
      <c r="B1498" s="1" t="n">
        <v>45554</v>
      </c>
      <c r="C1498" s="1" t="n">
        <v>45840</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40219-2024</t>
        </is>
      </c>
      <c r="B1499" s="1" t="n">
        <v>45554</v>
      </c>
      <c r="C1499" s="1" t="n">
        <v>45840</v>
      </c>
      <c r="D1499" t="inlineStr">
        <is>
          <t>JÄMTLANDS LÄN</t>
        </is>
      </c>
      <c r="E1499" t="inlineStr">
        <is>
          <t>KROKOM</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40271-2024</t>
        </is>
      </c>
      <c r="B1500" s="1" t="n">
        <v>45554</v>
      </c>
      <c r="C1500" s="1" t="n">
        <v>45840</v>
      </c>
      <c r="D1500" t="inlineStr">
        <is>
          <t>JÄMTLANDS LÄN</t>
        </is>
      </c>
      <c r="E1500" t="inlineStr">
        <is>
          <t>KROKOM</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40394-2024</t>
        </is>
      </c>
      <c r="B1501" s="1" t="n">
        <v>45555</v>
      </c>
      <c r="C1501" s="1" t="n">
        <v>45840</v>
      </c>
      <c r="D1501" t="inlineStr">
        <is>
          <t>JÄMTLANDS LÄN</t>
        </is>
      </c>
      <c r="E1501" t="inlineStr">
        <is>
          <t>KROKOM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40862-2024</t>
        </is>
      </c>
      <c r="B1502" s="1" t="n">
        <v>45558</v>
      </c>
      <c r="C1502" s="1" t="n">
        <v>45840</v>
      </c>
      <c r="D1502" t="inlineStr">
        <is>
          <t>JÄMTLANDS LÄN</t>
        </is>
      </c>
      <c r="E1502" t="inlineStr">
        <is>
          <t>KROKOM</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41439-2024</t>
        </is>
      </c>
      <c r="B1503" s="1" t="n">
        <v>45560</v>
      </c>
      <c r="C1503" s="1" t="n">
        <v>45840</v>
      </c>
      <c r="D1503" t="inlineStr">
        <is>
          <t>JÄMTLANDS LÄN</t>
        </is>
      </c>
      <c r="E1503" t="inlineStr">
        <is>
          <t>KROKOM</t>
        </is>
      </c>
      <c r="F1503" t="inlineStr">
        <is>
          <t>Övriga Aktiebolag</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41675-2024</t>
        </is>
      </c>
      <c r="B1504" s="1" t="n">
        <v>45560</v>
      </c>
      <c r="C1504" s="1" t="n">
        <v>45840</v>
      </c>
      <c r="D1504" t="inlineStr">
        <is>
          <t>JÄMTLANDS LÄN</t>
        </is>
      </c>
      <c r="E1504" t="inlineStr">
        <is>
          <t>KROKOM</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41628-2024</t>
        </is>
      </c>
      <c r="B1505" s="1" t="n">
        <v>45560</v>
      </c>
      <c r="C1505" s="1" t="n">
        <v>45840</v>
      </c>
      <c r="D1505" t="inlineStr">
        <is>
          <t>JÄMTLANDS LÄN</t>
        </is>
      </c>
      <c r="E1505" t="inlineStr">
        <is>
          <t>KROKOM</t>
        </is>
      </c>
      <c r="F1505" t="inlineStr">
        <is>
          <t>Övriga Aktiebolag</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41497-2024</t>
        </is>
      </c>
      <c r="B1506" s="1" t="n">
        <v>45560</v>
      </c>
      <c r="C1506" s="1" t="n">
        <v>45840</v>
      </c>
      <c r="D1506" t="inlineStr">
        <is>
          <t>JÄMTLANDS LÄN</t>
        </is>
      </c>
      <c r="E1506" t="inlineStr">
        <is>
          <t>KROKOM</t>
        </is>
      </c>
      <c r="F1506" t="inlineStr">
        <is>
          <t>Övriga Aktiebolag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41700-2024</t>
        </is>
      </c>
      <c r="B1507" s="1" t="n">
        <v>45560</v>
      </c>
      <c r="C1507" s="1" t="n">
        <v>45840</v>
      </c>
      <c r="D1507" t="inlineStr">
        <is>
          <t>JÄMTLANDS LÄN</t>
        </is>
      </c>
      <c r="E1507" t="inlineStr">
        <is>
          <t>KROKOM</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41852-2024</t>
        </is>
      </c>
      <c r="B1508" s="1" t="n">
        <v>45561</v>
      </c>
      <c r="C1508" s="1" t="n">
        <v>45840</v>
      </c>
      <c r="D1508" t="inlineStr">
        <is>
          <t>JÄMTLANDS LÄN</t>
        </is>
      </c>
      <c r="E1508" t="inlineStr">
        <is>
          <t>KROKOM</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41971-2024</t>
        </is>
      </c>
      <c r="B1509" s="1" t="n">
        <v>45561</v>
      </c>
      <c r="C1509" s="1" t="n">
        <v>45840</v>
      </c>
      <c r="D1509" t="inlineStr">
        <is>
          <t>JÄMTLANDS LÄN</t>
        </is>
      </c>
      <c r="E1509" t="inlineStr">
        <is>
          <t>KROKOM</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41838-2024</t>
        </is>
      </c>
      <c r="B1510" s="1" t="n">
        <v>45561</v>
      </c>
      <c r="C1510" s="1" t="n">
        <v>45840</v>
      </c>
      <c r="D1510" t="inlineStr">
        <is>
          <t>JÄMTLANDS LÄN</t>
        </is>
      </c>
      <c r="E1510" t="inlineStr">
        <is>
          <t>KROKOM</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41858-2024</t>
        </is>
      </c>
      <c r="B1511" s="1" t="n">
        <v>45561</v>
      </c>
      <c r="C1511" s="1" t="n">
        <v>45840</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41972-2024</t>
        </is>
      </c>
      <c r="B1512" s="1" t="n">
        <v>45561</v>
      </c>
      <c r="C1512" s="1" t="n">
        <v>45840</v>
      </c>
      <c r="D1512" t="inlineStr">
        <is>
          <t>JÄMTLANDS LÄN</t>
        </is>
      </c>
      <c r="E1512" t="inlineStr">
        <is>
          <t>KROKOM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42092-2024</t>
        </is>
      </c>
      <c r="B1513" s="1" t="n">
        <v>45562</v>
      </c>
      <c r="C1513" s="1" t="n">
        <v>45840</v>
      </c>
      <c r="D1513" t="inlineStr">
        <is>
          <t>JÄMTLANDS LÄN</t>
        </is>
      </c>
      <c r="E1513" t="inlineStr">
        <is>
          <t>KROKOM</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42097-2024</t>
        </is>
      </c>
      <c r="B1514" s="1" t="n">
        <v>45562</v>
      </c>
      <c r="C1514" s="1" t="n">
        <v>45840</v>
      </c>
      <c r="D1514" t="inlineStr">
        <is>
          <t>JÄMTLANDS LÄN</t>
        </is>
      </c>
      <c r="E1514" t="inlineStr">
        <is>
          <t>KROKOM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42398-2024</t>
        </is>
      </c>
      <c r="B1515" s="1" t="n">
        <v>45565</v>
      </c>
      <c r="C1515" s="1" t="n">
        <v>45840</v>
      </c>
      <c r="D1515" t="inlineStr">
        <is>
          <t>JÄMTLANDS LÄN</t>
        </is>
      </c>
      <c r="E1515" t="inlineStr">
        <is>
          <t>KROKOM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42393-2024</t>
        </is>
      </c>
      <c r="B1516" s="1" t="n">
        <v>45565</v>
      </c>
      <c r="C1516" s="1" t="n">
        <v>45840</v>
      </c>
      <c r="D1516" t="inlineStr">
        <is>
          <t>JÄMTLANDS LÄN</t>
        </is>
      </c>
      <c r="E1516" t="inlineStr">
        <is>
          <t>KROKOM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42774-2024</t>
        </is>
      </c>
      <c r="B1517" s="1" t="n">
        <v>45566</v>
      </c>
      <c r="C1517" s="1" t="n">
        <v>45840</v>
      </c>
      <c r="D1517" t="inlineStr">
        <is>
          <t>JÄMTLANDS LÄN</t>
        </is>
      </c>
      <c r="E1517" t="inlineStr">
        <is>
          <t>KROKOM</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43415-2024</t>
        </is>
      </c>
      <c r="B1518" s="1" t="n">
        <v>45568</v>
      </c>
      <c r="C1518" s="1" t="n">
        <v>45840</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43536-2024</t>
        </is>
      </c>
      <c r="B1519" s="1" t="n">
        <v>45569</v>
      </c>
      <c r="C1519" s="1" t="n">
        <v>45840</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43932-2024</t>
        </is>
      </c>
      <c r="B1520" s="1" t="n">
        <v>45572</v>
      </c>
      <c r="C1520" s="1" t="n">
        <v>45840</v>
      </c>
      <c r="D1520" t="inlineStr">
        <is>
          <t>JÄMTLANDS LÄN</t>
        </is>
      </c>
      <c r="E1520" t="inlineStr">
        <is>
          <t>KROKOM</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44296-2024</t>
        </is>
      </c>
      <c r="B1521" s="1" t="n">
        <v>45573</v>
      </c>
      <c r="C1521" s="1" t="n">
        <v>45840</v>
      </c>
      <c r="D1521" t="inlineStr">
        <is>
          <t>JÄMTLANDS LÄN</t>
        </is>
      </c>
      <c r="E1521" t="inlineStr">
        <is>
          <t>KROKOM</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44221-2024</t>
        </is>
      </c>
      <c r="B1522" s="1" t="n">
        <v>45573</v>
      </c>
      <c r="C1522" s="1" t="n">
        <v>45840</v>
      </c>
      <c r="D1522" t="inlineStr">
        <is>
          <t>JÄMTLANDS LÄN</t>
        </is>
      </c>
      <c r="E1522" t="inlineStr">
        <is>
          <t>KROKOM</t>
        </is>
      </c>
      <c r="F1522" t="inlineStr">
        <is>
          <t>Övriga Aktiebolag</t>
        </is>
      </c>
      <c r="G1522" t="n">
        <v>19.3</v>
      </c>
      <c r="H1522" t="n">
        <v>0</v>
      </c>
      <c r="I1522" t="n">
        <v>0</v>
      </c>
      <c r="J1522" t="n">
        <v>0</v>
      </c>
      <c r="K1522" t="n">
        <v>0</v>
      </c>
      <c r="L1522" t="n">
        <v>0</v>
      </c>
      <c r="M1522" t="n">
        <v>0</v>
      </c>
      <c r="N1522" t="n">
        <v>0</v>
      </c>
      <c r="O1522" t="n">
        <v>0</v>
      </c>
      <c r="P1522" t="n">
        <v>0</v>
      </c>
      <c r="Q1522" t="n">
        <v>0</v>
      </c>
      <c r="R1522" s="2" t="inlineStr"/>
    </row>
    <row r="1523" ht="15" customHeight="1">
      <c r="A1523" t="inlineStr">
        <is>
          <t>A 44519-2024</t>
        </is>
      </c>
      <c r="B1523" s="1" t="n">
        <v>45574</v>
      </c>
      <c r="C1523" s="1" t="n">
        <v>45840</v>
      </c>
      <c r="D1523" t="inlineStr">
        <is>
          <t>JÄMTLANDS LÄN</t>
        </is>
      </c>
      <c r="E1523" t="inlineStr">
        <is>
          <t>KROKOM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45336-2024</t>
        </is>
      </c>
      <c r="B1524" s="1" t="n">
        <v>45576</v>
      </c>
      <c r="C1524" s="1" t="n">
        <v>45840</v>
      </c>
      <c r="D1524" t="inlineStr">
        <is>
          <t>JÄMTLANDS LÄN</t>
        </is>
      </c>
      <c r="E1524" t="inlineStr">
        <is>
          <t>KROKOM</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45777-2024</t>
        </is>
      </c>
      <c r="B1525" s="1" t="n">
        <v>45579</v>
      </c>
      <c r="C1525" s="1" t="n">
        <v>45840</v>
      </c>
      <c r="D1525" t="inlineStr">
        <is>
          <t>JÄMTLANDS LÄN</t>
        </is>
      </c>
      <c r="E1525" t="inlineStr">
        <is>
          <t>KROKOM</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45753-2024</t>
        </is>
      </c>
      <c r="B1526" s="1" t="n">
        <v>45579</v>
      </c>
      <c r="C1526" s="1" t="n">
        <v>45840</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45869-2024</t>
        </is>
      </c>
      <c r="B1527" s="1" t="n">
        <v>45580</v>
      </c>
      <c r="C1527" s="1" t="n">
        <v>45840</v>
      </c>
      <c r="D1527" t="inlineStr">
        <is>
          <t>JÄMTLANDS LÄN</t>
        </is>
      </c>
      <c r="E1527" t="inlineStr">
        <is>
          <t>KROKOM</t>
        </is>
      </c>
      <c r="F1527" t="inlineStr">
        <is>
          <t>Övriga Aktiebolag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45866-2024</t>
        </is>
      </c>
      <c r="B1528" s="1" t="n">
        <v>45580</v>
      </c>
      <c r="C1528" s="1" t="n">
        <v>45840</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45936-2024</t>
        </is>
      </c>
      <c r="B1529" s="1" t="n">
        <v>45580</v>
      </c>
      <c r="C1529" s="1" t="n">
        <v>45840</v>
      </c>
      <c r="D1529" t="inlineStr">
        <is>
          <t>JÄMTLANDS LÄN</t>
        </is>
      </c>
      <c r="E1529" t="inlineStr">
        <is>
          <t>KROKOM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46507-2024</t>
        </is>
      </c>
      <c r="B1530" s="1" t="n">
        <v>45582</v>
      </c>
      <c r="C1530" s="1" t="n">
        <v>45840</v>
      </c>
      <c r="D1530" t="inlineStr">
        <is>
          <t>JÄMTLANDS LÄN</t>
        </is>
      </c>
      <c r="E1530" t="inlineStr">
        <is>
          <t>KROKOM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46785-2024</t>
        </is>
      </c>
      <c r="B1531" s="1" t="n">
        <v>45583</v>
      </c>
      <c r="C1531" s="1" t="n">
        <v>45840</v>
      </c>
      <c r="D1531" t="inlineStr">
        <is>
          <t>JÄMTLANDS LÄN</t>
        </is>
      </c>
      <c r="E1531" t="inlineStr">
        <is>
          <t>KROKOM</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46881-2024</t>
        </is>
      </c>
      <c r="B1532" s="1" t="n">
        <v>45583</v>
      </c>
      <c r="C1532" s="1" t="n">
        <v>45840</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47098-2024</t>
        </is>
      </c>
      <c r="B1533" s="1" t="n">
        <v>45586</v>
      </c>
      <c r="C1533" s="1" t="n">
        <v>45840</v>
      </c>
      <c r="D1533" t="inlineStr">
        <is>
          <t>JÄMTLANDS LÄN</t>
        </is>
      </c>
      <c r="E1533" t="inlineStr">
        <is>
          <t>KROKOM</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47039-2024</t>
        </is>
      </c>
      <c r="B1534" s="1" t="n">
        <v>45586</v>
      </c>
      <c r="C1534" s="1" t="n">
        <v>45840</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47060-2024</t>
        </is>
      </c>
      <c r="B1535" s="1" t="n">
        <v>45586</v>
      </c>
      <c r="C1535" s="1" t="n">
        <v>45840</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47218-2024</t>
        </is>
      </c>
      <c r="B1536" s="1" t="n">
        <v>45586</v>
      </c>
      <c r="C1536" s="1" t="n">
        <v>45840</v>
      </c>
      <c r="D1536" t="inlineStr">
        <is>
          <t>JÄMTLANDS LÄN</t>
        </is>
      </c>
      <c r="E1536" t="inlineStr">
        <is>
          <t>KROKOM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47723-2024</t>
        </is>
      </c>
      <c r="B1537" s="1" t="n">
        <v>45588</v>
      </c>
      <c r="C1537" s="1" t="n">
        <v>45840</v>
      </c>
      <c r="D1537" t="inlineStr">
        <is>
          <t>JÄMTLANDS LÄN</t>
        </is>
      </c>
      <c r="E1537" t="inlineStr">
        <is>
          <t>KROKOM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47721-2024</t>
        </is>
      </c>
      <c r="B1538" s="1" t="n">
        <v>45588</v>
      </c>
      <c r="C1538" s="1" t="n">
        <v>45840</v>
      </c>
      <c r="D1538" t="inlineStr">
        <is>
          <t>JÄMTLANDS LÄN</t>
        </is>
      </c>
      <c r="E1538" t="inlineStr">
        <is>
          <t>KROKOM</t>
        </is>
      </c>
      <c r="G1538" t="n">
        <v>19.2</v>
      </c>
      <c r="H1538" t="n">
        <v>0</v>
      </c>
      <c r="I1538" t="n">
        <v>0</v>
      </c>
      <c r="J1538" t="n">
        <v>0</v>
      </c>
      <c r="K1538" t="n">
        <v>0</v>
      </c>
      <c r="L1538" t="n">
        <v>0</v>
      </c>
      <c r="M1538" t="n">
        <v>0</v>
      </c>
      <c r="N1538" t="n">
        <v>0</v>
      </c>
      <c r="O1538" t="n">
        <v>0</v>
      </c>
      <c r="P1538" t="n">
        <v>0</v>
      </c>
      <c r="Q1538" t="n">
        <v>0</v>
      </c>
      <c r="R1538" s="2" t="inlineStr"/>
    </row>
    <row r="1539" ht="15" customHeight="1">
      <c r="A1539" t="inlineStr">
        <is>
          <t>A 47722-2024</t>
        </is>
      </c>
      <c r="B1539" s="1" t="n">
        <v>45588</v>
      </c>
      <c r="C1539" s="1" t="n">
        <v>45840</v>
      </c>
      <c r="D1539" t="inlineStr">
        <is>
          <t>JÄMTLANDS LÄN</t>
        </is>
      </c>
      <c r="E1539" t="inlineStr">
        <is>
          <t>KROKOM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48119-2024</t>
        </is>
      </c>
      <c r="B1540" s="1" t="n">
        <v>45589</v>
      </c>
      <c r="C1540" s="1" t="n">
        <v>45840</v>
      </c>
      <c r="D1540" t="inlineStr">
        <is>
          <t>JÄMTLANDS LÄN</t>
        </is>
      </c>
      <c r="E1540" t="inlineStr">
        <is>
          <t>KROKOM</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48337-2024</t>
        </is>
      </c>
      <c r="B1541" s="1" t="n">
        <v>45590</v>
      </c>
      <c r="C1541" s="1" t="n">
        <v>45840</v>
      </c>
      <c r="D1541" t="inlineStr">
        <is>
          <t>JÄMTLANDS LÄN</t>
        </is>
      </c>
      <c r="E1541" t="inlineStr">
        <is>
          <t>KROKOM</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48568-2024</t>
        </is>
      </c>
      <c r="B1542" s="1" t="n">
        <v>45593</v>
      </c>
      <c r="C1542" s="1" t="n">
        <v>45840</v>
      </c>
      <c r="D1542" t="inlineStr">
        <is>
          <t>JÄMTLANDS LÄN</t>
        </is>
      </c>
      <c r="E1542" t="inlineStr">
        <is>
          <t>KROKOM</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48560-2024</t>
        </is>
      </c>
      <c r="B1543" s="1" t="n">
        <v>45593</v>
      </c>
      <c r="C1543" s="1" t="n">
        <v>45840</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48752-2024</t>
        </is>
      </c>
      <c r="B1544" s="1" t="n">
        <v>45593</v>
      </c>
      <c r="C1544" s="1" t="n">
        <v>45840</v>
      </c>
      <c r="D1544" t="inlineStr">
        <is>
          <t>JÄMTLANDS LÄN</t>
        </is>
      </c>
      <c r="E1544" t="inlineStr">
        <is>
          <t>KROKOM</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48539-2024</t>
        </is>
      </c>
      <c r="B1545" s="1" t="n">
        <v>45593</v>
      </c>
      <c r="C1545" s="1" t="n">
        <v>45840</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48971-2024</t>
        </is>
      </c>
      <c r="B1546" s="1" t="n">
        <v>45594</v>
      </c>
      <c r="C1546" s="1" t="n">
        <v>45840</v>
      </c>
      <c r="D1546" t="inlineStr">
        <is>
          <t>JÄMTLANDS LÄN</t>
        </is>
      </c>
      <c r="E1546" t="inlineStr">
        <is>
          <t>KROKOM</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49214-2024</t>
        </is>
      </c>
      <c r="B1547" s="1" t="n">
        <v>45595</v>
      </c>
      <c r="C1547" s="1" t="n">
        <v>45840</v>
      </c>
      <c r="D1547" t="inlineStr">
        <is>
          <t>JÄMTLANDS LÄN</t>
        </is>
      </c>
      <c r="E1547" t="inlineStr">
        <is>
          <t>KROKOM</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49203-2024</t>
        </is>
      </c>
      <c r="B1548" s="1" t="n">
        <v>45595</v>
      </c>
      <c r="C1548" s="1" t="n">
        <v>45840</v>
      </c>
      <c r="D1548" t="inlineStr">
        <is>
          <t>JÄMTLANDS LÄN</t>
        </is>
      </c>
      <c r="E1548" t="inlineStr">
        <is>
          <t>KROKOM</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49875-2024</t>
        </is>
      </c>
      <c r="B1549" s="1" t="n">
        <v>45597</v>
      </c>
      <c r="C1549" s="1" t="n">
        <v>45840</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50129-2024</t>
        </is>
      </c>
      <c r="B1550" s="1" t="n">
        <v>45600</v>
      </c>
      <c r="C1550" s="1" t="n">
        <v>45840</v>
      </c>
      <c r="D1550" t="inlineStr">
        <is>
          <t>JÄMTLANDS LÄN</t>
        </is>
      </c>
      <c r="E1550" t="inlineStr">
        <is>
          <t>KROKOM</t>
        </is>
      </c>
      <c r="F1550" t="inlineStr">
        <is>
          <t>Övriga Aktiebolag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50206-2024</t>
        </is>
      </c>
      <c r="B1551" s="1" t="n">
        <v>45600</v>
      </c>
      <c r="C1551" s="1" t="n">
        <v>45840</v>
      </c>
      <c r="D1551" t="inlineStr">
        <is>
          <t>JÄMTLANDS LÄN</t>
        </is>
      </c>
      <c r="E1551" t="inlineStr">
        <is>
          <t>KROKOM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50255-2024</t>
        </is>
      </c>
      <c r="B1552" s="1" t="n">
        <v>45600</v>
      </c>
      <c r="C1552" s="1" t="n">
        <v>45840</v>
      </c>
      <c r="D1552" t="inlineStr">
        <is>
          <t>JÄMTLANDS LÄN</t>
        </is>
      </c>
      <c r="E1552" t="inlineStr">
        <is>
          <t>KROKOM</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50391-2024</t>
        </is>
      </c>
      <c r="B1553" s="1" t="n">
        <v>45601</v>
      </c>
      <c r="C1553" s="1" t="n">
        <v>45840</v>
      </c>
      <c r="D1553" t="inlineStr">
        <is>
          <t>JÄMTLANDS LÄN</t>
        </is>
      </c>
      <c r="E1553" t="inlineStr">
        <is>
          <t>KROKOM</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50417-2024</t>
        </is>
      </c>
      <c r="B1554" s="1" t="n">
        <v>45601</v>
      </c>
      <c r="C1554" s="1" t="n">
        <v>45840</v>
      </c>
      <c r="D1554" t="inlineStr">
        <is>
          <t>JÄMTLANDS LÄN</t>
        </is>
      </c>
      <c r="E1554" t="inlineStr">
        <is>
          <t>KROKOM</t>
        </is>
      </c>
      <c r="F1554" t="inlineStr">
        <is>
          <t>SCA</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50433-2024</t>
        </is>
      </c>
      <c r="B1555" s="1" t="n">
        <v>45601</v>
      </c>
      <c r="C1555" s="1" t="n">
        <v>45840</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50718-2024</t>
        </is>
      </c>
      <c r="B1556" s="1" t="n">
        <v>45602</v>
      </c>
      <c r="C1556" s="1" t="n">
        <v>45840</v>
      </c>
      <c r="D1556" t="inlineStr">
        <is>
          <t>JÄMTLANDS LÄN</t>
        </is>
      </c>
      <c r="E1556" t="inlineStr">
        <is>
          <t>KROKOM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50719-2024</t>
        </is>
      </c>
      <c r="B1557" s="1" t="n">
        <v>45602</v>
      </c>
      <c r="C1557" s="1" t="n">
        <v>45840</v>
      </c>
      <c r="D1557" t="inlineStr">
        <is>
          <t>JÄMTLANDS LÄN</t>
        </is>
      </c>
      <c r="E1557" t="inlineStr">
        <is>
          <t>KROKOM</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50821-2024</t>
        </is>
      </c>
      <c r="B1558" s="1" t="n">
        <v>45602</v>
      </c>
      <c r="C1558" s="1" t="n">
        <v>45840</v>
      </c>
      <c r="D1558" t="inlineStr">
        <is>
          <t>JÄMTLANDS LÄN</t>
        </is>
      </c>
      <c r="E1558" t="inlineStr">
        <is>
          <t>KROKOM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50919-2024</t>
        </is>
      </c>
      <c r="B1559" s="1" t="n">
        <v>45602</v>
      </c>
      <c r="C1559" s="1" t="n">
        <v>45840</v>
      </c>
      <c r="D1559" t="inlineStr">
        <is>
          <t>JÄMTLANDS LÄN</t>
        </is>
      </c>
      <c r="E1559" t="inlineStr">
        <is>
          <t>KROKOM</t>
        </is>
      </c>
      <c r="G1559" t="n">
        <v>33.7</v>
      </c>
      <c r="H1559" t="n">
        <v>0</v>
      </c>
      <c r="I1559" t="n">
        <v>0</v>
      </c>
      <c r="J1559" t="n">
        <v>0</v>
      </c>
      <c r="K1559" t="n">
        <v>0</v>
      </c>
      <c r="L1559" t="n">
        <v>0</v>
      </c>
      <c r="M1559" t="n">
        <v>0</v>
      </c>
      <c r="N1559" t="n">
        <v>0</v>
      </c>
      <c r="O1559" t="n">
        <v>0</v>
      </c>
      <c r="P1559" t="n">
        <v>0</v>
      </c>
      <c r="Q1559" t="n">
        <v>0</v>
      </c>
      <c r="R1559" s="2" t="inlineStr"/>
    </row>
    <row r="1560" ht="15" customHeight="1">
      <c r="A1560" t="inlineStr">
        <is>
          <t>A 50755-2024</t>
        </is>
      </c>
      <c r="B1560" s="1" t="n">
        <v>45602</v>
      </c>
      <c r="C1560" s="1" t="n">
        <v>45840</v>
      </c>
      <c r="D1560" t="inlineStr">
        <is>
          <t>JÄMTLANDS LÄN</t>
        </is>
      </c>
      <c r="E1560" t="inlineStr">
        <is>
          <t>KROKOM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50738-2024</t>
        </is>
      </c>
      <c r="B1561" s="1" t="n">
        <v>45602</v>
      </c>
      <c r="C1561" s="1" t="n">
        <v>45840</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50822-2024</t>
        </is>
      </c>
      <c r="B1562" s="1" t="n">
        <v>45602</v>
      </c>
      <c r="C1562" s="1" t="n">
        <v>45840</v>
      </c>
      <c r="D1562" t="inlineStr">
        <is>
          <t>JÄMTLANDS LÄN</t>
        </is>
      </c>
      <c r="E1562" t="inlineStr">
        <is>
          <t>KROKOM</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50881-2024</t>
        </is>
      </c>
      <c r="B1563" s="1" t="n">
        <v>45602</v>
      </c>
      <c r="C1563" s="1" t="n">
        <v>45840</v>
      </c>
      <c r="D1563" t="inlineStr">
        <is>
          <t>JÄMTLANDS LÄN</t>
        </is>
      </c>
      <c r="E1563" t="inlineStr">
        <is>
          <t>KROKOM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51060-2024</t>
        </is>
      </c>
      <c r="B1564" s="1" t="n">
        <v>45603</v>
      </c>
      <c r="C1564" s="1" t="n">
        <v>45840</v>
      </c>
      <c r="D1564" t="inlineStr">
        <is>
          <t>JÄMTLANDS LÄN</t>
        </is>
      </c>
      <c r="E1564" t="inlineStr">
        <is>
          <t>KROKOM</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50951-2024</t>
        </is>
      </c>
      <c r="B1565" s="1" t="n">
        <v>45603</v>
      </c>
      <c r="C1565" s="1" t="n">
        <v>45840</v>
      </c>
      <c r="D1565" t="inlineStr">
        <is>
          <t>JÄMTLANDS LÄN</t>
        </is>
      </c>
      <c r="E1565" t="inlineStr">
        <is>
          <t>KROKOM</t>
        </is>
      </c>
      <c r="F1565" t="inlineStr">
        <is>
          <t>SCA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51580-2024</t>
        </is>
      </c>
      <c r="B1566" s="1" t="n">
        <v>45604</v>
      </c>
      <c r="C1566" s="1" t="n">
        <v>45840</v>
      </c>
      <c r="D1566" t="inlineStr">
        <is>
          <t>JÄMTLANDS LÄN</t>
        </is>
      </c>
      <c r="E1566" t="inlineStr">
        <is>
          <t>KROKOM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51581-2024</t>
        </is>
      </c>
      <c r="B1567" s="1" t="n">
        <v>45604</v>
      </c>
      <c r="C1567" s="1" t="n">
        <v>45840</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51939-2024</t>
        </is>
      </c>
      <c r="B1568" s="1" t="n">
        <v>45607</v>
      </c>
      <c r="C1568" s="1" t="n">
        <v>45840</v>
      </c>
      <c r="D1568" t="inlineStr">
        <is>
          <t>JÄMTLANDS LÄN</t>
        </is>
      </c>
      <c r="E1568" t="inlineStr">
        <is>
          <t>KROKOM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52213-2024</t>
        </is>
      </c>
      <c r="B1569" s="1" t="n">
        <v>45607</v>
      </c>
      <c r="C1569" s="1" t="n">
        <v>45840</v>
      </c>
      <c r="D1569" t="inlineStr">
        <is>
          <t>JÄMTLANDS LÄN</t>
        </is>
      </c>
      <c r="E1569" t="inlineStr">
        <is>
          <t>KROKOM</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52217-2024</t>
        </is>
      </c>
      <c r="B1570" s="1" t="n">
        <v>45607</v>
      </c>
      <c r="C1570" s="1" t="n">
        <v>45840</v>
      </c>
      <c r="D1570" t="inlineStr">
        <is>
          <t>JÄMTLANDS LÄN</t>
        </is>
      </c>
      <c r="E1570" t="inlineStr">
        <is>
          <t>KROKOM</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52313-2024</t>
        </is>
      </c>
      <c r="B1571" s="1" t="n">
        <v>45608</v>
      </c>
      <c r="C1571" s="1" t="n">
        <v>45840</v>
      </c>
      <c r="D1571" t="inlineStr">
        <is>
          <t>JÄMTLANDS LÄN</t>
        </is>
      </c>
      <c r="E1571" t="inlineStr">
        <is>
          <t>KROKOM</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52086-2024</t>
        </is>
      </c>
      <c r="B1572" s="1" t="n">
        <v>45608</v>
      </c>
      <c r="C1572" s="1" t="n">
        <v>45840</v>
      </c>
      <c r="D1572" t="inlineStr">
        <is>
          <t>JÄMTLANDS LÄN</t>
        </is>
      </c>
      <c r="E1572" t="inlineStr">
        <is>
          <t>KROKOM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52111-2024</t>
        </is>
      </c>
      <c r="B1573" s="1" t="n">
        <v>45608</v>
      </c>
      <c r="C1573" s="1" t="n">
        <v>45840</v>
      </c>
      <c r="D1573" t="inlineStr">
        <is>
          <t>JÄMTLANDS LÄN</t>
        </is>
      </c>
      <c r="E1573" t="inlineStr">
        <is>
          <t>KROKOM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52240-2024</t>
        </is>
      </c>
      <c r="B1574" s="1" t="n">
        <v>45608</v>
      </c>
      <c r="C1574" s="1" t="n">
        <v>45840</v>
      </c>
      <c r="D1574" t="inlineStr">
        <is>
          <t>JÄMTLANDS LÄN</t>
        </is>
      </c>
      <c r="E1574" t="inlineStr">
        <is>
          <t>KROKOM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52237-2024</t>
        </is>
      </c>
      <c r="B1575" s="1" t="n">
        <v>45608</v>
      </c>
      <c r="C1575" s="1" t="n">
        <v>45840</v>
      </c>
      <c r="D1575" t="inlineStr">
        <is>
          <t>JÄMTLANDS LÄN</t>
        </is>
      </c>
      <c r="E1575" t="inlineStr">
        <is>
          <t>KROKOM</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52540-2024</t>
        </is>
      </c>
      <c r="B1576" s="1" t="n">
        <v>45609</v>
      </c>
      <c r="C1576" s="1" t="n">
        <v>45840</v>
      </c>
      <c r="D1576" t="inlineStr">
        <is>
          <t>JÄMTLANDS LÄN</t>
        </is>
      </c>
      <c r="E1576" t="inlineStr">
        <is>
          <t>KROKOM</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52589-2024</t>
        </is>
      </c>
      <c r="B1577" s="1" t="n">
        <v>45609</v>
      </c>
      <c r="C1577" s="1" t="n">
        <v>45840</v>
      </c>
      <c r="D1577" t="inlineStr">
        <is>
          <t>JÄMTLANDS LÄN</t>
        </is>
      </c>
      <c r="E1577" t="inlineStr">
        <is>
          <t>KROKOM</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52666-2024</t>
        </is>
      </c>
      <c r="B1578" s="1" t="n">
        <v>45610</v>
      </c>
      <c r="C1578" s="1" t="n">
        <v>45840</v>
      </c>
      <c r="D1578" t="inlineStr">
        <is>
          <t>JÄMTLANDS LÄN</t>
        </is>
      </c>
      <c r="E1578" t="inlineStr">
        <is>
          <t>KROKOM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53543-2024</t>
        </is>
      </c>
      <c r="B1579" s="1" t="n">
        <v>45614</v>
      </c>
      <c r="C1579" s="1" t="n">
        <v>45840</v>
      </c>
      <c r="D1579" t="inlineStr">
        <is>
          <t>JÄMTLANDS LÄN</t>
        </is>
      </c>
      <c r="E1579" t="inlineStr">
        <is>
          <t>KROKOM</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53568-2024</t>
        </is>
      </c>
      <c r="B1580" s="1" t="n">
        <v>45614</v>
      </c>
      <c r="C1580" s="1" t="n">
        <v>45840</v>
      </c>
      <c r="D1580" t="inlineStr">
        <is>
          <t>JÄMTLANDS LÄN</t>
        </is>
      </c>
      <c r="E1580" t="inlineStr">
        <is>
          <t>KROKOM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53436-2024</t>
        </is>
      </c>
      <c r="B1581" s="1" t="n">
        <v>45614</v>
      </c>
      <c r="C1581" s="1" t="n">
        <v>45840</v>
      </c>
      <c r="D1581" t="inlineStr">
        <is>
          <t>JÄMTLANDS LÄN</t>
        </is>
      </c>
      <c r="E1581" t="inlineStr">
        <is>
          <t>KROKOM</t>
        </is>
      </c>
      <c r="G1581" t="n">
        <v>19.1</v>
      </c>
      <c r="H1581" t="n">
        <v>0</v>
      </c>
      <c r="I1581" t="n">
        <v>0</v>
      </c>
      <c r="J1581" t="n">
        <v>0</v>
      </c>
      <c r="K1581" t="n">
        <v>0</v>
      </c>
      <c r="L1581" t="n">
        <v>0</v>
      </c>
      <c r="M1581" t="n">
        <v>0</v>
      </c>
      <c r="N1581" t="n">
        <v>0</v>
      </c>
      <c r="O1581" t="n">
        <v>0</v>
      </c>
      <c r="P1581" t="n">
        <v>0</v>
      </c>
      <c r="Q1581" t="n">
        <v>0</v>
      </c>
      <c r="R1581" s="2" t="inlineStr"/>
    </row>
    <row r="1582" ht="15" customHeight="1">
      <c r="A1582" t="inlineStr">
        <is>
          <t>A 53544-2024</t>
        </is>
      </c>
      <c r="B1582" s="1" t="n">
        <v>45614</v>
      </c>
      <c r="C1582" s="1" t="n">
        <v>45840</v>
      </c>
      <c r="D1582" t="inlineStr">
        <is>
          <t>JÄMTLANDS LÄN</t>
        </is>
      </c>
      <c r="E1582" t="inlineStr">
        <is>
          <t>KROKOM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53540-2024</t>
        </is>
      </c>
      <c r="B1583" s="1" t="n">
        <v>45614</v>
      </c>
      <c r="C1583" s="1" t="n">
        <v>45840</v>
      </c>
      <c r="D1583" t="inlineStr">
        <is>
          <t>JÄMTLANDS LÄN</t>
        </is>
      </c>
      <c r="E1583" t="inlineStr">
        <is>
          <t>KROKOM</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53601-2024</t>
        </is>
      </c>
      <c r="B1584" s="1" t="n">
        <v>45614</v>
      </c>
      <c r="C1584" s="1" t="n">
        <v>45840</v>
      </c>
      <c r="D1584" t="inlineStr">
        <is>
          <t>JÄMTLANDS LÄN</t>
        </is>
      </c>
      <c r="E1584" t="inlineStr">
        <is>
          <t>KROKOM</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53541-2024</t>
        </is>
      </c>
      <c r="B1585" s="1" t="n">
        <v>45614</v>
      </c>
      <c r="C1585" s="1" t="n">
        <v>45840</v>
      </c>
      <c r="D1585" t="inlineStr">
        <is>
          <t>JÄMTLANDS LÄN</t>
        </is>
      </c>
      <c r="E1585" t="inlineStr">
        <is>
          <t>KROKOM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53389-2024</t>
        </is>
      </c>
      <c r="B1586" s="1" t="n">
        <v>45614</v>
      </c>
      <c r="C1586" s="1" t="n">
        <v>45840</v>
      </c>
      <c r="D1586" t="inlineStr">
        <is>
          <t>JÄMTLANDS LÄN</t>
        </is>
      </c>
      <c r="E1586" t="inlineStr">
        <is>
          <t>KROKOM</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53808-2024</t>
        </is>
      </c>
      <c r="B1587" s="1" t="n">
        <v>45615</v>
      </c>
      <c r="C1587" s="1" t="n">
        <v>45840</v>
      </c>
      <c r="D1587" t="inlineStr">
        <is>
          <t>JÄMTLANDS LÄN</t>
        </is>
      </c>
      <c r="E1587" t="inlineStr">
        <is>
          <t>KROKOM</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53825-2024</t>
        </is>
      </c>
      <c r="B1588" s="1" t="n">
        <v>45615</v>
      </c>
      <c r="C1588" s="1" t="n">
        <v>45840</v>
      </c>
      <c r="D1588" t="inlineStr">
        <is>
          <t>JÄMTLANDS LÄN</t>
        </is>
      </c>
      <c r="E1588" t="inlineStr">
        <is>
          <t>KROKOM</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53827-2024</t>
        </is>
      </c>
      <c r="B1589" s="1" t="n">
        <v>45615</v>
      </c>
      <c r="C1589" s="1" t="n">
        <v>45840</v>
      </c>
      <c r="D1589" t="inlineStr">
        <is>
          <t>JÄMTLANDS LÄN</t>
        </is>
      </c>
      <c r="E1589" t="inlineStr">
        <is>
          <t>KROKOM</t>
        </is>
      </c>
      <c r="F1589" t="inlineStr">
        <is>
          <t>Övriga Aktiebolag</t>
        </is>
      </c>
      <c r="G1589" t="n">
        <v>14.2</v>
      </c>
      <c r="H1589" t="n">
        <v>0</v>
      </c>
      <c r="I1589" t="n">
        <v>0</v>
      </c>
      <c r="J1589" t="n">
        <v>0</v>
      </c>
      <c r="K1589" t="n">
        <v>0</v>
      </c>
      <c r="L1589" t="n">
        <v>0</v>
      </c>
      <c r="M1589" t="n">
        <v>0</v>
      </c>
      <c r="N1589" t="n">
        <v>0</v>
      </c>
      <c r="O1589" t="n">
        <v>0</v>
      </c>
      <c r="P1589" t="n">
        <v>0</v>
      </c>
      <c r="Q1589" t="n">
        <v>0</v>
      </c>
      <c r="R1589" s="2" t="inlineStr"/>
    </row>
    <row r="1590" ht="15" customHeight="1">
      <c r="A1590" t="inlineStr">
        <is>
          <t>A 53776-2024</t>
        </is>
      </c>
      <c r="B1590" s="1" t="n">
        <v>45615</v>
      </c>
      <c r="C1590" s="1" t="n">
        <v>45840</v>
      </c>
      <c r="D1590" t="inlineStr">
        <is>
          <t>JÄMTLANDS LÄN</t>
        </is>
      </c>
      <c r="E1590" t="inlineStr">
        <is>
          <t>KROKOM</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53807-2024</t>
        </is>
      </c>
      <c r="B1591" s="1" t="n">
        <v>45615</v>
      </c>
      <c r="C1591" s="1" t="n">
        <v>45840</v>
      </c>
      <c r="D1591" t="inlineStr">
        <is>
          <t>JÄMTLANDS LÄN</t>
        </is>
      </c>
      <c r="E1591" t="inlineStr">
        <is>
          <t>KROKOM</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53904-2024</t>
        </is>
      </c>
      <c r="B1592" s="1" t="n">
        <v>45615</v>
      </c>
      <c r="C1592" s="1" t="n">
        <v>45840</v>
      </c>
      <c r="D1592" t="inlineStr">
        <is>
          <t>JÄMTLANDS LÄN</t>
        </is>
      </c>
      <c r="E1592" t="inlineStr">
        <is>
          <t>KROKOM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54121-2024</t>
        </is>
      </c>
      <c r="B1593" s="1" t="n">
        <v>45616</v>
      </c>
      <c r="C1593" s="1" t="n">
        <v>45840</v>
      </c>
      <c r="D1593" t="inlineStr">
        <is>
          <t>JÄMTLANDS LÄN</t>
        </is>
      </c>
      <c r="E1593" t="inlineStr">
        <is>
          <t>KROKOM</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53998-2024</t>
        </is>
      </c>
      <c r="B1594" s="1" t="n">
        <v>45616</v>
      </c>
      <c r="C1594" s="1" t="n">
        <v>45840</v>
      </c>
      <c r="D1594" t="inlineStr">
        <is>
          <t>JÄMTLANDS LÄN</t>
        </is>
      </c>
      <c r="E1594" t="inlineStr">
        <is>
          <t>KROKOM</t>
        </is>
      </c>
      <c r="G1594" t="n">
        <v>16.4</v>
      </c>
      <c r="H1594" t="n">
        <v>0</v>
      </c>
      <c r="I1594" t="n">
        <v>0</v>
      </c>
      <c r="J1594" t="n">
        <v>0</v>
      </c>
      <c r="K1594" t="n">
        <v>0</v>
      </c>
      <c r="L1594" t="n">
        <v>0</v>
      </c>
      <c r="M1594" t="n">
        <v>0</v>
      </c>
      <c r="N1594" t="n">
        <v>0</v>
      </c>
      <c r="O1594" t="n">
        <v>0</v>
      </c>
      <c r="P1594" t="n">
        <v>0</v>
      </c>
      <c r="Q1594" t="n">
        <v>0</v>
      </c>
      <c r="R1594" s="2" t="inlineStr"/>
    </row>
    <row r="1595" ht="15" customHeight="1">
      <c r="A1595" t="inlineStr">
        <is>
          <t>A 54140-2024</t>
        </is>
      </c>
      <c r="B1595" s="1" t="n">
        <v>45616</v>
      </c>
      <c r="C1595" s="1" t="n">
        <v>45840</v>
      </c>
      <c r="D1595" t="inlineStr">
        <is>
          <t>JÄMTLANDS LÄN</t>
        </is>
      </c>
      <c r="E1595" t="inlineStr">
        <is>
          <t>KROKOM</t>
        </is>
      </c>
      <c r="G1595" t="n">
        <v>13.4</v>
      </c>
      <c r="H1595" t="n">
        <v>0</v>
      </c>
      <c r="I1595" t="n">
        <v>0</v>
      </c>
      <c r="J1595" t="n">
        <v>0</v>
      </c>
      <c r="K1595" t="n">
        <v>0</v>
      </c>
      <c r="L1595" t="n">
        <v>0</v>
      </c>
      <c r="M1595" t="n">
        <v>0</v>
      </c>
      <c r="N1595" t="n">
        <v>0</v>
      </c>
      <c r="O1595" t="n">
        <v>0</v>
      </c>
      <c r="P1595" t="n">
        <v>0</v>
      </c>
      <c r="Q1595" t="n">
        <v>0</v>
      </c>
      <c r="R1595" s="2" t="inlineStr"/>
    </row>
    <row r="1596" ht="15" customHeight="1">
      <c r="A1596" t="inlineStr">
        <is>
          <t>A 54823-2024</t>
        </is>
      </c>
      <c r="B1596" s="1" t="n">
        <v>45618</v>
      </c>
      <c r="C1596" s="1" t="n">
        <v>45840</v>
      </c>
      <c r="D1596" t="inlineStr">
        <is>
          <t>JÄMTLANDS LÄN</t>
        </is>
      </c>
      <c r="E1596" t="inlineStr">
        <is>
          <t>KROKOM</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54828-2024</t>
        </is>
      </c>
      <c r="B1597" s="1" t="n">
        <v>45618</v>
      </c>
      <c r="C1597" s="1" t="n">
        <v>45840</v>
      </c>
      <c r="D1597" t="inlineStr">
        <is>
          <t>JÄMTLANDS LÄN</t>
        </is>
      </c>
      <c r="E1597" t="inlineStr">
        <is>
          <t>KROKOM</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54817-2024</t>
        </is>
      </c>
      <c r="B1598" s="1" t="n">
        <v>45618</v>
      </c>
      <c r="C1598" s="1" t="n">
        <v>45840</v>
      </c>
      <c r="D1598" t="inlineStr">
        <is>
          <t>JÄMTLANDS LÄN</t>
        </is>
      </c>
      <c r="E1598" t="inlineStr">
        <is>
          <t>KROKOM</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54975-2024</t>
        </is>
      </c>
      <c r="B1599" s="1" t="n">
        <v>45620</v>
      </c>
      <c r="C1599" s="1" t="n">
        <v>45840</v>
      </c>
      <c r="D1599" t="inlineStr">
        <is>
          <t>JÄMTLANDS LÄN</t>
        </is>
      </c>
      <c r="E1599" t="inlineStr">
        <is>
          <t>KROKOM</t>
        </is>
      </c>
      <c r="G1599" t="n">
        <v>24.1</v>
      </c>
      <c r="H1599" t="n">
        <v>0</v>
      </c>
      <c r="I1599" t="n">
        <v>0</v>
      </c>
      <c r="J1599" t="n">
        <v>0</v>
      </c>
      <c r="K1599" t="n">
        <v>0</v>
      </c>
      <c r="L1599" t="n">
        <v>0</v>
      </c>
      <c r="M1599" t="n">
        <v>0</v>
      </c>
      <c r="N1599" t="n">
        <v>0</v>
      </c>
      <c r="O1599" t="n">
        <v>0</v>
      </c>
      <c r="P1599" t="n">
        <v>0</v>
      </c>
      <c r="Q1599" t="n">
        <v>0</v>
      </c>
      <c r="R1599" s="2" t="inlineStr"/>
    </row>
    <row r="1600" ht="15" customHeight="1">
      <c r="A1600" t="inlineStr">
        <is>
          <t>A 55337-2024</t>
        </is>
      </c>
      <c r="B1600" s="1" t="n">
        <v>45621</v>
      </c>
      <c r="C1600" s="1" t="n">
        <v>45840</v>
      </c>
      <c r="D1600" t="inlineStr">
        <is>
          <t>JÄMTLANDS LÄN</t>
        </is>
      </c>
      <c r="E1600" t="inlineStr">
        <is>
          <t>KROKOM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55043-2024</t>
        </is>
      </c>
      <c r="B1601" s="1" t="n">
        <v>45621</v>
      </c>
      <c r="C1601" s="1" t="n">
        <v>45840</v>
      </c>
      <c r="D1601" t="inlineStr">
        <is>
          <t>JÄMTLANDS LÄN</t>
        </is>
      </c>
      <c r="E1601" t="inlineStr">
        <is>
          <t>KROKOM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55338-2024</t>
        </is>
      </c>
      <c r="B1602" s="1" t="n">
        <v>45621</v>
      </c>
      <c r="C1602" s="1" t="n">
        <v>45840</v>
      </c>
      <c r="D1602" t="inlineStr">
        <is>
          <t>JÄMTLANDS LÄN</t>
        </is>
      </c>
      <c r="E1602" t="inlineStr">
        <is>
          <t>KROKOM</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55339-2024</t>
        </is>
      </c>
      <c r="B1603" s="1" t="n">
        <v>45621</v>
      </c>
      <c r="C1603" s="1" t="n">
        <v>45840</v>
      </c>
      <c r="D1603" t="inlineStr">
        <is>
          <t>JÄMTLANDS LÄN</t>
        </is>
      </c>
      <c r="E1603" t="inlineStr">
        <is>
          <t>KROKOM</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55831-2024</t>
        </is>
      </c>
      <c r="B1604" s="1" t="n">
        <v>45623</v>
      </c>
      <c r="C1604" s="1" t="n">
        <v>45840</v>
      </c>
      <c r="D1604" t="inlineStr">
        <is>
          <t>JÄMTLANDS LÄN</t>
        </is>
      </c>
      <c r="E1604" t="inlineStr">
        <is>
          <t>KROKOM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55849-2024</t>
        </is>
      </c>
      <c r="B1605" s="1" t="n">
        <v>45623</v>
      </c>
      <c r="C1605" s="1" t="n">
        <v>45840</v>
      </c>
      <c r="D1605" t="inlineStr">
        <is>
          <t>JÄMTLANDS LÄN</t>
        </is>
      </c>
      <c r="E1605" t="inlineStr">
        <is>
          <t>KROKOM</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56640-2024</t>
        </is>
      </c>
      <c r="B1606" s="1" t="n">
        <v>45625</v>
      </c>
      <c r="C1606" s="1" t="n">
        <v>45840</v>
      </c>
      <c r="D1606" t="inlineStr">
        <is>
          <t>JÄMTLANDS LÄN</t>
        </is>
      </c>
      <c r="E1606" t="inlineStr">
        <is>
          <t>KROKOM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56981-2024</t>
        </is>
      </c>
      <c r="B1607" s="1" t="n">
        <v>45628</v>
      </c>
      <c r="C1607" s="1" t="n">
        <v>45840</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57136-2024</t>
        </is>
      </c>
      <c r="B1608" s="1" t="n">
        <v>45629</v>
      </c>
      <c r="C1608" s="1" t="n">
        <v>45840</v>
      </c>
      <c r="D1608" t="inlineStr">
        <is>
          <t>JÄMTLANDS LÄN</t>
        </is>
      </c>
      <c r="E1608" t="inlineStr">
        <is>
          <t>KROKOM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57134-2024</t>
        </is>
      </c>
      <c r="B1609" s="1" t="n">
        <v>45629</v>
      </c>
      <c r="C1609" s="1" t="n">
        <v>45840</v>
      </c>
      <c r="D1609" t="inlineStr">
        <is>
          <t>JÄMTLANDS LÄN</t>
        </is>
      </c>
      <c r="E1609" t="inlineStr">
        <is>
          <t>KROKOM</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57135-2024</t>
        </is>
      </c>
      <c r="B1610" s="1" t="n">
        <v>45629</v>
      </c>
      <c r="C1610" s="1" t="n">
        <v>45840</v>
      </c>
      <c r="D1610" t="inlineStr">
        <is>
          <t>JÄMTLANDS LÄN</t>
        </is>
      </c>
      <c r="E1610" t="inlineStr">
        <is>
          <t>KROKOM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57459-2024</t>
        </is>
      </c>
      <c r="B1611" s="1" t="n">
        <v>45630</v>
      </c>
      <c r="C1611" s="1" t="n">
        <v>45840</v>
      </c>
      <c r="D1611" t="inlineStr">
        <is>
          <t>JÄMTLANDS LÄN</t>
        </is>
      </c>
      <c r="E1611" t="inlineStr">
        <is>
          <t>KROKOM</t>
        </is>
      </c>
      <c r="G1611" t="n">
        <v>19.2</v>
      </c>
      <c r="H1611" t="n">
        <v>0</v>
      </c>
      <c r="I1611" t="n">
        <v>0</v>
      </c>
      <c r="J1611" t="n">
        <v>0</v>
      </c>
      <c r="K1611" t="n">
        <v>0</v>
      </c>
      <c r="L1611" t="n">
        <v>0</v>
      </c>
      <c r="M1611" t="n">
        <v>0</v>
      </c>
      <c r="N1611" t="n">
        <v>0</v>
      </c>
      <c r="O1611" t="n">
        <v>0</v>
      </c>
      <c r="P1611" t="n">
        <v>0</v>
      </c>
      <c r="Q1611" t="n">
        <v>0</v>
      </c>
      <c r="R1611" s="2" t="inlineStr"/>
    </row>
    <row r="1612" ht="15" customHeight="1">
      <c r="A1612" t="inlineStr">
        <is>
          <t>A 57718-2024</t>
        </is>
      </c>
      <c r="B1612" s="1" t="n">
        <v>45630</v>
      </c>
      <c r="C1612" s="1" t="n">
        <v>45840</v>
      </c>
      <c r="D1612" t="inlineStr">
        <is>
          <t>JÄMTLANDS LÄN</t>
        </is>
      </c>
      <c r="E1612" t="inlineStr">
        <is>
          <t>KROKOM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57575-2024</t>
        </is>
      </c>
      <c r="B1613" s="1" t="n">
        <v>45630</v>
      </c>
      <c r="C1613" s="1" t="n">
        <v>45840</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57985-2024</t>
        </is>
      </c>
      <c r="B1614" s="1" t="n">
        <v>45631</v>
      </c>
      <c r="C1614" s="1" t="n">
        <v>45840</v>
      </c>
      <c r="D1614" t="inlineStr">
        <is>
          <t>JÄMTLANDS LÄN</t>
        </is>
      </c>
      <c r="E1614" t="inlineStr">
        <is>
          <t>KROKOM</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57984-2024</t>
        </is>
      </c>
      <c r="B1615" s="1" t="n">
        <v>45631</v>
      </c>
      <c r="C1615" s="1" t="n">
        <v>45840</v>
      </c>
      <c r="D1615" t="inlineStr">
        <is>
          <t>JÄMTLANDS LÄN</t>
        </is>
      </c>
      <c r="E1615" t="inlineStr">
        <is>
          <t>KROKOM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57986-2024</t>
        </is>
      </c>
      <c r="B1616" s="1" t="n">
        <v>45631</v>
      </c>
      <c r="C1616" s="1" t="n">
        <v>45840</v>
      </c>
      <c r="D1616" t="inlineStr">
        <is>
          <t>JÄMTLANDS LÄN</t>
        </is>
      </c>
      <c r="E1616" t="inlineStr">
        <is>
          <t>KROKOM</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58207-2024</t>
        </is>
      </c>
      <c r="B1617" s="1" t="n">
        <v>45632</v>
      </c>
      <c r="C1617" s="1" t="n">
        <v>45840</v>
      </c>
      <c r="D1617" t="inlineStr">
        <is>
          <t>JÄMTLANDS LÄN</t>
        </is>
      </c>
      <c r="E1617" t="inlineStr">
        <is>
          <t>KROKOM</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58136-2024</t>
        </is>
      </c>
      <c r="B1618" s="1" t="n">
        <v>45632</v>
      </c>
      <c r="C1618" s="1" t="n">
        <v>45840</v>
      </c>
      <c r="D1618" t="inlineStr">
        <is>
          <t>JÄMTLANDS LÄN</t>
        </is>
      </c>
      <c r="E1618" t="inlineStr">
        <is>
          <t>KROKOM</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58189-2024</t>
        </is>
      </c>
      <c r="B1619" s="1" t="n">
        <v>45632</v>
      </c>
      <c r="C1619" s="1" t="n">
        <v>45840</v>
      </c>
      <c r="D1619" t="inlineStr">
        <is>
          <t>JÄMTLANDS LÄN</t>
        </is>
      </c>
      <c r="E1619" t="inlineStr">
        <is>
          <t>KROKOM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58416-2024</t>
        </is>
      </c>
      <c r="B1620" s="1" t="n">
        <v>45634</v>
      </c>
      <c r="C1620" s="1" t="n">
        <v>45840</v>
      </c>
      <c r="D1620" t="inlineStr">
        <is>
          <t>JÄMTLANDS LÄN</t>
        </is>
      </c>
      <c r="E1620" t="inlineStr">
        <is>
          <t>KROKOM</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58415-2024</t>
        </is>
      </c>
      <c r="B1621" s="1" t="n">
        <v>45634</v>
      </c>
      <c r="C1621" s="1" t="n">
        <v>45840</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58482-2024</t>
        </is>
      </c>
      <c r="B1622" s="1" t="n">
        <v>45635</v>
      </c>
      <c r="C1622" s="1" t="n">
        <v>45840</v>
      </c>
      <c r="D1622" t="inlineStr">
        <is>
          <t>JÄMTLANDS LÄN</t>
        </is>
      </c>
      <c r="E1622" t="inlineStr">
        <is>
          <t>KROKOM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58487-2024</t>
        </is>
      </c>
      <c r="B1623" s="1" t="n">
        <v>45635</v>
      </c>
      <c r="C1623" s="1" t="n">
        <v>45840</v>
      </c>
      <c r="D1623" t="inlineStr">
        <is>
          <t>JÄMTLANDS LÄN</t>
        </is>
      </c>
      <c r="E1623" t="inlineStr">
        <is>
          <t>KROKOM</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58734-2024</t>
        </is>
      </c>
      <c r="B1624" s="1" t="n">
        <v>45635</v>
      </c>
      <c r="C1624" s="1" t="n">
        <v>45840</v>
      </c>
      <c r="D1624" t="inlineStr">
        <is>
          <t>JÄMTLANDS LÄN</t>
        </is>
      </c>
      <c r="E1624" t="inlineStr">
        <is>
          <t>KROKOM</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58897-2024</t>
        </is>
      </c>
      <c r="B1625" s="1" t="n">
        <v>45636</v>
      </c>
      <c r="C1625" s="1" t="n">
        <v>45840</v>
      </c>
      <c r="D1625" t="inlineStr">
        <is>
          <t>JÄMTLANDS LÄN</t>
        </is>
      </c>
      <c r="E1625" t="inlineStr">
        <is>
          <t>KROKOM</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59620-2024</t>
        </is>
      </c>
      <c r="B1626" s="1" t="n">
        <v>45638</v>
      </c>
      <c r="C1626" s="1" t="n">
        <v>45840</v>
      </c>
      <c r="D1626" t="inlineStr">
        <is>
          <t>JÄMTLANDS LÄN</t>
        </is>
      </c>
      <c r="E1626" t="inlineStr">
        <is>
          <t>KROKOM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59619-2024</t>
        </is>
      </c>
      <c r="B1627" s="1" t="n">
        <v>45638</v>
      </c>
      <c r="C1627" s="1" t="n">
        <v>45840</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60122-2024</t>
        </is>
      </c>
      <c r="B1628" s="1" t="n">
        <v>45639</v>
      </c>
      <c r="C1628" s="1" t="n">
        <v>45840</v>
      </c>
      <c r="D1628" t="inlineStr">
        <is>
          <t>JÄMTLANDS LÄN</t>
        </is>
      </c>
      <c r="E1628" t="inlineStr">
        <is>
          <t>KROKOM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60195-2024</t>
        </is>
      </c>
      <c r="B1629" s="1" t="n">
        <v>45642</v>
      </c>
      <c r="C1629" s="1" t="n">
        <v>45840</v>
      </c>
      <c r="D1629" t="inlineStr">
        <is>
          <t>JÄMTLANDS LÄN</t>
        </is>
      </c>
      <c r="E1629" t="inlineStr">
        <is>
          <t>KROKOM</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60172-2024</t>
        </is>
      </c>
      <c r="B1630" s="1" t="n">
        <v>45642</v>
      </c>
      <c r="C1630" s="1" t="n">
        <v>45840</v>
      </c>
      <c r="D1630" t="inlineStr">
        <is>
          <t>JÄMTLANDS LÄN</t>
        </is>
      </c>
      <c r="E1630" t="inlineStr">
        <is>
          <t>KROKOM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60173-2024</t>
        </is>
      </c>
      <c r="B1631" s="1" t="n">
        <v>45642</v>
      </c>
      <c r="C1631" s="1" t="n">
        <v>45840</v>
      </c>
      <c r="D1631" t="inlineStr">
        <is>
          <t>JÄMTLANDS LÄN</t>
        </is>
      </c>
      <c r="E1631" t="inlineStr">
        <is>
          <t>KROKOM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60447-2024</t>
        </is>
      </c>
      <c r="B1632" s="1" t="n">
        <v>45643</v>
      </c>
      <c r="C1632" s="1" t="n">
        <v>45840</v>
      </c>
      <c r="D1632" t="inlineStr">
        <is>
          <t>JÄMTLANDS LÄN</t>
        </is>
      </c>
      <c r="E1632" t="inlineStr">
        <is>
          <t>KROKOM</t>
        </is>
      </c>
      <c r="G1632" t="n">
        <v>14.4</v>
      </c>
      <c r="H1632" t="n">
        <v>0</v>
      </c>
      <c r="I1632" t="n">
        <v>0</v>
      </c>
      <c r="J1632" t="n">
        <v>0</v>
      </c>
      <c r="K1632" t="n">
        <v>0</v>
      </c>
      <c r="L1632" t="n">
        <v>0</v>
      </c>
      <c r="M1632" t="n">
        <v>0</v>
      </c>
      <c r="N1632" t="n">
        <v>0</v>
      </c>
      <c r="O1632" t="n">
        <v>0</v>
      </c>
      <c r="P1632" t="n">
        <v>0</v>
      </c>
      <c r="Q1632" t="n">
        <v>0</v>
      </c>
      <c r="R1632" s="2" t="inlineStr"/>
    </row>
    <row r="1633" ht="15" customHeight="1">
      <c r="A1633" t="inlineStr">
        <is>
          <t>A 60416-2024</t>
        </is>
      </c>
      <c r="B1633" s="1" t="n">
        <v>45643</v>
      </c>
      <c r="C1633" s="1" t="n">
        <v>45840</v>
      </c>
      <c r="D1633" t="inlineStr">
        <is>
          <t>JÄMTLANDS LÄN</t>
        </is>
      </c>
      <c r="E1633" t="inlineStr">
        <is>
          <t>KROKOM</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60420-2024</t>
        </is>
      </c>
      <c r="B1634" s="1" t="n">
        <v>45643</v>
      </c>
      <c r="C1634" s="1" t="n">
        <v>45840</v>
      </c>
      <c r="D1634" t="inlineStr">
        <is>
          <t>JÄMTLANDS LÄN</t>
        </is>
      </c>
      <c r="E1634" t="inlineStr">
        <is>
          <t>KROKOM</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60313-2024</t>
        </is>
      </c>
      <c r="B1635" s="1" t="n">
        <v>45643</v>
      </c>
      <c r="C1635" s="1" t="n">
        <v>45840</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60450-2024</t>
        </is>
      </c>
      <c r="B1636" s="1" t="n">
        <v>45643</v>
      </c>
      <c r="C1636" s="1" t="n">
        <v>45840</v>
      </c>
      <c r="D1636" t="inlineStr">
        <is>
          <t>JÄMTLANDS LÄN</t>
        </is>
      </c>
      <c r="E1636" t="inlineStr">
        <is>
          <t>KROKOM</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60487-2024</t>
        </is>
      </c>
      <c r="B1637" s="1" t="n">
        <v>45643</v>
      </c>
      <c r="C1637" s="1" t="n">
        <v>45840</v>
      </c>
      <c r="D1637" t="inlineStr">
        <is>
          <t>JÄMTLANDS LÄN</t>
        </is>
      </c>
      <c r="E1637" t="inlineStr">
        <is>
          <t>KROKOM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60491-2024</t>
        </is>
      </c>
      <c r="B1638" s="1" t="n">
        <v>45643</v>
      </c>
      <c r="C1638" s="1" t="n">
        <v>45840</v>
      </c>
      <c r="D1638" t="inlineStr">
        <is>
          <t>JÄMTLANDS LÄN</t>
        </is>
      </c>
      <c r="E1638" t="inlineStr">
        <is>
          <t>KROKOM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60873-2024</t>
        </is>
      </c>
      <c r="B1639" s="1" t="n">
        <v>45644</v>
      </c>
      <c r="C1639" s="1" t="n">
        <v>45840</v>
      </c>
      <c r="D1639" t="inlineStr">
        <is>
          <t>JÄMTLANDS LÄN</t>
        </is>
      </c>
      <c r="E1639" t="inlineStr">
        <is>
          <t>KROKOM</t>
        </is>
      </c>
      <c r="G1639" t="n">
        <v>83.8</v>
      </c>
      <c r="H1639" t="n">
        <v>0</v>
      </c>
      <c r="I1639" t="n">
        <v>0</v>
      </c>
      <c r="J1639" t="n">
        <v>0</v>
      </c>
      <c r="K1639" t="n">
        <v>0</v>
      </c>
      <c r="L1639" t="n">
        <v>0</v>
      </c>
      <c r="M1639" t="n">
        <v>0</v>
      </c>
      <c r="N1639" t="n">
        <v>0</v>
      </c>
      <c r="O1639" t="n">
        <v>0</v>
      </c>
      <c r="P1639" t="n">
        <v>0</v>
      </c>
      <c r="Q1639" t="n">
        <v>0</v>
      </c>
      <c r="R1639" s="2" t="inlineStr"/>
    </row>
    <row r="1640" ht="15" customHeight="1">
      <c r="A1640" t="inlineStr">
        <is>
          <t>A 61388-2024</t>
        </is>
      </c>
      <c r="B1640" s="1" t="n">
        <v>45646</v>
      </c>
      <c r="C1640" s="1" t="n">
        <v>45840</v>
      </c>
      <c r="D1640" t="inlineStr">
        <is>
          <t>JÄMTLANDS LÄN</t>
        </is>
      </c>
      <c r="E1640" t="inlineStr">
        <is>
          <t>KROKOM</t>
        </is>
      </c>
      <c r="G1640" t="n">
        <v>44.1</v>
      </c>
      <c r="H1640" t="n">
        <v>0</v>
      </c>
      <c r="I1640" t="n">
        <v>0</v>
      </c>
      <c r="J1640" t="n">
        <v>0</v>
      </c>
      <c r="K1640" t="n">
        <v>0</v>
      </c>
      <c r="L1640" t="n">
        <v>0</v>
      </c>
      <c r="M1640" t="n">
        <v>0</v>
      </c>
      <c r="N1640" t="n">
        <v>0</v>
      </c>
      <c r="O1640" t="n">
        <v>0</v>
      </c>
      <c r="P1640" t="n">
        <v>0</v>
      </c>
      <c r="Q1640" t="n">
        <v>0</v>
      </c>
      <c r="R1640" s="2" t="inlineStr"/>
    </row>
    <row r="1641" ht="15" customHeight="1">
      <c r="A1641" t="inlineStr">
        <is>
          <t>A 61434-2024</t>
        </is>
      </c>
      <c r="B1641" s="1" t="n">
        <v>45646</v>
      </c>
      <c r="C1641" s="1" t="n">
        <v>45840</v>
      </c>
      <c r="D1641" t="inlineStr">
        <is>
          <t>JÄMTLANDS LÄN</t>
        </is>
      </c>
      <c r="E1641" t="inlineStr">
        <is>
          <t>KROKOM</t>
        </is>
      </c>
      <c r="G1641" t="n">
        <v>33.7</v>
      </c>
      <c r="H1641" t="n">
        <v>0</v>
      </c>
      <c r="I1641" t="n">
        <v>0</v>
      </c>
      <c r="J1641" t="n">
        <v>0</v>
      </c>
      <c r="K1641" t="n">
        <v>0</v>
      </c>
      <c r="L1641" t="n">
        <v>0</v>
      </c>
      <c r="M1641" t="n">
        <v>0</v>
      </c>
      <c r="N1641" t="n">
        <v>0</v>
      </c>
      <c r="O1641" t="n">
        <v>0</v>
      </c>
      <c r="P1641" t="n">
        <v>0</v>
      </c>
      <c r="Q1641" t="n">
        <v>0</v>
      </c>
      <c r="R1641" s="2" t="inlineStr"/>
    </row>
    <row r="1642" ht="15" customHeight="1">
      <c r="A1642" t="inlineStr">
        <is>
          <t>A 62121-2024</t>
        </is>
      </c>
      <c r="B1642" s="1" t="n">
        <v>45646</v>
      </c>
      <c r="C1642" s="1" t="n">
        <v>45840</v>
      </c>
      <c r="D1642" t="inlineStr">
        <is>
          <t>JÄMTLANDS LÄN</t>
        </is>
      </c>
      <c r="E1642" t="inlineStr">
        <is>
          <t>KROKOM</t>
        </is>
      </c>
      <c r="F1642" t="inlineStr">
        <is>
          <t>Kommuner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61767-2024</t>
        </is>
      </c>
      <c r="B1643" s="1" t="n">
        <v>45649</v>
      </c>
      <c r="C1643" s="1" t="n">
        <v>45840</v>
      </c>
      <c r="D1643" t="inlineStr">
        <is>
          <t>JÄMTLANDS LÄN</t>
        </is>
      </c>
      <c r="E1643" t="inlineStr">
        <is>
          <t>KROKOM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186-2025</t>
        </is>
      </c>
      <c r="B1644" s="1" t="n">
        <v>45649</v>
      </c>
      <c r="C1644" s="1" t="n">
        <v>45840</v>
      </c>
      <c r="D1644" t="inlineStr">
        <is>
          <t>JÄMTLANDS LÄN</t>
        </is>
      </c>
      <c r="E1644" t="inlineStr">
        <is>
          <t>KROKOM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61776-2024</t>
        </is>
      </c>
      <c r="B1645" s="1" t="n">
        <v>45649</v>
      </c>
      <c r="C1645" s="1" t="n">
        <v>45840</v>
      </c>
      <c r="D1645" t="inlineStr">
        <is>
          <t>JÄMTLANDS LÄN</t>
        </is>
      </c>
      <c r="E1645" t="inlineStr">
        <is>
          <t>KROKOM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61742-2024</t>
        </is>
      </c>
      <c r="B1646" s="1" t="n">
        <v>45649</v>
      </c>
      <c r="C1646" s="1" t="n">
        <v>45840</v>
      </c>
      <c r="D1646" t="inlineStr">
        <is>
          <t>JÄMTLANDS LÄN</t>
        </is>
      </c>
      <c r="E1646" t="inlineStr">
        <is>
          <t>KROKOM</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61966-2024</t>
        </is>
      </c>
      <c r="B1647" s="1" t="n">
        <v>45653</v>
      </c>
      <c r="C1647" s="1" t="n">
        <v>45840</v>
      </c>
      <c r="D1647" t="inlineStr">
        <is>
          <t>JÄMTLANDS LÄN</t>
        </is>
      </c>
      <c r="E1647" t="inlineStr">
        <is>
          <t>KROKOM</t>
        </is>
      </c>
      <c r="F1647" t="inlineStr">
        <is>
          <t>Övriga Aktiebolag</t>
        </is>
      </c>
      <c r="G1647" t="n">
        <v>15.7</v>
      </c>
      <c r="H1647" t="n">
        <v>0</v>
      </c>
      <c r="I1647" t="n">
        <v>0</v>
      </c>
      <c r="J1647" t="n">
        <v>0</v>
      </c>
      <c r="K1647" t="n">
        <v>0</v>
      </c>
      <c r="L1647" t="n">
        <v>0</v>
      </c>
      <c r="M1647" t="n">
        <v>0</v>
      </c>
      <c r="N1647" t="n">
        <v>0</v>
      </c>
      <c r="O1647" t="n">
        <v>0</v>
      </c>
      <c r="P1647" t="n">
        <v>0</v>
      </c>
      <c r="Q1647" t="n">
        <v>0</v>
      </c>
      <c r="R1647" s="2" t="inlineStr"/>
    </row>
    <row r="1648" ht="15" customHeight="1">
      <c r="A1648" t="inlineStr">
        <is>
          <t>A 62131-2024</t>
        </is>
      </c>
      <c r="B1648" s="1" t="n">
        <v>45656</v>
      </c>
      <c r="C1648" s="1" t="n">
        <v>45840</v>
      </c>
      <c r="D1648" t="inlineStr">
        <is>
          <t>JÄMTLANDS LÄN</t>
        </is>
      </c>
      <c r="E1648" t="inlineStr">
        <is>
          <t>KROKOM</t>
        </is>
      </c>
      <c r="F1648" t="inlineStr">
        <is>
          <t>Övriga Aktiebolag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280-2025</t>
        </is>
      </c>
      <c r="B1649" s="1" t="n">
        <v>45660</v>
      </c>
      <c r="C1649" s="1" t="n">
        <v>45840</v>
      </c>
      <c r="D1649" t="inlineStr">
        <is>
          <t>JÄMTLANDS LÄN</t>
        </is>
      </c>
      <c r="E1649" t="inlineStr">
        <is>
          <t>KROKOM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692-2025</t>
        </is>
      </c>
      <c r="B1650" s="1" t="n">
        <v>45662</v>
      </c>
      <c r="C1650" s="1" t="n">
        <v>45840</v>
      </c>
      <c r="D1650" t="inlineStr">
        <is>
          <t>JÄMTLANDS LÄN</t>
        </is>
      </c>
      <c r="E1650" t="inlineStr">
        <is>
          <t>KROKOM</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599-2025</t>
        </is>
      </c>
      <c r="B1651" s="1" t="n">
        <v>45664</v>
      </c>
      <c r="C1651" s="1" t="n">
        <v>45840</v>
      </c>
      <c r="D1651" t="inlineStr">
        <is>
          <t>JÄMTLANDS LÄN</t>
        </is>
      </c>
      <c r="E1651" t="inlineStr">
        <is>
          <t>KROKOM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826-2025</t>
        </is>
      </c>
      <c r="B1652" s="1" t="n">
        <v>45665</v>
      </c>
      <c r="C1652" s="1" t="n">
        <v>45840</v>
      </c>
      <c r="D1652" t="inlineStr">
        <is>
          <t>JÄMTLANDS LÄN</t>
        </is>
      </c>
      <c r="E1652" t="inlineStr">
        <is>
          <t>KROKOM</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1093-2025</t>
        </is>
      </c>
      <c r="B1653" s="1" t="n">
        <v>45666</v>
      </c>
      <c r="C1653" s="1" t="n">
        <v>45840</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1119-2025</t>
        </is>
      </c>
      <c r="B1654" s="1" t="n">
        <v>45666</v>
      </c>
      <c r="C1654" s="1" t="n">
        <v>45840</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1323-2025</t>
        </is>
      </c>
      <c r="B1655" s="1" t="n">
        <v>45667</v>
      </c>
      <c r="C1655" s="1" t="n">
        <v>45840</v>
      </c>
      <c r="D1655" t="inlineStr">
        <is>
          <t>JÄMTLANDS LÄN</t>
        </is>
      </c>
      <c r="E1655" t="inlineStr">
        <is>
          <t>KROKOM</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1473-2025</t>
        </is>
      </c>
      <c r="B1656" s="1" t="n">
        <v>45670</v>
      </c>
      <c r="C1656" s="1" t="n">
        <v>45840</v>
      </c>
      <c r="D1656" t="inlineStr">
        <is>
          <t>JÄMTLANDS LÄN</t>
        </is>
      </c>
      <c r="E1656" t="inlineStr">
        <is>
          <t>KROKOM</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1477-2025</t>
        </is>
      </c>
      <c r="B1657" s="1" t="n">
        <v>45670</v>
      </c>
      <c r="C1657" s="1" t="n">
        <v>45840</v>
      </c>
      <c r="D1657" t="inlineStr">
        <is>
          <t>JÄMTLANDS LÄN</t>
        </is>
      </c>
      <c r="E1657" t="inlineStr">
        <is>
          <t>KROKOM</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1852-2025</t>
        </is>
      </c>
      <c r="B1658" s="1" t="n">
        <v>45671</v>
      </c>
      <c r="C1658" s="1" t="n">
        <v>45840</v>
      </c>
      <c r="D1658" t="inlineStr">
        <is>
          <t>JÄMTLANDS LÄN</t>
        </is>
      </c>
      <c r="E1658" t="inlineStr">
        <is>
          <t>KROKOM</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2051-2025</t>
        </is>
      </c>
      <c r="B1659" s="1" t="n">
        <v>45672</v>
      </c>
      <c r="C1659" s="1" t="n">
        <v>45840</v>
      </c>
      <c r="D1659" t="inlineStr">
        <is>
          <t>JÄMTLANDS LÄN</t>
        </is>
      </c>
      <c r="E1659" t="inlineStr">
        <is>
          <t>KROKOM</t>
        </is>
      </c>
      <c r="F1659" t="inlineStr">
        <is>
          <t>Kyrkan</t>
        </is>
      </c>
      <c r="G1659" t="n">
        <v>87.90000000000001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2480-2025</t>
        </is>
      </c>
      <c r="B1660" s="1" t="n">
        <v>45674</v>
      </c>
      <c r="C1660" s="1" t="n">
        <v>45840</v>
      </c>
      <c r="D1660" t="inlineStr">
        <is>
          <t>JÄMTLANDS LÄN</t>
        </is>
      </c>
      <c r="E1660" t="inlineStr">
        <is>
          <t>KROKOM</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2782-2025</t>
        </is>
      </c>
      <c r="B1661" s="1" t="n">
        <v>45676</v>
      </c>
      <c r="C1661" s="1" t="n">
        <v>45840</v>
      </c>
      <c r="D1661" t="inlineStr">
        <is>
          <t>JÄMTLANDS LÄN</t>
        </is>
      </c>
      <c r="E1661" t="inlineStr">
        <is>
          <t>KROKOM</t>
        </is>
      </c>
      <c r="G1661" t="n">
        <v>18.6</v>
      </c>
      <c r="H1661" t="n">
        <v>0</v>
      </c>
      <c r="I1661" t="n">
        <v>0</v>
      </c>
      <c r="J1661" t="n">
        <v>0</v>
      </c>
      <c r="K1661" t="n">
        <v>0</v>
      </c>
      <c r="L1661" t="n">
        <v>0</v>
      </c>
      <c r="M1661" t="n">
        <v>0</v>
      </c>
      <c r="N1661" t="n">
        <v>0</v>
      </c>
      <c r="O1661" t="n">
        <v>0</v>
      </c>
      <c r="P1661" t="n">
        <v>0</v>
      </c>
      <c r="Q1661" t="n">
        <v>0</v>
      </c>
      <c r="R1661" s="2" t="inlineStr"/>
    </row>
    <row r="1662" ht="15" customHeight="1">
      <c r="A1662" t="inlineStr">
        <is>
          <t>A 3329-2025</t>
        </is>
      </c>
      <c r="B1662" s="1" t="n">
        <v>45679</v>
      </c>
      <c r="C1662" s="1" t="n">
        <v>45840</v>
      </c>
      <c r="D1662" t="inlineStr">
        <is>
          <t>JÄMTLANDS LÄN</t>
        </is>
      </c>
      <c r="E1662" t="inlineStr">
        <is>
          <t>KROKOM</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3263-2025</t>
        </is>
      </c>
      <c r="B1663" s="1" t="n">
        <v>45679</v>
      </c>
      <c r="C1663" s="1" t="n">
        <v>45840</v>
      </c>
      <c r="D1663" t="inlineStr">
        <is>
          <t>JÄMTLANDS LÄN</t>
        </is>
      </c>
      <c r="E1663" t="inlineStr">
        <is>
          <t>KROKOM</t>
        </is>
      </c>
      <c r="F1663" t="inlineStr">
        <is>
          <t>Kyrkan</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3192-2025</t>
        </is>
      </c>
      <c r="B1664" s="1" t="n">
        <v>45679</v>
      </c>
      <c r="C1664" s="1" t="n">
        <v>45840</v>
      </c>
      <c r="D1664" t="inlineStr">
        <is>
          <t>JÄMTLANDS LÄN</t>
        </is>
      </c>
      <c r="E1664" t="inlineStr">
        <is>
          <t>KROKOM</t>
        </is>
      </c>
      <c r="F1664" t="inlineStr">
        <is>
          <t>Kyrkan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4055-2025</t>
        </is>
      </c>
      <c r="B1665" s="1" t="n">
        <v>45684</v>
      </c>
      <c r="C1665" s="1" t="n">
        <v>45840</v>
      </c>
      <c r="D1665" t="inlineStr">
        <is>
          <t>JÄMTLANDS LÄN</t>
        </is>
      </c>
      <c r="E1665" t="inlineStr">
        <is>
          <t>KROKOM</t>
        </is>
      </c>
      <c r="F1665" t="inlineStr">
        <is>
          <t>Kyrkan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4046-2025</t>
        </is>
      </c>
      <c r="B1666" s="1" t="n">
        <v>45684</v>
      </c>
      <c r="C1666" s="1" t="n">
        <v>45840</v>
      </c>
      <c r="D1666" t="inlineStr">
        <is>
          <t>JÄMTLANDS LÄN</t>
        </is>
      </c>
      <c r="E1666" t="inlineStr">
        <is>
          <t>KROKOM</t>
        </is>
      </c>
      <c r="F1666" t="inlineStr">
        <is>
          <t>Kyrkan</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4050-2025</t>
        </is>
      </c>
      <c r="B1667" s="1" t="n">
        <v>45684</v>
      </c>
      <c r="C1667" s="1" t="n">
        <v>45840</v>
      </c>
      <c r="D1667" t="inlineStr">
        <is>
          <t>JÄMTLANDS LÄN</t>
        </is>
      </c>
      <c r="E1667" t="inlineStr">
        <is>
          <t>KROKOM</t>
        </is>
      </c>
      <c r="F1667" t="inlineStr">
        <is>
          <t>Kyrkan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4058-2025</t>
        </is>
      </c>
      <c r="B1668" s="1" t="n">
        <v>45684</v>
      </c>
      <c r="C1668" s="1" t="n">
        <v>45840</v>
      </c>
      <c r="D1668" t="inlineStr">
        <is>
          <t>JÄMTLANDS LÄN</t>
        </is>
      </c>
      <c r="E1668" t="inlineStr">
        <is>
          <t>KROKOM</t>
        </is>
      </c>
      <c r="F1668" t="inlineStr">
        <is>
          <t>Kyrkan</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4320-2025</t>
        </is>
      </c>
      <c r="B1669" s="1" t="n">
        <v>45685</v>
      </c>
      <c r="C1669" s="1" t="n">
        <v>45840</v>
      </c>
      <c r="D1669" t="inlineStr">
        <is>
          <t>JÄMTLANDS LÄN</t>
        </is>
      </c>
      <c r="E1669" t="inlineStr">
        <is>
          <t>KROKOM</t>
        </is>
      </c>
      <c r="F1669" t="inlineStr">
        <is>
          <t>Kyrkan</t>
        </is>
      </c>
      <c r="G1669" t="n">
        <v>33.3</v>
      </c>
      <c r="H1669" t="n">
        <v>0</v>
      </c>
      <c r="I1669" t="n">
        <v>0</v>
      </c>
      <c r="J1669" t="n">
        <v>0</v>
      </c>
      <c r="K1669" t="n">
        <v>0</v>
      </c>
      <c r="L1669" t="n">
        <v>0</v>
      </c>
      <c r="M1669" t="n">
        <v>0</v>
      </c>
      <c r="N1669" t="n">
        <v>0</v>
      </c>
      <c r="O1669" t="n">
        <v>0</v>
      </c>
      <c r="P1669" t="n">
        <v>0</v>
      </c>
      <c r="Q1669" t="n">
        <v>0</v>
      </c>
      <c r="R1669" s="2" t="inlineStr"/>
    </row>
    <row r="1670" ht="15" customHeight="1">
      <c r="A1670" t="inlineStr">
        <is>
          <t>A 4332-2025</t>
        </is>
      </c>
      <c r="B1670" s="1" t="n">
        <v>45685</v>
      </c>
      <c r="C1670" s="1" t="n">
        <v>45840</v>
      </c>
      <c r="D1670" t="inlineStr">
        <is>
          <t>JÄMTLANDS LÄN</t>
        </is>
      </c>
      <c r="E1670" t="inlineStr">
        <is>
          <t>KROKOM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4423-2025</t>
        </is>
      </c>
      <c r="B1671" s="1" t="n">
        <v>45686</v>
      </c>
      <c r="C1671" s="1" t="n">
        <v>45840</v>
      </c>
      <c r="D1671" t="inlineStr">
        <is>
          <t>JÄMTLANDS LÄN</t>
        </is>
      </c>
      <c r="E1671" t="inlineStr">
        <is>
          <t>KROKOM</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4377-2025</t>
        </is>
      </c>
      <c r="B1672" s="1" t="n">
        <v>45686</v>
      </c>
      <c r="C1672" s="1" t="n">
        <v>45840</v>
      </c>
      <c r="D1672" t="inlineStr">
        <is>
          <t>JÄMTLANDS LÄN</t>
        </is>
      </c>
      <c r="E1672" t="inlineStr">
        <is>
          <t>KROKOM</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4369-2025</t>
        </is>
      </c>
      <c r="B1673" s="1" t="n">
        <v>45686</v>
      </c>
      <c r="C1673" s="1" t="n">
        <v>45840</v>
      </c>
      <c r="D1673" t="inlineStr">
        <is>
          <t>JÄMTLANDS LÄN</t>
        </is>
      </c>
      <c r="E1673" t="inlineStr">
        <is>
          <t>KROKOM</t>
        </is>
      </c>
      <c r="F1673" t="inlineStr">
        <is>
          <t>SCA</t>
        </is>
      </c>
      <c r="G1673" t="n">
        <v>45.4</v>
      </c>
      <c r="H1673" t="n">
        <v>0</v>
      </c>
      <c r="I1673" t="n">
        <v>0</v>
      </c>
      <c r="J1673" t="n">
        <v>0</v>
      </c>
      <c r="K1673" t="n">
        <v>0</v>
      </c>
      <c r="L1673" t="n">
        <v>0</v>
      </c>
      <c r="M1673" t="n">
        <v>0</v>
      </c>
      <c r="N1673" t="n">
        <v>0</v>
      </c>
      <c r="O1673" t="n">
        <v>0</v>
      </c>
      <c r="P1673" t="n">
        <v>0</v>
      </c>
      <c r="Q1673" t="n">
        <v>0</v>
      </c>
      <c r="R1673" s="2" t="inlineStr"/>
    </row>
    <row r="1674" ht="15" customHeight="1">
      <c r="A1674" t="inlineStr">
        <is>
          <t>A 4364-2025</t>
        </is>
      </c>
      <c r="B1674" s="1" t="n">
        <v>45686</v>
      </c>
      <c r="C1674" s="1" t="n">
        <v>45840</v>
      </c>
      <c r="D1674" t="inlineStr">
        <is>
          <t>JÄMTLANDS LÄN</t>
        </is>
      </c>
      <c r="E1674" t="inlineStr">
        <is>
          <t>KROKOM</t>
        </is>
      </c>
      <c r="F1674" t="inlineStr">
        <is>
          <t>SCA</t>
        </is>
      </c>
      <c r="G1674" t="n">
        <v>27.9</v>
      </c>
      <c r="H1674" t="n">
        <v>0</v>
      </c>
      <c r="I1674" t="n">
        <v>0</v>
      </c>
      <c r="J1674" t="n">
        <v>0</v>
      </c>
      <c r="K1674" t="n">
        <v>0</v>
      </c>
      <c r="L1674" t="n">
        <v>0</v>
      </c>
      <c r="M1674" t="n">
        <v>0</v>
      </c>
      <c r="N1674" t="n">
        <v>0</v>
      </c>
      <c r="O1674" t="n">
        <v>0</v>
      </c>
      <c r="P1674" t="n">
        <v>0</v>
      </c>
      <c r="Q1674" t="n">
        <v>0</v>
      </c>
      <c r="R1674" s="2" t="inlineStr"/>
    </row>
    <row r="1675" ht="15" customHeight="1">
      <c r="A1675" t="inlineStr">
        <is>
          <t>A 4383-2025</t>
        </is>
      </c>
      <c r="B1675" s="1" t="n">
        <v>45686</v>
      </c>
      <c r="C1675" s="1" t="n">
        <v>45840</v>
      </c>
      <c r="D1675" t="inlineStr">
        <is>
          <t>JÄMTLANDS LÄN</t>
        </is>
      </c>
      <c r="E1675" t="inlineStr">
        <is>
          <t>KROKOM</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4354-2025</t>
        </is>
      </c>
      <c r="B1676" s="1" t="n">
        <v>45686</v>
      </c>
      <c r="C1676" s="1" t="n">
        <v>45840</v>
      </c>
      <c r="D1676" t="inlineStr">
        <is>
          <t>JÄMTLANDS LÄN</t>
        </is>
      </c>
      <c r="E1676" t="inlineStr">
        <is>
          <t>KROKOM</t>
        </is>
      </c>
      <c r="F1676" t="inlineStr">
        <is>
          <t>SCA</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4361-2025</t>
        </is>
      </c>
      <c r="B1677" s="1" t="n">
        <v>45686</v>
      </c>
      <c r="C1677" s="1" t="n">
        <v>45840</v>
      </c>
      <c r="D1677" t="inlineStr">
        <is>
          <t>JÄMTLANDS LÄN</t>
        </is>
      </c>
      <c r="E1677" t="inlineStr">
        <is>
          <t>KROKOM</t>
        </is>
      </c>
      <c r="F1677" t="inlineStr">
        <is>
          <t>SCA</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4608-2025</t>
        </is>
      </c>
      <c r="B1678" s="1" t="n">
        <v>45687</v>
      </c>
      <c r="C1678" s="1" t="n">
        <v>45840</v>
      </c>
      <c r="D1678" t="inlineStr">
        <is>
          <t>JÄMTLANDS LÄN</t>
        </is>
      </c>
      <c r="E1678" t="inlineStr">
        <is>
          <t>KROKOM</t>
        </is>
      </c>
      <c r="F1678" t="inlineStr">
        <is>
          <t>SCA</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4609-2025</t>
        </is>
      </c>
      <c r="B1679" s="1" t="n">
        <v>45687</v>
      </c>
      <c r="C1679" s="1" t="n">
        <v>45840</v>
      </c>
      <c r="D1679" t="inlineStr">
        <is>
          <t>JÄMTLANDS LÄN</t>
        </is>
      </c>
      <c r="E1679" t="inlineStr">
        <is>
          <t>KROKOM</t>
        </is>
      </c>
      <c r="F1679" t="inlineStr">
        <is>
          <t>SCA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4570-2025</t>
        </is>
      </c>
      <c r="B1680" s="1" t="n">
        <v>45687</v>
      </c>
      <c r="C1680" s="1" t="n">
        <v>45840</v>
      </c>
      <c r="D1680" t="inlineStr">
        <is>
          <t>JÄMTLANDS LÄN</t>
        </is>
      </c>
      <c r="E1680" t="inlineStr">
        <is>
          <t>KROKOM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4575-2025</t>
        </is>
      </c>
      <c r="B1681" s="1" t="n">
        <v>45687</v>
      </c>
      <c r="C1681" s="1" t="n">
        <v>45840</v>
      </c>
      <c r="D1681" t="inlineStr">
        <is>
          <t>JÄMTLANDS LÄN</t>
        </is>
      </c>
      <c r="E1681" t="inlineStr">
        <is>
          <t>KROKOM</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4883-2025</t>
        </is>
      </c>
      <c r="B1682" s="1" t="n">
        <v>45688</v>
      </c>
      <c r="C1682" s="1" t="n">
        <v>45840</v>
      </c>
      <c r="D1682" t="inlineStr">
        <is>
          <t>JÄMTLANDS LÄN</t>
        </is>
      </c>
      <c r="E1682" t="inlineStr">
        <is>
          <t>KROKOM</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4707-2025</t>
        </is>
      </c>
      <c r="B1683" s="1" t="n">
        <v>45688</v>
      </c>
      <c r="C1683" s="1" t="n">
        <v>45840</v>
      </c>
      <c r="D1683" t="inlineStr">
        <is>
          <t>JÄMTLANDS LÄN</t>
        </is>
      </c>
      <c r="E1683" t="inlineStr">
        <is>
          <t>KROKOM</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5092-2025</t>
        </is>
      </c>
      <c r="B1684" s="1" t="n">
        <v>45691</v>
      </c>
      <c r="C1684" s="1" t="n">
        <v>45840</v>
      </c>
      <c r="D1684" t="inlineStr">
        <is>
          <t>JÄMTLANDS LÄN</t>
        </is>
      </c>
      <c r="E1684" t="inlineStr">
        <is>
          <t>KROKOM</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5085-2025</t>
        </is>
      </c>
      <c r="B1685" s="1" t="n">
        <v>45691</v>
      </c>
      <c r="C1685" s="1" t="n">
        <v>45840</v>
      </c>
      <c r="D1685" t="inlineStr">
        <is>
          <t>JÄMTLANDS LÄN</t>
        </is>
      </c>
      <c r="E1685" t="inlineStr">
        <is>
          <t>KROKOM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5054-2025</t>
        </is>
      </c>
      <c r="B1686" s="1" t="n">
        <v>45691</v>
      </c>
      <c r="C1686" s="1" t="n">
        <v>45840</v>
      </c>
      <c r="D1686" t="inlineStr">
        <is>
          <t>JÄMTLANDS LÄN</t>
        </is>
      </c>
      <c r="E1686" t="inlineStr">
        <is>
          <t>KROKOM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5173-2025</t>
        </is>
      </c>
      <c r="B1687" s="1" t="n">
        <v>45691</v>
      </c>
      <c r="C1687" s="1" t="n">
        <v>45840</v>
      </c>
      <c r="D1687" t="inlineStr">
        <is>
          <t>JÄMTLANDS LÄN</t>
        </is>
      </c>
      <c r="E1687" t="inlineStr">
        <is>
          <t>KROKOM</t>
        </is>
      </c>
      <c r="F1687" t="inlineStr">
        <is>
          <t>Kyrkan</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5105-2025</t>
        </is>
      </c>
      <c r="B1688" s="1" t="n">
        <v>45691</v>
      </c>
      <c r="C1688" s="1" t="n">
        <v>45840</v>
      </c>
      <c r="D1688" t="inlineStr">
        <is>
          <t>JÄMTLANDS LÄN</t>
        </is>
      </c>
      <c r="E1688" t="inlineStr">
        <is>
          <t>KROKOM</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5291-2025</t>
        </is>
      </c>
      <c r="B1689" s="1" t="n">
        <v>45692</v>
      </c>
      <c r="C1689" s="1" t="n">
        <v>45840</v>
      </c>
      <c r="D1689" t="inlineStr">
        <is>
          <t>JÄMTLANDS LÄN</t>
        </is>
      </c>
      <c r="E1689" t="inlineStr">
        <is>
          <t>KROKOM</t>
        </is>
      </c>
      <c r="G1689" t="n">
        <v>29.1</v>
      </c>
      <c r="H1689" t="n">
        <v>0</v>
      </c>
      <c r="I1689" t="n">
        <v>0</v>
      </c>
      <c r="J1689" t="n">
        <v>0</v>
      </c>
      <c r="K1689" t="n">
        <v>0</v>
      </c>
      <c r="L1689" t="n">
        <v>0</v>
      </c>
      <c r="M1689" t="n">
        <v>0</v>
      </c>
      <c r="N1689" t="n">
        <v>0</v>
      </c>
      <c r="O1689" t="n">
        <v>0</v>
      </c>
      <c r="P1689" t="n">
        <v>0</v>
      </c>
      <c r="Q1689" t="n">
        <v>0</v>
      </c>
      <c r="R1689" s="2" t="inlineStr"/>
    </row>
    <row r="1690" ht="15" customHeight="1">
      <c r="A1690" t="inlineStr">
        <is>
          <t>A 5356-2025</t>
        </is>
      </c>
      <c r="B1690" s="1" t="n">
        <v>45692</v>
      </c>
      <c r="C1690" s="1" t="n">
        <v>45840</v>
      </c>
      <c r="D1690" t="inlineStr">
        <is>
          <t>JÄMTLANDS LÄN</t>
        </is>
      </c>
      <c r="E1690" t="inlineStr">
        <is>
          <t>KROKOM</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5364-2025</t>
        </is>
      </c>
      <c r="B1691" s="1" t="n">
        <v>45692</v>
      </c>
      <c r="C1691" s="1" t="n">
        <v>45840</v>
      </c>
      <c r="D1691" t="inlineStr">
        <is>
          <t>JÄMTLANDS LÄN</t>
        </is>
      </c>
      <c r="E1691" t="inlineStr">
        <is>
          <t>KROKOM</t>
        </is>
      </c>
      <c r="G1691" t="n">
        <v>25.4</v>
      </c>
      <c r="H1691" t="n">
        <v>0</v>
      </c>
      <c r="I1691" t="n">
        <v>0</v>
      </c>
      <c r="J1691" t="n">
        <v>0</v>
      </c>
      <c r="K1691" t="n">
        <v>0</v>
      </c>
      <c r="L1691" t="n">
        <v>0</v>
      </c>
      <c r="M1691" t="n">
        <v>0</v>
      </c>
      <c r="N1691" t="n">
        <v>0</v>
      </c>
      <c r="O1691" t="n">
        <v>0</v>
      </c>
      <c r="P1691" t="n">
        <v>0</v>
      </c>
      <c r="Q1691" t="n">
        <v>0</v>
      </c>
      <c r="R1691" s="2" t="inlineStr"/>
    </row>
    <row r="1692" ht="15" customHeight="1">
      <c r="A1692" t="inlineStr">
        <is>
          <t>A 5409-2025</t>
        </is>
      </c>
      <c r="B1692" s="1" t="n">
        <v>45692</v>
      </c>
      <c r="C1692" s="1" t="n">
        <v>45840</v>
      </c>
      <c r="D1692" t="inlineStr">
        <is>
          <t>JÄMTLANDS LÄN</t>
        </is>
      </c>
      <c r="E1692" t="inlineStr">
        <is>
          <t>KROKOM</t>
        </is>
      </c>
      <c r="F1692" t="inlineStr">
        <is>
          <t>SCA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5255-2025</t>
        </is>
      </c>
      <c r="B1693" s="1" t="n">
        <v>45692</v>
      </c>
      <c r="C1693" s="1" t="n">
        <v>45840</v>
      </c>
      <c r="D1693" t="inlineStr">
        <is>
          <t>JÄMTLANDS LÄN</t>
        </is>
      </c>
      <c r="E1693" t="inlineStr">
        <is>
          <t>KROKOM</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5402-2025</t>
        </is>
      </c>
      <c r="B1694" s="1" t="n">
        <v>45692</v>
      </c>
      <c r="C1694" s="1" t="n">
        <v>45840</v>
      </c>
      <c r="D1694" t="inlineStr">
        <is>
          <t>JÄMTLANDS LÄN</t>
        </is>
      </c>
      <c r="E1694" t="inlineStr">
        <is>
          <t>KROKOM</t>
        </is>
      </c>
      <c r="G1694" t="n">
        <v>20.3</v>
      </c>
      <c r="H1694" t="n">
        <v>0</v>
      </c>
      <c r="I1694" t="n">
        <v>0</v>
      </c>
      <c r="J1694" t="n">
        <v>0</v>
      </c>
      <c r="K1694" t="n">
        <v>0</v>
      </c>
      <c r="L1694" t="n">
        <v>0</v>
      </c>
      <c r="M1694" t="n">
        <v>0</v>
      </c>
      <c r="N1694" t="n">
        <v>0</v>
      </c>
      <c r="O1694" t="n">
        <v>0</v>
      </c>
      <c r="P1694" t="n">
        <v>0</v>
      </c>
      <c r="Q1694" t="n">
        <v>0</v>
      </c>
      <c r="R1694" s="2" t="inlineStr"/>
    </row>
    <row r="1695" ht="15" customHeight="1">
      <c r="A1695" t="inlineStr">
        <is>
          <t>A 5378-2025</t>
        </is>
      </c>
      <c r="B1695" s="1" t="n">
        <v>45692</v>
      </c>
      <c r="C1695" s="1" t="n">
        <v>45840</v>
      </c>
      <c r="D1695" t="inlineStr">
        <is>
          <t>JÄMTLANDS LÄN</t>
        </is>
      </c>
      <c r="E1695" t="inlineStr">
        <is>
          <t>KROKOM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5334-2025</t>
        </is>
      </c>
      <c r="B1696" s="1" t="n">
        <v>45692</v>
      </c>
      <c r="C1696" s="1" t="n">
        <v>45840</v>
      </c>
      <c r="D1696" t="inlineStr">
        <is>
          <t>JÄMTLANDS LÄN</t>
        </is>
      </c>
      <c r="E1696" t="inlineStr">
        <is>
          <t>KROKOM</t>
        </is>
      </c>
      <c r="G1696" t="n">
        <v>34.8</v>
      </c>
      <c r="H1696" t="n">
        <v>0</v>
      </c>
      <c r="I1696" t="n">
        <v>0</v>
      </c>
      <c r="J1696" t="n">
        <v>0</v>
      </c>
      <c r="K1696" t="n">
        <v>0</v>
      </c>
      <c r="L1696" t="n">
        <v>0</v>
      </c>
      <c r="M1696" t="n">
        <v>0</v>
      </c>
      <c r="N1696" t="n">
        <v>0</v>
      </c>
      <c r="O1696" t="n">
        <v>0</v>
      </c>
      <c r="P1696" t="n">
        <v>0</v>
      </c>
      <c r="Q1696" t="n">
        <v>0</v>
      </c>
      <c r="R1696" s="2" t="inlineStr"/>
    </row>
    <row r="1697" ht="15" customHeight="1">
      <c r="A1697" t="inlineStr">
        <is>
          <t>A 5558-2025</t>
        </is>
      </c>
      <c r="B1697" s="1" t="n">
        <v>45693</v>
      </c>
      <c r="C1697" s="1" t="n">
        <v>45840</v>
      </c>
      <c r="D1697" t="inlineStr">
        <is>
          <t>JÄMTLANDS LÄN</t>
        </is>
      </c>
      <c r="E1697" t="inlineStr">
        <is>
          <t>KROKOM</t>
        </is>
      </c>
      <c r="G1697" t="n">
        <v>31.1</v>
      </c>
      <c r="H1697" t="n">
        <v>0</v>
      </c>
      <c r="I1697" t="n">
        <v>0</v>
      </c>
      <c r="J1697" t="n">
        <v>0</v>
      </c>
      <c r="K1697" t="n">
        <v>0</v>
      </c>
      <c r="L1697" t="n">
        <v>0</v>
      </c>
      <c r="M1697" t="n">
        <v>0</v>
      </c>
      <c r="N1697" t="n">
        <v>0</v>
      </c>
      <c r="O1697" t="n">
        <v>0</v>
      </c>
      <c r="P1697" t="n">
        <v>0</v>
      </c>
      <c r="Q1697" t="n">
        <v>0</v>
      </c>
      <c r="R1697" s="2" t="inlineStr"/>
    </row>
    <row r="1698" ht="15" customHeight="1">
      <c r="A1698" t="inlineStr">
        <is>
          <t>A 5637-2025</t>
        </is>
      </c>
      <c r="B1698" s="1" t="n">
        <v>45693</v>
      </c>
      <c r="C1698" s="1" t="n">
        <v>45840</v>
      </c>
      <c r="D1698" t="inlineStr">
        <is>
          <t>JÄMTLANDS LÄN</t>
        </is>
      </c>
      <c r="E1698" t="inlineStr">
        <is>
          <t>KROKOM</t>
        </is>
      </c>
      <c r="F1698" t="inlineStr">
        <is>
          <t>Övriga Aktiebolag</t>
        </is>
      </c>
      <c r="G1698" t="n">
        <v>57.8</v>
      </c>
      <c r="H1698" t="n">
        <v>0</v>
      </c>
      <c r="I1698" t="n">
        <v>0</v>
      </c>
      <c r="J1698" t="n">
        <v>0</v>
      </c>
      <c r="K1698" t="n">
        <v>0</v>
      </c>
      <c r="L1698" t="n">
        <v>0</v>
      </c>
      <c r="M1698" t="n">
        <v>0</v>
      </c>
      <c r="N1698" t="n">
        <v>0</v>
      </c>
      <c r="O1698" t="n">
        <v>0</v>
      </c>
      <c r="P1698" t="n">
        <v>0</v>
      </c>
      <c r="Q1698" t="n">
        <v>0</v>
      </c>
      <c r="R1698" s="2" t="inlineStr"/>
    </row>
    <row r="1699" ht="15" customHeight="1">
      <c r="A1699" t="inlineStr">
        <is>
          <t>A 5498-2025</t>
        </is>
      </c>
      <c r="B1699" s="1" t="n">
        <v>45693</v>
      </c>
      <c r="C1699" s="1" t="n">
        <v>45840</v>
      </c>
      <c r="D1699" t="inlineStr">
        <is>
          <t>JÄMTLANDS LÄN</t>
        </is>
      </c>
      <c r="E1699" t="inlineStr">
        <is>
          <t>KROKOM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5533-2025</t>
        </is>
      </c>
      <c r="B1700" s="1" t="n">
        <v>45693</v>
      </c>
      <c r="C1700" s="1" t="n">
        <v>45840</v>
      </c>
      <c r="D1700" t="inlineStr">
        <is>
          <t>JÄMTLANDS LÄN</t>
        </is>
      </c>
      <c r="E1700" t="inlineStr">
        <is>
          <t>KROKOM</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5680-2025</t>
        </is>
      </c>
      <c r="B1701" s="1" t="n">
        <v>45694</v>
      </c>
      <c r="C1701" s="1" t="n">
        <v>45840</v>
      </c>
      <c r="D1701" t="inlineStr">
        <is>
          <t>JÄMTLANDS LÄN</t>
        </is>
      </c>
      <c r="E1701" t="inlineStr">
        <is>
          <t>KROKOM</t>
        </is>
      </c>
      <c r="F1701" t="inlineStr">
        <is>
          <t>Övriga Aktiebolag</t>
        </is>
      </c>
      <c r="G1701" t="n">
        <v>48.4</v>
      </c>
      <c r="H1701" t="n">
        <v>0</v>
      </c>
      <c r="I1701" t="n">
        <v>0</v>
      </c>
      <c r="J1701" t="n">
        <v>0</v>
      </c>
      <c r="K1701" t="n">
        <v>0</v>
      </c>
      <c r="L1701" t="n">
        <v>0</v>
      </c>
      <c r="M1701" t="n">
        <v>0</v>
      </c>
      <c r="N1701" t="n">
        <v>0</v>
      </c>
      <c r="O1701" t="n">
        <v>0</v>
      </c>
      <c r="P1701" t="n">
        <v>0</v>
      </c>
      <c r="Q1701" t="n">
        <v>0</v>
      </c>
      <c r="R1701" s="2" t="inlineStr"/>
    </row>
    <row r="1702" ht="15" customHeight="1">
      <c r="A1702" t="inlineStr">
        <is>
          <t>A 5704-2025</t>
        </is>
      </c>
      <c r="B1702" s="1" t="n">
        <v>45694</v>
      </c>
      <c r="C1702" s="1" t="n">
        <v>45840</v>
      </c>
      <c r="D1702" t="inlineStr">
        <is>
          <t>JÄMTLANDS LÄN</t>
        </is>
      </c>
      <c r="E1702" t="inlineStr">
        <is>
          <t>KROKOM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5798-2025</t>
        </is>
      </c>
      <c r="B1703" s="1" t="n">
        <v>45694</v>
      </c>
      <c r="C1703" s="1" t="n">
        <v>45840</v>
      </c>
      <c r="D1703" t="inlineStr">
        <is>
          <t>JÄMTLANDS LÄN</t>
        </is>
      </c>
      <c r="E1703" t="inlineStr">
        <is>
          <t>KROKOM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5785-2025</t>
        </is>
      </c>
      <c r="B1704" s="1" t="n">
        <v>45694</v>
      </c>
      <c r="C1704" s="1" t="n">
        <v>45840</v>
      </c>
      <c r="D1704" t="inlineStr">
        <is>
          <t>JÄMTLANDS LÄN</t>
        </is>
      </c>
      <c r="E1704" t="inlineStr">
        <is>
          <t>KROKOM</t>
        </is>
      </c>
      <c r="F1704" t="inlineStr">
        <is>
          <t>Övriga Aktiebolag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5965-2025</t>
        </is>
      </c>
      <c r="B1705" s="1" t="n">
        <v>45695</v>
      </c>
      <c r="C1705" s="1" t="n">
        <v>45840</v>
      </c>
      <c r="D1705" t="inlineStr">
        <is>
          <t>JÄMTLANDS LÄN</t>
        </is>
      </c>
      <c r="E1705" t="inlineStr">
        <is>
          <t>KROKOM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5850-2025</t>
        </is>
      </c>
      <c r="B1706" s="1" t="n">
        <v>45695</v>
      </c>
      <c r="C1706" s="1" t="n">
        <v>45840</v>
      </c>
      <c r="D1706" t="inlineStr">
        <is>
          <t>JÄMTLANDS LÄN</t>
        </is>
      </c>
      <c r="E1706" t="inlineStr">
        <is>
          <t>KROKOM</t>
        </is>
      </c>
      <c r="F1706" t="inlineStr">
        <is>
          <t>SCA</t>
        </is>
      </c>
      <c r="G1706" t="n">
        <v>62.1</v>
      </c>
      <c r="H1706" t="n">
        <v>0</v>
      </c>
      <c r="I1706" t="n">
        <v>0</v>
      </c>
      <c r="J1706" t="n">
        <v>0</v>
      </c>
      <c r="K1706" t="n">
        <v>0</v>
      </c>
      <c r="L1706" t="n">
        <v>0</v>
      </c>
      <c r="M1706" t="n">
        <v>0</v>
      </c>
      <c r="N1706" t="n">
        <v>0</v>
      </c>
      <c r="O1706" t="n">
        <v>0</v>
      </c>
      <c r="P1706" t="n">
        <v>0</v>
      </c>
      <c r="Q1706" t="n">
        <v>0</v>
      </c>
      <c r="R1706" s="2" t="inlineStr"/>
    </row>
    <row r="1707" ht="15" customHeight="1">
      <c r="A1707" t="inlineStr">
        <is>
          <t>A 5907-2025</t>
        </is>
      </c>
      <c r="B1707" s="1" t="n">
        <v>45695</v>
      </c>
      <c r="C1707" s="1" t="n">
        <v>45840</v>
      </c>
      <c r="D1707" t="inlineStr">
        <is>
          <t>JÄMTLANDS LÄN</t>
        </is>
      </c>
      <c r="E1707" t="inlineStr">
        <is>
          <t>KROKOM</t>
        </is>
      </c>
      <c r="F1707" t="inlineStr">
        <is>
          <t>Övriga Aktiebolag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5966-2025</t>
        </is>
      </c>
      <c r="B1708" s="1" t="n">
        <v>45695</v>
      </c>
      <c r="C1708" s="1" t="n">
        <v>45840</v>
      </c>
      <c r="D1708" t="inlineStr">
        <is>
          <t>JÄMTLANDS LÄN</t>
        </is>
      </c>
      <c r="E1708" t="inlineStr">
        <is>
          <t>KROKOM</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5998-2025</t>
        </is>
      </c>
      <c r="B1709" s="1" t="n">
        <v>45695</v>
      </c>
      <c r="C1709" s="1" t="n">
        <v>45840</v>
      </c>
      <c r="D1709" t="inlineStr">
        <is>
          <t>JÄMTLANDS LÄN</t>
        </is>
      </c>
      <c r="E1709" t="inlineStr">
        <is>
          <t>KROKOM</t>
        </is>
      </c>
      <c r="F1709" t="inlineStr">
        <is>
          <t>Övriga Aktiebolag</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5935-2025</t>
        </is>
      </c>
      <c r="B1710" s="1" t="n">
        <v>45695</v>
      </c>
      <c r="C1710" s="1" t="n">
        <v>45840</v>
      </c>
      <c r="D1710" t="inlineStr">
        <is>
          <t>JÄMTLANDS LÄN</t>
        </is>
      </c>
      <c r="E1710" t="inlineStr">
        <is>
          <t>KROKOM</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5955-2025</t>
        </is>
      </c>
      <c r="B1711" s="1" t="n">
        <v>45695</v>
      </c>
      <c r="C1711" s="1" t="n">
        <v>45840</v>
      </c>
      <c r="D1711" t="inlineStr">
        <is>
          <t>JÄMTLANDS LÄN</t>
        </is>
      </c>
      <c r="E1711" t="inlineStr">
        <is>
          <t>KROKOM</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6024-2025</t>
        </is>
      </c>
      <c r="B1712" s="1" t="n">
        <v>45695</v>
      </c>
      <c r="C1712" s="1" t="n">
        <v>45840</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6042-2025</t>
        </is>
      </c>
      <c r="B1713" s="1" t="n">
        <v>45695</v>
      </c>
      <c r="C1713" s="1" t="n">
        <v>45840</v>
      </c>
      <c r="D1713" t="inlineStr">
        <is>
          <t>JÄMTLANDS LÄN</t>
        </is>
      </c>
      <c r="E1713" t="inlineStr">
        <is>
          <t>KROKOM</t>
        </is>
      </c>
      <c r="F1713" t="inlineStr">
        <is>
          <t>Övriga Aktiebolag</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5991-2025</t>
        </is>
      </c>
      <c r="B1714" s="1" t="n">
        <v>45695</v>
      </c>
      <c r="C1714" s="1" t="n">
        <v>45840</v>
      </c>
      <c r="D1714" t="inlineStr">
        <is>
          <t>JÄMTLANDS LÄN</t>
        </is>
      </c>
      <c r="E1714" t="inlineStr">
        <is>
          <t>KROKOM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5896-2025</t>
        </is>
      </c>
      <c r="B1715" s="1" t="n">
        <v>45695</v>
      </c>
      <c r="C1715" s="1" t="n">
        <v>45840</v>
      </c>
      <c r="D1715" t="inlineStr">
        <is>
          <t>JÄMTLANDS LÄN</t>
        </is>
      </c>
      <c r="E1715" t="inlineStr">
        <is>
          <t>KROKOM</t>
        </is>
      </c>
      <c r="F1715" t="inlineStr">
        <is>
          <t>Övriga Aktiebolag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5920-2025</t>
        </is>
      </c>
      <c r="B1716" s="1" t="n">
        <v>45695</v>
      </c>
      <c r="C1716" s="1" t="n">
        <v>45840</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6235-2025</t>
        </is>
      </c>
      <c r="B1717" s="1" t="n">
        <v>45695</v>
      </c>
      <c r="C1717" s="1" t="n">
        <v>45840</v>
      </c>
      <c r="D1717" t="inlineStr">
        <is>
          <t>JÄMTLANDS LÄN</t>
        </is>
      </c>
      <c r="E1717" t="inlineStr">
        <is>
          <t>KROKOM</t>
        </is>
      </c>
      <c r="F1717" t="inlineStr">
        <is>
          <t>SCA</t>
        </is>
      </c>
      <c r="G1717" t="n">
        <v>11.9</v>
      </c>
      <c r="H1717" t="n">
        <v>0</v>
      </c>
      <c r="I1717" t="n">
        <v>0</v>
      </c>
      <c r="J1717" t="n">
        <v>0</v>
      </c>
      <c r="K1717" t="n">
        <v>0</v>
      </c>
      <c r="L1717" t="n">
        <v>0</v>
      </c>
      <c r="M1717" t="n">
        <v>0</v>
      </c>
      <c r="N1717" t="n">
        <v>0</v>
      </c>
      <c r="O1717" t="n">
        <v>0</v>
      </c>
      <c r="P1717" t="n">
        <v>0</v>
      </c>
      <c r="Q1717" t="n">
        <v>0</v>
      </c>
      <c r="R1717" s="2" t="inlineStr"/>
    </row>
    <row r="1718" ht="15" customHeight="1">
      <c r="A1718" t="inlineStr">
        <is>
          <t>A 6015-2025</t>
        </is>
      </c>
      <c r="B1718" s="1" t="n">
        <v>45695</v>
      </c>
      <c r="C1718" s="1" t="n">
        <v>45840</v>
      </c>
      <c r="D1718" t="inlineStr">
        <is>
          <t>JÄMTLANDS LÄN</t>
        </is>
      </c>
      <c r="E1718" t="inlineStr">
        <is>
          <t>KROKOM</t>
        </is>
      </c>
      <c r="F1718" t="inlineStr">
        <is>
          <t>Övriga Aktiebolag</t>
        </is>
      </c>
      <c r="G1718" t="n">
        <v>15.5</v>
      </c>
      <c r="H1718" t="n">
        <v>0</v>
      </c>
      <c r="I1718" t="n">
        <v>0</v>
      </c>
      <c r="J1718" t="n">
        <v>0</v>
      </c>
      <c r="K1718" t="n">
        <v>0</v>
      </c>
      <c r="L1718" t="n">
        <v>0</v>
      </c>
      <c r="M1718" t="n">
        <v>0</v>
      </c>
      <c r="N1718" t="n">
        <v>0</v>
      </c>
      <c r="O1718" t="n">
        <v>0</v>
      </c>
      <c r="P1718" t="n">
        <v>0</v>
      </c>
      <c r="Q1718" t="n">
        <v>0</v>
      </c>
      <c r="R1718" s="2" t="inlineStr"/>
    </row>
    <row r="1719" ht="15" customHeight="1">
      <c r="A1719" t="inlineStr">
        <is>
          <t>A 6070-2025</t>
        </is>
      </c>
      <c r="B1719" s="1" t="n">
        <v>45696</v>
      </c>
      <c r="C1719" s="1" t="n">
        <v>45840</v>
      </c>
      <c r="D1719" t="inlineStr">
        <is>
          <t>JÄMTLANDS LÄN</t>
        </is>
      </c>
      <c r="E1719" t="inlineStr">
        <is>
          <t>KROKOM</t>
        </is>
      </c>
      <c r="F1719" t="inlineStr">
        <is>
          <t>Övriga Aktiebolag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6066-2025</t>
        </is>
      </c>
      <c r="B1720" s="1" t="n">
        <v>45696</v>
      </c>
      <c r="C1720" s="1" t="n">
        <v>45840</v>
      </c>
      <c r="D1720" t="inlineStr">
        <is>
          <t>JÄMTLANDS LÄN</t>
        </is>
      </c>
      <c r="E1720" t="inlineStr">
        <is>
          <t>KROKOM</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6068-2025</t>
        </is>
      </c>
      <c r="B1721" s="1" t="n">
        <v>45696</v>
      </c>
      <c r="C1721" s="1" t="n">
        <v>45840</v>
      </c>
      <c r="D1721" t="inlineStr">
        <is>
          <t>JÄMTLANDS LÄN</t>
        </is>
      </c>
      <c r="E1721" t="inlineStr">
        <is>
          <t>KROKOM</t>
        </is>
      </c>
      <c r="F1721" t="inlineStr">
        <is>
          <t>Övriga Aktiebolag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6086-2025</t>
        </is>
      </c>
      <c r="B1722" s="1" t="n">
        <v>45697</v>
      </c>
      <c r="C1722" s="1" t="n">
        <v>45840</v>
      </c>
      <c r="D1722" t="inlineStr">
        <is>
          <t>JÄMTLANDS LÄN</t>
        </is>
      </c>
      <c r="E1722" t="inlineStr">
        <is>
          <t>KROKOM</t>
        </is>
      </c>
      <c r="F1722" t="inlineStr">
        <is>
          <t>Övriga Aktiebolag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6234-2025</t>
        </is>
      </c>
      <c r="B1723" s="1" t="n">
        <v>45698</v>
      </c>
      <c r="C1723" s="1" t="n">
        <v>45840</v>
      </c>
      <c r="D1723" t="inlineStr">
        <is>
          <t>JÄMTLANDS LÄN</t>
        </is>
      </c>
      <c r="E1723" t="inlineStr">
        <is>
          <t>KROKOM</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6245-2025</t>
        </is>
      </c>
      <c r="B1724" s="1" t="n">
        <v>45698</v>
      </c>
      <c r="C1724" s="1" t="n">
        <v>45840</v>
      </c>
      <c r="D1724" t="inlineStr">
        <is>
          <t>JÄMTLANDS LÄN</t>
        </is>
      </c>
      <c r="E1724" t="inlineStr">
        <is>
          <t>KROKOM</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6208-2025</t>
        </is>
      </c>
      <c r="B1725" s="1" t="n">
        <v>45698</v>
      </c>
      <c r="C1725" s="1" t="n">
        <v>45840</v>
      </c>
      <c r="D1725" t="inlineStr">
        <is>
          <t>JÄMTLANDS LÄN</t>
        </is>
      </c>
      <c r="E1725" t="inlineStr">
        <is>
          <t>KROKOM</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6185-2025</t>
        </is>
      </c>
      <c r="B1726" s="1" t="n">
        <v>45698</v>
      </c>
      <c r="C1726" s="1" t="n">
        <v>45840</v>
      </c>
      <c r="D1726" t="inlineStr">
        <is>
          <t>JÄMTLANDS LÄN</t>
        </is>
      </c>
      <c r="E1726" t="inlineStr">
        <is>
          <t>KROKOM</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6145-2025</t>
        </is>
      </c>
      <c r="B1727" s="1" t="n">
        <v>45698</v>
      </c>
      <c r="C1727" s="1" t="n">
        <v>45840</v>
      </c>
      <c r="D1727" t="inlineStr">
        <is>
          <t>JÄMTLANDS LÄN</t>
        </is>
      </c>
      <c r="E1727" t="inlineStr">
        <is>
          <t>KROKOM</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6114-2025</t>
        </is>
      </c>
      <c r="B1728" s="1" t="n">
        <v>45698</v>
      </c>
      <c r="C1728" s="1" t="n">
        <v>45840</v>
      </c>
      <c r="D1728" t="inlineStr">
        <is>
          <t>JÄMTLANDS LÄN</t>
        </is>
      </c>
      <c r="E1728" t="inlineStr">
        <is>
          <t>KROKOM</t>
        </is>
      </c>
      <c r="F1728" t="inlineStr">
        <is>
          <t>Övriga Aktiebolag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6166-2025</t>
        </is>
      </c>
      <c r="B1729" s="1" t="n">
        <v>45698</v>
      </c>
      <c r="C1729" s="1" t="n">
        <v>45840</v>
      </c>
      <c r="D1729" t="inlineStr">
        <is>
          <t>JÄMTLANDS LÄN</t>
        </is>
      </c>
      <c r="E1729" t="inlineStr">
        <is>
          <t>KROKOM</t>
        </is>
      </c>
      <c r="F1729" t="inlineStr">
        <is>
          <t>Övriga Aktiebolag</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6148-2025</t>
        </is>
      </c>
      <c r="B1730" s="1" t="n">
        <v>45698</v>
      </c>
      <c r="C1730" s="1" t="n">
        <v>45840</v>
      </c>
      <c r="D1730" t="inlineStr">
        <is>
          <t>JÄMTLANDS LÄN</t>
        </is>
      </c>
      <c r="E1730" t="inlineStr">
        <is>
          <t>KROKOM</t>
        </is>
      </c>
      <c r="G1730" t="n">
        <v>43.6</v>
      </c>
      <c r="H1730" t="n">
        <v>0</v>
      </c>
      <c r="I1730" t="n">
        <v>0</v>
      </c>
      <c r="J1730" t="n">
        <v>0</v>
      </c>
      <c r="K1730" t="n">
        <v>0</v>
      </c>
      <c r="L1730" t="n">
        <v>0</v>
      </c>
      <c r="M1730" t="n">
        <v>0</v>
      </c>
      <c r="N1730" t="n">
        <v>0</v>
      </c>
      <c r="O1730" t="n">
        <v>0</v>
      </c>
      <c r="P1730" t="n">
        <v>0</v>
      </c>
      <c r="Q1730" t="n">
        <v>0</v>
      </c>
      <c r="R1730" s="2" t="inlineStr"/>
    </row>
    <row r="1731" ht="15" customHeight="1">
      <c r="A1731" t="inlineStr">
        <is>
          <t>A 6342-2025</t>
        </is>
      </c>
      <c r="B1731" s="1" t="n">
        <v>45699</v>
      </c>
      <c r="C1731" s="1" t="n">
        <v>45840</v>
      </c>
      <c r="D1731" t="inlineStr">
        <is>
          <t>JÄMTLANDS LÄN</t>
        </is>
      </c>
      <c r="E1731" t="inlineStr">
        <is>
          <t>KROKOM</t>
        </is>
      </c>
      <c r="F1731" t="inlineStr">
        <is>
          <t>Övriga Aktiebolag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6524-2025</t>
        </is>
      </c>
      <c r="B1732" s="1" t="n">
        <v>45699</v>
      </c>
      <c r="C1732" s="1" t="n">
        <v>45840</v>
      </c>
      <c r="D1732" t="inlineStr">
        <is>
          <t>JÄMTLANDS LÄN</t>
        </is>
      </c>
      <c r="E1732" t="inlineStr">
        <is>
          <t>KROKOM</t>
        </is>
      </c>
      <c r="F1732" t="inlineStr">
        <is>
          <t>Övriga Aktiebolag</t>
        </is>
      </c>
      <c r="G1732" t="n">
        <v>51.6</v>
      </c>
      <c r="H1732" t="n">
        <v>0</v>
      </c>
      <c r="I1732" t="n">
        <v>0</v>
      </c>
      <c r="J1732" t="n">
        <v>0</v>
      </c>
      <c r="K1732" t="n">
        <v>0</v>
      </c>
      <c r="L1732" t="n">
        <v>0</v>
      </c>
      <c r="M1732" t="n">
        <v>0</v>
      </c>
      <c r="N1732" t="n">
        <v>0</v>
      </c>
      <c r="O1732" t="n">
        <v>0</v>
      </c>
      <c r="P1732" t="n">
        <v>0</v>
      </c>
      <c r="Q1732" t="n">
        <v>0</v>
      </c>
      <c r="R1732" s="2" t="inlineStr"/>
    </row>
    <row r="1733" ht="15" customHeight="1">
      <c r="A1733" t="inlineStr">
        <is>
          <t>A 6461-2025</t>
        </is>
      </c>
      <c r="B1733" s="1" t="n">
        <v>45699</v>
      </c>
      <c r="C1733" s="1" t="n">
        <v>45840</v>
      </c>
      <c r="D1733" t="inlineStr">
        <is>
          <t>JÄMTLANDS LÄN</t>
        </is>
      </c>
      <c r="E1733" t="inlineStr">
        <is>
          <t>KROKOM</t>
        </is>
      </c>
      <c r="F1733" t="inlineStr">
        <is>
          <t>Övriga Aktiebolag</t>
        </is>
      </c>
      <c r="G1733" t="n">
        <v>20.3</v>
      </c>
      <c r="H1733" t="n">
        <v>0</v>
      </c>
      <c r="I1733" t="n">
        <v>0</v>
      </c>
      <c r="J1733" t="n">
        <v>0</v>
      </c>
      <c r="K1733" t="n">
        <v>0</v>
      </c>
      <c r="L1733" t="n">
        <v>0</v>
      </c>
      <c r="M1733" t="n">
        <v>0</v>
      </c>
      <c r="N1733" t="n">
        <v>0</v>
      </c>
      <c r="O1733" t="n">
        <v>0</v>
      </c>
      <c r="P1733" t="n">
        <v>0</v>
      </c>
      <c r="Q1733" t="n">
        <v>0</v>
      </c>
      <c r="R1733" s="2" t="inlineStr"/>
    </row>
    <row r="1734" ht="15" customHeight="1">
      <c r="A1734" t="inlineStr">
        <is>
          <t>A 6627-2025</t>
        </is>
      </c>
      <c r="B1734" s="1" t="n">
        <v>45700</v>
      </c>
      <c r="C1734" s="1" t="n">
        <v>45840</v>
      </c>
      <c r="D1734" t="inlineStr">
        <is>
          <t>JÄMTLANDS LÄN</t>
        </is>
      </c>
      <c r="E1734" t="inlineStr">
        <is>
          <t>KROKOM</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6629-2025</t>
        </is>
      </c>
      <c r="B1735" s="1" t="n">
        <v>45700</v>
      </c>
      <c r="C1735" s="1" t="n">
        <v>45840</v>
      </c>
      <c r="D1735" t="inlineStr">
        <is>
          <t>JÄMTLANDS LÄN</t>
        </is>
      </c>
      <c r="E1735" t="inlineStr">
        <is>
          <t>KROKOM</t>
        </is>
      </c>
      <c r="F1735" t="inlineStr">
        <is>
          <t>Övriga Aktiebolag</t>
        </is>
      </c>
      <c r="G1735" t="n">
        <v>24.8</v>
      </c>
      <c r="H1735" t="n">
        <v>0</v>
      </c>
      <c r="I1735" t="n">
        <v>0</v>
      </c>
      <c r="J1735" t="n">
        <v>0</v>
      </c>
      <c r="K1735" t="n">
        <v>0</v>
      </c>
      <c r="L1735" t="n">
        <v>0</v>
      </c>
      <c r="M1735" t="n">
        <v>0</v>
      </c>
      <c r="N1735" t="n">
        <v>0</v>
      </c>
      <c r="O1735" t="n">
        <v>0</v>
      </c>
      <c r="P1735" t="n">
        <v>0</v>
      </c>
      <c r="Q1735" t="n">
        <v>0</v>
      </c>
      <c r="R1735" s="2" t="inlineStr"/>
    </row>
    <row r="1736" ht="15" customHeight="1">
      <c r="A1736" t="inlineStr">
        <is>
          <t>A 6590-2025</t>
        </is>
      </c>
      <c r="B1736" s="1" t="n">
        <v>45700</v>
      </c>
      <c r="C1736" s="1" t="n">
        <v>45840</v>
      </c>
      <c r="D1736" t="inlineStr">
        <is>
          <t>JÄMTLANDS LÄN</t>
        </is>
      </c>
      <c r="E1736" t="inlineStr">
        <is>
          <t>KROKOM</t>
        </is>
      </c>
      <c r="F1736" t="inlineStr">
        <is>
          <t>Övriga Aktiebolag</t>
        </is>
      </c>
      <c r="G1736" t="n">
        <v>51.6</v>
      </c>
      <c r="H1736" t="n">
        <v>0</v>
      </c>
      <c r="I1736" t="n">
        <v>0</v>
      </c>
      <c r="J1736" t="n">
        <v>0</v>
      </c>
      <c r="K1736" t="n">
        <v>0</v>
      </c>
      <c r="L1736" t="n">
        <v>0</v>
      </c>
      <c r="M1736" t="n">
        <v>0</v>
      </c>
      <c r="N1736" t="n">
        <v>0</v>
      </c>
      <c r="O1736" t="n">
        <v>0</v>
      </c>
      <c r="P1736" t="n">
        <v>0</v>
      </c>
      <c r="Q1736" t="n">
        <v>0</v>
      </c>
      <c r="R1736" s="2" t="inlineStr"/>
    </row>
    <row r="1737" ht="15" customHeight="1">
      <c r="A1737" t="inlineStr">
        <is>
          <t>A 6804-2025</t>
        </is>
      </c>
      <c r="B1737" s="1" t="n">
        <v>45700</v>
      </c>
      <c r="C1737" s="1" t="n">
        <v>45840</v>
      </c>
      <c r="D1737" t="inlineStr">
        <is>
          <t>JÄMTLANDS LÄN</t>
        </is>
      </c>
      <c r="E1737" t="inlineStr">
        <is>
          <t>KROKOM</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6585-2025</t>
        </is>
      </c>
      <c r="B1738" s="1" t="n">
        <v>45700</v>
      </c>
      <c r="C1738" s="1" t="n">
        <v>45840</v>
      </c>
      <c r="D1738" t="inlineStr">
        <is>
          <t>JÄMTLANDS LÄN</t>
        </is>
      </c>
      <c r="E1738" t="inlineStr">
        <is>
          <t>KROKOM</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6711-2025</t>
        </is>
      </c>
      <c r="B1739" s="1" t="n">
        <v>45700</v>
      </c>
      <c r="C1739" s="1" t="n">
        <v>45840</v>
      </c>
      <c r="D1739" t="inlineStr">
        <is>
          <t>JÄMTLANDS LÄN</t>
        </is>
      </c>
      <c r="E1739" t="inlineStr">
        <is>
          <t>KROKOM</t>
        </is>
      </c>
      <c r="F1739" t="inlineStr">
        <is>
          <t>Övriga Aktiebolag</t>
        </is>
      </c>
      <c r="G1739" t="n">
        <v>37.6</v>
      </c>
      <c r="H1739" t="n">
        <v>0</v>
      </c>
      <c r="I1739" t="n">
        <v>0</v>
      </c>
      <c r="J1739" t="n">
        <v>0</v>
      </c>
      <c r="K1739" t="n">
        <v>0</v>
      </c>
      <c r="L1739" t="n">
        <v>0</v>
      </c>
      <c r="M1739" t="n">
        <v>0</v>
      </c>
      <c r="N1739" t="n">
        <v>0</v>
      </c>
      <c r="O1739" t="n">
        <v>0</v>
      </c>
      <c r="P1739" t="n">
        <v>0</v>
      </c>
      <c r="Q1739" t="n">
        <v>0</v>
      </c>
      <c r="R1739" s="2" t="inlineStr"/>
    </row>
    <row r="1740" ht="15" customHeight="1">
      <c r="A1740" t="inlineStr">
        <is>
          <t>A 6991-2025</t>
        </is>
      </c>
      <c r="B1740" s="1" t="n">
        <v>45701</v>
      </c>
      <c r="C1740" s="1" t="n">
        <v>45840</v>
      </c>
      <c r="D1740" t="inlineStr">
        <is>
          <t>JÄMTLANDS LÄN</t>
        </is>
      </c>
      <c r="E1740" t="inlineStr">
        <is>
          <t>KROKOM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7079-2025</t>
        </is>
      </c>
      <c r="B1741" s="1" t="n">
        <v>45701</v>
      </c>
      <c r="C1741" s="1" t="n">
        <v>45840</v>
      </c>
      <c r="D1741" t="inlineStr">
        <is>
          <t>JÄMTLANDS LÄN</t>
        </is>
      </c>
      <c r="E1741" t="inlineStr">
        <is>
          <t>KROKOM</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7072-2025</t>
        </is>
      </c>
      <c r="B1742" s="1" t="n">
        <v>45701</v>
      </c>
      <c r="C1742" s="1" t="n">
        <v>45840</v>
      </c>
      <c r="D1742" t="inlineStr">
        <is>
          <t>JÄMTLANDS LÄN</t>
        </is>
      </c>
      <c r="E1742" t="inlineStr">
        <is>
          <t>KROKOM</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7013-2025</t>
        </is>
      </c>
      <c r="B1743" s="1" t="n">
        <v>45701</v>
      </c>
      <c r="C1743" s="1" t="n">
        <v>45840</v>
      </c>
      <c r="D1743" t="inlineStr">
        <is>
          <t>JÄMTLANDS LÄN</t>
        </is>
      </c>
      <c r="E1743" t="inlineStr">
        <is>
          <t>KROKOM</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6870-2025</t>
        </is>
      </c>
      <c r="B1744" s="1" t="n">
        <v>45701</v>
      </c>
      <c r="C1744" s="1" t="n">
        <v>45840</v>
      </c>
      <c r="D1744" t="inlineStr">
        <is>
          <t>JÄMTLANDS LÄN</t>
        </is>
      </c>
      <c r="E1744" t="inlineStr">
        <is>
          <t>KROKOM</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7366-2025</t>
        </is>
      </c>
      <c r="B1745" s="1" t="n">
        <v>45704</v>
      </c>
      <c r="C1745" s="1" t="n">
        <v>45840</v>
      </c>
      <c r="D1745" t="inlineStr">
        <is>
          <t>JÄMTLANDS LÄN</t>
        </is>
      </c>
      <c r="E1745" t="inlineStr">
        <is>
          <t>KROKOM</t>
        </is>
      </c>
      <c r="F1745" t="inlineStr">
        <is>
          <t>Övriga Aktiebolag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7391-2025</t>
        </is>
      </c>
      <c r="B1746" s="1" t="n">
        <v>45705</v>
      </c>
      <c r="C1746" s="1" t="n">
        <v>45840</v>
      </c>
      <c r="D1746" t="inlineStr">
        <is>
          <t>JÄMTLANDS LÄN</t>
        </is>
      </c>
      <c r="E1746" t="inlineStr">
        <is>
          <t>KROKOM</t>
        </is>
      </c>
      <c r="F1746" t="inlineStr">
        <is>
          <t>Övriga Aktiebolag</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7392-2025</t>
        </is>
      </c>
      <c r="B1747" s="1" t="n">
        <v>45705</v>
      </c>
      <c r="C1747" s="1" t="n">
        <v>45840</v>
      </c>
      <c r="D1747" t="inlineStr">
        <is>
          <t>JÄMTLANDS LÄN</t>
        </is>
      </c>
      <c r="E1747" t="inlineStr">
        <is>
          <t>KROKOM</t>
        </is>
      </c>
      <c r="F1747" t="inlineStr">
        <is>
          <t>Kyrkan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7556-2025</t>
        </is>
      </c>
      <c r="B1748" s="1" t="n">
        <v>45705</v>
      </c>
      <c r="C1748" s="1" t="n">
        <v>45840</v>
      </c>
      <c r="D1748" t="inlineStr">
        <is>
          <t>JÄMTLANDS LÄN</t>
        </is>
      </c>
      <c r="E1748" t="inlineStr">
        <is>
          <t>KROKOM</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7787-2025</t>
        </is>
      </c>
      <c r="B1749" s="1" t="n">
        <v>45706</v>
      </c>
      <c r="C1749" s="1" t="n">
        <v>45840</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7767-2025</t>
        </is>
      </c>
      <c r="B1750" s="1" t="n">
        <v>45706</v>
      </c>
      <c r="C1750" s="1" t="n">
        <v>45840</v>
      </c>
      <c r="D1750" t="inlineStr">
        <is>
          <t>JÄMTLANDS LÄN</t>
        </is>
      </c>
      <c r="E1750" t="inlineStr">
        <is>
          <t>KROKOM</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7724-2025</t>
        </is>
      </c>
      <c r="B1751" s="1" t="n">
        <v>45706</v>
      </c>
      <c r="C1751" s="1" t="n">
        <v>45840</v>
      </c>
      <c r="D1751" t="inlineStr">
        <is>
          <t>JÄMTLANDS LÄN</t>
        </is>
      </c>
      <c r="E1751" t="inlineStr">
        <is>
          <t>KROKOM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7673-2025</t>
        </is>
      </c>
      <c r="B1752" s="1" t="n">
        <v>45706</v>
      </c>
      <c r="C1752" s="1" t="n">
        <v>45840</v>
      </c>
      <c r="D1752" t="inlineStr">
        <is>
          <t>JÄMTLANDS LÄN</t>
        </is>
      </c>
      <c r="E1752" t="inlineStr">
        <is>
          <t>KROKOM</t>
        </is>
      </c>
      <c r="F1752" t="inlineStr">
        <is>
          <t>Övriga Aktiebolag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8024-2025</t>
        </is>
      </c>
      <c r="B1753" s="1" t="n">
        <v>45707</v>
      </c>
      <c r="C1753" s="1" t="n">
        <v>45840</v>
      </c>
      <c r="D1753" t="inlineStr">
        <is>
          <t>JÄMTLANDS LÄN</t>
        </is>
      </c>
      <c r="E1753" t="inlineStr">
        <is>
          <t>KROKOM</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7908-2025</t>
        </is>
      </c>
      <c r="B1754" s="1" t="n">
        <v>45707</v>
      </c>
      <c r="C1754" s="1" t="n">
        <v>45840</v>
      </c>
      <c r="D1754" t="inlineStr">
        <is>
          <t>JÄMTLANDS LÄN</t>
        </is>
      </c>
      <c r="E1754" t="inlineStr">
        <is>
          <t>KROKOM</t>
        </is>
      </c>
      <c r="F1754" t="inlineStr">
        <is>
          <t>Övriga Aktiebolag</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8072-2025</t>
        </is>
      </c>
      <c r="B1755" s="1" t="n">
        <v>45707</v>
      </c>
      <c r="C1755" s="1" t="n">
        <v>45840</v>
      </c>
      <c r="D1755" t="inlineStr">
        <is>
          <t>JÄMTLANDS LÄN</t>
        </is>
      </c>
      <c r="E1755" t="inlineStr">
        <is>
          <t>KROKOM</t>
        </is>
      </c>
      <c r="F1755" t="inlineStr">
        <is>
          <t>Övriga Aktiebolag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8011-2025</t>
        </is>
      </c>
      <c r="B1756" s="1" t="n">
        <v>45707</v>
      </c>
      <c r="C1756" s="1" t="n">
        <v>45840</v>
      </c>
      <c r="D1756" t="inlineStr">
        <is>
          <t>JÄMTLANDS LÄN</t>
        </is>
      </c>
      <c r="E1756" t="inlineStr">
        <is>
          <t>KROKOM</t>
        </is>
      </c>
      <c r="F1756" t="inlineStr">
        <is>
          <t>Övriga Aktiebolag</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7921-2025</t>
        </is>
      </c>
      <c r="B1757" s="1" t="n">
        <v>45707</v>
      </c>
      <c r="C1757" s="1" t="n">
        <v>45840</v>
      </c>
      <c r="D1757" t="inlineStr">
        <is>
          <t>JÄMTLANDS LÄN</t>
        </is>
      </c>
      <c r="E1757" t="inlineStr">
        <is>
          <t>KROKOM</t>
        </is>
      </c>
      <c r="G1757" t="n">
        <v>14.2</v>
      </c>
      <c r="H1757" t="n">
        <v>0</v>
      </c>
      <c r="I1757" t="n">
        <v>0</v>
      </c>
      <c r="J1757" t="n">
        <v>0</v>
      </c>
      <c r="K1757" t="n">
        <v>0</v>
      </c>
      <c r="L1757" t="n">
        <v>0</v>
      </c>
      <c r="M1757" t="n">
        <v>0</v>
      </c>
      <c r="N1757" t="n">
        <v>0</v>
      </c>
      <c r="O1757" t="n">
        <v>0</v>
      </c>
      <c r="P1757" t="n">
        <v>0</v>
      </c>
      <c r="Q1757" t="n">
        <v>0</v>
      </c>
      <c r="R1757" s="2" t="inlineStr"/>
    </row>
    <row r="1758" ht="15" customHeight="1">
      <c r="A1758" t="inlineStr">
        <is>
          <t>A 8168-2025</t>
        </is>
      </c>
      <c r="B1758" s="1" t="n">
        <v>45708</v>
      </c>
      <c r="C1758" s="1" t="n">
        <v>45840</v>
      </c>
      <c r="D1758" t="inlineStr">
        <is>
          <t>JÄMTLANDS LÄN</t>
        </is>
      </c>
      <c r="E1758" t="inlineStr">
        <is>
          <t>KROKOM</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8167-2025</t>
        </is>
      </c>
      <c r="B1759" s="1" t="n">
        <v>45708</v>
      </c>
      <c r="C1759" s="1" t="n">
        <v>45840</v>
      </c>
      <c r="D1759" t="inlineStr">
        <is>
          <t>JÄMTLANDS LÄN</t>
        </is>
      </c>
      <c r="E1759" t="inlineStr">
        <is>
          <t>KROKOM</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8369-2025</t>
        </is>
      </c>
      <c r="B1760" s="1" t="n">
        <v>45709</v>
      </c>
      <c r="C1760" s="1" t="n">
        <v>45840</v>
      </c>
      <c r="D1760" t="inlineStr">
        <is>
          <t>JÄMTLANDS LÄN</t>
        </is>
      </c>
      <c r="E1760" t="inlineStr">
        <is>
          <t>KROKOM</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8784-2025</t>
        </is>
      </c>
      <c r="B1761" s="1" t="n">
        <v>45712</v>
      </c>
      <c r="C1761" s="1" t="n">
        <v>45840</v>
      </c>
      <c r="D1761" t="inlineStr">
        <is>
          <t>JÄMTLANDS LÄN</t>
        </is>
      </c>
      <c r="E1761" t="inlineStr">
        <is>
          <t>KROKOM</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8868-2025</t>
        </is>
      </c>
      <c r="B1762" s="1" t="n">
        <v>45713</v>
      </c>
      <c r="C1762" s="1" t="n">
        <v>45840</v>
      </c>
      <c r="D1762" t="inlineStr">
        <is>
          <t>JÄMTLANDS LÄN</t>
        </is>
      </c>
      <c r="E1762" t="inlineStr">
        <is>
          <t>KROKOM</t>
        </is>
      </c>
      <c r="F1762" t="inlineStr">
        <is>
          <t>Övriga Aktiebolag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8872-2025</t>
        </is>
      </c>
      <c r="B1763" s="1" t="n">
        <v>45713</v>
      </c>
      <c r="C1763" s="1" t="n">
        <v>45840</v>
      </c>
      <c r="D1763" t="inlineStr">
        <is>
          <t>JÄMTLANDS LÄN</t>
        </is>
      </c>
      <c r="E1763" t="inlineStr">
        <is>
          <t>KROKOM</t>
        </is>
      </c>
      <c r="F1763" t="inlineStr">
        <is>
          <t>Övriga Aktiebolag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8880-2025</t>
        </is>
      </c>
      <c r="B1764" s="1" t="n">
        <v>45713</v>
      </c>
      <c r="C1764" s="1" t="n">
        <v>45840</v>
      </c>
      <c r="D1764" t="inlineStr">
        <is>
          <t>JÄMTLANDS LÄN</t>
        </is>
      </c>
      <c r="E1764" t="inlineStr">
        <is>
          <t>KROKOM</t>
        </is>
      </c>
      <c r="F1764" t="inlineStr">
        <is>
          <t>Övriga Aktiebolag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9023-2025</t>
        </is>
      </c>
      <c r="B1765" s="1" t="n">
        <v>45713</v>
      </c>
      <c r="C1765" s="1" t="n">
        <v>45840</v>
      </c>
      <c r="D1765" t="inlineStr">
        <is>
          <t>JÄMTLANDS LÄN</t>
        </is>
      </c>
      <c r="E1765" t="inlineStr">
        <is>
          <t>KROKOM</t>
        </is>
      </c>
      <c r="F1765" t="inlineStr">
        <is>
          <t>Övriga Aktiebolag</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9027-2025</t>
        </is>
      </c>
      <c r="B1766" s="1" t="n">
        <v>45713</v>
      </c>
      <c r="C1766" s="1" t="n">
        <v>45840</v>
      </c>
      <c r="D1766" t="inlineStr">
        <is>
          <t>JÄMTLANDS LÄN</t>
        </is>
      </c>
      <c r="E1766" t="inlineStr">
        <is>
          <t>KROKOM</t>
        </is>
      </c>
      <c r="F1766" t="inlineStr">
        <is>
          <t>Övriga Aktiebolag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9043-2025</t>
        </is>
      </c>
      <c r="B1767" s="1" t="n">
        <v>45713</v>
      </c>
      <c r="C1767" s="1" t="n">
        <v>45840</v>
      </c>
      <c r="D1767" t="inlineStr">
        <is>
          <t>JÄMTLANDS LÄN</t>
        </is>
      </c>
      <c r="E1767" t="inlineStr">
        <is>
          <t>KROKOM</t>
        </is>
      </c>
      <c r="F1767" t="inlineStr">
        <is>
          <t>Övriga Aktiebolag</t>
        </is>
      </c>
      <c r="G1767" t="n">
        <v>43.6</v>
      </c>
      <c r="H1767" t="n">
        <v>0</v>
      </c>
      <c r="I1767" t="n">
        <v>0</v>
      </c>
      <c r="J1767" t="n">
        <v>0</v>
      </c>
      <c r="K1767" t="n">
        <v>0</v>
      </c>
      <c r="L1767" t="n">
        <v>0</v>
      </c>
      <c r="M1767" t="n">
        <v>0</v>
      </c>
      <c r="N1767" t="n">
        <v>0</v>
      </c>
      <c r="O1767" t="n">
        <v>0</v>
      </c>
      <c r="P1767" t="n">
        <v>0</v>
      </c>
      <c r="Q1767" t="n">
        <v>0</v>
      </c>
      <c r="R1767" s="2" t="inlineStr"/>
    </row>
    <row r="1768" ht="15" customHeight="1">
      <c r="A1768" t="inlineStr">
        <is>
          <t>A 9016-2025</t>
        </is>
      </c>
      <c r="B1768" s="1" t="n">
        <v>45713</v>
      </c>
      <c r="C1768" s="1" t="n">
        <v>45840</v>
      </c>
      <c r="D1768" t="inlineStr">
        <is>
          <t>JÄMTLANDS LÄN</t>
        </is>
      </c>
      <c r="E1768" t="inlineStr">
        <is>
          <t>KROKOM</t>
        </is>
      </c>
      <c r="F1768" t="inlineStr">
        <is>
          <t>Övriga Aktiebolag</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8865-2025</t>
        </is>
      </c>
      <c r="B1769" s="1" t="n">
        <v>45713</v>
      </c>
      <c r="C1769" s="1" t="n">
        <v>45840</v>
      </c>
      <c r="D1769" t="inlineStr">
        <is>
          <t>JÄMTLANDS LÄN</t>
        </is>
      </c>
      <c r="E1769" t="inlineStr">
        <is>
          <t>KROKOM</t>
        </is>
      </c>
      <c r="F1769" t="inlineStr">
        <is>
          <t>Övriga Aktiebolag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9025-2025</t>
        </is>
      </c>
      <c r="B1770" s="1" t="n">
        <v>45713</v>
      </c>
      <c r="C1770" s="1" t="n">
        <v>45840</v>
      </c>
      <c r="D1770" t="inlineStr">
        <is>
          <t>JÄMTLANDS LÄN</t>
        </is>
      </c>
      <c r="E1770" t="inlineStr">
        <is>
          <t>KROKOM</t>
        </is>
      </c>
      <c r="F1770" t="inlineStr">
        <is>
          <t>Övriga Aktiebolag</t>
        </is>
      </c>
      <c r="G1770" t="n">
        <v>28.4</v>
      </c>
      <c r="H1770" t="n">
        <v>0</v>
      </c>
      <c r="I1770" t="n">
        <v>0</v>
      </c>
      <c r="J1770" t="n">
        <v>0</v>
      </c>
      <c r="K1770" t="n">
        <v>0</v>
      </c>
      <c r="L1770" t="n">
        <v>0</v>
      </c>
      <c r="M1770" t="n">
        <v>0</v>
      </c>
      <c r="N1770" t="n">
        <v>0</v>
      </c>
      <c r="O1770" t="n">
        <v>0</v>
      </c>
      <c r="P1770" t="n">
        <v>0</v>
      </c>
      <c r="Q1770" t="n">
        <v>0</v>
      </c>
      <c r="R1770" s="2" t="inlineStr"/>
    </row>
    <row r="1771" ht="15" customHeight="1">
      <c r="A1771" t="inlineStr">
        <is>
          <t>A 9022-2025</t>
        </is>
      </c>
      <c r="B1771" s="1" t="n">
        <v>45713</v>
      </c>
      <c r="C1771" s="1" t="n">
        <v>45840</v>
      </c>
      <c r="D1771" t="inlineStr">
        <is>
          <t>JÄMTLANDS LÄN</t>
        </is>
      </c>
      <c r="E1771" t="inlineStr">
        <is>
          <t>KROKOM</t>
        </is>
      </c>
      <c r="F1771" t="inlineStr">
        <is>
          <t>Övriga Aktiebolag</t>
        </is>
      </c>
      <c r="G1771" t="n">
        <v>29.9</v>
      </c>
      <c r="H1771" t="n">
        <v>0</v>
      </c>
      <c r="I1771" t="n">
        <v>0</v>
      </c>
      <c r="J1771" t="n">
        <v>0</v>
      </c>
      <c r="K1771" t="n">
        <v>0</v>
      </c>
      <c r="L1771" t="n">
        <v>0</v>
      </c>
      <c r="M1771" t="n">
        <v>0</v>
      </c>
      <c r="N1771" t="n">
        <v>0</v>
      </c>
      <c r="O1771" t="n">
        <v>0</v>
      </c>
      <c r="P1771" t="n">
        <v>0</v>
      </c>
      <c r="Q1771" t="n">
        <v>0</v>
      </c>
      <c r="R1771" s="2" t="inlineStr"/>
    </row>
    <row r="1772" ht="15" customHeight="1">
      <c r="A1772" t="inlineStr">
        <is>
          <t>A 9156-2025</t>
        </is>
      </c>
      <c r="B1772" s="1" t="n">
        <v>45714</v>
      </c>
      <c r="C1772" s="1" t="n">
        <v>45840</v>
      </c>
      <c r="D1772" t="inlineStr">
        <is>
          <t>JÄMTLANDS LÄN</t>
        </is>
      </c>
      <c r="E1772" t="inlineStr">
        <is>
          <t>KROKOM</t>
        </is>
      </c>
      <c r="F1772" t="inlineStr">
        <is>
          <t>Övriga Aktiebolag</t>
        </is>
      </c>
      <c r="G1772" t="n">
        <v>26.7</v>
      </c>
      <c r="H1772" t="n">
        <v>0</v>
      </c>
      <c r="I1772" t="n">
        <v>0</v>
      </c>
      <c r="J1772" t="n">
        <v>0</v>
      </c>
      <c r="K1772" t="n">
        <v>0</v>
      </c>
      <c r="L1772" t="n">
        <v>0</v>
      </c>
      <c r="M1772" t="n">
        <v>0</v>
      </c>
      <c r="N1772" t="n">
        <v>0</v>
      </c>
      <c r="O1772" t="n">
        <v>0</v>
      </c>
      <c r="P1772" t="n">
        <v>0</v>
      </c>
      <c r="Q1772" t="n">
        <v>0</v>
      </c>
      <c r="R1772" s="2" t="inlineStr"/>
      <c r="U1772">
        <f>HYPERLINK("https://klasma.github.io/Logging_2309/knärot/A 9156-2025 karta knärot.png", "A 9156-2025")</f>
        <v/>
      </c>
      <c r="V1772">
        <f>HYPERLINK("https://klasma.github.io/Logging_2309/klagomål/A 9156-2025 FSC-klagomål.docx", "A 9156-2025")</f>
        <v/>
      </c>
      <c r="W1772">
        <f>HYPERLINK("https://klasma.github.io/Logging_2309/klagomålsmail/A 9156-2025 FSC-klagomål mail.docx", "A 9156-2025")</f>
        <v/>
      </c>
      <c r="X1772">
        <f>HYPERLINK("https://klasma.github.io/Logging_2309/tillsyn/A 9156-2025 tillsynsbegäran.docx", "A 9156-2025")</f>
        <v/>
      </c>
      <c r="Y1772">
        <f>HYPERLINK("https://klasma.github.io/Logging_2309/tillsynsmail/A 9156-2025 tillsynsbegäran mail.docx", "A 9156-2025")</f>
        <v/>
      </c>
    </row>
    <row r="1773" ht="15" customHeight="1">
      <c r="A1773" t="inlineStr">
        <is>
          <t>A 9313-2025</t>
        </is>
      </c>
      <c r="B1773" s="1" t="n">
        <v>45714</v>
      </c>
      <c r="C1773" s="1" t="n">
        <v>45840</v>
      </c>
      <c r="D1773" t="inlineStr">
        <is>
          <t>JÄMTLANDS LÄN</t>
        </is>
      </c>
      <c r="E1773" t="inlineStr">
        <is>
          <t>KROKOM</t>
        </is>
      </c>
      <c r="F1773" t="inlineStr">
        <is>
          <t>Kyrkan</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9623-2025</t>
        </is>
      </c>
      <c r="B1774" s="1" t="n">
        <v>45715</v>
      </c>
      <c r="C1774" s="1" t="n">
        <v>45840</v>
      </c>
      <c r="D1774" t="inlineStr">
        <is>
          <t>JÄMTLANDS LÄN</t>
        </is>
      </c>
      <c r="E1774" t="inlineStr">
        <is>
          <t>KROKOM</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9388-2025</t>
        </is>
      </c>
      <c r="B1775" s="1" t="n">
        <v>45715</v>
      </c>
      <c r="C1775" s="1" t="n">
        <v>45840</v>
      </c>
      <c r="D1775" t="inlineStr">
        <is>
          <t>JÄMTLANDS LÄN</t>
        </is>
      </c>
      <c r="E1775" t="inlineStr">
        <is>
          <t>KROKOM</t>
        </is>
      </c>
      <c r="F1775" t="inlineStr">
        <is>
          <t>Övriga Aktiebolag</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9621-2025</t>
        </is>
      </c>
      <c r="B1776" s="1" t="n">
        <v>45715</v>
      </c>
      <c r="C1776" s="1" t="n">
        <v>45840</v>
      </c>
      <c r="D1776" t="inlineStr">
        <is>
          <t>JÄMTLANDS LÄN</t>
        </is>
      </c>
      <c r="E1776" t="inlineStr">
        <is>
          <t>KROKOM</t>
        </is>
      </c>
      <c r="F1776" t="inlineStr">
        <is>
          <t>Kyrkan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9701-2025</t>
        </is>
      </c>
      <c r="B1777" s="1" t="n">
        <v>45716</v>
      </c>
      <c r="C1777" s="1" t="n">
        <v>45840</v>
      </c>
      <c r="D1777" t="inlineStr">
        <is>
          <t>JÄMTLANDS LÄN</t>
        </is>
      </c>
      <c r="E1777" t="inlineStr">
        <is>
          <t>KROKOM</t>
        </is>
      </c>
      <c r="F1777" t="inlineStr">
        <is>
          <t>Övriga Aktiebolag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9796-2025</t>
        </is>
      </c>
      <c r="B1778" s="1" t="n">
        <v>45716</v>
      </c>
      <c r="C1778" s="1" t="n">
        <v>45840</v>
      </c>
      <c r="D1778" t="inlineStr">
        <is>
          <t>JÄMTLANDS LÄN</t>
        </is>
      </c>
      <c r="E1778" t="inlineStr">
        <is>
          <t>KROKOM</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10133-2025</t>
        </is>
      </c>
      <c r="B1779" s="1" t="n">
        <v>45719</v>
      </c>
      <c r="C1779" s="1" t="n">
        <v>45840</v>
      </c>
      <c r="D1779" t="inlineStr">
        <is>
          <t>JÄMTLANDS LÄN</t>
        </is>
      </c>
      <c r="E1779" t="inlineStr">
        <is>
          <t>KROKOM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10128-2025</t>
        </is>
      </c>
      <c r="B1780" s="1" t="n">
        <v>45719</v>
      </c>
      <c r="C1780" s="1" t="n">
        <v>45840</v>
      </c>
      <c r="D1780" t="inlineStr">
        <is>
          <t>JÄMTLANDS LÄN</t>
        </is>
      </c>
      <c r="E1780" t="inlineStr">
        <is>
          <t>KROKOM</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9948-2025</t>
        </is>
      </c>
      <c r="B1781" s="1" t="n">
        <v>45719</v>
      </c>
      <c r="C1781" s="1" t="n">
        <v>45840</v>
      </c>
      <c r="D1781" t="inlineStr">
        <is>
          <t>JÄMTLANDS LÄN</t>
        </is>
      </c>
      <c r="E1781" t="inlineStr">
        <is>
          <t>KROKOM</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10053-2025</t>
        </is>
      </c>
      <c r="B1782" s="1" t="n">
        <v>45719</v>
      </c>
      <c r="C1782" s="1" t="n">
        <v>45840</v>
      </c>
      <c r="D1782" t="inlineStr">
        <is>
          <t>JÄMTLANDS LÄN</t>
        </is>
      </c>
      <c r="E1782" t="inlineStr">
        <is>
          <t>KROKOM</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9963-2025</t>
        </is>
      </c>
      <c r="B1783" s="1" t="n">
        <v>45719</v>
      </c>
      <c r="C1783" s="1" t="n">
        <v>45840</v>
      </c>
      <c r="D1783" t="inlineStr">
        <is>
          <t>JÄMTLANDS LÄN</t>
        </is>
      </c>
      <c r="E1783" t="inlineStr">
        <is>
          <t>KROKOM</t>
        </is>
      </c>
      <c r="F1783" t="inlineStr">
        <is>
          <t>Övriga Aktiebolag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10071-2025</t>
        </is>
      </c>
      <c r="B1784" s="1" t="n">
        <v>45719</v>
      </c>
      <c r="C1784" s="1" t="n">
        <v>45840</v>
      </c>
      <c r="D1784" t="inlineStr">
        <is>
          <t>JÄMTLANDS LÄN</t>
        </is>
      </c>
      <c r="E1784" t="inlineStr">
        <is>
          <t>KROKOM</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10220-2025</t>
        </is>
      </c>
      <c r="B1785" s="1" t="n">
        <v>45720</v>
      </c>
      <c r="C1785" s="1" t="n">
        <v>45840</v>
      </c>
      <c r="D1785" t="inlineStr">
        <is>
          <t>JÄMTLANDS LÄN</t>
        </is>
      </c>
      <c r="E1785" t="inlineStr">
        <is>
          <t>KROKOM</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10397-2025</t>
        </is>
      </c>
      <c r="B1786" s="1" t="n">
        <v>45720</v>
      </c>
      <c r="C1786" s="1" t="n">
        <v>45840</v>
      </c>
      <c r="D1786" t="inlineStr">
        <is>
          <t>JÄMTLANDS LÄN</t>
        </is>
      </c>
      <c r="E1786" t="inlineStr">
        <is>
          <t>KROKOM</t>
        </is>
      </c>
      <c r="F1786" t="inlineStr">
        <is>
          <t>Övriga Aktiebolag</t>
        </is>
      </c>
      <c r="G1786" t="n">
        <v>32.9</v>
      </c>
      <c r="H1786" t="n">
        <v>0</v>
      </c>
      <c r="I1786" t="n">
        <v>0</v>
      </c>
      <c r="J1786" t="n">
        <v>0</v>
      </c>
      <c r="K1786" t="n">
        <v>0</v>
      </c>
      <c r="L1786" t="n">
        <v>0</v>
      </c>
      <c r="M1786" t="n">
        <v>0</v>
      </c>
      <c r="N1786" t="n">
        <v>0</v>
      </c>
      <c r="O1786" t="n">
        <v>0</v>
      </c>
      <c r="P1786" t="n">
        <v>0</v>
      </c>
      <c r="Q1786" t="n">
        <v>0</v>
      </c>
      <c r="R1786" s="2" t="inlineStr"/>
    </row>
    <row r="1787" ht="15" customHeight="1">
      <c r="A1787" t="inlineStr">
        <is>
          <t>A 10279-2025</t>
        </is>
      </c>
      <c r="B1787" s="1" t="n">
        <v>45720</v>
      </c>
      <c r="C1787" s="1" t="n">
        <v>45840</v>
      </c>
      <c r="D1787" t="inlineStr">
        <is>
          <t>JÄMTLANDS LÄN</t>
        </is>
      </c>
      <c r="E1787" t="inlineStr">
        <is>
          <t>KROKOM</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10494-2025</t>
        </is>
      </c>
      <c r="B1788" s="1" t="n">
        <v>45721</v>
      </c>
      <c r="C1788" s="1" t="n">
        <v>45840</v>
      </c>
      <c r="D1788" t="inlineStr">
        <is>
          <t>JÄMTLANDS LÄN</t>
        </is>
      </c>
      <c r="E1788" t="inlineStr">
        <is>
          <t>KROKOM</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10533-2025</t>
        </is>
      </c>
      <c r="B1789" s="1" t="n">
        <v>45721</v>
      </c>
      <c r="C1789" s="1" t="n">
        <v>45840</v>
      </c>
      <c r="D1789" t="inlineStr">
        <is>
          <t>JÄMTLANDS LÄN</t>
        </is>
      </c>
      <c r="E1789" t="inlineStr">
        <is>
          <t>KROKOM</t>
        </is>
      </c>
      <c r="F1789" t="inlineStr">
        <is>
          <t>SCA</t>
        </is>
      </c>
      <c r="G1789" t="n">
        <v>64.90000000000001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10552-2025</t>
        </is>
      </c>
      <c r="B1790" s="1" t="n">
        <v>45721</v>
      </c>
      <c r="C1790" s="1" t="n">
        <v>45840</v>
      </c>
      <c r="D1790" t="inlineStr">
        <is>
          <t>JÄMTLANDS LÄN</t>
        </is>
      </c>
      <c r="E1790" t="inlineStr">
        <is>
          <t>KROKOM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10498-2025</t>
        </is>
      </c>
      <c r="B1791" s="1" t="n">
        <v>45721</v>
      </c>
      <c r="C1791" s="1" t="n">
        <v>45840</v>
      </c>
      <c r="D1791" t="inlineStr">
        <is>
          <t>JÄMTLANDS LÄN</t>
        </is>
      </c>
      <c r="E1791" t="inlineStr">
        <is>
          <t>KROKOM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10588-2025</t>
        </is>
      </c>
      <c r="B1792" s="1" t="n">
        <v>45721</v>
      </c>
      <c r="C1792" s="1" t="n">
        <v>45840</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10632-2025</t>
        </is>
      </c>
      <c r="B1793" s="1" t="n">
        <v>45721</v>
      </c>
      <c r="C1793" s="1" t="n">
        <v>45840</v>
      </c>
      <c r="D1793" t="inlineStr">
        <is>
          <t>JÄMTLANDS LÄN</t>
        </is>
      </c>
      <c r="E1793" t="inlineStr">
        <is>
          <t>KROKOM</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10581-2025</t>
        </is>
      </c>
      <c r="B1794" s="1" t="n">
        <v>45721</v>
      </c>
      <c r="C1794" s="1" t="n">
        <v>45840</v>
      </c>
      <c r="D1794" t="inlineStr">
        <is>
          <t>JÄMTLANDS LÄN</t>
        </is>
      </c>
      <c r="E1794" t="inlineStr">
        <is>
          <t>KROKOM</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10532-2025</t>
        </is>
      </c>
      <c r="B1795" s="1" t="n">
        <v>45721</v>
      </c>
      <c r="C1795" s="1" t="n">
        <v>45840</v>
      </c>
      <c r="D1795" t="inlineStr">
        <is>
          <t>JÄMTLANDS LÄN</t>
        </is>
      </c>
      <c r="E1795" t="inlineStr">
        <is>
          <t>KROKOM</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10646-2025</t>
        </is>
      </c>
      <c r="B1796" s="1" t="n">
        <v>45721</v>
      </c>
      <c r="C1796" s="1" t="n">
        <v>45840</v>
      </c>
      <c r="D1796" t="inlineStr">
        <is>
          <t>JÄMTLANDS LÄN</t>
        </is>
      </c>
      <c r="E1796" t="inlineStr">
        <is>
          <t>KROKOM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11073-2025</t>
        </is>
      </c>
      <c r="B1797" s="1" t="n">
        <v>45723</v>
      </c>
      <c r="C1797" s="1" t="n">
        <v>45840</v>
      </c>
      <c r="D1797" t="inlineStr">
        <is>
          <t>JÄMTLANDS LÄN</t>
        </is>
      </c>
      <c r="E1797" t="inlineStr">
        <is>
          <t>KROKOM</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11056-2025</t>
        </is>
      </c>
      <c r="B1798" s="1" t="n">
        <v>45723</v>
      </c>
      <c r="C1798" s="1" t="n">
        <v>45840</v>
      </c>
      <c r="D1798" t="inlineStr">
        <is>
          <t>JÄMTLANDS LÄN</t>
        </is>
      </c>
      <c r="E1798" t="inlineStr">
        <is>
          <t>KROKOM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11070-2025</t>
        </is>
      </c>
      <c r="B1799" s="1" t="n">
        <v>45723</v>
      </c>
      <c r="C1799" s="1" t="n">
        <v>45840</v>
      </c>
      <c r="D1799" t="inlineStr">
        <is>
          <t>JÄMTLANDS LÄN</t>
        </is>
      </c>
      <c r="E1799" t="inlineStr">
        <is>
          <t>KROKOM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11424-2025</t>
        </is>
      </c>
      <c r="B1800" s="1" t="n">
        <v>45726</v>
      </c>
      <c r="C1800" s="1" t="n">
        <v>45840</v>
      </c>
      <c r="D1800" t="inlineStr">
        <is>
          <t>JÄMTLANDS LÄN</t>
        </is>
      </c>
      <c r="E1800" t="inlineStr">
        <is>
          <t>KROKOM</t>
        </is>
      </c>
      <c r="F1800" t="inlineStr">
        <is>
          <t>Övriga Aktiebolag</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11436-2025</t>
        </is>
      </c>
      <c r="B1801" s="1" t="n">
        <v>45726</v>
      </c>
      <c r="C1801" s="1" t="n">
        <v>45840</v>
      </c>
      <c r="D1801" t="inlineStr">
        <is>
          <t>JÄMTLANDS LÄN</t>
        </is>
      </c>
      <c r="E1801" t="inlineStr">
        <is>
          <t>KROKOM</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11386-2025</t>
        </is>
      </c>
      <c r="B1802" s="1" t="n">
        <v>45726</v>
      </c>
      <c r="C1802" s="1" t="n">
        <v>45840</v>
      </c>
      <c r="D1802" t="inlineStr">
        <is>
          <t>JÄMTLANDS LÄN</t>
        </is>
      </c>
      <c r="E1802" t="inlineStr">
        <is>
          <t>KROKOM</t>
        </is>
      </c>
      <c r="F1802" t="inlineStr">
        <is>
          <t>Övriga Aktiebolag</t>
        </is>
      </c>
      <c r="G1802" t="n">
        <v>42.4</v>
      </c>
      <c r="H1802" t="n">
        <v>0</v>
      </c>
      <c r="I1802" t="n">
        <v>0</v>
      </c>
      <c r="J1802" t="n">
        <v>0</v>
      </c>
      <c r="K1802" t="n">
        <v>0</v>
      </c>
      <c r="L1802" t="n">
        <v>0</v>
      </c>
      <c r="M1802" t="n">
        <v>0</v>
      </c>
      <c r="N1802" t="n">
        <v>0</v>
      </c>
      <c r="O1802" t="n">
        <v>0</v>
      </c>
      <c r="P1802" t="n">
        <v>0</v>
      </c>
      <c r="Q1802" t="n">
        <v>0</v>
      </c>
      <c r="R1802" s="2" t="inlineStr"/>
    </row>
    <row r="1803" ht="15" customHeight="1">
      <c r="A1803" t="inlineStr">
        <is>
          <t>A 11243-2025</t>
        </is>
      </c>
      <c r="B1803" s="1" t="n">
        <v>45726</v>
      </c>
      <c r="C1803" s="1" t="n">
        <v>45840</v>
      </c>
      <c r="D1803" t="inlineStr">
        <is>
          <t>JÄMTLANDS LÄN</t>
        </is>
      </c>
      <c r="E1803" t="inlineStr">
        <is>
          <t>KROKOM</t>
        </is>
      </c>
      <c r="F1803" t="inlineStr">
        <is>
          <t>Övriga Aktiebolag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11317-2025</t>
        </is>
      </c>
      <c r="B1804" s="1" t="n">
        <v>45726</v>
      </c>
      <c r="C1804" s="1" t="n">
        <v>45840</v>
      </c>
      <c r="D1804" t="inlineStr">
        <is>
          <t>JÄMTLANDS LÄN</t>
        </is>
      </c>
      <c r="E1804" t="inlineStr">
        <is>
          <t>KROKOM</t>
        </is>
      </c>
      <c r="F1804" t="inlineStr">
        <is>
          <t>Övriga Aktiebolag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11403-2025</t>
        </is>
      </c>
      <c r="B1805" s="1" t="n">
        <v>45726</v>
      </c>
      <c r="C1805" s="1" t="n">
        <v>45840</v>
      </c>
      <c r="D1805" t="inlineStr">
        <is>
          <t>JÄMTLANDS LÄN</t>
        </is>
      </c>
      <c r="E1805" t="inlineStr">
        <is>
          <t>KROKOM</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12868-2025</t>
        </is>
      </c>
      <c r="B1806" s="1" t="n">
        <v>45733</v>
      </c>
      <c r="C1806" s="1" t="n">
        <v>45840</v>
      </c>
      <c r="D1806" t="inlineStr">
        <is>
          <t>JÄMTLANDS LÄN</t>
        </is>
      </c>
      <c r="E1806" t="inlineStr">
        <is>
          <t>KROKOM</t>
        </is>
      </c>
      <c r="G1806" t="n">
        <v>24.2</v>
      </c>
      <c r="H1806" t="n">
        <v>0</v>
      </c>
      <c r="I1806" t="n">
        <v>0</v>
      </c>
      <c r="J1806" t="n">
        <v>0</v>
      </c>
      <c r="K1806" t="n">
        <v>0</v>
      </c>
      <c r="L1806" t="n">
        <v>0</v>
      </c>
      <c r="M1806" t="n">
        <v>0</v>
      </c>
      <c r="N1806" t="n">
        <v>0</v>
      </c>
      <c r="O1806" t="n">
        <v>0</v>
      </c>
      <c r="P1806" t="n">
        <v>0</v>
      </c>
      <c r="Q1806" t="n">
        <v>0</v>
      </c>
      <c r="R1806" s="2" t="inlineStr"/>
    </row>
    <row r="1807" ht="15" customHeight="1">
      <c r="A1807" t="inlineStr">
        <is>
          <t>A 12774-2025</t>
        </is>
      </c>
      <c r="B1807" s="1" t="n">
        <v>45733</v>
      </c>
      <c r="C1807" s="1" t="n">
        <v>45840</v>
      </c>
      <c r="D1807" t="inlineStr">
        <is>
          <t>JÄMTLANDS LÄN</t>
        </is>
      </c>
      <c r="E1807" t="inlineStr">
        <is>
          <t>KROKOM</t>
        </is>
      </c>
      <c r="G1807" t="n">
        <v>40.4</v>
      </c>
      <c r="H1807" t="n">
        <v>0</v>
      </c>
      <c r="I1807" t="n">
        <v>0</v>
      </c>
      <c r="J1807" t="n">
        <v>0</v>
      </c>
      <c r="K1807" t="n">
        <v>0</v>
      </c>
      <c r="L1807" t="n">
        <v>0</v>
      </c>
      <c r="M1807" t="n">
        <v>0</v>
      </c>
      <c r="N1807" t="n">
        <v>0</v>
      </c>
      <c r="O1807" t="n">
        <v>0</v>
      </c>
      <c r="P1807" t="n">
        <v>0</v>
      </c>
      <c r="Q1807" t="n">
        <v>0</v>
      </c>
      <c r="R1807" s="2" t="inlineStr"/>
    </row>
    <row r="1808" ht="15" customHeight="1">
      <c r="A1808" t="inlineStr">
        <is>
          <t>A 12838-2025</t>
        </is>
      </c>
      <c r="B1808" s="1" t="n">
        <v>45733</v>
      </c>
      <c r="C1808" s="1" t="n">
        <v>45840</v>
      </c>
      <c r="D1808" t="inlineStr">
        <is>
          <t>JÄMTLANDS LÄN</t>
        </is>
      </c>
      <c r="E1808" t="inlineStr">
        <is>
          <t>KROKOM</t>
        </is>
      </c>
      <c r="G1808" t="n">
        <v>59.3</v>
      </c>
      <c r="H1808" t="n">
        <v>0</v>
      </c>
      <c r="I1808" t="n">
        <v>0</v>
      </c>
      <c r="J1808" t="n">
        <v>0</v>
      </c>
      <c r="K1808" t="n">
        <v>0</v>
      </c>
      <c r="L1808" t="n">
        <v>0</v>
      </c>
      <c r="M1808" t="n">
        <v>0</v>
      </c>
      <c r="N1808" t="n">
        <v>0</v>
      </c>
      <c r="O1808" t="n">
        <v>0</v>
      </c>
      <c r="P1808" t="n">
        <v>0</v>
      </c>
      <c r="Q1808" t="n">
        <v>0</v>
      </c>
      <c r="R1808" s="2" t="inlineStr"/>
    </row>
    <row r="1809" ht="15" customHeight="1">
      <c r="A1809" t="inlineStr">
        <is>
          <t>A 13722-2025</t>
        </is>
      </c>
      <c r="B1809" s="1" t="n">
        <v>45737</v>
      </c>
      <c r="C1809" s="1" t="n">
        <v>45840</v>
      </c>
      <c r="D1809" t="inlineStr">
        <is>
          <t>JÄMTLANDS LÄN</t>
        </is>
      </c>
      <c r="E1809" t="inlineStr">
        <is>
          <t>KROKOM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13769-2025</t>
        </is>
      </c>
      <c r="B1810" s="1" t="n">
        <v>45737</v>
      </c>
      <c r="C1810" s="1" t="n">
        <v>45840</v>
      </c>
      <c r="D1810" t="inlineStr">
        <is>
          <t>JÄMTLANDS LÄN</t>
        </is>
      </c>
      <c r="E1810" t="inlineStr">
        <is>
          <t>KROKOM</t>
        </is>
      </c>
      <c r="G1810" t="n">
        <v>21.1</v>
      </c>
      <c r="H1810" t="n">
        <v>0</v>
      </c>
      <c r="I1810" t="n">
        <v>0</v>
      </c>
      <c r="J1810" t="n">
        <v>0</v>
      </c>
      <c r="K1810" t="n">
        <v>0</v>
      </c>
      <c r="L1810" t="n">
        <v>0</v>
      </c>
      <c r="M1810" t="n">
        <v>0</v>
      </c>
      <c r="N1810" t="n">
        <v>0</v>
      </c>
      <c r="O1810" t="n">
        <v>0</v>
      </c>
      <c r="P1810" t="n">
        <v>0</v>
      </c>
      <c r="Q1810" t="n">
        <v>0</v>
      </c>
      <c r="R1810" s="2" t="inlineStr"/>
    </row>
    <row r="1811" ht="15" customHeight="1">
      <c r="A1811" t="inlineStr">
        <is>
          <t>A 13758-2025</t>
        </is>
      </c>
      <c r="B1811" s="1" t="n">
        <v>45737</v>
      </c>
      <c r="C1811" s="1" t="n">
        <v>45840</v>
      </c>
      <c r="D1811" t="inlineStr">
        <is>
          <t>JÄMTLANDS LÄN</t>
        </is>
      </c>
      <c r="E1811" t="inlineStr">
        <is>
          <t>KROKOM</t>
        </is>
      </c>
      <c r="G1811" t="n">
        <v>22.9</v>
      </c>
      <c r="H1811" t="n">
        <v>0</v>
      </c>
      <c r="I1811" t="n">
        <v>0</v>
      </c>
      <c r="J1811" t="n">
        <v>0</v>
      </c>
      <c r="K1811" t="n">
        <v>0</v>
      </c>
      <c r="L1811" t="n">
        <v>0</v>
      </c>
      <c r="M1811" t="n">
        <v>0</v>
      </c>
      <c r="N1811" t="n">
        <v>0</v>
      </c>
      <c r="O1811" t="n">
        <v>0</v>
      </c>
      <c r="P1811" t="n">
        <v>0</v>
      </c>
      <c r="Q1811" t="n">
        <v>0</v>
      </c>
      <c r="R1811" s="2" t="inlineStr"/>
    </row>
    <row r="1812" ht="15" customHeight="1">
      <c r="A1812" t="inlineStr">
        <is>
          <t>A 13774-2025</t>
        </is>
      </c>
      <c r="B1812" s="1" t="n">
        <v>45737</v>
      </c>
      <c r="C1812" s="1" t="n">
        <v>45840</v>
      </c>
      <c r="D1812" t="inlineStr">
        <is>
          <t>JÄMTLANDS LÄN</t>
        </is>
      </c>
      <c r="E1812" t="inlineStr">
        <is>
          <t>KROKOM</t>
        </is>
      </c>
      <c r="G1812" t="n">
        <v>26.1</v>
      </c>
      <c r="H1812" t="n">
        <v>0</v>
      </c>
      <c r="I1812" t="n">
        <v>0</v>
      </c>
      <c r="J1812" t="n">
        <v>0</v>
      </c>
      <c r="K1812" t="n">
        <v>0</v>
      </c>
      <c r="L1812" t="n">
        <v>0</v>
      </c>
      <c r="M1812" t="n">
        <v>0</v>
      </c>
      <c r="N1812" t="n">
        <v>0</v>
      </c>
      <c r="O1812" t="n">
        <v>0</v>
      </c>
      <c r="P1812" t="n">
        <v>0</v>
      </c>
      <c r="Q1812" t="n">
        <v>0</v>
      </c>
      <c r="R1812" s="2" t="inlineStr"/>
    </row>
    <row r="1813" ht="15" customHeight="1">
      <c r="A1813" t="inlineStr">
        <is>
          <t>A 14233-2025</t>
        </is>
      </c>
      <c r="B1813" s="1" t="n">
        <v>45740</v>
      </c>
      <c r="C1813" s="1" t="n">
        <v>45840</v>
      </c>
      <c r="D1813" t="inlineStr">
        <is>
          <t>JÄMTLANDS LÄN</t>
        </is>
      </c>
      <c r="E1813" t="inlineStr">
        <is>
          <t>KROKOM</t>
        </is>
      </c>
      <c r="F1813" t="inlineStr">
        <is>
          <t>Övriga statliga verk och myndigheter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14234-2025</t>
        </is>
      </c>
      <c r="B1814" s="1" t="n">
        <v>45740</v>
      </c>
      <c r="C1814" s="1" t="n">
        <v>45840</v>
      </c>
      <c r="D1814" t="inlineStr">
        <is>
          <t>JÄMTLANDS LÄN</t>
        </is>
      </c>
      <c r="E1814" t="inlineStr">
        <is>
          <t>KROKOM</t>
        </is>
      </c>
      <c r="F1814" t="inlineStr">
        <is>
          <t>Övriga statliga verk och myndigheter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14293-2025</t>
        </is>
      </c>
      <c r="B1815" s="1" t="n">
        <v>45740</v>
      </c>
      <c r="C1815" s="1" t="n">
        <v>45840</v>
      </c>
      <c r="D1815" t="inlineStr">
        <is>
          <t>JÄMTLANDS LÄN</t>
        </is>
      </c>
      <c r="E1815" t="inlineStr">
        <is>
          <t>KROKOM</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14299-2025</t>
        </is>
      </c>
      <c r="B1816" s="1" t="n">
        <v>45740</v>
      </c>
      <c r="C1816" s="1" t="n">
        <v>45840</v>
      </c>
      <c r="D1816" t="inlineStr">
        <is>
          <t>JÄMTLANDS LÄN</t>
        </is>
      </c>
      <c r="E1816" t="inlineStr">
        <is>
          <t>KROKOM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14240-2025</t>
        </is>
      </c>
      <c r="B1817" s="1" t="n">
        <v>45740</v>
      </c>
      <c r="C1817" s="1" t="n">
        <v>45840</v>
      </c>
      <c r="D1817" t="inlineStr">
        <is>
          <t>JÄMTLANDS LÄN</t>
        </is>
      </c>
      <c r="E1817" t="inlineStr">
        <is>
          <t>KROKOM</t>
        </is>
      </c>
      <c r="G1817" t="n">
        <v>30.3</v>
      </c>
      <c r="H1817" t="n">
        <v>0</v>
      </c>
      <c r="I1817" t="n">
        <v>0</v>
      </c>
      <c r="J1817" t="n">
        <v>0</v>
      </c>
      <c r="K1817" t="n">
        <v>0</v>
      </c>
      <c r="L1817" t="n">
        <v>0</v>
      </c>
      <c r="M1817" t="n">
        <v>0</v>
      </c>
      <c r="N1817" t="n">
        <v>0</v>
      </c>
      <c r="O1817" t="n">
        <v>0</v>
      </c>
      <c r="P1817" t="n">
        <v>0</v>
      </c>
      <c r="Q1817" t="n">
        <v>0</v>
      </c>
      <c r="R1817" s="2" t="inlineStr"/>
    </row>
    <row r="1818" ht="15" customHeight="1">
      <c r="A1818" t="inlineStr">
        <is>
          <t>A 14835-2025</t>
        </is>
      </c>
      <c r="B1818" s="1" t="n">
        <v>45743</v>
      </c>
      <c r="C1818" s="1" t="n">
        <v>45840</v>
      </c>
      <c r="D1818" t="inlineStr">
        <is>
          <t>JÄMTLANDS LÄN</t>
        </is>
      </c>
      <c r="E1818" t="inlineStr">
        <is>
          <t>KROKOM</t>
        </is>
      </c>
      <c r="F1818" t="inlineStr">
        <is>
          <t>Kyrkan</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14883-2025</t>
        </is>
      </c>
      <c r="B1819" s="1" t="n">
        <v>45743</v>
      </c>
      <c r="C1819" s="1" t="n">
        <v>45840</v>
      </c>
      <c r="D1819" t="inlineStr">
        <is>
          <t>JÄMTLANDS LÄN</t>
        </is>
      </c>
      <c r="E1819" t="inlineStr">
        <is>
          <t>KROKOM</t>
        </is>
      </c>
      <c r="F1819" t="inlineStr">
        <is>
          <t>Allmännings- och besparingsskogar</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15231-2025</t>
        </is>
      </c>
      <c r="B1820" s="1" t="n">
        <v>45744</v>
      </c>
      <c r="C1820" s="1" t="n">
        <v>45840</v>
      </c>
      <c r="D1820" t="inlineStr">
        <is>
          <t>JÄMTLANDS LÄN</t>
        </is>
      </c>
      <c r="E1820" t="inlineStr">
        <is>
          <t>KROKOM</t>
        </is>
      </c>
      <c r="F1820" t="inlineStr">
        <is>
          <t>Övriga Aktiebolag</t>
        </is>
      </c>
      <c r="G1820" t="n">
        <v>11.8</v>
      </c>
      <c r="H1820" t="n">
        <v>0</v>
      </c>
      <c r="I1820" t="n">
        <v>0</v>
      </c>
      <c r="J1820" t="n">
        <v>0</v>
      </c>
      <c r="K1820" t="n">
        <v>0</v>
      </c>
      <c r="L1820" t="n">
        <v>0</v>
      </c>
      <c r="M1820" t="n">
        <v>0</v>
      </c>
      <c r="N1820" t="n">
        <v>0</v>
      </c>
      <c r="O1820" t="n">
        <v>0</v>
      </c>
      <c r="P1820" t="n">
        <v>0</v>
      </c>
      <c r="Q1820" t="n">
        <v>0</v>
      </c>
      <c r="R1820" s="2" t="inlineStr"/>
    </row>
    <row r="1821" ht="15" customHeight="1">
      <c r="A1821" t="inlineStr">
        <is>
          <t>A 15209-2025</t>
        </is>
      </c>
      <c r="B1821" s="1" t="n">
        <v>45744</v>
      </c>
      <c r="C1821" s="1" t="n">
        <v>45840</v>
      </c>
      <c r="D1821" t="inlineStr">
        <is>
          <t>JÄMTLANDS LÄN</t>
        </is>
      </c>
      <c r="E1821" t="inlineStr">
        <is>
          <t>KROKOM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15422-2025</t>
        </is>
      </c>
      <c r="B1822" s="1" t="n">
        <v>45746</v>
      </c>
      <c r="C1822" s="1" t="n">
        <v>45840</v>
      </c>
      <c r="D1822" t="inlineStr">
        <is>
          <t>JÄMTLANDS LÄN</t>
        </is>
      </c>
      <c r="E1822" t="inlineStr">
        <is>
          <t>KROKOM</t>
        </is>
      </c>
      <c r="F1822" t="inlineStr">
        <is>
          <t>SCA</t>
        </is>
      </c>
      <c r="G1822" t="n">
        <v>12.9</v>
      </c>
      <c r="H1822" t="n">
        <v>0</v>
      </c>
      <c r="I1822" t="n">
        <v>0</v>
      </c>
      <c r="J1822" t="n">
        <v>0</v>
      </c>
      <c r="K1822" t="n">
        <v>0</v>
      </c>
      <c r="L1822" t="n">
        <v>0</v>
      </c>
      <c r="M1822" t="n">
        <v>0</v>
      </c>
      <c r="N1822" t="n">
        <v>0</v>
      </c>
      <c r="O1822" t="n">
        <v>0</v>
      </c>
      <c r="P1822" t="n">
        <v>0</v>
      </c>
      <c r="Q1822" t="n">
        <v>0</v>
      </c>
      <c r="R1822" s="2" t="inlineStr"/>
    </row>
    <row r="1823" ht="15" customHeight="1">
      <c r="A1823" t="inlineStr">
        <is>
          <t>A 15310-2025</t>
        </is>
      </c>
      <c r="B1823" s="1" t="n">
        <v>45746</v>
      </c>
      <c r="C1823" s="1" t="n">
        <v>45840</v>
      </c>
      <c r="D1823" t="inlineStr">
        <is>
          <t>JÄMTLANDS LÄN</t>
        </is>
      </c>
      <c r="E1823" t="inlineStr">
        <is>
          <t>KROKOM</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15341-2025</t>
        </is>
      </c>
      <c r="B1824" s="1" t="n">
        <v>45746</v>
      </c>
      <c r="C1824" s="1" t="n">
        <v>45840</v>
      </c>
      <c r="D1824" t="inlineStr">
        <is>
          <t>JÄMTLANDS LÄN</t>
        </is>
      </c>
      <c r="E1824" t="inlineStr">
        <is>
          <t>KROKOM</t>
        </is>
      </c>
      <c r="F1824" t="inlineStr">
        <is>
          <t>SCA</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15489-2025</t>
        </is>
      </c>
      <c r="B1825" s="1" t="n">
        <v>45747</v>
      </c>
      <c r="C1825" s="1" t="n">
        <v>45840</v>
      </c>
      <c r="D1825" t="inlineStr">
        <is>
          <t>JÄMTLANDS LÄN</t>
        </is>
      </c>
      <c r="E1825" t="inlineStr">
        <is>
          <t>KROKOM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15430-2025</t>
        </is>
      </c>
      <c r="B1826" s="1" t="n">
        <v>45747</v>
      </c>
      <c r="C1826" s="1" t="n">
        <v>45840</v>
      </c>
      <c r="D1826" t="inlineStr">
        <is>
          <t>JÄMTLANDS LÄN</t>
        </is>
      </c>
      <c r="E1826" t="inlineStr">
        <is>
          <t>KROKOM</t>
        </is>
      </c>
      <c r="F1826" t="inlineStr">
        <is>
          <t>SCA</t>
        </is>
      </c>
      <c r="G1826" t="n">
        <v>15.3</v>
      </c>
      <c r="H1826" t="n">
        <v>0</v>
      </c>
      <c r="I1826" t="n">
        <v>0</v>
      </c>
      <c r="J1826" t="n">
        <v>0</v>
      </c>
      <c r="K1826" t="n">
        <v>0</v>
      </c>
      <c r="L1826" t="n">
        <v>0</v>
      </c>
      <c r="M1826" t="n">
        <v>0</v>
      </c>
      <c r="N1826" t="n">
        <v>0</v>
      </c>
      <c r="O1826" t="n">
        <v>0</v>
      </c>
      <c r="P1826" t="n">
        <v>0</v>
      </c>
      <c r="Q1826" t="n">
        <v>0</v>
      </c>
      <c r="R1826" s="2" t="inlineStr"/>
    </row>
    <row r="1827" ht="15" customHeight="1">
      <c r="A1827" t="inlineStr">
        <is>
          <t>A 15432-2025</t>
        </is>
      </c>
      <c r="B1827" s="1" t="n">
        <v>45747</v>
      </c>
      <c r="C1827" s="1" t="n">
        <v>45840</v>
      </c>
      <c r="D1827" t="inlineStr">
        <is>
          <t>JÄMTLANDS LÄN</t>
        </is>
      </c>
      <c r="E1827" t="inlineStr">
        <is>
          <t>KROKOM</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15638-2025</t>
        </is>
      </c>
      <c r="B1828" s="1" t="n">
        <v>45748</v>
      </c>
      <c r="C1828" s="1" t="n">
        <v>45840</v>
      </c>
      <c r="D1828" t="inlineStr">
        <is>
          <t>JÄMTLANDS LÄN</t>
        </is>
      </c>
      <c r="E1828" t="inlineStr">
        <is>
          <t>KROKOM</t>
        </is>
      </c>
      <c r="F1828" t="inlineStr">
        <is>
          <t>Kyrkan</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15761-2025</t>
        </is>
      </c>
      <c r="B1829" s="1" t="n">
        <v>45748</v>
      </c>
      <c r="C1829" s="1" t="n">
        <v>45840</v>
      </c>
      <c r="D1829" t="inlineStr">
        <is>
          <t>JÄMTLANDS LÄN</t>
        </is>
      </c>
      <c r="E1829" t="inlineStr">
        <is>
          <t>KROKOM</t>
        </is>
      </c>
      <c r="G1829" t="n">
        <v>48.1</v>
      </c>
      <c r="H1829" t="n">
        <v>0</v>
      </c>
      <c r="I1829" t="n">
        <v>0</v>
      </c>
      <c r="J1829" t="n">
        <v>0</v>
      </c>
      <c r="K1829" t="n">
        <v>0</v>
      </c>
      <c r="L1829" t="n">
        <v>0</v>
      </c>
      <c r="M1829" t="n">
        <v>0</v>
      </c>
      <c r="N1829" t="n">
        <v>0</v>
      </c>
      <c r="O1829" t="n">
        <v>0</v>
      </c>
      <c r="P1829" t="n">
        <v>0</v>
      </c>
      <c r="Q1829" t="n">
        <v>0</v>
      </c>
      <c r="R1829" s="2" t="inlineStr"/>
    </row>
    <row r="1830" ht="15" customHeight="1">
      <c r="A1830" t="inlineStr">
        <is>
          <t>A 15639-2025</t>
        </is>
      </c>
      <c r="B1830" s="1" t="n">
        <v>45748</v>
      </c>
      <c r="C1830" s="1" t="n">
        <v>45840</v>
      </c>
      <c r="D1830" t="inlineStr">
        <is>
          <t>JÄMTLANDS LÄN</t>
        </is>
      </c>
      <c r="E1830" t="inlineStr">
        <is>
          <t>KROKOM</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15776-2025</t>
        </is>
      </c>
      <c r="B1831" s="1" t="n">
        <v>45748</v>
      </c>
      <c r="C1831" s="1" t="n">
        <v>45840</v>
      </c>
      <c r="D1831" t="inlineStr">
        <is>
          <t>JÄMTLANDS LÄN</t>
        </is>
      </c>
      <c r="E1831" t="inlineStr">
        <is>
          <t>KROKOM</t>
        </is>
      </c>
      <c r="G1831" t="n">
        <v>46.5</v>
      </c>
      <c r="H1831" t="n">
        <v>0</v>
      </c>
      <c r="I1831" t="n">
        <v>0</v>
      </c>
      <c r="J1831" t="n">
        <v>0</v>
      </c>
      <c r="K1831" t="n">
        <v>0</v>
      </c>
      <c r="L1831" t="n">
        <v>0</v>
      </c>
      <c r="M1831" t="n">
        <v>0</v>
      </c>
      <c r="N1831" t="n">
        <v>0</v>
      </c>
      <c r="O1831" t="n">
        <v>0</v>
      </c>
      <c r="P1831" t="n">
        <v>0</v>
      </c>
      <c r="Q1831" t="n">
        <v>0</v>
      </c>
      <c r="R1831" s="2" t="inlineStr"/>
    </row>
    <row r="1832" ht="15" customHeight="1">
      <c r="A1832" t="inlineStr">
        <is>
          <t>A 15627-2025</t>
        </is>
      </c>
      <c r="B1832" s="1" t="n">
        <v>45748</v>
      </c>
      <c r="C1832" s="1" t="n">
        <v>45840</v>
      </c>
      <c r="D1832" t="inlineStr">
        <is>
          <t>JÄMTLANDS LÄN</t>
        </is>
      </c>
      <c r="E1832" t="inlineStr">
        <is>
          <t>KROKOM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15634-2025</t>
        </is>
      </c>
      <c r="B1833" s="1" t="n">
        <v>45748</v>
      </c>
      <c r="C1833" s="1" t="n">
        <v>45840</v>
      </c>
      <c r="D1833" t="inlineStr">
        <is>
          <t>JÄMTLANDS LÄN</t>
        </is>
      </c>
      <c r="E1833" t="inlineStr">
        <is>
          <t>KROKOM</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15663-2025</t>
        </is>
      </c>
      <c r="B1834" s="1" t="n">
        <v>45748</v>
      </c>
      <c r="C1834" s="1" t="n">
        <v>45840</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15859-2025</t>
        </is>
      </c>
      <c r="B1835" s="1" t="n">
        <v>45749</v>
      </c>
      <c r="C1835" s="1" t="n">
        <v>45840</v>
      </c>
      <c r="D1835" t="inlineStr">
        <is>
          <t>JÄMTLANDS LÄN</t>
        </is>
      </c>
      <c r="E1835" t="inlineStr">
        <is>
          <t>KROKOM</t>
        </is>
      </c>
      <c r="F1835" t="inlineStr">
        <is>
          <t>SCA</t>
        </is>
      </c>
      <c r="G1835" t="n">
        <v>26.8</v>
      </c>
      <c r="H1835" t="n">
        <v>0</v>
      </c>
      <c r="I1835" t="n">
        <v>0</v>
      </c>
      <c r="J1835" t="n">
        <v>0</v>
      </c>
      <c r="K1835" t="n">
        <v>0</v>
      </c>
      <c r="L1835" t="n">
        <v>0</v>
      </c>
      <c r="M1835" t="n">
        <v>0</v>
      </c>
      <c r="N1835" t="n">
        <v>0</v>
      </c>
      <c r="O1835" t="n">
        <v>0</v>
      </c>
      <c r="P1835" t="n">
        <v>0</v>
      </c>
      <c r="Q1835" t="n">
        <v>0</v>
      </c>
      <c r="R1835" s="2" t="inlineStr"/>
    </row>
    <row r="1836" ht="15" customHeight="1">
      <c r="A1836" t="inlineStr">
        <is>
          <t>A 15876-2025</t>
        </is>
      </c>
      <c r="B1836" s="1" t="n">
        <v>45749</v>
      </c>
      <c r="C1836" s="1" t="n">
        <v>45840</v>
      </c>
      <c r="D1836" t="inlineStr">
        <is>
          <t>JÄMTLANDS LÄN</t>
        </is>
      </c>
      <c r="E1836" t="inlineStr">
        <is>
          <t>KROKOM</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16247-2025</t>
        </is>
      </c>
      <c r="B1837" s="1" t="n">
        <v>45749</v>
      </c>
      <c r="C1837" s="1" t="n">
        <v>45840</v>
      </c>
      <c r="D1837" t="inlineStr">
        <is>
          <t>JÄMTLANDS LÄN</t>
        </is>
      </c>
      <c r="E1837" t="inlineStr">
        <is>
          <t>KROKOM</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16129-2025</t>
        </is>
      </c>
      <c r="B1838" s="1" t="n">
        <v>45750</v>
      </c>
      <c r="C1838" s="1" t="n">
        <v>45840</v>
      </c>
      <c r="D1838" t="inlineStr">
        <is>
          <t>JÄMTLANDS LÄN</t>
        </is>
      </c>
      <c r="E1838" t="inlineStr">
        <is>
          <t>KROKOM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16199-2025</t>
        </is>
      </c>
      <c r="B1839" s="1" t="n">
        <v>45750</v>
      </c>
      <c r="C1839" s="1" t="n">
        <v>45840</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16225-2025</t>
        </is>
      </c>
      <c r="B1840" s="1" t="n">
        <v>45750</v>
      </c>
      <c r="C1840" s="1" t="n">
        <v>45840</v>
      </c>
      <c r="D1840" t="inlineStr">
        <is>
          <t>JÄMTLANDS LÄN</t>
        </is>
      </c>
      <c r="E1840" t="inlineStr">
        <is>
          <t>KROKOM</t>
        </is>
      </c>
      <c r="F1840" t="inlineStr">
        <is>
          <t>Övriga Aktiebolag</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16481-2025</t>
        </is>
      </c>
      <c r="B1841" s="1" t="n">
        <v>45751</v>
      </c>
      <c r="C1841" s="1" t="n">
        <v>45840</v>
      </c>
      <c r="D1841" t="inlineStr">
        <is>
          <t>JÄMTLANDS LÄN</t>
        </is>
      </c>
      <c r="E1841" t="inlineStr">
        <is>
          <t>KROKOM</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16543-2025</t>
        </is>
      </c>
      <c r="B1842" s="1" t="n">
        <v>45751</v>
      </c>
      <c r="C1842" s="1" t="n">
        <v>45840</v>
      </c>
      <c r="D1842" t="inlineStr">
        <is>
          <t>JÄMTLANDS LÄN</t>
        </is>
      </c>
      <c r="E1842" t="inlineStr">
        <is>
          <t>KROKOM</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16548-2025</t>
        </is>
      </c>
      <c r="B1843" s="1" t="n">
        <v>45751</v>
      </c>
      <c r="C1843" s="1" t="n">
        <v>45840</v>
      </c>
      <c r="D1843" t="inlineStr">
        <is>
          <t>JÄMTLANDS LÄN</t>
        </is>
      </c>
      <c r="E1843" t="inlineStr">
        <is>
          <t>KROKOM</t>
        </is>
      </c>
      <c r="F1843" t="inlineStr">
        <is>
          <t>Övriga Aktiebolag</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16343-2025</t>
        </is>
      </c>
      <c r="B1844" s="1" t="n">
        <v>45751</v>
      </c>
      <c r="C1844" s="1" t="n">
        <v>45840</v>
      </c>
      <c r="D1844" t="inlineStr">
        <is>
          <t>JÄMTLANDS LÄN</t>
        </is>
      </c>
      <c r="E1844" t="inlineStr">
        <is>
          <t>KROKOM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16278-2025</t>
        </is>
      </c>
      <c r="B1845" s="1" t="n">
        <v>45751</v>
      </c>
      <c r="C1845" s="1" t="n">
        <v>45840</v>
      </c>
      <c r="D1845" t="inlineStr">
        <is>
          <t>JÄMTLANDS LÄN</t>
        </is>
      </c>
      <c r="E1845" t="inlineStr">
        <is>
          <t>KROKOM</t>
        </is>
      </c>
      <c r="F1845" t="inlineStr">
        <is>
          <t>Övriga Aktiebolag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16344-2025</t>
        </is>
      </c>
      <c r="B1846" s="1" t="n">
        <v>45751</v>
      </c>
      <c r="C1846" s="1" t="n">
        <v>45840</v>
      </c>
      <c r="D1846" t="inlineStr">
        <is>
          <t>JÄMTLANDS LÄN</t>
        </is>
      </c>
      <c r="E1846" t="inlineStr">
        <is>
          <t>KROKOM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16345-2025</t>
        </is>
      </c>
      <c r="B1847" s="1" t="n">
        <v>45751</v>
      </c>
      <c r="C1847" s="1" t="n">
        <v>45840</v>
      </c>
      <c r="D1847" t="inlineStr">
        <is>
          <t>JÄMTLANDS LÄN</t>
        </is>
      </c>
      <c r="E1847" t="inlineStr">
        <is>
          <t>KROKOM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17510-2025</t>
        </is>
      </c>
      <c r="B1848" s="1" t="n">
        <v>45757</v>
      </c>
      <c r="C1848" s="1" t="n">
        <v>45840</v>
      </c>
      <c r="D1848" t="inlineStr">
        <is>
          <t>JÄMTLANDS LÄN</t>
        </is>
      </c>
      <c r="E1848" t="inlineStr">
        <is>
          <t>KROKOM</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17887-2025</t>
        </is>
      </c>
      <c r="B1849" s="1" t="n">
        <v>45758</v>
      </c>
      <c r="C1849" s="1" t="n">
        <v>45840</v>
      </c>
      <c r="D1849" t="inlineStr">
        <is>
          <t>JÄMTLANDS LÄN</t>
        </is>
      </c>
      <c r="E1849" t="inlineStr">
        <is>
          <t>KROKOM</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17888-2025</t>
        </is>
      </c>
      <c r="B1850" s="1" t="n">
        <v>45758</v>
      </c>
      <c r="C1850" s="1" t="n">
        <v>45840</v>
      </c>
      <c r="D1850" t="inlineStr">
        <is>
          <t>JÄMTLANDS LÄN</t>
        </is>
      </c>
      <c r="E1850" t="inlineStr">
        <is>
          <t>KROKOM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17840-2025</t>
        </is>
      </c>
      <c r="B1851" s="1" t="n">
        <v>45758</v>
      </c>
      <c r="C1851" s="1" t="n">
        <v>45840</v>
      </c>
      <c r="D1851" t="inlineStr">
        <is>
          <t>JÄMTLANDS LÄN</t>
        </is>
      </c>
      <c r="E1851" t="inlineStr">
        <is>
          <t>KROKOM</t>
        </is>
      </c>
      <c r="F1851" t="inlineStr">
        <is>
          <t>Övriga Aktiebolag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17775-2025</t>
        </is>
      </c>
      <c r="B1852" s="1" t="n">
        <v>45758</v>
      </c>
      <c r="C1852" s="1" t="n">
        <v>45840</v>
      </c>
      <c r="D1852" t="inlineStr">
        <is>
          <t>JÄMTLANDS LÄN</t>
        </is>
      </c>
      <c r="E1852" t="inlineStr">
        <is>
          <t>KROKOM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17825-2025</t>
        </is>
      </c>
      <c r="B1853" s="1" t="n">
        <v>45758</v>
      </c>
      <c r="C1853" s="1" t="n">
        <v>45840</v>
      </c>
      <c r="D1853" t="inlineStr">
        <is>
          <t>JÄMTLANDS LÄN</t>
        </is>
      </c>
      <c r="E1853" t="inlineStr">
        <is>
          <t>KROKOM</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17950-2025</t>
        </is>
      </c>
      <c r="B1854" s="1" t="n">
        <v>45760</v>
      </c>
      <c r="C1854" s="1" t="n">
        <v>45840</v>
      </c>
      <c r="D1854" t="inlineStr">
        <is>
          <t>JÄMTLANDS LÄN</t>
        </is>
      </c>
      <c r="E1854" t="inlineStr">
        <is>
          <t>KROKOM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18080-2025</t>
        </is>
      </c>
      <c r="B1855" s="1" t="n">
        <v>45761</v>
      </c>
      <c r="C1855" s="1" t="n">
        <v>45840</v>
      </c>
      <c r="D1855" t="inlineStr">
        <is>
          <t>JÄMTLANDS LÄN</t>
        </is>
      </c>
      <c r="E1855" t="inlineStr">
        <is>
          <t>KROKOM</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18406-2025</t>
        </is>
      </c>
      <c r="B1856" s="1" t="n">
        <v>45762</v>
      </c>
      <c r="C1856" s="1" t="n">
        <v>45840</v>
      </c>
      <c r="D1856" t="inlineStr">
        <is>
          <t>JÄMTLANDS LÄN</t>
        </is>
      </c>
      <c r="E1856" t="inlineStr">
        <is>
          <t>KROKOM</t>
        </is>
      </c>
      <c r="F1856" t="inlineStr">
        <is>
          <t>Övriga Aktiebolag</t>
        </is>
      </c>
      <c r="G1856" t="n">
        <v>34.3</v>
      </c>
      <c r="H1856" t="n">
        <v>0</v>
      </c>
      <c r="I1856" t="n">
        <v>0</v>
      </c>
      <c r="J1856" t="n">
        <v>0</v>
      </c>
      <c r="K1856" t="n">
        <v>0</v>
      </c>
      <c r="L1856" t="n">
        <v>0</v>
      </c>
      <c r="M1856" t="n">
        <v>0</v>
      </c>
      <c r="N1856" t="n">
        <v>0</v>
      </c>
      <c r="O1856" t="n">
        <v>0</v>
      </c>
      <c r="P1856" t="n">
        <v>0</v>
      </c>
      <c r="Q1856" t="n">
        <v>0</v>
      </c>
      <c r="R1856" s="2" t="inlineStr"/>
    </row>
    <row r="1857" ht="15" customHeight="1">
      <c r="A1857" t="inlineStr">
        <is>
          <t>A 18556-2025</t>
        </is>
      </c>
      <c r="B1857" s="1" t="n">
        <v>45763</v>
      </c>
      <c r="C1857" s="1" t="n">
        <v>45840</v>
      </c>
      <c r="D1857" t="inlineStr">
        <is>
          <t>JÄMTLANDS LÄN</t>
        </is>
      </c>
      <c r="E1857" t="inlineStr">
        <is>
          <t>KROKOM</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18583-2025</t>
        </is>
      </c>
      <c r="B1858" s="1" t="n">
        <v>45763</v>
      </c>
      <c r="C1858" s="1" t="n">
        <v>45840</v>
      </c>
      <c r="D1858" t="inlineStr">
        <is>
          <t>JÄMTLANDS LÄN</t>
        </is>
      </c>
      <c r="E1858" t="inlineStr">
        <is>
          <t>KROKOM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18841-2025</t>
        </is>
      </c>
      <c r="B1859" s="1" t="n">
        <v>45764</v>
      </c>
      <c r="C1859" s="1" t="n">
        <v>45840</v>
      </c>
      <c r="D1859" t="inlineStr">
        <is>
          <t>JÄMTLANDS LÄN</t>
        </is>
      </c>
      <c r="E1859" t="inlineStr">
        <is>
          <t>KROKOM</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18917-2025</t>
        </is>
      </c>
      <c r="B1860" s="1" t="n">
        <v>45764</v>
      </c>
      <c r="C1860" s="1" t="n">
        <v>45840</v>
      </c>
      <c r="D1860" t="inlineStr">
        <is>
          <t>JÄMTLANDS LÄN</t>
        </is>
      </c>
      <c r="E1860" t="inlineStr">
        <is>
          <t>KROKOM</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18980-2025</t>
        </is>
      </c>
      <c r="B1861" s="1" t="n">
        <v>45764</v>
      </c>
      <c r="C1861" s="1" t="n">
        <v>45840</v>
      </c>
      <c r="D1861" t="inlineStr">
        <is>
          <t>JÄMTLANDS LÄN</t>
        </is>
      </c>
      <c r="E1861" t="inlineStr">
        <is>
          <t>KROKOM</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18942-2025</t>
        </is>
      </c>
      <c r="B1862" s="1" t="n">
        <v>45764</v>
      </c>
      <c r="C1862" s="1" t="n">
        <v>45840</v>
      </c>
      <c r="D1862" t="inlineStr">
        <is>
          <t>JÄMTLANDS LÄN</t>
        </is>
      </c>
      <c r="E1862" t="inlineStr">
        <is>
          <t>KROKOM</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19634-2025</t>
        </is>
      </c>
      <c r="B1863" s="1" t="n">
        <v>45770</v>
      </c>
      <c r="C1863" s="1" t="n">
        <v>45840</v>
      </c>
      <c r="D1863" t="inlineStr">
        <is>
          <t>JÄMTLANDS LÄN</t>
        </is>
      </c>
      <c r="E1863" t="inlineStr">
        <is>
          <t>KROKOM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20210-2025</t>
        </is>
      </c>
      <c r="B1864" s="1" t="n">
        <v>45772</v>
      </c>
      <c r="C1864" s="1" t="n">
        <v>45840</v>
      </c>
      <c r="D1864" t="inlineStr">
        <is>
          <t>JÄMTLANDS LÄN</t>
        </is>
      </c>
      <c r="E1864" t="inlineStr">
        <is>
          <t>KROKOM</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20174-2025</t>
        </is>
      </c>
      <c r="B1865" s="1" t="n">
        <v>45772</v>
      </c>
      <c r="C1865" s="1" t="n">
        <v>45840</v>
      </c>
      <c r="D1865" t="inlineStr">
        <is>
          <t>JÄMTLANDS LÄN</t>
        </is>
      </c>
      <c r="E1865" t="inlineStr">
        <is>
          <t>KROKOM</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20181-2025</t>
        </is>
      </c>
      <c r="B1866" s="1" t="n">
        <v>45772</v>
      </c>
      <c r="C1866" s="1" t="n">
        <v>45840</v>
      </c>
      <c r="D1866" t="inlineStr">
        <is>
          <t>JÄMTLANDS LÄN</t>
        </is>
      </c>
      <c r="E1866" t="inlineStr">
        <is>
          <t>KROKOM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20798-2025</t>
        </is>
      </c>
      <c r="B1867" s="1" t="n">
        <v>45776</v>
      </c>
      <c r="C1867" s="1" t="n">
        <v>45840</v>
      </c>
      <c r="D1867" t="inlineStr">
        <is>
          <t>JÄMTLANDS LÄN</t>
        </is>
      </c>
      <c r="E1867" t="inlineStr">
        <is>
          <t>KROKOM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21027-2025</t>
        </is>
      </c>
      <c r="B1868" s="1" t="n">
        <v>45777</v>
      </c>
      <c r="C1868" s="1" t="n">
        <v>45840</v>
      </c>
      <c r="D1868" t="inlineStr">
        <is>
          <t>JÄMTLANDS LÄN</t>
        </is>
      </c>
      <c r="E1868" t="inlineStr">
        <is>
          <t>KROKOM</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21153-2025</t>
        </is>
      </c>
      <c r="B1869" s="1" t="n">
        <v>45777</v>
      </c>
      <c r="C1869" s="1" t="n">
        <v>45840</v>
      </c>
      <c r="D1869" t="inlineStr">
        <is>
          <t>JÄMTLANDS LÄN</t>
        </is>
      </c>
      <c r="E1869" t="inlineStr">
        <is>
          <t>KROKOM</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21061-2025</t>
        </is>
      </c>
      <c r="B1870" s="1" t="n">
        <v>45777</v>
      </c>
      <c r="C1870" s="1" t="n">
        <v>45840</v>
      </c>
      <c r="D1870" t="inlineStr">
        <is>
          <t>JÄMTLANDS LÄN</t>
        </is>
      </c>
      <c r="E1870" t="inlineStr">
        <is>
          <t>KROKOM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21029-2025</t>
        </is>
      </c>
      <c r="B1871" s="1" t="n">
        <v>45777</v>
      </c>
      <c r="C1871" s="1" t="n">
        <v>45840</v>
      </c>
      <c r="D1871" t="inlineStr">
        <is>
          <t>JÄMTLANDS LÄN</t>
        </is>
      </c>
      <c r="E1871" t="inlineStr">
        <is>
          <t>KROKOM</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21240-2025</t>
        </is>
      </c>
      <c r="B1872" s="1" t="n">
        <v>45779</v>
      </c>
      <c r="C1872" s="1" t="n">
        <v>45840</v>
      </c>
      <c r="D1872" t="inlineStr">
        <is>
          <t>JÄMTLANDS LÄN</t>
        </is>
      </c>
      <c r="E1872" t="inlineStr">
        <is>
          <t>KROKOM</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21254-2025</t>
        </is>
      </c>
      <c r="B1873" s="1" t="n">
        <v>45779</v>
      </c>
      <c r="C1873" s="1" t="n">
        <v>45840</v>
      </c>
      <c r="D1873" t="inlineStr">
        <is>
          <t>JÄMTLANDS LÄN</t>
        </is>
      </c>
      <c r="E1873" t="inlineStr">
        <is>
          <t>KROKOM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21276-2025</t>
        </is>
      </c>
      <c r="B1874" s="1" t="n">
        <v>45779</v>
      </c>
      <c r="C1874" s="1" t="n">
        <v>45840</v>
      </c>
      <c r="D1874" t="inlineStr">
        <is>
          <t>JÄMTLANDS LÄN</t>
        </is>
      </c>
      <c r="E1874" t="inlineStr">
        <is>
          <t>KROKOM</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21239-2025</t>
        </is>
      </c>
      <c r="B1875" s="1" t="n">
        <v>45779</v>
      </c>
      <c r="C1875" s="1" t="n">
        <v>45840</v>
      </c>
      <c r="D1875" t="inlineStr">
        <is>
          <t>JÄMTLANDS LÄN</t>
        </is>
      </c>
      <c r="E1875" t="inlineStr">
        <is>
          <t>KROKOM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21280-2025</t>
        </is>
      </c>
      <c r="B1876" s="1" t="n">
        <v>45779</v>
      </c>
      <c r="C1876" s="1" t="n">
        <v>45840</v>
      </c>
      <c r="D1876" t="inlineStr">
        <is>
          <t>JÄMTLANDS LÄN</t>
        </is>
      </c>
      <c r="E1876" t="inlineStr">
        <is>
          <t>KROKOM</t>
        </is>
      </c>
      <c r="G1876" t="n">
        <v>30.9</v>
      </c>
      <c r="H1876" t="n">
        <v>0</v>
      </c>
      <c r="I1876" t="n">
        <v>0</v>
      </c>
      <c r="J1876" t="n">
        <v>0</v>
      </c>
      <c r="K1876" t="n">
        <v>0</v>
      </c>
      <c r="L1876" t="n">
        <v>0</v>
      </c>
      <c r="M1876" t="n">
        <v>0</v>
      </c>
      <c r="N1876" t="n">
        <v>0</v>
      </c>
      <c r="O1876" t="n">
        <v>0</v>
      </c>
      <c r="P1876" t="n">
        <v>0</v>
      </c>
      <c r="Q1876" t="n">
        <v>0</v>
      </c>
      <c r="R1876" s="2" t="inlineStr"/>
    </row>
    <row r="1877" ht="15" customHeight="1">
      <c r="A1877" t="inlineStr">
        <is>
          <t>A 21284-2025</t>
        </is>
      </c>
      <c r="B1877" s="1" t="n">
        <v>45779</v>
      </c>
      <c r="C1877" s="1" t="n">
        <v>45840</v>
      </c>
      <c r="D1877" t="inlineStr">
        <is>
          <t>JÄMTLANDS LÄN</t>
        </is>
      </c>
      <c r="E1877" t="inlineStr">
        <is>
          <t>KROKOM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21172-2025</t>
        </is>
      </c>
      <c r="B1878" s="1" t="n">
        <v>45779</v>
      </c>
      <c r="C1878" s="1" t="n">
        <v>45840</v>
      </c>
      <c r="D1878" t="inlineStr">
        <is>
          <t>JÄMTLANDS LÄN</t>
        </is>
      </c>
      <c r="E1878" t="inlineStr">
        <is>
          <t>KROKOM</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21643-2025</t>
        </is>
      </c>
      <c r="B1879" s="1" t="n">
        <v>45783</v>
      </c>
      <c r="C1879" s="1" t="n">
        <v>45840</v>
      </c>
      <c r="D1879" t="inlineStr">
        <is>
          <t>JÄMTLANDS LÄN</t>
        </is>
      </c>
      <c r="E1879" t="inlineStr">
        <is>
          <t>KROKOM</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21652-2025</t>
        </is>
      </c>
      <c r="B1880" s="1" t="n">
        <v>45783</v>
      </c>
      <c r="C1880" s="1" t="n">
        <v>45840</v>
      </c>
      <c r="D1880" t="inlineStr">
        <is>
          <t>JÄMTLANDS LÄN</t>
        </is>
      </c>
      <c r="E1880" t="inlineStr">
        <is>
          <t>KROKOM</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21663-2025</t>
        </is>
      </c>
      <c r="B1881" s="1" t="n">
        <v>45783</v>
      </c>
      <c r="C1881" s="1" t="n">
        <v>45840</v>
      </c>
      <c r="D1881" t="inlineStr">
        <is>
          <t>JÄMTLANDS LÄN</t>
        </is>
      </c>
      <c r="E1881" t="inlineStr">
        <is>
          <t>KROKOM</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21654-2025</t>
        </is>
      </c>
      <c r="B1882" s="1" t="n">
        <v>45783</v>
      </c>
      <c r="C1882" s="1" t="n">
        <v>45840</v>
      </c>
      <c r="D1882" t="inlineStr">
        <is>
          <t>JÄMTLANDS LÄN</t>
        </is>
      </c>
      <c r="E1882" t="inlineStr">
        <is>
          <t>KROKOM</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21617-2025</t>
        </is>
      </c>
      <c r="B1883" s="1" t="n">
        <v>45783</v>
      </c>
      <c r="C1883" s="1" t="n">
        <v>45840</v>
      </c>
      <c r="D1883" t="inlineStr">
        <is>
          <t>JÄMTLANDS LÄN</t>
        </is>
      </c>
      <c r="E1883" t="inlineStr">
        <is>
          <t>KROKOM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22254-2025</t>
        </is>
      </c>
      <c r="B1884" s="1" t="n">
        <v>45785</v>
      </c>
      <c r="C1884" s="1" t="n">
        <v>45840</v>
      </c>
      <c r="D1884" t="inlineStr">
        <is>
          <t>JÄMTLANDS LÄN</t>
        </is>
      </c>
      <c r="E1884" t="inlineStr">
        <is>
          <t>KROKOM</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22115-2025</t>
        </is>
      </c>
      <c r="B1885" s="1" t="n">
        <v>45785</v>
      </c>
      <c r="C1885" s="1" t="n">
        <v>45840</v>
      </c>
      <c r="D1885" t="inlineStr">
        <is>
          <t>JÄMTLANDS LÄN</t>
        </is>
      </c>
      <c r="E1885" t="inlineStr">
        <is>
          <t>KROKOM</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22122-2025</t>
        </is>
      </c>
      <c r="B1886" s="1" t="n">
        <v>45785</v>
      </c>
      <c r="C1886" s="1" t="n">
        <v>45840</v>
      </c>
      <c r="D1886" t="inlineStr">
        <is>
          <t>JÄMTLANDS LÄN</t>
        </is>
      </c>
      <c r="E1886" t="inlineStr">
        <is>
          <t>KROKOM</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22132-2025</t>
        </is>
      </c>
      <c r="B1887" s="1" t="n">
        <v>45785</v>
      </c>
      <c r="C1887" s="1" t="n">
        <v>45840</v>
      </c>
      <c r="D1887" t="inlineStr">
        <is>
          <t>JÄMTLANDS LÄN</t>
        </is>
      </c>
      <c r="E1887" t="inlineStr">
        <is>
          <t>KROKOM</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22236-2025</t>
        </is>
      </c>
      <c r="B1888" s="1" t="n">
        <v>45785</v>
      </c>
      <c r="C1888" s="1" t="n">
        <v>45840</v>
      </c>
      <c r="D1888" t="inlineStr">
        <is>
          <t>JÄMTLANDS LÄN</t>
        </is>
      </c>
      <c r="E1888" t="inlineStr">
        <is>
          <t>KROKOM</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22136-2025</t>
        </is>
      </c>
      <c r="B1889" s="1" t="n">
        <v>45785</v>
      </c>
      <c r="C1889" s="1" t="n">
        <v>45840</v>
      </c>
      <c r="D1889" t="inlineStr">
        <is>
          <t>JÄMTLANDS LÄN</t>
        </is>
      </c>
      <c r="E1889" t="inlineStr">
        <is>
          <t>KROKOM</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22499-2025</t>
        </is>
      </c>
      <c r="B1890" s="1" t="n">
        <v>45786</v>
      </c>
      <c r="C1890" s="1" t="n">
        <v>45840</v>
      </c>
      <c r="D1890" t="inlineStr">
        <is>
          <t>JÄMTLANDS LÄN</t>
        </is>
      </c>
      <c r="E1890" t="inlineStr">
        <is>
          <t>KROKOM</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22506-2025</t>
        </is>
      </c>
      <c r="B1891" s="1" t="n">
        <v>45786</v>
      </c>
      <c r="C1891" s="1" t="n">
        <v>45840</v>
      </c>
      <c r="D1891" t="inlineStr">
        <is>
          <t>JÄMTLANDS LÄN</t>
        </is>
      </c>
      <c r="E1891" t="inlineStr">
        <is>
          <t>KROKOM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22297-2025</t>
        </is>
      </c>
      <c r="B1892" s="1" t="n">
        <v>45786</v>
      </c>
      <c r="C1892" s="1" t="n">
        <v>45840</v>
      </c>
      <c r="D1892" t="inlineStr">
        <is>
          <t>JÄMTLANDS LÄN</t>
        </is>
      </c>
      <c r="E1892" t="inlineStr">
        <is>
          <t>KROKOM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22503-2025</t>
        </is>
      </c>
      <c r="B1893" s="1" t="n">
        <v>45786</v>
      </c>
      <c r="C1893" s="1" t="n">
        <v>45840</v>
      </c>
      <c r="D1893" t="inlineStr">
        <is>
          <t>JÄMTLANDS LÄN</t>
        </is>
      </c>
      <c r="E1893" t="inlineStr">
        <is>
          <t>KROKOM</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22490-2025</t>
        </is>
      </c>
      <c r="B1894" s="1" t="n">
        <v>45786</v>
      </c>
      <c r="C1894" s="1" t="n">
        <v>45840</v>
      </c>
      <c r="D1894" t="inlineStr">
        <is>
          <t>JÄMTLANDS LÄN</t>
        </is>
      </c>
      <c r="E1894" t="inlineStr">
        <is>
          <t>KROKOM</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22493-2025</t>
        </is>
      </c>
      <c r="B1895" s="1" t="n">
        <v>45786</v>
      </c>
      <c r="C1895" s="1" t="n">
        <v>45840</v>
      </c>
      <c r="D1895" t="inlineStr">
        <is>
          <t>JÄMTLANDS LÄN</t>
        </is>
      </c>
      <c r="E1895" t="inlineStr">
        <is>
          <t>KROKOM</t>
        </is>
      </c>
      <c r="F1895" t="inlineStr">
        <is>
          <t>Övriga Aktiebolag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22681-2025</t>
        </is>
      </c>
      <c r="B1896" s="1" t="n">
        <v>45786</v>
      </c>
      <c r="C1896" s="1" t="n">
        <v>45840</v>
      </c>
      <c r="D1896" t="inlineStr">
        <is>
          <t>JÄMTLANDS LÄN</t>
        </is>
      </c>
      <c r="E1896" t="inlineStr">
        <is>
          <t>KROKOM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22304-2025</t>
        </is>
      </c>
      <c r="B1897" s="1" t="n">
        <v>45786</v>
      </c>
      <c r="C1897" s="1" t="n">
        <v>45840</v>
      </c>
      <c r="D1897" t="inlineStr">
        <is>
          <t>JÄMTLANDS LÄN</t>
        </is>
      </c>
      <c r="E1897" t="inlineStr">
        <is>
          <t>KROKOM</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22731-2025</t>
        </is>
      </c>
      <c r="B1898" s="1" t="n">
        <v>45789</v>
      </c>
      <c r="C1898" s="1" t="n">
        <v>45840</v>
      </c>
      <c r="D1898" t="inlineStr">
        <is>
          <t>JÄMTLANDS LÄN</t>
        </is>
      </c>
      <c r="E1898" t="inlineStr">
        <is>
          <t>KROKOM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22751-2025</t>
        </is>
      </c>
      <c r="B1899" s="1" t="n">
        <v>45789</v>
      </c>
      <c r="C1899" s="1" t="n">
        <v>45840</v>
      </c>
      <c r="D1899" t="inlineStr">
        <is>
          <t>JÄMTLANDS LÄN</t>
        </is>
      </c>
      <c r="E1899" t="inlineStr">
        <is>
          <t>KROKOM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23046-2025</t>
        </is>
      </c>
      <c r="B1900" s="1" t="n">
        <v>45790</v>
      </c>
      <c r="C1900" s="1" t="n">
        <v>45840</v>
      </c>
      <c r="D1900" t="inlineStr">
        <is>
          <t>JÄMTLANDS LÄN</t>
        </is>
      </c>
      <c r="E1900" t="inlineStr">
        <is>
          <t>KROKOM</t>
        </is>
      </c>
      <c r="F1900" t="inlineStr">
        <is>
          <t>Övriga Aktiebolag</t>
        </is>
      </c>
      <c r="G1900" t="n">
        <v>29.2</v>
      </c>
      <c r="H1900" t="n">
        <v>0</v>
      </c>
      <c r="I1900" t="n">
        <v>0</v>
      </c>
      <c r="J1900" t="n">
        <v>0</v>
      </c>
      <c r="K1900" t="n">
        <v>0</v>
      </c>
      <c r="L1900" t="n">
        <v>0</v>
      </c>
      <c r="M1900" t="n">
        <v>0</v>
      </c>
      <c r="N1900" t="n">
        <v>0</v>
      </c>
      <c r="O1900" t="n">
        <v>0</v>
      </c>
      <c r="P1900" t="n">
        <v>0</v>
      </c>
      <c r="Q1900" t="n">
        <v>0</v>
      </c>
      <c r="R1900" s="2" t="inlineStr"/>
    </row>
    <row r="1901" ht="15" customHeight="1">
      <c r="A1901" t="inlineStr">
        <is>
          <t>A 23083-2025</t>
        </is>
      </c>
      <c r="B1901" s="1" t="n">
        <v>45791</v>
      </c>
      <c r="C1901" s="1" t="n">
        <v>45840</v>
      </c>
      <c r="D1901" t="inlineStr">
        <is>
          <t>JÄMTLANDS LÄN</t>
        </is>
      </c>
      <c r="E1901" t="inlineStr">
        <is>
          <t>KROKOM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23080-2025</t>
        </is>
      </c>
      <c r="B1902" s="1" t="n">
        <v>45791</v>
      </c>
      <c r="C1902" s="1" t="n">
        <v>45840</v>
      </c>
      <c r="D1902" t="inlineStr">
        <is>
          <t>JÄMTLANDS LÄN</t>
        </is>
      </c>
      <c r="E1902" t="inlineStr">
        <is>
          <t>KROKOM</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23288-2025</t>
        </is>
      </c>
      <c r="B1903" s="1" t="n">
        <v>45791</v>
      </c>
      <c r="C1903" s="1" t="n">
        <v>45840</v>
      </c>
      <c r="D1903" t="inlineStr">
        <is>
          <t>JÄMTLANDS LÄN</t>
        </is>
      </c>
      <c r="E1903" t="inlineStr">
        <is>
          <t>KROKOM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23751-2025</t>
        </is>
      </c>
      <c r="B1904" s="1" t="n">
        <v>45793</v>
      </c>
      <c r="C1904" s="1" t="n">
        <v>45840</v>
      </c>
      <c r="D1904" t="inlineStr">
        <is>
          <t>JÄMTLANDS LÄN</t>
        </is>
      </c>
      <c r="E1904" t="inlineStr">
        <is>
          <t>KROKOM</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24062-2025</t>
        </is>
      </c>
      <c r="B1905" s="1" t="n">
        <v>45796</v>
      </c>
      <c r="C1905" s="1" t="n">
        <v>45840</v>
      </c>
      <c r="D1905" t="inlineStr">
        <is>
          <t>JÄMTLANDS LÄN</t>
        </is>
      </c>
      <c r="E1905" t="inlineStr">
        <is>
          <t>KROKOM</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24103-2025</t>
        </is>
      </c>
      <c r="B1906" s="1" t="n">
        <v>45796</v>
      </c>
      <c r="C1906" s="1" t="n">
        <v>45840</v>
      </c>
      <c r="D1906" t="inlineStr">
        <is>
          <t>JÄMTLANDS LÄN</t>
        </is>
      </c>
      <c r="E1906" t="inlineStr">
        <is>
          <t>KROKOM</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24649-2025</t>
        </is>
      </c>
      <c r="B1907" s="1" t="n">
        <v>45798</v>
      </c>
      <c r="C1907" s="1" t="n">
        <v>45840</v>
      </c>
      <c r="D1907" t="inlineStr">
        <is>
          <t>JÄMTLANDS LÄN</t>
        </is>
      </c>
      <c r="E1907" t="inlineStr">
        <is>
          <t>KROKOM</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24648-2025</t>
        </is>
      </c>
      <c r="B1908" s="1" t="n">
        <v>45798</v>
      </c>
      <c r="C1908" s="1" t="n">
        <v>45840</v>
      </c>
      <c r="D1908" t="inlineStr">
        <is>
          <t>JÄMTLANDS LÄN</t>
        </is>
      </c>
      <c r="E1908" t="inlineStr">
        <is>
          <t>KROKOM</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25119-2025</t>
        </is>
      </c>
      <c r="B1909" s="1" t="n">
        <v>45800</v>
      </c>
      <c r="C1909" s="1" t="n">
        <v>45840</v>
      </c>
      <c r="D1909" t="inlineStr">
        <is>
          <t>JÄMTLANDS LÄN</t>
        </is>
      </c>
      <c r="E1909" t="inlineStr">
        <is>
          <t>KROKOM</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25268-2025</t>
        </is>
      </c>
      <c r="B1910" s="1" t="n">
        <v>45800</v>
      </c>
      <c r="C1910" s="1" t="n">
        <v>45840</v>
      </c>
      <c r="D1910" t="inlineStr">
        <is>
          <t>JÄMTLANDS LÄN</t>
        </is>
      </c>
      <c r="E1910" t="inlineStr">
        <is>
          <t>KROKOM</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25302-2025</t>
        </is>
      </c>
      <c r="B1911" s="1" t="n">
        <v>45800</v>
      </c>
      <c r="C1911" s="1" t="n">
        <v>45840</v>
      </c>
      <c r="D1911" t="inlineStr">
        <is>
          <t>JÄMTLANDS LÄN</t>
        </is>
      </c>
      <c r="E1911" t="inlineStr">
        <is>
          <t>KROKOM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25312-2025</t>
        </is>
      </c>
      <c r="B1912" s="1" t="n">
        <v>45800</v>
      </c>
      <c r="C1912" s="1" t="n">
        <v>45840</v>
      </c>
      <c r="D1912" t="inlineStr">
        <is>
          <t>JÄMTLANDS LÄN</t>
        </is>
      </c>
      <c r="E1912" t="inlineStr">
        <is>
          <t>KROKOM</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25681-2025</t>
        </is>
      </c>
      <c r="B1913" s="1" t="n">
        <v>45800</v>
      </c>
      <c r="C1913" s="1" t="n">
        <v>45840</v>
      </c>
      <c r="D1913" t="inlineStr">
        <is>
          <t>JÄMTLANDS LÄN</t>
        </is>
      </c>
      <c r="E1913" t="inlineStr">
        <is>
          <t>KROKOM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25398-2025</t>
        </is>
      </c>
      <c r="B1914" s="1" t="n">
        <v>45800</v>
      </c>
      <c r="C1914" s="1" t="n">
        <v>45840</v>
      </c>
      <c r="D1914" t="inlineStr">
        <is>
          <t>JÄMTLANDS LÄN</t>
        </is>
      </c>
      <c r="E1914" t="inlineStr">
        <is>
          <t>KROKOM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25295-2025</t>
        </is>
      </c>
      <c r="B1915" s="1" t="n">
        <v>45800</v>
      </c>
      <c r="C1915" s="1" t="n">
        <v>45840</v>
      </c>
      <c r="D1915" t="inlineStr">
        <is>
          <t>JÄMTLANDS LÄN</t>
        </is>
      </c>
      <c r="E1915" t="inlineStr">
        <is>
          <t>KROKOM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25386-2025</t>
        </is>
      </c>
      <c r="B1916" s="1" t="n">
        <v>45800</v>
      </c>
      <c r="C1916" s="1" t="n">
        <v>45840</v>
      </c>
      <c r="D1916" t="inlineStr">
        <is>
          <t>JÄMTLANDS LÄN</t>
        </is>
      </c>
      <c r="E1916" t="inlineStr">
        <is>
          <t>KROKOM</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25710-2025</t>
        </is>
      </c>
      <c r="B1917" s="1" t="n">
        <v>45803</v>
      </c>
      <c r="C1917" s="1" t="n">
        <v>45840</v>
      </c>
      <c r="D1917" t="inlineStr">
        <is>
          <t>JÄMTLANDS LÄN</t>
        </is>
      </c>
      <c r="E1917" t="inlineStr">
        <is>
          <t>KROKOM</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25582-2025</t>
        </is>
      </c>
      <c r="B1918" s="1" t="n">
        <v>45803</v>
      </c>
      <c r="C1918" s="1" t="n">
        <v>45840</v>
      </c>
      <c r="D1918" t="inlineStr">
        <is>
          <t>JÄMTLANDS LÄN</t>
        </is>
      </c>
      <c r="E1918" t="inlineStr">
        <is>
          <t>KROKOM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25715-2025</t>
        </is>
      </c>
      <c r="B1919" s="1" t="n">
        <v>45803</v>
      </c>
      <c r="C1919" s="1" t="n">
        <v>45840</v>
      </c>
      <c r="D1919" t="inlineStr">
        <is>
          <t>JÄMTLANDS LÄN</t>
        </is>
      </c>
      <c r="E1919" t="inlineStr">
        <is>
          <t>KROKOM</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26212-2025</t>
        </is>
      </c>
      <c r="B1920" s="1" t="n">
        <v>45805</v>
      </c>
      <c r="C1920" s="1" t="n">
        <v>45840</v>
      </c>
      <c r="D1920" t="inlineStr">
        <is>
          <t>JÄMTLANDS LÄN</t>
        </is>
      </c>
      <c r="E1920" t="inlineStr">
        <is>
          <t>KROKOM</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26272-2025</t>
        </is>
      </c>
      <c r="B1921" s="1" t="n">
        <v>45805</v>
      </c>
      <c r="C1921" s="1" t="n">
        <v>45840</v>
      </c>
      <c r="D1921" t="inlineStr">
        <is>
          <t>JÄMTLANDS LÄN</t>
        </is>
      </c>
      <c r="E1921" t="inlineStr">
        <is>
          <t>KROKOM</t>
        </is>
      </c>
      <c r="G1921" t="n">
        <v>22.4</v>
      </c>
      <c r="H1921" t="n">
        <v>0</v>
      </c>
      <c r="I1921" t="n">
        <v>0</v>
      </c>
      <c r="J1921" t="n">
        <v>0</v>
      </c>
      <c r="K1921" t="n">
        <v>0</v>
      </c>
      <c r="L1921" t="n">
        <v>0</v>
      </c>
      <c r="M1921" t="n">
        <v>0</v>
      </c>
      <c r="N1921" t="n">
        <v>0</v>
      </c>
      <c r="O1921" t="n">
        <v>0</v>
      </c>
      <c r="P1921" t="n">
        <v>0</v>
      </c>
      <c r="Q1921" t="n">
        <v>0</v>
      </c>
      <c r="R1921" s="2" t="inlineStr"/>
    </row>
    <row r="1922" ht="15" customHeight="1">
      <c r="A1922" t="inlineStr">
        <is>
          <t>A 26182-2025</t>
        </is>
      </c>
      <c r="B1922" s="1" t="n">
        <v>45805</v>
      </c>
      <c r="C1922" s="1" t="n">
        <v>45840</v>
      </c>
      <c r="D1922" t="inlineStr">
        <is>
          <t>JÄMTLANDS LÄN</t>
        </is>
      </c>
      <c r="E1922" t="inlineStr">
        <is>
          <t>KROKOM</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26544-2025</t>
        </is>
      </c>
      <c r="B1923" s="1" t="n">
        <v>45807</v>
      </c>
      <c r="C1923" s="1" t="n">
        <v>45840</v>
      </c>
      <c r="D1923" t="inlineStr">
        <is>
          <t>JÄMTLANDS LÄN</t>
        </is>
      </c>
      <c r="E1923" t="inlineStr">
        <is>
          <t>KROKOM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26527-2025</t>
        </is>
      </c>
      <c r="B1924" s="1" t="n">
        <v>45807</v>
      </c>
      <c r="C1924" s="1" t="n">
        <v>45840</v>
      </c>
      <c r="D1924" t="inlineStr">
        <is>
          <t>JÄMTLANDS LÄN</t>
        </is>
      </c>
      <c r="E1924" t="inlineStr">
        <is>
          <t>KROKOM</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26621-2025</t>
        </is>
      </c>
      <c r="B1925" s="1" t="n">
        <v>45810</v>
      </c>
      <c r="C1925" s="1" t="n">
        <v>45840</v>
      </c>
      <c r="D1925" t="inlineStr">
        <is>
          <t>JÄMTLANDS LÄN</t>
        </is>
      </c>
      <c r="E1925" t="inlineStr">
        <is>
          <t>KROKOM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26619-2025</t>
        </is>
      </c>
      <c r="B1926" s="1" t="n">
        <v>45810</v>
      </c>
      <c r="C1926" s="1" t="n">
        <v>45840</v>
      </c>
      <c r="D1926" t="inlineStr">
        <is>
          <t>JÄMTLANDS LÄN</t>
        </is>
      </c>
      <c r="E1926" t="inlineStr">
        <is>
          <t>KROKOM</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27097-2025</t>
        </is>
      </c>
      <c r="B1927" s="1" t="n">
        <v>45811</v>
      </c>
      <c r="C1927" s="1" t="n">
        <v>45840</v>
      </c>
      <c r="D1927" t="inlineStr">
        <is>
          <t>JÄMTLANDS LÄN</t>
        </is>
      </c>
      <c r="E1927" t="inlineStr">
        <is>
          <t>KROKOM</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27104-2025</t>
        </is>
      </c>
      <c r="B1928" s="1" t="n">
        <v>45811</v>
      </c>
      <c r="C1928" s="1" t="n">
        <v>45840</v>
      </c>
      <c r="D1928" t="inlineStr">
        <is>
          <t>JÄMTLANDS LÄN</t>
        </is>
      </c>
      <c r="E1928" t="inlineStr">
        <is>
          <t>KROKOM</t>
        </is>
      </c>
      <c r="G1928" t="n">
        <v>14.4</v>
      </c>
      <c r="H1928" t="n">
        <v>0</v>
      </c>
      <c r="I1928" t="n">
        <v>0</v>
      </c>
      <c r="J1928" t="n">
        <v>0</v>
      </c>
      <c r="K1928" t="n">
        <v>0</v>
      </c>
      <c r="L1928" t="n">
        <v>0</v>
      </c>
      <c r="M1928" t="n">
        <v>0</v>
      </c>
      <c r="N1928" t="n">
        <v>0</v>
      </c>
      <c r="O1928" t="n">
        <v>0</v>
      </c>
      <c r="P1928" t="n">
        <v>0</v>
      </c>
      <c r="Q1928" t="n">
        <v>0</v>
      </c>
      <c r="R1928" s="2" t="inlineStr"/>
    </row>
    <row r="1929" ht="15" customHeight="1">
      <c r="A1929" t="inlineStr">
        <is>
          <t>A 27003-2025</t>
        </is>
      </c>
      <c r="B1929" s="1" t="n">
        <v>45811</v>
      </c>
      <c r="C1929" s="1" t="n">
        <v>45840</v>
      </c>
      <c r="D1929" t="inlineStr">
        <is>
          <t>JÄMTLANDS LÄN</t>
        </is>
      </c>
      <c r="E1929" t="inlineStr">
        <is>
          <t>KROKOM</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27153-2025</t>
        </is>
      </c>
      <c r="B1930" s="1" t="n">
        <v>45812</v>
      </c>
      <c r="C1930" s="1" t="n">
        <v>45840</v>
      </c>
      <c r="D1930" t="inlineStr">
        <is>
          <t>JÄMTLANDS LÄN</t>
        </is>
      </c>
      <c r="E1930" t="inlineStr">
        <is>
          <t>KROKOM</t>
        </is>
      </c>
      <c r="G1930" t="n">
        <v>15.8</v>
      </c>
      <c r="H1930" t="n">
        <v>0</v>
      </c>
      <c r="I1930" t="n">
        <v>0</v>
      </c>
      <c r="J1930" t="n">
        <v>0</v>
      </c>
      <c r="K1930" t="n">
        <v>0</v>
      </c>
      <c r="L1930" t="n">
        <v>0</v>
      </c>
      <c r="M1930" t="n">
        <v>0</v>
      </c>
      <c r="N1930" t="n">
        <v>0</v>
      </c>
      <c r="O1930" t="n">
        <v>0</v>
      </c>
      <c r="P1930" t="n">
        <v>0</v>
      </c>
      <c r="Q1930" t="n">
        <v>0</v>
      </c>
      <c r="R1930" s="2" t="inlineStr"/>
    </row>
    <row r="1931" ht="15" customHeight="1">
      <c r="A1931" t="inlineStr">
        <is>
          <t>A 27363-2025</t>
        </is>
      </c>
      <c r="B1931" s="1" t="n">
        <v>45812</v>
      </c>
      <c r="C1931" s="1" t="n">
        <v>45840</v>
      </c>
      <c r="D1931" t="inlineStr">
        <is>
          <t>JÄMTLANDS LÄN</t>
        </is>
      </c>
      <c r="E1931" t="inlineStr">
        <is>
          <t>KROKOM</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27703-2025</t>
        </is>
      </c>
      <c r="B1932" s="1" t="n">
        <v>45813</v>
      </c>
      <c r="C1932" s="1" t="n">
        <v>45840</v>
      </c>
      <c r="D1932" t="inlineStr">
        <is>
          <t>JÄMTLANDS LÄN</t>
        </is>
      </c>
      <c r="E1932" t="inlineStr">
        <is>
          <t>KROKOM</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27522-2025</t>
        </is>
      </c>
      <c r="B1933" s="1" t="n">
        <v>45813</v>
      </c>
      <c r="C1933" s="1" t="n">
        <v>45840</v>
      </c>
      <c r="D1933" t="inlineStr">
        <is>
          <t>JÄMTLANDS LÄN</t>
        </is>
      </c>
      <c r="E1933" t="inlineStr">
        <is>
          <t>KROKOM</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27547-2025</t>
        </is>
      </c>
      <c r="B1934" s="1" t="n">
        <v>45813</v>
      </c>
      <c r="C1934" s="1" t="n">
        <v>45840</v>
      </c>
      <c r="D1934" t="inlineStr">
        <is>
          <t>JÄMTLANDS LÄN</t>
        </is>
      </c>
      <c r="E1934" t="inlineStr">
        <is>
          <t>KROKOM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27833-2025</t>
        </is>
      </c>
      <c r="B1935" s="1" t="n">
        <v>45814</v>
      </c>
      <c r="C1935" s="1" t="n">
        <v>45840</v>
      </c>
      <c r="D1935" t="inlineStr">
        <is>
          <t>JÄMTLANDS LÄN</t>
        </is>
      </c>
      <c r="E1935" t="inlineStr">
        <is>
          <t>KROKOM</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27851-2025</t>
        </is>
      </c>
      <c r="B1936" s="1" t="n">
        <v>45814</v>
      </c>
      <c r="C1936" s="1" t="n">
        <v>45840</v>
      </c>
      <c r="D1936" t="inlineStr">
        <is>
          <t>JÄMTLANDS LÄN</t>
        </is>
      </c>
      <c r="E1936" t="inlineStr">
        <is>
          <t>KROKOM</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27740-2025</t>
        </is>
      </c>
      <c r="B1937" s="1" t="n">
        <v>45815</v>
      </c>
      <c r="C1937" s="1" t="n">
        <v>45840</v>
      </c>
      <c r="D1937" t="inlineStr">
        <is>
          <t>JÄMTLANDS LÄN</t>
        </is>
      </c>
      <c r="E1937" t="inlineStr">
        <is>
          <t>KROKOM</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27973-2025</t>
        </is>
      </c>
      <c r="B1938" s="1" t="n">
        <v>45817</v>
      </c>
      <c r="C1938" s="1" t="n">
        <v>45840</v>
      </c>
      <c r="D1938" t="inlineStr">
        <is>
          <t>JÄMTLANDS LÄN</t>
        </is>
      </c>
      <c r="E1938" t="inlineStr">
        <is>
          <t>KROKOM</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28136-2025</t>
        </is>
      </c>
      <c r="B1939" s="1" t="n">
        <v>45818</v>
      </c>
      <c r="C1939" s="1" t="n">
        <v>45840</v>
      </c>
      <c r="D1939" t="inlineStr">
        <is>
          <t>JÄMTLANDS LÄN</t>
        </is>
      </c>
      <c r="E1939" t="inlineStr">
        <is>
          <t>KROKOM</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28137-2025</t>
        </is>
      </c>
      <c r="B1940" s="1" t="n">
        <v>45818</v>
      </c>
      <c r="C1940" s="1" t="n">
        <v>45840</v>
      </c>
      <c r="D1940" t="inlineStr">
        <is>
          <t>JÄMTLANDS LÄN</t>
        </is>
      </c>
      <c r="E1940" t="inlineStr">
        <is>
          <t>KROKOM</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28147-2025</t>
        </is>
      </c>
      <c r="B1941" s="1" t="n">
        <v>45818</v>
      </c>
      <c r="C1941" s="1" t="n">
        <v>45840</v>
      </c>
      <c r="D1941" t="inlineStr">
        <is>
          <t>JÄMTLANDS LÄN</t>
        </is>
      </c>
      <c r="E1941" t="inlineStr">
        <is>
          <t>KROKOM</t>
        </is>
      </c>
      <c r="F1941" t="inlineStr">
        <is>
          <t>Kyrkan</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28130-2025</t>
        </is>
      </c>
      <c r="B1942" s="1" t="n">
        <v>45818</v>
      </c>
      <c r="C1942" s="1" t="n">
        <v>45840</v>
      </c>
      <c r="D1942" t="inlineStr">
        <is>
          <t>JÄMTLANDS LÄN</t>
        </is>
      </c>
      <c r="E1942" t="inlineStr">
        <is>
          <t>KROKOM</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28132-2025</t>
        </is>
      </c>
      <c r="B1943" s="1" t="n">
        <v>45818</v>
      </c>
      <c r="C1943" s="1" t="n">
        <v>45840</v>
      </c>
      <c r="D1943" t="inlineStr">
        <is>
          <t>JÄMTLANDS LÄN</t>
        </is>
      </c>
      <c r="E1943" t="inlineStr">
        <is>
          <t>KROKOM</t>
        </is>
      </c>
      <c r="F1943" t="inlineStr">
        <is>
          <t>Kyrkan</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28155-2025</t>
        </is>
      </c>
      <c r="B1944" s="1" t="n">
        <v>45818</v>
      </c>
      <c r="C1944" s="1" t="n">
        <v>45840</v>
      </c>
      <c r="D1944" t="inlineStr">
        <is>
          <t>JÄMTLANDS LÄN</t>
        </is>
      </c>
      <c r="E1944" t="inlineStr">
        <is>
          <t>KROKOM</t>
        </is>
      </c>
      <c r="F1944" t="inlineStr">
        <is>
          <t>Kyrkan</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28162-2025</t>
        </is>
      </c>
      <c r="B1945" s="1" t="n">
        <v>45818</v>
      </c>
      <c r="C1945" s="1" t="n">
        <v>45840</v>
      </c>
      <c r="D1945" t="inlineStr">
        <is>
          <t>JÄMTLANDS LÄN</t>
        </is>
      </c>
      <c r="E1945" t="inlineStr">
        <is>
          <t>KROKOM</t>
        </is>
      </c>
      <c r="F1945" t="inlineStr">
        <is>
          <t>Kyrkan</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28680-2025</t>
        </is>
      </c>
      <c r="B1946" s="1" t="n">
        <v>45819</v>
      </c>
      <c r="C1946" s="1" t="n">
        <v>45840</v>
      </c>
      <c r="D1946" t="inlineStr">
        <is>
          <t>JÄMTLANDS LÄN</t>
        </is>
      </c>
      <c r="E1946" t="inlineStr">
        <is>
          <t>KROKOM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28592-2025</t>
        </is>
      </c>
      <c r="B1947" s="1" t="n">
        <v>45819</v>
      </c>
      <c r="C1947" s="1" t="n">
        <v>45840</v>
      </c>
      <c r="D1947" t="inlineStr">
        <is>
          <t>JÄMTLANDS LÄN</t>
        </is>
      </c>
      <c r="E1947" t="inlineStr">
        <is>
          <t>KROKOM</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28843-2025</t>
        </is>
      </c>
      <c r="B1948" s="1" t="n">
        <v>45820</v>
      </c>
      <c r="C1948" s="1" t="n">
        <v>45840</v>
      </c>
      <c r="D1948" t="inlineStr">
        <is>
          <t>JÄMTLANDS LÄN</t>
        </is>
      </c>
      <c r="E1948" t="inlineStr">
        <is>
          <t>KROKOM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28727-2025</t>
        </is>
      </c>
      <c r="B1949" s="1" t="n">
        <v>45820</v>
      </c>
      <c r="C1949" s="1" t="n">
        <v>45840</v>
      </c>
      <c r="D1949" t="inlineStr">
        <is>
          <t>JÄMTLANDS LÄN</t>
        </is>
      </c>
      <c r="E1949" t="inlineStr">
        <is>
          <t>KROKOM</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28728-2025</t>
        </is>
      </c>
      <c r="B1950" s="1" t="n">
        <v>45820</v>
      </c>
      <c r="C1950" s="1" t="n">
        <v>45840</v>
      </c>
      <c r="D1950" t="inlineStr">
        <is>
          <t>JÄMTLANDS LÄN</t>
        </is>
      </c>
      <c r="E1950" t="inlineStr">
        <is>
          <t>KROKOM</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28729-2025</t>
        </is>
      </c>
      <c r="B1951" s="1" t="n">
        <v>45820</v>
      </c>
      <c r="C1951" s="1" t="n">
        <v>45840</v>
      </c>
      <c r="D1951" t="inlineStr">
        <is>
          <t>JÄMTLANDS LÄN</t>
        </is>
      </c>
      <c r="E1951" t="inlineStr">
        <is>
          <t>KROKOM</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28752-2025</t>
        </is>
      </c>
      <c r="B1952" s="1" t="n">
        <v>45820</v>
      </c>
      <c r="C1952" s="1" t="n">
        <v>45840</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28848-2025</t>
        </is>
      </c>
      <c r="B1953" s="1" t="n">
        <v>45820</v>
      </c>
      <c r="C1953" s="1" t="n">
        <v>45840</v>
      </c>
      <c r="D1953" t="inlineStr">
        <is>
          <t>JÄMTLANDS LÄN</t>
        </is>
      </c>
      <c r="E1953" t="inlineStr">
        <is>
          <t>KROKOM</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28725-2025</t>
        </is>
      </c>
      <c r="B1954" s="1" t="n">
        <v>45820</v>
      </c>
      <c r="C1954" s="1" t="n">
        <v>45840</v>
      </c>
      <c r="D1954" t="inlineStr">
        <is>
          <t>JÄMTLANDS LÄN</t>
        </is>
      </c>
      <c r="E1954" t="inlineStr">
        <is>
          <t>KROKOM</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28789-2025</t>
        </is>
      </c>
      <c r="B1955" s="1" t="n">
        <v>45820</v>
      </c>
      <c r="C1955" s="1" t="n">
        <v>45840</v>
      </c>
      <c r="D1955" t="inlineStr">
        <is>
          <t>JÄMTLANDS LÄN</t>
        </is>
      </c>
      <c r="E1955" t="inlineStr">
        <is>
          <t>KROKOM</t>
        </is>
      </c>
      <c r="F1955" t="inlineStr">
        <is>
          <t>Kyrkan</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29001-2025</t>
        </is>
      </c>
      <c r="B1956" s="1" t="n">
        <v>45821</v>
      </c>
      <c r="C1956" s="1" t="n">
        <v>45840</v>
      </c>
      <c r="D1956" t="inlineStr">
        <is>
          <t>JÄMTLANDS LÄN</t>
        </is>
      </c>
      <c r="E1956" t="inlineStr">
        <is>
          <t>KROKOM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29956-2025</t>
        </is>
      </c>
      <c r="B1957" s="1" t="n">
        <v>45826</v>
      </c>
      <c r="C1957" s="1" t="n">
        <v>45840</v>
      </c>
      <c r="D1957" t="inlineStr">
        <is>
          <t>JÄMTLANDS LÄN</t>
        </is>
      </c>
      <c r="E1957" t="inlineStr">
        <is>
          <t>KROKOM</t>
        </is>
      </c>
      <c r="F1957" t="inlineStr">
        <is>
          <t>SCA</t>
        </is>
      </c>
      <c r="G1957" t="n">
        <v>16.1</v>
      </c>
      <c r="H1957" t="n">
        <v>0</v>
      </c>
      <c r="I1957" t="n">
        <v>0</v>
      </c>
      <c r="J1957" t="n">
        <v>0</v>
      </c>
      <c r="K1957" t="n">
        <v>0</v>
      </c>
      <c r="L1957" t="n">
        <v>0</v>
      </c>
      <c r="M1957" t="n">
        <v>0</v>
      </c>
      <c r="N1957" t="n">
        <v>0</v>
      </c>
      <c r="O1957" t="n">
        <v>0</v>
      </c>
      <c r="P1957" t="n">
        <v>0</v>
      </c>
      <c r="Q1957" t="n">
        <v>0</v>
      </c>
      <c r="R1957" s="2" t="inlineStr"/>
    </row>
    <row r="1958" ht="15" customHeight="1">
      <c r="A1958" t="inlineStr">
        <is>
          <t>A 30175-2025</t>
        </is>
      </c>
      <c r="B1958" s="1" t="n">
        <v>45827</v>
      </c>
      <c r="C1958" s="1" t="n">
        <v>45840</v>
      </c>
      <c r="D1958" t="inlineStr">
        <is>
          <t>JÄMTLANDS LÄN</t>
        </is>
      </c>
      <c r="E1958" t="inlineStr">
        <is>
          <t>KROKOM</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30921-2025</t>
        </is>
      </c>
      <c r="B1959" s="1" t="n">
        <v>45832</v>
      </c>
      <c r="C1959" s="1" t="n">
        <v>45840</v>
      </c>
      <c r="D1959" t="inlineStr">
        <is>
          <t>JÄMTLANDS LÄN</t>
        </is>
      </c>
      <c r="E1959" t="inlineStr">
        <is>
          <t>KROKOM</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31026-2025</t>
        </is>
      </c>
      <c r="B1960" s="1" t="n">
        <v>45832</v>
      </c>
      <c r="C1960" s="1" t="n">
        <v>45840</v>
      </c>
      <c r="D1960" t="inlineStr">
        <is>
          <t>JÄMTLANDS LÄN</t>
        </is>
      </c>
      <c r="E1960" t="inlineStr">
        <is>
          <t>KROKOM</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45840</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45840</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45840</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31277-2025</t>
        </is>
      </c>
      <c r="B1964" s="1" t="n">
        <v>45833</v>
      </c>
      <c r="C1964" s="1" t="n">
        <v>45840</v>
      </c>
      <c r="D1964" t="inlineStr">
        <is>
          <t>JÄMTLANDS LÄN</t>
        </is>
      </c>
      <c r="E1964" t="inlineStr">
        <is>
          <t>KROKOM</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31426-2025</t>
        </is>
      </c>
      <c r="B1965" s="1" t="n">
        <v>45833</v>
      </c>
      <c r="C1965" s="1" t="n">
        <v>45840</v>
      </c>
      <c r="D1965" t="inlineStr">
        <is>
          <t>JÄMTLANDS LÄN</t>
        </is>
      </c>
      <c r="E1965" t="inlineStr">
        <is>
          <t>KROKOM</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31427-2025</t>
        </is>
      </c>
      <c r="B1966" s="1" t="n">
        <v>45833</v>
      </c>
      <c r="C1966" s="1" t="n">
        <v>45840</v>
      </c>
      <c r="D1966" t="inlineStr">
        <is>
          <t>JÄMTLANDS LÄN</t>
        </is>
      </c>
      <c r="E1966" t="inlineStr">
        <is>
          <t>KROKOM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31292-2025</t>
        </is>
      </c>
      <c r="B1967" s="1" t="n">
        <v>45833</v>
      </c>
      <c r="C1967" s="1" t="n">
        <v>45840</v>
      </c>
      <c r="D1967" t="inlineStr">
        <is>
          <t>JÄMTLANDS LÄN</t>
        </is>
      </c>
      <c r="E1967" t="inlineStr">
        <is>
          <t>KROKOM</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31291-2025</t>
        </is>
      </c>
      <c r="B1968" s="1" t="n">
        <v>45833</v>
      </c>
      <c r="C1968" s="1" t="n">
        <v>45840</v>
      </c>
      <c r="D1968" t="inlineStr">
        <is>
          <t>JÄMTLANDS LÄN</t>
        </is>
      </c>
      <c r="E1968" t="inlineStr">
        <is>
          <t>KROKOM</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31543-2025</t>
        </is>
      </c>
      <c r="B1969" s="1" t="n">
        <v>45833</v>
      </c>
      <c r="C1969" s="1" t="n">
        <v>45840</v>
      </c>
      <c r="D1969" t="inlineStr">
        <is>
          <t>JÄMTLANDS LÄN</t>
        </is>
      </c>
      <c r="E1969" t="inlineStr">
        <is>
          <t>KROKOM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31290-2025</t>
        </is>
      </c>
      <c r="B1970" s="1" t="n">
        <v>45833</v>
      </c>
      <c r="C1970" s="1" t="n">
        <v>45840</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31654-2025</t>
        </is>
      </c>
      <c r="B1971" s="1" t="n">
        <v>45834</v>
      </c>
      <c r="C1971" s="1" t="n">
        <v>45840</v>
      </c>
      <c r="D1971" t="inlineStr">
        <is>
          <t>JÄMTLANDS LÄN</t>
        </is>
      </c>
      <c r="E1971" t="inlineStr">
        <is>
          <t>KROKOM</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31655-2025</t>
        </is>
      </c>
      <c r="B1972" s="1" t="n">
        <v>45834</v>
      </c>
      <c r="C1972" s="1" t="n">
        <v>45840</v>
      </c>
      <c r="D1972" t="inlineStr">
        <is>
          <t>JÄMTLANDS LÄN</t>
        </is>
      </c>
      <c r="E1972" t="inlineStr">
        <is>
          <t>KROKOM</t>
        </is>
      </c>
      <c r="F1972" t="inlineStr">
        <is>
          <t>SCA</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31852-2025</t>
        </is>
      </c>
      <c r="B1973" s="1" t="n">
        <v>45834</v>
      </c>
      <c r="C1973" s="1" t="n">
        <v>45840</v>
      </c>
      <c r="D1973" t="inlineStr">
        <is>
          <t>JÄMTLANDS LÄN</t>
        </is>
      </c>
      <c r="E1973" t="inlineStr">
        <is>
          <t>KROKOM</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32038-2025</t>
        </is>
      </c>
      <c r="B1974" s="1" t="n">
        <v>45835</v>
      </c>
      <c r="C1974" s="1" t="n">
        <v>45840</v>
      </c>
      <c r="D1974" t="inlineStr">
        <is>
          <t>JÄMTLANDS LÄN</t>
        </is>
      </c>
      <c r="E1974" t="inlineStr">
        <is>
          <t>KROKOM</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32318-2025</t>
        </is>
      </c>
      <c r="B1975" s="1" t="n">
        <v>45836</v>
      </c>
      <c r="C1975" s="1" t="n">
        <v>45840</v>
      </c>
      <c r="D1975" t="inlineStr">
        <is>
          <t>JÄMTLANDS LÄN</t>
        </is>
      </c>
      <c r="E1975" t="inlineStr">
        <is>
          <t>KROKOM</t>
        </is>
      </c>
      <c r="F1975" t="inlineStr">
        <is>
          <t>SCA</t>
        </is>
      </c>
      <c r="G1975" t="n">
        <v>13.8</v>
      </c>
      <c r="H1975" t="n">
        <v>0</v>
      </c>
      <c r="I1975" t="n">
        <v>0</v>
      </c>
      <c r="J1975" t="n">
        <v>0</v>
      </c>
      <c r="K1975" t="n">
        <v>0</v>
      </c>
      <c r="L1975" t="n">
        <v>0</v>
      </c>
      <c r="M1975" t="n">
        <v>0</v>
      </c>
      <c r="N1975" t="n">
        <v>0</v>
      </c>
      <c r="O1975" t="n">
        <v>0</v>
      </c>
      <c r="P1975" t="n">
        <v>0</v>
      </c>
      <c r="Q1975" t="n">
        <v>0</v>
      </c>
      <c r="R1975" s="2" t="inlineStr"/>
    </row>
    <row r="1976" ht="15" customHeight="1">
      <c r="A1976" t="inlineStr">
        <is>
          <t>A 32899-2025</t>
        </is>
      </c>
      <c r="B1976" s="1" t="n">
        <v>45839</v>
      </c>
      <c r="C1976" s="1" t="n">
        <v>45840</v>
      </c>
      <c r="D1976" t="inlineStr">
        <is>
          <t>JÄMTLANDS LÄN</t>
        </is>
      </c>
      <c r="E1976" t="inlineStr">
        <is>
          <t>KROKOM</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32897-2025</t>
        </is>
      </c>
      <c r="B1977" s="1" t="n">
        <v>45839</v>
      </c>
      <c r="C1977" s="1" t="n">
        <v>45840</v>
      </c>
      <c r="D1977" t="inlineStr">
        <is>
          <t>JÄMTLANDS LÄN</t>
        </is>
      </c>
      <c r="E1977" t="inlineStr">
        <is>
          <t>KROKOM</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32966-2025</t>
        </is>
      </c>
      <c r="B1978" s="1" t="n">
        <v>45839</v>
      </c>
      <c r="C1978" s="1" t="n">
        <v>45840</v>
      </c>
      <c r="D1978" t="inlineStr">
        <is>
          <t>JÄMTLANDS LÄN</t>
        </is>
      </c>
      <c r="E1978" t="inlineStr">
        <is>
          <t>KROKOM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32898-2025</t>
        </is>
      </c>
      <c r="B1979" s="1" t="n">
        <v>45839</v>
      </c>
      <c r="C1979" s="1" t="n">
        <v>45840</v>
      </c>
      <c r="D1979" t="inlineStr">
        <is>
          <t>JÄMTLANDS LÄN</t>
        </is>
      </c>
      <c r="E1979" t="inlineStr">
        <is>
          <t>KROKOM</t>
        </is>
      </c>
      <c r="F1979" t="inlineStr">
        <is>
          <t>SCA</t>
        </is>
      </c>
      <c r="G1979" t="n">
        <v>2.2</v>
      </c>
      <c r="H1979" t="n">
        <v>0</v>
      </c>
      <c r="I1979" t="n">
        <v>0</v>
      </c>
      <c r="J1979" t="n">
        <v>0</v>
      </c>
      <c r="K1979" t="n">
        <v>0</v>
      </c>
      <c r="L1979" t="n">
        <v>0</v>
      </c>
      <c r="M1979" t="n">
        <v>0</v>
      </c>
      <c r="N1979" t="n">
        <v>0</v>
      </c>
      <c r="O1979" t="n">
        <v>0</v>
      </c>
      <c r="P1979" t="n">
        <v>0</v>
      </c>
      <c r="Q1979" t="n">
        <v>0</v>
      </c>
      <c r="R1979" s="2" t="inlineStr"/>
    </row>
    <row r="1980">
      <c r="A1980" t="inlineStr">
        <is>
          <t>A 32896-2025</t>
        </is>
      </c>
      <c r="B1980" s="1" t="n">
        <v>45839</v>
      </c>
      <c r="C1980" s="1" t="n">
        <v>45840</v>
      </c>
      <c r="D1980" t="inlineStr">
        <is>
          <t>JÄMTLANDS LÄN</t>
        </is>
      </c>
      <c r="E1980" t="inlineStr">
        <is>
          <t>KROKOM</t>
        </is>
      </c>
      <c r="F1980" t="inlineStr">
        <is>
          <t>SCA</t>
        </is>
      </c>
      <c r="G1980" t="n">
        <v>17.9</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2025-07-02T19:44:53Z</dcterms:created>
  <dcterms:modified xmlns:dcterms="http://purl.org/dc/terms/" xmlns:xsi="http://www.w3.org/2001/XMLSchema-instance" xsi:type="dcterms:W3CDTF">2025-07-02T19:44:55Z</dcterms:modified>
</cp:coreProperties>
</file>