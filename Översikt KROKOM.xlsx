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45730</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45730</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45730</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45730</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45730</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45730</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45730</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45730</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45730</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45730</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45730</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45730</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45730</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45730</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45730</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45730</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45730</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45730</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45730</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45730</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45730</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45730</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45730</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45730</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45730</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45730</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45730</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45730</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45730</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45730</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45730</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45730</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45730</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45730</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45730</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45730</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45730</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45730</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45730</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45730</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45730</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45730</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45730</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45730</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45730</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45730</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45730</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45730</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45730</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45730</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45730</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45730</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45730</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45730</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45730</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45730</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45730</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45730</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45730</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45730</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45730</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45730</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45730</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45730</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45730</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45730</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45730</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45730</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45730</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45730</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45730</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45730</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45730</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45730</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45730</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45730</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45730</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45730</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45730</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45730</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45730</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45730</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45730</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45730</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45730</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45730</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45730</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45730</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45730</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45730</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45730</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45730</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45730</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45730</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45730</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45730</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45730</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45730</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45730</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45730</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45730</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45730</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45730</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45730</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45730</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45730</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45730</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45730</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45730</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45730</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45730</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45730</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45730</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45730</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45730</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45730</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45730</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45730</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45730</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45730</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45730</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45730</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45730</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45730</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45730</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11319-2025</t>
        </is>
      </c>
      <c r="B141" s="1" t="n">
        <v>45726</v>
      </c>
      <c r="C141" s="1" t="n">
        <v>45730</v>
      </c>
      <c r="D141" t="inlineStr">
        <is>
          <t>JÄMTLANDS LÄN</t>
        </is>
      </c>
      <c r="E141" t="inlineStr">
        <is>
          <t>KROKOM</t>
        </is>
      </c>
      <c r="G141" t="n">
        <v>13.8</v>
      </c>
      <c r="H141" t="n">
        <v>1</v>
      </c>
      <c r="I141" t="n">
        <v>4</v>
      </c>
      <c r="J141" t="n">
        <v>1</v>
      </c>
      <c r="K141" t="n">
        <v>0</v>
      </c>
      <c r="L141" t="n">
        <v>0</v>
      </c>
      <c r="M141" t="n">
        <v>0</v>
      </c>
      <c r="N141" t="n">
        <v>0</v>
      </c>
      <c r="O141" t="n">
        <v>1</v>
      </c>
      <c r="P141" t="n">
        <v>0</v>
      </c>
      <c r="Q141" t="n">
        <v>5</v>
      </c>
      <c r="R141" s="2" t="inlineStr">
        <is>
          <t>Lunglav
Bårdlav
Luddlav
Plattlummer
Stuplav</t>
        </is>
      </c>
      <c r="S141">
        <f>HYPERLINK("https://klasma.github.io/Logging_2309/artfynd/A 11319-2025 artfynd.xlsx", "A 11319-2025")</f>
        <v/>
      </c>
      <c r="T141">
        <f>HYPERLINK("https://klasma.github.io/Logging_2309/kartor/A 11319-2025 karta.png", "A 11319-2025")</f>
        <v/>
      </c>
      <c r="V141">
        <f>HYPERLINK("https://klasma.github.io/Logging_2309/klagomål/A 11319-2025 FSC-klagomål.docx", "A 11319-2025")</f>
        <v/>
      </c>
      <c r="W141">
        <f>HYPERLINK("https://klasma.github.io/Logging_2309/klagomålsmail/A 11319-2025 FSC-klagomål mail.docx", "A 11319-2025")</f>
        <v/>
      </c>
      <c r="X141">
        <f>HYPERLINK("https://klasma.github.io/Logging_2309/tillsyn/A 11319-2025 tillsynsbegäran.docx", "A 11319-2025")</f>
        <v/>
      </c>
      <c r="Y141">
        <f>HYPERLINK("https://klasma.github.io/Logging_2309/tillsynsmail/A 11319-2025 tillsynsbegäran mail.docx", "A 11319-2025")</f>
        <v/>
      </c>
    </row>
    <row r="142" ht="15" customHeight="1">
      <c r="A142" t="inlineStr">
        <is>
          <t>A 36192-2019</t>
        </is>
      </c>
      <c r="B142" s="1" t="n">
        <v>43669</v>
      </c>
      <c r="C142" s="1" t="n">
        <v>45730</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36192-2019 artfynd.xlsx", "A 36192-2019")</f>
        <v/>
      </c>
      <c r="T142">
        <f>HYPERLINK("https://klasma.github.io/Logging_2309/kartor/A 36192-2019 karta.png", "A 36192-2019")</f>
        <v/>
      </c>
      <c r="V142">
        <f>HYPERLINK("https://klasma.github.io/Logging_2309/klagomål/A 36192-2019 FSC-klagomål.docx", "A 36192-2019")</f>
        <v/>
      </c>
      <c r="W142">
        <f>HYPERLINK("https://klasma.github.io/Logging_2309/klagomålsmail/A 36192-2019 FSC-klagomål mail.docx", "A 36192-2019")</f>
        <v/>
      </c>
      <c r="X142">
        <f>HYPERLINK("https://klasma.github.io/Logging_2309/tillsyn/A 36192-2019 tillsynsbegäran.docx", "A 36192-2019")</f>
        <v/>
      </c>
      <c r="Y142">
        <f>HYPERLINK("https://klasma.github.io/Logging_2309/tillsynsmail/A 36192-2019 tillsynsbegäran mail.docx", "A 36192-2019")</f>
        <v/>
      </c>
      <c r="Z142">
        <f>HYPERLINK("https://klasma.github.io/Logging_2309/fåglar/A 36192-2019 prioriterade fågelarter.docx", "A 36192-2019")</f>
        <v/>
      </c>
    </row>
    <row r="143" ht="15" customHeight="1">
      <c r="A143" t="inlineStr">
        <is>
          <t>A 36209-2019</t>
        </is>
      </c>
      <c r="B143" s="1" t="n">
        <v>43669</v>
      </c>
      <c r="C143" s="1" t="n">
        <v>45730</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36209-2019 artfynd.xlsx", "A 36209-2019")</f>
        <v/>
      </c>
      <c r="T143">
        <f>HYPERLINK("https://klasma.github.io/Logging_2309/kartor/A 36209-2019 karta.png", "A 36209-2019")</f>
        <v/>
      </c>
      <c r="V143">
        <f>HYPERLINK("https://klasma.github.io/Logging_2309/klagomål/A 36209-2019 FSC-klagomål.docx", "A 36209-2019")</f>
        <v/>
      </c>
      <c r="W143">
        <f>HYPERLINK("https://klasma.github.io/Logging_2309/klagomålsmail/A 36209-2019 FSC-klagomål mail.docx", "A 36209-2019")</f>
        <v/>
      </c>
      <c r="X143">
        <f>HYPERLINK("https://klasma.github.io/Logging_2309/tillsyn/A 36209-2019 tillsynsbegäran.docx", "A 36209-2019")</f>
        <v/>
      </c>
      <c r="Y143">
        <f>HYPERLINK("https://klasma.github.io/Logging_2309/tillsynsmail/A 36209-2019 tillsynsbegäran mail.docx", "A 36209-2019")</f>
        <v/>
      </c>
      <c r="Z143">
        <f>HYPERLINK("https://klasma.github.io/Logging_2309/fåglar/A 36209-2019 prioriterade fågelarter.docx", "A 36209-2019")</f>
        <v/>
      </c>
    </row>
    <row r="144" ht="15" customHeight="1">
      <c r="A144" t="inlineStr">
        <is>
          <t>A 36377-2019</t>
        </is>
      </c>
      <c r="B144" s="1" t="n">
        <v>43670</v>
      </c>
      <c r="C144" s="1" t="n">
        <v>45730</v>
      </c>
      <c r="D144" t="inlineStr">
        <is>
          <t>JÄMTLANDS LÄN</t>
        </is>
      </c>
      <c r="E144" t="inlineStr">
        <is>
          <t>KROKOM</t>
        </is>
      </c>
      <c r="G144" t="n">
        <v>36.9</v>
      </c>
      <c r="H144" t="n">
        <v>0</v>
      </c>
      <c r="I144" t="n">
        <v>3</v>
      </c>
      <c r="J144" t="n">
        <v>1</v>
      </c>
      <c r="K144" t="n">
        <v>0</v>
      </c>
      <c r="L144" t="n">
        <v>0</v>
      </c>
      <c r="M144" t="n">
        <v>0</v>
      </c>
      <c r="N144" t="n">
        <v>0</v>
      </c>
      <c r="O144" t="n">
        <v>1</v>
      </c>
      <c r="P144" t="n">
        <v>0</v>
      </c>
      <c r="Q144" t="n">
        <v>4</v>
      </c>
      <c r="R144" s="2" t="inlineStr">
        <is>
          <t>Doftskinn
Dvärghäxört
Kambräken
Mörk husmossa</t>
        </is>
      </c>
      <c r="S144">
        <f>HYPERLINK("https://klasma.github.io/Logging_2309/artfynd/A 36377-2019 artfynd.xlsx", "A 36377-2019")</f>
        <v/>
      </c>
      <c r="T144">
        <f>HYPERLINK("https://klasma.github.io/Logging_2309/kartor/A 36377-2019 karta.png", "A 36377-2019")</f>
        <v/>
      </c>
      <c r="V144">
        <f>HYPERLINK("https://klasma.github.io/Logging_2309/klagomål/A 36377-2019 FSC-klagomål.docx", "A 36377-2019")</f>
        <v/>
      </c>
      <c r="W144">
        <f>HYPERLINK("https://klasma.github.io/Logging_2309/klagomålsmail/A 36377-2019 FSC-klagomål mail.docx", "A 36377-2019")</f>
        <v/>
      </c>
      <c r="X144">
        <f>HYPERLINK("https://klasma.github.io/Logging_2309/tillsyn/A 36377-2019 tillsynsbegäran.docx", "A 36377-2019")</f>
        <v/>
      </c>
      <c r="Y144">
        <f>HYPERLINK("https://klasma.github.io/Logging_2309/tillsynsmail/A 36377-2019 tillsynsbegäran mail.docx", "A 36377-2019")</f>
        <v/>
      </c>
    </row>
    <row r="145" ht="15" customHeight="1">
      <c r="A145" t="inlineStr">
        <is>
          <t>A 43202-2019</t>
        </is>
      </c>
      <c r="B145" s="1" t="n">
        <v>43705</v>
      </c>
      <c r="C145" s="1" t="n">
        <v>45730</v>
      </c>
      <c r="D145" t="inlineStr">
        <is>
          <t>JÄMTLANDS LÄN</t>
        </is>
      </c>
      <c r="E145" t="inlineStr">
        <is>
          <t>KROKOM</t>
        </is>
      </c>
      <c r="F145" t="inlineStr">
        <is>
          <t>SCA</t>
        </is>
      </c>
      <c r="G145" t="n">
        <v>4.3</v>
      </c>
      <c r="H145" t="n">
        <v>0</v>
      </c>
      <c r="I145" t="n">
        <v>1</v>
      </c>
      <c r="J145" t="n">
        <v>2</v>
      </c>
      <c r="K145" t="n">
        <v>1</v>
      </c>
      <c r="L145" t="n">
        <v>0</v>
      </c>
      <c r="M145" t="n">
        <v>0</v>
      </c>
      <c r="N145" t="n">
        <v>0</v>
      </c>
      <c r="O145" t="n">
        <v>3</v>
      </c>
      <c r="P145" t="n">
        <v>1</v>
      </c>
      <c r="Q145" t="n">
        <v>4</v>
      </c>
      <c r="R145" s="2" t="inlineStr">
        <is>
          <t>Gräddporing
Nordtagging
Vedtrappmossa
Luddlav</t>
        </is>
      </c>
      <c r="S145">
        <f>HYPERLINK("https://klasma.github.io/Logging_2309/artfynd/A 43202-2019 artfynd.xlsx", "A 43202-2019")</f>
        <v/>
      </c>
      <c r="T145">
        <f>HYPERLINK("https://klasma.github.io/Logging_2309/kartor/A 43202-2019 karta.png", "A 43202-2019")</f>
        <v/>
      </c>
      <c r="V145">
        <f>HYPERLINK("https://klasma.github.io/Logging_2309/klagomål/A 43202-2019 FSC-klagomål.docx", "A 43202-2019")</f>
        <v/>
      </c>
      <c r="W145">
        <f>HYPERLINK("https://klasma.github.io/Logging_2309/klagomålsmail/A 43202-2019 FSC-klagomål mail.docx", "A 43202-2019")</f>
        <v/>
      </c>
      <c r="X145">
        <f>HYPERLINK("https://klasma.github.io/Logging_2309/tillsyn/A 43202-2019 tillsynsbegäran.docx", "A 43202-2019")</f>
        <v/>
      </c>
      <c r="Y145">
        <f>HYPERLINK("https://klasma.github.io/Logging_2309/tillsynsmail/A 43202-2019 tillsynsbegäran mail.docx", "A 43202-2019")</f>
        <v/>
      </c>
    </row>
    <row r="146" ht="15" customHeight="1">
      <c r="A146" t="inlineStr">
        <is>
          <t>A 49140-2019</t>
        </is>
      </c>
      <c r="B146" s="1" t="n">
        <v>43731</v>
      </c>
      <c r="C146" s="1" t="n">
        <v>45730</v>
      </c>
      <c r="D146" t="inlineStr">
        <is>
          <t>JÄMTLANDS LÄN</t>
        </is>
      </c>
      <c r="E146" t="inlineStr">
        <is>
          <t>KROKOM</t>
        </is>
      </c>
      <c r="G146" t="n">
        <v>13.3</v>
      </c>
      <c r="H146" t="n">
        <v>1</v>
      </c>
      <c r="I146" t="n">
        <v>1</v>
      </c>
      <c r="J146" t="n">
        <v>3</v>
      </c>
      <c r="K146" t="n">
        <v>0</v>
      </c>
      <c r="L146" t="n">
        <v>0</v>
      </c>
      <c r="M146" t="n">
        <v>0</v>
      </c>
      <c r="N146" t="n">
        <v>0</v>
      </c>
      <c r="O146" t="n">
        <v>3</v>
      </c>
      <c r="P146" t="n">
        <v>0</v>
      </c>
      <c r="Q146" t="n">
        <v>4</v>
      </c>
      <c r="R146" s="2" t="inlineStr">
        <is>
          <t>Granticka
Skogshare
Tretåig hackspett
Trådticka</t>
        </is>
      </c>
      <c r="S146">
        <f>HYPERLINK("https://klasma.github.io/Logging_2309/artfynd/A 49140-2019 artfynd.xlsx", "A 49140-2019")</f>
        <v/>
      </c>
      <c r="T146">
        <f>HYPERLINK("https://klasma.github.io/Logging_2309/kartor/A 49140-2019 karta.png", "A 49140-2019")</f>
        <v/>
      </c>
      <c r="V146">
        <f>HYPERLINK("https://klasma.github.io/Logging_2309/klagomål/A 49140-2019 FSC-klagomål.docx", "A 49140-2019")</f>
        <v/>
      </c>
      <c r="W146">
        <f>HYPERLINK("https://klasma.github.io/Logging_2309/klagomålsmail/A 49140-2019 FSC-klagomål mail.docx", "A 49140-2019")</f>
        <v/>
      </c>
      <c r="X146">
        <f>HYPERLINK("https://klasma.github.io/Logging_2309/tillsyn/A 49140-2019 tillsynsbegäran.docx", "A 49140-2019")</f>
        <v/>
      </c>
      <c r="Y146">
        <f>HYPERLINK("https://klasma.github.io/Logging_2309/tillsynsmail/A 49140-2019 tillsynsbegäran mail.docx", "A 49140-2019")</f>
        <v/>
      </c>
      <c r="Z146">
        <f>HYPERLINK("https://klasma.github.io/Logging_2309/fåglar/A 49140-2019 prioriterade fågelarter.docx", "A 49140-2019")</f>
        <v/>
      </c>
    </row>
    <row r="147" ht="15" customHeight="1">
      <c r="A147" t="inlineStr">
        <is>
          <t>A 49169-2019</t>
        </is>
      </c>
      <c r="B147" s="1" t="n">
        <v>43731</v>
      </c>
      <c r="C147" s="1" t="n">
        <v>45730</v>
      </c>
      <c r="D147" t="inlineStr">
        <is>
          <t>JÄMTLANDS LÄN</t>
        </is>
      </c>
      <c r="E147" t="inlineStr">
        <is>
          <t>KROKOM</t>
        </is>
      </c>
      <c r="G147" t="n">
        <v>3.5</v>
      </c>
      <c r="H147" t="n">
        <v>1</v>
      </c>
      <c r="I147" t="n">
        <v>1</v>
      </c>
      <c r="J147" t="n">
        <v>3</v>
      </c>
      <c r="K147" t="n">
        <v>0</v>
      </c>
      <c r="L147" t="n">
        <v>0</v>
      </c>
      <c r="M147" t="n">
        <v>0</v>
      </c>
      <c r="N147" t="n">
        <v>0</v>
      </c>
      <c r="O147" t="n">
        <v>3</v>
      </c>
      <c r="P147" t="n">
        <v>0</v>
      </c>
      <c r="Q147" t="n">
        <v>4</v>
      </c>
      <c r="R147" s="2" t="inlineStr">
        <is>
          <t>Granticka
Tretåig hackspett
Ullticka
Trådticka</t>
        </is>
      </c>
      <c r="S147">
        <f>HYPERLINK("https://klasma.github.io/Logging_2309/artfynd/A 49169-2019 artfynd.xlsx", "A 49169-2019")</f>
        <v/>
      </c>
      <c r="T147">
        <f>HYPERLINK("https://klasma.github.io/Logging_2309/kartor/A 49169-2019 karta.png", "A 49169-2019")</f>
        <v/>
      </c>
      <c r="V147">
        <f>HYPERLINK("https://klasma.github.io/Logging_2309/klagomål/A 49169-2019 FSC-klagomål.docx", "A 49169-2019")</f>
        <v/>
      </c>
      <c r="W147">
        <f>HYPERLINK("https://klasma.github.io/Logging_2309/klagomålsmail/A 49169-2019 FSC-klagomål mail.docx", "A 49169-2019")</f>
        <v/>
      </c>
      <c r="X147">
        <f>HYPERLINK("https://klasma.github.io/Logging_2309/tillsyn/A 49169-2019 tillsynsbegäran.docx", "A 49169-2019")</f>
        <v/>
      </c>
      <c r="Y147">
        <f>HYPERLINK("https://klasma.github.io/Logging_2309/tillsynsmail/A 49169-2019 tillsynsbegäran mail.docx", "A 49169-2019")</f>
        <v/>
      </c>
      <c r="Z147">
        <f>HYPERLINK("https://klasma.github.io/Logging_2309/fåglar/A 49169-2019 prioriterade fågelarter.docx", "A 49169-2019")</f>
        <v/>
      </c>
    </row>
    <row r="148" ht="15" customHeight="1">
      <c r="A148" t="inlineStr">
        <is>
          <t>A 49097-2019</t>
        </is>
      </c>
      <c r="B148" s="1" t="n">
        <v>43731</v>
      </c>
      <c r="C148" s="1" t="n">
        <v>45730</v>
      </c>
      <c r="D148" t="inlineStr">
        <is>
          <t>JÄMTLANDS LÄN</t>
        </is>
      </c>
      <c r="E148" t="inlineStr">
        <is>
          <t>KROKOM</t>
        </is>
      </c>
      <c r="G148" t="n">
        <v>31.3</v>
      </c>
      <c r="H148" t="n">
        <v>0</v>
      </c>
      <c r="I148" t="n">
        <v>0</v>
      </c>
      <c r="J148" t="n">
        <v>4</v>
      </c>
      <c r="K148" t="n">
        <v>0</v>
      </c>
      <c r="L148" t="n">
        <v>0</v>
      </c>
      <c r="M148" t="n">
        <v>0</v>
      </c>
      <c r="N148" t="n">
        <v>0</v>
      </c>
      <c r="O148" t="n">
        <v>4</v>
      </c>
      <c r="P148" t="n">
        <v>0</v>
      </c>
      <c r="Q148" t="n">
        <v>4</v>
      </c>
      <c r="R148" s="2" t="inlineStr">
        <is>
          <t>Garnlav
Granticka
Gränsticka
Vitgrynig nållav</t>
        </is>
      </c>
      <c r="S148">
        <f>HYPERLINK("https://klasma.github.io/Logging_2309/artfynd/A 49097-2019 artfynd.xlsx", "A 49097-2019")</f>
        <v/>
      </c>
      <c r="T148">
        <f>HYPERLINK("https://klasma.github.io/Logging_2309/kartor/A 49097-2019 karta.png", "A 49097-2019")</f>
        <v/>
      </c>
      <c r="V148">
        <f>HYPERLINK("https://klasma.github.io/Logging_2309/klagomål/A 49097-2019 FSC-klagomål.docx", "A 49097-2019")</f>
        <v/>
      </c>
      <c r="W148">
        <f>HYPERLINK("https://klasma.github.io/Logging_2309/klagomålsmail/A 49097-2019 FSC-klagomål mail.docx", "A 49097-2019")</f>
        <v/>
      </c>
      <c r="X148">
        <f>HYPERLINK("https://klasma.github.io/Logging_2309/tillsyn/A 49097-2019 tillsynsbegäran.docx", "A 49097-2019")</f>
        <v/>
      </c>
      <c r="Y148">
        <f>HYPERLINK("https://klasma.github.io/Logging_2309/tillsynsmail/A 49097-2019 tillsynsbegäran mail.docx", "A 49097-2019")</f>
        <v/>
      </c>
    </row>
    <row r="149" ht="15" customHeight="1">
      <c r="A149" t="inlineStr">
        <is>
          <t>A 67215-2019</t>
        </is>
      </c>
      <c r="B149" s="1" t="n">
        <v>43811</v>
      </c>
      <c r="C149" s="1" t="n">
        <v>45730</v>
      </c>
      <c r="D149" t="inlineStr">
        <is>
          <t>JÄMTLANDS LÄN</t>
        </is>
      </c>
      <c r="E149" t="inlineStr">
        <is>
          <t>KROKOM</t>
        </is>
      </c>
      <c r="G149" t="n">
        <v>6.7</v>
      </c>
      <c r="H149" t="n">
        <v>0</v>
      </c>
      <c r="I149" t="n">
        <v>1</v>
      </c>
      <c r="J149" t="n">
        <v>2</v>
      </c>
      <c r="K149" t="n">
        <v>1</v>
      </c>
      <c r="L149" t="n">
        <v>0</v>
      </c>
      <c r="M149" t="n">
        <v>0</v>
      </c>
      <c r="N149" t="n">
        <v>0</v>
      </c>
      <c r="O149" t="n">
        <v>3</v>
      </c>
      <c r="P149" t="n">
        <v>1</v>
      </c>
      <c r="Q149" t="n">
        <v>4</v>
      </c>
      <c r="R149" s="2" t="inlineStr">
        <is>
          <t>Blåfotad fagerspindling
Garnlav
Liten svartspik
Svavelriska</t>
        </is>
      </c>
      <c r="S149">
        <f>HYPERLINK("https://klasma.github.io/Logging_2309/artfynd/A 67215-2019 artfynd.xlsx", "A 67215-2019")</f>
        <v/>
      </c>
      <c r="T149">
        <f>HYPERLINK("https://klasma.github.io/Logging_2309/kartor/A 67215-2019 karta.png", "A 67215-2019")</f>
        <v/>
      </c>
      <c r="V149">
        <f>HYPERLINK("https://klasma.github.io/Logging_2309/klagomål/A 67215-2019 FSC-klagomål.docx", "A 67215-2019")</f>
        <v/>
      </c>
      <c r="W149">
        <f>HYPERLINK("https://klasma.github.io/Logging_2309/klagomålsmail/A 67215-2019 FSC-klagomål mail.docx", "A 67215-2019")</f>
        <v/>
      </c>
      <c r="X149">
        <f>HYPERLINK("https://klasma.github.io/Logging_2309/tillsyn/A 67215-2019 tillsynsbegäran.docx", "A 67215-2019")</f>
        <v/>
      </c>
      <c r="Y149">
        <f>HYPERLINK("https://klasma.github.io/Logging_2309/tillsynsmail/A 67215-2019 tillsynsbegäran mail.docx", "A 67215-2019")</f>
        <v/>
      </c>
    </row>
    <row r="150" ht="15" customHeight="1">
      <c r="A150" t="inlineStr">
        <is>
          <t>A 68311-2019</t>
        </is>
      </c>
      <c r="B150" s="1" t="n">
        <v>43817</v>
      </c>
      <c r="C150" s="1" t="n">
        <v>45730</v>
      </c>
      <c r="D150" t="inlineStr">
        <is>
          <t>JÄMTLANDS LÄN</t>
        </is>
      </c>
      <c r="E150" t="inlineStr">
        <is>
          <t>KROKOM</t>
        </is>
      </c>
      <c r="F150" t="inlineStr">
        <is>
          <t>SCA</t>
        </is>
      </c>
      <c r="G150" t="n">
        <v>5.7</v>
      </c>
      <c r="H150" t="n">
        <v>0</v>
      </c>
      <c r="I150" t="n">
        <v>1</v>
      </c>
      <c r="J150" t="n">
        <v>3</v>
      </c>
      <c r="K150" t="n">
        <v>0</v>
      </c>
      <c r="L150" t="n">
        <v>0</v>
      </c>
      <c r="M150" t="n">
        <v>0</v>
      </c>
      <c r="N150" t="n">
        <v>0</v>
      </c>
      <c r="O150" t="n">
        <v>3</v>
      </c>
      <c r="P150" t="n">
        <v>0</v>
      </c>
      <c r="Q150" t="n">
        <v>4</v>
      </c>
      <c r="R150" s="2" t="inlineStr">
        <is>
          <t>Garnlav
Kolflarnlav
Vedskivlav
Norrlandslav</t>
        </is>
      </c>
      <c r="S150">
        <f>HYPERLINK("https://klasma.github.io/Logging_2309/artfynd/A 68311-2019 artfynd.xlsx", "A 68311-2019")</f>
        <v/>
      </c>
      <c r="T150">
        <f>HYPERLINK("https://klasma.github.io/Logging_2309/kartor/A 68311-2019 karta.png", "A 68311-2019")</f>
        <v/>
      </c>
      <c r="V150">
        <f>HYPERLINK("https://klasma.github.io/Logging_2309/klagomål/A 68311-2019 FSC-klagomål.docx", "A 68311-2019")</f>
        <v/>
      </c>
      <c r="W150">
        <f>HYPERLINK("https://klasma.github.io/Logging_2309/klagomålsmail/A 68311-2019 FSC-klagomål mail.docx", "A 68311-2019")</f>
        <v/>
      </c>
      <c r="X150">
        <f>HYPERLINK("https://klasma.github.io/Logging_2309/tillsyn/A 68311-2019 tillsynsbegäran.docx", "A 68311-2019")</f>
        <v/>
      </c>
      <c r="Y150">
        <f>HYPERLINK("https://klasma.github.io/Logging_2309/tillsynsmail/A 68311-2019 tillsynsbegäran mail.docx", "A 68311-2019")</f>
        <v/>
      </c>
    </row>
    <row r="151" ht="15" customHeight="1">
      <c r="A151" t="inlineStr">
        <is>
          <t>A 65901-2020</t>
        </is>
      </c>
      <c r="B151" s="1" t="n">
        <v>44174</v>
      </c>
      <c r="C151" s="1" t="n">
        <v>45730</v>
      </c>
      <c r="D151" t="inlineStr">
        <is>
          <t>JÄMTLANDS LÄN</t>
        </is>
      </c>
      <c r="E151" t="inlineStr">
        <is>
          <t>KROKOM</t>
        </is>
      </c>
      <c r="G151" t="n">
        <v>9.699999999999999</v>
      </c>
      <c r="H151" t="n">
        <v>0</v>
      </c>
      <c r="I151" t="n">
        <v>4</v>
      </c>
      <c r="J151" t="n">
        <v>0</v>
      </c>
      <c r="K151" t="n">
        <v>0</v>
      </c>
      <c r="L151" t="n">
        <v>0</v>
      </c>
      <c r="M151" t="n">
        <v>0</v>
      </c>
      <c r="N151" t="n">
        <v>0</v>
      </c>
      <c r="O151" t="n">
        <v>0</v>
      </c>
      <c r="P151" t="n">
        <v>0</v>
      </c>
      <c r="Q151" t="n">
        <v>4</v>
      </c>
      <c r="R151" s="2" t="inlineStr">
        <is>
          <t>Barrfagerspindling
Diskvaxskivling
Kryddspindling
Tibast</t>
        </is>
      </c>
      <c r="S151">
        <f>HYPERLINK("https://klasma.github.io/Logging_2309/artfynd/A 65901-2020 artfynd.xlsx", "A 65901-2020")</f>
        <v/>
      </c>
      <c r="T151">
        <f>HYPERLINK("https://klasma.github.io/Logging_2309/kartor/A 65901-2020 karta.png", "A 65901-2020")</f>
        <v/>
      </c>
      <c r="V151">
        <f>HYPERLINK("https://klasma.github.io/Logging_2309/klagomål/A 65901-2020 FSC-klagomål.docx", "A 65901-2020")</f>
        <v/>
      </c>
      <c r="W151">
        <f>HYPERLINK("https://klasma.github.io/Logging_2309/klagomålsmail/A 65901-2020 FSC-klagomål mail.docx", "A 65901-2020")</f>
        <v/>
      </c>
      <c r="X151">
        <f>HYPERLINK("https://klasma.github.io/Logging_2309/tillsyn/A 65901-2020 tillsynsbegäran.docx", "A 65901-2020")</f>
        <v/>
      </c>
      <c r="Y151">
        <f>HYPERLINK("https://klasma.github.io/Logging_2309/tillsynsmail/A 65901-2020 tillsynsbegäran mail.docx", "A 65901-2020")</f>
        <v/>
      </c>
    </row>
    <row r="152" ht="15" customHeight="1">
      <c r="A152" t="inlineStr">
        <is>
          <t>A 64302-2021</t>
        </is>
      </c>
      <c r="B152" s="1" t="n">
        <v>44510</v>
      </c>
      <c r="C152" s="1" t="n">
        <v>45730</v>
      </c>
      <c r="D152" t="inlineStr">
        <is>
          <t>JÄMTLANDS LÄN</t>
        </is>
      </c>
      <c r="E152" t="inlineStr">
        <is>
          <t>KROKOM</t>
        </is>
      </c>
      <c r="G152" t="n">
        <v>2.4</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64302-2021 artfynd.xlsx", "A 64302-2021")</f>
        <v/>
      </c>
      <c r="T152">
        <f>HYPERLINK("https://klasma.github.io/Logging_2309/kartor/A 64302-2021 karta.png", "A 64302-2021")</f>
        <v/>
      </c>
      <c r="V152">
        <f>HYPERLINK("https://klasma.github.io/Logging_2309/klagomål/A 64302-2021 FSC-klagomål.docx", "A 64302-2021")</f>
        <v/>
      </c>
      <c r="W152">
        <f>HYPERLINK("https://klasma.github.io/Logging_2309/klagomålsmail/A 64302-2021 FSC-klagomål mail.docx", "A 64302-2021")</f>
        <v/>
      </c>
      <c r="X152">
        <f>HYPERLINK("https://klasma.github.io/Logging_2309/tillsyn/A 64302-2021 tillsynsbegäran.docx", "A 64302-2021")</f>
        <v/>
      </c>
      <c r="Y152">
        <f>HYPERLINK("https://klasma.github.io/Logging_2309/tillsynsmail/A 64302-2021 tillsynsbegäran mail.docx", "A 64302-2021")</f>
        <v/>
      </c>
      <c r="Z152">
        <f>HYPERLINK("https://klasma.github.io/Logging_2309/fåglar/A 64302-2021 prioriterade fågelarter.docx", "A 64302-2021")</f>
        <v/>
      </c>
    </row>
    <row r="153" ht="15" customHeight="1">
      <c r="A153" t="inlineStr">
        <is>
          <t>A 73935-2021</t>
        </is>
      </c>
      <c r="B153" s="1" t="n">
        <v>44553</v>
      </c>
      <c r="C153" s="1" t="n">
        <v>45730</v>
      </c>
      <c r="D153" t="inlineStr">
        <is>
          <t>JÄMTLANDS LÄN</t>
        </is>
      </c>
      <c r="E153" t="inlineStr">
        <is>
          <t>KROKOM</t>
        </is>
      </c>
      <c r="G153" t="n">
        <v>391.3</v>
      </c>
      <c r="H153" t="n">
        <v>3</v>
      </c>
      <c r="I153" t="n">
        <v>0</v>
      </c>
      <c r="J153" t="n">
        <v>2</v>
      </c>
      <c r="K153" t="n">
        <v>0</v>
      </c>
      <c r="L153" t="n">
        <v>0</v>
      </c>
      <c r="M153" t="n">
        <v>0</v>
      </c>
      <c r="N153" t="n">
        <v>0</v>
      </c>
      <c r="O153" t="n">
        <v>2</v>
      </c>
      <c r="P153" t="n">
        <v>0</v>
      </c>
      <c r="Q153" t="n">
        <v>4</v>
      </c>
      <c r="R153" s="2" t="inlineStr">
        <is>
          <t>Doftskinn
Tretåig hackspett
Nattviol
Revlummer</t>
        </is>
      </c>
      <c r="S153">
        <f>HYPERLINK("https://klasma.github.io/Logging_2309/artfynd/A 73935-2021 artfynd.xlsx", "A 73935-2021")</f>
        <v/>
      </c>
      <c r="T153">
        <f>HYPERLINK("https://klasma.github.io/Logging_2309/kartor/A 73935-2021 karta.png", "A 73935-2021")</f>
        <v/>
      </c>
      <c r="V153">
        <f>HYPERLINK("https://klasma.github.io/Logging_2309/klagomål/A 73935-2021 FSC-klagomål.docx", "A 73935-2021")</f>
        <v/>
      </c>
      <c r="W153">
        <f>HYPERLINK("https://klasma.github.io/Logging_2309/klagomålsmail/A 73935-2021 FSC-klagomål mail.docx", "A 73935-2021")</f>
        <v/>
      </c>
      <c r="X153">
        <f>HYPERLINK("https://klasma.github.io/Logging_2309/tillsyn/A 73935-2021 tillsynsbegäran.docx", "A 73935-2021")</f>
        <v/>
      </c>
      <c r="Y153">
        <f>HYPERLINK("https://klasma.github.io/Logging_2309/tillsynsmail/A 73935-2021 tillsynsbegäran mail.docx", "A 73935-2021")</f>
        <v/>
      </c>
      <c r="Z153">
        <f>HYPERLINK("https://klasma.github.io/Logging_2309/fåglar/A 73935-2021 prioriterade fågelarter.docx", "A 73935-2021")</f>
        <v/>
      </c>
    </row>
    <row r="154" ht="15" customHeight="1">
      <c r="A154" t="inlineStr">
        <is>
          <t>A 23994-2022</t>
        </is>
      </c>
      <c r="B154" s="1" t="n">
        <v>44722</v>
      </c>
      <c r="C154" s="1" t="n">
        <v>45730</v>
      </c>
      <c r="D154" t="inlineStr">
        <is>
          <t>JÄMTLANDS LÄN</t>
        </is>
      </c>
      <c r="E154" t="inlineStr">
        <is>
          <t>KROKOM</t>
        </is>
      </c>
      <c r="F154" t="inlineStr">
        <is>
          <t>SCA</t>
        </is>
      </c>
      <c r="G154" t="n">
        <v>13.4</v>
      </c>
      <c r="H154" t="n">
        <v>0</v>
      </c>
      <c r="I154" t="n">
        <v>1</v>
      </c>
      <c r="J154" t="n">
        <v>3</v>
      </c>
      <c r="K154" t="n">
        <v>0</v>
      </c>
      <c r="L154" t="n">
        <v>0</v>
      </c>
      <c r="M154" t="n">
        <v>0</v>
      </c>
      <c r="N154" t="n">
        <v>0</v>
      </c>
      <c r="O154" t="n">
        <v>3</v>
      </c>
      <c r="P154" t="n">
        <v>0</v>
      </c>
      <c r="Q154" t="n">
        <v>4</v>
      </c>
      <c r="R154" s="2" t="inlineStr">
        <is>
          <t>Garnlav
Lunglav
Skrovellav
Korallblylav</t>
        </is>
      </c>
      <c r="S154">
        <f>HYPERLINK("https://klasma.github.io/Logging_2309/artfynd/A 23994-2022 artfynd.xlsx", "A 23994-2022")</f>
        <v/>
      </c>
      <c r="T154">
        <f>HYPERLINK("https://klasma.github.io/Logging_2309/kartor/A 23994-2022 karta.png", "A 23994-2022")</f>
        <v/>
      </c>
      <c r="V154">
        <f>HYPERLINK("https://klasma.github.io/Logging_2309/klagomål/A 23994-2022 FSC-klagomål.docx", "A 23994-2022")</f>
        <v/>
      </c>
      <c r="W154">
        <f>HYPERLINK("https://klasma.github.io/Logging_2309/klagomålsmail/A 23994-2022 FSC-klagomål mail.docx", "A 23994-2022")</f>
        <v/>
      </c>
      <c r="X154">
        <f>HYPERLINK("https://klasma.github.io/Logging_2309/tillsyn/A 23994-2022 tillsynsbegäran.docx", "A 23994-2022")</f>
        <v/>
      </c>
      <c r="Y154">
        <f>HYPERLINK("https://klasma.github.io/Logging_2309/tillsynsmail/A 23994-2022 tillsynsbegäran mail.docx", "A 23994-2022")</f>
        <v/>
      </c>
    </row>
    <row r="155" ht="15" customHeight="1">
      <c r="A155" t="inlineStr">
        <is>
          <t>A 25029-2022</t>
        </is>
      </c>
      <c r="B155" s="1" t="n">
        <v>44728</v>
      </c>
      <c r="C155" s="1" t="n">
        <v>45730</v>
      </c>
      <c r="D155" t="inlineStr">
        <is>
          <t>JÄMTLANDS LÄN</t>
        </is>
      </c>
      <c r="E155" t="inlineStr">
        <is>
          <t>KROKOM</t>
        </is>
      </c>
      <c r="F155" t="inlineStr">
        <is>
          <t>SCA</t>
        </is>
      </c>
      <c r="G155" t="n">
        <v>41.5</v>
      </c>
      <c r="H155" t="n">
        <v>3</v>
      </c>
      <c r="I155" t="n">
        <v>0</v>
      </c>
      <c r="J155" t="n">
        <v>2</v>
      </c>
      <c r="K155" t="n">
        <v>1</v>
      </c>
      <c r="L155" t="n">
        <v>0</v>
      </c>
      <c r="M155" t="n">
        <v>0</v>
      </c>
      <c r="N155" t="n">
        <v>0</v>
      </c>
      <c r="O155" t="n">
        <v>3</v>
      </c>
      <c r="P155" t="n">
        <v>1</v>
      </c>
      <c r="Q155" t="n">
        <v>4</v>
      </c>
      <c r="R155" s="2" t="inlineStr">
        <is>
          <t>Knärot
Skrovellav
Spillkråka
Fläcknycklar</t>
        </is>
      </c>
      <c r="S155">
        <f>HYPERLINK("https://klasma.github.io/Logging_2309/artfynd/A 25029-2022 artfynd.xlsx", "A 25029-2022")</f>
        <v/>
      </c>
      <c r="T155">
        <f>HYPERLINK("https://klasma.github.io/Logging_2309/kartor/A 25029-2022 karta.png", "A 25029-2022")</f>
        <v/>
      </c>
      <c r="U155">
        <f>HYPERLINK("https://klasma.github.io/Logging_2309/knärot/A 25029-2022 karta knärot.png", "A 25029-2022")</f>
        <v/>
      </c>
      <c r="V155">
        <f>HYPERLINK("https://klasma.github.io/Logging_2309/klagomål/A 25029-2022 FSC-klagomål.docx", "A 25029-2022")</f>
        <v/>
      </c>
      <c r="W155">
        <f>HYPERLINK("https://klasma.github.io/Logging_2309/klagomålsmail/A 25029-2022 FSC-klagomål mail.docx", "A 25029-2022")</f>
        <v/>
      </c>
      <c r="X155">
        <f>HYPERLINK("https://klasma.github.io/Logging_2309/tillsyn/A 25029-2022 tillsynsbegäran.docx", "A 25029-2022")</f>
        <v/>
      </c>
      <c r="Y155">
        <f>HYPERLINK("https://klasma.github.io/Logging_2309/tillsynsmail/A 25029-2022 tillsynsbegäran mail.docx", "A 25029-2022")</f>
        <v/>
      </c>
      <c r="Z155">
        <f>HYPERLINK("https://klasma.github.io/Logging_2309/fåglar/A 25029-2022 prioriterade fågelarter.docx", "A 25029-2022")</f>
        <v/>
      </c>
    </row>
    <row r="156" ht="15" customHeight="1">
      <c r="A156" t="inlineStr">
        <is>
          <t>A 53363-2022</t>
        </is>
      </c>
      <c r="B156" s="1" t="n">
        <v>44879</v>
      </c>
      <c r="C156" s="1" t="n">
        <v>45730</v>
      </c>
      <c r="D156" t="inlineStr">
        <is>
          <t>JÄMTLANDS LÄN</t>
        </is>
      </c>
      <c r="E156" t="inlineStr">
        <is>
          <t>KROKOM</t>
        </is>
      </c>
      <c r="F156" t="inlineStr">
        <is>
          <t>Kyrkan</t>
        </is>
      </c>
      <c r="G156" t="n">
        <v>13.3</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HYPERLINK("https://klasma.github.io/Logging_2309/artfynd/A 53363-2022 artfynd.xlsx", "A 53363-2022")</f>
        <v/>
      </c>
      <c r="T156">
        <f>HYPERLINK("https://klasma.github.io/Logging_2309/kartor/A 53363-2022 karta.png", "A 53363-2022")</f>
        <v/>
      </c>
      <c r="V156">
        <f>HYPERLINK("https://klasma.github.io/Logging_2309/klagomål/A 53363-2022 FSC-klagomål.docx", "A 53363-2022")</f>
        <v/>
      </c>
      <c r="W156">
        <f>HYPERLINK("https://klasma.github.io/Logging_2309/klagomålsmail/A 53363-2022 FSC-klagomål mail.docx", "A 53363-2022")</f>
        <v/>
      </c>
      <c r="X156">
        <f>HYPERLINK("https://klasma.github.io/Logging_2309/tillsyn/A 53363-2022 tillsynsbegäran.docx", "A 53363-2022")</f>
        <v/>
      </c>
      <c r="Y156">
        <f>HYPERLINK("https://klasma.github.io/Logging_2309/tillsynsmail/A 53363-2022 tillsynsbegäran mail.docx", "A 53363-2022")</f>
        <v/>
      </c>
      <c r="Z156">
        <f>HYPERLINK("https://klasma.github.io/Logging_2309/fåglar/A 53363-2022 prioriterade fågelarter.docx", "A 53363-2022")</f>
        <v/>
      </c>
    </row>
    <row r="157" ht="15" customHeight="1">
      <c r="A157" t="inlineStr">
        <is>
          <t>A 57295-2022</t>
        </is>
      </c>
      <c r="B157" s="1" t="n">
        <v>44895</v>
      </c>
      <c r="C157" s="1" t="n">
        <v>45730</v>
      </c>
      <c r="D157" t="inlineStr">
        <is>
          <t>JÄMTLANDS LÄN</t>
        </is>
      </c>
      <c r="E157" t="inlineStr">
        <is>
          <t>KROKOM</t>
        </is>
      </c>
      <c r="G157" t="n">
        <v>36.3</v>
      </c>
      <c r="H157" t="n">
        <v>2</v>
      </c>
      <c r="I157" t="n">
        <v>0</v>
      </c>
      <c r="J157" t="n">
        <v>3</v>
      </c>
      <c r="K157" t="n">
        <v>1</v>
      </c>
      <c r="L157" t="n">
        <v>0</v>
      </c>
      <c r="M157" t="n">
        <v>0</v>
      </c>
      <c r="N157" t="n">
        <v>0</v>
      </c>
      <c r="O157" t="n">
        <v>4</v>
      </c>
      <c r="P157" t="n">
        <v>1</v>
      </c>
      <c r="Q157" t="n">
        <v>4</v>
      </c>
      <c r="R157" s="2" t="inlineStr">
        <is>
          <t>Doftticka
Garnlav
Lunglav
Tretåig hackspett</t>
        </is>
      </c>
      <c r="S157">
        <f>HYPERLINK("https://klasma.github.io/Logging_2309/artfynd/A 57295-2022 artfynd.xlsx", "A 57295-2022")</f>
        <v/>
      </c>
      <c r="T157">
        <f>HYPERLINK("https://klasma.github.io/Logging_2309/kartor/A 57295-2022 karta.png", "A 57295-2022")</f>
        <v/>
      </c>
      <c r="V157">
        <f>HYPERLINK("https://klasma.github.io/Logging_2309/klagomål/A 57295-2022 FSC-klagomål.docx", "A 57295-2022")</f>
        <v/>
      </c>
      <c r="W157">
        <f>HYPERLINK("https://klasma.github.io/Logging_2309/klagomålsmail/A 57295-2022 FSC-klagomål mail.docx", "A 57295-2022")</f>
        <v/>
      </c>
      <c r="X157">
        <f>HYPERLINK("https://klasma.github.io/Logging_2309/tillsyn/A 57295-2022 tillsynsbegäran.docx", "A 57295-2022")</f>
        <v/>
      </c>
      <c r="Y157">
        <f>HYPERLINK("https://klasma.github.io/Logging_2309/tillsynsmail/A 57295-2022 tillsynsbegäran mail.docx", "A 57295-2022")</f>
        <v/>
      </c>
      <c r="Z157">
        <f>HYPERLINK("https://klasma.github.io/Logging_2309/fåglar/A 57295-2022 prioriterade fågelarter.docx", "A 57295-2022")</f>
        <v/>
      </c>
    </row>
    <row r="158" ht="15" customHeight="1">
      <c r="A158" t="inlineStr">
        <is>
          <t>A 60566-2022</t>
        </is>
      </c>
      <c r="B158" s="1" t="n">
        <v>44904</v>
      </c>
      <c r="C158" s="1" t="n">
        <v>45730</v>
      </c>
      <c r="D158" t="inlineStr">
        <is>
          <t>JÄMTLANDS LÄN</t>
        </is>
      </c>
      <c r="E158" t="inlineStr">
        <is>
          <t>KROKOM</t>
        </is>
      </c>
      <c r="G158" t="n">
        <v>7.1</v>
      </c>
      <c r="H158" t="n">
        <v>1</v>
      </c>
      <c r="I158" t="n">
        <v>0</v>
      </c>
      <c r="J158" t="n">
        <v>3</v>
      </c>
      <c r="K158" t="n">
        <v>1</v>
      </c>
      <c r="L158" t="n">
        <v>0</v>
      </c>
      <c r="M158" t="n">
        <v>0</v>
      </c>
      <c r="N158" t="n">
        <v>0</v>
      </c>
      <c r="O158" t="n">
        <v>4</v>
      </c>
      <c r="P158" t="n">
        <v>1</v>
      </c>
      <c r="Q158" t="n">
        <v>4</v>
      </c>
      <c r="R158" s="2" t="inlineStr">
        <is>
          <t>Fjällfotad fingersvamp
Lunglav
Småflikig brosklav
Talltita</t>
        </is>
      </c>
      <c r="S158">
        <f>HYPERLINK("https://klasma.github.io/Logging_2309/artfynd/A 60566-2022 artfynd.xlsx", "A 60566-2022")</f>
        <v/>
      </c>
      <c r="T158">
        <f>HYPERLINK("https://klasma.github.io/Logging_2309/kartor/A 60566-2022 karta.png", "A 60566-2022")</f>
        <v/>
      </c>
      <c r="V158">
        <f>HYPERLINK("https://klasma.github.io/Logging_2309/klagomål/A 60566-2022 FSC-klagomål.docx", "A 60566-2022")</f>
        <v/>
      </c>
      <c r="W158">
        <f>HYPERLINK("https://klasma.github.io/Logging_2309/klagomålsmail/A 60566-2022 FSC-klagomål mail.docx", "A 60566-2022")</f>
        <v/>
      </c>
      <c r="X158">
        <f>HYPERLINK("https://klasma.github.io/Logging_2309/tillsyn/A 60566-2022 tillsynsbegäran.docx", "A 60566-2022")</f>
        <v/>
      </c>
      <c r="Y158">
        <f>HYPERLINK("https://klasma.github.io/Logging_2309/tillsynsmail/A 60566-2022 tillsynsbegäran mail.docx", "A 60566-2022")</f>
        <v/>
      </c>
      <c r="Z158">
        <f>HYPERLINK("https://klasma.github.io/Logging_2309/fåglar/A 60566-2022 prioriterade fågelarter.docx", "A 60566-2022")</f>
        <v/>
      </c>
    </row>
    <row r="159" ht="15" customHeight="1">
      <c r="A159" t="inlineStr">
        <is>
          <t>A 6682-2023</t>
        </is>
      </c>
      <c r="B159" s="1" t="n">
        <v>44966</v>
      </c>
      <c r="C159" s="1" t="n">
        <v>45730</v>
      </c>
      <c r="D159" t="inlineStr">
        <is>
          <t>JÄMTLANDS LÄN</t>
        </is>
      </c>
      <c r="E159" t="inlineStr">
        <is>
          <t>KROKOM</t>
        </is>
      </c>
      <c r="G159" t="n">
        <v>22.8</v>
      </c>
      <c r="H159" t="n">
        <v>1</v>
      </c>
      <c r="I159" t="n">
        <v>0</v>
      </c>
      <c r="J159" t="n">
        <v>4</v>
      </c>
      <c r="K159" t="n">
        <v>0</v>
      </c>
      <c r="L159" t="n">
        <v>0</v>
      </c>
      <c r="M159" t="n">
        <v>0</v>
      </c>
      <c r="N159" t="n">
        <v>0</v>
      </c>
      <c r="O159" t="n">
        <v>4</v>
      </c>
      <c r="P159" t="n">
        <v>0</v>
      </c>
      <c r="Q159" t="n">
        <v>4</v>
      </c>
      <c r="R159" s="2" t="inlineStr">
        <is>
          <t>Garnlav
Granticka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40179-2023</t>
        </is>
      </c>
      <c r="B160" s="1" t="n">
        <v>45169</v>
      </c>
      <c r="C160" s="1" t="n">
        <v>45730</v>
      </c>
      <c r="D160" t="inlineStr">
        <is>
          <t>JÄMTLANDS LÄN</t>
        </is>
      </c>
      <c r="E160" t="inlineStr">
        <is>
          <t>KROKOM</t>
        </is>
      </c>
      <c r="F160" t="inlineStr">
        <is>
          <t>Övriga Aktiebolag</t>
        </is>
      </c>
      <c r="G160" t="n">
        <v>2.8</v>
      </c>
      <c r="H160" t="n">
        <v>1</v>
      </c>
      <c r="I160" t="n">
        <v>1</v>
      </c>
      <c r="J160" t="n">
        <v>3</v>
      </c>
      <c r="K160" t="n">
        <v>0</v>
      </c>
      <c r="L160" t="n">
        <v>0</v>
      </c>
      <c r="M160" t="n">
        <v>0</v>
      </c>
      <c r="N160" t="n">
        <v>0</v>
      </c>
      <c r="O160" t="n">
        <v>3</v>
      </c>
      <c r="P160" t="n">
        <v>0</v>
      </c>
      <c r="Q160" t="n">
        <v>4</v>
      </c>
      <c r="R160" s="2" t="inlineStr">
        <is>
          <t>Grantaggsvamp
Orange taggsvamp
Tretåig hackspett
Tallfingersvamp</t>
        </is>
      </c>
      <c r="S160">
        <f>HYPERLINK("https://klasma.github.io/Logging_2309/artfynd/A 40179-2023 artfynd.xlsx", "A 40179-2023")</f>
        <v/>
      </c>
      <c r="T160">
        <f>HYPERLINK("https://klasma.github.io/Logging_2309/kartor/A 40179-2023 karta.png", "A 40179-2023")</f>
        <v/>
      </c>
      <c r="V160">
        <f>HYPERLINK("https://klasma.github.io/Logging_2309/klagomål/A 40179-2023 FSC-klagomål.docx", "A 40179-2023")</f>
        <v/>
      </c>
      <c r="W160">
        <f>HYPERLINK("https://klasma.github.io/Logging_2309/klagomålsmail/A 40179-2023 FSC-klagomål mail.docx", "A 40179-2023")</f>
        <v/>
      </c>
      <c r="X160">
        <f>HYPERLINK("https://klasma.github.io/Logging_2309/tillsyn/A 40179-2023 tillsynsbegäran.docx", "A 40179-2023")</f>
        <v/>
      </c>
      <c r="Y160">
        <f>HYPERLINK("https://klasma.github.io/Logging_2309/tillsynsmail/A 40179-2023 tillsynsbegäran mail.docx", "A 40179-2023")</f>
        <v/>
      </c>
      <c r="Z160">
        <f>HYPERLINK("https://klasma.github.io/Logging_2309/fåglar/A 40179-2023 prioriterade fågelarter.docx", "A 40179-2023")</f>
        <v/>
      </c>
    </row>
    <row r="161" ht="15" customHeight="1">
      <c r="A161" t="inlineStr">
        <is>
          <t>A 50218-2023</t>
        </is>
      </c>
      <c r="B161" s="1" t="n">
        <v>45215</v>
      </c>
      <c r="C161" s="1" t="n">
        <v>45730</v>
      </c>
      <c r="D161" t="inlineStr">
        <is>
          <t>JÄMTLANDS LÄN</t>
        </is>
      </c>
      <c r="E161" t="inlineStr">
        <is>
          <t>KROKOM</t>
        </is>
      </c>
      <c r="G161" t="n">
        <v>5.6</v>
      </c>
      <c r="H161" t="n">
        <v>2</v>
      </c>
      <c r="I161" t="n">
        <v>0</v>
      </c>
      <c r="J161" t="n">
        <v>4</v>
      </c>
      <c r="K161" t="n">
        <v>0</v>
      </c>
      <c r="L161" t="n">
        <v>0</v>
      </c>
      <c r="M161" t="n">
        <v>0</v>
      </c>
      <c r="N161" t="n">
        <v>0</v>
      </c>
      <c r="O161" t="n">
        <v>4</v>
      </c>
      <c r="P161" t="n">
        <v>0</v>
      </c>
      <c r="Q161" t="n">
        <v>4</v>
      </c>
      <c r="R161" s="2" t="inlineStr">
        <is>
          <t>Garnlav
Granticka
Spillkråka
Tretåig hackspett</t>
        </is>
      </c>
      <c r="S161">
        <f>HYPERLINK("https://klasma.github.io/Logging_2309/artfynd/A 50218-2023 artfynd.xlsx", "A 50218-2023")</f>
        <v/>
      </c>
      <c r="T161">
        <f>HYPERLINK("https://klasma.github.io/Logging_2309/kartor/A 50218-2023 karta.png", "A 50218-2023")</f>
        <v/>
      </c>
      <c r="V161">
        <f>HYPERLINK("https://klasma.github.io/Logging_2309/klagomål/A 50218-2023 FSC-klagomål.docx", "A 50218-2023")</f>
        <v/>
      </c>
      <c r="W161">
        <f>HYPERLINK("https://klasma.github.io/Logging_2309/klagomålsmail/A 50218-2023 FSC-klagomål mail.docx", "A 50218-2023")</f>
        <v/>
      </c>
      <c r="X161">
        <f>HYPERLINK("https://klasma.github.io/Logging_2309/tillsyn/A 50218-2023 tillsynsbegäran.docx", "A 50218-2023")</f>
        <v/>
      </c>
      <c r="Y161">
        <f>HYPERLINK("https://klasma.github.io/Logging_2309/tillsynsmail/A 50218-2023 tillsynsbegäran mail.docx", "A 50218-2023")</f>
        <v/>
      </c>
      <c r="Z161">
        <f>HYPERLINK("https://klasma.github.io/Logging_2309/fåglar/A 50218-2023 prioriterade fågelarter.docx", "A 50218-2023")</f>
        <v/>
      </c>
    </row>
    <row r="162" ht="15" customHeight="1">
      <c r="A162" t="inlineStr">
        <is>
          <t>A 2256-2024</t>
        </is>
      </c>
      <c r="B162" s="1" t="n">
        <v>45310</v>
      </c>
      <c r="C162" s="1" t="n">
        <v>45730</v>
      </c>
      <c r="D162" t="inlineStr">
        <is>
          <t>JÄMTLANDS LÄN</t>
        </is>
      </c>
      <c r="E162" t="inlineStr">
        <is>
          <t>KROKOM</t>
        </is>
      </c>
      <c r="G162" t="n">
        <v>29.6</v>
      </c>
      <c r="H162" t="n">
        <v>1</v>
      </c>
      <c r="I162" t="n">
        <v>1</v>
      </c>
      <c r="J162" t="n">
        <v>2</v>
      </c>
      <c r="K162" t="n">
        <v>0</v>
      </c>
      <c r="L162" t="n">
        <v>0</v>
      </c>
      <c r="M162" t="n">
        <v>0</v>
      </c>
      <c r="N162" t="n">
        <v>0</v>
      </c>
      <c r="O162" t="n">
        <v>2</v>
      </c>
      <c r="P162" t="n">
        <v>0</v>
      </c>
      <c r="Q162" t="n">
        <v>4</v>
      </c>
      <c r="R162" s="2" t="inlineStr">
        <is>
          <t>Garnlav
Gränsticka
Stuplav
Revlummer</t>
        </is>
      </c>
      <c r="S162">
        <f>HYPERLINK("https://klasma.github.io/Logging_2309/artfynd/A 2256-2024 artfynd.xlsx", "A 2256-2024")</f>
        <v/>
      </c>
      <c r="T162">
        <f>HYPERLINK("https://klasma.github.io/Logging_2309/kartor/A 2256-2024 karta.png", "A 2256-2024")</f>
        <v/>
      </c>
      <c r="V162">
        <f>HYPERLINK("https://klasma.github.io/Logging_2309/klagomål/A 2256-2024 FSC-klagomål.docx", "A 2256-2024")</f>
        <v/>
      </c>
      <c r="W162">
        <f>HYPERLINK("https://klasma.github.io/Logging_2309/klagomålsmail/A 2256-2024 FSC-klagomål mail.docx", "A 2256-2024")</f>
        <v/>
      </c>
      <c r="X162">
        <f>HYPERLINK("https://klasma.github.io/Logging_2309/tillsyn/A 2256-2024 tillsynsbegäran.docx", "A 2256-2024")</f>
        <v/>
      </c>
      <c r="Y162">
        <f>HYPERLINK("https://klasma.github.io/Logging_2309/tillsynsmail/A 2256-2024 tillsynsbegäran mail.docx", "A 2256-2024")</f>
        <v/>
      </c>
    </row>
    <row r="163" ht="15" customHeight="1">
      <c r="A163" t="inlineStr">
        <is>
          <t>A 30498-2024</t>
        </is>
      </c>
      <c r="B163" s="1" t="n">
        <v>45492</v>
      </c>
      <c r="C163" s="1" t="n">
        <v>45730</v>
      </c>
      <c r="D163" t="inlineStr">
        <is>
          <t>JÄMTLANDS LÄN</t>
        </is>
      </c>
      <c r="E163" t="inlineStr">
        <is>
          <t>KROKOM</t>
        </is>
      </c>
      <c r="G163" t="n">
        <v>9.4</v>
      </c>
      <c r="H163" t="n">
        <v>3</v>
      </c>
      <c r="I163" t="n">
        <v>2</v>
      </c>
      <c r="J163" t="n">
        <v>1</v>
      </c>
      <c r="K163" t="n">
        <v>0</v>
      </c>
      <c r="L163" t="n">
        <v>0</v>
      </c>
      <c r="M163" t="n">
        <v>0</v>
      </c>
      <c r="N163" t="n">
        <v>0</v>
      </c>
      <c r="O163" t="n">
        <v>1</v>
      </c>
      <c r="P163" t="n">
        <v>0</v>
      </c>
      <c r="Q163" t="n">
        <v>4</v>
      </c>
      <c r="R163" s="2" t="inlineStr">
        <is>
          <t>Lunglav
Grönkulla
Tvåblad
Blåsippa</t>
        </is>
      </c>
      <c r="S163">
        <f>HYPERLINK("https://klasma.github.io/Logging_2309/artfynd/A 30498-2024 artfynd.xlsx", "A 30498-2024")</f>
        <v/>
      </c>
      <c r="T163">
        <f>HYPERLINK("https://klasma.github.io/Logging_2309/kartor/A 30498-2024 karta.png", "A 30498-2024")</f>
        <v/>
      </c>
      <c r="V163">
        <f>HYPERLINK("https://klasma.github.io/Logging_2309/klagomål/A 30498-2024 FSC-klagomål.docx", "A 30498-2024")</f>
        <v/>
      </c>
      <c r="W163">
        <f>HYPERLINK("https://klasma.github.io/Logging_2309/klagomålsmail/A 30498-2024 FSC-klagomål mail.docx", "A 30498-2024")</f>
        <v/>
      </c>
      <c r="X163">
        <f>HYPERLINK("https://klasma.github.io/Logging_2309/tillsyn/A 30498-2024 tillsynsbegäran.docx", "A 30498-2024")</f>
        <v/>
      </c>
      <c r="Y163">
        <f>HYPERLINK("https://klasma.github.io/Logging_2309/tillsynsmail/A 30498-2024 tillsynsbegäran mail.docx", "A 30498-2024")</f>
        <v/>
      </c>
    </row>
    <row r="164" ht="15" customHeight="1">
      <c r="A164" t="inlineStr">
        <is>
          <t>A 35023-2024</t>
        </is>
      </c>
      <c r="B164" s="1" t="n">
        <v>45527</v>
      </c>
      <c r="C164" s="1" t="n">
        <v>45730</v>
      </c>
      <c r="D164" t="inlineStr">
        <is>
          <t>JÄMTLANDS LÄN</t>
        </is>
      </c>
      <c r="E164" t="inlineStr">
        <is>
          <t>KROKOM</t>
        </is>
      </c>
      <c r="F164" t="inlineStr">
        <is>
          <t>Övriga Aktiebolag</t>
        </is>
      </c>
      <c r="G164" t="n">
        <v>14</v>
      </c>
      <c r="H164" t="n">
        <v>1</v>
      </c>
      <c r="I164" t="n">
        <v>0</v>
      </c>
      <c r="J164" t="n">
        <v>4</v>
      </c>
      <c r="K164" t="n">
        <v>0</v>
      </c>
      <c r="L164" t="n">
        <v>0</v>
      </c>
      <c r="M164" t="n">
        <v>0</v>
      </c>
      <c r="N164" t="n">
        <v>0</v>
      </c>
      <c r="O164" t="n">
        <v>4</v>
      </c>
      <c r="P164" t="n">
        <v>0</v>
      </c>
      <c r="Q164" t="n">
        <v>4</v>
      </c>
      <c r="R164" s="2" t="inlineStr">
        <is>
          <t>Garnlav
Granticka
Harticka
Tretåig hackspett</t>
        </is>
      </c>
      <c r="S164">
        <f>HYPERLINK("https://klasma.github.io/Logging_2309/artfynd/A 35023-2024 artfynd.xlsx", "A 35023-2024")</f>
        <v/>
      </c>
      <c r="T164">
        <f>HYPERLINK("https://klasma.github.io/Logging_2309/kartor/A 35023-2024 karta.png", "A 35023-2024")</f>
        <v/>
      </c>
      <c r="V164">
        <f>HYPERLINK("https://klasma.github.io/Logging_2309/klagomål/A 35023-2024 FSC-klagomål.docx", "A 35023-2024")</f>
        <v/>
      </c>
      <c r="W164">
        <f>HYPERLINK("https://klasma.github.io/Logging_2309/klagomålsmail/A 35023-2024 FSC-klagomål mail.docx", "A 35023-2024")</f>
        <v/>
      </c>
      <c r="X164">
        <f>HYPERLINK("https://klasma.github.io/Logging_2309/tillsyn/A 35023-2024 tillsynsbegäran.docx", "A 35023-2024")</f>
        <v/>
      </c>
      <c r="Y164">
        <f>HYPERLINK("https://klasma.github.io/Logging_2309/tillsynsmail/A 35023-2024 tillsynsbegäran mail.docx", "A 35023-2024")</f>
        <v/>
      </c>
      <c r="Z164">
        <f>HYPERLINK("https://klasma.github.io/Logging_2309/fåglar/A 35023-2024 prioriterade fågelarter.docx", "A 35023-2024")</f>
        <v/>
      </c>
    </row>
    <row r="165" ht="15" customHeight="1">
      <c r="A165" t="inlineStr">
        <is>
          <t>A 49178-2024</t>
        </is>
      </c>
      <c r="B165" s="1" t="n">
        <v>45595</v>
      </c>
      <c r="C165" s="1" t="n">
        <v>45730</v>
      </c>
      <c r="D165" t="inlineStr">
        <is>
          <t>JÄMTLANDS LÄN</t>
        </is>
      </c>
      <c r="E165" t="inlineStr">
        <is>
          <t>KROKOM</t>
        </is>
      </c>
      <c r="G165" t="n">
        <v>96.8</v>
      </c>
      <c r="H165" t="n">
        <v>0</v>
      </c>
      <c r="I165" t="n">
        <v>0</v>
      </c>
      <c r="J165" t="n">
        <v>4</v>
      </c>
      <c r="K165" t="n">
        <v>0</v>
      </c>
      <c r="L165" t="n">
        <v>0</v>
      </c>
      <c r="M165" t="n">
        <v>0</v>
      </c>
      <c r="N165" t="n">
        <v>0</v>
      </c>
      <c r="O165" t="n">
        <v>4</v>
      </c>
      <c r="P165" t="n">
        <v>0</v>
      </c>
      <c r="Q165" t="n">
        <v>4</v>
      </c>
      <c r="R165" s="2" t="inlineStr">
        <is>
          <t>Gammelgransskål
Gränsticka
Rosenticka
Skrovellav</t>
        </is>
      </c>
      <c r="S165">
        <f>HYPERLINK("https://klasma.github.io/Logging_2309/artfynd/A 49178-2024 artfynd.xlsx", "A 49178-2024")</f>
        <v/>
      </c>
      <c r="T165">
        <f>HYPERLINK("https://klasma.github.io/Logging_2309/kartor/A 49178-2024 karta.png", "A 49178-2024")</f>
        <v/>
      </c>
      <c r="V165">
        <f>HYPERLINK("https://klasma.github.io/Logging_2309/klagomål/A 49178-2024 FSC-klagomål.docx", "A 49178-2024")</f>
        <v/>
      </c>
      <c r="W165">
        <f>HYPERLINK("https://klasma.github.io/Logging_2309/klagomålsmail/A 49178-2024 FSC-klagomål mail.docx", "A 49178-2024")</f>
        <v/>
      </c>
      <c r="X165">
        <f>HYPERLINK("https://klasma.github.io/Logging_2309/tillsyn/A 49178-2024 tillsynsbegäran.docx", "A 49178-2024")</f>
        <v/>
      </c>
      <c r="Y165">
        <f>HYPERLINK("https://klasma.github.io/Logging_2309/tillsynsmail/A 49178-2024 tillsynsbegäran mail.docx", "A 49178-2024")</f>
        <v/>
      </c>
    </row>
    <row r="166" ht="15" customHeight="1">
      <c r="A166" t="inlineStr">
        <is>
          <t>A 54427-2024</t>
        </is>
      </c>
      <c r="B166" s="1" t="n">
        <v>45617</v>
      </c>
      <c r="C166" s="1" t="n">
        <v>45730</v>
      </c>
      <c r="D166" t="inlineStr">
        <is>
          <t>JÄMTLANDS LÄN</t>
        </is>
      </c>
      <c r="E166" t="inlineStr">
        <is>
          <t>KROKOM</t>
        </is>
      </c>
      <c r="G166" t="n">
        <v>22.2</v>
      </c>
      <c r="H166" t="n">
        <v>2</v>
      </c>
      <c r="I166" t="n">
        <v>0</v>
      </c>
      <c r="J166" t="n">
        <v>3</v>
      </c>
      <c r="K166" t="n">
        <v>0</v>
      </c>
      <c r="L166" t="n">
        <v>0</v>
      </c>
      <c r="M166" t="n">
        <v>0</v>
      </c>
      <c r="N166" t="n">
        <v>0</v>
      </c>
      <c r="O166" t="n">
        <v>3</v>
      </c>
      <c r="P166" t="n">
        <v>0</v>
      </c>
      <c r="Q166" t="n">
        <v>4</v>
      </c>
      <c r="R166" s="2" t="inlineStr">
        <is>
          <t>Garnlav
Granticka
Tretåig hackspett
Lavskrika</t>
        </is>
      </c>
      <c r="S166">
        <f>HYPERLINK("https://klasma.github.io/Logging_2309/artfynd/A 54427-2024 artfynd.xlsx", "A 54427-2024")</f>
        <v/>
      </c>
      <c r="T166">
        <f>HYPERLINK("https://klasma.github.io/Logging_2309/kartor/A 54427-2024 karta.png", "A 54427-2024")</f>
        <v/>
      </c>
      <c r="V166">
        <f>HYPERLINK("https://klasma.github.io/Logging_2309/klagomål/A 54427-2024 FSC-klagomål.docx", "A 54427-2024")</f>
        <v/>
      </c>
      <c r="W166">
        <f>HYPERLINK("https://klasma.github.io/Logging_2309/klagomålsmail/A 54427-2024 FSC-klagomål mail.docx", "A 54427-2024")</f>
        <v/>
      </c>
      <c r="X166">
        <f>HYPERLINK("https://klasma.github.io/Logging_2309/tillsyn/A 54427-2024 tillsynsbegäran.docx", "A 54427-2024")</f>
        <v/>
      </c>
      <c r="Y166">
        <f>HYPERLINK("https://klasma.github.io/Logging_2309/tillsynsmail/A 54427-2024 tillsynsbegäran mail.docx", "A 54427-2024")</f>
        <v/>
      </c>
      <c r="Z166">
        <f>HYPERLINK("https://klasma.github.io/Logging_2309/fåglar/A 54427-2024 prioriterade fågelarter.docx", "A 54427-2024")</f>
        <v/>
      </c>
    </row>
    <row r="167" ht="15" customHeight="1">
      <c r="A167" t="inlineStr">
        <is>
          <t>A 55224-2024</t>
        </is>
      </c>
      <c r="B167" s="1" t="n">
        <v>45621</v>
      </c>
      <c r="C167" s="1" t="n">
        <v>45730</v>
      </c>
      <c r="D167" t="inlineStr">
        <is>
          <t>JÄMTLANDS LÄN</t>
        </is>
      </c>
      <c r="E167" t="inlineStr">
        <is>
          <t>KROKOM</t>
        </is>
      </c>
      <c r="G167" t="n">
        <v>38.3</v>
      </c>
      <c r="H167" t="n">
        <v>0</v>
      </c>
      <c r="I167" t="n">
        <v>1</v>
      </c>
      <c r="J167" t="n">
        <v>2</v>
      </c>
      <c r="K167" t="n">
        <v>1</v>
      </c>
      <c r="L167" t="n">
        <v>0</v>
      </c>
      <c r="M167" t="n">
        <v>0</v>
      </c>
      <c r="N167" t="n">
        <v>0</v>
      </c>
      <c r="O167" t="n">
        <v>3</v>
      </c>
      <c r="P167" t="n">
        <v>1</v>
      </c>
      <c r="Q167" t="n">
        <v>4</v>
      </c>
      <c r="R167" s="2" t="inlineStr">
        <is>
          <t>Rynkskinn
Granticka
Skrovellav
Fjällig taggsvamp s.str.</t>
        </is>
      </c>
      <c r="S167">
        <f>HYPERLINK("https://klasma.github.io/Logging_2309/artfynd/A 55224-2024 artfynd.xlsx", "A 55224-2024")</f>
        <v/>
      </c>
      <c r="T167">
        <f>HYPERLINK("https://klasma.github.io/Logging_2309/kartor/A 55224-2024 karta.png", "A 55224-2024")</f>
        <v/>
      </c>
      <c r="V167">
        <f>HYPERLINK("https://klasma.github.io/Logging_2309/klagomål/A 55224-2024 FSC-klagomål.docx", "A 55224-2024")</f>
        <v/>
      </c>
      <c r="W167">
        <f>HYPERLINK("https://klasma.github.io/Logging_2309/klagomålsmail/A 55224-2024 FSC-klagomål mail.docx", "A 55224-2024")</f>
        <v/>
      </c>
      <c r="X167">
        <f>HYPERLINK("https://klasma.github.io/Logging_2309/tillsyn/A 55224-2024 tillsynsbegäran.docx", "A 55224-2024")</f>
        <v/>
      </c>
      <c r="Y167">
        <f>HYPERLINK("https://klasma.github.io/Logging_2309/tillsynsmail/A 55224-2024 tillsynsbegäran mail.docx", "A 55224-2024")</f>
        <v/>
      </c>
    </row>
    <row r="168" ht="15" customHeight="1">
      <c r="A168" t="inlineStr">
        <is>
          <t>A 56312-2024</t>
        </is>
      </c>
      <c r="B168" s="1" t="n">
        <v>45624</v>
      </c>
      <c r="C168" s="1" t="n">
        <v>45730</v>
      </c>
      <c r="D168" t="inlineStr">
        <is>
          <t>JÄMTLANDS LÄN</t>
        </is>
      </c>
      <c r="E168" t="inlineStr">
        <is>
          <t>KROKOM</t>
        </is>
      </c>
      <c r="G168" t="n">
        <v>7.2</v>
      </c>
      <c r="H168" t="n">
        <v>2</v>
      </c>
      <c r="I168" t="n">
        <v>0</v>
      </c>
      <c r="J168" t="n">
        <v>4</v>
      </c>
      <c r="K168" t="n">
        <v>0</v>
      </c>
      <c r="L168" t="n">
        <v>0</v>
      </c>
      <c r="M168" t="n">
        <v>0</v>
      </c>
      <c r="N168" t="n">
        <v>0</v>
      </c>
      <c r="O168" t="n">
        <v>4</v>
      </c>
      <c r="P168" t="n">
        <v>0</v>
      </c>
      <c r="Q168" t="n">
        <v>4</v>
      </c>
      <c r="R168" s="2" t="inlineStr">
        <is>
          <t>Granticka
Spillkråka
Tretåig hackspett
Ullticka</t>
        </is>
      </c>
      <c r="S168">
        <f>HYPERLINK("https://klasma.github.io/Logging_2309/artfynd/A 56312-2024 artfynd.xlsx", "A 56312-2024")</f>
        <v/>
      </c>
      <c r="T168">
        <f>HYPERLINK("https://klasma.github.io/Logging_2309/kartor/A 56312-2024 karta.png", "A 56312-2024")</f>
        <v/>
      </c>
      <c r="V168">
        <f>HYPERLINK("https://klasma.github.io/Logging_2309/klagomål/A 56312-2024 FSC-klagomål.docx", "A 56312-2024")</f>
        <v/>
      </c>
      <c r="W168">
        <f>HYPERLINK("https://klasma.github.io/Logging_2309/klagomålsmail/A 56312-2024 FSC-klagomål mail.docx", "A 56312-2024")</f>
        <v/>
      </c>
      <c r="X168">
        <f>HYPERLINK("https://klasma.github.io/Logging_2309/tillsyn/A 56312-2024 tillsynsbegäran.docx", "A 56312-2024")</f>
        <v/>
      </c>
      <c r="Y168">
        <f>HYPERLINK("https://klasma.github.io/Logging_2309/tillsynsmail/A 56312-2024 tillsynsbegäran mail.docx", "A 56312-2024")</f>
        <v/>
      </c>
      <c r="Z168">
        <f>HYPERLINK("https://klasma.github.io/Logging_2309/fåglar/A 56312-2024 prioriterade fågelarter.docx", "A 56312-2024")</f>
        <v/>
      </c>
    </row>
    <row r="169" ht="15" customHeight="1">
      <c r="A169" t="inlineStr">
        <is>
          <t>A 58205-2024</t>
        </is>
      </c>
      <c r="B169" s="1" t="n">
        <v>45632</v>
      </c>
      <c r="C169" s="1" t="n">
        <v>45730</v>
      </c>
      <c r="D169" t="inlineStr">
        <is>
          <t>JÄMTLANDS LÄN</t>
        </is>
      </c>
      <c r="E169" t="inlineStr">
        <is>
          <t>KROKOM</t>
        </is>
      </c>
      <c r="G169" t="n">
        <v>14</v>
      </c>
      <c r="H169" t="n">
        <v>0</v>
      </c>
      <c r="I169" t="n">
        <v>1</v>
      </c>
      <c r="J169" t="n">
        <v>3</v>
      </c>
      <c r="K169" t="n">
        <v>0</v>
      </c>
      <c r="L169" t="n">
        <v>0</v>
      </c>
      <c r="M169" t="n">
        <v>0</v>
      </c>
      <c r="N169" t="n">
        <v>0</v>
      </c>
      <c r="O169" t="n">
        <v>3</v>
      </c>
      <c r="P169" t="n">
        <v>0</v>
      </c>
      <c r="Q169" t="n">
        <v>4</v>
      </c>
      <c r="R169" s="2" t="inlineStr">
        <is>
          <t>Lunglav
Skrovellav
Ullticka
Vedticka</t>
        </is>
      </c>
      <c r="S169">
        <f>HYPERLINK("https://klasma.github.io/Logging_2309/artfynd/A 58205-2024 artfynd.xlsx", "A 58205-2024")</f>
        <v/>
      </c>
      <c r="T169">
        <f>HYPERLINK("https://klasma.github.io/Logging_2309/kartor/A 58205-2024 karta.png", "A 58205-2024")</f>
        <v/>
      </c>
      <c r="V169">
        <f>HYPERLINK("https://klasma.github.io/Logging_2309/klagomål/A 58205-2024 FSC-klagomål.docx", "A 58205-2024")</f>
        <v/>
      </c>
      <c r="W169">
        <f>HYPERLINK("https://klasma.github.io/Logging_2309/klagomålsmail/A 58205-2024 FSC-klagomål mail.docx", "A 58205-2024")</f>
        <v/>
      </c>
      <c r="X169">
        <f>HYPERLINK("https://klasma.github.io/Logging_2309/tillsyn/A 58205-2024 tillsynsbegäran.docx", "A 58205-2024")</f>
        <v/>
      </c>
      <c r="Y169">
        <f>HYPERLINK("https://klasma.github.io/Logging_2309/tillsynsmail/A 58205-2024 tillsynsbegäran mail.docx", "A 58205-2024")</f>
        <v/>
      </c>
    </row>
    <row r="170" ht="15" customHeight="1">
      <c r="A170" t="inlineStr">
        <is>
          <t>A 45683-2019</t>
        </is>
      </c>
      <c r="B170" s="1" t="n">
        <v>43717</v>
      </c>
      <c r="C170" s="1" t="n">
        <v>45730</v>
      </c>
      <c r="D170" t="inlineStr">
        <is>
          <t>JÄMTLANDS LÄN</t>
        </is>
      </c>
      <c r="E170" t="inlineStr">
        <is>
          <t>KROKOM</t>
        </is>
      </c>
      <c r="G170" t="n">
        <v>4.6</v>
      </c>
      <c r="H170" t="n">
        <v>2</v>
      </c>
      <c r="I170" t="n">
        <v>0</v>
      </c>
      <c r="J170" t="n">
        <v>2</v>
      </c>
      <c r="K170" t="n">
        <v>1</v>
      </c>
      <c r="L170" t="n">
        <v>0</v>
      </c>
      <c r="M170" t="n">
        <v>0</v>
      </c>
      <c r="N170" t="n">
        <v>0</v>
      </c>
      <c r="O170" t="n">
        <v>3</v>
      </c>
      <c r="P170" t="n">
        <v>1</v>
      </c>
      <c r="Q170" t="n">
        <v>3</v>
      </c>
      <c r="R170" s="2" t="inlineStr">
        <is>
          <t>Knärot
Gränsticka
Tretåig hackspett</t>
        </is>
      </c>
      <c r="S170">
        <f>HYPERLINK("https://klasma.github.io/Logging_2309/artfynd/A 45683-2019 artfynd.xlsx", "A 45683-2019")</f>
        <v/>
      </c>
      <c r="T170">
        <f>HYPERLINK("https://klasma.github.io/Logging_2309/kartor/A 45683-2019 karta.png", "A 45683-2019")</f>
        <v/>
      </c>
      <c r="U170">
        <f>HYPERLINK("https://klasma.github.io/Logging_2309/knärot/A 45683-2019 karta knärot.png", "A 45683-2019")</f>
        <v/>
      </c>
      <c r="V170">
        <f>HYPERLINK("https://klasma.github.io/Logging_2309/klagomål/A 45683-2019 FSC-klagomål.docx", "A 45683-2019")</f>
        <v/>
      </c>
      <c r="W170">
        <f>HYPERLINK("https://klasma.github.io/Logging_2309/klagomålsmail/A 45683-2019 FSC-klagomål mail.docx", "A 45683-2019")</f>
        <v/>
      </c>
      <c r="X170">
        <f>HYPERLINK("https://klasma.github.io/Logging_2309/tillsyn/A 45683-2019 tillsynsbegäran.docx", "A 45683-2019")</f>
        <v/>
      </c>
      <c r="Y170">
        <f>HYPERLINK("https://klasma.github.io/Logging_2309/tillsynsmail/A 45683-2019 tillsynsbegäran mail.docx", "A 45683-2019")</f>
        <v/>
      </c>
      <c r="Z170">
        <f>HYPERLINK("https://klasma.github.io/Logging_2309/fåglar/A 45683-2019 prioriterade fågelarter.docx", "A 45683-2019")</f>
        <v/>
      </c>
    </row>
    <row r="171" ht="15" customHeight="1">
      <c r="A171" t="inlineStr">
        <is>
          <t>A 57028-2019</t>
        </is>
      </c>
      <c r="B171" s="1" t="n">
        <v>43766</v>
      </c>
      <c r="C171" s="1" t="n">
        <v>45730</v>
      </c>
      <c r="D171" t="inlineStr">
        <is>
          <t>JÄMTLANDS LÄN</t>
        </is>
      </c>
      <c r="E171" t="inlineStr">
        <is>
          <t>KROKOM</t>
        </is>
      </c>
      <c r="G171" t="n">
        <v>13.6</v>
      </c>
      <c r="H171" t="n">
        <v>0</v>
      </c>
      <c r="I171" t="n">
        <v>1</v>
      </c>
      <c r="J171" t="n">
        <v>1</v>
      </c>
      <c r="K171" t="n">
        <v>1</v>
      </c>
      <c r="L171" t="n">
        <v>0</v>
      </c>
      <c r="M171" t="n">
        <v>0</v>
      </c>
      <c r="N171" t="n">
        <v>0</v>
      </c>
      <c r="O171" t="n">
        <v>2</v>
      </c>
      <c r="P171" t="n">
        <v>1</v>
      </c>
      <c r="Q171" t="n">
        <v>3</v>
      </c>
      <c r="R171" s="2" t="inlineStr">
        <is>
          <t>Liten sotlav
Rödbrun blekspik
Rostfläck</t>
        </is>
      </c>
      <c r="S171">
        <f>HYPERLINK("https://klasma.github.io/Logging_2309/artfynd/A 57028-2019 artfynd.xlsx", "A 57028-2019")</f>
        <v/>
      </c>
      <c r="T171">
        <f>HYPERLINK("https://klasma.github.io/Logging_2309/kartor/A 57028-2019 karta.png", "A 57028-2019")</f>
        <v/>
      </c>
      <c r="V171">
        <f>HYPERLINK("https://klasma.github.io/Logging_2309/klagomål/A 57028-2019 FSC-klagomål.docx", "A 57028-2019")</f>
        <v/>
      </c>
      <c r="W171">
        <f>HYPERLINK("https://klasma.github.io/Logging_2309/klagomålsmail/A 57028-2019 FSC-klagomål mail.docx", "A 57028-2019")</f>
        <v/>
      </c>
      <c r="X171">
        <f>HYPERLINK("https://klasma.github.io/Logging_2309/tillsyn/A 57028-2019 tillsynsbegäran.docx", "A 57028-2019")</f>
        <v/>
      </c>
      <c r="Y171">
        <f>HYPERLINK("https://klasma.github.io/Logging_2309/tillsynsmail/A 57028-2019 tillsynsbegäran mail.docx", "A 57028-2019")</f>
        <v/>
      </c>
    </row>
    <row r="172" ht="15" customHeight="1">
      <c r="A172" t="inlineStr">
        <is>
          <t>A 9091-2020</t>
        </is>
      </c>
      <c r="B172" s="1" t="n">
        <v>43879</v>
      </c>
      <c r="C172" s="1" t="n">
        <v>45730</v>
      </c>
      <c r="D172" t="inlineStr">
        <is>
          <t>JÄMTLANDS LÄN</t>
        </is>
      </c>
      <c r="E172" t="inlineStr">
        <is>
          <t>KROKOM</t>
        </is>
      </c>
      <c r="G172" t="n">
        <v>13.4</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9091-2020 artfynd.xlsx", "A 9091-2020")</f>
        <v/>
      </c>
      <c r="T172">
        <f>HYPERLINK("https://klasma.github.io/Logging_2309/kartor/A 9091-2020 karta.png", "A 9091-2020")</f>
        <v/>
      </c>
      <c r="V172">
        <f>HYPERLINK("https://klasma.github.io/Logging_2309/klagomål/A 9091-2020 FSC-klagomål.docx", "A 9091-2020")</f>
        <v/>
      </c>
      <c r="W172">
        <f>HYPERLINK("https://klasma.github.io/Logging_2309/klagomålsmail/A 9091-2020 FSC-klagomål mail.docx", "A 9091-2020")</f>
        <v/>
      </c>
      <c r="X172">
        <f>HYPERLINK("https://klasma.github.io/Logging_2309/tillsyn/A 9091-2020 tillsynsbegäran.docx", "A 9091-2020")</f>
        <v/>
      </c>
      <c r="Y172">
        <f>HYPERLINK("https://klasma.github.io/Logging_2309/tillsynsmail/A 9091-2020 tillsynsbegäran mail.docx", "A 9091-2020")</f>
        <v/>
      </c>
      <c r="Z172">
        <f>HYPERLINK("https://klasma.github.io/Logging_2309/fåglar/A 9091-2020 prioriterade fågelarter.docx", "A 9091-2020")</f>
        <v/>
      </c>
    </row>
    <row r="173" ht="15" customHeight="1">
      <c r="A173" t="inlineStr">
        <is>
          <t>A 53354-2021</t>
        </is>
      </c>
      <c r="B173" s="1" t="n">
        <v>44468</v>
      </c>
      <c r="C173" s="1" t="n">
        <v>45730</v>
      </c>
      <c r="D173" t="inlineStr">
        <is>
          <t>JÄMTLANDS LÄN</t>
        </is>
      </c>
      <c r="E173" t="inlineStr">
        <is>
          <t>KROKOM</t>
        </is>
      </c>
      <c r="F173" t="inlineStr">
        <is>
          <t>Kyrkan</t>
        </is>
      </c>
      <c r="G173" t="n">
        <v>7.8</v>
      </c>
      <c r="H173" t="n">
        <v>0</v>
      </c>
      <c r="I173" t="n">
        <v>1</v>
      </c>
      <c r="J173" t="n">
        <v>2</v>
      </c>
      <c r="K173" t="n">
        <v>0</v>
      </c>
      <c r="L173" t="n">
        <v>0</v>
      </c>
      <c r="M173" t="n">
        <v>0</v>
      </c>
      <c r="N173" t="n">
        <v>0</v>
      </c>
      <c r="O173" t="n">
        <v>2</v>
      </c>
      <c r="P173" t="n">
        <v>0</v>
      </c>
      <c r="Q173" t="n">
        <v>3</v>
      </c>
      <c r="R173" s="2" t="inlineStr">
        <is>
          <t>Granticka
Lunglav
Stuplav</t>
        </is>
      </c>
      <c r="S173">
        <f>HYPERLINK("https://klasma.github.io/Logging_2309/artfynd/A 53354-2021 artfynd.xlsx", "A 53354-2021")</f>
        <v/>
      </c>
      <c r="T173">
        <f>HYPERLINK("https://klasma.github.io/Logging_2309/kartor/A 53354-2021 karta.png", "A 53354-2021")</f>
        <v/>
      </c>
      <c r="V173">
        <f>HYPERLINK("https://klasma.github.io/Logging_2309/klagomål/A 53354-2021 FSC-klagomål.docx", "A 53354-2021")</f>
        <v/>
      </c>
      <c r="W173">
        <f>HYPERLINK("https://klasma.github.io/Logging_2309/klagomålsmail/A 53354-2021 FSC-klagomål mail.docx", "A 53354-2021")</f>
        <v/>
      </c>
      <c r="X173">
        <f>HYPERLINK("https://klasma.github.io/Logging_2309/tillsyn/A 53354-2021 tillsynsbegäran.docx", "A 53354-2021")</f>
        <v/>
      </c>
      <c r="Y173">
        <f>HYPERLINK("https://klasma.github.io/Logging_2309/tillsynsmail/A 53354-2021 tillsynsbegäran mail.docx", "A 53354-2021")</f>
        <v/>
      </c>
    </row>
    <row r="174" ht="15" customHeight="1">
      <c r="A174" t="inlineStr">
        <is>
          <t>A 64300-2021</t>
        </is>
      </c>
      <c r="B174" s="1" t="n">
        <v>44510</v>
      </c>
      <c r="C174" s="1" t="n">
        <v>45730</v>
      </c>
      <c r="D174" t="inlineStr">
        <is>
          <t>JÄMTLANDS LÄN</t>
        </is>
      </c>
      <c r="E174" t="inlineStr">
        <is>
          <t>KROKOM</t>
        </is>
      </c>
      <c r="G174" t="n">
        <v>8.6</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64300-2021 artfynd.xlsx", "A 64300-2021")</f>
        <v/>
      </c>
      <c r="T174">
        <f>HYPERLINK("https://klasma.github.io/Logging_2309/kartor/A 64300-2021 karta.png", "A 64300-2021")</f>
        <v/>
      </c>
      <c r="V174">
        <f>HYPERLINK("https://klasma.github.io/Logging_2309/klagomål/A 64300-2021 FSC-klagomål.docx", "A 64300-2021")</f>
        <v/>
      </c>
      <c r="W174">
        <f>HYPERLINK("https://klasma.github.io/Logging_2309/klagomålsmail/A 64300-2021 FSC-klagomål mail.docx", "A 64300-2021")</f>
        <v/>
      </c>
      <c r="X174">
        <f>HYPERLINK("https://klasma.github.io/Logging_2309/tillsyn/A 64300-2021 tillsynsbegäran.docx", "A 64300-2021")</f>
        <v/>
      </c>
      <c r="Y174">
        <f>HYPERLINK("https://klasma.github.io/Logging_2309/tillsynsmail/A 64300-2021 tillsynsbegäran mail.docx", "A 64300-2021")</f>
        <v/>
      </c>
    </row>
    <row r="175" ht="15" customHeight="1">
      <c r="A175" t="inlineStr">
        <is>
          <t>A 71573-2021</t>
        </is>
      </c>
      <c r="B175" s="1" t="n">
        <v>44540</v>
      </c>
      <c r="C175" s="1" t="n">
        <v>45730</v>
      </c>
      <c r="D175" t="inlineStr">
        <is>
          <t>JÄMTLANDS LÄN</t>
        </is>
      </c>
      <c r="E175" t="inlineStr">
        <is>
          <t>KROKOM</t>
        </is>
      </c>
      <c r="G175" t="n">
        <v>1</v>
      </c>
      <c r="H175" t="n">
        <v>0</v>
      </c>
      <c r="I175" t="n">
        <v>2</v>
      </c>
      <c r="J175" t="n">
        <v>1</v>
      </c>
      <c r="K175" t="n">
        <v>0</v>
      </c>
      <c r="L175" t="n">
        <v>0</v>
      </c>
      <c r="M175" t="n">
        <v>0</v>
      </c>
      <c r="N175" t="n">
        <v>0</v>
      </c>
      <c r="O175" t="n">
        <v>1</v>
      </c>
      <c r="P175" t="n">
        <v>0</v>
      </c>
      <c r="Q175" t="n">
        <v>3</v>
      </c>
      <c r="R175" s="2" t="inlineStr">
        <is>
          <t>Doftskinn
Fjällig taggsvamp s.str.
Svavelriska</t>
        </is>
      </c>
      <c r="S175">
        <f>HYPERLINK("https://klasma.github.io/Logging_2309/artfynd/A 71573-2021 artfynd.xlsx", "A 71573-2021")</f>
        <v/>
      </c>
      <c r="T175">
        <f>HYPERLINK("https://klasma.github.io/Logging_2309/kartor/A 71573-2021 karta.png", "A 71573-2021")</f>
        <v/>
      </c>
      <c r="V175">
        <f>HYPERLINK("https://klasma.github.io/Logging_2309/klagomål/A 71573-2021 FSC-klagomål.docx", "A 71573-2021")</f>
        <v/>
      </c>
      <c r="W175">
        <f>HYPERLINK("https://klasma.github.io/Logging_2309/klagomålsmail/A 71573-2021 FSC-klagomål mail.docx", "A 71573-2021")</f>
        <v/>
      </c>
      <c r="X175">
        <f>HYPERLINK("https://klasma.github.io/Logging_2309/tillsyn/A 71573-2021 tillsynsbegäran.docx", "A 71573-2021")</f>
        <v/>
      </c>
      <c r="Y175">
        <f>HYPERLINK("https://klasma.github.io/Logging_2309/tillsynsmail/A 71573-2021 tillsynsbegäran mail.docx", "A 71573-2021")</f>
        <v/>
      </c>
    </row>
    <row r="176" ht="15" customHeight="1">
      <c r="A176" t="inlineStr">
        <is>
          <t>A 30068-2022</t>
        </is>
      </c>
      <c r="B176" s="1" t="n">
        <v>44757</v>
      </c>
      <c r="C176" s="1" t="n">
        <v>45730</v>
      </c>
      <c r="D176" t="inlineStr">
        <is>
          <t>JÄMTLANDS LÄN</t>
        </is>
      </c>
      <c r="E176" t="inlineStr">
        <is>
          <t>KROKOM</t>
        </is>
      </c>
      <c r="G176" t="n">
        <v>5</v>
      </c>
      <c r="H176" t="n">
        <v>1</v>
      </c>
      <c r="I176" t="n">
        <v>0</v>
      </c>
      <c r="J176" t="n">
        <v>3</v>
      </c>
      <c r="K176" t="n">
        <v>0</v>
      </c>
      <c r="L176" t="n">
        <v>0</v>
      </c>
      <c r="M176" t="n">
        <v>0</v>
      </c>
      <c r="N176" t="n">
        <v>0</v>
      </c>
      <c r="O176" t="n">
        <v>3</v>
      </c>
      <c r="P176" t="n">
        <v>0</v>
      </c>
      <c r="Q176" t="n">
        <v>3</v>
      </c>
      <c r="R176" s="2" t="inlineStr">
        <is>
          <t>Gränsticka
Tretåig hackspett
Ullticka</t>
        </is>
      </c>
      <c r="S176">
        <f>HYPERLINK("https://klasma.github.io/Logging_2309/artfynd/A 30068-2022 artfynd.xlsx", "A 30068-2022")</f>
        <v/>
      </c>
      <c r="T176">
        <f>HYPERLINK("https://klasma.github.io/Logging_2309/kartor/A 30068-2022 karta.png", "A 30068-2022")</f>
        <v/>
      </c>
      <c r="V176">
        <f>HYPERLINK("https://klasma.github.io/Logging_2309/klagomål/A 30068-2022 FSC-klagomål.docx", "A 30068-2022")</f>
        <v/>
      </c>
      <c r="W176">
        <f>HYPERLINK("https://klasma.github.io/Logging_2309/klagomålsmail/A 30068-2022 FSC-klagomål mail.docx", "A 30068-2022")</f>
        <v/>
      </c>
      <c r="X176">
        <f>HYPERLINK("https://klasma.github.io/Logging_2309/tillsyn/A 30068-2022 tillsynsbegäran.docx", "A 30068-2022")</f>
        <v/>
      </c>
      <c r="Y176">
        <f>HYPERLINK("https://klasma.github.io/Logging_2309/tillsynsmail/A 30068-2022 tillsynsbegäran mail.docx", "A 30068-2022")</f>
        <v/>
      </c>
      <c r="Z176">
        <f>HYPERLINK("https://klasma.github.io/Logging_2309/fåglar/A 30068-2022 prioriterade fågelarter.docx", "A 30068-2022")</f>
        <v/>
      </c>
    </row>
    <row r="177" ht="15" customHeight="1">
      <c r="A177" t="inlineStr">
        <is>
          <t>A 30069-2022</t>
        </is>
      </c>
      <c r="B177" s="1" t="n">
        <v>44757</v>
      </c>
      <c r="C177" s="1" t="n">
        <v>45730</v>
      </c>
      <c r="D177" t="inlineStr">
        <is>
          <t>JÄMTLANDS LÄN</t>
        </is>
      </c>
      <c r="E177" t="inlineStr">
        <is>
          <t>KROKOM</t>
        </is>
      </c>
      <c r="G177" t="n">
        <v>0.7</v>
      </c>
      <c r="H177" t="n">
        <v>1</v>
      </c>
      <c r="I177" t="n">
        <v>0</v>
      </c>
      <c r="J177" t="n">
        <v>2</v>
      </c>
      <c r="K177" t="n">
        <v>1</v>
      </c>
      <c r="L177" t="n">
        <v>0</v>
      </c>
      <c r="M177" t="n">
        <v>0</v>
      </c>
      <c r="N177" t="n">
        <v>0</v>
      </c>
      <c r="O177" t="n">
        <v>3</v>
      </c>
      <c r="P177" t="n">
        <v>1</v>
      </c>
      <c r="Q177" t="n">
        <v>3</v>
      </c>
      <c r="R177" s="2" t="inlineStr">
        <is>
          <t>Rynkskinn
Granticka
Tretåig hackspett</t>
        </is>
      </c>
      <c r="S177">
        <f>HYPERLINK("https://klasma.github.io/Logging_2309/artfynd/A 30069-2022 artfynd.xlsx", "A 30069-2022")</f>
        <v/>
      </c>
      <c r="T177">
        <f>HYPERLINK("https://klasma.github.io/Logging_2309/kartor/A 30069-2022 karta.png", "A 30069-2022")</f>
        <v/>
      </c>
      <c r="V177">
        <f>HYPERLINK("https://klasma.github.io/Logging_2309/klagomål/A 30069-2022 FSC-klagomål.docx", "A 30069-2022")</f>
        <v/>
      </c>
      <c r="W177">
        <f>HYPERLINK("https://klasma.github.io/Logging_2309/klagomålsmail/A 30069-2022 FSC-klagomål mail.docx", "A 30069-2022")</f>
        <v/>
      </c>
      <c r="X177">
        <f>HYPERLINK("https://klasma.github.io/Logging_2309/tillsyn/A 30069-2022 tillsynsbegäran.docx", "A 30069-2022")</f>
        <v/>
      </c>
      <c r="Y177">
        <f>HYPERLINK("https://klasma.github.io/Logging_2309/tillsynsmail/A 30069-2022 tillsynsbegäran mail.docx", "A 30069-2022")</f>
        <v/>
      </c>
      <c r="Z177">
        <f>HYPERLINK("https://klasma.github.io/Logging_2309/fåglar/A 30069-2022 prioriterade fågelarter.docx", "A 30069-2022")</f>
        <v/>
      </c>
    </row>
    <row r="178" ht="15" customHeight="1">
      <c r="A178" t="inlineStr">
        <is>
          <t>A 44869-2022</t>
        </is>
      </c>
      <c r="B178" s="1" t="n">
        <v>44841</v>
      </c>
      <c r="C178" s="1" t="n">
        <v>45730</v>
      </c>
      <c r="D178" t="inlineStr">
        <is>
          <t>JÄMTLANDS LÄN</t>
        </is>
      </c>
      <c r="E178" t="inlineStr">
        <is>
          <t>KROKOM</t>
        </is>
      </c>
      <c r="G178" t="n">
        <v>4.5</v>
      </c>
      <c r="H178" t="n">
        <v>1</v>
      </c>
      <c r="I178" t="n">
        <v>0</v>
      </c>
      <c r="J178" t="n">
        <v>1</v>
      </c>
      <c r="K178" t="n">
        <v>2</v>
      </c>
      <c r="L178" t="n">
        <v>0</v>
      </c>
      <c r="M178" t="n">
        <v>0</v>
      </c>
      <c r="N178" t="n">
        <v>0</v>
      </c>
      <c r="O178" t="n">
        <v>3</v>
      </c>
      <c r="P178" t="n">
        <v>2</v>
      </c>
      <c r="Q178" t="n">
        <v>3</v>
      </c>
      <c r="R178" s="2" t="inlineStr">
        <is>
          <t>Knärot
Ulltickeporing
Lunglav</t>
        </is>
      </c>
      <c r="S178">
        <f>HYPERLINK("https://klasma.github.io/Logging_2309/artfynd/A 44869-2022 artfynd.xlsx", "A 44869-2022")</f>
        <v/>
      </c>
      <c r="T178">
        <f>HYPERLINK("https://klasma.github.io/Logging_2309/kartor/A 44869-2022 karta.png", "A 44869-2022")</f>
        <v/>
      </c>
      <c r="U178">
        <f>HYPERLINK("https://klasma.github.io/Logging_2309/knärot/A 44869-2022 karta knärot.png", "A 44869-2022")</f>
        <v/>
      </c>
      <c r="V178">
        <f>HYPERLINK("https://klasma.github.io/Logging_2309/klagomål/A 44869-2022 FSC-klagomål.docx", "A 44869-2022")</f>
        <v/>
      </c>
      <c r="W178">
        <f>HYPERLINK("https://klasma.github.io/Logging_2309/klagomålsmail/A 44869-2022 FSC-klagomål mail.docx", "A 44869-2022")</f>
        <v/>
      </c>
      <c r="X178">
        <f>HYPERLINK("https://klasma.github.io/Logging_2309/tillsyn/A 44869-2022 tillsynsbegäran.docx", "A 44869-2022")</f>
        <v/>
      </c>
      <c r="Y178">
        <f>HYPERLINK("https://klasma.github.io/Logging_2309/tillsynsmail/A 44869-2022 tillsynsbegäran mail.docx", "A 44869-2022")</f>
        <v/>
      </c>
    </row>
    <row r="179" ht="15" customHeight="1">
      <c r="A179" t="inlineStr">
        <is>
          <t>A 51663-2022</t>
        </is>
      </c>
      <c r="B179" s="1" t="n">
        <v>44867</v>
      </c>
      <c r="C179" s="1" t="n">
        <v>45730</v>
      </c>
      <c r="D179" t="inlineStr">
        <is>
          <t>JÄMTLANDS LÄN</t>
        </is>
      </c>
      <c r="E179" t="inlineStr">
        <is>
          <t>KROKOM</t>
        </is>
      </c>
      <c r="G179" t="n">
        <v>28.5</v>
      </c>
      <c r="H179" t="n">
        <v>1</v>
      </c>
      <c r="I179" t="n">
        <v>0</v>
      </c>
      <c r="J179" t="n">
        <v>3</v>
      </c>
      <c r="K179" t="n">
        <v>0</v>
      </c>
      <c r="L179" t="n">
        <v>0</v>
      </c>
      <c r="M179" t="n">
        <v>0</v>
      </c>
      <c r="N179" t="n">
        <v>0</v>
      </c>
      <c r="O179" t="n">
        <v>3</v>
      </c>
      <c r="P179" t="n">
        <v>0</v>
      </c>
      <c r="Q179" t="n">
        <v>3</v>
      </c>
      <c r="R179" s="2" t="inlineStr">
        <is>
          <t>Garnlav
Granticka
Tretåig hackspett</t>
        </is>
      </c>
      <c r="S179">
        <f>HYPERLINK("https://klasma.github.io/Logging_2309/artfynd/A 51663-2022 artfynd.xlsx", "A 51663-2022")</f>
        <v/>
      </c>
      <c r="T179">
        <f>HYPERLINK("https://klasma.github.io/Logging_2309/kartor/A 51663-2022 karta.png", "A 51663-2022")</f>
        <v/>
      </c>
      <c r="V179">
        <f>HYPERLINK("https://klasma.github.io/Logging_2309/klagomål/A 51663-2022 FSC-klagomål.docx", "A 51663-2022")</f>
        <v/>
      </c>
      <c r="W179">
        <f>HYPERLINK("https://klasma.github.io/Logging_2309/klagomålsmail/A 51663-2022 FSC-klagomål mail.docx", "A 51663-2022")</f>
        <v/>
      </c>
      <c r="X179">
        <f>HYPERLINK("https://klasma.github.io/Logging_2309/tillsyn/A 51663-2022 tillsynsbegäran.docx", "A 51663-2022")</f>
        <v/>
      </c>
      <c r="Y179">
        <f>HYPERLINK("https://klasma.github.io/Logging_2309/tillsynsmail/A 51663-2022 tillsynsbegäran mail.docx", "A 51663-2022")</f>
        <v/>
      </c>
      <c r="Z179">
        <f>HYPERLINK("https://klasma.github.io/Logging_2309/fåglar/A 51663-2022 prioriterade fågelarter.docx", "A 51663-2022")</f>
        <v/>
      </c>
    </row>
    <row r="180" ht="15" customHeight="1">
      <c r="A180" t="inlineStr">
        <is>
          <t>A 52264-2022</t>
        </is>
      </c>
      <c r="B180" s="1" t="n">
        <v>44873</v>
      </c>
      <c r="C180" s="1" t="n">
        <v>45730</v>
      </c>
      <c r="D180" t="inlineStr">
        <is>
          <t>JÄMTLANDS LÄN</t>
        </is>
      </c>
      <c r="E180" t="inlineStr">
        <is>
          <t>KROKOM</t>
        </is>
      </c>
      <c r="G180" t="n">
        <v>4.1</v>
      </c>
      <c r="H180" t="n">
        <v>2</v>
      </c>
      <c r="I180" t="n">
        <v>0</v>
      </c>
      <c r="J180" t="n">
        <v>2</v>
      </c>
      <c r="K180" t="n">
        <v>1</v>
      </c>
      <c r="L180" t="n">
        <v>0</v>
      </c>
      <c r="M180" t="n">
        <v>0</v>
      </c>
      <c r="N180" t="n">
        <v>0</v>
      </c>
      <c r="O180" t="n">
        <v>3</v>
      </c>
      <c r="P180" t="n">
        <v>1</v>
      </c>
      <c r="Q180" t="n">
        <v>3</v>
      </c>
      <c r="R180" s="2" t="inlineStr">
        <is>
          <t>Knärot
Tretåig hackspett
Ullticka</t>
        </is>
      </c>
      <c r="S180">
        <f>HYPERLINK("https://klasma.github.io/Logging_2309/artfynd/A 52264-2022 artfynd.xlsx", "A 52264-2022")</f>
        <v/>
      </c>
      <c r="T180">
        <f>HYPERLINK("https://klasma.github.io/Logging_2309/kartor/A 52264-2022 karta.png", "A 52264-2022")</f>
        <v/>
      </c>
      <c r="U180">
        <f>HYPERLINK("https://klasma.github.io/Logging_2309/knärot/A 52264-2022 karta knärot.png", "A 52264-2022")</f>
        <v/>
      </c>
      <c r="V180">
        <f>HYPERLINK("https://klasma.github.io/Logging_2309/klagomål/A 52264-2022 FSC-klagomål.docx", "A 52264-2022")</f>
        <v/>
      </c>
      <c r="W180">
        <f>HYPERLINK("https://klasma.github.io/Logging_2309/klagomålsmail/A 52264-2022 FSC-klagomål mail.docx", "A 52264-2022")</f>
        <v/>
      </c>
      <c r="X180">
        <f>HYPERLINK("https://klasma.github.io/Logging_2309/tillsyn/A 52264-2022 tillsynsbegäran.docx", "A 52264-2022")</f>
        <v/>
      </c>
      <c r="Y180">
        <f>HYPERLINK("https://klasma.github.io/Logging_2309/tillsynsmail/A 52264-2022 tillsynsbegäran mail.docx", "A 52264-2022")</f>
        <v/>
      </c>
      <c r="Z180">
        <f>HYPERLINK("https://klasma.github.io/Logging_2309/fåglar/A 52264-2022 prioriterade fågelarter.docx", "A 52264-2022")</f>
        <v/>
      </c>
    </row>
    <row r="181" ht="15" customHeight="1">
      <c r="A181" t="inlineStr">
        <is>
          <t>A 41404-2023</t>
        </is>
      </c>
      <c r="B181" s="1" t="n">
        <v>45174</v>
      </c>
      <c r="C181" s="1" t="n">
        <v>45730</v>
      </c>
      <c r="D181" t="inlineStr">
        <is>
          <t>JÄMTLANDS LÄN</t>
        </is>
      </c>
      <c r="E181" t="inlineStr">
        <is>
          <t>KROKOM</t>
        </is>
      </c>
      <c r="G181" t="n">
        <v>17.2</v>
      </c>
      <c r="H181" t="n">
        <v>2</v>
      </c>
      <c r="I181" t="n">
        <v>0</v>
      </c>
      <c r="J181" t="n">
        <v>2</v>
      </c>
      <c r="K181" t="n">
        <v>0</v>
      </c>
      <c r="L181" t="n">
        <v>0</v>
      </c>
      <c r="M181" t="n">
        <v>0</v>
      </c>
      <c r="N181" t="n">
        <v>0</v>
      </c>
      <c r="O181" t="n">
        <v>2</v>
      </c>
      <c r="P181" t="n">
        <v>0</v>
      </c>
      <c r="Q181" t="n">
        <v>3</v>
      </c>
      <c r="R181" s="2" t="inlineStr">
        <is>
          <t>Lunglav
Tretåig hackspett
Fläcknycklar</t>
        </is>
      </c>
      <c r="S181">
        <f>HYPERLINK("https://klasma.github.io/Logging_2309/artfynd/A 41404-2023 artfynd.xlsx", "A 41404-2023")</f>
        <v/>
      </c>
      <c r="T181">
        <f>HYPERLINK("https://klasma.github.io/Logging_2309/kartor/A 41404-2023 karta.png", "A 41404-2023")</f>
        <v/>
      </c>
      <c r="V181">
        <f>HYPERLINK("https://klasma.github.io/Logging_2309/klagomål/A 41404-2023 FSC-klagomål.docx", "A 41404-2023")</f>
        <v/>
      </c>
      <c r="W181">
        <f>HYPERLINK("https://klasma.github.io/Logging_2309/klagomålsmail/A 41404-2023 FSC-klagomål mail.docx", "A 41404-2023")</f>
        <v/>
      </c>
      <c r="X181">
        <f>HYPERLINK("https://klasma.github.io/Logging_2309/tillsyn/A 41404-2023 tillsynsbegäran.docx", "A 41404-2023")</f>
        <v/>
      </c>
      <c r="Y181">
        <f>HYPERLINK("https://klasma.github.io/Logging_2309/tillsynsmail/A 41404-2023 tillsynsbegäran mail.docx", "A 41404-2023")</f>
        <v/>
      </c>
      <c r="Z181">
        <f>HYPERLINK("https://klasma.github.io/Logging_2309/fåglar/A 41404-2023 prioriterade fågelarter.docx", "A 41404-2023")</f>
        <v/>
      </c>
    </row>
    <row r="182" ht="15" customHeight="1">
      <c r="A182" t="inlineStr">
        <is>
          <t>A 46013-2023</t>
        </is>
      </c>
      <c r="B182" s="1" t="n">
        <v>45196</v>
      </c>
      <c r="C182" s="1" t="n">
        <v>45730</v>
      </c>
      <c r="D182" t="inlineStr">
        <is>
          <t>JÄMTLANDS LÄN</t>
        </is>
      </c>
      <c r="E182" t="inlineStr">
        <is>
          <t>KROKOM</t>
        </is>
      </c>
      <c r="G182" t="n">
        <v>8.1</v>
      </c>
      <c r="H182" t="n">
        <v>1</v>
      </c>
      <c r="I182" t="n">
        <v>2</v>
      </c>
      <c r="J182" t="n">
        <v>0</v>
      </c>
      <c r="K182" t="n">
        <v>0</v>
      </c>
      <c r="L182" t="n">
        <v>0</v>
      </c>
      <c r="M182" t="n">
        <v>0</v>
      </c>
      <c r="N182" t="n">
        <v>0</v>
      </c>
      <c r="O182" t="n">
        <v>0</v>
      </c>
      <c r="P182" t="n">
        <v>0</v>
      </c>
      <c r="Q182" t="n">
        <v>3</v>
      </c>
      <c r="R182" s="2" t="inlineStr">
        <is>
          <t>Svavelriska
Underviol
Blåsippa</t>
        </is>
      </c>
      <c r="S182">
        <f>HYPERLINK("https://klasma.github.io/Logging_2309/artfynd/A 46013-2023 artfynd.xlsx", "A 46013-2023")</f>
        <v/>
      </c>
      <c r="T182">
        <f>HYPERLINK("https://klasma.github.io/Logging_2309/kartor/A 46013-2023 karta.png", "A 46013-2023")</f>
        <v/>
      </c>
      <c r="V182">
        <f>HYPERLINK("https://klasma.github.io/Logging_2309/klagomål/A 46013-2023 FSC-klagomål.docx", "A 46013-2023")</f>
        <v/>
      </c>
      <c r="W182">
        <f>HYPERLINK("https://klasma.github.io/Logging_2309/klagomålsmail/A 46013-2023 FSC-klagomål mail.docx", "A 46013-2023")</f>
        <v/>
      </c>
      <c r="X182">
        <f>HYPERLINK("https://klasma.github.io/Logging_2309/tillsyn/A 46013-2023 tillsynsbegäran.docx", "A 46013-2023")</f>
        <v/>
      </c>
      <c r="Y182">
        <f>HYPERLINK("https://klasma.github.io/Logging_2309/tillsynsmail/A 46013-2023 tillsynsbegäran mail.docx", "A 46013-2023")</f>
        <v/>
      </c>
    </row>
    <row r="183" ht="15" customHeight="1">
      <c r="A183" t="inlineStr">
        <is>
          <t>A 50431-2023</t>
        </is>
      </c>
      <c r="B183" s="1" t="n">
        <v>45216</v>
      </c>
      <c r="C183" s="1" t="n">
        <v>45730</v>
      </c>
      <c r="D183" t="inlineStr">
        <is>
          <t>JÄMTLANDS LÄN</t>
        </is>
      </c>
      <c r="E183" t="inlineStr">
        <is>
          <t>KROKOM</t>
        </is>
      </c>
      <c r="G183" t="n">
        <v>6.9</v>
      </c>
      <c r="H183" t="n">
        <v>1</v>
      </c>
      <c r="I183" t="n">
        <v>0</v>
      </c>
      <c r="J183" t="n">
        <v>3</v>
      </c>
      <c r="K183" t="n">
        <v>0</v>
      </c>
      <c r="L183" t="n">
        <v>0</v>
      </c>
      <c r="M183" t="n">
        <v>0</v>
      </c>
      <c r="N183" t="n">
        <v>0</v>
      </c>
      <c r="O183" t="n">
        <v>3</v>
      </c>
      <c r="P183" t="n">
        <v>0</v>
      </c>
      <c r="Q183" t="n">
        <v>3</v>
      </c>
      <c r="R183" s="2" t="inlineStr">
        <is>
          <t>Granticka
Lunglav
Tretåig hackspett</t>
        </is>
      </c>
      <c r="S183">
        <f>HYPERLINK("https://klasma.github.io/Logging_2309/artfynd/A 50431-2023 artfynd.xlsx", "A 50431-2023")</f>
        <v/>
      </c>
      <c r="T183">
        <f>HYPERLINK("https://klasma.github.io/Logging_2309/kartor/A 50431-2023 karta.png", "A 50431-2023")</f>
        <v/>
      </c>
      <c r="V183">
        <f>HYPERLINK("https://klasma.github.io/Logging_2309/klagomål/A 50431-2023 FSC-klagomål.docx", "A 50431-2023")</f>
        <v/>
      </c>
      <c r="W183">
        <f>HYPERLINK("https://klasma.github.io/Logging_2309/klagomålsmail/A 50431-2023 FSC-klagomål mail.docx", "A 50431-2023")</f>
        <v/>
      </c>
      <c r="X183">
        <f>HYPERLINK("https://klasma.github.io/Logging_2309/tillsyn/A 50431-2023 tillsynsbegäran.docx", "A 50431-2023")</f>
        <v/>
      </c>
      <c r="Y183">
        <f>HYPERLINK("https://klasma.github.io/Logging_2309/tillsynsmail/A 50431-2023 tillsynsbegäran mail.docx", "A 50431-2023")</f>
        <v/>
      </c>
      <c r="Z183">
        <f>HYPERLINK("https://klasma.github.io/Logging_2309/fåglar/A 50431-2023 prioriterade fågelarter.docx", "A 50431-2023")</f>
        <v/>
      </c>
    </row>
    <row r="184" ht="15" customHeight="1">
      <c r="A184" t="inlineStr">
        <is>
          <t>A 50345-2023</t>
        </is>
      </c>
      <c r="B184" s="1" t="n">
        <v>45216</v>
      </c>
      <c r="C184" s="1" t="n">
        <v>45730</v>
      </c>
      <c r="D184" t="inlineStr">
        <is>
          <t>JÄMTLANDS LÄN</t>
        </is>
      </c>
      <c r="E184" t="inlineStr">
        <is>
          <t>KROKOM</t>
        </is>
      </c>
      <c r="F184" t="inlineStr">
        <is>
          <t>Övriga Aktiebolag</t>
        </is>
      </c>
      <c r="G184" t="n">
        <v>0.6</v>
      </c>
      <c r="H184" t="n">
        <v>2</v>
      </c>
      <c r="I184" t="n">
        <v>0</v>
      </c>
      <c r="J184" t="n">
        <v>3</v>
      </c>
      <c r="K184" t="n">
        <v>0</v>
      </c>
      <c r="L184" t="n">
        <v>0</v>
      </c>
      <c r="M184" t="n">
        <v>0</v>
      </c>
      <c r="N184" t="n">
        <v>0</v>
      </c>
      <c r="O184" t="n">
        <v>3</v>
      </c>
      <c r="P184" t="n">
        <v>0</v>
      </c>
      <c r="Q184" t="n">
        <v>3</v>
      </c>
      <c r="R184" s="2" t="inlineStr">
        <is>
          <t>Garnlav
Järpe
Tretåig hackspett</t>
        </is>
      </c>
      <c r="S184">
        <f>HYPERLINK("https://klasma.github.io/Logging_2309/artfynd/A 50345-2023 artfynd.xlsx", "A 50345-2023")</f>
        <v/>
      </c>
      <c r="T184">
        <f>HYPERLINK("https://klasma.github.io/Logging_2309/kartor/A 50345-2023 karta.png", "A 50345-2023")</f>
        <v/>
      </c>
      <c r="V184">
        <f>HYPERLINK("https://klasma.github.io/Logging_2309/klagomål/A 50345-2023 FSC-klagomål.docx", "A 50345-2023")</f>
        <v/>
      </c>
      <c r="W184">
        <f>HYPERLINK("https://klasma.github.io/Logging_2309/klagomålsmail/A 50345-2023 FSC-klagomål mail.docx", "A 50345-2023")</f>
        <v/>
      </c>
      <c r="X184">
        <f>HYPERLINK("https://klasma.github.io/Logging_2309/tillsyn/A 50345-2023 tillsynsbegäran.docx", "A 50345-2023")</f>
        <v/>
      </c>
      <c r="Y184">
        <f>HYPERLINK("https://klasma.github.io/Logging_2309/tillsynsmail/A 50345-2023 tillsynsbegäran mail.docx", "A 50345-2023")</f>
        <v/>
      </c>
      <c r="Z184">
        <f>HYPERLINK("https://klasma.github.io/Logging_2309/fåglar/A 50345-2023 prioriterade fågelarter.docx", "A 50345-2023")</f>
        <v/>
      </c>
    </row>
    <row r="185" ht="15" customHeight="1">
      <c r="A185" t="inlineStr">
        <is>
          <t>A 54494-2023</t>
        </is>
      </c>
      <c r="B185" s="1" t="n">
        <v>45233</v>
      </c>
      <c r="C185" s="1" t="n">
        <v>45730</v>
      </c>
      <c r="D185" t="inlineStr">
        <is>
          <t>JÄMTLANDS LÄN</t>
        </is>
      </c>
      <c r="E185" t="inlineStr">
        <is>
          <t>KROKOM</t>
        </is>
      </c>
      <c r="G185" t="n">
        <v>6.2</v>
      </c>
      <c r="H185" t="n">
        <v>1</v>
      </c>
      <c r="I185" t="n">
        <v>2</v>
      </c>
      <c r="J185" t="n">
        <v>0</v>
      </c>
      <c r="K185" t="n">
        <v>0</v>
      </c>
      <c r="L185" t="n">
        <v>0</v>
      </c>
      <c r="M185" t="n">
        <v>0</v>
      </c>
      <c r="N185" t="n">
        <v>0</v>
      </c>
      <c r="O185" t="n">
        <v>0</v>
      </c>
      <c r="P185" t="n">
        <v>0</v>
      </c>
      <c r="Q185" t="n">
        <v>3</v>
      </c>
      <c r="R185" s="2" t="inlineStr">
        <is>
          <t>Finbräken
Tibast
Blåsippa</t>
        </is>
      </c>
      <c r="S185">
        <f>HYPERLINK("https://klasma.github.io/Logging_2309/artfynd/A 54494-2023 artfynd.xlsx", "A 54494-2023")</f>
        <v/>
      </c>
      <c r="T185">
        <f>HYPERLINK("https://klasma.github.io/Logging_2309/kartor/A 54494-2023 karta.png", "A 54494-2023")</f>
        <v/>
      </c>
      <c r="V185">
        <f>HYPERLINK("https://klasma.github.io/Logging_2309/klagomål/A 54494-2023 FSC-klagomål.docx", "A 54494-2023")</f>
        <v/>
      </c>
      <c r="W185">
        <f>HYPERLINK("https://klasma.github.io/Logging_2309/klagomålsmail/A 54494-2023 FSC-klagomål mail.docx", "A 54494-2023")</f>
        <v/>
      </c>
      <c r="X185">
        <f>HYPERLINK("https://klasma.github.io/Logging_2309/tillsyn/A 54494-2023 tillsynsbegäran.docx", "A 54494-2023")</f>
        <v/>
      </c>
      <c r="Y185">
        <f>HYPERLINK("https://klasma.github.io/Logging_2309/tillsynsmail/A 54494-2023 tillsynsbegäran mail.docx", "A 54494-2023")</f>
        <v/>
      </c>
    </row>
    <row r="186" ht="15" customHeight="1">
      <c r="A186" t="inlineStr">
        <is>
          <t>A 57727-2023</t>
        </is>
      </c>
      <c r="B186" s="1" t="n">
        <v>45243</v>
      </c>
      <c r="C186" s="1" t="n">
        <v>45730</v>
      </c>
      <c r="D186" t="inlineStr">
        <is>
          <t>JÄMTLANDS LÄN</t>
        </is>
      </c>
      <c r="E186" t="inlineStr">
        <is>
          <t>KROKOM</t>
        </is>
      </c>
      <c r="G186" t="n">
        <v>32.9</v>
      </c>
      <c r="H186" t="n">
        <v>1</v>
      </c>
      <c r="I186" t="n">
        <v>0</v>
      </c>
      <c r="J186" t="n">
        <v>3</v>
      </c>
      <c r="K186" t="n">
        <v>0</v>
      </c>
      <c r="L186" t="n">
        <v>0</v>
      </c>
      <c r="M186" t="n">
        <v>0</v>
      </c>
      <c r="N186" t="n">
        <v>0</v>
      </c>
      <c r="O186" t="n">
        <v>3</v>
      </c>
      <c r="P186" t="n">
        <v>0</v>
      </c>
      <c r="Q186" t="n">
        <v>3</v>
      </c>
      <c r="R186" s="2" t="inlineStr">
        <is>
          <t>Granticka
Tretåig hackspett
Ullticka</t>
        </is>
      </c>
      <c r="S186">
        <f>HYPERLINK("https://klasma.github.io/Logging_2309/artfynd/A 57727-2023 artfynd.xlsx", "A 57727-2023")</f>
        <v/>
      </c>
      <c r="T186">
        <f>HYPERLINK("https://klasma.github.io/Logging_2309/kartor/A 57727-2023 karta.png", "A 57727-2023")</f>
        <v/>
      </c>
      <c r="V186">
        <f>HYPERLINK("https://klasma.github.io/Logging_2309/klagomål/A 57727-2023 FSC-klagomål.docx", "A 57727-2023")</f>
        <v/>
      </c>
      <c r="W186">
        <f>HYPERLINK("https://klasma.github.io/Logging_2309/klagomålsmail/A 57727-2023 FSC-klagomål mail.docx", "A 57727-2023")</f>
        <v/>
      </c>
      <c r="X186">
        <f>HYPERLINK("https://klasma.github.io/Logging_2309/tillsyn/A 57727-2023 tillsynsbegäran.docx", "A 57727-2023")</f>
        <v/>
      </c>
      <c r="Y186">
        <f>HYPERLINK("https://klasma.github.io/Logging_2309/tillsynsmail/A 57727-2023 tillsynsbegäran mail.docx", "A 57727-2023")</f>
        <v/>
      </c>
      <c r="Z186">
        <f>HYPERLINK("https://klasma.github.io/Logging_2309/fåglar/A 57727-2023 prioriterade fågelarter.docx", "A 57727-2023")</f>
        <v/>
      </c>
    </row>
    <row r="187" ht="15" customHeight="1">
      <c r="A187" t="inlineStr">
        <is>
          <t>A 62731-2023</t>
        </is>
      </c>
      <c r="B187" s="1" t="n">
        <v>45271</v>
      </c>
      <c r="C187" s="1" t="n">
        <v>45730</v>
      </c>
      <c r="D187" t="inlineStr">
        <is>
          <t>JÄMTLANDS LÄN</t>
        </is>
      </c>
      <c r="E187" t="inlineStr">
        <is>
          <t>KROKOM</t>
        </is>
      </c>
      <c r="F187" t="inlineStr">
        <is>
          <t>Övriga Aktiebolag</t>
        </is>
      </c>
      <c r="G187" t="n">
        <v>12.1</v>
      </c>
      <c r="H187" t="n">
        <v>1</v>
      </c>
      <c r="I187" t="n">
        <v>0</v>
      </c>
      <c r="J187" t="n">
        <v>3</v>
      </c>
      <c r="K187" t="n">
        <v>0</v>
      </c>
      <c r="L187" t="n">
        <v>0</v>
      </c>
      <c r="M187" t="n">
        <v>0</v>
      </c>
      <c r="N187" t="n">
        <v>0</v>
      </c>
      <c r="O187" t="n">
        <v>3</v>
      </c>
      <c r="P187" t="n">
        <v>0</v>
      </c>
      <c r="Q187" t="n">
        <v>3</v>
      </c>
      <c r="R187" s="2" t="inlineStr">
        <is>
          <t>Granticka
Harticka
Tretåig hackspett</t>
        </is>
      </c>
      <c r="S187">
        <f>HYPERLINK("https://klasma.github.io/Logging_2309/artfynd/A 62731-2023 artfynd.xlsx", "A 62731-2023")</f>
        <v/>
      </c>
      <c r="T187">
        <f>HYPERLINK("https://klasma.github.io/Logging_2309/kartor/A 62731-2023 karta.png", "A 62731-2023")</f>
        <v/>
      </c>
      <c r="V187">
        <f>HYPERLINK("https://klasma.github.io/Logging_2309/klagomål/A 62731-2023 FSC-klagomål.docx", "A 62731-2023")</f>
        <v/>
      </c>
      <c r="W187">
        <f>HYPERLINK("https://klasma.github.io/Logging_2309/klagomålsmail/A 62731-2023 FSC-klagomål mail.docx", "A 62731-2023")</f>
        <v/>
      </c>
      <c r="X187">
        <f>HYPERLINK("https://klasma.github.io/Logging_2309/tillsyn/A 62731-2023 tillsynsbegäran.docx", "A 62731-2023")</f>
        <v/>
      </c>
      <c r="Y187">
        <f>HYPERLINK("https://klasma.github.io/Logging_2309/tillsynsmail/A 62731-2023 tillsynsbegäran mail.docx", "A 62731-2023")</f>
        <v/>
      </c>
      <c r="Z187">
        <f>HYPERLINK("https://klasma.github.io/Logging_2309/fåglar/A 62731-2023 prioriterade fågelarter.docx", "A 62731-2023")</f>
        <v/>
      </c>
    </row>
    <row r="188" ht="15" customHeight="1">
      <c r="A188" t="inlineStr">
        <is>
          <t>A 2592-2024</t>
        </is>
      </c>
      <c r="B188" s="1" t="n">
        <v>45313</v>
      </c>
      <c r="C188" s="1" t="n">
        <v>45730</v>
      </c>
      <c r="D188" t="inlineStr">
        <is>
          <t>JÄMTLANDS LÄN</t>
        </is>
      </c>
      <c r="E188" t="inlineStr">
        <is>
          <t>KROKOM</t>
        </is>
      </c>
      <c r="G188" t="n">
        <v>28.5</v>
      </c>
      <c r="H188" t="n">
        <v>2</v>
      </c>
      <c r="I188" t="n">
        <v>0</v>
      </c>
      <c r="J188" t="n">
        <v>2</v>
      </c>
      <c r="K188" t="n">
        <v>1</v>
      </c>
      <c r="L188" t="n">
        <v>0</v>
      </c>
      <c r="M188" t="n">
        <v>0</v>
      </c>
      <c r="N188" t="n">
        <v>0</v>
      </c>
      <c r="O188" t="n">
        <v>3</v>
      </c>
      <c r="P188" t="n">
        <v>1</v>
      </c>
      <c r="Q188" t="n">
        <v>3</v>
      </c>
      <c r="R188" s="2" t="inlineStr">
        <is>
          <t>Doftticka
Granticka
Tretåig hackspett</t>
        </is>
      </c>
      <c r="S188">
        <f>HYPERLINK("https://klasma.github.io/Logging_2309/artfynd/A 2592-2024 artfynd.xlsx", "A 2592-2024")</f>
        <v/>
      </c>
      <c r="T188">
        <f>HYPERLINK("https://klasma.github.io/Logging_2309/kartor/A 2592-2024 karta.png", "A 2592-2024")</f>
        <v/>
      </c>
      <c r="V188">
        <f>HYPERLINK("https://klasma.github.io/Logging_2309/klagomål/A 2592-2024 FSC-klagomål.docx", "A 2592-2024")</f>
        <v/>
      </c>
      <c r="W188">
        <f>HYPERLINK("https://klasma.github.io/Logging_2309/klagomålsmail/A 2592-2024 FSC-klagomål mail.docx", "A 2592-2024")</f>
        <v/>
      </c>
      <c r="X188">
        <f>HYPERLINK("https://klasma.github.io/Logging_2309/tillsyn/A 2592-2024 tillsynsbegäran.docx", "A 2592-2024")</f>
        <v/>
      </c>
      <c r="Y188">
        <f>HYPERLINK("https://klasma.github.io/Logging_2309/tillsynsmail/A 2592-2024 tillsynsbegäran mail.docx", "A 2592-2024")</f>
        <v/>
      </c>
      <c r="Z188">
        <f>HYPERLINK("https://klasma.github.io/Logging_2309/fåglar/A 2592-2024 prioriterade fågelarter.docx", "A 2592-2024")</f>
        <v/>
      </c>
    </row>
    <row r="189" ht="15" customHeight="1">
      <c r="A189" t="inlineStr">
        <is>
          <t>A 11439-2024</t>
        </is>
      </c>
      <c r="B189" s="1" t="n">
        <v>45372</v>
      </c>
      <c r="C189" s="1" t="n">
        <v>45730</v>
      </c>
      <c r="D189" t="inlineStr">
        <is>
          <t>JÄMTLANDS LÄN</t>
        </is>
      </c>
      <c r="E189" t="inlineStr">
        <is>
          <t>KROKOM</t>
        </is>
      </c>
      <c r="G189" t="n">
        <v>33</v>
      </c>
      <c r="H189" t="n">
        <v>1</v>
      </c>
      <c r="I189" t="n">
        <v>0</v>
      </c>
      <c r="J189" t="n">
        <v>2</v>
      </c>
      <c r="K189" t="n">
        <v>1</v>
      </c>
      <c r="L189" t="n">
        <v>0</v>
      </c>
      <c r="M189" t="n">
        <v>0</v>
      </c>
      <c r="N189" t="n">
        <v>0</v>
      </c>
      <c r="O189" t="n">
        <v>3</v>
      </c>
      <c r="P189" t="n">
        <v>1</v>
      </c>
      <c r="Q189" t="n">
        <v>3</v>
      </c>
      <c r="R189" s="2" t="inlineStr">
        <is>
          <t>Tvillingspindling
Lunglav
Tretåig hackspett</t>
        </is>
      </c>
      <c r="S189">
        <f>HYPERLINK("https://klasma.github.io/Logging_2309/artfynd/A 11439-2024 artfynd.xlsx", "A 11439-2024")</f>
        <v/>
      </c>
      <c r="T189">
        <f>HYPERLINK("https://klasma.github.io/Logging_2309/kartor/A 11439-2024 karta.png", "A 11439-2024")</f>
        <v/>
      </c>
      <c r="V189">
        <f>HYPERLINK("https://klasma.github.io/Logging_2309/klagomål/A 11439-2024 FSC-klagomål.docx", "A 11439-2024")</f>
        <v/>
      </c>
      <c r="W189">
        <f>HYPERLINK("https://klasma.github.io/Logging_2309/klagomålsmail/A 11439-2024 FSC-klagomål mail.docx", "A 11439-2024")</f>
        <v/>
      </c>
      <c r="X189">
        <f>HYPERLINK("https://klasma.github.io/Logging_2309/tillsyn/A 11439-2024 tillsynsbegäran.docx", "A 11439-2024")</f>
        <v/>
      </c>
      <c r="Y189">
        <f>HYPERLINK("https://klasma.github.io/Logging_2309/tillsynsmail/A 11439-2024 tillsynsbegäran mail.docx", "A 11439-2024")</f>
        <v/>
      </c>
      <c r="Z189">
        <f>HYPERLINK("https://klasma.github.io/Logging_2309/fåglar/A 11439-2024 prioriterade fågelarter.docx", "A 11439-2024")</f>
        <v/>
      </c>
    </row>
    <row r="190" ht="15" customHeight="1">
      <c r="A190" t="inlineStr">
        <is>
          <t>A 13344-2024</t>
        </is>
      </c>
      <c r="B190" s="1" t="n">
        <v>45386</v>
      </c>
      <c r="C190" s="1" t="n">
        <v>45730</v>
      </c>
      <c r="D190" t="inlineStr">
        <is>
          <t>JÄMTLANDS LÄN</t>
        </is>
      </c>
      <c r="E190" t="inlineStr">
        <is>
          <t>KROKOM</t>
        </is>
      </c>
      <c r="G190" t="n">
        <v>10.6</v>
      </c>
      <c r="H190" t="n">
        <v>1</v>
      </c>
      <c r="I190" t="n">
        <v>0</v>
      </c>
      <c r="J190" t="n">
        <v>3</v>
      </c>
      <c r="K190" t="n">
        <v>0</v>
      </c>
      <c r="L190" t="n">
        <v>0</v>
      </c>
      <c r="M190" t="n">
        <v>0</v>
      </c>
      <c r="N190" t="n">
        <v>0</v>
      </c>
      <c r="O190" t="n">
        <v>3</v>
      </c>
      <c r="P190" t="n">
        <v>0</v>
      </c>
      <c r="Q190" t="n">
        <v>3</v>
      </c>
      <c r="R190" s="2" t="inlineStr">
        <is>
          <t>Garnlav
Granticka
Tretåig hackspett</t>
        </is>
      </c>
      <c r="S190">
        <f>HYPERLINK("https://klasma.github.io/Logging_2309/artfynd/A 13344-2024 artfynd.xlsx", "A 13344-2024")</f>
        <v/>
      </c>
      <c r="T190">
        <f>HYPERLINK("https://klasma.github.io/Logging_2309/kartor/A 13344-2024 karta.png", "A 13344-2024")</f>
        <v/>
      </c>
      <c r="V190">
        <f>HYPERLINK("https://klasma.github.io/Logging_2309/klagomål/A 13344-2024 FSC-klagomål.docx", "A 13344-2024")</f>
        <v/>
      </c>
      <c r="W190">
        <f>HYPERLINK("https://klasma.github.io/Logging_2309/klagomålsmail/A 13344-2024 FSC-klagomål mail.docx", "A 13344-2024")</f>
        <v/>
      </c>
      <c r="X190">
        <f>HYPERLINK("https://klasma.github.io/Logging_2309/tillsyn/A 13344-2024 tillsynsbegäran.docx", "A 13344-2024")</f>
        <v/>
      </c>
      <c r="Y190">
        <f>HYPERLINK("https://klasma.github.io/Logging_2309/tillsynsmail/A 13344-2024 tillsynsbegäran mail.docx", "A 13344-2024")</f>
        <v/>
      </c>
      <c r="Z190">
        <f>HYPERLINK("https://klasma.github.io/Logging_2309/fåglar/A 13344-2024 prioriterade fågelarter.docx", "A 13344-2024")</f>
        <v/>
      </c>
    </row>
    <row r="191" ht="15" customHeight="1">
      <c r="A191" t="inlineStr">
        <is>
          <t>A 18238-2024</t>
        </is>
      </c>
      <c r="B191" s="1" t="n">
        <v>45421</v>
      </c>
      <c r="C191" s="1" t="n">
        <v>45730</v>
      </c>
      <c r="D191" t="inlineStr">
        <is>
          <t>JÄMTLANDS LÄN</t>
        </is>
      </c>
      <c r="E191" t="inlineStr">
        <is>
          <t>KROKOM</t>
        </is>
      </c>
      <c r="G191" t="n">
        <v>5</v>
      </c>
      <c r="H191" t="n">
        <v>0</v>
      </c>
      <c r="I191" t="n">
        <v>0</v>
      </c>
      <c r="J191" t="n">
        <v>2</v>
      </c>
      <c r="K191" t="n">
        <v>1</v>
      </c>
      <c r="L191" t="n">
        <v>0</v>
      </c>
      <c r="M191" t="n">
        <v>0</v>
      </c>
      <c r="N191" t="n">
        <v>0</v>
      </c>
      <c r="O191" t="n">
        <v>3</v>
      </c>
      <c r="P191" t="n">
        <v>1</v>
      </c>
      <c r="Q191" t="n">
        <v>3</v>
      </c>
      <c r="R191" s="2" t="inlineStr">
        <is>
          <t>Borsttagging
Garnlav
Gränsticka</t>
        </is>
      </c>
      <c r="S191">
        <f>HYPERLINK("https://klasma.github.io/Logging_2309/artfynd/A 18238-2024 artfynd.xlsx", "A 18238-2024")</f>
        <v/>
      </c>
      <c r="T191">
        <f>HYPERLINK("https://klasma.github.io/Logging_2309/kartor/A 18238-2024 karta.png", "A 18238-2024")</f>
        <v/>
      </c>
      <c r="V191">
        <f>HYPERLINK("https://klasma.github.io/Logging_2309/klagomål/A 18238-2024 FSC-klagomål.docx", "A 18238-2024")</f>
        <v/>
      </c>
      <c r="W191">
        <f>HYPERLINK("https://klasma.github.io/Logging_2309/klagomålsmail/A 18238-2024 FSC-klagomål mail.docx", "A 18238-2024")</f>
        <v/>
      </c>
      <c r="X191">
        <f>HYPERLINK("https://klasma.github.io/Logging_2309/tillsyn/A 18238-2024 tillsynsbegäran.docx", "A 18238-2024")</f>
        <v/>
      </c>
      <c r="Y191">
        <f>HYPERLINK("https://klasma.github.io/Logging_2309/tillsynsmail/A 18238-2024 tillsynsbegäran mail.docx", "A 18238-2024")</f>
        <v/>
      </c>
    </row>
    <row r="192" ht="15" customHeight="1">
      <c r="A192" t="inlineStr">
        <is>
          <t>A 20732-2024</t>
        </is>
      </c>
      <c r="B192" s="1" t="n">
        <v>45436</v>
      </c>
      <c r="C192" s="1" t="n">
        <v>45730</v>
      </c>
      <c r="D192" t="inlineStr">
        <is>
          <t>JÄMTLANDS LÄN</t>
        </is>
      </c>
      <c r="E192" t="inlineStr">
        <is>
          <t>KROKOM</t>
        </is>
      </c>
      <c r="G192" t="n">
        <v>27.2</v>
      </c>
      <c r="H192" t="n">
        <v>0</v>
      </c>
      <c r="I192" t="n">
        <v>0</v>
      </c>
      <c r="J192" t="n">
        <v>3</v>
      </c>
      <c r="K192" t="n">
        <v>0</v>
      </c>
      <c r="L192" t="n">
        <v>0</v>
      </c>
      <c r="M192" t="n">
        <v>0</v>
      </c>
      <c r="N192" t="n">
        <v>0</v>
      </c>
      <c r="O192" t="n">
        <v>3</v>
      </c>
      <c r="P192" t="n">
        <v>0</v>
      </c>
      <c r="Q192" t="n">
        <v>3</v>
      </c>
      <c r="R192" s="2" t="inlineStr">
        <is>
          <t>Garnlav
Lunglav
Skrovellav</t>
        </is>
      </c>
      <c r="S192">
        <f>HYPERLINK("https://klasma.github.io/Logging_2309/artfynd/A 20732-2024 artfynd.xlsx", "A 20732-2024")</f>
        <v/>
      </c>
      <c r="T192">
        <f>HYPERLINK("https://klasma.github.io/Logging_2309/kartor/A 20732-2024 karta.png", "A 20732-2024")</f>
        <v/>
      </c>
      <c r="V192">
        <f>HYPERLINK("https://klasma.github.io/Logging_2309/klagomål/A 20732-2024 FSC-klagomål.docx", "A 20732-2024")</f>
        <v/>
      </c>
      <c r="W192">
        <f>HYPERLINK("https://klasma.github.io/Logging_2309/klagomålsmail/A 20732-2024 FSC-klagomål mail.docx", "A 20732-2024")</f>
        <v/>
      </c>
      <c r="X192">
        <f>HYPERLINK("https://klasma.github.io/Logging_2309/tillsyn/A 20732-2024 tillsynsbegäran.docx", "A 20732-2024")</f>
        <v/>
      </c>
      <c r="Y192">
        <f>HYPERLINK("https://klasma.github.io/Logging_2309/tillsynsmail/A 20732-2024 tillsynsbegäran mail.docx", "A 20732-2024")</f>
        <v/>
      </c>
    </row>
    <row r="193" ht="15" customHeight="1">
      <c r="A193" t="inlineStr">
        <is>
          <t>A 23439-2024</t>
        </is>
      </c>
      <c r="B193" s="1" t="n">
        <v>45453</v>
      </c>
      <c r="C193" s="1" t="n">
        <v>45730</v>
      </c>
      <c r="D193" t="inlineStr">
        <is>
          <t>JÄMTLANDS LÄN</t>
        </is>
      </c>
      <c r="E193" t="inlineStr">
        <is>
          <t>KROKOM</t>
        </is>
      </c>
      <c r="G193" t="n">
        <v>15.7</v>
      </c>
      <c r="H193" t="n">
        <v>2</v>
      </c>
      <c r="I193" t="n">
        <v>0</v>
      </c>
      <c r="J193" t="n">
        <v>2</v>
      </c>
      <c r="K193" t="n">
        <v>0</v>
      </c>
      <c r="L193" t="n">
        <v>0</v>
      </c>
      <c r="M193" t="n">
        <v>0</v>
      </c>
      <c r="N193" t="n">
        <v>0</v>
      </c>
      <c r="O193" t="n">
        <v>2</v>
      </c>
      <c r="P193" t="n">
        <v>0</v>
      </c>
      <c r="Q193" t="n">
        <v>3</v>
      </c>
      <c r="R193" s="2" t="inlineStr">
        <is>
          <t>Granticka
Tretåig hackspett
Lavskrika</t>
        </is>
      </c>
      <c r="S193">
        <f>HYPERLINK("https://klasma.github.io/Logging_2309/artfynd/A 23439-2024 artfynd.xlsx", "A 23439-2024")</f>
        <v/>
      </c>
      <c r="T193">
        <f>HYPERLINK("https://klasma.github.io/Logging_2309/kartor/A 23439-2024 karta.png", "A 23439-2024")</f>
        <v/>
      </c>
      <c r="V193">
        <f>HYPERLINK("https://klasma.github.io/Logging_2309/klagomål/A 23439-2024 FSC-klagomål.docx", "A 23439-2024")</f>
        <v/>
      </c>
      <c r="W193">
        <f>HYPERLINK("https://klasma.github.io/Logging_2309/klagomålsmail/A 23439-2024 FSC-klagomål mail.docx", "A 23439-2024")</f>
        <v/>
      </c>
      <c r="X193">
        <f>HYPERLINK("https://klasma.github.io/Logging_2309/tillsyn/A 23439-2024 tillsynsbegäran.docx", "A 23439-2024")</f>
        <v/>
      </c>
      <c r="Y193">
        <f>HYPERLINK("https://klasma.github.io/Logging_2309/tillsynsmail/A 23439-2024 tillsynsbegäran mail.docx", "A 23439-2024")</f>
        <v/>
      </c>
      <c r="Z193">
        <f>HYPERLINK("https://klasma.github.io/Logging_2309/fåglar/A 23439-2024 prioriterade fågelarter.docx", "A 23439-2024")</f>
        <v/>
      </c>
    </row>
    <row r="194" ht="15" customHeight="1">
      <c r="A194" t="inlineStr">
        <is>
          <t>A 27598-2024</t>
        </is>
      </c>
      <c r="B194" s="1" t="n">
        <v>45474</v>
      </c>
      <c r="C194" s="1" t="n">
        <v>45730</v>
      </c>
      <c r="D194" t="inlineStr">
        <is>
          <t>JÄMTLANDS LÄN</t>
        </is>
      </c>
      <c r="E194" t="inlineStr">
        <is>
          <t>KROKOM</t>
        </is>
      </c>
      <c r="G194" t="n">
        <v>7</v>
      </c>
      <c r="H194" t="n">
        <v>2</v>
      </c>
      <c r="I194" t="n">
        <v>1</v>
      </c>
      <c r="J194" t="n">
        <v>1</v>
      </c>
      <c r="K194" t="n">
        <v>0</v>
      </c>
      <c r="L194" t="n">
        <v>0</v>
      </c>
      <c r="M194" t="n">
        <v>0</v>
      </c>
      <c r="N194" t="n">
        <v>0</v>
      </c>
      <c r="O194" t="n">
        <v>1</v>
      </c>
      <c r="P194" t="n">
        <v>0</v>
      </c>
      <c r="Q194" t="n">
        <v>3</v>
      </c>
      <c r="R194" s="2" t="inlineStr">
        <is>
          <t>Garnlav
Spindelblomster
Tjäder</t>
        </is>
      </c>
      <c r="S194">
        <f>HYPERLINK("https://klasma.github.io/Logging_2309/artfynd/A 27598-2024 artfynd.xlsx", "A 27598-2024")</f>
        <v/>
      </c>
      <c r="T194">
        <f>HYPERLINK("https://klasma.github.io/Logging_2309/kartor/A 27598-2024 karta.png", "A 27598-2024")</f>
        <v/>
      </c>
      <c r="V194">
        <f>HYPERLINK("https://klasma.github.io/Logging_2309/klagomål/A 27598-2024 FSC-klagomål.docx", "A 27598-2024")</f>
        <v/>
      </c>
      <c r="W194">
        <f>HYPERLINK("https://klasma.github.io/Logging_2309/klagomålsmail/A 27598-2024 FSC-klagomål mail.docx", "A 27598-2024")</f>
        <v/>
      </c>
      <c r="X194">
        <f>HYPERLINK("https://klasma.github.io/Logging_2309/tillsyn/A 27598-2024 tillsynsbegäran.docx", "A 27598-2024")</f>
        <v/>
      </c>
      <c r="Y194">
        <f>HYPERLINK("https://klasma.github.io/Logging_2309/tillsynsmail/A 27598-2024 tillsynsbegäran mail.docx", "A 27598-2024")</f>
        <v/>
      </c>
      <c r="Z194">
        <f>HYPERLINK("https://klasma.github.io/Logging_2309/fåglar/A 27598-2024 prioriterade fågelarter.docx", "A 27598-2024")</f>
        <v/>
      </c>
    </row>
    <row r="195" ht="15" customHeight="1">
      <c r="A195" t="inlineStr">
        <is>
          <t>A 32148-2024</t>
        </is>
      </c>
      <c r="B195" s="1" t="n">
        <v>45511</v>
      </c>
      <c r="C195" s="1" t="n">
        <v>45730</v>
      </c>
      <c r="D195" t="inlineStr">
        <is>
          <t>JÄMTLANDS LÄN</t>
        </is>
      </c>
      <c r="E195" t="inlineStr">
        <is>
          <t>KROKOM</t>
        </is>
      </c>
      <c r="G195" t="n">
        <v>3.1</v>
      </c>
      <c r="H195" t="n">
        <v>1</v>
      </c>
      <c r="I195" t="n">
        <v>2</v>
      </c>
      <c r="J195" t="n">
        <v>0</v>
      </c>
      <c r="K195" t="n">
        <v>0</v>
      </c>
      <c r="L195" t="n">
        <v>0</v>
      </c>
      <c r="M195" t="n">
        <v>0</v>
      </c>
      <c r="N195" t="n">
        <v>0</v>
      </c>
      <c r="O195" t="n">
        <v>0</v>
      </c>
      <c r="P195" t="n">
        <v>0</v>
      </c>
      <c r="Q195" t="n">
        <v>3</v>
      </c>
      <c r="R195" s="2" t="inlineStr">
        <is>
          <t>Kransrams
Tibast
Blåsippa</t>
        </is>
      </c>
      <c r="S195">
        <f>HYPERLINK("https://klasma.github.io/Logging_2309/artfynd/A 32148-2024 artfynd.xlsx", "A 32148-2024")</f>
        <v/>
      </c>
      <c r="T195">
        <f>HYPERLINK("https://klasma.github.io/Logging_2309/kartor/A 32148-2024 karta.png", "A 32148-2024")</f>
        <v/>
      </c>
      <c r="V195">
        <f>HYPERLINK("https://klasma.github.io/Logging_2309/klagomål/A 32148-2024 FSC-klagomål.docx", "A 32148-2024")</f>
        <v/>
      </c>
      <c r="W195">
        <f>HYPERLINK("https://klasma.github.io/Logging_2309/klagomålsmail/A 32148-2024 FSC-klagomål mail.docx", "A 32148-2024")</f>
        <v/>
      </c>
      <c r="X195">
        <f>HYPERLINK("https://klasma.github.io/Logging_2309/tillsyn/A 32148-2024 tillsynsbegäran.docx", "A 32148-2024")</f>
        <v/>
      </c>
      <c r="Y195">
        <f>HYPERLINK("https://klasma.github.io/Logging_2309/tillsynsmail/A 32148-2024 tillsynsbegäran mail.docx", "A 32148-2024")</f>
        <v/>
      </c>
    </row>
    <row r="196" ht="15" customHeight="1">
      <c r="A196" t="inlineStr">
        <is>
          <t>A 34582-2024</t>
        </is>
      </c>
      <c r="B196" s="1" t="n">
        <v>45526</v>
      </c>
      <c r="C196" s="1" t="n">
        <v>45730</v>
      </c>
      <c r="D196" t="inlineStr">
        <is>
          <t>JÄMTLANDS LÄN</t>
        </is>
      </c>
      <c r="E196" t="inlineStr">
        <is>
          <t>KROKOM</t>
        </is>
      </c>
      <c r="G196" t="n">
        <v>8.1</v>
      </c>
      <c r="H196" t="n">
        <v>1</v>
      </c>
      <c r="I196" t="n">
        <v>0</v>
      </c>
      <c r="J196" t="n">
        <v>3</v>
      </c>
      <c r="K196" t="n">
        <v>0</v>
      </c>
      <c r="L196" t="n">
        <v>0</v>
      </c>
      <c r="M196" t="n">
        <v>0</v>
      </c>
      <c r="N196" t="n">
        <v>0</v>
      </c>
      <c r="O196" t="n">
        <v>3</v>
      </c>
      <c r="P196" t="n">
        <v>0</v>
      </c>
      <c r="Q196" t="n">
        <v>3</v>
      </c>
      <c r="R196" s="2" t="inlineStr">
        <is>
          <t>Granticka
Tretåig hackspett
Ullticka</t>
        </is>
      </c>
      <c r="S196">
        <f>HYPERLINK("https://klasma.github.io/Logging_2309/artfynd/A 34582-2024 artfynd.xlsx", "A 34582-2024")</f>
        <v/>
      </c>
      <c r="T196">
        <f>HYPERLINK("https://klasma.github.io/Logging_2309/kartor/A 34582-2024 karta.png", "A 34582-2024")</f>
        <v/>
      </c>
      <c r="V196">
        <f>HYPERLINK("https://klasma.github.io/Logging_2309/klagomål/A 34582-2024 FSC-klagomål.docx", "A 34582-2024")</f>
        <v/>
      </c>
      <c r="W196">
        <f>HYPERLINK("https://klasma.github.io/Logging_2309/klagomålsmail/A 34582-2024 FSC-klagomål mail.docx", "A 34582-2024")</f>
        <v/>
      </c>
      <c r="X196">
        <f>HYPERLINK("https://klasma.github.io/Logging_2309/tillsyn/A 34582-2024 tillsynsbegäran.docx", "A 34582-2024")</f>
        <v/>
      </c>
      <c r="Y196">
        <f>HYPERLINK("https://klasma.github.io/Logging_2309/tillsynsmail/A 34582-2024 tillsynsbegäran mail.docx", "A 34582-2024")</f>
        <v/>
      </c>
      <c r="Z196">
        <f>HYPERLINK("https://klasma.github.io/Logging_2309/fåglar/A 34582-2024 prioriterade fågelarter.docx", "A 34582-2024")</f>
        <v/>
      </c>
    </row>
    <row r="197" ht="15" customHeight="1">
      <c r="A197" t="inlineStr">
        <is>
          <t>A 48018-2024</t>
        </is>
      </c>
      <c r="B197" s="1" t="n">
        <v>45589</v>
      </c>
      <c r="C197" s="1" t="n">
        <v>45730</v>
      </c>
      <c r="D197" t="inlineStr">
        <is>
          <t>JÄMTLANDS LÄN</t>
        </is>
      </c>
      <c r="E197" t="inlineStr">
        <is>
          <t>KROKOM</t>
        </is>
      </c>
      <c r="G197" t="n">
        <v>9.9</v>
      </c>
      <c r="H197" t="n">
        <v>1</v>
      </c>
      <c r="I197" t="n">
        <v>3</v>
      </c>
      <c r="J197" t="n">
        <v>0</v>
      </c>
      <c r="K197" t="n">
        <v>0</v>
      </c>
      <c r="L197" t="n">
        <v>0</v>
      </c>
      <c r="M197" t="n">
        <v>0</v>
      </c>
      <c r="N197" t="n">
        <v>0</v>
      </c>
      <c r="O197" t="n">
        <v>0</v>
      </c>
      <c r="P197" t="n">
        <v>0</v>
      </c>
      <c r="Q197" t="n">
        <v>3</v>
      </c>
      <c r="R197" s="2" t="inlineStr">
        <is>
          <t>Kransrams
Tibast
Tvåblad</t>
        </is>
      </c>
      <c r="S197">
        <f>HYPERLINK("https://klasma.github.io/Logging_2309/artfynd/A 48018-2024 artfynd.xlsx", "A 48018-2024")</f>
        <v/>
      </c>
      <c r="T197">
        <f>HYPERLINK("https://klasma.github.io/Logging_2309/kartor/A 48018-2024 karta.png", "A 48018-2024")</f>
        <v/>
      </c>
      <c r="V197">
        <f>HYPERLINK("https://klasma.github.io/Logging_2309/klagomål/A 48018-2024 FSC-klagomål.docx", "A 48018-2024")</f>
        <v/>
      </c>
      <c r="W197">
        <f>HYPERLINK("https://klasma.github.io/Logging_2309/klagomålsmail/A 48018-2024 FSC-klagomål mail.docx", "A 48018-2024")</f>
        <v/>
      </c>
      <c r="X197">
        <f>HYPERLINK("https://klasma.github.io/Logging_2309/tillsyn/A 48018-2024 tillsynsbegäran.docx", "A 48018-2024")</f>
        <v/>
      </c>
      <c r="Y197">
        <f>HYPERLINK("https://klasma.github.io/Logging_2309/tillsynsmail/A 48018-2024 tillsynsbegäran mail.docx", "A 48018-2024")</f>
        <v/>
      </c>
    </row>
    <row r="198" ht="15" customHeight="1">
      <c r="A198" t="inlineStr">
        <is>
          <t>A 52547-2024</t>
        </is>
      </c>
      <c r="B198" s="1" t="n">
        <v>45609</v>
      </c>
      <c r="C198" s="1" t="n">
        <v>45730</v>
      </c>
      <c r="D198" t="inlineStr">
        <is>
          <t>JÄMTLANDS LÄN</t>
        </is>
      </c>
      <c r="E198" t="inlineStr">
        <is>
          <t>KROKOM</t>
        </is>
      </c>
      <c r="G198" t="n">
        <v>9</v>
      </c>
      <c r="H198" t="n">
        <v>2</v>
      </c>
      <c r="I198" t="n">
        <v>0</v>
      </c>
      <c r="J198" t="n">
        <v>2</v>
      </c>
      <c r="K198" t="n">
        <v>0</v>
      </c>
      <c r="L198" t="n">
        <v>0</v>
      </c>
      <c r="M198" t="n">
        <v>0</v>
      </c>
      <c r="N198" t="n">
        <v>0</v>
      </c>
      <c r="O198" t="n">
        <v>2</v>
      </c>
      <c r="P198" t="n">
        <v>0</v>
      </c>
      <c r="Q198" t="n">
        <v>3</v>
      </c>
      <c r="R198" s="2" t="inlineStr">
        <is>
          <t>Garnlav
Tretåig hackspett
Hökuggla</t>
        </is>
      </c>
      <c r="S198">
        <f>HYPERLINK("https://klasma.github.io/Logging_2309/artfynd/A 52547-2024 artfynd.xlsx", "A 52547-2024")</f>
        <v/>
      </c>
      <c r="T198">
        <f>HYPERLINK("https://klasma.github.io/Logging_2309/kartor/A 52547-2024 karta.png", "A 52547-2024")</f>
        <v/>
      </c>
      <c r="V198">
        <f>HYPERLINK("https://klasma.github.io/Logging_2309/klagomål/A 52547-2024 FSC-klagomål.docx", "A 52547-2024")</f>
        <v/>
      </c>
      <c r="W198">
        <f>HYPERLINK("https://klasma.github.io/Logging_2309/klagomålsmail/A 52547-2024 FSC-klagomål mail.docx", "A 52547-2024")</f>
        <v/>
      </c>
      <c r="X198">
        <f>HYPERLINK("https://klasma.github.io/Logging_2309/tillsyn/A 52547-2024 tillsynsbegäran.docx", "A 52547-2024")</f>
        <v/>
      </c>
      <c r="Y198">
        <f>HYPERLINK("https://klasma.github.io/Logging_2309/tillsynsmail/A 52547-2024 tillsynsbegäran mail.docx", "A 52547-2024")</f>
        <v/>
      </c>
      <c r="Z198">
        <f>HYPERLINK("https://klasma.github.io/Logging_2309/fåglar/A 52547-2024 prioriterade fågelarter.docx", "A 52547-2024")</f>
        <v/>
      </c>
    </row>
    <row r="199" ht="15" customHeight="1">
      <c r="A199" t="inlineStr">
        <is>
          <t>A 54973-2024</t>
        </is>
      </c>
      <c r="B199" s="1" t="n">
        <v>45620</v>
      </c>
      <c r="C199" s="1" t="n">
        <v>45730</v>
      </c>
      <c r="D199" t="inlineStr">
        <is>
          <t>JÄMTLANDS LÄN</t>
        </is>
      </c>
      <c r="E199" t="inlineStr">
        <is>
          <t>KROKOM</t>
        </is>
      </c>
      <c r="F199" t="inlineStr">
        <is>
          <t>Övriga Aktiebolag</t>
        </is>
      </c>
      <c r="G199" t="n">
        <v>14.5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54973-2024 artfynd.xlsx", "A 54973-2024")</f>
        <v/>
      </c>
      <c r="T199">
        <f>HYPERLINK("https://klasma.github.io/Logging_2309/kartor/A 54973-2024 karta.png", "A 54973-2024")</f>
        <v/>
      </c>
      <c r="V199">
        <f>HYPERLINK("https://klasma.github.io/Logging_2309/klagomål/A 54973-2024 FSC-klagomål.docx", "A 54973-2024")</f>
        <v/>
      </c>
      <c r="W199">
        <f>HYPERLINK("https://klasma.github.io/Logging_2309/klagomålsmail/A 54973-2024 FSC-klagomål mail.docx", "A 54973-2024")</f>
        <v/>
      </c>
      <c r="X199">
        <f>HYPERLINK("https://klasma.github.io/Logging_2309/tillsyn/A 54973-2024 tillsynsbegäran.docx", "A 54973-2024")</f>
        <v/>
      </c>
      <c r="Y199">
        <f>HYPERLINK("https://klasma.github.io/Logging_2309/tillsynsmail/A 54973-2024 tillsynsbegäran mail.docx", "A 54973-2024")</f>
        <v/>
      </c>
      <c r="Z199">
        <f>HYPERLINK("https://klasma.github.io/Logging_2309/fåglar/A 54973-2024 prioriterade fågelarter.docx", "A 54973-2024")</f>
        <v/>
      </c>
    </row>
    <row r="200" ht="15" customHeight="1">
      <c r="A200" t="inlineStr">
        <is>
          <t>A 58896-2024</t>
        </is>
      </c>
      <c r="B200" s="1" t="n">
        <v>45636</v>
      </c>
      <c r="C200" s="1" t="n">
        <v>45730</v>
      </c>
      <c r="D200" t="inlineStr">
        <is>
          <t>JÄMTLANDS LÄN</t>
        </is>
      </c>
      <c r="E200" t="inlineStr">
        <is>
          <t>KROKOM</t>
        </is>
      </c>
      <c r="G200" t="n">
        <v>3.3</v>
      </c>
      <c r="H200" t="n">
        <v>1</v>
      </c>
      <c r="I200" t="n">
        <v>0</v>
      </c>
      <c r="J200" t="n">
        <v>3</v>
      </c>
      <c r="K200" t="n">
        <v>0</v>
      </c>
      <c r="L200" t="n">
        <v>0</v>
      </c>
      <c r="M200" t="n">
        <v>0</v>
      </c>
      <c r="N200" t="n">
        <v>0</v>
      </c>
      <c r="O200" t="n">
        <v>3</v>
      </c>
      <c r="P200" t="n">
        <v>0</v>
      </c>
      <c r="Q200" t="n">
        <v>3</v>
      </c>
      <c r="R200" s="2" t="inlineStr">
        <is>
          <t>Garnlav
Tretåig hackspett
Vedskivlav</t>
        </is>
      </c>
      <c r="S200">
        <f>HYPERLINK("https://klasma.github.io/Logging_2309/artfynd/A 58896-2024 artfynd.xlsx", "A 58896-2024")</f>
        <v/>
      </c>
      <c r="T200">
        <f>HYPERLINK("https://klasma.github.io/Logging_2309/kartor/A 58896-2024 karta.png", "A 58896-2024")</f>
        <v/>
      </c>
      <c r="V200">
        <f>HYPERLINK("https://klasma.github.io/Logging_2309/klagomål/A 58896-2024 FSC-klagomål.docx", "A 58896-2024")</f>
        <v/>
      </c>
      <c r="W200">
        <f>HYPERLINK("https://klasma.github.io/Logging_2309/klagomålsmail/A 58896-2024 FSC-klagomål mail.docx", "A 58896-2024")</f>
        <v/>
      </c>
      <c r="X200">
        <f>HYPERLINK("https://klasma.github.io/Logging_2309/tillsyn/A 58896-2024 tillsynsbegäran.docx", "A 58896-2024")</f>
        <v/>
      </c>
      <c r="Y200">
        <f>HYPERLINK("https://klasma.github.io/Logging_2309/tillsynsmail/A 58896-2024 tillsynsbegäran mail.docx", "A 58896-2024")</f>
        <v/>
      </c>
      <c r="Z200">
        <f>HYPERLINK("https://klasma.github.io/Logging_2309/fåglar/A 58896-2024 prioriterade fågelarter.docx", "A 58896-2024")</f>
        <v/>
      </c>
    </row>
    <row r="201" ht="15" customHeight="1">
      <c r="A201" t="inlineStr">
        <is>
          <t>A 62113-2024</t>
        </is>
      </c>
      <c r="B201" s="1" t="n">
        <v>45656</v>
      </c>
      <c r="C201" s="1" t="n">
        <v>45730</v>
      </c>
      <c r="D201" t="inlineStr">
        <is>
          <t>JÄMTLANDS LÄN</t>
        </is>
      </c>
      <c r="E201" t="inlineStr">
        <is>
          <t>KROKOM</t>
        </is>
      </c>
      <c r="G201" t="n">
        <v>5.3</v>
      </c>
      <c r="H201" t="n">
        <v>1</v>
      </c>
      <c r="I201" t="n">
        <v>2</v>
      </c>
      <c r="J201" t="n">
        <v>0</v>
      </c>
      <c r="K201" t="n">
        <v>0</v>
      </c>
      <c r="L201" t="n">
        <v>0</v>
      </c>
      <c r="M201" t="n">
        <v>0</v>
      </c>
      <c r="N201" t="n">
        <v>0</v>
      </c>
      <c r="O201" t="n">
        <v>0</v>
      </c>
      <c r="P201" t="n">
        <v>0</v>
      </c>
      <c r="Q201" t="n">
        <v>3</v>
      </c>
      <c r="R201" s="2" t="inlineStr">
        <is>
          <t>Finbräken
Kransrams
Blåsippa</t>
        </is>
      </c>
      <c r="S201">
        <f>HYPERLINK("https://klasma.github.io/Logging_2309/artfynd/A 62113-2024 artfynd.xlsx", "A 62113-2024")</f>
        <v/>
      </c>
      <c r="T201">
        <f>HYPERLINK("https://klasma.github.io/Logging_2309/kartor/A 62113-2024 karta.png", "A 62113-2024")</f>
        <v/>
      </c>
      <c r="V201">
        <f>HYPERLINK("https://klasma.github.io/Logging_2309/klagomål/A 62113-2024 FSC-klagomål.docx", "A 62113-2024")</f>
        <v/>
      </c>
      <c r="W201">
        <f>HYPERLINK("https://klasma.github.io/Logging_2309/klagomålsmail/A 62113-2024 FSC-klagomål mail.docx", "A 62113-2024")</f>
        <v/>
      </c>
      <c r="X201">
        <f>HYPERLINK("https://klasma.github.io/Logging_2309/tillsyn/A 62113-2024 tillsynsbegäran.docx", "A 62113-2024")</f>
        <v/>
      </c>
      <c r="Y201">
        <f>HYPERLINK("https://klasma.github.io/Logging_2309/tillsynsmail/A 62113-2024 tillsynsbegäran mail.docx", "A 62113-2024")</f>
        <v/>
      </c>
    </row>
    <row r="202" ht="15" customHeight="1">
      <c r="A202" t="inlineStr">
        <is>
          <t>A 62136-2024</t>
        </is>
      </c>
      <c r="B202" s="1" t="n">
        <v>45656</v>
      </c>
      <c r="C202" s="1" t="n">
        <v>45730</v>
      </c>
      <c r="D202" t="inlineStr">
        <is>
          <t>JÄMTLANDS LÄN</t>
        </is>
      </c>
      <c r="E202" t="inlineStr">
        <is>
          <t>KROKOM</t>
        </is>
      </c>
      <c r="F202" t="inlineStr">
        <is>
          <t>Övriga Aktiebolag</t>
        </is>
      </c>
      <c r="G202" t="n">
        <v>21.3</v>
      </c>
      <c r="H202" t="n">
        <v>1</v>
      </c>
      <c r="I202" t="n">
        <v>0</v>
      </c>
      <c r="J202" t="n">
        <v>3</v>
      </c>
      <c r="K202" t="n">
        <v>0</v>
      </c>
      <c r="L202" t="n">
        <v>0</v>
      </c>
      <c r="M202" t="n">
        <v>0</v>
      </c>
      <c r="N202" t="n">
        <v>0</v>
      </c>
      <c r="O202" t="n">
        <v>3</v>
      </c>
      <c r="P202" t="n">
        <v>0</v>
      </c>
      <c r="Q202" t="n">
        <v>3</v>
      </c>
      <c r="R202" s="2" t="inlineStr">
        <is>
          <t>Garnlav
Skrovellav
Tretåig hackspett</t>
        </is>
      </c>
      <c r="S202">
        <f>HYPERLINK("https://klasma.github.io/Logging_2309/artfynd/A 62136-2024 artfynd.xlsx", "A 62136-2024")</f>
        <v/>
      </c>
      <c r="T202">
        <f>HYPERLINK("https://klasma.github.io/Logging_2309/kartor/A 62136-2024 karta.png", "A 62136-2024")</f>
        <v/>
      </c>
      <c r="V202">
        <f>HYPERLINK("https://klasma.github.io/Logging_2309/klagomål/A 62136-2024 FSC-klagomål.docx", "A 62136-2024")</f>
        <v/>
      </c>
      <c r="W202">
        <f>HYPERLINK("https://klasma.github.io/Logging_2309/klagomålsmail/A 62136-2024 FSC-klagomål mail.docx", "A 62136-2024")</f>
        <v/>
      </c>
      <c r="X202">
        <f>HYPERLINK("https://klasma.github.io/Logging_2309/tillsyn/A 62136-2024 tillsynsbegäran.docx", "A 62136-2024")</f>
        <v/>
      </c>
      <c r="Y202">
        <f>HYPERLINK("https://klasma.github.io/Logging_2309/tillsynsmail/A 62136-2024 tillsynsbegäran mail.docx", "A 62136-2024")</f>
        <v/>
      </c>
      <c r="Z202">
        <f>HYPERLINK("https://klasma.github.io/Logging_2309/fåglar/A 62136-2024 prioriterade fågelarter.docx", "A 62136-2024")</f>
        <v/>
      </c>
    </row>
    <row r="203" ht="15" customHeight="1">
      <c r="A203" t="inlineStr">
        <is>
          <t>A 5278-2025</t>
        </is>
      </c>
      <c r="B203" s="1" t="n">
        <v>45692</v>
      </c>
      <c r="C203" s="1" t="n">
        <v>45730</v>
      </c>
      <c r="D203" t="inlineStr">
        <is>
          <t>JÄMTLANDS LÄN</t>
        </is>
      </c>
      <c r="E203" t="inlineStr">
        <is>
          <t>KROKOM</t>
        </is>
      </c>
      <c r="F203" t="inlineStr">
        <is>
          <t>Övriga Aktiebolag</t>
        </is>
      </c>
      <c r="G203" t="n">
        <v>117.4</v>
      </c>
      <c r="H203" t="n">
        <v>1</v>
      </c>
      <c r="I203" t="n">
        <v>0</v>
      </c>
      <c r="J203" t="n">
        <v>2</v>
      </c>
      <c r="K203" t="n">
        <v>0</v>
      </c>
      <c r="L203" t="n">
        <v>1</v>
      </c>
      <c r="M203" t="n">
        <v>0</v>
      </c>
      <c r="N203" t="n">
        <v>0</v>
      </c>
      <c r="O203" t="n">
        <v>3</v>
      </c>
      <c r="P203" t="n">
        <v>1</v>
      </c>
      <c r="Q203" t="n">
        <v>3</v>
      </c>
      <c r="R203" s="2" t="inlineStr">
        <is>
          <t>Bredgentiana
Backruta
Månlåsbräken</t>
        </is>
      </c>
      <c r="S203">
        <f>HYPERLINK("https://klasma.github.io/Logging_2309/artfynd/A 5278-2025 artfynd.xlsx", "A 5278-2025")</f>
        <v/>
      </c>
      <c r="T203">
        <f>HYPERLINK("https://klasma.github.io/Logging_2309/kartor/A 5278-2025 karta.png", "A 5278-2025")</f>
        <v/>
      </c>
      <c r="V203">
        <f>HYPERLINK("https://klasma.github.io/Logging_2309/klagomål/A 5278-2025 FSC-klagomål.docx", "A 5278-2025")</f>
        <v/>
      </c>
      <c r="W203">
        <f>HYPERLINK("https://klasma.github.io/Logging_2309/klagomålsmail/A 5278-2025 FSC-klagomål mail.docx", "A 5278-2025")</f>
        <v/>
      </c>
      <c r="X203">
        <f>HYPERLINK("https://klasma.github.io/Logging_2309/tillsyn/A 5278-2025 tillsynsbegäran.docx", "A 5278-2025")</f>
        <v/>
      </c>
      <c r="Y203">
        <f>HYPERLINK("https://klasma.github.io/Logging_2309/tillsynsmail/A 5278-2025 tillsynsbegäran mail.docx", "A 5278-2025")</f>
        <v/>
      </c>
    </row>
    <row r="204" ht="15" customHeight="1">
      <c r="A204" t="inlineStr">
        <is>
          <t>A 25930-2019</t>
        </is>
      </c>
      <c r="B204" s="1" t="n">
        <v>43608</v>
      </c>
      <c r="C204" s="1" t="n">
        <v>45730</v>
      </c>
      <c r="D204" t="inlineStr">
        <is>
          <t>JÄMTLANDS LÄN</t>
        </is>
      </c>
      <c r="E204" t="inlineStr">
        <is>
          <t>KROKOM</t>
        </is>
      </c>
      <c r="F204" t="inlineStr">
        <is>
          <t>Övriga Aktiebolag</t>
        </is>
      </c>
      <c r="G204" t="n">
        <v>34.6</v>
      </c>
      <c r="H204" t="n">
        <v>0</v>
      </c>
      <c r="I204" t="n">
        <v>2</v>
      </c>
      <c r="J204" t="n">
        <v>0</v>
      </c>
      <c r="K204" t="n">
        <v>0</v>
      </c>
      <c r="L204" t="n">
        <v>0</v>
      </c>
      <c r="M204" t="n">
        <v>0</v>
      </c>
      <c r="N204" t="n">
        <v>0</v>
      </c>
      <c r="O204" t="n">
        <v>0</v>
      </c>
      <c r="P204" t="n">
        <v>0</v>
      </c>
      <c r="Q204" t="n">
        <v>2</v>
      </c>
      <c r="R204" s="2" t="inlineStr">
        <is>
          <t>Finbräken
Kransrams</t>
        </is>
      </c>
      <c r="S204">
        <f>HYPERLINK("https://klasma.github.io/Logging_2309/artfynd/A 25930-2019 artfynd.xlsx", "A 25930-2019")</f>
        <v/>
      </c>
      <c r="T204">
        <f>HYPERLINK("https://klasma.github.io/Logging_2309/kartor/A 25930-2019 karta.png", "A 25930-2019")</f>
        <v/>
      </c>
      <c r="V204">
        <f>HYPERLINK("https://klasma.github.io/Logging_2309/klagomål/A 25930-2019 FSC-klagomål.docx", "A 25930-2019")</f>
        <v/>
      </c>
      <c r="W204">
        <f>HYPERLINK("https://klasma.github.io/Logging_2309/klagomålsmail/A 25930-2019 FSC-klagomål mail.docx", "A 25930-2019")</f>
        <v/>
      </c>
      <c r="X204">
        <f>HYPERLINK("https://klasma.github.io/Logging_2309/tillsyn/A 25930-2019 tillsynsbegäran.docx", "A 25930-2019")</f>
        <v/>
      </c>
      <c r="Y204">
        <f>HYPERLINK("https://klasma.github.io/Logging_2309/tillsynsmail/A 25930-2019 tillsynsbegäran mail.docx", "A 25930-2019")</f>
        <v/>
      </c>
    </row>
    <row r="205" ht="15" customHeight="1">
      <c r="A205" t="inlineStr">
        <is>
          <t>A 37877-2019</t>
        </is>
      </c>
      <c r="B205" s="1" t="n">
        <v>43682</v>
      </c>
      <c r="C205" s="1" t="n">
        <v>45730</v>
      </c>
      <c r="D205" t="inlineStr">
        <is>
          <t>JÄMTLANDS LÄN</t>
        </is>
      </c>
      <c r="E205" t="inlineStr">
        <is>
          <t>KROKOM</t>
        </is>
      </c>
      <c r="F205" t="inlineStr">
        <is>
          <t>SCA</t>
        </is>
      </c>
      <c r="G205" t="n">
        <v>4.1</v>
      </c>
      <c r="H205" t="n">
        <v>0</v>
      </c>
      <c r="I205" t="n">
        <v>1</v>
      </c>
      <c r="J205" t="n">
        <v>1</v>
      </c>
      <c r="K205" t="n">
        <v>0</v>
      </c>
      <c r="L205" t="n">
        <v>0</v>
      </c>
      <c r="M205" t="n">
        <v>0</v>
      </c>
      <c r="N205" t="n">
        <v>0</v>
      </c>
      <c r="O205" t="n">
        <v>1</v>
      </c>
      <c r="P205" t="n">
        <v>0</v>
      </c>
      <c r="Q205" t="n">
        <v>2</v>
      </c>
      <c r="R205" s="2" t="inlineStr">
        <is>
          <t>Skrovellav
Luddlav</t>
        </is>
      </c>
      <c r="S205">
        <f>HYPERLINK("https://klasma.github.io/Logging_2309/artfynd/A 37877-2019 artfynd.xlsx", "A 37877-2019")</f>
        <v/>
      </c>
      <c r="T205">
        <f>HYPERLINK("https://klasma.github.io/Logging_2309/kartor/A 37877-2019 karta.png", "A 37877-2019")</f>
        <v/>
      </c>
      <c r="V205">
        <f>HYPERLINK("https://klasma.github.io/Logging_2309/klagomål/A 37877-2019 FSC-klagomål.docx", "A 37877-2019")</f>
        <v/>
      </c>
      <c r="W205">
        <f>HYPERLINK("https://klasma.github.io/Logging_2309/klagomålsmail/A 37877-2019 FSC-klagomål mail.docx", "A 37877-2019")</f>
        <v/>
      </c>
      <c r="X205">
        <f>HYPERLINK("https://klasma.github.io/Logging_2309/tillsyn/A 37877-2019 tillsynsbegäran.docx", "A 37877-2019")</f>
        <v/>
      </c>
      <c r="Y205">
        <f>HYPERLINK("https://klasma.github.io/Logging_2309/tillsynsmail/A 37877-2019 tillsynsbegäran mail.docx", "A 37877-2019")</f>
        <v/>
      </c>
    </row>
    <row r="206" ht="15" customHeight="1">
      <c r="A206" t="inlineStr">
        <is>
          <t>A 42512-2019</t>
        </is>
      </c>
      <c r="B206" s="1" t="n">
        <v>43704</v>
      </c>
      <c r="C206" s="1" t="n">
        <v>45730</v>
      </c>
      <c r="D206" t="inlineStr">
        <is>
          <t>JÄMTLANDS LÄN</t>
        </is>
      </c>
      <c r="E206" t="inlineStr">
        <is>
          <t>KROKOM</t>
        </is>
      </c>
      <c r="F206" t="inlineStr">
        <is>
          <t>Övriga Aktiebolag</t>
        </is>
      </c>
      <c r="G206" t="n">
        <v>3.1</v>
      </c>
      <c r="H206" t="n">
        <v>2</v>
      </c>
      <c r="I206" t="n">
        <v>1</v>
      </c>
      <c r="J206" t="n">
        <v>0</v>
      </c>
      <c r="K206" t="n">
        <v>0</v>
      </c>
      <c r="L206" t="n">
        <v>0</v>
      </c>
      <c r="M206" t="n">
        <v>0</v>
      </c>
      <c r="N206" t="n">
        <v>0</v>
      </c>
      <c r="O206" t="n">
        <v>0</v>
      </c>
      <c r="P206" t="n">
        <v>0</v>
      </c>
      <c r="Q206" t="n">
        <v>2</v>
      </c>
      <c r="R206" s="2" t="inlineStr">
        <is>
          <t>Spindelblomster
Revlummer</t>
        </is>
      </c>
      <c r="S206">
        <f>HYPERLINK("https://klasma.github.io/Logging_2309/artfynd/A 42512-2019 artfynd.xlsx", "A 42512-2019")</f>
        <v/>
      </c>
      <c r="T206">
        <f>HYPERLINK("https://klasma.github.io/Logging_2309/kartor/A 42512-2019 karta.png", "A 42512-2019")</f>
        <v/>
      </c>
      <c r="V206">
        <f>HYPERLINK("https://klasma.github.io/Logging_2309/klagomål/A 42512-2019 FSC-klagomål.docx", "A 42512-2019")</f>
        <v/>
      </c>
      <c r="W206">
        <f>HYPERLINK("https://klasma.github.io/Logging_2309/klagomålsmail/A 42512-2019 FSC-klagomål mail.docx", "A 42512-2019")</f>
        <v/>
      </c>
      <c r="X206">
        <f>HYPERLINK("https://klasma.github.io/Logging_2309/tillsyn/A 42512-2019 tillsynsbegäran.docx", "A 42512-2019")</f>
        <v/>
      </c>
      <c r="Y206">
        <f>HYPERLINK("https://klasma.github.io/Logging_2309/tillsynsmail/A 42512-2019 tillsynsbegäran mail.docx", "A 42512-2019")</f>
        <v/>
      </c>
    </row>
    <row r="207" ht="15" customHeight="1">
      <c r="A207" t="inlineStr">
        <is>
          <t>A 52059-2019</t>
        </is>
      </c>
      <c r="B207" s="1" t="n">
        <v>43734</v>
      </c>
      <c r="C207" s="1" t="n">
        <v>45730</v>
      </c>
      <c r="D207" t="inlineStr">
        <is>
          <t>JÄMTLANDS LÄN</t>
        </is>
      </c>
      <c r="E207" t="inlineStr">
        <is>
          <t>KROKOM</t>
        </is>
      </c>
      <c r="G207" t="n">
        <v>2.1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52059-2019 artfynd.xlsx", "A 52059-2019")</f>
        <v/>
      </c>
      <c r="T207">
        <f>HYPERLINK("https://klasma.github.io/Logging_2309/kartor/A 52059-2019 karta.png", "A 52059-2019")</f>
        <v/>
      </c>
      <c r="V207">
        <f>HYPERLINK("https://klasma.github.io/Logging_2309/klagomål/A 52059-2019 FSC-klagomål.docx", "A 52059-2019")</f>
        <v/>
      </c>
      <c r="W207">
        <f>HYPERLINK("https://klasma.github.io/Logging_2309/klagomålsmail/A 52059-2019 FSC-klagomål mail.docx", "A 52059-2019")</f>
        <v/>
      </c>
      <c r="X207">
        <f>HYPERLINK("https://klasma.github.io/Logging_2309/tillsyn/A 52059-2019 tillsynsbegäran.docx", "A 52059-2019")</f>
        <v/>
      </c>
      <c r="Y207">
        <f>HYPERLINK("https://klasma.github.io/Logging_2309/tillsynsmail/A 52059-2019 tillsynsbegäran mail.docx", "A 52059-2019")</f>
        <v/>
      </c>
    </row>
    <row r="208" ht="15" customHeight="1">
      <c r="A208" t="inlineStr">
        <is>
          <t>A 58212-2019</t>
        </is>
      </c>
      <c r="B208" s="1" t="n">
        <v>43770</v>
      </c>
      <c r="C208" s="1" t="n">
        <v>45730</v>
      </c>
      <c r="D208" t="inlineStr">
        <is>
          <t>JÄMTLANDS LÄN</t>
        </is>
      </c>
      <c r="E208" t="inlineStr">
        <is>
          <t>KROKOM</t>
        </is>
      </c>
      <c r="G208" t="n">
        <v>11</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HYPERLINK("https://klasma.github.io/Logging_2309/artfynd/A 58212-2019 artfynd.xlsx", "A 58212-2019")</f>
        <v/>
      </c>
      <c r="T208">
        <f>HYPERLINK("https://klasma.github.io/Logging_2309/kartor/A 58212-2019 karta.png", "A 58212-2019")</f>
        <v/>
      </c>
      <c r="V208">
        <f>HYPERLINK("https://klasma.github.io/Logging_2309/klagomål/A 58212-2019 FSC-klagomål.docx", "A 58212-2019")</f>
        <v/>
      </c>
      <c r="W208">
        <f>HYPERLINK("https://klasma.github.io/Logging_2309/klagomålsmail/A 58212-2019 FSC-klagomål mail.docx", "A 58212-2019")</f>
        <v/>
      </c>
      <c r="X208">
        <f>HYPERLINK("https://klasma.github.io/Logging_2309/tillsyn/A 58212-2019 tillsynsbegäran.docx", "A 58212-2019")</f>
        <v/>
      </c>
      <c r="Y208">
        <f>HYPERLINK("https://klasma.github.io/Logging_2309/tillsynsmail/A 58212-2019 tillsynsbegäran mail.docx", "A 58212-2019")</f>
        <v/>
      </c>
      <c r="Z208">
        <f>HYPERLINK("https://klasma.github.io/Logging_2309/fåglar/A 58212-2019 prioriterade fågelarter.docx", "A 58212-2019")</f>
        <v/>
      </c>
    </row>
    <row r="209" ht="15" customHeight="1">
      <c r="A209" t="inlineStr">
        <is>
          <t>A 68075-2019</t>
        </is>
      </c>
      <c r="B209" s="1" t="n">
        <v>43816</v>
      </c>
      <c r="C209" s="1" t="n">
        <v>45730</v>
      </c>
      <c r="D209" t="inlineStr">
        <is>
          <t>JÄMTLANDS LÄN</t>
        </is>
      </c>
      <c r="E209" t="inlineStr">
        <is>
          <t>KROKOM</t>
        </is>
      </c>
      <c r="F209" t="inlineStr">
        <is>
          <t>SCA</t>
        </is>
      </c>
      <c r="G209" t="n">
        <v>11.3</v>
      </c>
      <c r="H209" t="n">
        <v>0</v>
      </c>
      <c r="I209" t="n">
        <v>0</v>
      </c>
      <c r="J209" t="n">
        <v>2</v>
      </c>
      <c r="K209" t="n">
        <v>0</v>
      </c>
      <c r="L209" t="n">
        <v>0</v>
      </c>
      <c r="M209" t="n">
        <v>0</v>
      </c>
      <c r="N209" t="n">
        <v>0</v>
      </c>
      <c r="O209" t="n">
        <v>2</v>
      </c>
      <c r="P209" t="n">
        <v>0</v>
      </c>
      <c r="Q209" t="n">
        <v>2</v>
      </c>
      <c r="R209" s="2" t="inlineStr">
        <is>
          <t>Garnlav
Lunglav</t>
        </is>
      </c>
      <c r="S209">
        <f>HYPERLINK("https://klasma.github.io/Logging_2309/artfynd/A 68075-2019 artfynd.xlsx", "A 68075-2019")</f>
        <v/>
      </c>
      <c r="T209">
        <f>HYPERLINK("https://klasma.github.io/Logging_2309/kartor/A 68075-2019 karta.png", "A 68075-2019")</f>
        <v/>
      </c>
      <c r="V209">
        <f>HYPERLINK("https://klasma.github.io/Logging_2309/klagomål/A 68075-2019 FSC-klagomål.docx", "A 68075-2019")</f>
        <v/>
      </c>
      <c r="W209">
        <f>HYPERLINK("https://klasma.github.io/Logging_2309/klagomålsmail/A 68075-2019 FSC-klagomål mail.docx", "A 68075-2019")</f>
        <v/>
      </c>
      <c r="X209">
        <f>HYPERLINK("https://klasma.github.io/Logging_2309/tillsyn/A 68075-2019 tillsynsbegäran.docx", "A 68075-2019")</f>
        <v/>
      </c>
      <c r="Y209">
        <f>HYPERLINK("https://klasma.github.io/Logging_2309/tillsynsmail/A 68075-2019 tillsynsbegäran mail.docx", "A 68075-2019")</f>
        <v/>
      </c>
    </row>
    <row r="210" ht="15" customHeight="1">
      <c r="A210" t="inlineStr">
        <is>
          <t>A 54387-2020</t>
        </is>
      </c>
      <c r="B210" s="1" t="n">
        <v>44123</v>
      </c>
      <c r="C210" s="1" t="n">
        <v>45730</v>
      </c>
      <c r="D210" t="inlineStr">
        <is>
          <t>JÄMTLANDS LÄN</t>
        </is>
      </c>
      <c r="E210" t="inlineStr">
        <is>
          <t>KROKOM</t>
        </is>
      </c>
      <c r="G210" t="n">
        <v>4.3</v>
      </c>
      <c r="H210" t="n">
        <v>1</v>
      </c>
      <c r="I210" t="n">
        <v>1</v>
      </c>
      <c r="J210" t="n">
        <v>0</v>
      </c>
      <c r="K210" t="n">
        <v>0</v>
      </c>
      <c r="L210" t="n">
        <v>1</v>
      </c>
      <c r="M210" t="n">
        <v>0</v>
      </c>
      <c r="N210" t="n">
        <v>0</v>
      </c>
      <c r="O210" t="n">
        <v>1</v>
      </c>
      <c r="P210" t="n">
        <v>1</v>
      </c>
      <c r="Q210" t="n">
        <v>2</v>
      </c>
      <c r="R210" s="2" t="inlineStr">
        <is>
          <t>Violett guldvinge
Luddlav</t>
        </is>
      </c>
      <c r="S210">
        <f>HYPERLINK("https://klasma.github.io/Logging_2309/artfynd/A 54387-2020 artfynd.xlsx", "A 54387-2020")</f>
        <v/>
      </c>
      <c r="T210">
        <f>HYPERLINK("https://klasma.github.io/Logging_2309/kartor/A 54387-2020 karta.png", "A 54387-2020")</f>
        <v/>
      </c>
      <c r="V210">
        <f>HYPERLINK("https://klasma.github.io/Logging_2309/klagomål/A 54387-2020 FSC-klagomål.docx", "A 54387-2020")</f>
        <v/>
      </c>
      <c r="W210">
        <f>HYPERLINK("https://klasma.github.io/Logging_2309/klagomålsmail/A 54387-2020 FSC-klagomål mail.docx", "A 54387-2020")</f>
        <v/>
      </c>
      <c r="X210">
        <f>HYPERLINK("https://klasma.github.io/Logging_2309/tillsyn/A 54387-2020 tillsynsbegäran.docx", "A 54387-2020")</f>
        <v/>
      </c>
      <c r="Y210">
        <f>HYPERLINK("https://klasma.github.io/Logging_2309/tillsynsmail/A 54387-2020 tillsynsbegäran mail.docx", "A 54387-2020")</f>
        <v/>
      </c>
    </row>
    <row r="211" ht="15" customHeight="1">
      <c r="A211" t="inlineStr">
        <is>
          <t>A 62641-2020</t>
        </is>
      </c>
      <c r="B211" s="1" t="n">
        <v>44161</v>
      </c>
      <c r="C211" s="1" t="n">
        <v>45730</v>
      </c>
      <c r="D211" t="inlineStr">
        <is>
          <t>JÄMTLANDS LÄN</t>
        </is>
      </c>
      <c r="E211" t="inlineStr">
        <is>
          <t>KROKOM</t>
        </is>
      </c>
      <c r="G211" t="n">
        <v>5.3</v>
      </c>
      <c r="H211" t="n">
        <v>1</v>
      </c>
      <c r="I211" t="n">
        <v>1</v>
      </c>
      <c r="J211" t="n">
        <v>0</v>
      </c>
      <c r="K211" t="n">
        <v>0</v>
      </c>
      <c r="L211" t="n">
        <v>0</v>
      </c>
      <c r="M211" t="n">
        <v>0</v>
      </c>
      <c r="N211" t="n">
        <v>0</v>
      </c>
      <c r="O211" t="n">
        <v>0</v>
      </c>
      <c r="P211" t="n">
        <v>0</v>
      </c>
      <c r="Q211" t="n">
        <v>2</v>
      </c>
      <c r="R211" s="2" t="inlineStr">
        <is>
          <t>Svavelriska
Blåsippa</t>
        </is>
      </c>
      <c r="S211">
        <f>HYPERLINK("https://klasma.github.io/Logging_2309/artfynd/A 62641-2020 artfynd.xlsx", "A 62641-2020")</f>
        <v/>
      </c>
      <c r="T211">
        <f>HYPERLINK("https://klasma.github.io/Logging_2309/kartor/A 62641-2020 karta.png", "A 62641-2020")</f>
        <v/>
      </c>
      <c r="V211">
        <f>HYPERLINK("https://klasma.github.io/Logging_2309/klagomål/A 62641-2020 FSC-klagomål.docx", "A 62641-2020")</f>
        <v/>
      </c>
      <c r="W211">
        <f>HYPERLINK("https://klasma.github.io/Logging_2309/klagomålsmail/A 62641-2020 FSC-klagomål mail.docx", "A 62641-2020")</f>
        <v/>
      </c>
      <c r="X211">
        <f>HYPERLINK("https://klasma.github.io/Logging_2309/tillsyn/A 62641-2020 tillsynsbegäran.docx", "A 62641-2020")</f>
        <v/>
      </c>
      <c r="Y211">
        <f>HYPERLINK("https://klasma.github.io/Logging_2309/tillsynsmail/A 62641-2020 tillsynsbegäran mail.docx", "A 62641-2020")</f>
        <v/>
      </c>
    </row>
    <row r="212" ht="15" customHeight="1">
      <c r="A212" t="inlineStr">
        <is>
          <t>A 1698-2021</t>
        </is>
      </c>
      <c r="B212" s="1" t="n">
        <v>44209</v>
      </c>
      <c r="C212" s="1" t="n">
        <v>45730</v>
      </c>
      <c r="D212" t="inlineStr">
        <is>
          <t>JÄMTLANDS LÄN</t>
        </is>
      </c>
      <c r="E212" t="inlineStr">
        <is>
          <t>KROKOM</t>
        </is>
      </c>
      <c r="G212" t="n">
        <v>21</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1698-2021 artfynd.xlsx", "A 1698-2021")</f>
        <v/>
      </c>
      <c r="T212">
        <f>HYPERLINK("https://klasma.github.io/Logging_2309/kartor/A 1698-2021 karta.png", "A 1698-2021")</f>
        <v/>
      </c>
      <c r="V212">
        <f>HYPERLINK("https://klasma.github.io/Logging_2309/klagomål/A 1698-2021 FSC-klagomål.docx", "A 1698-2021")</f>
        <v/>
      </c>
      <c r="W212">
        <f>HYPERLINK("https://klasma.github.io/Logging_2309/klagomålsmail/A 1698-2021 FSC-klagomål mail.docx", "A 1698-2021")</f>
        <v/>
      </c>
      <c r="X212">
        <f>HYPERLINK("https://klasma.github.io/Logging_2309/tillsyn/A 1698-2021 tillsynsbegäran.docx", "A 1698-2021")</f>
        <v/>
      </c>
      <c r="Y212">
        <f>HYPERLINK("https://klasma.github.io/Logging_2309/tillsynsmail/A 1698-2021 tillsynsbegäran mail.docx", "A 1698-2021")</f>
        <v/>
      </c>
      <c r="Z212">
        <f>HYPERLINK("https://klasma.github.io/Logging_2309/fåglar/A 1698-2021 prioriterade fågelarter.docx", "A 1698-2021")</f>
        <v/>
      </c>
    </row>
    <row r="213" ht="15" customHeight="1">
      <c r="A213" t="inlineStr">
        <is>
          <t>A 5527-2021</t>
        </is>
      </c>
      <c r="B213" s="1" t="n">
        <v>44230</v>
      </c>
      <c r="C213" s="1" t="n">
        <v>45730</v>
      </c>
      <c r="D213" t="inlineStr">
        <is>
          <t>JÄMTLANDS LÄN</t>
        </is>
      </c>
      <c r="E213" t="inlineStr">
        <is>
          <t>KROKOM</t>
        </is>
      </c>
      <c r="G213" t="n">
        <v>17.8</v>
      </c>
      <c r="H213" t="n">
        <v>2</v>
      </c>
      <c r="I213" t="n">
        <v>1</v>
      </c>
      <c r="J213" t="n">
        <v>0</v>
      </c>
      <c r="K213" t="n">
        <v>0</v>
      </c>
      <c r="L213" t="n">
        <v>0</v>
      </c>
      <c r="M213" t="n">
        <v>0</v>
      </c>
      <c r="N213" t="n">
        <v>0</v>
      </c>
      <c r="O213" t="n">
        <v>0</v>
      </c>
      <c r="P213" t="n">
        <v>0</v>
      </c>
      <c r="Q213" t="n">
        <v>2</v>
      </c>
      <c r="R213" s="2" t="inlineStr">
        <is>
          <t>Guckusko
Hökuggla</t>
        </is>
      </c>
      <c r="S213">
        <f>HYPERLINK("https://klasma.github.io/Logging_2309/artfynd/A 5527-2021 artfynd.xlsx", "A 5527-2021")</f>
        <v/>
      </c>
      <c r="T213">
        <f>HYPERLINK("https://klasma.github.io/Logging_2309/kartor/A 5527-2021 karta.png", "A 5527-2021")</f>
        <v/>
      </c>
      <c r="V213">
        <f>HYPERLINK("https://klasma.github.io/Logging_2309/klagomål/A 5527-2021 FSC-klagomål.docx", "A 5527-2021")</f>
        <v/>
      </c>
      <c r="W213">
        <f>HYPERLINK("https://klasma.github.io/Logging_2309/klagomålsmail/A 5527-2021 FSC-klagomål mail.docx", "A 5527-2021")</f>
        <v/>
      </c>
      <c r="X213">
        <f>HYPERLINK("https://klasma.github.io/Logging_2309/tillsyn/A 5527-2021 tillsynsbegäran.docx", "A 5527-2021")</f>
        <v/>
      </c>
      <c r="Y213">
        <f>HYPERLINK("https://klasma.github.io/Logging_2309/tillsynsmail/A 5527-2021 tillsynsbegäran mail.docx", "A 5527-2021")</f>
        <v/>
      </c>
      <c r="Z213">
        <f>HYPERLINK("https://klasma.github.io/Logging_2309/fåglar/A 5527-2021 prioriterade fågelarter.docx", "A 5527-2021")</f>
        <v/>
      </c>
    </row>
    <row r="214" ht="15" customHeight="1">
      <c r="A214" t="inlineStr">
        <is>
          <t>A 14589-2021</t>
        </is>
      </c>
      <c r="B214" s="1" t="n">
        <v>44279</v>
      </c>
      <c r="C214" s="1" t="n">
        <v>45730</v>
      </c>
      <c r="D214" t="inlineStr">
        <is>
          <t>JÄMTLANDS LÄN</t>
        </is>
      </c>
      <c r="E214" t="inlineStr">
        <is>
          <t>KROKOM</t>
        </is>
      </c>
      <c r="G214" t="n">
        <v>8.800000000000001</v>
      </c>
      <c r="H214" t="n">
        <v>2</v>
      </c>
      <c r="I214" t="n">
        <v>0</v>
      </c>
      <c r="J214" t="n">
        <v>1</v>
      </c>
      <c r="K214" t="n">
        <v>0</v>
      </c>
      <c r="L214" t="n">
        <v>0</v>
      </c>
      <c r="M214" t="n">
        <v>0</v>
      </c>
      <c r="N214" t="n">
        <v>0</v>
      </c>
      <c r="O214" t="n">
        <v>1</v>
      </c>
      <c r="P214" t="n">
        <v>0</v>
      </c>
      <c r="Q214" t="n">
        <v>2</v>
      </c>
      <c r="R214" s="2" t="inlineStr">
        <is>
          <t>Utter
Fläcknycklar</t>
        </is>
      </c>
      <c r="S214">
        <f>HYPERLINK("https://klasma.github.io/Logging_2309/artfynd/A 14589-2021 artfynd.xlsx", "A 14589-2021")</f>
        <v/>
      </c>
      <c r="T214">
        <f>HYPERLINK("https://klasma.github.io/Logging_2309/kartor/A 14589-2021 karta.png", "A 14589-2021")</f>
        <v/>
      </c>
      <c r="V214">
        <f>HYPERLINK("https://klasma.github.io/Logging_2309/klagomål/A 14589-2021 FSC-klagomål.docx", "A 14589-2021")</f>
        <v/>
      </c>
      <c r="W214">
        <f>HYPERLINK("https://klasma.github.io/Logging_2309/klagomålsmail/A 14589-2021 FSC-klagomål mail.docx", "A 14589-2021")</f>
        <v/>
      </c>
      <c r="X214">
        <f>HYPERLINK("https://klasma.github.io/Logging_2309/tillsyn/A 14589-2021 tillsynsbegäran.docx", "A 14589-2021")</f>
        <v/>
      </c>
      <c r="Y214">
        <f>HYPERLINK("https://klasma.github.io/Logging_2309/tillsynsmail/A 14589-2021 tillsynsbegäran mail.docx", "A 14589-2021")</f>
        <v/>
      </c>
    </row>
    <row r="215" ht="15" customHeight="1">
      <c r="A215" t="inlineStr">
        <is>
          <t>A 20981-2021</t>
        </is>
      </c>
      <c r="B215" s="1" t="n">
        <v>44316</v>
      </c>
      <c r="C215" s="1" t="n">
        <v>45730</v>
      </c>
      <c r="D215" t="inlineStr">
        <is>
          <t>JÄMTLANDS LÄN</t>
        </is>
      </c>
      <c r="E215" t="inlineStr">
        <is>
          <t>KROKOM</t>
        </is>
      </c>
      <c r="G215" t="n">
        <v>27.4</v>
      </c>
      <c r="H215" t="n">
        <v>0</v>
      </c>
      <c r="I215" t="n">
        <v>1</v>
      </c>
      <c r="J215" t="n">
        <v>1</v>
      </c>
      <c r="K215" t="n">
        <v>0</v>
      </c>
      <c r="L215" t="n">
        <v>0</v>
      </c>
      <c r="M215" t="n">
        <v>0</v>
      </c>
      <c r="N215" t="n">
        <v>0</v>
      </c>
      <c r="O215" t="n">
        <v>1</v>
      </c>
      <c r="P215" t="n">
        <v>0</v>
      </c>
      <c r="Q215" t="n">
        <v>2</v>
      </c>
      <c r="R215" s="2" t="inlineStr">
        <is>
          <t>Harticka
Trådticka</t>
        </is>
      </c>
      <c r="S215">
        <f>HYPERLINK("https://klasma.github.io/Logging_2309/artfynd/A 20981-2021 artfynd.xlsx", "A 20981-2021")</f>
        <v/>
      </c>
      <c r="T215">
        <f>HYPERLINK("https://klasma.github.io/Logging_2309/kartor/A 20981-2021 karta.png", "A 20981-2021")</f>
        <v/>
      </c>
      <c r="V215">
        <f>HYPERLINK("https://klasma.github.io/Logging_2309/klagomål/A 20981-2021 FSC-klagomål.docx", "A 20981-2021")</f>
        <v/>
      </c>
      <c r="W215">
        <f>HYPERLINK("https://klasma.github.io/Logging_2309/klagomålsmail/A 20981-2021 FSC-klagomål mail.docx", "A 20981-2021")</f>
        <v/>
      </c>
      <c r="X215">
        <f>HYPERLINK("https://klasma.github.io/Logging_2309/tillsyn/A 20981-2021 tillsynsbegäran.docx", "A 20981-2021")</f>
        <v/>
      </c>
      <c r="Y215">
        <f>HYPERLINK("https://klasma.github.io/Logging_2309/tillsynsmail/A 20981-2021 tillsynsbegäran mail.docx", "A 20981-2021")</f>
        <v/>
      </c>
    </row>
    <row r="216" ht="15" customHeight="1">
      <c r="A216" t="inlineStr">
        <is>
          <t>A 28151-2021</t>
        </is>
      </c>
      <c r="B216" s="1" t="n">
        <v>44355</v>
      </c>
      <c r="C216" s="1" t="n">
        <v>45730</v>
      </c>
      <c r="D216" t="inlineStr">
        <is>
          <t>JÄMTLANDS LÄN</t>
        </is>
      </c>
      <c r="E216" t="inlineStr">
        <is>
          <t>KROKOM</t>
        </is>
      </c>
      <c r="G216" t="n">
        <v>19.6</v>
      </c>
      <c r="H216" t="n">
        <v>0</v>
      </c>
      <c r="I216" t="n">
        <v>0</v>
      </c>
      <c r="J216" t="n">
        <v>2</v>
      </c>
      <c r="K216" t="n">
        <v>0</v>
      </c>
      <c r="L216" t="n">
        <v>0</v>
      </c>
      <c r="M216" t="n">
        <v>0</v>
      </c>
      <c r="N216" t="n">
        <v>0</v>
      </c>
      <c r="O216" t="n">
        <v>2</v>
      </c>
      <c r="P216" t="n">
        <v>0</v>
      </c>
      <c r="Q216" t="n">
        <v>2</v>
      </c>
      <c r="R216" s="2" t="inlineStr">
        <is>
          <t>Granticka
Lunglav</t>
        </is>
      </c>
      <c r="S216">
        <f>HYPERLINK("https://klasma.github.io/Logging_2309/artfynd/A 28151-2021 artfynd.xlsx", "A 28151-2021")</f>
        <v/>
      </c>
      <c r="T216">
        <f>HYPERLINK("https://klasma.github.io/Logging_2309/kartor/A 28151-2021 karta.png", "A 28151-2021")</f>
        <v/>
      </c>
      <c r="V216">
        <f>HYPERLINK("https://klasma.github.io/Logging_2309/klagomål/A 28151-2021 FSC-klagomål.docx", "A 28151-2021")</f>
        <v/>
      </c>
      <c r="W216">
        <f>HYPERLINK("https://klasma.github.io/Logging_2309/klagomålsmail/A 28151-2021 FSC-klagomål mail.docx", "A 28151-2021")</f>
        <v/>
      </c>
      <c r="X216">
        <f>HYPERLINK("https://klasma.github.io/Logging_2309/tillsyn/A 28151-2021 tillsynsbegäran.docx", "A 28151-2021")</f>
        <v/>
      </c>
      <c r="Y216">
        <f>HYPERLINK("https://klasma.github.io/Logging_2309/tillsynsmail/A 28151-2021 tillsynsbegäran mail.docx", "A 28151-2021")</f>
        <v/>
      </c>
    </row>
    <row r="217" ht="15" customHeight="1">
      <c r="A217" t="inlineStr">
        <is>
          <t>A 33874-2021</t>
        </is>
      </c>
      <c r="B217" s="1" t="n">
        <v>44378</v>
      </c>
      <c r="C217" s="1" t="n">
        <v>45730</v>
      </c>
      <c r="D217" t="inlineStr">
        <is>
          <t>JÄMTLANDS LÄN</t>
        </is>
      </c>
      <c r="E217" t="inlineStr">
        <is>
          <t>KROKOM</t>
        </is>
      </c>
      <c r="G217" t="n">
        <v>5.9</v>
      </c>
      <c r="H217" t="n">
        <v>1</v>
      </c>
      <c r="I217" t="n">
        <v>2</v>
      </c>
      <c r="J217" t="n">
        <v>0</v>
      </c>
      <c r="K217" t="n">
        <v>0</v>
      </c>
      <c r="L217" t="n">
        <v>0</v>
      </c>
      <c r="M217" t="n">
        <v>0</v>
      </c>
      <c r="N217" t="n">
        <v>0</v>
      </c>
      <c r="O217" t="n">
        <v>0</v>
      </c>
      <c r="P217" t="n">
        <v>0</v>
      </c>
      <c r="Q217" t="n">
        <v>2</v>
      </c>
      <c r="R217" s="2" t="inlineStr">
        <is>
          <t>Kransrams
Tvåblad</t>
        </is>
      </c>
      <c r="S217">
        <f>HYPERLINK("https://klasma.github.io/Logging_2309/artfynd/A 33874-2021 artfynd.xlsx", "A 33874-2021")</f>
        <v/>
      </c>
      <c r="T217">
        <f>HYPERLINK("https://klasma.github.io/Logging_2309/kartor/A 33874-2021 karta.png", "A 33874-2021")</f>
        <v/>
      </c>
      <c r="V217">
        <f>HYPERLINK("https://klasma.github.io/Logging_2309/klagomål/A 33874-2021 FSC-klagomål.docx", "A 33874-2021")</f>
        <v/>
      </c>
      <c r="W217">
        <f>HYPERLINK("https://klasma.github.io/Logging_2309/klagomålsmail/A 33874-2021 FSC-klagomål mail.docx", "A 33874-2021")</f>
        <v/>
      </c>
      <c r="X217">
        <f>HYPERLINK("https://klasma.github.io/Logging_2309/tillsyn/A 33874-2021 tillsynsbegäran.docx", "A 33874-2021")</f>
        <v/>
      </c>
      <c r="Y217">
        <f>HYPERLINK("https://klasma.github.io/Logging_2309/tillsynsmail/A 33874-2021 tillsynsbegäran mail.docx", "A 33874-2021")</f>
        <v/>
      </c>
    </row>
    <row r="218" ht="15" customHeight="1">
      <c r="A218" t="inlineStr">
        <is>
          <t>A 67700-2021</t>
        </is>
      </c>
      <c r="B218" s="1" t="n">
        <v>44524</v>
      </c>
      <c r="C218" s="1" t="n">
        <v>45730</v>
      </c>
      <c r="D218" t="inlineStr">
        <is>
          <t>JÄMTLANDS LÄN</t>
        </is>
      </c>
      <c r="E218" t="inlineStr">
        <is>
          <t>KROKOM</t>
        </is>
      </c>
      <c r="F218" t="inlineStr">
        <is>
          <t>SCA</t>
        </is>
      </c>
      <c r="G218" t="n">
        <v>1.3</v>
      </c>
      <c r="H218" t="n">
        <v>1</v>
      </c>
      <c r="I218" t="n">
        <v>0</v>
      </c>
      <c r="J218" t="n">
        <v>1</v>
      </c>
      <c r="K218" t="n">
        <v>0</v>
      </c>
      <c r="L218" t="n">
        <v>0</v>
      </c>
      <c r="M218" t="n">
        <v>0</v>
      </c>
      <c r="N218" t="n">
        <v>0</v>
      </c>
      <c r="O218" t="n">
        <v>1</v>
      </c>
      <c r="P218" t="n">
        <v>0</v>
      </c>
      <c r="Q218" t="n">
        <v>2</v>
      </c>
      <c r="R218" s="2" t="inlineStr">
        <is>
          <t>Lunglav
Blåsippa</t>
        </is>
      </c>
      <c r="S218">
        <f>HYPERLINK("https://klasma.github.io/Logging_2309/artfynd/A 67700-2021 artfynd.xlsx", "A 67700-2021")</f>
        <v/>
      </c>
      <c r="T218">
        <f>HYPERLINK("https://klasma.github.io/Logging_2309/kartor/A 67700-2021 karta.png", "A 67700-2021")</f>
        <v/>
      </c>
      <c r="V218">
        <f>HYPERLINK("https://klasma.github.io/Logging_2309/klagomål/A 67700-2021 FSC-klagomål.docx", "A 67700-2021")</f>
        <v/>
      </c>
      <c r="W218">
        <f>HYPERLINK("https://klasma.github.io/Logging_2309/klagomålsmail/A 67700-2021 FSC-klagomål mail.docx", "A 67700-2021")</f>
        <v/>
      </c>
      <c r="X218">
        <f>HYPERLINK("https://klasma.github.io/Logging_2309/tillsyn/A 67700-2021 tillsynsbegäran.docx", "A 67700-2021")</f>
        <v/>
      </c>
      <c r="Y218">
        <f>HYPERLINK("https://klasma.github.io/Logging_2309/tillsynsmail/A 67700-2021 tillsynsbegäran mail.docx", "A 67700-2021")</f>
        <v/>
      </c>
    </row>
    <row r="219" ht="15" customHeight="1">
      <c r="A219" t="inlineStr">
        <is>
          <t>A 67738-2021</t>
        </is>
      </c>
      <c r="B219" s="1" t="n">
        <v>44524</v>
      </c>
      <c r="C219" s="1" t="n">
        <v>45730</v>
      </c>
      <c r="D219" t="inlineStr">
        <is>
          <t>JÄMTLANDS LÄN</t>
        </is>
      </c>
      <c r="E219" t="inlineStr">
        <is>
          <t>KROKOM</t>
        </is>
      </c>
      <c r="G219" t="n">
        <v>3.1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HYPERLINK("https://klasma.github.io/Logging_2309/artfynd/A 67738-2021 artfynd.xlsx", "A 67738-2021")</f>
        <v/>
      </c>
      <c r="T219">
        <f>HYPERLINK("https://klasma.github.io/Logging_2309/kartor/A 67738-2021 karta.png", "A 67738-2021")</f>
        <v/>
      </c>
      <c r="V219">
        <f>HYPERLINK("https://klasma.github.io/Logging_2309/klagomål/A 67738-2021 FSC-klagomål.docx", "A 67738-2021")</f>
        <v/>
      </c>
      <c r="W219">
        <f>HYPERLINK("https://klasma.github.io/Logging_2309/klagomålsmail/A 67738-2021 FSC-klagomål mail.docx", "A 67738-2021")</f>
        <v/>
      </c>
      <c r="X219">
        <f>HYPERLINK("https://klasma.github.io/Logging_2309/tillsyn/A 67738-2021 tillsynsbegäran.docx", "A 67738-2021")</f>
        <v/>
      </c>
      <c r="Y219">
        <f>HYPERLINK("https://klasma.github.io/Logging_2309/tillsynsmail/A 67738-2021 tillsynsbegäran mail.docx", "A 67738-2021")</f>
        <v/>
      </c>
      <c r="Z219">
        <f>HYPERLINK("https://klasma.github.io/Logging_2309/fåglar/A 67738-2021 prioriterade fågelarter.docx", "A 67738-2021")</f>
        <v/>
      </c>
    </row>
    <row r="220" ht="15" customHeight="1">
      <c r="A220" t="inlineStr">
        <is>
          <t>A 71571-2021</t>
        </is>
      </c>
      <c r="B220" s="1" t="n">
        <v>44540</v>
      </c>
      <c r="C220" s="1" t="n">
        <v>45730</v>
      </c>
      <c r="D220" t="inlineStr">
        <is>
          <t>JÄMTLANDS LÄN</t>
        </is>
      </c>
      <c r="E220" t="inlineStr">
        <is>
          <t>KROKOM</t>
        </is>
      </c>
      <c r="G220" t="n">
        <v>0.7</v>
      </c>
      <c r="H220" t="n">
        <v>0</v>
      </c>
      <c r="I220" t="n">
        <v>1</v>
      </c>
      <c r="J220" t="n">
        <v>1</v>
      </c>
      <c r="K220" t="n">
        <v>0</v>
      </c>
      <c r="L220" t="n">
        <v>0</v>
      </c>
      <c r="M220" t="n">
        <v>0</v>
      </c>
      <c r="N220" t="n">
        <v>0</v>
      </c>
      <c r="O220" t="n">
        <v>1</v>
      </c>
      <c r="P220" t="n">
        <v>0</v>
      </c>
      <c r="Q220" t="n">
        <v>2</v>
      </c>
      <c r="R220" s="2" t="inlineStr">
        <is>
          <t>Skrovellav
Kryddspindling</t>
        </is>
      </c>
      <c r="S220">
        <f>HYPERLINK("https://klasma.github.io/Logging_2309/artfynd/A 71571-2021 artfynd.xlsx", "A 71571-2021")</f>
        <v/>
      </c>
      <c r="T220">
        <f>HYPERLINK("https://klasma.github.io/Logging_2309/kartor/A 71571-2021 karta.png", "A 71571-2021")</f>
        <v/>
      </c>
      <c r="V220">
        <f>HYPERLINK("https://klasma.github.io/Logging_2309/klagomål/A 71571-2021 FSC-klagomål.docx", "A 71571-2021")</f>
        <v/>
      </c>
      <c r="W220">
        <f>HYPERLINK("https://klasma.github.io/Logging_2309/klagomålsmail/A 71571-2021 FSC-klagomål mail.docx", "A 71571-2021")</f>
        <v/>
      </c>
      <c r="X220">
        <f>HYPERLINK("https://klasma.github.io/Logging_2309/tillsyn/A 71571-2021 tillsynsbegäran.docx", "A 71571-2021")</f>
        <v/>
      </c>
      <c r="Y220">
        <f>HYPERLINK("https://klasma.github.io/Logging_2309/tillsynsmail/A 71571-2021 tillsynsbegäran mail.docx", "A 71571-2021")</f>
        <v/>
      </c>
    </row>
    <row r="221" ht="15" customHeight="1">
      <c r="A221" t="inlineStr">
        <is>
          <t>A 30060-2022</t>
        </is>
      </c>
      <c r="B221" s="1" t="n">
        <v>44757</v>
      </c>
      <c r="C221" s="1" t="n">
        <v>45730</v>
      </c>
      <c r="D221" t="inlineStr">
        <is>
          <t>JÄMTLANDS LÄN</t>
        </is>
      </c>
      <c r="E221" t="inlineStr">
        <is>
          <t>KROKOM</t>
        </is>
      </c>
      <c r="G221" t="n">
        <v>0.6</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30060-2022 artfynd.xlsx", "A 30060-2022")</f>
        <v/>
      </c>
      <c r="T221">
        <f>HYPERLINK("https://klasma.github.io/Logging_2309/kartor/A 30060-2022 karta.png", "A 30060-2022")</f>
        <v/>
      </c>
      <c r="V221">
        <f>HYPERLINK("https://klasma.github.io/Logging_2309/klagomål/A 30060-2022 FSC-klagomål.docx", "A 30060-2022")</f>
        <v/>
      </c>
      <c r="W221">
        <f>HYPERLINK("https://klasma.github.io/Logging_2309/klagomålsmail/A 30060-2022 FSC-klagomål mail.docx", "A 30060-2022")</f>
        <v/>
      </c>
      <c r="X221">
        <f>HYPERLINK("https://klasma.github.io/Logging_2309/tillsyn/A 30060-2022 tillsynsbegäran.docx", "A 30060-2022")</f>
        <v/>
      </c>
      <c r="Y221">
        <f>HYPERLINK("https://klasma.github.io/Logging_2309/tillsynsmail/A 30060-2022 tillsynsbegäran mail.docx", "A 30060-2022")</f>
        <v/>
      </c>
      <c r="Z221">
        <f>HYPERLINK("https://klasma.github.io/Logging_2309/fåglar/A 30060-2022 prioriterade fågelarter.docx", "A 30060-2022")</f>
        <v/>
      </c>
    </row>
    <row r="222" ht="15" customHeight="1">
      <c r="A222" t="inlineStr">
        <is>
          <t>A 33507-2022</t>
        </is>
      </c>
      <c r="B222" s="1" t="n">
        <v>44788</v>
      </c>
      <c r="C222" s="1" t="n">
        <v>45730</v>
      </c>
      <c r="D222" t="inlineStr">
        <is>
          <t>JÄMTLANDS LÄN</t>
        </is>
      </c>
      <c r="E222" t="inlineStr">
        <is>
          <t>KROKOM</t>
        </is>
      </c>
      <c r="F222" t="inlineStr">
        <is>
          <t>SCA</t>
        </is>
      </c>
      <c r="G222" t="n">
        <v>4.2</v>
      </c>
      <c r="H222" t="n">
        <v>2</v>
      </c>
      <c r="I222" t="n">
        <v>0</v>
      </c>
      <c r="J222" t="n">
        <v>2</v>
      </c>
      <c r="K222" t="n">
        <v>0</v>
      </c>
      <c r="L222" t="n">
        <v>0</v>
      </c>
      <c r="M222" t="n">
        <v>0</v>
      </c>
      <c r="N222" t="n">
        <v>0</v>
      </c>
      <c r="O222" t="n">
        <v>2</v>
      </c>
      <c r="P222" t="n">
        <v>0</v>
      </c>
      <c r="Q222" t="n">
        <v>2</v>
      </c>
      <c r="R222" s="2" t="inlineStr">
        <is>
          <t>Spillkråka
Tretåig hackspett</t>
        </is>
      </c>
      <c r="S222">
        <f>HYPERLINK("https://klasma.github.io/Logging_2309/artfynd/A 33507-2022 artfynd.xlsx", "A 33507-2022")</f>
        <v/>
      </c>
      <c r="T222">
        <f>HYPERLINK("https://klasma.github.io/Logging_2309/kartor/A 33507-2022 karta.png", "A 33507-2022")</f>
        <v/>
      </c>
      <c r="V222">
        <f>HYPERLINK("https://klasma.github.io/Logging_2309/klagomål/A 33507-2022 FSC-klagomål.docx", "A 33507-2022")</f>
        <v/>
      </c>
      <c r="W222">
        <f>HYPERLINK("https://klasma.github.io/Logging_2309/klagomålsmail/A 33507-2022 FSC-klagomål mail.docx", "A 33507-2022")</f>
        <v/>
      </c>
      <c r="X222">
        <f>HYPERLINK("https://klasma.github.io/Logging_2309/tillsyn/A 33507-2022 tillsynsbegäran.docx", "A 33507-2022")</f>
        <v/>
      </c>
      <c r="Y222">
        <f>HYPERLINK("https://klasma.github.io/Logging_2309/tillsynsmail/A 33507-2022 tillsynsbegäran mail.docx", "A 33507-2022")</f>
        <v/>
      </c>
      <c r="Z222">
        <f>HYPERLINK("https://klasma.github.io/Logging_2309/fåglar/A 33507-2022 prioriterade fågelarter.docx", "A 33507-2022")</f>
        <v/>
      </c>
    </row>
    <row r="223" ht="15" customHeight="1">
      <c r="A223" t="inlineStr">
        <is>
          <t>A 54189-2022</t>
        </is>
      </c>
      <c r="B223" s="1" t="n">
        <v>44879</v>
      </c>
      <c r="C223" s="1" t="n">
        <v>45730</v>
      </c>
      <c r="D223" t="inlineStr">
        <is>
          <t>JÄMTLANDS LÄN</t>
        </is>
      </c>
      <c r="E223" t="inlineStr">
        <is>
          <t>KROKOM</t>
        </is>
      </c>
      <c r="G223" t="n">
        <v>24.1</v>
      </c>
      <c r="H223" t="n">
        <v>0</v>
      </c>
      <c r="I223" t="n">
        <v>0</v>
      </c>
      <c r="J223" t="n">
        <v>1</v>
      </c>
      <c r="K223" t="n">
        <v>1</v>
      </c>
      <c r="L223" t="n">
        <v>0</v>
      </c>
      <c r="M223" t="n">
        <v>0</v>
      </c>
      <c r="N223" t="n">
        <v>0</v>
      </c>
      <c r="O223" t="n">
        <v>2</v>
      </c>
      <c r="P223" t="n">
        <v>1</v>
      </c>
      <c r="Q223" t="n">
        <v>2</v>
      </c>
      <c r="R223" s="2" t="inlineStr">
        <is>
          <t>Ulltickeporing
Ullticka</t>
        </is>
      </c>
      <c r="S223">
        <f>HYPERLINK("https://klasma.github.io/Logging_2309/artfynd/A 54189-2022 artfynd.xlsx", "A 54189-2022")</f>
        <v/>
      </c>
      <c r="T223">
        <f>HYPERLINK("https://klasma.github.io/Logging_2309/kartor/A 54189-2022 karta.png", "A 54189-2022")</f>
        <v/>
      </c>
      <c r="V223">
        <f>HYPERLINK("https://klasma.github.io/Logging_2309/klagomål/A 54189-2022 FSC-klagomål.docx", "A 54189-2022")</f>
        <v/>
      </c>
      <c r="W223">
        <f>HYPERLINK("https://klasma.github.io/Logging_2309/klagomålsmail/A 54189-2022 FSC-klagomål mail.docx", "A 54189-2022")</f>
        <v/>
      </c>
      <c r="X223">
        <f>HYPERLINK("https://klasma.github.io/Logging_2309/tillsyn/A 54189-2022 tillsynsbegäran.docx", "A 54189-2022")</f>
        <v/>
      </c>
      <c r="Y223">
        <f>HYPERLINK("https://klasma.github.io/Logging_2309/tillsynsmail/A 54189-2022 tillsynsbegäran mail.docx", "A 54189-2022")</f>
        <v/>
      </c>
    </row>
    <row r="224" ht="15" customHeight="1">
      <c r="A224" t="inlineStr">
        <is>
          <t>A 52021-2023</t>
        </is>
      </c>
      <c r="B224" s="1" t="n">
        <v>45223</v>
      </c>
      <c r="C224" s="1" t="n">
        <v>45730</v>
      </c>
      <c r="D224" t="inlineStr">
        <is>
          <t>JÄMTLANDS LÄN</t>
        </is>
      </c>
      <c r="E224" t="inlineStr">
        <is>
          <t>KROKOM</t>
        </is>
      </c>
      <c r="F224" t="inlineStr">
        <is>
          <t>Övriga Aktiebolag</t>
        </is>
      </c>
      <c r="G224" t="n">
        <v>1.5</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52021-2023 artfynd.xlsx", "A 52021-2023")</f>
        <v/>
      </c>
      <c r="T224">
        <f>HYPERLINK("https://klasma.github.io/Logging_2309/kartor/A 52021-2023 karta.png", "A 52021-2023")</f>
        <v/>
      </c>
      <c r="V224">
        <f>HYPERLINK("https://klasma.github.io/Logging_2309/klagomål/A 52021-2023 FSC-klagomål.docx", "A 52021-2023")</f>
        <v/>
      </c>
      <c r="W224">
        <f>HYPERLINK("https://klasma.github.io/Logging_2309/klagomålsmail/A 52021-2023 FSC-klagomål mail.docx", "A 52021-2023")</f>
        <v/>
      </c>
      <c r="X224">
        <f>HYPERLINK("https://klasma.github.io/Logging_2309/tillsyn/A 52021-2023 tillsynsbegäran.docx", "A 52021-2023")</f>
        <v/>
      </c>
      <c r="Y224">
        <f>HYPERLINK("https://klasma.github.io/Logging_2309/tillsynsmail/A 52021-2023 tillsynsbegäran mail.docx", "A 52021-2023")</f>
        <v/>
      </c>
      <c r="Z224">
        <f>HYPERLINK("https://klasma.github.io/Logging_2309/fåglar/A 52021-2023 prioriterade fågelarter.docx", "A 52021-2023")</f>
        <v/>
      </c>
    </row>
    <row r="225" ht="15" customHeight="1">
      <c r="A225" t="inlineStr">
        <is>
          <t>A 56476-2023</t>
        </is>
      </c>
      <c r="B225" s="1" t="n">
        <v>45243</v>
      </c>
      <c r="C225" s="1" t="n">
        <v>45730</v>
      </c>
      <c r="D225" t="inlineStr">
        <is>
          <t>JÄMTLANDS LÄN</t>
        </is>
      </c>
      <c r="E225" t="inlineStr">
        <is>
          <t>KROKOM</t>
        </is>
      </c>
      <c r="G225" t="n">
        <v>19.8</v>
      </c>
      <c r="H225" t="n">
        <v>0</v>
      </c>
      <c r="I225" t="n">
        <v>0</v>
      </c>
      <c r="J225" t="n">
        <v>2</v>
      </c>
      <c r="K225" t="n">
        <v>0</v>
      </c>
      <c r="L225" t="n">
        <v>0</v>
      </c>
      <c r="M225" t="n">
        <v>0</v>
      </c>
      <c r="N225" t="n">
        <v>0</v>
      </c>
      <c r="O225" t="n">
        <v>2</v>
      </c>
      <c r="P225" t="n">
        <v>0</v>
      </c>
      <c r="Q225" t="n">
        <v>2</v>
      </c>
      <c r="R225" s="2" t="inlineStr">
        <is>
          <t>Gammelgransskål
Gränsticka</t>
        </is>
      </c>
      <c r="S225">
        <f>HYPERLINK("https://klasma.github.io/Logging_2309/artfynd/A 56476-2023 artfynd.xlsx", "A 56476-2023")</f>
        <v/>
      </c>
      <c r="T225">
        <f>HYPERLINK("https://klasma.github.io/Logging_2309/kartor/A 56476-2023 karta.png", "A 56476-2023")</f>
        <v/>
      </c>
      <c r="V225">
        <f>HYPERLINK("https://klasma.github.io/Logging_2309/klagomål/A 56476-2023 FSC-klagomål.docx", "A 56476-2023")</f>
        <v/>
      </c>
      <c r="W225">
        <f>HYPERLINK("https://klasma.github.io/Logging_2309/klagomålsmail/A 56476-2023 FSC-klagomål mail.docx", "A 56476-2023")</f>
        <v/>
      </c>
      <c r="X225">
        <f>HYPERLINK("https://klasma.github.io/Logging_2309/tillsyn/A 56476-2023 tillsynsbegäran.docx", "A 56476-2023")</f>
        <v/>
      </c>
      <c r="Y225">
        <f>HYPERLINK("https://klasma.github.io/Logging_2309/tillsynsmail/A 56476-2023 tillsynsbegäran mail.docx", "A 56476-2023")</f>
        <v/>
      </c>
    </row>
    <row r="226" ht="15" customHeight="1">
      <c r="A226" t="inlineStr">
        <is>
          <t>A 62453-2023</t>
        </is>
      </c>
      <c r="B226" s="1" t="n">
        <v>45268</v>
      </c>
      <c r="C226" s="1" t="n">
        <v>45730</v>
      </c>
      <c r="D226" t="inlineStr">
        <is>
          <t>JÄMTLANDS LÄN</t>
        </is>
      </c>
      <c r="E226" t="inlineStr">
        <is>
          <t>KROKOM</t>
        </is>
      </c>
      <c r="F226" t="inlineStr">
        <is>
          <t>Övriga Aktiebolag</t>
        </is>
      </c>
      <c r="G226" t="n">
        <v>2.2</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62453-2023 artfynd.xlsx", "A 62453-2023")</f>
        <v/>
      </c>
      <c r="T226">
        <f>HYPERLINK("https://klasma.github.io/Logging_2309/kartor/A 62453-2023 karta.png", "A 62453-2023")</f>
        <v/>
      </c>
      <c r="V226">
        <f>HYPERLINK("https://klasma.github.io/Logging_2309/klagomål/A 62453-2023 FSC-klagomål.docx", "A 62453-2023")</f>
        <v/>
      </c>
      <c r="W226">
        <f>HYPERLINK("https://klasma.github.io/Logging_2309/klagomålsmail/A 62453-2023 FSC-klagomål mail.docx", "A 62453-2023")</f>
        <v/>
      </c>
      <c r="X226">
        <f>HYPERLINK("https://klasma.github.io/Logging_2309/tillsyn/A 62453-2023 tillsynsbegäran.docx", "A 62453-2023")</f>
        <v/>
      </c>
      <c r="Y226">
        <f>HYPERLINK("https://klasma.github.io/Logging_2309/tillsynsmail/A 62453-2023 tillsynsbegäran mail.docx", "A 62453-2023")</f>
        <v/>
      </c>
      <c r="Z226">
        <f>HYPERLINK("https://klasma.github.io/Logging_2309/fåglar/A 62453-2023 prioriterade fågelarter.docx", "A 62453-2023")</f>
        <v/>
      </c>
    </row>
    <row r="227" ht="15" customHeight="1">
      <c r="A227" t="inlineStr">
        <is>
          <t>A 7575-2024</t>
        </is>
      </c>
      <c r="B227" s="1" t="n">
        <v>45348</v>
      </c>
      <c r="C227" s="1" t="n">
        <v>45730</v>
      </c>
      <c r="D227" t="inlineStr">
        <is>
          <t>JÄMTLANDS LÄN</t>
        </is>
      </c>
      <c r="E227" t="inlineStr">
        <is>
          <t>KROKOM</t>
        </is>
      </c>
      <c r="G227" t="n">
        <v>25.1</v>
      </c>
      <c r="H227" t="n">
        <v>2</v>
      </c>
      <c r="I227" t="n">
        <v>0</v>
      </c>
      <c r="J227" t="n">
        <v>1</v>
      </c>
      <c r="K227" t="n">
        <v>0</v>
      </c>
      <c r="L227" t="n">
        <v>0</v>
      </c>
      <c r="M227" t="n">
        <v>0</v>
      </c>
      <c r="N227" t="n">
        <v>0</v>
      </c>
      <c r="O227" t="n">
        <v>1</v>
      </c>
      <c r="P227" t="n">
        <v>0</v>
      </c>
      <c r="Q227" t="n">
        <v>2</v>
      </c>
      <c r="R227" s="2" t="inlineStr">
        <is>
          <t>Tretåig hackspett
Fläcknycklar</t>
        </is>
      </c>
      <c r="S227">
        <f>HYPERLINK("https://klasma.github.io/Logging_2309/artfynd/A 7575-2024 artfynd.xlsx", "A 7575-2024")</f>
        <v/>
      </c>
      <c r="T227">
        <f>HYPERLINK("https://klasma.github.io/Logging_2309/kartor/A 7575-2024 karta.png", "A 7575-2024")</f>
        <v/>
      </c>
      <c r="V227">
        <f>HYPERLINK("https://klasma.github.io/Logging_2309/klagomål/A 7575-2024 FSC-klagomål.docx", "A 7575-2024")</f>
        <v/>
      </c>
      <c r="W227">
        <f>HYPERLINK("https://klasma.github.io/Logging_2309/klagomålsmail/A 7575-2024 FSC-klagomål mail.docx", "A 7575-2024")</f>
        <v/>
      </c>
      <c r="X227">
        <f>HYPERLINK("https://klasma.github.io/Logging_2309/tillsyn/A 7575-2024 tillsynsbegäran.docx", "A 7575-2024")</f>
        <v/>
      </c>
      <c r="Y227">
        <f>HYPERLINK("https://klasma.github.io/Logging_2309/tillsynsmail/A 7575-2024 tillsynsbegäran mail.docx", "A 7575-2024")</f>
        <v/>
      </c>
      <c r="Z227">
        <f>HYPERLINK("https://klasma.github.io/Logging_2309/fåglar/A 7575-2024 prioriterade fågelarter.docx", "A 7575-2024")</f>
        <v/>
      </c>
    </row>
    <row r="228" ht="15" customHeight="1">
      <c r="A228" t="inlineStr">
        <is>
          <t>A 11984-2024</t>
        </is>
      </c>
      <c r="B228" s="1" t="n">
        <v>45376</v>
      </c>
      <c r="C228" s="1" t="n">
        <v>45730</v>
      </c>
      <c r="D228" t="inlineStr">
        <is>
          <t>JÄMTLANDS LÄN</t>
        </is>
      </c>
      <c r="E228" t="inlineStr">
        <is>
          <t>KROKOM</t>
        </is>
      </c>
      <c r="F228" t="inlineStr">
        <is>
          <t>SCA</t>
        </is>
      </c>
      <c r="G228" t="n">
        <v>11.8</v>
      </c>
      <c r="H228" t="n">
        <v>0</v>
      </c>
      <c r="I228" t="n">
        <v>0</v>
      </c>
      <c r="J228" t="n">
        <v>2</v>
      </c>
      <c r="K228" t="n">
        <v>0</v>
      </c>
      <c r="L228" t="n">
        <v>0</v>
      </c>
      <c r="M228" t="n">
        <v>0</v>
      </c>
      <c r="N228" t="n">
        <v>0</v>
      </c>
      <c r="O228" t="n">
        <v>2</v>
      </c>
      <c r="P228" t="n">
        <v>0</v>
      </c>
      <c r="Q228" t="n">
        <v>2</v>
      </c>
      <c r="R228" s="2" t="inlineStr">
        <is>
          <t>Garnlav
Granticka</t>
        </is>
      </c>
      <c r="S228">
        <f>HYPERLINK("https://klasma.github.io/Logging_2309/artfynd/A 11984-2024 artfynd.xlsx", "A 11984-2024")</f>
        <v/>
      </c>
      <c r="T228">
        <f>HYPERLINK("https://klasma.github.io/Logging_2309/kartor/A 11984-2024 karta.png", "A 11984-2024")</f>
        <v/>
      </c>
      <c r="V228">
        <f>HYPERLINK("https://klasma.github.io/Logging_2309/klagomål/A 11984-2024 FSC-klagomål.docx", "A 11984-2024")</f>
        <v/>
      </c>
      <c r="W228">
        <f>HYPERLINK("https://klasma.github.io/Logging_2309/klagomålsmail/A 11984-2024 FSC-klagomål mail.docx", "A 11984-2024")</f>
        <v/>
      </c>
      <c r="X228">
        <f>HYPERLINK("https://klasma.github.io/Logging_2309/tillsyn/A 11984-2024 tillsynsbegäran.docx", "A 11984-2024")</f>
        <v/>
      </c>
      <c r="Y228">
        <f>HYPERLINK("https://klasma.github.io/Logging_2309/tillsynsmail/A 11984-2024 tillsynsbegäran mail.docx", "A 11984-2024")</f>
        <v/>
      </c>
    </row>
    <row r="229" ht="15" customHeight="1">
      <c r="A229" t="inlineStr">
        <is>
          <t>A 23020-2024</t>
        </is>
      </c>
      <c r="B229" s="1" t="n">
        <v>45450</v>
      </c>
      <c r="C229" s="1" t="n">
        <v>45730</v>
      </c>
      <c r="D229" t="inlineStr">
        <is>
          <t>JÄMTLANDS LÄN</t>
        </is>
      </c>
      <c r="E229" t="inlineStr">
        <is>
          <t>KROKOM</t>
        </is>
      </c>
      <c r="G229" t="n">
        <v>6.5</v>
      </c>
      <c r="H229" t="n">
        <v>1</v>
      </c>
      <c r="I229" t="n">
        <v>0</v>
      </c>
      <c r="J229" t="n">
        <v>2</v>
      </c>
      <c r="K229" t="n">
        <v>0</v>
      </c>
      <c r="L229" t="n">
        <v>0</v>
      </c>
      <c r="M229" t="n">
        <v>0</v>
      </c>
      <c r="N229" t="n">
        <v>0</v>
      </c>
      <c r="O229" t="n">
        <v>2</v>
      </c>
      <c r="P229" t="n">
        <v>0</v>
      </c>
      <c r="Q229" t="n">
        <v>2</v>
      </c>
      <c r="R229" s="2" t="inlineStr">
        <is>
          <t>Granticka
Tretåig hackspett</t>
        </is>
      </c>
      <c r="S229">
        <f>HYPERLINK("https://klasma.github.io/Logging_2309/artfynd/A 23020-2024 artfynd.xlsx", "A 23020-2024")</f>
        <v/>
      </c>
      <c r="T229">
        <f>HYPERLINK("https://klasma.github.io/Logging_2309/kartor/A 23020-2024 karta.png", "A 23020-2024")</f>
        <v/>
      </c>
      <c r="V229">
        <f>HYPERLINK("https://klasma.github.io/Logging_2309/klagomål/A 23020-2024 FSC-klagomål.docx", "A 23020-2024")</f>
        <v/>
      </c>
      <c r="W229">
        <f>HYPERLINK("https://klasma.github.io/Logging_2309/klagomålsmail/A 23020-2024 FSC-klagomål mail.docx", "A 23020-2024")</f>
        <v/>
      </c>
      <c r="X229">
        <f>HYPERLINK("https://klasma.github.io/Logging_2309/tillsyn/A 23020-2024 tillsynsbegäran.docx", "A 23020-2024")</f>
        <v/>
      </c>
      <c r="Y229">
        <f>HYPERLINK("https://klasma.github.io/Logging_2309/tillsynsmail/A 23020-2024 tillsynsbegäran mail.docx", "A 23020-2024")</f>
        <v/>
      </c>
      <c r="Z229">
        <f>HYPERLINK("https://klasma.github.io/Logging_2309/fåglar/A 23020-2024 prioriterade fågelarter.docx", "A 23020-2024")</f>
        <v/>
      </c>
    </row>
    <row r="230" ht="15" customHeight="1">
      <c r="A230" t="inlineStr">
        <is>
          <t>A 26438-2024</t>
        </is>
      </c>
      <c r="B230" s="1" t="n">
        <v>45469</v>
      </c>
      <c r="C230" s="1" t="n">
        <v>45730</v>
      </c>
      <c r="D230" t="inlineStr">
        <is>
          <t>JÄMTLANDS LÄN</t>
        </is>
      </c>
      <c r="E230" t="inlineStr">
        <is>
          <t>KROKOM</t>
        </is>
      </c>
      <c r="G230" t="n">
        <v>12.3</v>
      </c>
      <c r="H230" t="n">
        <v>1</v>
      </c>
      <c r="I230" t="n">
        <v>0</v>
      </c>
      <c r="J230" t="n">
        <v>2</v>
      </c>
      <c r="K230" t="n">
        <v>0</v>
      </c>
      <c r="L230" t="n">
        <v>0</v>
      </c>
      <c r="M230" t="n">
        <v>0</v>
      </c>
      <c r="N230" t="n">
        <v>0</v>
      </c>
      <c r="O230" t="n">
        <v>2</v>
      </c>
      <c r="P230" t="n">
        <v>0</v>
      </c>
      <c r="Q230" t="n">
        <v>2</v>
      </c>
      <c r="R230" s="2" t="inlineStr">
        <is>
          <t>Garnlav
Tretåig hackspett</t>
        </is>
      </c>
      <c r="S230">
        <f>HYPERLINK("https://klasma.github.io/Logging_2309/artfynd/A 26438-2024 artfynd.xlsx", "A 26438-2024")</f>
        <v/>
      </c>
      <c r="T230">
        <f>HYPERLINK("https://klasma.github.io/Logging_2309/kartor/A 26438-2024 karta.png", "A 26438-2024")</f>
        <v/>
      </c>
      <c r="V230">
        <f>HYPERLINK("https://klasma.github.io/Logging_2309/klagomål/A 26438-2024 FSC-klagomål.docx", "A 26438-2024")</f>
        <v/>
      </c>
      <c r="W230">
        <f>HYPERLINK("https://klasma.github.io/Logging_2309/klagomålsmail/A 26438-2024 FSC-klagomål mail.docx", "A 26438-2024")</f>
        <v/>
      </c>
      <c r="X230">
        <f>HYPERLINK("https://klasma.github.io/Logging_2309/tillsyn/A 26438-2024 tillsynsbegäran.docx", "A 26438-2024")</f>
        <v/>
      </c>
      <c r="Y230">
        <f>HYPERLINK("https://klasma.github.io/Logging_2309/tillsynsmail/A 26438-2024 tillsynsbegäran mail.docx", "A 26438-2024")</f>
        <v/>
      </c>
      <c r="Z230">
        <f>HYPERLINK("https://klasma.github.io/Logging_2309/fåglar/A 26438-2024 prioriterade fågelarter.docx", "A 26438-2024")</f>
        <v/>
      </c>
    </row>
    <row r="231" ht="15" customHeight="1">
      <c r="A231" t="inlineStr">
        <is>
          <t>A 27594-2024</t>
        </is>
      </c>
      <c r="B231" s="1" t="n">
        <v>45474</v>
      </c>
      <c r="C231" s="1" t="n">
        <v>45730</v>
      </c>
      <c r="D231" t="inlineStr">
        <is>
          <t>JÄMTLANDS LÄN</t>
        </is>
      </c>
      <c r="E231" t="inlineStr">
        <is>
          <t>KROKOM</t>
        </is>
      </c>
      <c r="G231" t="n">
        <v>4.9</v>
      </c>
      <c r="H231" t="n">
        <v>0</v>
      </c>
      <c r="I231" t="n">
        <v>0</v>
      </c>
      <c r="J231" t="n">
        <v>1</v>
      </c>
      <c r="K231" t="n">
        <v>1</v>
      </c>
      <c r="L231" t="n">
        <v>0</v>
      </c>
      <c r="M231" t="n">
        <v>0</v>
      </c>
      <c r="N231" t="n">
        <v>0</v>
      </c>
      <c r="O231" t="n">
        <v>2</v>
      </c>
      <c r="P231" t="n">
        <v>1</v>
      </c>
      <c r="Q231" t="n">
        <v>2</v>
      </c>
      <c r="R231" s="2" t="inlineStr">
        <is>
          <t>Siljansspindling
Persiljespindling</t>
        </is>
      </c>
      <c r="S231">
        <f>HYPERLINK("https://klasma.github.io/Logging_2309/artfynd/A 27594-2024 artfynd.xlsx", "A 27594-2024")</f>
        <v/>
      </c>
      <c r="T231">
        <f>HYPERLINK("https://klasma.github.io/Logging_2309/kartor/A 27594-2024 karta.png", "A 27594-2024")</f>
        <v/>
      </c>
      <c r="V231">
        <f>HYPERLINK("https://klasma.github.io/Logging_2309/klagomål/A 27594-2024 FSC-klagomål.docx", "A 27594-2024")</f>
        <v/>
      </c>
      <c r="W231">
        <f>HYPERLINK("https://klasma.github.io/Logging_2309/klagomålsmail/A 27594-2024 FSC-klagomål mail.docx", "A 27594-2024")</f>
        <v/>
      </c>
      <c r="X231">
        <f>HYPERLINK("https://klasma.github.io/Logging_2309/tillsyn/A 27594-2024 tillsynsbegäran.docx", "A 27594-2024")</f>
        <v/>
      </c>
      <c r="Y231">
        <f>HYPERLINK("https://klasma.github.io/Logging_2309/tillsynsmail/A 27594-2024 tillsynsbegäran mail.docx", "A 27594-2024")</f>
        <v/>
      </c>
    </row>
    <row r="232" ht="15" customHeight="1">
      <c r="A232" t="inlineStr">
        <is>
          <t>A 38630-2024</t>
        </is>
      </c>
      <c r="B232" s="1" t="n">
        <v>45546</v>
      </c>
      <c r="C232" s="1" t="n">
        <v>45730</v>
      </c>
      <c r="D232" t="inlineStr">
        <is>
          <t>JÄMTLANDS LÄN</t>
        </is>
      </c>
      <c r="E232" t="inlineStr">
        <is>
          <t>KROKOM</t>
        </is>
      </c>
      <c r="F232" t="inlineStr">
        <is>
          <t>SCA</t>
        </is>
      </c>
      <c r="G232" t="n">
        <v>19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HYPERLINK("https://klasma.github.io/Logging_2309/artfynd/A 38630-2024 artfynd.xlsx", "A 38630-2024")</f>
        <v/>
      </c>
      <c r="T232">
        <f>HYPERLINK("https://klasma.github.io/Logging_2309/kartor/A 38630-2024 karta.png", "A 38630-2024")</f>
        <v/>
      </c>
      <c r="V232">
        <f>HYPERLINK("https://klasma.github.io/Logging_2309/klagomål/A 38630-2024 FSC-klagomål.docx", "A 38630-2024")</f>
        <v/>
      </c>
      <c r="W232">
        <f>HYPERLINK("https://klasma.github.io/Logging_2309/klagomålsmail/A 38630-2024 FSC-klagomål mail.docx", "A 38630-2024")</f>
        <v/>
      </c>
      <c r="X232">
        <f>HYPERLINK("https://klasma.github.io/Logging_2309/tillsyn/A 38630-2024 tillsynsbegäran.docx", "A 38630-2024")</f>
        <v/>
      </c>
      <c r="Y232">
        <f>HYPERLINK("https://klasma.github.io/Logging_2309/tillsynsmail/A 38630-2024 tillsynsbegäran mail.docx", "A 38630-2024")</f>
        <v/>
      </c>
      <c r="Z232">
        <f>HYPERLINK("https://klasma.github.io/Logging_2309/fåglar/A 38630-2024 prioriterade fågelarter.docx", "A 38630-2024")</f>
        <v/>
      </c>
    </row>
    <row r="233" ht="15" customHeight="1">
      <c r="A233" t="inlineStr">
        <is>
          <t>A 40236-2024</t>
        </is>
      </c>
      <c r="B233" s="1" t="n">
        <v>45554</v>
      </c>
      <c r="C233" s="1" t="n">
        <v>45730</v>
      </c>
      <c r="D233" t="inlineStr">
        <is>
          <t>JÄMTLANDS LÄN</t>
        </is>
      </c>
      <c r="E233" t="inlineStr">
        <is>
          <t>KROKOM</t>
        </is>
      </c>
      <c r="F233" t="inlineStr">
        <is>
          <t>Övriga Aktiebolag</t>
        </is>
      </c>
      <c r="G233" t="n">
        <v>6.2</v>
      </c>
      <c r="H233" t="n">
        <v>2</v>
      </c>
      <c r="I233" t="n">
        <v>0</v>
      </c>
      <c r="J233" t="n">
        <v>1</v>
      </c>
      <c r="K233" t="n">
        <v>1</v>
      </c>
      <c r="L233" t="n">
        <v>0</v>
      </c>
      <c r="M233" t="n">
        <v>0</v>
      </c>
      <c r="N233" t="n">
        <v>0</v>
      </c>
      <c r="O233" t="n">
        <v>2</v>
      </c>
      <c r="P233" t="n">
        <v>1</v>
      </c>
      <c r="Q233" t="n">
        <v>2</v>
      </c>
      <c r="R233" s="2" t="inlineStr">
        <is>
          <t>Knärot
Tretåig hackspett</t>
        </is>
      </c>
      <c r="S233">
        <f>HYPERLINK("https://klasma.github.io/Logging_2309/artfynd/A 40236-2024 artfynd.xlsx", "A 40236-2024")</f>
        <v/>
      </c>
      <c r="T233">
        <f>HYPERLINK("https://klasma.github.io/Logging_2309/kartor/A 40236-2024 karta.png", "A 40236-2024")</f>
        <v/>
      </c>
      <c r="U233">
        <f>HYPERLINK("https://klasma.github.io/Logging_2309/knärot/A 40236-2024 karta knärot.png", "A 40236-2024")</f>
        <v/>
      </c>
      <c r="V233">
        <f>HYPERLINK("https://klasma.github.io/Logging_2309/klagomål/A 40236-2024 FSC-klagomål.docx", "A 40236-2024")</f>
        <v/>
      </c>
      <c r="W233">
        <f>HYPERLINK("https://klasma.github.io/Logging_2309/klagomålsmail/A 40236-2024 FSC-klagomål mail.docx", "A 40236-2024")</f>
        <v/>
      </c>
      <c r="X233">
        <f>HYPERLINK("https://klasma.github.io/Logging_2309/tillsyn/A 40236-2024 tillsynsbegäran.docx", "A 40236-2024")</f>
        <v/>
      </c>
      <c r="Y233">
        <f>HYPERLINK("https://klasma.github.io/Logging_2309/tillsynsmail/A 40236-2024 tillsynsbegäran mail.docx", "A 40236-2024")</f>
        <v/>
      </c>
      <c r="Z233">
        <f>HYPERLINK("https://klasma.github.io/Logging_2309/fåglar/A 40236-2024 prioriterade fågelarter.docx", "A 40236-2024")</f>
        <v/>
      </c>
    </row>
    <row r="234" ht="15" customHeight="1">
      <c r="A234" t="inlineStr">
        <is>
          <t>A 47838-2024</t>
        </is>
      </c>
      <c r="B234" s="1" t="n">
        <v>45588</v>
      </c>
      <c r="C234" s="1" t="n">
        <v>45730</v>
      </c>
      <c r="D234" t="inlineStr">
        <is>
          <t>JÄMTLANDS LÄN</t>
        </is>
      </c>
      <c r="E234" t="inlineStr">
        <is>
          <t>KROKOM</t>
        </is>
      </c>
      <c r="G234" t="n">
        <v>1.8</v>
      </c>
      <c r="H234" t="n">
        <v>1</v>
      </c>
      <c r="I234" t="n">
        <v>0</v>
      </c>
      <c r="J234" t="n">
        <v>2</v>
      </c>
      <c r="K234" t="n">
        <v>0</v>
      </c>
      <c r="L234" t="n">
        <v>0</v>
      </c>
      <c r="M234" t="n">
        <v>0</v>
      </c>
      <c r="N234" t="n">
        <v>0</v>
      </c>
      <c r="O234" t="n">
        <v>2</v>
      </c>
      <c r="P234" t="n">
        <v>0</v>
      </c>
      <c r="Q234" t="n">
        <v>2</v>
      </c>
      <c r="R234" s="2" t="inlineStr">
        <is>
          <t>Granticka
Tretåig hackspett</t>
        </is>
      </c>
      <c r="S234">
        <f>HYPERLINK("https://klasma.github.io/Logging_2309/artfynd/A 47838-2024 artfynd.xlsx", "A 47838-2024")</f>
        <v/>
      </c>
      <c r="T234">
        <f>HYPERLINK("https://klasma.github.io/Logging_2309/kartor/A 47838-2024 karta.png", "A 47838-2024")</f>
        <v/>
      </c>
      <c r="V234">
        <f>HYPERLINK("https://klasma.github.io/Logging_2309/klagomål/A 47838-2024 FSC-klagomål.docx", "A 47838-2024")</f>
        <v/>
      </c>
      <c r="W234">
        <f>HYPERLINK("https://klasma.github.io/Logging_2309/klagomålsmail/A 47838-2024 FSC-klagomål mail.docx", "A 47838-2024")</f>
        <v/>
      </c>
      <c r="X234">
        <f>HYPERLINK("https://klasma.github.io/Logging_2309/tillsyn/A 47838-2024 tillsynsbegäran.docx", "A 47838-2024")</f>
        <v/>
      </c>
      <c r="Y234">
        <f>HYPERLINK("https://klasma.github.io/Logging_2309/tillsynsmail/A 47838-2024 tillsynsbegäran mail.docx", "A 47838-2024")</f>
        <v/>
      </c>
      <c r="Z234">
        <f>HYPERLINK("https://klasma.github.io/Logging_2309/fåglar/A 47838-2024 prioriterade fågelarter.docx", "A 47838-2024")</f>
        <v/>
      </c>
    </row>
    <row r="235" ht="15" customHeight="1">
      <c r="A235" t="inlineStr">
        <is>
          <t>A 49213-2024</t>
        </is>
      </c>
      <c r="B235" s="1" t="n">
        <v>45595</v>
      </c>
      <c r="C235" s="1" t="n">
        <v>45730</v>
      </c>
      <c r="D235" t="inlineStr">
        <is>
          <t>JÄMTLANDS LÄN</t>
        </is>
      </c>
      <c r="E235" t="inlineStr">
        <is>
          <t>KROKOM</t>
        </is>
      </c>
      <c r="G235" t="n">
        <v>23.3</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HYPERLINK("https://klasma.github.io/Logging_2309/artfynd/A 49213-2024 artfynd.xlsx", "A 49213-2024")</f>
        <v/>
      </c>
      <c r="T235">
        <f>HYPERLINK("https://klasma.github.io/Logging_2309/kartor/A 49213-2024 karta.png", "A 49213-2024")</f>
        <v/>
      </c>
      <c r="V235">
        <f>HYPERLINK("https://klasma.github.io/Logging_2309/klagomål/A 49213-2024 FSC-klagomål.docx", "A 49213-2024")</f>
        <v/>
      </c>
      <c r="W235">
        <f>HYPERLINK("https://klasma.github.io/Logging_2309/klagomålsmail/A 49213-2024 FSC-klagomål mail.docx", "A 49213-2024")</f>
        <v/>
      </c>
      <c r="X235">
        <f>HYPERLINK("https://klasma.github.io/Logging_2309/tillsyn/A 49213-2024 tillsynsbegäran.docx", "A 49213-2024")</f>
        <v/>
      </c>
      <c r="Y235">
        <f>HYPERLINK("https://klasma.github.io/Logging_2309/tillsynsmail/A 49213-2024 tillsynsbegäran mail.docx", "A 49213-2024")</f>
        <v/>
      </c>
      <c r="Z235">
        <f>HYPERLINK("https://klasma.github.io/Logging_2309/fåglar/A 49213-2024 prioriterade fågelarter.docx", "A 49213-2024")</f>
        <v/>
      </c>
    </row>
    <row r="236" ht="15" customHeight="1">
      <c r="A236" t="inlineStr">
        <is>
          <t>A 49386-2024</t>
        </is>
      </c>
      <c r="B236" s="1" t="n">
        <v>45595</v>
      </c>
      <c r="C236" s="1" t="n">
        <v>45730</v>
      </c>
      <c r="D236" t="inlineStr">
        <is>
          <t>JÄMTLANDS LÄN</t>
        </is>
      </c>
      <c r="E236" t="inlineStr">
        <is>
          <t>KROKOM</t>
        </is>
      </c>
      <c r="G236" t="n">
        <v>6.8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49386-2024 artfynd.xlsx", "A 49386-2024")</f>
        <v/>
      </c>
      <c r="T236">
        <f>HYPERLINK("https://klasma.github.io/Logging_2309/kartor/A 49386-2024 karta.png", "A 49386-2024")</f>
        <v/>
      </c>
      <c r="V236">
        <f>HYPERLINK("https://klasma.github.io/Logging_2309/klagomål/A 49386-2024 FSC-klagomål.docx", "A 49386-2024")</f>
        <v/>
      </c>
      <c r="W236">
        <f>HYPERLINK("https://klasma.github.io/Logging_2309/klagomålsmail/A 49386-2024 FSC-klagomål mail.docx", "A 49386-2024")</f>
        <v/>
      </c>
      <c r="X236">
        <f>HYPERLINK("https://klasma.github.io/Logging_2309/tillsyn/A 49386-2024 tillsynsbegäran.docx", "A 49386-2024")</f>
        <v/>
      </c>
      <c r="Y236">
        <f>HYPERLINK("https://klasma.github.io/Logging_2309/tillsynsmail/A 49386-2024 tillsynsbegäran mail.docx", "A 49386-2024")</f>
        <v/>
      </c>
      <c r="Z236">
        <f>HYPERLINK("https://klasma.github.io/Logging_2309/fåglar/A 49386-2024 prioriterade fågelarter.docx", "A 49386-2024")</f>
        <v/>
      </c>
    </row>
    <row r="237" ht="15" customHeight="1">
      <c r="A237" t="inlineStr">
        <is>
          <t>A 53868-2024</t>
        </is>
      </c>
      <c r="B237" s="1" t="n">
        <v>45615</v>
      </c>
      <c r="C237" s="1" t="n">
        <v>45730</v>
      </c>
      <c r="D237" t="inlineStr">
        <is>
          <t>JÄMTLANDS LÄN</t>
        </is>
      </c>
      <c r="E237" t="inlineStr">
        <is>
          <t>KROKOM</t>
        </is>
      </c>
      <c r="G237" t="n">
        <v>3.1</v>
      </c>
      <c r="H237" t="n">
        <v>0</v>
      </c>
      <c r="I237" t="n">
        <v>1</v>
      </c>
      <c r="J237" t="n">
        <v>1</v>
      </c>
      <c r="K237" t="n">
        <v>0</v>
      </c>
      <c r="L237" t="n">
        <v>0</v>
      </c>
      <c r="M237" t="n">
        <v>0</v>
      </c>
      <c r="N237" t="n">
        <v>0</v>
      </c>
      <c r="O237" t="n">
        <v>1</v>
      </c>
      <c r="P237" t="n">
        <v>0</v>
      </c>
      <c r="Q237" t="n">
        <v>2</v>
      </c>
      <c r="R237" s="2" t="inlineStr">
        <is>
          <t>Granticka
Stuplav</t>
        </is>
      </c>
      <c r="S237">
        <f>HYPERLINK("https://klasma.github.io/Logging_2309/artfynd/A 53868-2024 artfynd.xlsx", "A 53868-2024")</f>
        <v/>
      </c>
      <c r="T237">
        <f>HYPERLINK("https://klasma.github.io/Logging_2309/kartor/A 53868-2024 karta.png", "A 53868-2024")</f>
        <v/>
      </c>
      <c r="V237">
        <f>HYPERLINK("https://klasma.github.io/Logging_2309/klagomål/A 53868-2024 FSC-klagomål.docx", "A 53868-2024")</f>
        <v/>
      </c>
      <c r="W237">
        <f>HYPERLINK("https://klasma.github.io/Logging_2309/klagomålsmail/A 53868-2024 FSC-klagomål mail.docx", "A 53868-2024")</f>
        <v/>
      </c>
      <c r="X237">
        <f>HYPERLINK("https://klasma.github.io/Logging_2309/tillsyn/A 53868-2024 tillsynsbegäran.docx", "A 53868-2024")</f>
        <v/>
      </c>
      <c r="Y237">
        <f>HYPERLINK("https://klasma.github.io/Logging_2309/tillsynsmail/A 53868-2024 tillsynsbegäran mail.docx", "A 53868-2024")</f>
        <v/>
      </c>
    </row>
    <row r="238" ht="15" customHeight="1">
      <c r="A238" t="inlineStr">
        <is>
          <t>A 55309-2024</t>
        </is>
      </c>
      <c r="B238" s="1" t="n">
        <v>45621</v>
      </c>
      <c r="C238" s="1" t="n">
        <v>45730</v>
      </c>
      <c r="D238" t="inlineStr">
        <is>
          <t>JÄMTLANDS LÄN</t>
        </is>
      </c>
      <c r="E238" t="inlineStr">
        <is>
          <t>KROKOM</t>
        </is>
      </c>
      <c r="G238" t="n">
        <v>4.8</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55309-2024 artfynd.xlsx", "A 55309-2024")</f>
        <v/>
      </c>
      <c r="T238">
        <f>HYPERLINK("https://klasma.github.io/Logging_2309/kartor/A 55309-2024 karta.png", "A 55309-2024")</f>
        <v/>
      </c>
      <c r="V238">
        <f>HYPERLINK("https://klasma.github.io/Logging_2309/klagomål/A 55309-2024 FSC-klagomål.docx", "A 55309-2024")</f>
        <v/>
      </c>
      <c r="W238">
        <f>HYPERLINK("https://klasma.github.io/Logging_2309/klagomålsmail/A 55309-2024 FSC-klagomål mail.docx", "A 55309-2024")</f>
        <v/>
      </c>
      <c r="X238">
        <f>HYPERLINK("https://klasma.github.io/Logging_2309/tillsyn/A 55309-2024 tillsynsbegäran.docx", "A 55309-2024")</f>
        <v/>
      </c>
      <c r="Y238">
        <f>HYPERLINK("https://klasma.github.io/Logging_2309/tillsynsmail/A 55309-2024 tillsynsbegäran mail.docx", "A 55309-2024")</f>
        <v/>
      </c>
      <c r="Z238">
        <f>HYPERLINK("https://klasma.github.io/Logging_2309/fåglar/A 55309-2024 prioriterade fågelarter.docx", "A 55309-2024")</f>
        <v/>
      </c>
    </row>
    <row r="239" ht="15" customHeight="1">
      <c r="A239" t="inlineStr">
        <is>
          <t>A 60419-2024</t>
        </is>
      </c>
      <c r="B239" s="1" t="n">
        <v>45643</v>
      </c>
      <c r="C239" s="1" t="n">
        <v>45730</v>
      </c>
      <c r="D239" t="inlineStr">
        <is>
          <t>JÄMTLANDS LÄN</t>
        </is>
      </c>
      <c r="E239" t="inlineStr">
        <is>
          <t>KROKOM</t>
        </is>
      </c>
      <c r="G239" t="n">
        <v>7.9</v>
      </c>
      <c r="H239" t="n">
        <v>1</v>
      </c>
      <c r="I239" t="n">
        <v>2</v>
      </c>
      <c r="J239" t="n">
        <v>0</v>
      </c>
      <c r="K239" t="n">
        <v>0</v>
      </c>
      <c r="L239" t="n">
        <v>0</v>
      </c>
      <c r="M239" t="n">
        <v>0</v>
      </c>
      <c r="N239" t="n">
        <v>0</v>
      </c>
      <c r="O239" t="n">
        <v>0</v>
      </c>
      <c r="P239" t="n">
        <v>0</v>
      </c>
      <c r="Q239" t="n">
        <v>2</v>
      </c>
      <c r="R239" s="2" t="inlineStr">
        <is>
          <t>Grönkulla
Kransrams</t>
        </is>
      </c>
      <c r="S239">
        <f>HYPERLINK("https://klasma.github.io/Logging_2309/artfynd/A 60419-2024 artfynd.xlsx", "A 60419-2024")</f>
        <v/>
      </c>
      <c r="T239">
        <f>HYPERLINK("https://klasma.github.io/Logging_2309/kartor/A 60419-2024 karta.png", "A 60419-2024")</f>
        <v/>
      </c>
      <c r="V239">
        <f>HYPERLINK("https://klasma.github.io/Logging_2309/klagomål/A 60419-2024 FSC-klagomål.docx", "A 60419-2024")</f>
        <v/>
      </c>
      <c r="W239">
        <f>HYPERLINK("https://klasma.github.io/Logging_2309/klagomålsmail/A 60419-2024 FSC-klagomål mail.docx", "A 60419-2024")</f>
        <v/>
      </c>
      <c r="X239">
        <f>HYPERLINK("https://klasma.github.io/Logging_2309/tillsyn/A 60419-2024 tillsynsbegäran.docx", "A 60419-2024")</f>
        <v/>
      </c>
      <c r="Y239">
        <f>HYPERLINK("https://klasma.github.io/Logging_2309/tillsynsmail/A 60419-2024 tillsynsbegäran mail.docx", "A 60419-2024")</f>
        <v/>
      </c>
    </row>
    <row r="240" ht="15" customHeight="1">
      <c r="A240" t="inlineStr">
        <is>
          <t>A 61692-2024</t>
        </is>
      </c>
      <c r="B240" s="1" t="n">
        <v>45647</v>
      </c>
      <c r="C240" s="1" t="n">
        <v>45730</v>
      </c>
      <c r="D240" t="inlineStr">
        <is>
          <t>JÄMTLANDS LÄN</t>
        </is>
      </c>
      <c r="E240" t="inlineStr">
        <is>
          <t>KROKOM</t>
        </is>
      </c>
      <c r="F240" t="inlineStr">
        <is>
          <t>SCA</t>
        </is>
      </c>
      <c r="G240" t="n">
        <v>6.7</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61692-2024 artfynd.xlsx", "A 61692-2024")</f>
        <v/>
      </c>
      <c r="T240">
        <f>HYPERLINK("https://klasma.github.io/Logging_2309/kartor/A 61692-2024 karta.png", "A 61692-2024")</f>
        <v/>
      </c>
      <c r="V240">
        <f>HYPERLINK("https://klasma.github.io/Logging_2309/klagomål/A 61692-2024 FSC-klagomål.docx", "A 61692-2024")</f>
        <v/>
      </c>
      <c r="W240">
        <f>HYPERLINK("https://klasma.github.io/Logging_2309/klagomålsmail/A 61692-2024 FSC-klagomål mail.docx", "A 61692-2024")</f>
        <v/>
      </c>
      <c r="X240">
        <f>HYPERLINK("https://klasma.github.io/Logging_2309/tillsyn/A 61692-2024 tillsynsbegäran.docx", "A 61692-2024")</f>
        <v/>
      </c>
      <c r="Y240">
        <f>HYPERLINK("https://klasma.github.io/Logging_2309/tillsynsmail/A 61692-2024 tillsynsbegäran mail.docx", "A 61692-2024")</f>
        <v/>
      </c>
      <c r="Z240">
        <f>HYPERLINK("https://klasma.github.io/Logging_2309/fåglar/A 61692-2024 prioriterade fågelarter.docx", "A 61692-2024")</f>
        <v/>
      </c>
    </row>
    <row r="241" ht="15" customHeight="1">
      <c r="A241" t="inlineStr">
        <is>
          <t>A 62125-2024</t>
        </is>
      </c>
      <c r="B241" s="1" t="n">
        <v>45656</v>
      </c>
      <c r="C241" s="1" t="n">
        <v>45730</v>
      </c>
      <c r="D241" t="inlineStr">
        <is>
          <t>JÄMTLANDS LÄN</t>
        </is>
      </c>
      <c r="E241" t="inlineStr">
        <is>
          <t>KROKOM</t>
        </is>
      </c>
      <c r="F241" t="inlineStr">
        <is>
          <t>Övriga Aktiebolag</t>
        </is>
      </c>
      <c r="G241" t="n">
        <v>15.9</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62125-2024 artfynd.xlsx", "A 62125-2024")</f>
        <v/>
      </c>
      <c r="T241">
        <f>HYPERLINK("https://klasma.github.io/Logging_2309/kartor/A 62125-2024 karta.png", "A 62125-2024")</f>
        <v/>
      </c>
      <c r="V241">
        <f>HYPERLINK("https://klasma.github.io/Logging_2309/klagomål/A 62125-2024 FSC-klagomål.docx", "A 62125-2024")</f>
        <v/>
      </c>
      <c r="W241">
        <f>HYPERLINK("https://klasma.github.io/Logging_2309/klagomålsmail/A 62125-2024 FSC-klagomål mail.docx", "A 62125-2024")</f>
        <v/>
      </c>
      <c r="X241">
        <f>HYPERLINK("https://klasma.github.io/Logging_2309/tillsyn/A 62125-2024 tillsynsbegäran.docx", "A 62125-2024")</f>
        <v/>
      </c>
      <c r="Y241">
        <f>HYPERLINK("https://klasma.github.io/Logging_2309/tillsynsmail/A 62125-2024 tillsynsbegäran mail.docx", "A 62125-2024")</f>
        <v/>
      </c>
      <c r="Z241">
        <f>HYPERLINK("https://klasma.github.io/Logging_2309/fåglar/A 62125-2024 prioriterade fågelarter.docx", "A 62125-2024")</f>
        <v/>
      </c>
    </row>
    <row r="242" ht="15" customHeight="1">
      <c r="A242" t="inlineStr">
        <is>
          <t>A 5681-2025</t>
        </is>
      </c>
      <c r="B242" s="1" t="n">
        <v>45694</v>
      </c>
      <c r="C242" s="1" t="n">
        <v>45730</v>
      </c>
      <c r="D242" t="inlineStr">
        <is>
          <t>JÄMTLANDS LÄN</t>
        </is>
      </c>
      <c r="E242" t="inlineStr">
        <is>
          <t>KROKOM</t>
        </is>
      </c>
      <c r="G242" t="n">
        <v>4.4</v>
      </c>
      <c r="H242" t="n">
        <v>2</v>
      </c>
      <c r="I242" t="n">
        <v>1</v>
      </c>
      <c r="J242" t="n">
        <v>0</v>
      </c>
      <c r="K242" t="n">
        <v>0</v>
      </c>
      <c r="L242" t="n">
        <v>0</v>
      </c>
      <c r="M242" t="n">
        <v>0</v>
      </c>
      <c r="N242" t="n">
        <v>0</v>
      </c>
      <c r="O242" t="n">
        <v>0</v>
      </c>
      <c r="P242" t="n">
        <v>0</v>
      </c>
      <c r="Q242" t="n">
        <v>2</v>
      </c>
      <c r="R242" s="2" t="inlineStr">
        <is>
          <t>Korallrot
Dactylorhiza incarnata subsp. incarnata</t>
        </is>
      </c>
      <c r="S242">
        <f>HYPERLINK("https://klasma.github.io/Logging_2309/artfynd/A 5681-2025 artfynd.xlsx", "A 5681-2025")</f>
        <v/>
      </c>
      <c r="T242">
        <f>HYPERLINK("https://klasma.github.io/Logging_2309/kartor/A 5681-2025 karta.png", "A 5681-2025")</f>
        <v/>
      </c>
      <c r="V242">
        <f>HYPERLINK("https://klasma.github.io/Logging_2309/klagomål/A 5681-2025 FSC-klagomål.docx", "A 5681-2025")</f>
        <v/>
      </c>
      <c r="W242">
        <f>HYPERLINK("https://klasma.github.io/Logging_2309/klagomålsmail/A 5681-2025 FSC-klagomål mail.docx", "A 5681-2025")</f>
        <v/>
      </c>
      <c r="X242">
        <f>HYPERLINK("https://klasma.github.io/Logging_2309/tillsyn/A 5681-2025 tillsynsbegäran.docx", "A 5681-2025")</f>
        <v/>
      </c>
      <c r="Y242">
        <f>HYPERLINK("https://klasma.github.io/Logging_2309/tillsynsmail/A 5681-2025 tillsynsbegäran mail.docx", "A 5681-2025")</f>
        <v/>
      </c>
    </row>
    <row r="243" ht="15" customHeight="1">
      <c r="A243" t="inlineStr">
        <is>
          <t>A 21669-2019</t>
        </is>
      </c>
      <c r="B243" s="1" t="n">
        <v>43581</v>
      </c>
      <c r="C243" s="1" t="n">
        <v>45730</v>
      </c>
      <c r="D243" t="inlineStr">
        <is>
          <t>JÄMTLANDS LÄN</t>
        </is>
      </c>
      <c r="E243" t="inlineStr">
        <is>
          <t>KROKOM</t>
        </is>
      </c>
      <c r="G243" t="n">
        <v>13.2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21669-2019 artfynd.xlsx", "A 21669-2019")</f>
        <v/>
      </c>
      <c r="T243">
        <f>HYPERLINK("https://klasma.github.io/Logging_2309/kartor/A 21669-2019 karta.png", "A 21669-2019")</f>
        <v/>
      </c>
      <c r="V243">
        <f>HYPERLINK("https://klasma.github.io/Logging_2309/klagomål/A 21669-2019 FSC-klagomål.docx", "A 21669-2019")</f>
        <v/>
      </c>
      <c r="W243">
        <f>HYPERLINK("https://klasma.github.io/Logging_2309/klagomålsmail/A 21669-2019 FSC-klagomål mail.docx", "A 21669-2019")</f>
        <v/>
      </c>
      <c r="X243">
        <f>HYPERLINK("https://klasma.github.io/Logging_2309/tillsyn/A 21669-2019 tillsynsbegäran.docx", "A 21669-2019")</f>
        <v/>
      </c>
      <c r="Y243">
        <f>HYPERLINK("https://klasma.github.io/Logging_2309/tillsynsmail/A 21669-2019 tillsynsbegäran mail.docx", "A 21669-2019")</f>
        <v/>
      </c>
      <c r="Z243">
        <f>HYPERLINK("https://klasma.github.io/Logging_2309/fåglar/A 21669-2019 prioriterade fågelarter.docx", "A 21669-2019")</f>
        <v/>
      </c>
    </row>
    <row r="244" ht="15" customHeight="1">
      <c r="A244" t="inlineStr">
        <is>
          <t>A 30819-2019</t>
        </is>
      </c>
      <c r="B244" s="1" t="n">
        <v>43636</v>
      </c>
      <c r="C244" s="1" t="n">
        <v>45730</v>
      </c>
      <c r="D244" t="inlineStr">
        <is>
          <t>JÄMTLANDS LÄN</t>
        </is>
      </c>
      <c r="E244" t="inlineStr">
        <is>
          <t>KROKOM</t>
        </is>
      </c>
      <c r="G244" t="n">
        <v>18.8</v>
      </c>
      <c r="H244" t="n">
        <v>0</v>
      </c>
      <c r="I244" t="n">
        <v>1</v>
      </c>
      <c r="J244" t="n">
        <v>0</v>
      </c>
      <c r="K244" t="n">
        <v>0</v>
      </c>
      <c r="L244" t="n">
        <v>0</v>
      </c>
      <c r="M244" t="n">
        <v>0</v>
      </c>
      <c r="N244" t="n">
        <v>0</v>
      </c>
      <c r="O244" t="n">
        <v>0</v>
      </c>
      <c r="P244" t="n">
        <v>0</v>
      </c>
      <c r="Q244" t="n">
        <v>1</v>
      </c>
      <c r="R244" s="2" t="inlineStr">
        <is>
          <t>Ögonpyrola</t>
        </is>
      </c>
      <c r="S244">
        <f>HYPERLINK("https://klasma.github.io/Logging_2309/artfynd/A 30819-2019 artfynd.xlsx", "A 30819-2019")</f>
        <v/>
      </c>
      <c r="T244">
        <f>HYPERLINK("https://klasma.github.io/Logging_2309/kartor/A 30819-2019 karta.png", "A 30819-2019")</f>
        <v/>
      </c>
      <c r="V244">
        <f>HYPERLINK("https://klasma.github.io/Logging_2309/klagomål/A 30819-2019 FSC-klagomål.docx", "A 30819-2019")</f>
        <v/>
      </c>
      <c r="W244">
        <f>HYPERLINK("https://klasma.github.io/Logging_2309/klagomålsmail/A 30819-2019 FSC-klagomål mail.docx", "A 30819-2019")</f>
        <v/>
      </c>
      <c r="X244">
        <f>HYPERLINK("https://klasma.github.io/Logging_2309/tillsyn/A 30819-2019 tillsynsbegäran.docx", "A 30819-2019")</f>
        <v/>
      </c>
      <c r="Y244">
        <f>HYPERLINK("https://klasma.github.io/Logging_2309/tillsynsmail/A 30819-2019 tillsynsbegäran mail.docx", "A 30819-2019")</f>
        <v/>
      </c>
    </row>
    <row r="245" ht="15" customHeight="1">
      <c r="A245" t="inlineStr">
        <is>
          <t>A 31910-2019</t>
        </is>
      </c>
      <c r="B245" s="1" t="n">
        <v>43642</v>
      </c>
      <c r="C245" s="1" t="n">
        <v>45730</v>
      </c>
      <c r="D245" t="inlineStr">
        <is>
          <t>JÄMTLANDS LÄN</t>
        </is>
      </c>
      <c r="E245" t="inlineStr">
        <is>
          <t>KROKOM</t>
        </is>
      </c>
      <c r="G245" t="n">
        <v>5</v>
      </c>
      <c r="H245" t="n">
        <v>0</v>
      </c>
      <c r="I245" t="n">
        <v>0</v>
      </c>
      <c r="J245" t="n">
        <v>1</v>
      </c>
      <c r="K245" t="n">
        <v>0</v>
      </c>
      <c r="L245" t="n">
        <v>0</v>
      </c>
      <c r="M245" t="n">
        <v>0</v>
      </c>
      <c r="N245" t="n">
        <v>0</v>
      </c>
      <c r="O245" t="n">
        <v>1</v>
      </c>
      <c r="P245" t="n">
        <v>0</v>
      </c>
      <c r="Q245" t="n">
        <v>1</v>
      </c>
      <c r="R245" s="2" t="inlineStr">
        <is>
          <t>Lunglav</t>
        </is>
      </c>
      <c r="S245">
        <f>HYPERLINK("https://klasma.github.io/Logging_2309/artfynd/A 31910-2019 artfynd.xlsx", "A 31910-2019")</f>
        <v/>
      </c>
      <c r="T245">
        <f>HYPERLINK("https://klasma.github.io/Logging_2309/kartor/A 31910-2019 karta.png", "A 31910-2019")</f>
        <v/>
      </c>
      <c r="V245">
        <f>HYPERLINK("https://klasma.github.io/Logging_2309/klagomål/A 31910-2019 FSC-klagomål.docx", "A 31910-2019")</f>
        <v/>
      </c>
      <c r="W245">
        <f>HYPERLINK("https://klasma.github.io/Logging_2309/klagomålsmail/A 31910-2019 FSC-klagomål mail.docx", "A 31910-2019")</f>
        <v/>
      </c>
      <c r="X245">
        <f>HYPERLINK("https://klasma.github.io/Logging_2309/tillsyn/A 31910-2019 tillsynsbegäran.docx", "A 31910-2019")</f>
        <v/>
      </c>
      <c r="Y245">
        <f>HYPERLINK("https://klasma.github.io/Logging_2309/tillsynsmail/A 31910-2019 tillsynsbegäran mail.docx", "A 31910-2019")</f>
        <v/>
      </c>
    </row>
    <row r="246" ht="15" customHeight="1">
      <c r="A246" t="inlineStr">
        <is>
          <t>A 42629-2019</t>
        </is>
      </c>
      <c r="B246" s="1" t="n">
        <v>43704</v>
      </c>
      <c r="C246" s="1" t="n">
        <v>45730</v>
      </c>
      <c r="D246" t="inlineStr">
        <is>
          <t>JÄMTLANDS LÄN</t>
        </is>
      </c>
      <c r="E246" t="inlineStr">
        <is>
          <t>KROKOM</t>
        </is>
      </c>
      <c r="G246" t="n">
        <v>7.5</v>
      </c>
      <c r="H246" t="n">
        <v>0</v>
      </c>
      <c r="I246" t="n">
        <v>0</v>
      </c>
      <c r="J246" t="n">
        <v>1</v>
      </c>
      <c r="K246" t="n">
        <v>0</v>
      </c>
      <c r="L246" t="n">
        <v>0</v>
      </c>
      <c r="M246" t="n">
        <v>0</v>
      </c>
      <c r="N246" t="n">
        <v>0</v>
      </c>
      <c r="O246" t="n">
        <v>1</v>
      </c>
      <c r="P246" t="n">
        <v>0</v>
      </c>
      <c r="Q246" t="n">
        <v>1</v>
      </c>
      <c r="R246" s="2" t="inlineStr">
        <is>
          <t>Brunklöver</t>
        </is>
      </c>
      <c r="S246">
        <f>HYPERLINK("https://klasma.github.io/Logging_2309/artfynd/A 42629-2019 artfynd.xlsx", "A 42629-2019")</f>
        <v/>
      </c>
      <c r="T246">
        <f>HYPERLINK("https://klasma.github.io/Logging_2309/kartor/A 42629-2019 karta.png", "A 42629-2019")</f>
        <v/>
      </c>
      <c r="V246">
        <f>HYPERLINK("https://klasma.github.io/Logging_2309/klagomål/A 42629-2019 FSC-klagomål.docx", "A 42629-2019")</f>
        <v/>
      </c>
      <c r="W246">
        <f>HYPERLINK("https://klasma.github.io/Logging_2309/klagomålsmail/A 42629-2019 FSC-klagomål mail.docx", "A 42629-2019")</f>
        <v/>
      </c>
      <c r="X246">
        <f>HYPERLINK("https://klasma.github.io/Logging_2309/tillsyn/A 42629-2019 tillsynsbegäran.docx", "A 42629-2019")</f>
        <v/>
      </c>
      <c r="Y246">
        <f>HYPERLINK("https://klasma.github.io/Logging_2309/tillsynsmail/A 42629-2019 tillsynsbegäran mail.docx", "A 42629-2019")</f>
        <v/>
      </c>
    </row>
    <row r="247" ht="15" customHeight="1">
      <c r="A247" t="inlineStr">
        <is>
          <t>A 50132-2019</t>
        </is>
      </c>
      <c r="B247" s="1" t="n">
        <v>43734</v>
      </c>
      <c r="C247" s="1" t="n">
        <v>45730</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Vitgrynig nållav</t>
        </is>
      </c>
      <c r="S247">
        <f>HYPERLINK("https://klasma.github.io/Logging_2309/artfynd/A 50132-2019 artfynd.xlsx", "A 50132-2019")</f>
        <v/>
      </c>
      <c r="T247">
        <f>HYPERLINK("https://klasma.github.io/Logging_2309/kartor/A 50132-2019 karta.png", "A 50132-2019")</f>
        <v/>
      </c>
      <c r="V247">
        <f>HYPERLINK("https://klasma.github.io/Logging_2309/klagomål/A 50132-2019 FSC-klagomål.docx", "A 50132-2019")</f>
        <v/>
      </c>
      <c r="W247">
        <f>HYPERLINK("https://klasma.github.io/Logging_2309/klagomålsmail/A 50132-2019 FSC-klagomål mail.docx", "A 50132-2019")</f>
        <v/>
      </c>
      <c r="X247">
        <f>HYPERLINK("https://klasma.github.io/Logging_2309/tillsyn/A 50132-2019 tillsynsbegäran.docx", "A 50132-2019")</f>
        <v/>
      </c>
      <c r="Y247">
        <f>HYPERLINK("https://klasma.github.io/Logging_2309/tillsynsmail/A 50132-2019 tillsynsbegäran mail.docx", "A 50132-2019")</f>
        <v/>
      </c>
    </row>
    <row r="248" ht="15" customHeight="1">
      <c r="A248" t="inlineStr">
        <is>
          <t>A 52462-2019</t>
        </is>
      </c>
      <c r="B248" s="1" t="n">
        <v>43735</v>
      </c>
      <c r="C248" s="1" t="n">
        <v>45730</v>
      </c>
      <c r="D248" t="inlineStr">
        <is>
          <t>JÄMTLANDS LÄN</t>
        </is>
      </c>
      <c r="E248" t="inlineStr">
        <is>
          <t>KROKOM</t>
        </is>
      </c>
      <c r="G248" t="n">
        <v>2.4</v>
      </c>
      <c r="H248" t="n">
        <v>1</v>
      </c>
      <c r="I248" t="n">
        <v>0</v>
      </c>
      <c r="J248" t="n">
        <v>0</v>
      </c>
      <c r="K248" t="n">
        <v>0</v>
      </c>
      <c r="L248" t="n">
        <v>0</v>
      </c>
      <c r="M248" t="n">
        <v>0</v>
      </c>
      <c r="N248" t="n">
        <v>0</v>
      </c>
      <c r="O248" t="n">
        <v>0</v>
      </c>
      <c r="P248" t="n">
        <v>0</v>
      </c>
      <c r="Q248" t="n">
        <v>1</v>
      </c>
      <c r="R248" s="2" t="inlineStr">
        <is>
          <t>Hökuggla</t>
        </is>
      </c>
      <c r="S248">
        <f>HYPERLINK("https://klasma.github.io/Logging_2309/artfynd/A 52462-2019 artfynd.xlsx", "A 52462-2019")</f>
        <v/>
      </c>
      <c r="T248">
        <f>HYPERLINK("https://klasma.github.io/Logging_2309/kartor/A 52462-2019 karta.png", "A 52462-2019")</f>
        <v/>
      </c>
      <c r="V248">
        <f>HYPERLINK("https://klasma.github.io/Logging_2309/klagomål/A 52462-2019 FSC-klagomål.docx", "A 52462-2019")</f>
        <v/>
      </c>
      <c r="W248">
        <f>HYPERLINK("https://klasma.github.io/Logging_2309/klagomålsmail/A 52462-2019 FSC-klagomål mail.docx", "A 52462-2019")</f>
        <v/>
      </c>
      <c r="X248">
        <f>HYPERLINK("https://klasma.github.io/Logging_2309/tillsyn/A 52462-2019 tillsynsbegäran.docx", "A 52462-2019")</f>
        <v/>
      </c>
      <c r="Y248">
        <f>HYPERLINK("https://klasma.github.io/Logging_2309/tillsynsmail/A 52462-2019 tillsynsbegäran mail.docx", "A 52462-2019")</f>
        <v/>
      </c>
      <c r="Z248">
        <f>HYPERLINK("https://klasma.github.io/Logging_2309/fåglar/A 52462-2019 prioriterade fågelarter.docx", "A 52462-2019")</f>
        <v/>
      </c>
    </row>
    <row r="249" ht="15" customHeight="1">
      <c r="A249" t="inlineStr">
        <is>
          <t>A 61347-2019</t>
        </is>
      </c>
      <c r="B249" s="1" t="n">
        <v>43783</v>
      </c>
      <c r="C249" s="1" t="n">
        <v>45730</v>
      </c>
      <c r="D249" t="inlineStr">
        <is>
          <t>JÄMTLANDS LÄN</t>
        </is>
      </c>
      <c r="E249" t="inlineStr">
        <is>
          <t>KROKOM</t>
        </is>
      </c>
      <c r="F249" t="inlineStr">
        <is>
          <t>Allmännings- och besparingsskogar</t>
        </is>
      </c>
      <c r="G249" t="n">
        <v>20.7</v>
      </c>
      <c r="H249" t="n">
        <v>1</v>
      </c>
      <c r="I249" t="n">
        <v>0</v>
      </c>
      <c r="J249" t="n">
        <v>0</v>
      </c>
      <c r="K249" t="n">
        <v>1</v>
      </c>
      <c r="L249" t="n">
        <v>0</v>
      </c>
      <c r="M249" t="n">
        <v>0</v>
      </c>
      <c r="N249" t="n">
        <v>0</v>
      </c>
      <c r="O249" t="n">
        <v>1</v>
      </c>
      <c r="P249" t="n">
        <v>1</v>
      </c>
      <c r="Q249" t="n">
        <v>1</v>
      </c>
      <c r="R249" s="2" t="inlineStr">
        <is>
          <t>Knärot</t>
        </is>
      </c>
      <c r="S249">
        <f>HYPERLINK("https://klasma.github.io/Logging_2309/artfynd/A 61347-2019 artfynd.xlsx", "A 61347-2019")</f>
        <v/>
      </c>
      <c r="T249">
        <f>HYPERLINK("https://klasma.github.io/Logging_2309/kartor/A 61347-2019 karta.png", "A 61347-2019")</f>
        <v/>
      </c>
      <c r="U249">
        <f>HYPERLINK("https://klasma.github.io/Logging_2309/knärot/A 61347-2019 karta knärot.png", "A 61347-2019")</f>
        <v/>
      </c>
      <c r="V249">
        <f>HYPERLINK("https://klasma.github.io/Logging_2309/klagomål/A 61347-2019 FSC-klagomål.docx", "A 61347-2019")</f>
        <v/>
      </c>
      <c r="W249">
        <f>HYPERLINK("https://klasma.github.io/Logging_2309/klagomålsmail/A 61347-2019 FSC-klagomål mail.docx", "A 61347-2019")</f>
        <v/>
      </c>
      <c r="X249">
        <f>HYPERLINK("https://klasma.github.io/Logging_2309/tillsyn/A 61347-2019 tillsynsbegäran.docx", "A 61347-2019")</f>
        <v/>
      </c>
      <c r="Y249">
        <f>HYPERLINK("https://klasma.github.io/Logging_2309/tillsynsmail/A 61347-2019 tillsynsbegäran mail.docx", "A 61347-2019")</f>
        <v/>
      </c>
    </row>
    <row r="250" ht="15" customHeight="1">
      <c r="A250" t="inlineStr">
        <is>
          <t>A 67827-2019</t>
        </is>
      </c>
      <c r="B250" s="1" t="n">
        <v>43815</v>
      </c>
      <c r="C250" s="1" t="n">
        <v>45730</v>
      </c>
      <c r="D250" t="inlineStr">
        <is>
          <t>JÄMTLANDS LÄN</t>
        </is>
      </c>
      <c r="E250" t="inlineStr">
        <is>
          <t>KROKOM</t>
        </is>
      </c>
      <c r="F250" t="inlineStr">
        <is>
          <t>SCA</t>
        </is>
      </c>
      <c r="G250" t="n">
        <v>2.9</v>
      </c>
      <c r="H250" t="n">
        <v>0</v>
      </c>
      <c r="I250" t="n">
        <v>0</v>
      </c>
      <c r="J250" t="n">
        <v>1</v>
      </c>
      <c r="K250" t="n">
        <v>0</v>
      </c>
      <c r="L250" t="n">
        <v>0</v>
      </c>
      <c r="M250" t="n">
        <v>0</v>
      </c>
      <c r="N250" t="n">
        <v>0</v>
      </c>
      <c r="O250" t="n">
        <v>1</v>
      </c>
      <c r="P250" t="n">
        <v>0</v>
      </c>
      <c r="Q250" t="n">
        <v>1</v>
      </c>
      <c r="R250" s="2" t="inlineStr">
        <is>
          <t>Garnlav</t>
        </is>
      </c>
      <c r="S250">
        <f>HYPERLINK("https://klasma.github.io/Logging_2309/artfynd/A 67827-2019 artfynd.xlsx", "A 67827-2019")</f>
        <v/>
      </c>
      <c r="T250">
        <f>HYPERLINK("https://klasma.github.io/Logging_2309/kartor/A 67827-2019 karta.png", "A 67827-2019")</f>
        <v/>
      </c>
      <c r="V250">
        <f>HYPERLINK("https://klasma.github.io/Logging_2309/klagomål/A 67827-2019 FSC-klagomål.docx", "A 67827-2019")</f>
        <v/>
      </c>
      <c r="W250">
        <f>HYPERLINK("https://klasma.github.io/Logging_2309/klagomålsmail/A 67827-2019 FSC-klagomål mail.docx", "A 67827-2019")</f>
        <v/>
      </c>
      <c r="X250">
        <f>HYPERLINK("https://klasma.github.io/Logging_2309/tillsyn/A 67827-2019 tillsynsbegäran.docx", "A 67827-2019")</f>
        <v/>
      </c>
      <c r="Y250">
        <f>HYPERLINK("https://klasma.github.io/Logging_2309/tillsynsmail/A 67827-2019 tillsynsbegäran mail.docx", "A 67827-2019")</f>
        <v/>
      </c>
    </row>
    <row r="251" ht="15" customHeight="1">
      <c r="A251" t="inlineStr">
        <is>
          <t>A 4626-2020</t>
        </is>
      </c>
      <c r="B251" s="1" t="n">
        <v>43858</v>
      </c>
      <c r="C251" s="1" t="n">
        <v>45730</v>
      </c>
      <c r="D251" t="inlineStr">
        <is>
          <t>JÄMTLANDS LÄN</t>
        </is>
      </c>
      <c r="E251" t="inlineStr">
        <is>
          <t>KROKOM</t>
        </is>
      </c>
      <c r="G251" t="n">
        <v>12.2</v>
      </c>
      <c r="H251" t="n">
        <v>0</v>
      </c>
      <c r="I251" t="n">
        <v>0</v>
      </c>
      <c r="J251" t="n">
        <v>1</v>
      </c>
      <c r="K251" t="n">
        <v>0</v>
      </c>
      <c r="L251" t="n">
        <v>0</v>
      </c>
      <c r="M251" t="n">
        <v>0</v>
      </c>
      <c r="N251" t="n">
        <v>0</v>
      </c>
      <c r="O251" t="n">
        <v>1</v>
      </c>
      <c r="P251" t="n">
        <v>0</v>
      </c>
      <c r="Q251" t="n">
        <v>1</v>
      </c>
      <c r="R251" s="2" t="inlineStr">
        <is>
          <t>Gränsticka</t>
        </is>
      </c>
      <c r="S251">
        <f>HYPERLINK("https://klasma.github.io/Logging_2309/artfynd/A 4626-2020 artfynd.xlsx", "A 4626-2020")</f>
        <v/>
      </c>
      <c r="T251">
        <f>HYPERLINK("https://klasma.github.io/Logging_2309/kartor/A 4626-2020 karta.png", "A 4626-2020")</f>
        <v/>
      </c>
      <c r="V251">
        <f>HYPERLINK("https://klasma.github.io/Logging_2309/klagomål/A 4626-2020 FSC-klagomål.docx", "A 4626-2020")</f>
        <v/>
      </c>
      <c r="W251">
        <f>HYPERLINK("https://klasma.github.io/Logging_2309/klagomålsmail/A 4626-2020 FSC-klagomål mail.docx", "A 4626-2020")</f>
        <v/>
      </c>
      <c r="X251">
        <f>HYPERLINK("https://klasma.github.io/Logging_2309/tillsyn/A 4626-2020 tillsynsbegäran.docx", "A 4626-2020")</f>
        <v/>
      </c>
      <c r="Y251">
        <f>HYPERLINK("https://klasma.github.io/Logging_2309/tillsynsmail/A 4626-2020 tillsynsbegäran mail.docx", "A 4626-2020")</f>
        <v/>
      </c>
    </row>
    <row r="252" ht="15" customHeight="1">
      <c r="A252" t="inlineStr">
        <is>
          <t>A 7950-2020</t>
        </is>
      </c>
      <c r="B252" s="1" t="n">
        <v>43873</v>
      </c>
      <c r="C252" s="1" t="n">
        <v>45730</v>
      </c>
      <c r="D252" t="inlineStr">
        <is>
          <t>JÄMTLANDS LÄN</t>
        </is>
      </c>
      <c r="E252" t="inlineStr">
        <is>
          <t>KROKOM</t>
        </is>
      </c>
      <c r="G252" t="n">
        <v>0.2</v>
      </c>
      <c r="H252" t="n">
        <v>0</v>
      </c>
      <c r="I252" t="n">
        <v>0</v>
      </c>
      <c r="J252" t="n">
        <v>1</v>
      </c>
      <c r="K252" t="n">
        <v>0</v>
      </c>
      <c r="L252" t="n">
        <v>0</v>
      </c>
      <c r="M252" t="n">
        <v>0</v>
      </c>
      <c r="N252" t="n">
        <v>0</v>
      </c>
      <c r="O252" t="n">
        <v>1</v>
      </c>
      <c r="P252" t="n">
        <v>0</v>
      </c>
      <c r="Q252" t="n">
        <v>1</v>
      </c>
      <c r="R252" s="2" t="inlineStr">
        <is>
          <t>Månlåsbräken</t>
        </is>
      </c>
      <c r="S252">
        <f>HYPERLINK("https://klasma.github.io/Logging_2309/artfynd/A 7950-2020 artfynd.xlsx", "A 7950-2020")</f>
        <v/>
      </c>
      <c r="T252">
        <f>HYPERLINK("https://klasma.github.io/Logging_2309/kartor/A 7950-2020 karta.png", "A 7950-2020")</f>
        <v/>
      </c>
      <c r="V252">
        <f>HYPERLINK("https://klasma.github.io/Logging_2309/klagomål/A 7950-2020 FSC-klagomål.docx", "A 7950-2020")</f>
        <v/>
      </c>
      <c r="W252">
        <f>HYPERLINK("https://klasma.github.io/Logging_2309/klagomålsmail/A 7950-2020 FSC-klagomål mail.docx", "A 7950-2020")</f>
        <v/>
      </c>
      <c r="X252">
        <f>HYPERLINK("https://klasma.github.io/Logging_2309/tillsyn/A 7950-2020 tillsynsbegäran.docx", "A 7950-2020")</f>
        <v/>
      </c>
      <c r="Y252">
        <f>HYPERLINK("https://klasma.github.io/Logging_2309/tillsynsmail/A 7950-2020 tillsynsbegäran mail.docx", "A 7950-2020")</f>
        <v/>
      </c>
    </row>
    <row r="253" ht="15" customHeight="1">
      <c r="A253" t="inlineStr">
        <is>
          <t>A 8934-2020</t>
        </is>
      </c>
      <c r="B253" s="1" t="n">
        <v>43878</v>
      </c>
      <c r="C253" s="1" t="n">
        <v>45730</v>
      </c>
      <c r="D253" t="inlineStr">
        <is>
          <t>JÄMTLANDS LÄN</t>
        </is>
      </c>
      <c r="E253" t="inlineStr">
        <is>
          <t>KROKOM</t>
        </is>
      </c>
      <c r="F253" t="inlineStr">
        <is>
          <t>SCA</t>
        </is>
      </c>
      <c r="G253" t="n">
        <v>2.5</v>
      </c>
      <c r="H253" t="n">
        <v>0</v>
      </c>
      <c r="I253" t="n">
        <v>0</v>
      </c>
      <c r="J253" t="n">
        <v>1</v>
      </c>
      <c r="K253" t="n">
        <v>0</v>
      </c>
      <c r="L253" t="n">
        <v>0</v>
      </c>
      <c r="M253" t="n">
        <v>0</v>
      </c>
      <c r="N253" t="n">
        <v>0</v>
      </c>
      <c r="O253" t="n">
        <v>1</v>
      </c>
      <c r="P253" t="n">
        <v>0</v>
      </c>
      <c r="Q253" t="n">
        <v>1</v>
      </c>
      <c r="R253" s="2" t="inlineStr">
        <is>
          <t>Doftskinn</t>
        </is>
      </c>
      <c r="S253">
        <f>HYPERLINK("https://klasma.github.io/Logging_2309/artfynd/A 8934-2020 artfynd.xlsx", "A 8934-2020")</f>
        <v/>
      </c>
      <c r="T253">
        <f>HYPERLINK("https://klasma.github.io/Logging_2309/kartor/A 8934-2020 karta.png", "A 8934-2020")</f>
        <v/>
      </c>
      <c r="V253">
        <f>HYPERLINK("https://klasma.github.io/Logging_2309/klagomål/A 8934-2020 FSC-klagomål.docx", "A 8934-2020")</f>
        <v/>
      </c>
      <c r="W253">
        <f>HYPERLINK("https://klasma.github.io/Logging_2309/klagomålsmail/A 8934-2020 FSC-klagomål mail.docx", "A 8934-2020")</f>
        <v/>
      </c>
      <c r="X253">
        <f>HYPERLINK("https://klasma.github.io/Logging_2309/tillsyn/A 8934-2020 tillsynsbegäran.docx", "A 8934-2020")</f>
        <v/>
      </c>
      <c r="Y253">
        <f>HYPERLINK("https://klasma.github.io/Logging_2309/tillsynsmail/A 8934-2020 tillsynsbegäran mail.docx", "A 8934-2020")</f>
        <v/>
      </c>
    </row>
    <row r="254" ht="15" customHeight="1">
      <c r="A254" t="inlineStr">
        <is>
          <t>A 14281-2020</t>
        </is>
      </c>
      <c r="B254" s="1" t="n">
        <v>43907</v>
      </c>
      <c r="C254" s="1" t="n">
        <v>45730</v>
      </c>
      <c r="D254" t="inlineStr">
        <is>
          <t>JÄMTLANDS LÄN</t>
        </is>
      </c>
      <c r="E254" t="inlineStr">
        <is>
          <t>KROKOM</t>
        </is>
      </c>
      <c r="G254" t="n">
        <v>31.3</v>
      </c>
      <c r="H254" t="n">
        <v>1</v>
      </c>
      <c r="I254" t="n">
        <v>1</v>
      </c>
      <c r="J254" t="n">
        <v>0</v>
      </c>
      <c r="K254" t="n">
        <v>0</v>
      </c>
      <c r="L254" t="n">
        <v>0</v>
      </c>
      <c r="M254" t="n">
        <v>0</v>
      </c>
      <c r="N254" t="n">
        <v>0</v>
      </c>
      <c r="O254" t="n">
        <v>0</v>
      </c>
      <c r="P254" t="n">
        <v>0</v>
      </c>
      <c r="Q254" t="n">
        <v>1</v>
      </c>
      <c r="R254" s="2" t="inlineStr">
        <is>
          <t>Tvåblad</t>
        </is>
      </c>
      <c r="S254">
        <f>HYPERLINK("https://klasma.github.io/Logging_2309/artfynd/A 14281-2020 artfynd.xlsx", "A 14281-2020")</f>
        <v/>
      </c>
      <c r="T254">
        <f>HYPERLINK("https://klasma.github.io/Logging_2309/kartor/A 14281-2020 karta.png", "A 14281-2020")</f>
        <v/>
      </c>
      <c r="V254">
        <f>HYPERLINK("https://klasma.github.io/Logging_2309/klagomål/A 14281-2020 FSC-klagomål.docx", "A 14281-2020")</f>
        <v/>
      </c>
      <c r="W254">
        <f>HYPERLINK("https://klasma.github.io/Logging_2309/klagomålsmail/A 14281-2020 FSC-klagomål mail.docx", "A 14281-2020")</f>
        <v/>
      </c>
      <c r="X254">
        <f>HYPERLINK("https://klasma.github.io/Logging_2309/tillsyn/A 14281-2020 tillsynsbegäran.docx", "A 14281-2020")</f>
        <v/>
      </c>
      <c r="Y254">
        <f>HYPERLINK("https://klasma.github.io/Logging_2309/tillsynsmail/A 14281-2020 tillsynsbegäran mail.docx", "A 14281-2020")</f>
        <v/>
      </c>
    </row>
    <row r="255" ht="15" customHeight="1">
      <c r="A255" t="inlineStr">
        <is>
          <t>A 18776-2020</t>
        </is>
      </c>
      <c r="B255" s="1" t="n">
        <v>43930</v>
      </c>
      <c r="C255" s="1" t="n">
        <v>45730</v>
      </c>
      <c r="D255" t="inlineStr">
        <is>
          <t>JÄMTLANDS LÄN</t>
        </is>
      </c>
      <c r="E255" t="inlineStr">
        <is>
          <t>KROKOM</t>
        </is>
      </c>
      <c r="G255" t="n">
        <v>5.3</v>
      </c>
      <c r="H255" t="n">
        <v>1</v>
      </c>
      <c r="I255" t="n">
        <v>0</v>
      </c>
      <c r="J255" t="n">
        <v>0</v>
      </c>
      <c r="K255" t="n">
        <v>0</v>
      </c>
      <c r="L255" t="n">
        <v>1</v>
      </c>
      <c r="M255" t="n">
        <v>0</v>
      </c>
      <c r="N255" t="n">
        <v>0</v>
      </c>
      <c r="O255" t="n">
        <v>1</v>
      </c>
      <c r="P255" t="n">
        <v>1</v>
      </c>
      <c r="Q255" t="n">
        <v>1</v>
      </c>
      <c r="R255" s="2" t="inlineStr">
        <is>
          <t>Bredgentiana</t>
        </is>
      </c>
      <c r="S255">
        <f>HYPERLINK("https://klasma.github.io/Logging_2309/artfynd/A 18776-2020 artfynd.xlsx", "A 18776-2020")</f>
        <v/>
      </c>
      <c r="T255">
        <f>HYPERLINK("https://klasma.github.io/Logging_2309/kartor/A 18776-2020 karta.png", "A 18776-2020")</f>
        <v/>
      </c>
      <c r="V255">
        <f>HYPERLINK("https://klasma.github.io/Logging_2309/klagomål/A 18776-2020 FSC-klagomål.docx", "A 18776-2020")</f>
        <v/>
      </c>
      <c r="W255">
        <f>HYPERLINK("https://klasma.github.io/Logging_2309/klagomålsmail/A 18776-2020 FSC-klagomål mail.docx", "A 18776-2020")</f>
        <v/>
      </c>
      <c r="X255">
        <f>HYPERLINK("https://klasma.github.io/Logging_2309/tillsyn/A 18776-2020 tillsynsbegäran.docx", "A 18776-2020")</f>
        <v/>
      </c>
      <c r="Y255">
        <f>HYPERLINK("https://klasma.github.io/Logging_2309/tillsynsmail/A 18776-2020 tillsynsbegäran mail.docx", "A 18776-2020")</f>
        <v/>
      </c>
    </row>
    <row r="256" ht="15" customHeight="1">
      <c r="A256" t="inlineStr">
        <is>
          <t>A 19777-2020</t>
        </is>
      </c>
      <c r="B256" s="1" t="n">
        <v>43942</v>
      </c>
      <c r="C256" s="1" t="n">
        <v>45730</v>
      </c>
      <c r="D256" t="inlineStr">
        <is>
          <t>JÄMTLANDS LÄN</t>
        </is>
      </c>
      <c r="E256" t="inlineStr">
        <is>
          <t>KROKOM</t>
        </is>
      </c>
      <c r="F256" t="inlineStr">
        <is>
          <t>Kyrkan</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19777-2020 artfynd.xlsx", "A 19777-2020")</f>
        <v/>
      </c>
      <c r="T256">
        <f>HYPERLINK("https://klasma.github.io/Logging_2309/kartor/A 19777-2020 karta.png", "A 19777-2020")</f>
        <v/>
      </c>
      <c r="V256">
        <f>HYPERLINK("https://klasma.github.io/Logging_2309/klagomål/A 19777-2020 FSC-klagomål.docx", "A 19777-2020")</f>
        <v/>
      </c>
      <c r="W256">
        <f>HYPERLINK("https://klasma.github.io/Logging_2309/klagomålsmail/A 19777-2020 FSC-klagomål mail.docx", "A 19777-2020")</f>
        <v/>
      </c>
      <c r="X256">
        <f>HYPERLINK("https://klasma.github.io/Logging_2309/tillsyn/A 19777-2020 tillsynsbegäran.docx", "A 19777-2020")</f>
        <v/>
      </c>
      <c r="Y256">
        <f>HYPERLINK("https://klasma.github.io/Logging_2309/tillsynsmail/A 19777-2020 tillsynsbegäran mail.docx", "A 19777-2020")</f>
        <v/>
      </c>
      <c r="Z256">
        <f>HYPERLINK("https://klasma.github.io/Logging_2309/fåglar/A 19777-2020 prioriterade fågelarter.docx", "A 19777-2020")</f>
        <v/>
      </c>
    </row>
    <row r="257" ht="15" customHeight="1">
      <c r="A257" t="inlineStr">
        <is>
          <t>A 21547-2020</t>
        </is>
      </c>
      <c r="B257" s="1" t="n">
        <v>43956</v>
      </c>
      <c r="C257" s="1" t="n">
        <v>45730</v>
      </c>
      <c r="D257" t="inlineStr">
        <is>
          <t>JÄMTLANDS LÄN</t>
        </is>
      </c>
      <c r="E257" t="inlineStr">
        <is>
          <t>KROKOM</t>
        </is>
      </c>
      <c r="G257" t="n">
        <v>18.4</v>
      </c>
      <c r="H257" t="n">
        <v>0</v>
      </c>
      <c r="I257" t="n">
        <v>0</v>
      </c>
      <c r="J257" t="n">
        <v>1</v>
      </c>
      <c r="K257" t="n">
        <v>0</v>
      </c>
      <c r="L257" t="n">
        <v>0</v>
      </c>
      <c r="M257" t="n">
        <v>0</v>
      </c>
      <c r="N257" t="n">
        <v>0</v>
      </c>
      <c r="O257" t="n">
        <v>1</v>
      </c>
      <c r="P257" t="n">
        <v>0</v>
      </c>
      <c r="Q257" t="n">
        <v>1</v>
      </c>
      <c r="R257" s="2" t="inlineStr">
        <is>
          <t>Gränsticka</t>
        </is>
      </c>
      <c r="S257">
        <f>HYPERLINK("https://klasma.github.io/Logging_2309/artfynd/A 21547-2020 artfynd.xlsx", "A 21547-2020")</f>
        <v/>
      </c>
      <c r="T257">
        <f>HYPERLINK("https://klasma.github.io/Logging_2309/kartor/A 21547-2020 karta.png", "A 21547-2020")</f>
        <v/>
      </c>
      <c r="V257">
        <f>HYPERLINK("https://klasma.github.io/Logging_2309/klagomål/A 21547-2020 FSC-klagomål.docx", "A 21547-2020")</f>
        <v/>
      </c>
      <c r="W257">
        <f>HYPERLINK("https://klasma.github.io/Logging_2309/klagomålsmail/A 21547-2020 FSC-klagomål mail.docx", "A 21547-2020")</f>
        <v/>
      </c>
      <c r="X257">
        <f>HYPERLINK("https://klasma.github.io/Logging_2309/tillsyn/A 21547-2020 tillsynsbegäran.docx", "A 21547-2020")</f>
        <v/>
      </c>
      <c r="Y257">
        <f>HYPERLINK("https://klasma.github.io/Logging_2309/tillsynsmail/A 21547-2020 tillsynsbegäran mail.docx", "A 21547-2020")</f>
        <v/>
      </c>
    </row>
    <row r="258" ht="15" customHeight="1">
      <c r="A258" t="inlineStr">
        <is>
          <t>A 39569-2020</t>
        </is>
      </c>
      <c r="B258" s="1" t="n">
        <v>44064</v>
      </c>
      <c r="C258" s="1" t="n">
        <v>45730</v>
      </c>
      <c r="D258" t="inlineStr">
        <is>
          <t>JÄMTLANDS LÄN</t>
        </is>
      </c>
      <c r="E258" t="inlineStr">
        <is>
          <t>KROKOM</t>
        </is>
      </c>
      <c r="G258" t="n">
        <v>1.4</v>
      </c>
      <c r="H258" t="n">
        <v>0</v>
      </c>
      <c r="I258" t="n">
        <v>0</v>
      </c>
      <c r="J258" t="n">
        <v>1</v>
      </c>
      <c r="K258" t="n">
        <v>0</v>
      </c>
      <c r="L258" t="n">
        <v>0</v>
      </c>
      <c r="M258" t="n">
        <v>0</v>
      </c>
      <c r="N258" t="n">
        <v>0</v>
      </c>
      <c r="O258" t="n">
        <v>1</v>
      </c>
      <c r="P258" t="n">
        <v>0</v>
      </c>
      <c r="Q258" t="n">
        <v>1</v>
      </c>
      <c r="R258" s="2" t="inlineStr">
        <is>
          <t>Gränsticka</t>
        </is>
      </c>
      <c r="S258">
        <f>HYPERLINK("https://klasma.github.io/Logging_2309/artfynd/A 39569-2020 artfynd.xlsx", "A 39569-2020")</f>
        <v/>
      </c>
      <c r="T258">
        <f>HYPERLINK("https://klasma.github.io/Logging_2309/kartor/A 39569-2020 karta.png", "A 39569-2020")</f>
        <v/>
      </c>
      <c r="V258">
        <f>HYPERLINK("https://klasma.github.io/Logging_2309/klagomål/A 39569-2020 FSC-klagomål.docx", "A 39569-2020")</f>
        <v/>
      </c>
      <c r="W258">
        <f>HYPERLINK("https://klasma.github.io/Logging_2309/klagomålsmail/A 39569-2020 FSC-klagomål mail.docx", "A 39569-2020")</f>
        <v/>
      </c>
      <c r="X258">
        <f>HYPERLINK("https://klasma.github.io/Logging_2309/tillsyn/A 39569-2020 tillsynsbegäran.docx", "A 39569-2020")</f>
        <v/>
      </c>
      <c r="Y258">
        <f>HYPERLINK("https://klasma.github.io/Logging_2309/tillsynsmail/A 39569-2020 tillsynsbegäran mail.docx", "A 39569-2020")</f>
        <v/>
      </c>
    </row>
    <row r="259" ht="15" customHeight="1">
      <c r="A259" t="inlineStr">
        <is>
          <t>A 42493-2020</t>
        </is>
      </c>
      <c r="B259" s="1" t="n">
        <v>44075</v>
      </c>
      <c r="C259" s="1" t="n">
        <v>45730</v>
      </c>
      <c r="D259" t="inlineStr">
        <is>
          <t>JÄMTLANDS LÄN</t>
        </is>
      </c>
      <c r="E259" t="inlineStr">
        <is>
          <t>KROKOM</t>
        </is>
      </c>
      <c r="G259" t="n">
        <v>20.6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42493-2020 artfynd.xlsx", "A 42493-2020")</f>
        <v/>
      </c>
      <c r="T259">
        <f>HYPERLINK("https://klasma.github.io/Logging_2309/kartor/A 42493-2020 karta.png", "A 42493-2020")</f>
        <v/>
      </c>
      <c r="V259">
        <f>HYPERLINK("https://klasma.github.io/Logging_2309/klagomål/A 42493-2020 FSC-klagomål.docx", "A 42493-2020")</f>
        <v/>
      </c>
      <c r="W259">
        <f>HYPERLINK("https://klasma.github.io/Logging_2309/klagomålsmail/A 42493-2020 FSC-klagomål mail.docx", "A 42493-2020")</f>
        <v/>
      </c>
      <c r="X259">
        <f>HYPERLINK("https://klasma.github.io/Logging_2309/tillsyn/A 42493-2020 tillsynsbegäran.docx", "A 42493-2020")</f>
        <v/>
      </c>
      <c r="Y259">
        <f>HYPERLINK("https://klasma.github.io/Logging_2309/tillsynsmail/A 42493-2020 tillsynsbegäran mail.docx", "A 42493-2020")</f>
        <v/>
      </c>
      <c r="Z259">
        <f>HYPERLINK("https://klasma.github.io/Logging_2309/fåglar/A 42493-2020 prioriterade fågelarter.docx", "A 42493-2020")</f>
        <v/>
      </c>
    </row>
    <row r="260" ht="15" customHeight="1">
      <c r="A260" t="inlineStr">
        <is>
          <t>A 45626-2020</t>
        </is>
      </c>
      <c r="B260" s="1" t="n">
        <v>44090</v>
      </c>
      <c r="C260" s="1" t="n">
        <v>45730</v>
      </c>
      <c r="D260" t="inlineStr">
        <is>
          <t>JÄMTLANDS LÄN</t>
        </is>
      </c>
      <c r="E260" t="inlineStr">
        <is>
          <t>KROKOM</t>
        </is>
      </c>
      <c r="G260" t="n">
        <v>1</v>
      </c>
      <c r="H260" t="n">
        <v>0</v>
      </c>
      <c r="I260" t="n">
        <v>0</v>
      </c>
      <c r="J260" t="n">
        <v>1</v>
      </c>
      <c r="K260" t="n">
        <v>0</v>
      </c>
      <c r="L260" t="n">
        <v>0</v>
      </c>
      <c r="M260" t="n">
        <v>0</v>
      </c>
      <c r="N260" t="n">
        <v>0</v>
      </c>
      <c r="O260" t="n">
        <v>1</v>
      </c>
      <c r="P260" t="n">
        <v>0</v>
      </c>
      <c r="Q260" t="n">
        <v>1</v>
      </c>
      <c r="R260" s="2" t="inlineStr">
        <is>
          <t>Dofttaggsvamp</t>
        </is>
      </c>
      <c r="S260">
        <f>HYPERLINK("https://klasma.github.io/Logging_2309/artfynd/A 45626-2020 artfynd.xlsx", "A 45626-2020")</f>
        <v/>
      </c>
      <c r="T260">
        <f>HYPERLINK("https://klasma.github.io/Logging_2309/kartor/A 45626-2020 karta.png", "A 45626-2020")</f>
        <v/>
      </c>
      <c r="V260">
        <f>HYPERLINK("https://klasma.github.io/Logging_2309/klagomål/A 45626-2020 FSC-klagomål.docx", "A 45626-2020")</f>
        <v/>
      </c>
      <c r="W260">
        <f>HYPERLINK("https://klasma.github.io/Logging_2309/klagomålsmail/A 45626-2020 FSC-klagomål mail.docx", "A 45626-2020")</f>
        <v/>
      </c>
      <c r="X260">
        <f>HYPERLINK("https://klasma.github.io/Logging_2309/tillsyn/A 45626-2020 tillsynsbegäran.docx", "A 45626-2020")</f>
        <v/>
      </c>
      <c r="Y260">
        <f>HYPERLINK("https://klasma.github.io/Logging_2309/tillsynsmail/A 45626-2020 tillsynsbegäran mail.docx", "A 45626-2020")</f>
        <v/>
      </c>
    </row>
    <row r="261" ht="15" customHeight="1">
      <c r="A261" t="inlineStr">
        <is>
          <t>A 47459-2020</t>
        </is>
      </c>
      <c r="B261" s="1" t="n">
        <v>44097</v>
      </c>
      <c r="C261" s="1" t="n">
        <v>45730</v>
      </c>
      <c r="D261" t="inlineStr">
        <is>
          <t>JÄMTLANDS LÄN</t>
        </is>
      </c>
      <c r="E261" t="inlineStr">
        <is>
          <t>KROKOM</t>
        </is>
      </c>
      <c r="F261" t="inlineStr">
        <is>
          <t>SCA</t>
        </is>
      </c>
      <c r="G261" t="n">
        <v>1.7</v>
      </c>
      <c r="H261" t="n">
        <v>0</v>
      </c>
      <c r="I261" t="n">
        <v>0</v>
      </c>
      <c r="J261" t="n">
        <v>1</v>
      </c>
      <c r="K261" t="n">
        <v>0</v>
      </c>
      <c r="L261" t="n">
        <v>0</v>
      </c>
      <c r="M261" t="n">
        <v>0</v>
      </c>
      <c r="N261" t="n">
        <v>0</v>
      </c>
      <c r="O261" t="n">
        <v>1</v>
      </c>
      <c r="P261" t="n">
        <v>0</v>
      </c>
      <c r="Q261" t="n">
        <v>1</v>
      </c>
      <c r="R261" s="2" t="inlineStr">
        <is>
          <t>Skrovellav</t>
        </is>
      </c>
      <c r="S261">
        <f>HYPERLINK("https://klasma.github.io/Logging_2309/artfynd/A 47459-2020 artfynd.xlsx", "A 47459-2020")</f>
        <v/>
      </c>
      <c r="T261">
        <f>HYPERLINK("https://klasma.github.io/Logging_2309/kartor/A 47459-2020 karta.png", "A 47459-2020")</f>
        <v/>
      </c>
      <c r="V261">
        <f>HYPERLINK("https://klasma.github.io/Logging_2309/klagomål/A 47459-2020 FSC-klagomål.docx", "A 47459-2020")</f>
        <v/>
      </c>
      <c r="W261">
        <f>HYPERLINK("https://klasma.github.io/Logging_2309/klagomålsmail/A 47459-2020 FSC-klagomål mail.docx", "A 47459-2020")</f>
        <v/>
      </c>
      <c r="X261">
        <f>HYPERLINK("https://klasma.github.io/Logging_2309/tillsyn/A 47459-2020 tillsynsbegäran.docx", "A 47459-2020")</f>
        <v/>
      </c>
      <c r="Y261">
        <f>HYPERLINK("https://klasma.github.io/Logging_2309/tillsynsmail/A 47459-2020 tillsynsbegäran mail.docx", "A 47459-2020")</f>
        <v/>
      </c>
    </row>
    <row r="262" ht="15" customHeight="1">
      <c r="A262" t="inlineStr">
        <is>
          <t>A 48863-2020</t>
        </is>
      </c>
      <c r="B262" s="1" t="n">
        <v>44099</v>
      </c>
      <c r="C262" s="1" t="n">
        <v>45730</v>
      </c>
      <c r="D262" t="inlineStr">
        <is>
          <t>JÄMTLANDS LÄN</t>
        </is>
      </c>
      <c r="E262" t="inlineStr">
        <is>
          <t>KROKOM</t>
        </is>
      </c>
      <c r="F262" t="inlineStr">
        <is>
          <t>SCA</t>
        </is>
      </c>
      <c r="G262" t="n">
        <v>7.2</v>
      </c>
      <c r="H262" t="n">
        <v>0</v>
      </c>
      <c r="I262" t="n">
        <v>0</v>
      </c>
      <c r="J262" t="n">
        <v>0</v>
      </c>
      <c r="K262" t="n">
        <v>1</v>
      </c>
      <c r="L262" t="n">
        <v>0</v>
      </c>
      <c r="M262" t="n">
        <v>0</v>
      </c>
      <c r="N262" t="n">
        <v>0</v>
      </c>
      <c r="O262" t="n">
        <v>1</v>
      </c>
      <c r="P262" t="n">
        <v>1</v>
      </c>
      <c r="Q262" t="n">
        <v>1</v>
      </c>
      <c r="R262" s="2" t="inlineStr">
        <is>
          <t>Fläckporing</t>
        </is>
      </c>
      <c r="S262">
        <f>HYPERLINK("https://klasma.github.io/Logging_2309/artfynd/A 48863-2020 artfynd.xlsx", "A 48863-2020")</f>
        <v/>
      </c>
      <c r="T262">
        <f>HYPERLINK("https://klasma.github.io/Logging_2309/kartor/A 48863-2020 karta.png", "A 48863-2020")</f>
        <v/>
      </c>
      <c r="V262">
        <f>HYPERLINK("https://klasma.github.io/Logging_2309/klagomål/A 48863-2020 FSC-klagomål.docx", "A 48863-2020")</f>
        <v/>
      </c>
      <c r="W262">
        <f>HYPERLINK("https://klasma.github.io/Logging_2309/klagomålsmail/A 48863-2020 FSC-klagomål mail.docx", "A 48863-2020")</f>
        <v/>
      </c>
      <c r="X262">
        <f>HYPERLINK("https://klasma.github.io/Logging_2309/tillsyn/A 48863-2020 tillsynsbegäran.docx", "A 48863-2020")</f>
        <v/>
      </c>
      <c r="Y262">
        <f>HYPERLINK("https://klasma.github.io/Logging_2309/tillsynsmail/A 48863-2020 tillsynsbegäran mail.docx", "A 48863-2020")</f>
        <v/>
      </c>
    </row>
    <row r="263" ht="15" customHeight="1">
      <c r="A263" t="inlineStr">
        <is>
          <t>A 56202-2020</t>
        </is>
      </c>
      <c r="B263" s="1" t="n">
        <v>44133</v>
      </c>
      <c r="C263" s="1" t="n">
        <v>45730</v>
      </c>
      <c r="D263" t="inlineStr">
        <is>
          <t>JÄMTLANDS LÄN</t>
        </is>
      </c>
      <c r="E263" t="inlineStr">
        <is>
          <t>KROKOM</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56202-2020 artfynd.xlsx", "A 56202-2020")</f>
        <v/>
      </c>
      <c r="T263">
        <f>HYPERLINK("https://klasma.github.io/Logging_2309/kartor/A 56202-2020 karta.png", "A 56202-2020")</f>
        <v/>
      </c>
      <c r="V263">
        <f>HYPERLINK("https://klasma.github.io/Logging_2309/klagomål/A 56202-2020 FSC-klagomål.docx", "A 56202-2020")</f>
        <v/>
      </c>
      <c r="W263">
        <f>HYPERLINK("https://klasma.github.io/Logging_2309/klagomålsmail/A 56202-2020 FSC-klagomål mail.docx", "A 56202-2020")</f>
        <v/>
      </c>
      <c r="X263">
        <f>HYPERLINK("https://klasma.github.io/Logging_2309/tillsyn/A 56202-2020 tillsynsbegäran.docx", "A 56202-2020")</f>
        <v/>
      </c>
      <c r="Y263">
        <f>HYPERLINK("https://klasma.github.io/Logging_2309/tillsynsmail/A 56202-2020 tillsynsbegäran mail.docx", "A 56202-2020")</f>
        <v/>
      </c>
      <c r="Z263">
        <f>HYPERLINK("https://klasma.github.io/Logging_2309/fåglar/A 56202-2020 prioriterade fågelarter.docx", "A 56202-2020")</f>
        <v/>
      </c>
    </row>
    <row r="264" ht="15" customHeight="1">
      <c r="A264" t="inlineStr">
        <is>
          <t>A 61054-2020</t>
        </is>
      </c>
      <c r="B264" s="1" t="n">
        <v>44154</v>
      </c>
      <c r="C264" s="1" t="n">
        <v>45730</v>
      </c>
      <c r="D264" t="inlineStr">
        <is>
          <t>JÄMTLANDS LÄN</t>
        </is>
      </c>
      <c r="E264" t="inlineStr">
        <is>
          <t>KROKOM</t>
        </is>
      </c>
      <c r="F264" t="inlineStr">
        <is>
          <t>Övriga Aktiebolag</t>
        </is>
      </c>
      <c r="G264" t="n">
        <v>1.2</v>
      </c>
      <c r="H264" t="n">
        <v>1</v>
      </c>
      <c r="I264" t="n">
        <v>1</v>
      </c>
      <c r="J264" t="n">
        <v>0</v>
      </c>
      <c r="K264" t="n">
        <v>0</v>
      </c>
      <c r="L264" t="n">
        <v>0</v>
      </c>
      <c r="M264" t="n">
        <v>0</v>
      </c>
      <c r="N264" t="n">
        <v>0</v>
      </c>
      <c r="O264" t="n">
        <v>0</v>
      </c>
      <c r="P264" t="n">
        <v>0</v>
      </c>
      <c r="Q264" t="n">
        <v>1</v>
      </c>
      <c r="R264" s="2" t="inlineStr">
        <is>
          <t>Korallrot</t>
        </is>
      </c>
      <c r="S264">
        <f>HYPERLINK("https://klasma.github.io/Logging_2309/artfynd/A 61054-2020 artfynd.xlsx", "A 61054-2020")</f>
        <v/>
      </c>
      <c r="T264">
        <f>HYPERLINK("https://klasma.github.io/Logging_2309/kartor/A 61054-2020 karta.png", "A 61054-2020")</f>
        <v/>
      </c>
      <c r="V264">
        <f>HYPERLINK("https://klasma.github.io/Logging_2309/klagomål/A 61054-2020 FSC-klagomål.docx", "A 61054-2020")</f>
        <v/>
      </c>
      <c r="W264">
        <f>HYPERLINK("https://klasma.github.io/Logging_2309/klagomålsmail/A 61054-2020 FSC-klagomål mail.docx", "A 61054-2020")</f>
        <v/>
      </c>
      <c r="X264">
        <f>HYPERLINK("https://klasma.github.io/Logging_2309/tillsyn/A 61054-2020 tillsynsbegäran.docx", "A 61054-2020")</f>
        <v/>
      </c>
      <c r="Y264">
        <f>HYPERLINK("https://klasma.github.io/Logging_2309/tillsynsmail/A 61054-2020 tillsynsbegäran mail.docx", "A 61054-2020")</f>
        <v/>
      </c>
    </row>
    <row r="265" ht="15" customHeight="1">
      <c r="A265" t="inlineStr">
        <is>
          <t>A 1112-2021</t>
        </is>
      </c>
      <c r="B265" s="1" t="n">
        <v>44207</v>
      </c>
      <c r="C265" s="1" t="n">
        <v>45730</v>
      </c>
      <c r="D265" t="inlineStr">
        <is>
          <t>JÄMTLANDS LÄN</t>
        </is>
      </c>
      <c r="E265" t="inlineStr">
        <is>
          <t>KROKOM</t>
        </is>
      </c>
      <c r="F265" t="inlineStr">
        <is>
          <t>Övriga Aktiebolag</t>
        </is>
      </c>
      <c r="G265" t="n">
        <v>90.7</v>
      </c>
      <c r="H265" t="n">
        <v>0</v>
      </c>
      <c r="I265" t="n">
        <v>1</v>
      </c>
      <c r="J265" t="n">
        <v>0</v>
      </c>
      <c r="K265" t="n">
        <v>0</v>
      </c>
      <c r="L265" t="n">
        <v>0</v>
      </c>
      <c r="M265" t="n">
        <v>0</v>
      </c>
      <c r="N265" t="n">
        <v>0</v>
      </c>
      <c r="O265" t="n">
        <v>0</v>
      </c>
      <c r="P265" t="n">
        <v>0</v>
      </c>
      <c r="Q265" t="n">
        <v>1</v>
      </c>
      <c r="R265" s="2" t="inlineStr">
        <is>
          <t>Kambräken</t>
        </is>
      </c>
      <c r="S265">
        <f>HYPERLINK("https://klasma.github.io/Logging_2309/artfynd/A 1112-2021 artfynd.xlsx", "A 1112-2021")</f>
        <v/>
      </c>
      <c r="T265">
        <f>HYPERLINK("https://klasma.github.io/Logging_2309/kartor/A 1112-2021 karta.png", "A 1112-2021")</f>
        <v/>
      </c>
      <c r="V265">
        <f>HYPERLINK("https://klasma.github.io/Logging_2309/klagomål/A 1112-2021 FSC-klagomål.docx", "A 1112-2021")</f>
        <v/>
      </c>
      <c r="W265">
        <f>HYPERLINK("https://klasma.github.io/Logging_2309/klagomålsmail/A 1112-2021 FSC-klagomål mail.docx", "A 1112-2021")</f>
        <v/>
      </c>
      <c r="X265">
        <f>HYPERLINK("https://klasma.github.io/Logging_2309/tillsyn/A 1112-2021 tillsynsbegäran.docx", "A 1112-2021")</f>
        <v/>
      </c>
      <c r="Y265">
        <f>HYPERLINK("https://klasma.github.io/Logging_2309/tillsynsmail/A 1112-2021 tillsynsbegäran mail.docx", "A 1112-2021")</f>
        <v/>
      </c>
    </row>
    <row r="266" ht="15" customHeight="1">
      <c r="A266" t="inlineStr">
        <is>
          <t>A 11780-2021</t>
        </is>
      </c>
      <c r="B266" s="1" t="n">
        <v>44265</v>
      </c>
      <c r="C266" s="1" t="n">
        <v>45730</v>
      </c>
      <c r="D266" t="inlineStr">
        <is>
          <t>JÄMTLANDS LÄN</t>
        </is>
      </c>
      <c r="E266" t="inlineStr">
        <is>
          <t>KROKOM</t>
        </is>
      </c>
      <c r="G266" t="n">
        <v>1.3</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11780-2021 artfynd.xlsx", "A 11780-2021")</f>
        <v/>
      </c>
      <c r="T266">
        <f>HYPERLINK("https://klasma.github.io/Logging_2309/kartor/A 11780-2021 karta.png", "A 11780-2021")</f>
        <v/>
      </c>
      <c r="V266">
        <f>HYPERLINK("https://klasma.github.io/Logging_2309/klagomål/A 11780-2021 FSC-klagomål.docx", "A 11780-2021")</f>
        <v/>
      </c>
      <c r="W266">
        <f>HYPERLINK("https://klasma.github.io/Logging_2309/klagomålsmail/A 11780-2021 FSC-klagomål mail.docx", "A 11780-2021")</f>
        <v/>
      </c>
      <c r="X266">
        <f>HYPERLINK("https://klasma.github.io/Logging_2309/tillsyn/A 11780-2021 tillsynsbegäran.docx", "A 11780-2021")</f>
        <v/>
      </c>
      <c r="Y266">
        <f>HYPERLINK("https://klasma.github.io/Logging_2309/tillsynsmail/A 11780-2021 tillsynsbegäran mail.docx", "A 11780-2021")</f>
        <v/>
      </c>
      <c r="Z266">
        <f>HYPERLINK("https://klasma.github.io/Logging_2309/fåglar/A 11780-2021 prioriterade fågelarter.docx", "A 11780-2021")</f>
        <v/>
      </c>
    </row>
    <row r="267" ht="15" customHeight="1">
      <c r="A267" t="inlineStr">
        <is>
          <t>A 19282-2021</t>
        </is>
      </c>
      <c r="B267" s="1" t="n">
        <v>44308</v>
      </c>
      <c r="C267" s="1" t="n">
        <v>45730</v>
      </c>
      <c r="D267" t="inlineStr">
        <is>
          <t>JÄMTLANDS LÄN</t>
        </is>
      </c>
      <c r="E267" t="inlineStr">
        <is>
          <t>KROKOM</t>
        </is>
      </c>
      <c r="G267" t="n">
        <v>2</v>
      </c>
      <c r="H267" t="n">
        <v>0</v>
      </c>
      <c r="I267" t="n">
        <v>0</v>
      </c>
      <c r="J267" t="n">
        <v>1</v>
      </c>
      <c r="K267" t="n">
        <v>0</v>
      </c>
      <c r="L267" t="n">
        <v>0</v>
      </c>
      <c r="M267" t="n">
        <v>0</v>
      </c>
      <c r="N267" t="n">
        <v>0</v>
      </c>
      <c r="O267" t="n">
        <v>1</v>
      </c>
      <c r="P267" t="n">
        <v>0</v>
      </c>
      <c r="Q267" t="n">
        <v>1</v>
      </c>
      <c r="R267" s="2" t="inlineStr">
        <is>
          <t>Garnlav</t>
        </is>
      </c>
      <c r="S267">
        <f>HYPERLINK("https://klasma.github.io/Logging_2309/artfynd/A 19282-2021 artfynd.xlsx", "A 19282-2021")</f>
        <v/>
      </c>
      <c r="T267">
        <f>HYPERLINK("https://klasma.github.io/Logging_2309/kartor/A 19282-2021 karta.png", "A 19282-2021")</f>
        <v/>
      </c>
      <c r="V267">
        <f>HYPERLINK("https://klasma.github.io/Logging_2309/klagomål/A 19282-2021 FSC-klagomål.docx", "A 19282-2021")</f>
        <v/>
      </c>
      <c r="W267">
        <f>HYPERLINK("https://klasma.github.io/Logging_2309/klagomålsmail/A 19282-2021 FSC-klagomål mail.docx", "A 19282-2021")</f>
        <v/>
      </c>
      <c r="X267">
        <f>HYPERLINK("https://klasma.github.io/Logging_2309/tillsyn/A 19282-2021 tillsynsbegäran.docx", "A 19282-2021")</f>
        <v/>
      </c>
      <c r="Y267">
        <f>HYPERLINK("https://klasma.github.io/Logging_2309/tillsynsmail/A 19282-2021 tillsynsbegäran mail.docx", "A 19282-2021")</f>
        <v/>
      </c>
    </row>
    <row r="268" ht="15" customHeight="1">
      <c r="A268" t="inlineStr">
        <is>
          <t>A 46787-2021</t>
        </is>
      </c>
      <c r="B268" s="1" t="n">
        <v>44445</v>
      </c>
      <c r="C268" s="1" t="n">
        <v>45730</v>
      </c>
      <c r="D268" t="inlineStr">
        <is>
          <t>JÄMTLANDS LÄN</t>
        </is>
      </c>
      <c r="E268" t="inlineStr">
        <is>
          <t>KROKOM</t>
        </is>
      </c>
      <c r="F268" t="inlineStr">
        <is>
          <t>SCA</t>
        </is>
      </c>
      <c r="G268" t="n">
        <v>4.6</v>
      </c>
      <c r="H268" t="n">
        <v>0</v>
      </c>
      <c r="I268" t="n">
        <v>0</v>
      </c>
      <c r="J268" t="n">
        <v>1</v>
      </c>
      <c r="K268" t="n">
        <v>0</v>
      </c>
      <c r="L268" t="n">
        <v>0</v>
      </c>
      <c r="M268" t="n">
        <v>0</v>
      </c>
      <c r="N268" t="n">
        <v>0</v>
      </c>
      <c r="O268" t="n">
        <v>1</v>
      </c>
      <c r="P268" t="n">
        <v>0</v>
      </c>
      <c r="Q268" t="n">
        <v>1</v>
      </c>
      <c r="R268" s="2" t="inlineStr">
        <is>
          <t>Gammelgransskål</t>
        </is>
      </c>
      <c r="S268">
        <f>HYPERLINK("https://klasma.github.io/Logging_2309/artfynd/A 46787-2021 artfynd.xlsx", "A 46787-2021")</f>
        <v/>
      </c>
      <c r="T268">
        <f>HYPERLINK("https://klasma.github.io/Logging_2309/kartor/A 46787-2021 karta.png", "A 46787-2021")</f>
        <v/>
      </c>
      <c r="V268">
        <f>HYPERLINK("https://klasma.github.io/Logging_2309/klagomål/A 46787-2021 FSC-klagomål.docx", "A 46787-2021")</f>
        <v/>
      </c>
      <c r="W268">
        <f>HYPERLINK("https://klasma.github.io/Logging_2309/klagomålsmail/A 46787-2021 FSC-klagomål mail.docx", "A 46787-2021")</f>
        <v/>
      </c>
      <c r="X268">
        <f>HYPERLINK("https://klasma.github.io/Logging_2309/tillsyn/A 46787-2021 tillsynsbegäran.docx", "A 46787-2021")</f>
        <v/>
      </c>
      <c r="Y268">
        <f>HYPERLINK("https://klasma.github.io/Logging_2309/tillsynsmail/A 46787-2021 tillsynsbegäran mail.docx", "A 46787-2021")</f>
        <v/>
      </c>
    </row>
    <row r="269" ht="15" customHeight="1">
      <c r="A269" t="inlineStr">
        <is>
          <t>A 46785-2021</t>
        </is>
      </c>
      <c r="B269" s="1" t="n">
        <v>44445</v>
      </c>
      <c r="C269" s="1" t="n">
        <v>45730</v>
      </c>
      <c r="D269" t="inlineStr">
        <is>
          <t>JÄMTLANDS LÄN</t>
        </is>
      </c>
      <c r="E269" t="inlineStr">
        <is>
          <t>KROKOM</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HYPERLINK("https://klasma.github.io/Logging_2309/artfynd/A 46785-2021 artfynd.xlsx", "A 46785-2021")</f>
        <v/>
      </c>
      <c r="T269">
        <f>HYPERLINK("https://klasma.github.io/Logging_2309/kartor/A 46785-2021 karta.png", "A 46785-2021")</f>
        <v/>
      </c>
      <c r="V269">
        <f>HYPERLINK("https://klasma.github.io/Logging_2309/klagomål/A 46785-2021 FSC-klagomål.docx", "A 46785-2021")</f>
        <v/>
      </c>
      <c r="W269">
        <f>HYPERLINK("https://klasma.github.io/Logging_2309/klagomålsmail/A 46785-2021 FSC-klagomål mail.docx", "A 46785-2021")</f>
        <v/>
      </c>
      <c r="X269">
        <f>HYPERLINK("https://klasma.github.io/Logging_2309/tillsyn/A 46785-2021 tillsynsbegäran.docx", "A 46785-2021")</f>
        <v/>
      </c>
      <c r="Y269">
        <f>HYPERLINK("https://klasma.github.io/Logging_2309/tillsynsmail/A 46785-2021 tillsynsbegäran mail.docx", "A 46785-2021")</f>
        <v/>
      </c>
    </row>
    <row r="270" ht="15" customHeight="1">
      <c r="A270" t="inlineStr">
        <is>
          <t>A 60006-2021</t>
        </is>
      </c>
      <c r="B270" s="1" t="n">
        <v>44494</v>
      </c>
      <c r="C270" s="1" t="n">
        <v>45730</v>
      </c>
      <c r="D270" t="inlineStr">
        <is>
          <t>JÄMTLANDS LÄN</t>
        </is>
      </c>
      <c r="E270" t="inlineStr">
        <is>
          <t>KROKOM</t>
        </is>
      </c>
      <c r="F270" t="inlineStr">
        <is>
          <t>SCA</t>
        </is>
      </c>
      <c r="G270" t="n">
        <v>7.5</v>
      </c>
      <c r="H270" t="n">
        <v>0</v>
      </c>
      <c r="I270" t="n">
        <v>0</v>
      </c>
      <c r="J270" t="n">
        <v>1</v>
      </c>
      <c r="K270" t="n">
        <v>0</v>
      </c>
      <c r="L270" t="n">
        <v>0</v>
      </c>
      <c r="M270" t="n">
        <v>0</v>
      </c>
      <c r="N270" t="n">
        <v>0</v>
      </c>
      <c r="O270" t="n">
        <v>1</v>
      </c>
      <c r="P270" t="n">
        <v>0</v>
      </c>
      <c r="Q270" t="n">
        <v>1</v>
      </c>
      <c r="R270" s="2" t="inlineStr">
        <is>
          <t>Flattoppad klubbsvamp</t>
        </is>
      </c>
      <c r="S270">
        <f>HYPERLINK("https://klasma.github.io/Logging_2309/artfynd/A 60006-2021 artfynd.xlsx", "A 60006-2021")</f>
        <v/>
      </c>
      <c r="T270">
        <f>HYPERLINK("https://klasma.github.io/Logging_2309/kartor/A 60006-2021 karta.png", "A 60006-2021")</f>
        <v/>
      </c>
      <c r="V270">
        <f>HYPERLINK("https://klasma.github.io/Logging_2309/klagomål/A 60006-2021 FSC-klagomål.docx", "A 60006-2021")</f>
        <v/>
      </c>
      <c r="W270">
        <f>HYPERLINK("https://klasma.github.io/Logging_2309/klagomålsmail/A 60006-2021 FSC-klagomål mail.docx", "A 60006-2021")</f>
        <v/>
      </c>
      <c r="X270">
        <f>HYPERLINK("https://klasma.github.io/Logging_2309/tillsyn/A 60006-2021 tillsynsbegäran.docx", "A 60006-2021")</f>
        <v/>
      </c>
      <c r="Y270">
        <f>HYPERLINK("https://klasma.github.io/Logging_2309/tillsynsmail/A 60006-2021 tillsynsbegäran mail.docx", "A 60006-2021")</f>
        <v/>
      </c>
    </row>
    <row r="271" ht="15" customHeight="1">
      <c r="A271" t="inlineStr">
        <is>
          <t>A 64301-2021</t>
        </is>
      </c>
      <c r="B271" s="1" t="n">
        <v>44510</v>
      </c>
      <c r="C271" s="1" t="n">
        <v>45730</v>
      </c>
      <c r="D271" t="inlineStr">
        <is>
          <t>JÄMTLANDS LÄN</t>
        </is>
      </c>
      <c r="E271" t="inlineStr">
        <is>
          <t>KROKOM</t>
        </is>
      </c>
      <c r="G271" t="n">
        <v>3.3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64301-2021 artfynd.xlsx", "A 64301-2021")</f>
        <v/>
      </c>
      <c r="T271">
        <f>HYPERLINK("https://klasma.github.io/Logging_2309/kartor/A 64301-2021 karta.png", "A 64301-2021")</f>
        <v/>
      </c>
      <c r="V271">
        <f>HYPERLINK("https://klasma.github.io/Logging_2309/klagomål/A 64301-2021 FSC-klagomål.docx", "A 64301-2021")</f>
        <v/>
      </c>
      <c r="W271">
        <f>HYPERLINK("https://klasma.github.io/Logging_2309/klagomålsmail/A 64301-2021 FSC-klagomål mail.docx", "A 64301-2021")</f>
        <v/>
      </c>
      <c r="X271">
        <f>HYPERLINK("https://klasma.github.io/Logging_2309/tillsyn/A 64301-2021 tillsynsbegäran.docx", "A 64301-2021")</f>
        <v/>
      </c>
      <c r="Y271">
        <f>HYPERLINK("https://klasma.github.io/Logging_2309/tillsynsmail/A 64301-2021 tillsynsbegäran mail.docx", "A 64301-2021")</f>
        <v/>
      </c>
      <c r="Z271">
        <f>HYPERLINK("https://klasma.github.io/Logging_2309/fåglar/A 64301-2021 prioriterade fågelarter.docx", "A 64301-2021")</f>
        <v/>
      </c>
    </row>
    <row r="272" ht="15" customHeight="1">
      <c r="A272" t="inlineStr">
        <is>
          <t>A 64951-2021</t>
        </is>
      </c>
      <c r="B272" s="1" t="n">
        <v>44512</v>
      </c>
      <c r="C272" s="1" t="n">
        <v>45730</v>
      </c>
      <c r="D272" t="inlineStr">
        <is>
          <t>JÄMTLANDS LÄN</t>
        </is>
      </c>
      <c r="E272" t="inlineStr">
        <is>
          <t>KROKOM</t>
        </is>
      </c>
      <c r="F272" t="inlineStr">
        <is>
          <t>SCA</t>
        </is>
      </c>
      <c r="G272" t="n">
        <v>2.5</v>
      </c>
      <c r="H272" t="n">
        <v>0</v>
      </c>
      <c r="I272" t="n">
        <v>1</v>
      </c>
      <c r="J272" t="n">
        <v>0</v>
      </c>
      <c r="K272" t="n">
        <v>0</v>
      </c>
      <c r="L272" t="n">
        <v>0</v>
      </c>
      <c r="M272" t="n">
        <v>0</v>
      </c>
      <c r="N272" t="n">
        <v>0</v>
      </c>
      <c r="O272" t="n">
        <v>0</v>
      </c>
      <c r="P272" t="n">
        <v>0</v>
      </c>
      <c r="Q272" t="n">
        <v>1</v>
      </c>
      <c r="R272" s="2" t="inlineStr">
        <is>
          <t>Kransrams</t>
        </is>
      </c>
      <c r="S272">
        <f>HYPERLINK("https://klasma.github.io/Logging_2309/artfynd/A 64951-2021 artfynd.xlsx", "A 64951-2021")</f>
        <v/>
      </c>
      <c r="T272">
        <f>HYPERLINK("https://klasma.github.io/Logging_2309/kartor/A 64951-2021 karta.png", "A 64951-2021")</f>
        <v/>
      </c>
      <c r="V272">
        <f>HYPERLINK("https://klasma.github.io/Logging_2309/klagomål/A 64951-2021 FSC-klagomål.docx", "A 64951-2021")</f>
        <v/>
      </c>
      <c r="W272">
        <f>HYPERLINK("https://klasma.github.io/Logging_2309/klagomålsmail/A 64951-2021 FSC-klagomål mail.docx", "A 64951-2021")</f>
        <v/>
      </c>
      <c r="X272">
        <f>HYPERLINK("https://klasma.github.io/Logging_2309/tillsyn/A 64951-2021 tillsynsbegäran.docx", "A 64951-2021")</f>
        <v/>
      </c>
      <c r="Y272">
        <f>HYPERLINK("https://klasma.github.io/Logging_2309/tillsynsmail/A 64951-2021 tillsynsbegäran mail.docx", "A 64951-2021")</f>
        <v/>
      </c>
    </row>
    <row r="273" ht="15" customHeight="1">
      <c r="A273" t="inlineStr">
        <is>
          <t>A 64968-2021</t>
        </is>
      </c>
      <c r="B273" s="1" t="n">
        <v>44512</v>
      </c>
      <c r="C273" s="1" t="n">
        <v>45730</v>
      </c>
      <c r="D273" t="inlineStr">
        <is>
          <t>JÄMTLANDS LÄN</t>
        </is>
      </c>
      <c r="E273" t="inlineStr">
        <is>
          <t>KROKOM</t>
        </is>
      </c>
      <c r="F273" t="inlineStr">
        <is>
          <t>SCA</t>
        </is>
      </c>
      <c r="G273" t="n">
        <v>3.2</v>
      </c>
      <c r="H273" t="n">
        <v>0</v>
      </c>
      <c r="I273" t="n">
        <v>0</v>
      </c>
      <c r="J273" t="n">
        <v>1</v>
      </c>
      <c r="K273" t="n">
        <v>0</v>
      </c>
      <c r="L273" t="n">
        <v>0</v>
      </c>
      <c r="M273" t="n">
        <v>0</v>
      </c>
      <c r="N273" t="n">
        <v>0</v>
      </c>
      <c r="O273" t="n">
        <v>1</v>
      </c>
      <c r="P273" t="n">
        <v>0</v>
      </c>
      <c r="Q273" t="n">
        <v>1</v>
      </c>
      <c r="R273" s="2" t="inlineStr">
        <is>
          <t>Skrovellav</t>
        </is>
      </c>
      <c r="S273">
        <f>HYPERLINK("https://klasma.github.io/Logging_2309/artfynd/A 64968-2021 artfynd.xlsx", "A 64968-2021")</f>
        <v/>
      </c>
      <c r="T273">
        <f>HYPERLINK("https://klasma.github.io/Logging_2309/kartor/A 64968-2021 karta.png", "A 64968-2021")</f>
        <v/>
      </c>
      <c r="V273">
        <f>HYPERLINK("https://klasma.github.io/Logging_2309/klagomål/A 64968-2021 FSC-klagomål.docx", "A 64968-2021")</f>
        <v/>
      </c>
      <c r="W273">
        <f>HYPERLINK("https://klasma.github.io/Logging_2309/klagomålsmail/A 64968-2021 FSC-klagomål mail.docx", "A 64968-2021")</f>
        <v/>
      </c>
      <c r="X273">
        <f>HYPERLINK("https://klasma.github.io/Logging_2309/tillsyn/A 64968-2021 tillsynsbegäran.docx", "A 64968-2021")</f>
        <v/>
      </c>
      <c r="Y273">
        <f>HYPERLINK("https://klasma.github.io/Logging_2309/tillsynsmail/A 64968-2021 tillsynsbegäran mail.docx", "A 64968-2021")</f>
        <v/>
      </c>
    </row>
    <row r="274" ht="15" customHeight="1">
      <c r="A274" t="inlineStr">
        <is>
          <t>A 67701-2021</t>
        </is>
      </c>
      <c r="B274" s="1" t="n">
        <v>44524</v>
      </c>
      <c r="C274" s="1" t="n">
        <v>45730</v>
      </c>
      <c r="D274" t="inlineStr">
        <is>
          <t>JÄMTLANDS LÄN</t>
        </is>
      </c>
      <c r="E274" t="inlineStr">
        <is>
          <t>KROKOM</t>
        </is>
      </c>
      <c r="F274" t="inlineStr">
        <is>
          <t>SCA</t>
        </is>
      </c>
      <c r="G274" t="n">
        <v>3.1</v>
      </c>
      <c r="H274" t="n">
        <v>0</v>
      </c>
      <c r="I274" t="n">
        <v>1</v>
      </c>
      <c r="J274" t="n">
        <v>0</v>
      </c>
      <c r="K274" t="n">
        <v>0</v>
      </c>
      <c r="L274" t="n">
        <v>0</v>
      </c>
      <c r="M274" t="n">
        <v>0</v>
      </c>
      <c r="N274" t="n">
        <v>0</v>
      </c>
      <c r="O274" t="n">
        <v>0</v>
      </c>
      <c r="P274" t="n">
        <v>0</v>
      </c>
      <c r="Q274" t="n">
        <v>1</v>
      </c>
      <c r="R274" s="2" t="inlineStr">
        <is>
          <t>Trådticka</t>
        </is>
      </c>
      <c r="S274">
        <f>HYPERLINK("https://klasma.github.io/Logging_2309/artfynd/A 67701-2021 artfynd.xlsx", "A 67701-2021")</f>
        <v/>
      </c>
      <c r="T274">
        <f>HYPERLINK("https://klasma.github.io/Logging_2309/kartor/A 67701-2021 karta.png", "A 67701-2021")</f>
        <v/>
      </c>
      <c r="V274">
        <f>HYPERLINK("https://klasma.github.io/Logging_2309/klagomål/A 67701-2021 FSC-klagomål.docx", "A 67701-2021")</f>
        <v/>
      </c>
      <c r="W274">
        <f>HYPERLINK("https://klasma.github.io/Logging_2309/klagomålsmail/A 67701-2021 FSC-klagomål mail.docx", "A 67701-2021")</f>
        <v/>
      </c>
      <c r="X274">
        <f>HYPERLINK("https://klasma.github.io/Logging_2309/tillsyn/A 67701-2021 tillsynsbegäran.docx", "A 67701-2021")</f>
        <v/>
      </c>
      <c r="Y274">
        <f>HYPERLINK("https://klasma.github.io/Logging_2309/tillsynsmail/A 67701-2021 tillsynsbegäran mail.docx", "A 67701-2021")</f>
        <v/>
      </c>
    </row>
    <row r="275" ht="15" customHeight="1">
      <c r="A275" t="inlineStr">
        <is>
          <t>A 69137-2021</t>
        </is>
      </c>
      <c r="B275" s="1" t="n">
        <v>44530</v>
      </c>
      <c r="C275" s="1" t="n">
        <v>45730</v>
      </c>
      <c r="D275" t="inlineStr">
        <is>
          <t>JÄMTLANDS LÄN</t>
        </is>
      </c>
      <c r="E275" t="inlineStr">
        <is>
          <t>KROKOM</t>
        </is>
      </c>
      <c r="F275" t="inlineStr">
        <is>
          <t>SCA</t>
        </is>
      </c>
      <c r="G275" t="n">
        <v>30.5</v>
      </c>
      <c r="H275" t="n">
        <v>0</v>
      </c>
      <c r="I275" t="n">
        <v>0</v>
      </c>
      <c r="J275" t="n">
        <v>1</v>
      </c>
      <c r="K275" t="n">
        <v>0</v>
      </c>
      <c r="L275" t="n">
        <v>0</v>
      </c>
      <c r="M275" t="n">
        <v>0</v>
      </c>
      <c r="N275" t="n">
        <v>0</v>
      </c>
      <c r="O275" t="n">
        <v>1</v>
      </c>
      <c r="P275" t="n">
        <v>0</v>
      </c>
      <c r="Q275" t="n">
        <v>1</v>
      </c>
      <c r="R275" s="2" t="inlineStr">
        <is>
          <t>Garnlav</t>
        </is>
      </c>
      <c r="S275">
        <f>HYPERLINK("https://klasma.github.io/Logging_2309/artfynd/A 69137-2021 artfynd.xlsx", "A 69137-2021")</f>
        <v/>
      </c>
      <c r="T275">
        <f>HYPERLINK("https://klasma.github.io/Logging_2309/kartor/A 69137-2021 karta.png", "A 69137-2021")</f>
        <v/>
      </c>
      <c r="V275">
        <f>HYPERLINK("https://klasma.github.io/Logging_2309/klagomål/A 69137-2021 FSC-klagomål.docx", "A 69137-2021")</f>
        <v/>
      </c>
      <c r="W275">
        <f>HYPERLINK("https://klasma.github.io/Logging_2309/klagomålsmail/A 69137-2021 FSC-klagomål mail.docx", "A 69137-2021")</f>
        <v/>
      </c>
      <c r="X275">
        <f>HYPERLINK("https://klasma.github.io/Logging_2309/tillsyn/A 69137-2021 tillsynsbegäran.docx", "A 69137-2021")</f>
        <v/>
      </c>
      <c r="Y275">
        <f>HYPERLINK("https://klasma.github.io/Logging_2309/tillsynsmail/A 69137-2021 tillsynsbegäran mail.docx", "A 69137-2021")</f>
        <v/>
      </c>
    </row>
    <row r="276" ht="15" customHeight="1">
      <c r="A276" t="inlineStr">
        <is>
          <t>A 71575-2021</t>
        </is>
      </c>
      <c r="B276" s="1" t="n">
        <v>44540</v>
      </c>
      <c r="C276" s="1" t="n">
        <v>45730</v>
      </c>
      <c r="D276" t="inlineStr">
        <is>
          <t>JÄMTLANDS LÄN</t>
        </is>
      </c>
      <c r="E276" t="inlineStr">
        <is>
          <t>KROKOM</t>
        </is>
      </c>
      <c r="G276" t="n">
        <v>0.9</v>
      </c>
      <c r="H276" t="n">
        <v>0</v>
      </c>
      <c r="I276" t="n">
        <v>0</v>
      </c>
      <c r="J276" t="n">
        <v>1</v>
      </c>
      <c r="K276" t="n">
        <v>0</v>
      </c>
      <c r="L276" t="n">
        <v>0</v>
      </c>
      <c r="M276" t="n">
        <v>0</v>
      </c>
      <c r="N276" t="n">
        <v>0</v>
      </c>
      <c r="O276" t="n">
        <v>1</v>
      </c>
      <c r="P276" t="n">
        <v>0</v>
      </c>
      <c r="Q276" t="n">
        <v>1</v>
      </c>
      <c r="R276" s="2" t="inlineStr">
        <is>
          <t>Gultoppig fingersvamp</t>
        </is>
      </c>
      <c r="S276">
        <f>HYPERLINK("https://klasma.github.io/Logging_2309/artfynd/A 71575-2021 artfynd.xlsx", "A 71575-2021")</f>
        <v/>
      </c>
      <c r="T276">
        <f>HYPERLINK("https://klasma.github.io/Logging_2309/kartor/A 71575-2021 karta.png", "A 71575-2021")</f>
        <v/>
      </c>
      <c r="V276">
        <f>HYPERLINK("https://klasma.github.io/Logging_2309/klagomål/A 71575-2021 FSC-klagomål.docx", "A 71575-2021")</f>
        <v/>
      </c>
      <c r="W276">
        <f>HYPERLINK("https://klasma.github.io/Logging_2309/klagomålsmail/A 71575-2021 FSC-klagomål mail.docx", "A 71575-2021")</f>
        <v/>
      </c>
      <c r="X276">
        <f>HYPERLINK("https://klasma.github.io/Logging_2309/tillsyn/A 71575-2021 tillsynsbegäran.docx", "A 71575-2021")</f>
        <v/>
      </c>
      <c r="Y276">
        <f>HYPERLINK("https://klasma.github.io/Logging_2309/tillsynsmail/A 71575-2021 tillsynsbegäran mail.docx", "A 71575-2021")</f>
        <v/>
      </c>
    </row>
    <row r="277" ht="15" customHeight="1">
      <c r="A277" t="inlineStr">
        <is>
          <t>A 71574-2021</t>
        </is>
      </c>
      <c r="B277" s="1" t="n">
        <v>44540</v>
      </c>
      <c r="C277" s="1" t="n">
        <v>45730</v>
      </c>
      <c r="D277" t="inlineStr">
        <is>
          <t>JÄMTLANDS LÄN</t>
        </is>
      </c>
      <c r="E277" t="inlineStr">
        <is>
          <t>KROKOM</t>
        </is>
      </c>
      <c r="G277" t="n">
        <v>1.1</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71574-2021 artfynd.xlsx", "A 71574-2021")</f>
        <v/>
      </c>
      <c r="T277">
        <f>HYPERLINK("https://klasma.github.io/Logging_2309/kartor/A 71574-2021 karta.png", "A 71574-2021")</f>
        <v/>
      </c>
      <c r="V277">
        <f>HYPERLINK("https://klasma.github.io/Logging_2309/klagomål/A 71574-2021 FSC-klagomål.docx", "A 71574-2021")</f>
        <v/>
      </c>
      <c r="W277">
        <f>HYPERLINK("https://klasma.github.io/Logging_2309/klagomålsmail/A 71574-2021 FSC-klagomål mail.docx", "A 71574-2021")</f>
        <v/>
      </c>
      <c r="X277">
        <f>HYPERLINK("https://klasma.github.io/Logging_2309/tillsyn/A 71574-2021 tillsynsbegäran.docx", "A 71574-2021")</f>
        <v/>
      </c>
      <c r="Y277">
        <f>HYPERLINK("https://klasma.github.io/Logging_2309/tillsynsmail/A 71574-2021 tillsynsbegäran mail.docx", "A 71574-2021")</f>
        <v/>
      </c>
    </row>
    <row r="278" ht="15" customHeight="1">
      <c r="A278" t="inlineStr">
        <is>
          <t>A 806-2022</t>
        </is>
      </c>
      <c r="B278" s="1" t="n">
        <v>44568</v>
      </c>
      <c r="C278" s="1" t="n">
        <v>45730</v>
      </c>
      <c r="D278" t="inlineStr">
        <is>
          <t>JÄMTLANDS LÄN</t>
        </is>
      </c>
      <c r="E278" t="inlineStr">
        <is>
          <t>KROKOM</t>
        </is>
      </c>
      <c r="G278" t="n">
        <v>46.8</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806-2022 artfynd.xlsx", "A 806-2022")</f>
        <v/>
      </c>
      <c r="T278">
        <f>HYPERLINK("https://klasma.github.io/Logging_2309/kartor/A 806-2022 karta.png", "A 806-2022")</f>
        <v/>
      </c>
      <c r="V278">
        <f>HYPERLINK("https://klasma.github.io/Logging_2309/klagomål/A 806-2022 FSC-klagomål.docx", "A 806-2022")</f>
        <v/>
      </c>
      <c r="W278">
        <f>HYPERLINK("https://klasma.github.io/Logging_2309/klagomålsmail/A 806-2022 FSC-klagomål mail.docx", "A 806-2022")</f>
        <v/>
      </c>
      <c r="X278">
        <f>HYPERLINK("https://klasma.github.io/Logging_2309/tillsyn/A 806-2022 tillsynsbegäran.docx", "A 806-2022")</f>
        <v/>
      </c>
      <c r="Y278">
        <f>HYPERLINK("https://klasma.github.io/Logging_2309/tillsynsmail/A 806-2022 tillsynsbegäran mail.docx", "A 806-2022")</f>
        <v/>
      </c>
      <c r="Z278">
        <f>HYPERLINK("https://klasma.github.io/Logging_2309/fåglar/A 806-2022 prioriterade fågelarter.docx", "A 806-2022")</f>
        <v/>
      </c>
    </row>
    <row r="279" ht="15" customHeight="1">
      <c r="A279" t="inlineStr">
        <is>
          <t>A 814-2022</t>
        </is>
      </c>
      <c r="B279" s="1" t="n">
        <v>44568</v>
      </c>
      <c r="C279" s="1" t="n">
        <v>45730</v>
      </c>
      <c r="D279" t="inlineStr">
        <is>
          <t>JÄMTLANDS LÄN</t>
        </is>
      </c>
      <c r="E279" t="inlineStr">
        <is>
          <t>KROKOM</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814-2022 artfynd.xlsx", "A 814-2022")</f>
        <v/>
      </c>
      <c r="T279">
        <f>HYPERLINK("https://klasma.github.io/Logging_2309/kartor/A 814-2022 karta.png", "A 814-2022")</f>
        <v/>
      </c>
      <c r="V279">
        <f>HYPERLINK("https://klasma.github.io/Logging_2309/klagomål/A 814-2022 FSC-klagomål.docx", "A 814-2022")</f>
        <v/>
      </c>
      <c r="W279">
        <f>HYPERLINK("https://klasma.github.io/Logging_2309/klagomålsmail/A 814-2022 FSC-klagomål mail.docx", "A 814-2022")</f>
        <v/>
      </c>
      <c r="X279">
        <f>HYPERLINK("https://klasma.github.io/Logging_2309/tillsyn/A 814-2022 tillsynsbegäran.docx", "A 814-2022")</f>
        <v/>
      </c>
      <c r="Y279">
        <f>HYPERLINK("https://klasma.github.io/Logging_2309/tillsynsmail/A 814-2022 tillsynsbegäran mail.docx", "A 814-2022")</f>
        <v/>
      </c>
      <c r="Z279">
        <f>HYPERLINK("https://klasma.github.io/Logging_2309/fåglar/A 814-2022 prioriterade fågelarter.docx", "A 814-2022")</f>
        <v/>
      </c>
    </row>
    <row r="280" ht="15" customHeight="1">
      <c r="A280" t="inlineStr">
        <is>
          <t>A 804-2022</t>
        </is>
      </c>
      <c r="B280" s="1" t="n">
        <v>44568</v>
      </c>
      <c r="C280" s="1" t="n">
        <v>45730</v>
      </c>
      <c r="D280" t="inlineStr">
        <is>
          <t>JÄMTLANDS LÄN</t>
        </is>
      </c>
      <c r="E280" t="inlineStr">
        <is>
          <t>KROKOM</t>
        </is>
      </c>
      <c r="G280" t="n">
        <v>20</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804-2022 artfynd.xlsx", "A 804-2022")</f>
        <v/>
      </c>
      <c r="T280">
        <f>HYPERLINK("https://klasma.github.io/Logging_2309/kartor/A 804-2022 karta.png", "A 804-2022")</f>
        <v/>
      </c>
      <c r="V280">
        <f>HYPERLINK("https://klasma.github.io/Logging_2309/klagomål/A 804-2022 FSC-klagomål.docx", "A 804-2022")</f>
        <v/>
      </c>
      <c r="W280">
        <f>HYPERLINK("https://klasma.github.io/Logging_2309/klagomålsmail/A 804-2022 FSC-klagomål mail.docx", "A 804-2022")</f>
        <v/>
      </c>
      <c r="X280">
        <f>HYPERLINK("https://klasma.github.io/Logging_2309/tillsyn/A 804-2022 tillsynsbegäran.docx", "A 804-2022")</f>
        <v/>
      </c>
      <c r="Y280">
        <f>HYPERLINK("https://klasma.github.io/Logging_2309/tillsynsmail/A 804-2022 tillsynsbegäran mail.docx", "A 804-2022")</f>
        <v/>
      </c>
      <c r="Z280">
        <f>HYPERLINK("https://klasma.github.io/Logging_2309/fåglar/A 804-2022 prioriterade fågelarter.docx", "A 804-2022")</f>
        <v/>
      </c>
    </row>
    <row r="281" ht="15" customHeight="1">
      <c r="A281" t="inlineStr">
        <is>
          <t>A 7005-2022</t>
        </is>
      </c>
      <c r="B281" s="1" t="n">
        <v>44603</v>
      </c>
      <c r="C281" s="1" t="n">
        <v>45730</v>
      </c>
      <c r="D281" t="inlineStr">
        <is>
          <t>JÄMTLANDS LÄN</t>
        </is>
      </c>
      <c r="E281" t="inlineStr">
        <is>
          <t>KROKOM</t>
        </is>
      </c>
      <c r="G281" t="n">
        <v>46</v>
      </c>
      <c r="H281" t="n">
        <v>0</v>
      </c>
      <c r="I281" t="n">
        <v>1</v>
      </c>
      <c r="J281" t="n">
        <v>0</v>
      </c>
      <c r="K281" t="n">
        <v>0</v>
      </c>
      <c r="L281" t="n">
        <v>0</v>
      </c>
      <c r="M281" t="n">
        <v>0</v>
      </c>
      <c r="N281" t="n">
        <v>0</v>
      </c>
      <c r="O281" t="n">
        <v>0</v>
      </c>
      <c r="P281" t="n">
        <v>0</v>
      </c>
      <c r="Q281" t="n">
        <v>1</v>
      </c>
      <c r="R281" s="2" t="inlineStr">
        <is>
          <t>Stuplav</t>
        </is>
      </c>
      <c r="S281">
        <f>HYPERLINK("https://klasma.github.io/Logging_2309/artfynd/A 7005-2022 artfynd.xlsx", "A 7005-2022")</f>
        <v/>
      </c>
      <c r="T281">
        <f>HYPERLINK("https://klasma.github.io/Logging_2309/kartor/A 7005-2022 karta.png", "A 7005-2022")</f>
        <v/>
      </c>
      <c r="V281">
        <f>HYPERLINK("https://klasma.github.io/Logging_2309/klagomål/A 7005-2022 FSC-klagomål.docx", "A 7005-2022")</f>
        <v/>
      </c>
      <c r="W281">
        <f>HYPERLINK("https://klasma.github.io/Logging_2309/klagomålsmail/A 7005-2022 FSC-klagomål mail.docx", "A 7005-2022")</f>
        <v/>
      </c>
      <c r="X281">
        <f>HYPERLINK("https://klasma.github.io/Logging_2309/tillsyn/A 7005-2022 tillsynsbegäran.docx", "A 7005-2022")</f>
        <v/>
      </c>
      <c r="Y281">
        <f>HYPERLINK("https://klasma.github.io/Logging_2309/tillsynsmail/A 7005-2022 tillsynsbegäran mail.docx", "A 7005-2022")</f>
        <v/>
      </c>
    </row>
    <row r="282" ht="15" customHeight="1">
      <c r="A282" t="inlineStr">
        <is>
          <t>A 18032-2022</t>
        </is>
      </c>
      <c r="B282" s="1" t="n">
        <v>44683</v>
      </c>
      <c r="C282" s="1" t="n">
        <v>45730</v>
      </c>
      <c r="D282" t="inlineStr">
        <is>
          <t>JÄMTLANDS LÄN</t>
        </is>
      </c>
      <c r="E282" t="inlineStr">
        <is>
          <t>KROKOM</t>
        </is>
      </c>
      <c r="G282" t="n">
        <v>15.8</v>
      </c>
      <c r="H282" t="n">
        <v>0</v>
      </c>
      <c r="I282" t="n">
        <v>0</v>
      </c>
      <c r="J282" t="n">
        <v>1</v>
      </c>
      <c r="K282" t="n">
        <v>0</v>
      </c>
      <c r="L282" t="n">
        <v>0</v>
      </c>
      <c r="M282" t="n">
        <v>0</v>
      </c>
      <c r="N282" t="n">
        <v>0</v>
      </c>
      <c r="O282" t="n">
        <v>1</v>
      </c>
      <c r="P282" t="n">
        <v>0</v>
      </c>
      <c r="Q282" t="n">
        <v>1</v>
      </c>
      <c r="R282" s="2" t="inlineStr">
        <is>
          <t>Brunklöver</t>
        </is>
      </c>
      <c r="S282">
        <f>HYPERLINK("https://klasma.github.io/Logging_2309/artfynd/A 18032-2022 artfynd.xlsx", "A 18032-2022")</f>
        <v/>
      </c>
      <c r="T282">
        <f>HYPERLINK("https://klasma.github.io/Logging_2309/kartor/A 18032-2022 karta.png", "A 18032-2022")</f>
        <v/>
      </c>
      <c r="V282">
        <f>HYPERLINK("https://klasma.github.io/Logging_2309/klagomål/A 18032-2022 FSC-klagomål.docx", "A 18032-2022")</f>
        <v/>
      </c>
      <c r="W282">
        <f>HYPERLINK("https://klasma.github.io/Logging_2309/klagomålsmail/A 18032-2022 FSC-klagomål mail.docx", "A 18032-2022")</f>
        <v/>
      </c>
      <c r="X282">
        <f>HYPERLINK("https://klasma.github.io/Logging_2309/tillsyn/A 18032-2022 tillsynsbegäran.docx", "A 18032-2022")</f>
        <v/>
      </c>
      <c r="Y282">
        <f>HYPERLINK("https://klasma.github.io/Logging_2309/tillsynsmail/A 18032-2022 tillsynsbegäran mail.docx", "A 18032-2022")</f>
        <v/>
      </c>
    </row>
    <row r="283" ht="15" customHeight="1">
      <c r="A283" t="inlineStr">
        <is>
          <t>A 25041-2022</t>
        </is>
      </c>
      <c r="B283" s="1" t="n">
        <v>44728</v>
      </c>
      <c r="C283" s="1" t="n">
        <v>45730</v>
      </c>
      <c r="D283" t="inlineStr">
        <is>
          <t>JÄMTLANDS LÄN</t>
        </is>
      </c>
      <c r="E283" t="inlineStr">
        <is>
          <t>KROKOM</t>
        </is>
      </c>
      <c r="F283" t="inlineStr">
        <is>
          <t>SCA</t>
        </is>
      </c>
      <c r="G283" t="n">
        <v>5.5</v>
      </c>
      <c r="H283" t="n">
        <v>0</v>
      </c>
      <c r="I283" t="n">
        <v>0</v>
      </c>
      <c r="J283" t="n">
        <v>1</v>
      </c>
      <c r="K283" t="n">
        <v>0</v>
      </c>
      <c r="L283" t="n">
        <v>0</v>
      </c>
      <c r="M283" t="n">
        <v>0</v>
      </c>
      <c r="N283" t="n">
        <v>0</v>
      </c>
      <c r="O283" t="n">
        <v>1</v>
      </c>
      <c r="P283" t="n">
        <v>0</v>
      </c>
      <c r="Q283" t="n">
        <v>1</v>
      </c>
      <c r="R283" s="2" t="inlineStr">
        <is>
          <t>Harticka</t>
        </is>
      </c>
      <c r="S283">
        <f>HYPERLINK("https://klasma.github.io/Logging_2309/artfynd/A 25041-2022 artfynd.xlsx", "A 25041-2022")</f>
        <v/>
      </c>
      <c r="T283">
        <f>HYPERLINK("https://klasma.github.io/Logging_2309/kartor/A 25041-2022 karta.png", "A 25041-2022")</f>
        <v/>
      </c>
      <c r="V283">
        <f>HYPERLINK("https://klasma.github.io/Logging_2309/klagomål/A 25041-2022 FSC-klagomål.docx", "A 25041-2022")</f>
        <v/>
      </c>
      <c r="W283">
        <f>HYPERLINK("https://klasma.github.io/Logging_2309/klagomålsmail/A 25041-2022 FSC-klagomål mail.docx", "A 25041-2022")</f>
        <v/>
      </c>
      <c r="X283">
        <f>HYPERLINK("https://klasma.github.io/Logging_2309/tillsyn/A 25041-2022 tillsynsbegäran.docx", "A 25041-2022")</f>
        <v/>
      </c>
      <c r="Y283">
        <f>HYPERLINK("https://klasma.github.io/Logging_2309/tillsynsmail/A 25041-2022 tillsynsbegäran mail.docx", "A 25041-2022")</f>
        <v/>
      </c>
    </row>
    <row r="284" ht="15" customHeight="1">
      <c r="A284" t="inlineStr">
        <is>
          <t>A 27579-2022</t>
        </is>
      </c>
      <c r="B284" s="1" t="n">
        <v>44742</v>
      </c>
      <c r="C284" s="1" t="n">
        <v>45730</v>
      </c>
      <c r="D284" t="inlineStr">
        <is>
          <t>JÄMTLANDS LÄN</t>
        </is>
      </c>
      <c r="E284" t="inlineStr">
        <is>
          <t>KROKOM</t>
        </is>
      </c>
      <c r="F284" t="inlineStr">
        <is>
          <t>SCA</t>
        </is>
      </c>
      <c r="G284" t="n">
        <v>1.5</v>
      </c>
      <c r="H284" t="n">
        <v>0</v>
      </c>
      <c r="I284" t="n">
        <v>0</v>
      </c>
      <c r="J284" t="n">
        <v>1</v>
      </c>
      <c r="K284" t="n">
        <v>0</v>
      </c>
      <c r="L284" t="n">
        <v>0</v>
      </c>
      <c r="M284" t="n">
        <v>0</v>
      </c>
      <c r="N284" t="n">
        <v>0</v>
      </c>
      <c r="O284" t="n">
        <v>1</v>
      </c>
      <c r="P284" t="n">
        <v>0</v>
      </c>
      <c r="Q284" t="n">
        <v>1</v>
      </c>
      <c r="R284" s="2" t="inlineStr">
        <is>
          <t>Lunglav</t>
        </is>
      </c>
      <c r="S284">
        <f>HYPERLINK("https://klasma.github.io/Logging_2309/artfynd/A 27579-2022 artfynd.xlsx", "A 27579-2022")</f>
        <v/>
      </c>
      <c r="T284">
        <f>HYPERLINK("https://klasma.github.io/Logging_2309/kartor/A 27579-2022 karta.png", "A 27579-2022")</f>
        <v/>
      </c>
      <c r="V284">
        <f>HYPERLINK("https://klasma.github.io/Logging_2309/klagomål/A 27579-2022 FSC-klagomål.docx", "A 27579-2022")</f>
        <v/>
      </c>
      <c r="W284">
        <f>HYPERLINK("https://klasma.github.io/Logging_2309/klagomålsmail/A 27579-2022 FSC-klagomål mail.docx", "A 27579-2022")</f>
        <v/>
      </c>
      <c r="X284">
        <f>HYPERLINK("https://klasma.github.io/Logging_2309/tillsyn/A 27579-2022 tillsynsbegäran.docx", "A 27579-2022")</f>
        <v/>
      </c>
      <c r="Y284">
        <f>HYPERLINK("https://klasma.github.io/Logging_2309/tillsynsmail/A 27579-2022 tillsynsbegäran mail.docx", "A 27579-2022")</f>
        <v/>
      </c>
    </row>
    <row r="285" ht="15" customHeight="1">
      <c r="A285" t="inlineStr">
        <is>
          <t>A 28490-2022</t>
        </is>
      </c>
      <c r="B285" s="1" t="n">
        <v>44747</v>
      </c>
      <c r="C285" s="1" t="n">
        <v>45730</v>
      </c>
      <c r="D285" t="inlineStr">
        <is>
          <t>JÄMTLANDS LÄN</t>
        </is>
      </c>
      <c r="E285" t="inlineStr">
        <is>
          <t>KROKOM</t>
        </is>
      </c>
      <c r="F285" t="inlineStr">
        <is>
          <t>SCA</t>
        </is>
      </c>
      <c r="G285" t="n">
        <v>57.9</v>
      </c>
      <c r="H285" t="n">
        <v>0</v>
      </c>
      <c r="I285" t="n">
        <v>0</v>
      </c>
      <c r="J285" t="n">
        <v>1</v>
      </c>
      <c r="K285" t="n">
        <v>0</v>
      </c>
      <c r="L285" t="n">
        <v>0</v>
      </c>
      <c r="M285" t="n">
        <v>0</v>
      </c>
      <c r="N285" t="n">
        <v>0</v>
      </c>
      <c r="O285" t="n">
        <v>1</v>
      </c>
      <c r="P285" t="n">
        <v>0</v>
      </c>
      <c r="Q285" t="n">
        <v>1</v>
      </c>
      <c r="R285" s="2" t="inlineStr">
        <is>
          <t>Kolflarnlav</t>
        </is>
      </c>
      <c r="S285">
        <f>HYPERLINK("https://klasma.github.io/Logging_2309/artfynd/A 28490-2022 artfynd.xlsx", "A 28490-2022")</f>
        <v/>
      </c>
      <c r="T285">
        <f>HYPERLINK("https://klasma.github.io/Logging_2309/kartor/A 28490-2022 karta.png", "A 28490-2022")</f>
        <v/>
      </c>
      <c r="V285">
        <f>HYPERLINK("https://klasma.github.io/Logging_2309/klagomål/A 28490-2022 FSC-klagomål.docx", "A 28490-2022")</f>
        <v/>
      </c>
      <c r="W285">
        <f>HYPERLINK("https://klasma.github.io/Logging_2309/klagomålsmail/A 28490-2022 FSC-klagomål mail.docx", "A 28490-2022")</f>
        <v/>
      </c>
      <c r="X285">
        <f>HYPERLINK("https://klasma.github.io/Logging_2309/tillsyn/A 28490-2022 tillsynsbegäran.docx", "A 28490-2022")</f>
        <v/>
      </c>
      <c r="Y285">
        <f>HYPERLINK("https://klasma.github.io/Logging_2309/tillsynsmail/A 28490-2022 tillsynsbegäran mail.docx", "A 28490-2022")</f>
        <v/>
      </c>
    </row>
    <row r="286" ht="15" customHeight="1">
      <c r="A286" t="inlineStr">
        <is>
          <t>A 33316-2022</t>
        </is>
      </c>
      <c r="B286" s="1" t="n">
        <v>44788</v>
      </c>
      <c r="C286" s="1" t="n">
        <v>45730</v>
      </c>
      <c r="D286" t="inlineStr">
        <is>
          <t>JÄMTLANDS LÄN</t>
        </is>
      </c>
      <c r="E286" t="inlineStr">
        <is>
          <t>KROKOM</t>
        </is>
      </c>
      <c r="G286" t="n">
        <v>10.4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33316-2022 artfynd.xlsx", "A 33316-2022")</f>
        <v/>
      </c>
      <c r="T286">
        <f>HYPERLINK("https://klasma.github.io/Logging_2309/kartor/A 33316-2022 karta.png", "A 33316-2022")</f>
        <v/>
      </c>
      <c r="V286">
        <f>HYPERLINK("https://klasma.github.io/Logging_2309/klagomål/A 33316-2022 FSC-klagomål.docx", "A 33316-2022")</f>
        <v/>
      </c>
      <c r="W286">
        <f>HYPERLINK("https://klasma.github.io/Logging_2309/klagomålsmail/A 33316-2022 FSC-klagomål mail.docx", "A 33316-2022")</f>
        <v/>
      </c>
      <c r="X286">
        <f>HYPERLINK("https://klasma.github.io/Logging_2309/tillsyn/A 33316-2022 tillsynsbegäran.docx", "A 33316-2022")</f>
        <v/>
      </c>
      <c r="Y286">
        <f>HYPERLINK("https://klasma.github.io/Logging_2309/tillsynsmail/A 33316-2022 tillsynsbegäran mail.docx", "A 33316-2022")</f>
        <v/>
      </c>
      <c r="Z286">
        <f>HYPERLINK("https://klasma.github.io/Logging_2309/fåglar/A 33316-2022 prioriterade fågelarter.docx", "A 33316-2022")</f>
        <v/>
      </c>
    </row>
    <row r="287" ht="15" customHeight="1">
      <c r="A287" t="inlineStr">
        <is>
          <t>A 35246-2022</t>
        </is>
      </c>
      <c r="B287" s="1" t="n">
        <v>44797</v>
      </c>
      <c r="C287" s="1" t="n">
        <v>45730</v>
      </c>
      <c r="D287" t="inlineStr">
        <is>
          <t>JÄMTLANDS LÄN</t>
        </is>
      </c>
      <c r="E287" t="inlineStr">
        <is>
          <t>KROKOM</t>
        </is>
      </c>
      <c r="G287" t="n">
        <v>29.4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35246-2022 artfynd.xlsx", "A 35246-2022")</f>
        <v/>
      </c>
      <c r="T287">
        <f>HYPERLINK("https://klasma.github.io/Logging_2309/kartor/A 35246-2022 karta.png", "A 35246-2022")</f>
        <v/>
      </c>
      <c r="V287">
        <f>HYPERLINK("https://klasma.github.io/Logging_2309/klagomål/A 35246-2022 FSC-klagomål.docx", "A 35246-2022")</f>
        <v/>
      </c>
      <c r="W287">
        <f>HYPERLINK("https://klasma.github.io/Logging_2309/klagomålsmail/A 35246-2022 FSC-klagomål mail.docx", "A 35246-2022")</f>
        <v/>
      </c>
      <c r="X287">
        <f>HYPERLINK("https://klasma.github.io/Logging_2309/tillsyn/A 35246-2022 tillsynsbegäran.docx", "A 35246-2022")</f>
        <v/>
      </c>
      <c r="Y287">
        <f>HYPERLINK("https://klasma.github.io/Logging_2309/tillsynsmail/A 35246-2022 tillsynsbegäran mail.docx", "A 35246-2022")</f>
        <v/>
      </c>
      <c r="Z287">
        <f>HYPERLINK("https://klasma.github.io/Logging_2309/fåglar/A 35246-2022 prioriterade fågelarter.docx", "A 35246-2022")</f>
        <v/>
      </c>
    </row>
    <row r="288" ht="15" customHeight="1">
      <c r="A288" t="inlineStr">
        <is>
          <t>A 45595-2022</t>
        </is>
      </c>
      <c r="B288" s="1" t="n">
        <v>44845</v>
      </c>
      <c r="C288" s="1" t="n">
        <v>45730</v>
      </c>
      <c r="D288" t="inlineStr">
        <is>
          <t>JÄMTLANDS LÄN</t>
        </is>
      </c>
      <c r="E288" t="inlineStr">
        <is>
          <t>KROKOM</t>
        </is>
      </c>
      <c r="G288" t="n">
        <v>10.2</v>
      </c>
      <c r="H288" t="n">
        <v>1</v>
      </c>
      <c r="I288" t="n">
        <v>0</v>
      </c>
      <c r="J288" t="n">
        <v>0</v>
      </c>
      <c r="K288" t="n">
        <v>0</v>
      </c>
      <c r="L288" t="n">
        <v>0</v>
      </c>
      <c r="M288" t="n">
        <v>0</v>
      </c>
      <c r="N288" t="n">
        <v>0</v>
      </c>
      <c r="O288" t="n">
        <v>0</v>
      </c>
      <c r="P288" t="n">
        <v>0</v>
      </c>
      <c r="Q288" t="n">
        <v>1</v>
      </c>
      <c r="R288" s="2" t="inlineStr">
        <is>
          <t>Revlummer</t>
        </is>
      </c>
      <c r="S288">
        <f>HYPERLINK("https://klasma.github.io/Logging_2309/artfynd/A 45595-2022 artfynd.xlsx", "A 45595-2022")</f>
        <v/>
      </c>
      <c r="T288">
        <f>HYPERLINK("https://klasma.github.io/Logging_2309/kartor/A 45595-2022 karta.png", "A 45595-2022")</f>
        <v/>
      </c>
      <c r="V288">
        <f>HYPERLINK("https://klasma.github.io/Logging_2309/klagomål/A 45595-2022 FSC-klagomål.docx", "A 45595-2022")</f>
        <v/>
      </c>
      <c r="W288">
        <f>HYPERLINK("https://klasma.github.io/Logging_2309/klagomålsmail/A 45595-2022 FSC-klagomål mail.docx", "A 45595-2022")</f>
        <v/>
      </c>
      <c r="X288">
        <f>HYPERLINK("https://klasma.github.io/Logging_2309/tillsyn/A 45595-2022 tillsynsbegäran.docx", "A 45595-2022")</f>
        <v/>
      </c>
      <c r="Y288">
        <f>HYPERLINK("https://klasma.github.io/Logging_2309/tillsynsmail/A 45595-2022 tillsynsbegäran mail.docx", "A 45595-2022")</f>
        <v/>
      </c>
    </row>
    <row r="289" ht="15" customHeight="1">
      <c r="A289" t="inlineStr">
        <is>
          <t>A 15430-2023</t>
        </is>
      </c>
      <c r="B289" s="1" t="n">
        <v>45020</v>
      </c>
      <c r="C289" s="1" t="n">
        <v>45730</v>
      </c>
      <c r="D289" t="inlineStr">
        <is>
          <t>JÄMTLANDS LÄN</t>
        </is>
      </c>
      <c r="E289" t="inlineStr">
        <is>
          <t>KROKOM</t>
        </is>
      </c>
      <c r="G289" t="n">
        <v>31.8</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15430-2023 artfynd.xlsx", "A 15430-2023")</f>
        <v/>
      </c>
      <c r="T289">
        <f>HYPERLINK("https://klasma.github.io/Logging_2309/kartor/A 15430-2023 karta.png", "A 15430-2023")</f>
        <v/>
      </c>
      <c r="V289">
        <f>HYPERLINK("https://klasma.github.io/Logging_2309/klagomål/A 15430-2023 FSC-klagomål.docx", "A 15430-2023")</f>
        <v/>
      </c>
      <c r="W289">
        <f>HYPERLINK("https://klasma.github.io/Logging_2309/klagomålsmail/A 15430-2023 FSC-klagomål mail.docx", "A 15430-2023")</f>
        <v/>
      </c>
      <c r="X289">
        <f>HYPERLINK("https://klasma.github.io/Logging_2309/tillsyn/A 15430-2023 tillsynsbegäran.docx", "A 15430-2023")</f>
        <v/>
      </c>
      <c r="Y289">
        <f>HYPERLINK("https://klasma.github.io/Logging_2309/tillsynsmail/A 15430-2023 tillsynsbegäran mail.docx", "A 15430-2023")</f>
        <v/>
      </c>
      <c r="Z289">
        <f>HYPERLINK("https://klasma.github.io/Logging_2309/fåglar/A 15430-2023 prioriterade fågelarter.docx", "A 15430-2023")</f>
        <v/>
      </c>
    </row>
    <row r="290" ht="15" customHeight="1">
      <c r="A290" t="inlineStr">
        <is>
          <t>A 25285-2023</t>
        </is>
      </c>
      <c r="B290" s="1" t="n">
        <v>45079</v>
      </c>
      <c r="C290" s="1" t="n">
        <v>45730</v>
      </c>
      <c r="D290" t="inlineStr">
        <is>
          <t>JÄMTLANDS LÄN</t>
        </is>
      </c>
      <c r="E290" t="inlineStr">
        <is>
          <t>KROKOM</t>
        </is>
      </c>
      <c r="G290" t="n">
        <v>14.9</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25285-2023 artfynd.xlsx", "A 25285-2023")</f>
        <v/>
      </c>
      <c r="T290">
        <f>HYPERLINK("https://klasma.github.io/Logging_2309/kartor/A 25285-2023 karta.png", "A 25285-2023")</f>
        <v/>
      </c>
      <c r="V290">
        <f>HYPERLINK("https://klasma.github.io/Logging_2309/klagomål/A 25285-2023 FSC-klagomål.docx", "A 25285-2023")</f>
        <v/>
      </c>
      <c r="W290">
        <f>HYPERLINK("https://klasma.github.io/Logging_2309/klagomålsmail/A 25285-2023 FSC-klagomål mail.docx", "A 25285-2023")</f>
        <v/>
      </c>
      <c r="X290">
        <f>HYPERLINK("https://klasma.github.io/Logging_2309/tillsyn/A 25285-2023 tillsynsbegäran.docx", "A 25285-2023")</f>
        <v/>
      </c>
      <c r="Y290">
        <f>HYPERLINK("https://klasma.github.io/Logging_2309/tillsynsmail/A 25285-2023 tillsynsbegäran mail.docx", "A 25285-2023")</f>
        <v/>
      </c>
      <c r="Z290">
        <f>HYPERLINK("https://klasma.github.io/Logging_2309/fåglar/A 25285-2023 prioriterade fågelarter.docx", "A 25285-2023")</f>
        <v/>
      </c>
    </row>
    <row r="291" ht="15" customHeight="1">
      <c r="A291" t="inlineStr">
        <is>
          <t>A 27753-2023</t>
        </is>
      </c>
      <c r="B291" s="1" t="n">
        <v>45098</v>
      </c>
      <c r="C291" s="1" t="n">
        <v>45730</v>
      </c>
      <c r="D291" t="inlineStr">
        <is>
          <t>JÄMTLANDS LÄN</t>
        </is>
      </c>
      <c r="E291" t="inlineStr">
        <is>
          <t>KROKOM</t>
        </is>
      </c>
      <c r="F291" t="inlineStr">
        <is>
          <t>Övriga Aktiebolag</t>
        </is>
      </c>
      <c r="G291" t="n">
        <v>20.9</v>
      </c>
      <c r="H291" t="n">
        <v>0</v>
      </c>
      <c r="I291" t="n">
        <v>0</v>
      </c>
      <c r="J291" t="n">
        <v>1</v>
      </c>
      <c r="K291" t="n">
        <v>0</v>
      </c>
      <c r="L291" t="n">
        <v>0</v>
      </c>
      <c r="M291" t="n">
        <v>0</v>
      </c>
      <c r="N291" t="n">
        <v>0</v>
      </c>
      <c r="O291" t="n">
        <v>1</v>
      </c>
      <c r="P291" t="n">
        <v>0</v>
      </c>
      <c r="Q291" t="n">
        <v>1</v>
      </c>
      <c r="R291" s="2" t="inlineStr">
        <is>
          <t>Mörk kolflarnlav</t>
        </is>
      </c>
      <c r="S291">
        <f>HYPERLINK("https://klasma.github.io/Logging_2309/artfynd/A 27753-2023 artfynd.xlsx", "A 27753-2023")</f>
        <v/>
      </c>
      <c r="T291">
        <f>HYPERLINK("https://klasma.github.io/Logging_2309/kartor/A 27753-2023 karta.png", "A 27753-2023")</f>
        <v/>
      </c>
      <c r="V291">
        <f>HYPERLINK("https://klasma.github.io/Logging_2309/klagomål/A 27753-2023 FSC-klagomål.docx", "A 27753-2023")</f>
        <v/>
      </c>
      <c r="W291">
        <f>HYPERLINK("https://klasma.github.io/Logging_2309/klagomålsmail/A 27753-2023 FSC-klagomål mail.docx", "A 27753-2023")</f>
        <v/>
      </c>
      <c r="X291">
        <f>HYPERLINK("https://klasma.github.io/Logging_2309/tillsyn/A 27753-2023 tillsynsbegäran.docx", "A 27753-2023")</f>
        <v/>
      </c>
      <c r="Y291">
        <f>HYPERLINK("https://klasma.github.io/Logging_2309/tillsynsmail/A 27753-2023 tillsynsbegäran mail.docx", "A 27753-2023")</f>
        <v/>
      </c>
    </row>
    <row r="292" ht="15" customHeight="1">
      <c r="A292" t="inlineStr">
        <is>
          <t>A 31959-2023</t>
        </is>
      </c>
      <c r="B292" s="1" t="n">
        <v>45107</v>
      </c>
      <c r="C292" s="1" t="n">
        <v>45730</v>
      </c>
      <c r="D292" t="inlineStr">
        <is>
          <t>JÄMTLANDS LÄN</t>
        </is>
      </c>
      <c r="E292" t="inlineStr">
        <is>
          <t>KROKOM</t>
        </is>
      </c>
      <c r="G292" t="n">
        <v>12.1</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31959-2023 artfynd.xlsx", "A 31959-2023")</f>
        <v/>
      </c>
      <c r="T292">
        <f>HYPERLINK("https://klasma.github.io/Logging_2309/kartor/A 31959-2023 karta.png", "A 31959-2023")</f>
        <v/>
      </c>
      <c r="V292">
        <f>HYPERLINK("https://klasma.github.io/Logging_2309/klagomål/A 31959-2023 FSC-klagomål.docx", "A 31959-2023")</f>
        <v/>
      </c>
      <c r="W292">
        <f>HYPERLINK("https://klasma.github.io/Logging_2309/klagomålsmail/A 31959-2023 FSC-klagomål mail.docx", "A 31959-2023")</f>
        <v/>
      </c>
      <c r="X292">
        <f>HYPERLINK("https://klasma.github.io/Logging_2309/tillsyn/A 31959-2023 tillsynsbegäran.docx", "A 31959-2023")</f>
        <v/>
      </c>
      <c r="Y292">
        <f>HYPERLINK("https://klasma.github.io/Logging_2309/tillsynsmail/A 31959-2023 tillsynsbegäran mail.docx", "A 31959-2023")</f>
        <v/>
      </c>
      <c r="Z292">
        <f>HYPERLINK("https://klasma.github.io/Logging_2309/fåglar/A 31959-2023 prioriterade fågelarter.docx", "A 31959-2023")</f>
        <v/>
      </c>
    </row>
    <row r="293" ht="15" customHeight="1">
      <c r="A293" t="inlineStr">
        <is>
          <t>A 32756-2023</t>
        </is>
      </c>
      <c r="B293" s="1" t="n">
        <v>45123</v>
      </c>
      <c r="C293" s="1" t="n">
        <v>45730</v>
      </c>
      <c r="D293" t="inlineStr">
        <is>
          <t>JÄMTLANDS LÄN</t>
        </is>
      </c>
      <c r="E293" t="inlineStr">
        <is>
          <t>KROKOM</t>
        </is>
      </c>
      <c r="F293" t="inlineStr">
        <is>
          <t>Övriga Aktiebolag</t>
        </is>
      </c>
      <c r="G293" t="n">
        <v>6.8</v>
      </c>
      <c r="H293" t="n">
        <v>0</v>
      </c>
      <c r="I293" t="n">
        <v>1</v>
      </c>
      <c r="J293" t="n">
        <v>0</v>
      </c>
      <c r="K293" t="n">
        <v>0</v>
      </c>
      <c r="L293" t="n">
        <v>0</v>
      </c>
      <c r="M293" t="n">
        <v>0</v>
      </c>
      <c r="N293" t="n">
        <v>0</v>
      </c>
      <c r="O293" t="n">
        <v>0</v>
      </c>
      <c r="P293" t="n">
        <v>0</v>
      </c>
      <c r="Q293" t="n">
        <v>1</v>
      </c>
      <c r="R293" s="2" t="inlineStr">
        <is>
          <t>Kransrams</t>
        </is>
      </c>
      <c r="S293">
        <f>HYPERLINK("https://klasma.github.io/Logging_2309/artfynd/A 32756-2023 artfynd.xlsx", "A 32756-2023")</f>
        <v/>
      </c>
      <c r="T293">
        <f>HYPERLINK("https://klasma.github.io/Logging_2309/kartor/A 32756-2023 karta.png", "A 32756-2023")</f>
        <v/>
      </c>
      <c r="V293">
        <f>HYPERLINK("https://klasma.github.io/Logging_2309/klagomål/A 32756-2023 FSC-klagomål.docx", "A 32756-2023")</f>
        <v/>
      </c>
      <c r="W293">
        <f>HYPERLINK("https://klasma.github.io/Logging_2309/klagomålsmail/A 32756-2023 FSC-klagomål mail.docx", "A 32756-2023")</f>
        <v/>
      </c>
      <c r="X293">
        <f>HYPERLINK("https://klasma.github.io/Logging_2309/tillsyn/A 32756-2023 tillsynsbegäran.docx", "A 32756-2023")</f>
        <v/>
      </c>
      <c r="Y293">
        <f>HYPERLINK("https://klasma.github.io/Logging_2309/tillsynsmail/A 32756-2023 tillsynsbegäran mail.docx", "A 32756-2023")</f>
        <v/>
      </c>
    </row>
    <row r="294" ht="15" customHeight="1">
      <c r="A294" t="inlineStr">
        <is>
          <t>A 36639-2023</t>
        </is>
      </c>
      <c r="B294" s="1" t="n">
        <v>45153</v>
      </c>
      <c r="C294" s="1" t="n">
        <v>45730</v>
      </c>
      <c r="D294" t="inlineStr">
        <is>
          <t>JÄMTLANDS LÄN</t>
        </is>
      </c>
      <c r="E294" t="inlineStr">
        <is>
          <t>KROKOM</t>
        </is>
      </c>
      <c r="F294" t="inlineStr">
        <is>
          <t>Övriga Aktiebolag</t>
        </is>
      </c>
      <c r="G294" t="n">
        <v>5.5</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36639-2023 artfynd.xlsx", "A 36639-2023")</f>
        <v/>
      </c>
      <c r="T294">
        <f>HYPERLINK("https://klasma.github.io/Logging_2309/kartor/A 36639-2023 karta.png", "A 36639-2023")</f>
        <v/>
      </c>
      <c r="V294">
        <f>HYPERLINK("https://klasma.github.io/Logging_2309/klagomål/A 36639-2023 FSC-klagomål.docx", "A 36639-2023")</f>
        <v/>
      </c>
      <c r="W294">
        <f>HYPERLINK("https://klasma.github.io/Logging_2309/klagomålsmail/A 36639-2023 FSC-klagomål mail.docx", "A 36639-2023")</f>
        <v/>
      </c>
      <c r="X294">
        <f>HYPERLINK("https://klasma.github.io/Logging_2309/tillsyn/A 36639-2023 tillsynsbegäran.docx", "A 36639-2023")</f>
        <v/>
      </c>
      <c r="Y294">
        <f>HYPERLINK("https://klasma.github.io/Logging_2309/tillsynsmail/A 36639-2023 tillsynsbegäran mail.docx", "A 36639-2023")</f>
        <v/>
      </c>
      <c r="Z294">
        <f>HYPERLINK("https://klasma.github.io/Logging_2309/fåglar/A 36639-2023 prioriterade fågelarter.docx", "A 36639-2023")</f>
        <v/>
      </c>
    </row>
    <row r="295" ht="15" customHeight="1">
      <c r="A295" t="inlineStr">
        <is>
          <t>A 42156-2023</t>
        </is>
      </c>
      <c r="B295" s="1" t="n">
        <v>45177</v>
      </c>
      <c r="C295" s="1" t="n">
        <v>45730</v>
      </c>
      <c r="D295" t="inlineStr">
        <is>
          <t>JÄMTLANDS LÄN</t>
        </is>
      </c>
      <c r="E295" t="inlineStr">
        <is>
          <t>KROKOM</t>
        </is>
      </c>
      <c r="G295" t="n">
        <v>1</v>
      </c>
      <c r="H295" t="n">
        <v>0</v>
      </c>
      <c r="I295" t="n">
        <v>0</v>
      </c>
      <c r="J295" t="n">
        <v>1</v>
      </c>
      <c r="K295" t="n">
        <v>0</v>
      </c>
      <c r="L295" t="n">
        <v>0</v>
      </c>
      <c r="M295" t="n">
        <v>0</v>
      </c>
      <c r="N295" t="n">
        <v>0</v>
      </c>
      <c r="O295" t="n">
        <v>1</v>
      </c>
      <c r="P295" t="n">
        <v>0</v>
      </c>
      <c r="Q295" t="n">
        <v>1</v>
      </c>
      <c r="R295" s="2" t="inlineStr">
        <is>
          <t>Granticka</t>
        </is>
      </c>
      <c r="S295">
        <f>HYPERLINK("https://klasma.github.io/Logging_2309/artfynd/A 42156-2023 artfynd.xlsx", "A 42156-2023")</f>
        <v/>
      </c>
      <c r="T295">
        <f>HYPERLINK("https://klasma.github.io/Logging_2309/kartor/A 42156-2023 karta.png", "A 42156-2023")</f>
        <v/>
      </c>
      <c r="V295">
        <f>HYPERLINK("https://klasma.github.io/Logging_2309/klagomål/A 42156-2023 FSC-klagomål.docx", "A 42156-2023")</f>
        <v/>
      </c>
      <c r="W295">
        <f>HYPERLINK("https://klasma.github.io/Logging_2309/klagomålsmail/A 42156-2023 FSC-klagomål mail.docx", "A 42156-2023")</f>
        <v/>
      </c>
      <c r="X295">
        <f>HYPERLINK("https://klasma.github.io/Logging_2309/tillsyn/A 42156-2023 tillsynsbegäran.docx", "A 42156-2023")</f>
        <v/>
      </c>
      <c r="Y295">
        <f>HYPERLINK("https://klasma.github.io/Logging_2309/tillsynsmail/A 42156-2023 tillsynsbegäran mail.docx", "A 42156-2023")</f>
        <v/>
      </c>
    </row>
    <row r="296" ht="15" customHeight="1">
      <c r="A296" t="inlineStr">
        <is>
          <t>A 42258-2023</t>
        </is>
      </c>
      <c r="B296" s="1" t="n">
        <v>45180</v>
      </c>
      <c r="C296" s="1" t="n">
        <v>45730</v>
      </c>
      <c r="D296" t="inlineStr">
        <is>
          <t>JÄMTLANDS LÄN</t>
        </is>
      </c>
      <c r="E296" t="inlineStr">
        <is>
          <t>KROKOM</t>
        </is>
      </c>
      <c r="F296" t="inlineStr">
        <is>
          <t>Övriga Aktiebolag</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42258-2023 artfynd.xlsx", "A 42258-2023")</f>
        <v/>
      </c>
      <c r="T296">
        <f>HYPERLINK("https://klasma.github.io/Logging_2309/kartor/A 42258-2023 karta.png", "A 42258-2023")</f>
        <v/>
      </c>
      <c r="V296">
        <f>HYPERLINK("https://klasma.github.io/Logging_2309/klagomål/A 42258-2023 FSC-klagomål.docx", "A 42258-2023")</f>
        <v/>
      </c>
      <c r="W296">
        <f>HYPERLINK("https://klasma.github.io/Logging_2309/klagomålsmail/A 42258-2023 FSC-klagomål mail.docx", "A 42258-2023")</f>
        <v/>
      </c>
      <c r="X296">
        <f>HYPERLINK("https://klasma.github.io/Logging_2309/tillsyn/A 42258-2023 tillsynsbegäran.docx", "A 42258-2023")</f>
        <v/>
      </c>
      <c r="Y296">
        <f>HYPERLINK("https://klasma.github.io/Logging_2309/tillsynsmail/A 42258-2023 tillsynsbegäran mail.docx", "A 42258-2023")</f>
        <v/>
      </c>
      <c r="Z296">
        <f>HYPERLINK("https://klasma.github.io/Logging_2309/fåglar/A 42258-2023 prioriterade fågelarter.docx", "A 42258-2023")</f>
        <v/>
      </c>
    </row>
    <row r="297" ht="15" customHeight="1">
      <c r="A297" t="inlineStr">
        <is>
          <t>A 47338-2023</t>
        </is>
      </c>
      <c r="B297" s="1" t="n">
        <v>45196</v>
      </c>
      <c r="C297" s="1" t="n">
        <v>45730</v>
      </c>
      <c r="D297" t="inlineStr">
        <is>
          <t>JÄMTLANDS LÄN</t>
        </is>
      </c>
      <c r="E297" t="inlineStr">
        <is>
          <t>KROKOM</t>
        </is>
      </c>
      <c r="G297" t="n">
        <v>13</v>
      </c>
      <c r="H297" t="n">
        <v>0</v>
      </c>
      <c r="I297" t="n">
        <v>1</v>
      </c>
      <c r="J297" t="n">
        <v>0</v>
      </c>
      <c r="K297" t="n">
        <v>0</v>
      </c>
      <c r="L297" t="n">
        <v>0</v>
      </c>
      <c r="M297" t="n">
        <v>0</v>
      </c>
      <c r="N297" t="n">
        <v>0</v>
      </c>
      <c r="O297" t="n">
        <v>0</v>
      </c>
      <c r="P297" t="n">
        <v>0</v>
      </c>
      <c r="Q297" t="n">
        <v>1</v>
      </c>
      <c r="R297" s="2" t="inlineStr">
        <is>
          <t>Skinnlav</t>
        </is>
      </c>
      <c r="S297">
        <f>HYPERLINK("https://klasma.github.io/Logging_2309/artfynd/A 47338-2023 artfynd.xlsx", "A 47338-2023")</f>
        <v/>
      </c>
      <c r="T297">
        <f>HYPERLINK("https://klasma.github.io/Logging_2309/kartor/A 47338-2023 karta.png", "A 47338-2023")</f>
        <v/>
      </c>
      <c r="V297">
        <f>HYPERLINK("https://klasma.github.io/Logging_2309/klagomål/A 47338-2023 FSC-klagomål.docx", "A 47338-2023")</f>
        <v/>
      </c>
      <c r="W297">
        <f>HYPERLINK("https://klasma.github.io/Logging_2309/klagomålsmail/A 47338-2023 FSC-klagomål mail.docx", "A 47338-2023")</f>
        <v/>
      </c>
      <c r="X297">
        <f>HYPERLINK("https://klasma.github.io/Logging_2309/tillsyn/A 47338-2023 tillsynsbegäran.docx", "A 47338-2023")</f>
        <v/>
      </c>
      <c r="Y297">
        <f>HYPERLINK("https://klasma.github.io/Logging_2309/tillsynsmail/A 47338-2023 tillsynsbegäran mail.docx", "A 47338-2023")</f>
        <v/>
      </c>
    </row>
    <row r="298" ht="15" customHeight="1">
      <c r="A298" t="inlineStr">
        <is>
          <t>A 56572-2023</t>
        </is>
      </c>
      <c r="B298" s="1" t="n">
        <v>45243</v>
      </c>
      <c r="C298" s="1" t="n">
        <v>45730</v>
      </c>
      <c r="D298" t="inlineStr">
        <is>
          <t>JÄMTLANDS LÄN</t>
        </is>
      </c>
      <c r="E298" t="inlineStr">
        <is>
          <t>KROKOM</t>
        </is>
      </c>
      <c r="F298" t="inlineStr">
        <is>
          <t>Övriga Aktiebolag</t>
        </is>
      </c>
      <c r="G298" t="n">
        <v>0.8</v>
      </c>
      <c r="H298" t="n">
        <v>1</v>
      </c>
      <c r="I298" t="n">
        <v>0</v>
      </c>
      <c r="J298" t="n">
        <v>0</v>
      </c>
      <c r="K298" t="n">
        <v>0</v>
      </c>
      <c r="L298" t="n">
        <v>0</v>
      </c>
      <c r="M298" t="n">
        <v>0</v>
      </c>
      <c r="N298" t="n">
        <v>0</v>
      </c>
      <c r="O298" t="n">
        <v>0</v>
      </c>
      <c r="P298" t="n">
        <v>0</v>
      </c>
      <c r="Q298" t="n">
        <v>1</v>
      </c>
      <c r="R298" s="2" t="inlineStr">
        <is>
          <t>Vanlig groda</t>
        </is>
      </c>
      <c r="S298">
        <f>HYPERLINK("https://klasma.github.io/Logging_2309/artfynd/A 56572-2023 artfynd.xlsx", "A 56572-2023")</f>
        <v/>
      </c>
      <c r="T298">
        <f>HYPERLINK("https://klasma.github.io/Logging_2309/kartor/A 56572-2023 karta.png", "A 56572-2023")</f>
        <v/>
      </c>
      <c r="V298">
        <f>HYPERLINK("https://klasma.github.io/Logging_2309/klagomål/A 56572-2023 FSC-klagomål.docx", "A 56572-2023")</f>
        <v/>
      </c>
      <c r="W298">
        <f>HYPERLINK("https://klasma.github.io/Logging_2309/klagomålsmail/A 56572-2023 FSC-klagomål mail.docx", "A 56572-2023")</f>
        <v/>
      </c>
      <c r="X298">
        <f>HYPERLINK("https://klasma.github.io/Logging_2309/tillsyn/A 56572-2023 tillsynsbegäran.docx", "A 56572-2023")</f>
        <v/>
      </c>
      <c r="Y298">
        <f>HYPERLINK("https://klasma.github.io/Logging_2309/tillsynsmail/A 56572-2023 tillsynsbegäran mail.docx", "A 56572-2023")</f>
        <v/>
      </c>
    </row>
    <row r="299" ht="15" customHeight="1">
      <c r="A299" t="inlineStr">
        <is>
          <t>A 56628-2023</t>
        </is>
      </c>
      <c r="B299" s="1" t="n">
        <v>45243</v>
      </c>
      <c r="C299" s="1" t="n">
        <v>45730</v>
      </c>
      <c r="D299" t="inlineStr">
        <is>
          <t>JÄMTLANDS LÄN</t>
        </is>
      </c>
      <c r="E299" t="inlineStr">
        <is>
          <t>KROKOM</t>
        </is>
      </c>
      <c r="G299" t="n">
        <v>17.8</v>
      </c>
      <c r="H299" t="n">
        <v>1</v>
      </c>
      <c r="I299" t="n">
        <v>0</v>
      </c>
      <c r="J299" t="n">
        <v>0</v>
      </c>
      <c r="K299" t="n">
        <v>0</v>
      </c>
      <c r="L299" t="n">
        <v>0</v>
      </c>
      <c r="M299" t="n">
        <v>0</v>
      </c>
      <c r="N299" t="n">
        <v>0</v>
      </c>
      <c r="O299" t="n">
        <v>0</v>
      </c>
      <c r="P299" t="n">
        <v>0</v>
      </c>
      <c r="Q299" t="n">
        <v>1</v>
      </c>
      <c r="R299" s="2" t="inlineStr">
        <is>
          <t>Blåsippa</t>
        </is>
      </c>
      <c r="S299">
        <f>HYPERLINK("https://klasma.github.io/Logging_2309/artfynd/A 56628-2023 artfynd.xlsx", "A 56628-2023")</f>
        <v/>
      </c>
      <c r="T299">
        <f>HYPERLINK("https://klasma.github.io/Logging_2309/kartor/A 56628-2023 karta.png", "A 56628-2023")</f>
        <v/>
      </c>
      <c r="V299">
        <f>HYPERLINK("https://klasma.github.io/Logging_2309/klagomål/A 56628-2023 FSC-klagomål.docx", "A 56628-2023")</f>
        <v/>
      </c>
      <c r="W299">
        <f>HYPERLINK("https://klasma.github.io/Logging_2309/klagomålsmail/A 56628-2023 FSC-klagomål mail.docx", "A 56628-2023")</f>
        <v/>
      </c>
      <c r="X299">
        <f>HYPERLINK("https://klasma.github.io/Logging_2309/tillsyn/A 56628-2023 tillsynsbegäran.docx", "A 56628-2023")</f>
        <v/>
      </c>
      <c r="Y299">
        <f>HYPERLINK("https://klasma.github.io/Logging_2309/tillsynsmail/A 56628-2023 tillsynsbegäran mail.docx", "A 56628-2023")</f>
        <v/>
      </c>
    </row>
    <row r="300" ht="15" customHeight="1">
      <c r="A300" t="inlineStr">
        <is>
          <t>A 62936-2023</t>
        </is>
      </c>
      <c r="B300" s="1" t="n">
        <v>45271</v>
      </c>
      <c r="C300" s="1" t="n">
        <v>45730</v>
      </c>
      <c r="D300" t="inlineStr">
        <is>
          <t>JÄMTLANDS LÄN</t>
        </is>
      </c>
      <c r="E300" t="inlineStr">
        <is>
          <t>KROKOM</t>
        </is>
      </c>
      <c r="G300" t="n">
        <v>55.4</v>
      </c>
      <c r="H300" t="n">
        <v>0</v>
      </c>
      <c r="I300" t="n">
        <v>1</v>
      </c>
      <c r="J300" t="n">
        <v>0</v>
      </c>
      <c r="K300" t="n">
        <v>0</v>
      </c>
      <c r="L300" t="n">
        <v>0</v>
      </c>
      <c r="M300" t="n">
        <v>0</v>
      </c>
      <c r="N300" t="n">
        <v>0</v>
      </c>
      <c r="O300" t="n">
        <v>0</v>
      </c>
      <c r="P300" t="n">
        <v>0</v>
      </c>
      <c r="Q300" t="n">
        <v>1</v>
      </c>
      <c r="R300" s="2" t="inlineStr">
        <is>
          <t>Stuplav</t>
        </is>
      </c>
      <c r="S300">
        <f>HYPERLINK("https://klasma.github.io/Logging_2309/artfynd/A 62936-2023 artfynd.xlsx", "A 62936-2023")</f>
        <v/>
      </c>
      <c r="T300">
        <f>HYPERLINK("https://klasma.github.io/Logging_2309/kartor/A 62936-2023 karta.png", "A 62936-2023")</f>
        <v/>
      </c>
      <c r="V300">
        <f>HYPERLINK("https://klasma.github.io/Logging_2309/klagomål/A 62936-2023 FSC-klagomål.docx", "A 62936-2023")</f>
        <v/>
      </c>
      <c r="W300">
        <f>HYPERLINK("https://klasma.github.io/Logging_2309/klagomålsmail/A 62936-2023 FSC-klagomål mail.docx", "A 62936-2023")</f>
        <v/>
      </c>
      <c r="X300">
        <f>HYPERLINK("https://klasma.github.io/Logging_2309/tillsyn/A 62936-2023 tillsynsbegäran.docx", "A 62936-2023")</f>
        <v/>
      </c>
      <c r="Y300">
        <f>HYPERLINK("https://klasma.github.io/Logging_2309/tillsynsmail/A 62936-2023 tillsynsbegäran mail.docx", "A 62936-2023")</f>
        <v/>
      </c>
    </row>
    <row r="301" ht="15" customHeight="1">
      <c r="A301" t="inlineStr">
        <is>
          <t>A 12818-2024</t>
        </is>
      </c>
      <c r="B301" s="1" t="n">
        <v>45384</v>
      </c>
      <c r="C301" s="1" t="n">
        <v>45730</v>
      </c>
      <c r="D301" t="inlineStr">
        <is>
          <t>JÄMTLANDS LÄN</t>
        </is>
      </c>
      <c r="E301" t="inlineStr">
        <is>
          <t>KROKOM</t>
        </is>
      </c>
      <c r="G301" t="n">
        <v>12.1</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12818-2024 artfynd.xlsx", "A 12818-2024")</f>
        <v/>
      </c>
      <c r="T301">
        <f>HYPERLINK("https://klasma.github.io/Logging_2309/kartor/A 12818-2024 karta.png", "A 12818-2024")</f>
        <v/>
      </c>
      <c r="V301">
        <f>HYPERLINK("https://klasma.github.io/Logging_2309/klagomål/A 12818-2024 FSC-klagomål.docx", "A 12818-2024")</f>
        <v/>
      </c>
      <c r="W301">
        <f>HYPERLINK("https://klasma.github.io/Logging_2309/klagomålsmail/A 12818-2024 FSC-klagomål mail.docx", "A 12818-2024")</f>
        <v/>
      </c>
      <c r="X301">
        <f>HYPERLINK("https://klasma.github.io/Logging_2309/tillsyn/A 12818-2024 tillsynsbegäran.docx", "A 12818-2024")</f>
        <v/>
      </c>
      <c r="Y301">
        <f>HYPERLINK("https://klasma.github.io/Logging_2309/tillsynsmail/A 12818-2024 tillsynsbegäran mail.docx", "A 12818-2024")</f>
        <v/>
      </c>
      <c r="Z301">
        <f>HYPERLINK("https://klasma.github.io/Logging_2309/fåglar/A 12818-2024 prioriterade fågelarter.docx", "A 12818-2024")</f>
        <v/>
      </c>
    </row>
    <row r="302" ht="15" customHeight="1">
      <c r="A302" t="inlineStr">
        <is>
          <t>A 16426-2024</t>
        </is>
      </c>
      <c r="B302" s="1" t="n">
        <v>45407</v>
      </c>
      <c r="C302" s="1" t="n">
        <v>45730</v>
      </c>
      <c r="D302" t="inlineStr">
        <is>
          <t>JÄMTLANDS LÄN</t>
        </is>
      </c>
      <c r="E302" t="inlineStr">
        <is>
          <t>KROKOM</t>
        </is>
      </c>
      <c r="G302" t="n">
        <v>1.3</v>
      </c>
      <c r="H302" t="n">
        <v>0</v>
      </c>
      <c r="I302" t="n">
        <v>0</v>
      </c>
      <c r="J302" t="n">
        <v>1</v>
      </c>
      <c r="K302" t="n">
        <v>0</v>
      </c>
      <c r="L302" t="n">
        <v>0</v>
      </c>
      <c r="M302" t="n">
        <v>0</v>
      </c>
      <c r="N302" t="n">
        <v>0</v>
      </c>
      <c r="O302" t="n">
        <v>1</v>
      </c>
      <c r="P302" t="n">
        <v>0</v>
      </c>
      <c r="Q302" t="n">
        <v>1</v>
      </c>
      <c r="R302" s="2" t="inlineStr">
        <is>
          <t>Slåtterfibbla</t>
        </is>
      </c>
      <c r="S302">
        <f>HYPERLINK("https://klasma.github.io/Logging_2309/artfynd/A 16426-2024 artfynd.xlsx", "A 16426-2024")</f>
        <v/>
      </c>
      <c r="T302">
        <f>HYPERLINK("https://klasma.github.io/Logging_2309/kartor/A 16426-2024 karta.png", "A 16426-2024")</f>
        <v/>
      </c>
      <c r="V302">
        <f>HYPERLINK("https://klasma.github.io/Logging_2309/klagomål/A 16426-2024 FSC-klagomål.docx", "A 16426-2024")</f>
        <v/>
      </c>
      <c r="W302">
        <f>HYPERLINK("https://klasma.github.io/Logging_2309/klagomålsmail/A 16426-2024 FSC-klagomål mail.docx", "A 16426-2024")</f>
        <v/>
      </c>
      <c r="X302">
        <f>HYPERLINK("https://klasma.github.io/Logging_2309/tillsyn/A 16426-2024 tillsynsbegäran.docx", "A 16426-2024")</f>
        <v/>
      </c>
      <c r="Y302">
        <f>HYPERLINK("https://klasma.github.io/Logging_2309/tillsynsmail/A 16426-2024 tillsynsbegäran mail.docx", "A 16426-2024")</f>
        <v/>
      </c>
    </row>
    <row r="303" ht="15" customHeight="1">
      <c r="A303" t="inlineStr">
        <is>
          <t>A 19534-2024</t>
        </is>
      </c>
      <c r="B303" s="1" t="n">
        <v>45429</v>
      </c>
      <c r="C303" s="1" t="n">
        <v>45730</v>
      </c>
      <c r="D303" t="inlineStr">
        <is>
          <t>JÄMTLANDS LÄN</t>
        </is>
      </c>
      <c r="E303" t="inlineStr">
        <is>
          <t>KROKOM</t>
        </is>
      </c>
      <c r="F303" t="inlineStr">
        <is>
          <t>Övriga Aktiebolag</t>
        </is>
      </c>
      <c r="G303" t="n">
        <v>4.8</v>
      </c>
      <c r="H303" t="n">
        <v>1</v>
      </c>
      <c r="I303" t="n">
        <v>1</v>
      </c>
      <c r="J303" t="n">
        <v>0</v>
      </c>
      <c r="K303" t="n">
        <v>0</v>
      </c>
      <c r="L303" t="n">
        <v>0</v>
      </c>
      <c r="M303" t="n">
        <v>0</v>
      </c>
      <c r="N303" t="n">
        <v>0</v>
      </c>
      <c r="O303" t="n">
        <v>0</v>
      </c>
      <c r="P303" t="n">
        <v>0</v>
      </c>
      <c r="Q303" t="n">
        <v>1</v>
      </c>
      <c r="R303" s="2" t="inlineStr">
        <is>
          <t>Spindelblomster</t>
        </is>
      </c>
      <c r="S303">
        <f>HYPERLINK("https://klasma.github.io/Logging_2309/artfynd/A 19534-2024 artfynd.xlsx", "A 19534-2024")</f>
        <v/>
      </c>
      <c r="T303">
        <f>HYPERLINK("https://klasma.github.io/Logging_2309/kartor/A 19534-2024 karta.png", "A 19534-2024")</f>
        <v/>
      </c>
      <c r="V303">
        <f>HYPERLINK("https://klasma.github.io/Logging_2309/klagomål/A 19534-2024 FSC-klagomål.docx", "A 19534-2024")</f>
        <v/>
      </c>
      <c r="W303">
        <f>HYPERLINK("https://klasma.github.io/Logging_2309/klagomålsmail/A 19534-2024 FSC-klagomål mail.docx", "A 19534-2024")</f>
        <v/>
      </c>
      <c r="X303">
        <f>HYPERLINK("https://klasma.github.io/Logging_2309/tillsyn/A 19534-2024 tillsynsbegäran.docx", "A 19534-2024")</f>
        <v/>
      </c>
      <c r="Y303">
        <f>HYPERLINK("https://klasma.github.io/Logging_2309/tillsynsmail/A 19534-2024 tillsynsbegäran mail.docx", "A 19534-2024")</f>
        <v/>
      </c>
    </row>
    <row r="304" ht="15" customHeight="1">
      <c r="A304" t="inlineStr">
        <is>
          <t>A 22966-2024</t>
        </is>
      </c>
      <c r="B304" s="1" t="n">
        <v>45449</v>
      </c>
      <c r="C304" s="1" t="n">
        <v>45730</v>
      </c>
      <c r="D304" t="inlineStr">
        <is>
          <t>JÄMTLANDS LÄN</t>
        </is>
      </c>
      <c r="E304" t="inlineStr">
        <is>
          <t>KROKOM</t>
        </is>
      </c>
      <c r="G304" t="n">
        <v>1.8</v>
      </c>
      <c r="H304" t="n">
        <v>0</v>
      </c>
      <c r="I304" t="n">
        <v>0</v>
      </c>
      <c r="J304" t="n">
        <v>1</v>
      </c>
      <c r="K304" t="n">
        <v>0</v>
      </c>
      <c r="L304" t="n">
        <v>0</v>
      </c>
      <c r="M304" t="n">
        <v>0</v>
      </c>
      <c r="N304" t="n">
        <v>0</v>
      </c>
      <c r="O304" t="n">
        <v>1</v>
      </c>
      <c r="P304" t="n">
        <v>0</v>
      </c>
      <c r="Q304" t="n">
        <v>1</v>
      </c>
      <c r="R304" s="2" t="inlineStr">
        <is>
          <t>Kronskål</t>
        </is>
      </c>
      <c r="S304">
        <f>HYPERLINK("https://klasma.github.io/Logging_2309/artfynd/A 22966-2024 artfynd.xlsx", "A 22966-2024")</f>
        <v/>
      </c>
      <c r="T304">
        <f>HYPERLINK("https://klasma.github.io/Logging_2309/kartor/A 22966-2024 karta.png", "A 22966-2024")</f>
        <v/>
      </c>
      <c r="V304">
        <f>HYPERLINK("https://klasma.github.io/Logging_2309/klagomål/A 22966-2024 FSC-klagomål.docx", "A 22966-2024")</f>
        <v/>
      </c>
      <c r="W304">
        <f>HYPERLINK("https://klasma.github.io/Logging_2309/klagomålsmail/A 22966-2024 FSC-klagomål mail.docx", "A 22966-2024")</f>
        <v/>
      </c>
      <c r="X304">
        <f>HYPERLINK("https://klasma.github.io/Logging_2309/tillsyn/A 22966-2024 tillsynsbegäran.docx", "A 22966-2024")</f>
        <v/>
      </c>
      <c r="Y304">
        <f>HYPERLINK("https://klasma.github.io/Logging_2309/tillsynsmail/A 22966-2024 tillsynsbegäran mail.docx", "A 22966-2024")</f>
        <v/>
      </c>
    </row>
    <row r="305" ht="15" customHeight="1">
      <c r="A305" t="inlineStr">
        <is>
          <t>A 26290-2024</t>
        </is>
      </c>
      <c r="B305" s="1" t="n">
        <v>45468</v>
      </c>
      <c r="C305" s="1" t="n">
        <v>45730</v>
      </c>
      <c r="D305" t="inlineStr">
        <is>
          <t>JÄMTLANDS LÄN</t>
        </is>
      </c>
      <c r="E305" t="inlineStr">
        <is>
          <t>KROKOM</t>
        </is>
      </c>
      <c r="F305" t="inlineStr">
        <is>
          <t>Övriga Aktiebolag</t>
        </is>
      </c>
      <c r="G305" t="n">
        <v>1.3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26290-2024 artfynd.xlsx", "A 26290-2024")</f>
        <v/>
      </c>
      <c r="T305">
        <f>HYPERLINK("https://klasma.github.io/Logging_2309/kartor/A 26290-2024 karta.png", "A 26290-2024")</f>
        <v/>
      </c>
      <c r="V305">
        <f>HYPERLINK("https://klasma.github.io/Logging_2309/klagomål/A 26290-2024 FSC-klagomål.docx", "A 26290-2024")</f>
        <v/>
      </c>
      <c r="W305">
        <f>HYPERLINK("https://klasma.github.io/Logging_2309/klagomålsmail/A 26290-2024 FSC-klagomål mail.docx", "A 26290-2024")</f>
        <v/>
      </c>
      <c r="X305">
        <f>HYPERLINK("https://klasma.github.io/Logging_2309/tillsyn/A 26290-2024 tillsynsbegäran.docx", "A 26290-2024")</f>
        <v/>
      </c>
      <c r="Y305">
        <f>HYPERLINK("https://klasma.github.io/Logging_2309/tillsynsmail/A 26290-2024 tillsynsbegäran mail.docx", "A 26290-2024")</f>
        <v/>
      </c>
      <c r="Z305">
        <f>HYPERLINK("https://klasma.github.io/Logging_2309/fåglar/A 26290-2024 prioriterade fågelarter.docx", "A 26290-2024")</f>
        <v/>
      </c>
    </row>
    <row r="306" ht="15" customHeight="1">
      <c r="A306" t="inlineStr">
        <is>
          <t>A 27133-2024</t>
        </is>
      </c>
      <c r="B306" s="1" t="n">
        <v>45471</v>
      </c>
      <c r="C306" s="1" t="n">
        <v>45730</v>
      </c>
      <c r="D306" t="inlineStr">
        <is>
          <t>JÄMTLANDS LÄN</t>
        </is>
      </c>
      <c r="E306" t="inlineStr">
        <is>
          <t>KROKOM</t>
        </is>
      </c>
      <c r="G306" t="n">
        <v>5.4</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27133-2024 artfynd.xlsx", "A 27133-2024")</f>
        <v/>
      </c>
      <c r="T306">
        <f>HYPERLINK("https://klasma.github.io/Logging_2309/kartor/A 27133-2024 karta.png", "A 27133-2024")</f>
        <v/>
      </c>
      <c r="V306">
        <f>HYPERLINK("https://klasma.github.io/Logging_2309/klagomål/A 27133-2024 FSC-klagomål.docx", "A 27133-2024")</f>
        <v/>
      </c>
      <c r="W306">
        <f>HYPERLINK("https://klasma.github.io/Logging_2309/klagomålsmail/A 27133-2024 FSC-klagomål mail.docx", "A 27133-2024")</f>
        <v/>
      </c>
      <c r="X306">
        <f>HYPERLINK("https://klasma.github.io/Logging_2309/tillsyn/A 27133-2024 tillsynsbegäran.docx", "A 27133-2024")</f>
        <v/>
      </c>
      <c r="Y306">
        <f>HYPERLINK("https://klasma.github.io/Logging_2309/tillsynsmail/A 27133-2024 tillsynsbegäran mail.docx", "A 27133-2024")</f>
        <v/>
      </c>
    </row>
    <row r="307" ht="15" customHeight="1">
      <c r="A307" t="inlineStr">
        <is>
          <t>A 32770-2024</t>
        </is>
      </c>
      <c r="B307" s="1" t="n">
        <v>45516</v>
      </c>
      <c r="C307" s="1" t="n">
        <v>45730</v>
      </c>
      <c r="D307" t="inlineStr">
        <is>
          <t>JÄMTLANDS LÄN</t>
        </is>
      </c>
      <c r="E307" t="inlineStr">
        <is>
          <t>KROKOM</t>
        </is>
      </c>
      <c r="G307" t="n">
        <v>1</v>
      </c>
      <c r="H307" t="n">
        <v>0</v>
      </c>
      <c r="I307" t="n">
        <v>1</v>
      </c>
      <c r="J307" t="n">
        <v>0</v>
      </c>
      <c r="K307" t="n">
        <v>0</v>
      </c>
      <c r="L307" t="n">
        <v>0</v>
      </c>
      <c r="M307" t="n">
        <v>0</v>
      </c>
      <c r="N307" t="n">
        <v>0</v>
      </c>
      <c r="O307" t="n">
        <v>0</v>
      </c>
      <c r="P307" t="n">
        <v>0</v>
      </c>
      <c r="Q307" t="n">
        <v>1</v>
      </c>
      <c r="R307" s="2" t="inlineStr">
        <is>
          <t>Finbräken</t>
        </is>
      </c>
      <c r="S307">
        <f>HYPERLINK("https://klasma.github.io/Logging_2309/artfynd/A 32770-2024 artfynd.xlsx", "A 32770-2024")</f>
        <v/>
      </c>
      <c r="T307">
        <f>HYPERLINK("https://klasma.github.io/Logging_2309/kartor/A 32770-2024 karta.png", "A 32770-2024")</f>
        <v/>
      </c>
      <c r="V307">
        <f>HYPERLINK("https://klasma.github.io/Logging_2309/klagomål/A 32770-2024 FSC-klagomål.docx", "A 32770-2024")</f>
        <v/>
      </c>
      <c r="W307">
        <f>HYPERLINK("https://klasma.github.io/Logging_2309/klagomålsmail/A 32770-2024 FSC-klagomål mail.docx", "A 32770-2024")</f>
        <v/>
      </c>
      <c r="X307">
        <f>HYPERLINK("https://klasma.github.io/Logging_2309/tillsyn/A 32770-2024 tillsynsbegäran.docx", "A 32770-2024")</f>
        <v/>
      </c>
      <c r="Y307">
        <f>HYPERLINK("https://klasma.github.io/Logging_2309/tillsynsmail/A 32770-2024 tillsynsbegäran mail.docx", "A 32770-2024")</f>
        <v/>
      </c>
    </row>
    <row r="308" ht="15" customHeight="1">
      <c r="A308" t="inlineStr">
        <is>
          <t>A 49175-2024</t>
        </is>
      </c>
      <c r="B308" s="1" t="n">
        <v>45595</v>
      </c>
      <c r="C308" s="1" t="n">
        <v>45730</v>
      </c>
      <c r="D308" t="inlineStr">
        <is>
          <t>JÄMTLANDS LÄN</t>
        </is>
      </c>
      <c r="E308" t="inlineStr">
        <is>
          <t>KROKOM</t>
        </is>
      </c>
      <c r="G308" t="n">
        <v>172.9</v>
      </c>
      <c r="H308" t="n">
        <v>0</v>
      </c>
      <c r="I308" t="n">
        <v>0</v>
      </c>
      <c r="J308" t="n">
        <v>1</v>
      </c>
      <c r="K308" t="n">
        <v>0</v>
      </c>
      <c r="L308" t="n">
        <v>0</v>
      </c>
      <c r="M308" t="n">
        <v>0</v>
      </c>
      <c r="N308" t="n">
        <v>0</v>
      </c>
      <c r="O308" t="n">
        <v>1</v>
      </c>
      <c r="P308" t="n">
        <v>0</v>
      </c>
      <c r="Q308" t="n">
        <v>1</v>
      </c>
      <c r="R308" s="2" t="inlineStr">
        <is>
          <t>Granticka</t>
        </is>
      </c>
      <c r="S308">
        <f>HYPERLINK("https://klasma.github.io/Logging_2309/artfynd/A 49175-2024 artfynd.xlsx", "A 49175-2024")</f>
        <v/>
      </c>
      <c r="T308">
        <f>HYPERLINK("https://klasma.github.io/Logging_2309/kartor/A 49175-2024 karta.png", "A 49175-2024")</f>
        <v/>
      </c>
      <c r="V308">
        <f>HYPERLINK("https://klasma.github.io/Logging_2309/klagomål/A 49175-2024 FSC-klagomål.docx", "A 49175-2024")</f>
        <v/>
      </c>
      <c r="W308">
        <f>HYPERLINK("https://klasma.github.io/Logging_2309/klagomålsmail/A 49175-2024 FSC-klagomål mail.docx", "A 49175-2024")</f>
        <v/>
      </c>
      <c r="X308">
        <f>HYPERLINK("https://klasma.github.io/Logging_2309/tillsyn/A 49175-2024 tillsynsbegäran.docx", "A 49175-2024")</f>
        <v/>
      </c>
      <c r="Y308">
        <f>HYPERLINK("https://klasma.github.io/Logging_2309/tillsynsmail/A 49175-2024 tillsynsbegäran mail.docx", "A 49175-2024")</f>
        <v/>
      </c>
    </row>
    <row r="309" ht="15" customHeight="1">
      <c r="A309" t="inlineStr">
        <is>
          <t>A 49212-2024</t>
        </is>
      </c>
      <c r="B309" s="1" t="n">
        <v>45595</v>
      </c>
      <c r="C309" s="1" t="n">
        <v>45730</v>
      </c>
      <c r="D309" t="inlineStr">
        <is>
          <t>JÄMTLANDS LÄN</t>
        </is>
      </c>
      <c r="E309" t="inlineStr">
        <is>
          <t>KROKOM</t>
        </is>
      </c>
      <c r="G309" t="n">
        <v>2.8</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49212-2024 artfynd.xlsx", "A 49212-2024")</f>
        <v/>
      </c>
      <c r="T309">
        <f>HYPERLINK("https://klasma.github.io/Logging_2309/kartor/A 49212-2024 karta.png", "A 49212-2024")</f>
        <v/>
      </c>
      <c r="V309">
        <f>HYPERLINK("https://klasma.github.io/Logging_2309/klagomål/A 49212-2024 FSC-klagomål.docx", "A 49212-2024")</f>
        <v/>
      </c>
      <c r="W309">
        <f>HYPERLINK("https://klasma.github.io/Logging_2309/klagomålsmail/A 49212-2024 FSC-klagomål mail.docx", "A 49212-2024")</f>
        <v/>
      </c>
      <c r="X309">
        <f>HYPERLINK("https://klasma.github.io/Logging_2309/tillsyn/A 49212-2024 tillsynsbegäran.docx", "A 49212-2024")</f>
        <v/>
      </c>
      <c r="Y309">
        <f>HYPERLINK("https://klasma.github.io/Logging_2309/tillsynsmail/A 49212-2024 tillsynsbegäran mail.docx", "A 49212-2024")</f>
        <v/>
      </c>
      <c r="Z309">
        <f>HYPERLINK("https://klasma.github.io/Logging_2309/fåglar/A 49212-2024 prioriterade fågelarter.docx", "A 49212-2024")</f>
        <v/>
      </c>
    </row>
    <row r="310" ht="15" customHeight="1">
      <c r="A310" t="inlineStr">
        <is>
          <t>A 49385-2024</t>
        </is>
      </c>
      <c r="B310" s="1" t="n">
        <v>45595</v>
      </c>
      <c r="C310" s="1" t="n">
        <v>45730</v>
      </c>
      <c r="D310" t="inlineStr">
        <is>
          <t>JÄMTLANDS LÄN</t>
        </is>
      </c>
      <c r="E310" t="inlineStr">
        <is>
          <t>KROKOM</t>
        </is>
      </c>
      <c r="G310" t="n">
        <v>10.5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49385-2024 artfynd.xlsx", "A 49385-2024")</f>
        <v/>
      </c>
      <c r="T310">
        <f>HYPERLINK("https://klasma.github.io/Logging_2309/kartor/A 49385-2024 karta.png", "A 49385-2024")</f>
        <v/>
      </c>
      <c r="V310">
        <f>HYPERLINK("https://klasma.github.io/Logging_2309/klagomål/A 49385-2024 FSC-klagomål.docx", "A 49385-2024")</f>
        <v/>
      </c>
      <c r="W310">
        <f>HYPERLINK("https://klasma.github.io/Logging_2309/klagomålsmail/A 49385-2024 FSC-klagomål mail.docx", "A 49385-2024")</f>
        <v/>
      </c>
      <c r="X310">
        <f>HYPERLINK("https://klasma.github.io/Logging_2309/tillsyn/A 49385-2024 tillsynsbegäran.docx", "A 49385-2024")</f>
        <v/>
      </c>
      <c r="Y310">
        <f>HYPERLINK("https://klasma.github.io/Logging_2309/tillsynsmail/A 49385-2024 tillsynsbegäran mail.docx", "A 49385-2024")</f>
        <v/>
      </c>
      <c r="Z310">
        <f>HYPERLINK("https://klasma.github.io/Logging_2309/fåglar/A 49385-2024 prioriterade fågelarter.docx", "A 49385-2024")</f>
        <v/>
      </c>
    </row>
    <row r="311" ht="15" customHeight="1">
      <c r="A311" t="inlineStr">
        <is>
          <t>A 49387-2024</t>
        </is>
      </c>
      <c r="B311" s="1" t="n">
        <v>45595</v>
      </c>
      <c r="C311" s="1" t="n">
        <v>45730</v>
      </c>
      <c r="D311" t="inlineStr">
        <is>
          <t>JÄMTLANDS LÄN</t>
        </is>
      </c>
      <c r="E311" t="inlineStr">
        <is>
          <t>KROKOM</t>
        </is>
      </c>
      <c r="G311" t="n">
        <v>0.8</v>
      </c>
      <c r="H311" t="n">
        <v>0</v>
      </c>
      <c r="I311" t="n">
        <v>0</v>
      </c>
      <c r="J311" t="n">
        <v>1</v>
      </c>
      <c r="K311" t="n">
        <v>0</v>
      </c>
      <c r="L311" t="n">
        <v>0</v>
      </c>
      <c r="M311" t="n">
        <v>0</v>
      </c>
      <c r="N311" t="n">
        <v>0</v>
      </c>
      <c r="O311" t="n">
        <v>1</v>
      </c>
      <c r="P311" t="n">
        <v>0</v>
      </c>
      <c r="Q311" t="n">
        <v>1</v>
      </c>
      <c r="R311" s="2" t="inlineStr">
        <is>
          <t>Garnlav</t>
        </is>
      </c>
      <c r="S311">
        <f>HYPERLINK("https://klasma.github.io/Logging_2309/artfynd/A 49387-2024 artfynd.xlsx", "A 49387-2024")</f>
        <v/>
      </c>
      <c r="T311">
        <f>HYPERLINK("https://klasma.github.io/Logging_2309/kartor/A 49387-2024 karta.png", "A 49387-2024")</f>
        <v/>
      </c>
      <c r="V311">
        <f>HYPERLINK("https://klasma.github.io/Logging_2309/klagomål/A 49387-2024 FSC-klagomål.docx", "A 49387-2024")</f>
        <v/>
      </c>
      <c r="W311">
        <f>HYPERLINK("https://klasma.github.io/Logging_2309/klagomålsmail/A 49387-2024 FSC-klagomål mail.docx", "A 49387-2024")</f>
        <v/>
      </c>
      <c r="X311">
        <f>HYPERLINK("https://klasma.github.io/Logging_2309/tillsyn/A 49387-2024 tillsynsbegäran.docx", "A 49387-2024")</f>
        <v/>
      </c>
      <c r="Y311">
        <f>HYPERLINK("https://klasma.github.io/Logging_2309/tillsynsmail/A 49387-2024 tillsynsbegäran mail.docx", "A 49387-2024")</f>
        <v/>
      </c>
    </row>
    <row r="312" ht="15" customHeight="1">
      <c r="A312" t="inlineStr">
        <is>
          <t>A 49388-2024</t>
        </is>
      </c>
      <c r="B312" s="1" t="n">
        <v>45595</v>
      </c>
      <c r="C312" s="1" t="n">
        <v>45730</v>
      </c>
      <c r="D312" t="inlineStr">
        <is>
          <t>JÄMTLANDS LÄN</t>
        </is>
      </c>
      <c r="E312" t="inlineStr">
        <is>
          <t>KROKOM</t>
        </is>
      </c>
      <c r="G312" t="n">
        <v>7.4</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49388-2024 artfynd.xlsx", "A 49388-2024")</f>
        <v/>
      </c>
      <c r="T312">
        <f>HYPERLINK("https://klasma.github.io/Logging_2309/kartor/A 49388-2024 karta.png", "A 49388-2024")</f>
        <v/>
      </c>
      <c r="V312">
        <f>HYPERLINK("https://klasma.github.io/Logging_2309/klagomål/A 49388-2024 FSC-klagomål.docx", "A 49388-2024")</f>
        <v/>
      </c>
      <c r="W312">
        <f>HYPERLINK("https://klasma.github.io/Logging_2309/klagomålsmail/A 49388-2024 FSC-klagomål mail.docx", "A 49388-2024")</f>
        <v/>
      </c>
      <c r="X312">
        <f>HYPERLINK("https://klasma.github.io/Logging_2309/tillsyn/A 49388-2024 tillsynsbegäran.docx", "A 49388-2024")</f>
        <v/>
      </c>
      <c r="Y312">
        <f>HYPERLINK("https://klasma.github.io/Logging_2309/tillsynsmail/A 49388-2024 tillsynsbegäran mail.docx", "A 49388-2024")</f>
        <v/>
      </c>
      <c r="Z312">
        <f>HYPERLINK("https://klasma.github.io/Logging_2309/fåglar/A 49388-2024 prioriterade fågelarter.docx", "A 49388-2024")</f>
        <v/>
      </c>
    </row>
    <row r="313" ht="15" customHeight="1">
      <c r="A313" t="inlineStr">
        <is>
          <t>A 52182-2024</t>
        </is>
      </c>
      <c r="B313" s="1" t="n">
        <v>45608</v>
      </c>
      <c r="C313" s="1" t="n">
        <v>45730</v>
      </c>
      <c r="D313" t="inlineStr">
        <is>
          <t>JÄMTLANDS LÄN</t>
        </is>
      </c>
      <c r="E313" t="inlineStr">
        <is>
          <t>KROKOM</t>
        </is>
      </c>
      <c r="G313" t="n">
        <v>11.3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52182-2024 artfynd.xlsx", "A 52182-2024")</f>
        <v/>
      </c>
      <c r="T313">
        <f>HYPERLINK("https://klasma.github.io/Logging_2309/kartor/A 52182-2024 karta.png", "A 52182-2024")</f>
        <v/>
      </c>
      <c r="V313">
        <f>HYPERLINK("https://klasma.github.io/Logging_2309/klagomål/A 52182-2024 FSC-klagomål.docx", "A 52182-2024")</f>
        <v/>
      </c>
      <c r="W313">
        <f>HYPERLINK("https://klasma.github.io/Logging_2309/klagomålsmail/A 52182-2024 FSC-klagomål mail.docx", "A 52182-2024")</f>
        <v/>
      </c>
      <c r="X313">
        <f>HYPERLINK("https://klasma.github.io/Logging_2309/tillsyn/A 52182-2024 tillsynsbegäran.docx", "A 52182-2024")</f>
        <v/>
      </c>
      <c r="Y313">
        <f>HYPERLINK("https://klasma.github.io/Logging_2309/tillsynsmail/A 52182-2024 tillsynsbegäran mail.docx", "A 52182-2024")</f>
        <v/>
      </c>
      <c r="Z313">
        <f>HYPERLINK("https://klasma.github.io/Logging_2309/fåglar/A 52182-2024 prioriterade fågelarter.docx", "A 52182-2024")</f>
        <v/>
      </c>
    </row>
    <row r="314" ht="15" customHeight="1">
      <c r="A314" t="inlineStr">
        <is>
          <t>A 52473-2024</t>
        </is>
      </c>
      <c r="B314" s="1" t="n">
        <v>45609</v>
      </c>
      <c r="C314" s="1" t="n">
        <v>45730</v>
      </c>
      <c r="D314" t="inlineStr">
        <is>
          <t>JÄMTLANDS LÄN</t>
        </is>
      </c>
      <c r="E314" t="inlineStr">
        <is>
          <t>KROKOM</t>
        </is>
      </c>
      <c r="G314" t="n">
        <v>38.5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52473-2024 artfynd.xlsx", "A 52473-2024")</f>
        <v/>
      </c>
      <c r="T314">
        <f>HYPERLINK("https://klasma.github.io/Logging_2309/kartor/A 52473-2024 karta.png", "A 52473-2024")</f>
        <v/>
      </c>
      <c r="V314">
        <f>HYPERLINK("https://klasma.github.io/Logging_2309/klagomål/A 52473-2024 FSC-klagomål.docx", "A 52473-2024")</f>
        <v/>
      </c>
      <c r="W314">
        <f>HYPERLINK("https://klasma.github.io/Logging_2309/klagomålsmail/A 52473-2024 FSC-klagomål mail.docx", "A 52473-2024")</f>
        <v/>
      </c>
      <c r="X314">
        <f>HYPERLINK("https://klasma.github.io/Logging_2309/tillsyn/A 52473-2024 tillsynsbegäran.docx", "A 52473-2024")</f>
        <v/>
      </c>
      <c r="Y314">
        <f>HYPERLINK("https://klasma.github.io/Logging_2309/tillsynsmail/A 52473-2024 tillsynsbegäran mail.docx", "A 52473-2024")</f>
        <v/>
      </c>
      <c r="Z314">
        <f>HYPERLINK("https://klasma.github.io/Logging_2309/fåglar/A 52473-2024 prioriterade fågelarter.docx", "A 52473-2024")</f>
        <v/>
      </c>
    </row>
    <row r="315" ht="15" customHeight="1">
      <c r="A315" t="inlineStr">
        <is>
          <t>A 52486-2024</t>
        </is>
      </c>
      <c r="B315" s="1" t="n">
        <v>45609</v>
      </c>
      <c r="C315" s="1" t="n">
        <v>45730</v>
      </c>
      <c r="D315" t="inlineStr">
        <is>
          <t>JÄMTLANDS LÄN</t>
        </is>
      </c>
      <c r="E315" t="inlineStr">
        <is>
          <t>KROKOM</t>
        </is>
      </c>
      <c r="G315" t="n">
        <v>20.6</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52486-2024 artfynd.xlsx", "A 52486-2024")</f>
        <v/>
      </c>
      <c r="T315">
        <f>HYPERLINK("https://klasma.github.io/Logging_2309/kartor/A 52486-2024 karta.png", "A 52486-2024")</f>
        <v/>
      </c>
      <c r="V315">
        <f>HYPERLINK("https://klasma.github.io/Logging_2309/klagomål/A 52486-2024 FSC-klagomål.docx", "A 52486-2024")</f>
        <v/>
      </c>
      <c r="W315">
        <f>HYPERLINK("https://klasma.github.io/Logging_2309/klagomålsmail/A 52486-2024 FSC-klagomål mail.docx", "A 52486-2024")</f>
        <v/>
      </c>
      <c r="X315">
        <f>HYPERLINK("https://klasma.github.io/Logging_2309/tillsyn/A 52486-2024 tillsynsbegäran.docx", "A 52486-2024")</f>
        <v/>
      </c>
      <c r="Y315">
        <f>HYPERLINK("https://klasma.github.io/Logging_2309/tillsynsmail/A 52486-2024 tillsynsbegäran mail.docx", "A 52486-2024")</f>
        <v/>
      </c>
      <c r="Z315">
        <f>HYPERLINK("https://klasma.github.io/Logging_2309/fåglar/A 52486-2024 prioriterade fågelarter.docx", "A 52486-2024")</f>
        <v/>
      </c>
    </row>
    <row r="316" ht="15" customHeight="1">
      <c r="A316" t="inlineStr">
        <is>
          <t>A 55387-2024</t>
        </is>
      </c>
      <c r="B316" s="1" t="n">
        <v>45622</v>
      </c>
      <c r="C316" s="1" t="n">
        <v>45730</v>
      </c>
      <c r="D316" t="inlineStr">
        <is>
          <t>JÄMTLANDS LÄN</t>
        </is>
      </c>
      <c r="E316" t="inlineStr">
        <is>
          <t>KROKOM</t>
        </is>
      </c>
      <c r="G316" t="n">
        <v>8.6</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55387-2024 artfynd.xlsx", "A 55387-2024")</f>
        <v/>
      </c>
      <c r="T316">
        <f>HYPERLINK("https://klasma.github.io/Logging_2309/kartor/A 55387-2024 karta.png", "A 55387-2024")</f>
        <v/>
      </c>
      <c r="V316">
        <f>HYPERLINK("https://klasma.github.io/Logging_2309/klagomål/A 55387-2024 FSC-klagomål.docx", "A 55387-2024")</f>
        <v/>
      </c>
      <c r="W316">
        <f>HYPERLINK("https://klasma.github.io/Logging_2309/klagomålsmail/A 55387-2024 FSC-klagomål mail.docx", "A 55387-2024")</f>
        <v/>
      </c>
      <c r="X316">
        <f>HYPERLINK("https://klasma.github.io/Logging_2309/tillsyn/A 55387-2024 tillsynsbegäran.docx", "A 55387-2024")</f>
        <v/>
      </c>
      <c r="Y316">
        <f>HYPERLINK("https://klasma.github.io/Logging_2309/tillsynsmail/A 55387-2024 tillsynsbegäran mail.docx", "A 55387-2024")</f>
        <v/>
      </c>
      <c r="Z316">
        <f>HYPERLINK("https://klasma.github.io/Logging_2309/fåglar/A 55387-2024 prioriterade fågelarter.docx", "A 55387-2024")</f>
        <v/>
      </c>
    </row>
    <row r="317" ht="15" customHeight="1">
      <c r="A317" t="inlineStr">
        <is>
          <t>A 56122-2024</t>
        </is>
      </c>
      <c r="B317" s="1" t="n">
        <v>45624</v>
      </c>
      <c r="C317" s="1" t="n">
        <v>45730</v>
      </c>
      <c r="D317" t="inlineStr">
        <is>
          <t>JÄMTLANDS LÄN</t>
        </is>
      </c>
      <c r="E317" t="inlineStr">
        <is>
          <t>KROKOM</t>
        </is>
      </c>
      <c r="G317" t="n">
        <v>5.1</v>
      </c>
      <c r="H317" t="n">
        <v>0</v>
      </c>
      <c r="I317" t="n">
        <v>1</v>
      </c>
      <c r="J317" t="n">
        <v>0</v>
      </c>
      <c r="K317" t="n">
        <v>0</v>
      </c>
      <c r="L317" t="n">
        <v>0</v>
      </c>
      <c r="M317" t="n">
        <v>0</v>
      </c>
      <c r="N317" t="n">
        <v>0</v>
      </c>
      <c r="O317" t="n">
        <v>0</v>
      </c>
      <c r="P317" t="n">
        <v>0</v>
      </c>
      <c r="Q317" t="n">
        <v>1</v>
      </c>
      <c r="R317" s="2" t="inlineStr">
        <is>
          <t>Kransrams</t>
        </is>
      </c>
      <c r="S317">
        <f>HYPERLINK("https://klasma.github.io/Logging_2309/artfynd/A 56122-2024 artfynd.xlsx", "A 56122-2024")</f>
        <v/>
      </c>
      <c r="T317">
        <f>HYPERLINK("https://klasma.github.io/Logging_2309/kartor/A 56122-2024 karta.png", "A 56122-2024")</f>
        <v/>
      </c>
      <c r="V317">
        <f>HYPERLINK("https://klasma.github.io/Logging_2309/klagomål/A 56122-2024 FSC-klagomål.docx", "A 56122-2024")</f>
        <v/>
      </c>
      <c r="W317">
        <f>HYPERLINK("https://klasma.github.io/Logging_2309/klagomålsmail/A 56122-2024 FSC-klagomål mail.docx", "A 56122-2024")</f>
        <v/>
      </c>
      <c r="X317">
        <f>HYPERLINK("https://klasma.github.io/Logging_2309/tillsyn/A 56122-2024 tillsynsbegäran.docx", "A 56122-2024")</f>
        <v/>
      </c>
      <c r="Y317">
        <f>HYPERLINK("https://klasma.github.io/Logging_2309/tillsynsmail/A 56122-2024 tillsynsbegäran mail.docx", "A 56122-2024")</f>
        <v/>
      </c>
    </row>
    <row r="318" ht="15" customHeight="1">
      <c r="A318" t="inlineStr">
        <is>
          <t>A 57468-2024</t>
        </is>
      </c>
      <c r="B318" s="1" t="n">
        <v>45630</v>
      </c>
      <c r="C318" s="1" t="n">
        <v>45730</v>
      </c>
      <c r="D318" t="inlineStr">
        <is>
          <t>JÄMTLANDS LÄN</t>
        </is>
      </c>
      <c r="E318" t="inlineStr">
        <is>
          <t>KROKOM</t>
        </is>
      </c>
      <c r="G318" t="n">
        <v>38.8</v>
      </c>
      <c r="H318" t="n">
        <v>0</v>
      </c>
      <c r="I318" t="n">
        <v>0</v>
      </c>
      <c r="J318" t="n">
        <v>1</v>
      </c>
      <c r="K318" t="n">
        <v>0</v>
      </c>
      <c r="L318" t="n">
        <v>0</v>
      </c>
      <c r="M318" t="n">
        <v>0</v>
      </c>
      <c r="N318" t="n">
        <v>0</v>
      </c>
      <c r="O318" t="n">
        <v>1</v>
      </c>
      <c r="P318" t="n">
        <v>0</v>
      </c>
      <c r="Q318" t="n">
        <v>1</v>
      </c>
      <c r="R318" s="2" t="inlineStr">
        <is>
          <t>Gränsticka</t>
        </is>
      </c>
      <c r="S318">
        <f>HYPERLINK("https://klasma.github.io/Logging_2309/artfynd/A 57468-2024 artfynd.xlsx", "A 57468-2024")</f>
        <v/>
      </c>
      <c r="T318">
        <f>HYPERLINK("https://klasma.github.io/Logging_2309/kartor/A 57468-2024 karta.png", "A 57468-2024")</f>
        <v/>
      </c>
      <c r="V318">
        <f>HYPERLINK("https://klasma.github.io/Logging_2309/klagomål/A 57468-2024 FSC-klagomål.docx", "A 57468-2024")</f>
        <v/>
      </c>
      <c r="W318">
        <f>HYPERLINK("https://klasma.github.io/Logging_2309/klagomålsmail/A 57468-2024 FSC-klagomål mail.docx", "A 57468-2024")</f>
        <v/>
      </c>
      <c r="X318">
        <f>HYPERLINK("https://klasma.github.io/Logging_2309/tillsyn/A 57468-2024 tillsynsbegäran.docx", "A 57468-2024")</f>
        <v/>
      </c>
      <c r="Y318">
        <f>HYPERLINK("https://klasma.github.io/Logging_2309/tillsynsmail/A 57468-2024 tillsynsbegäran mail.docx", "A 57468-2024")</f>
        <v/>
      </c>
    </row>
    <row r="319" ht="15" customHeight="1">
      <c r="A319" t="inlineStr">
        <is>
          <t>A 58805-2024</t>
        </is>
      </c>
      <c r="B319" s="1" t="n">
        <v>45635</v>
      </c>
      <c r="C319" s="1" t="n">
        <v>45730</v>
      </c>
      <c r="D319" t="inlineStr">
        <is>
          <t>JÄMTLANDS LÄN</t>
        </is>
      </c>
      <c r="E319" t="inlineStr">
        <is>
          <t>KROKOM</t>
        </is>
      </c>
      <c r="G319" t="n">
        <v>4.7</v>
      </c>
      <c r="H319" t="n">
        <v>1</v>
      </c>
      <c r="I319" t="n">
        <v>0</v>
      </c>
      <c r="J319" t="n">
        <v>0</v>
      </c>
      <c r="K319" t="n">
        <v>0</v>
      </c>
      <c r="L319" t="n">
        <v>0</v>
      </c>
      <c r="M319" t="n">
        <v>0</v>
      </c>
      <c r="N319" t="n">
        <v>0</v>
      </c>
      <c r="O319" t="n">
        <v>0</v>
      </c>
      <c r="P319" t="n">
        <v>0</v>
      </c>
      <c r="Q319" t="n">
        <v>1</v>
      </c>
      <c r="R319" s="2" t="inlineStr">
        <is>
          <t>Brudsporre</t>
        </is>
      </c>
      <c r="S319">
        <f>HYPERLINK("https://klasma.github.io/Logging_2309/artfynd/A 58805-2024 artfynd.xlsx", "A 58805-2024")</f>
        <v/>
      </c>
      <c r="T319">
        <f>HYPERLINK("https://klasma.github.io/Logging_2309/kartor/A 58805-2024 karta.png", "A 58805-2024")</f>
        <v/>
      </c>
      <c r="V319">
        <f>HYPERLINK("https://klasma.github.io/Logging_2309/klagomål/A 58805-2024 FSC-klagomål.docx", "A 58805-2024")</f>
        <v/>
      </c>
      <c r="W319">
        <f>HYPERLINK("https://klasma.github.io/Logging_2309/klagomålsmail/A 58805-2024 FSC-klagomål mail.docx", "A 58805-2024")</f>
        <v/>
      </c>
      <c r="X319">
        <f>HYPERLINK("https://klasma.github.io/Logging_2309/tillsyn/A 58805-2024 tillsynsbegäran.docx", "A 58805-2024")</f>
        <v/>
      </c>
      <c r="Y319">
        <f>HYPERLINK("https://klasma.github.io/Logging_2309/tillsynsmail/A 58805-2024 tillsynsbegäran mail.docx", "A 58805-2024")</f>
        <v/>
      </c>
    </row>
    <row r="320" ht="15" customHeight="1">
      <c r="A320" t="inlineStr">
        <is>
          <t>A 60415-2024</t>
        </is>
      </c>
      <c r="B320" s="1" t="n">
        <v>45643</v>
      </c>
      <c r="C320" s="1" t="n">
        <v>45730</v>
      </c>
      <c r="D320" t="inlineStr">
        <is>
          <t>JÄMTLANDS LÄN</t>
        </is>
      </c>
      <c r="E320" t="inlineStr">
        <is>
          <t>KROKOM</t>
        </is>
      </c>
      <c r="G320" t="n">
        <v>21.4</v>
      </c>
      <c r="H320" t="n">
        <v>0</v>
      </c>
      <c r="I320" t="n">
        <v>1</v>
      </c>
      <c r="J320" t="n">
        <v>0</v>
      </c>
      <c r="K320" t="n">
        <v>0</v>
      </c>
      <c r="L320" t="n">
        <v>0</v>
      </c>
      <c r="M320" t="n">
        <v>0</v>
      </c>
      <c r="N320" t="n">
        <v>0</v>
      </c>
      <c r="O320" t="n">
        <v>0</v>
      </c>
      <c r="P320" t="n">
        <v>0</v>
      </c>
      <c r="Q320" t="n">
        <v>1</v>
      </c>
      <c r="R320" s="2" t="inlineStr">
        <is>
          <t>Kransrams</t>
        </is>
      </c>
      <c r="S320">
        <f>HYPERLINK("https://klasma.github.io/Logging_2309/artfynd/A 60415-2024 artfynd.xlsx", "A 60415-2024")</f>
        <v/>
      </c>
      <c r="T320">
        <f>HYPERLINK("https://klasma.github.io/Logging_2309/kartor/A 60415-2024 karta.png", "A 60415-2024")</f>
        <v/>
      </c>
      <c r="V320">
        <f>HYPERLINK("https://klasma.github.io/Logging_2309/klagomål/A 60415-2024 FSC-klagomål.docx", "A 60415-2024")</f>
        <v/>
      </c>
      <c r="W320">
        <f>HYPERLINK("https://klasma.github.io/Logging_2309/klagomålsmail/A 60415-2024 FSC-klagomål mail.docx", "A 60415-2024")</f>
        <v/>
      </c>
      <c r="X320">
        <f>HYPERLINK("https://klasma.github.io/Logging_2309/tillsyn/A 60415-2024 tillsynsbegäran.docx", "A 60415-2024")</f>
        <v/>
      </c>
      <c r="Y320">
        <f>HYPERLINK("https://klasma.github.io/Logging_2309/tillsynsmail/A 60415-2024 tillsynsbegäran mail.docx", "A 60415-2024")</f>
        <v/>
      </c>
    </row>
    <row r="321" ht="15" customHeight="1">
      <c r="A321" t="inlineStr">
        <is>
          <t>A 60824-2024</t>
        </is>
      </c>
      <c r="B321" s="1" t="n">
        <v>45644</v>
      </c>
      <c r="C321" s="1" t="n">
        <v>45730</v>
      </c>
      <c r="D321" t="inlineStr">
        <is>
          <t>JÄMTLANDS LÄN</t>
        </is>
      </c>
      <c r="E321" t="inlineStr">
        <is>
          <t>KROKOM</t>
        </is>
      </c>
      <c r="G321" t="n">
        <v>19.5</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60824-2024 artfynd.xlsx", "A 60824-2024")</f>
        <v/>
      </c>
      <c r="T321">
        <f>HYPERLINK("https://klasma.github.io/Logging_2309/kartor/A 60824-2024 karta.png", "A 60824-2024")</f>
        <v/>
      </c>
      <c r="V321">
        <f>HYPERLINK("https://klasma.github.io/Logging_2309/klagomål/A 60824-2024 FSC-klagomål.docx", "A 60824-2024")</f>
        <v/>
      </c>
      <c r="W321">
        <f>HYPERLINK("https://klasma.github.io/Logging_2309/klagomålsmail/A 60824-2024 FSC-klagomål mail.docx", "A 60824-2024")</f>
        <v/>
      </c>
      <c r="X321">
        <f>HYPERLINK("https://klasma.github.io/Logging_2309/tillsyn/A 60824-2024 tillsynsbegäran.docx", "A 60824-2024")</f>
        <v/>
      </c>
      <c r="Y321">
        <f>HYPERLINK("https://klasma.github.io/Logging_2309/tillsynsmail/A 60824-2024 tillsynsbegäran mail.docx", "A 60824-2024")</f>
        <v/>
      </c>
      <c r="Z321">
        <f>HYPERLINK("https://klasma.github.io/Logging_2309/fåglar/A 60824-2024 prioriterade fågelarter.docx", "A 60824-2024")</f>
        <v/>
      </c>
    </row>
    <row r="322" ht="15" customHeight="1">
      <c r="A322" t="inlineStr">
        <is>
          <t>A 61240-2024</t>
        </is>
      </c>
      <c r="B322" s="1" t="n">
        <v>45645</v>
      </c>
      <c r="C322" s="1" t="n">
        <v>45730</v>
      </c>
      <c r="D322" t="inlineStr">
        <is>
          <t>JÄMTLANDS LÄN</t>
        </is>
      </c>
      <c r="E322" t="inlineStr">
        <is>
          <t>KROKOM</t>
        </is>
      </c>
      <c r="G322" t="n">
        <v>5.7</v>
      </c>
      <c r="H322" t="n">
        <v>1</v>
      </c>
      <c r="I322" t="n">
        <v>0</v>
      </c>
      <c r="J322" t="n">
        <v>0</v>
      </c>
      <c r="K322" t="n">
        <v>0</v>
      </c>
      <c r="L322" t="n">
        <v>0</v>
      </c>
      <c r="M322" t="n">
        <v>0</v>
      </c>
      <c r="N322" t="n">
        <v>0</v>
      </c>
      <c r="O322" t="n">
        <v>0</v>
      </c>
      <c r="P322" t="n">
        <v>0</v>
      </c>
      <c r="Q322" t="n">
        <v>1</v>
      </c>
      <c r="R322" s="2" t="inlineStr">
        <is>
          <t>Pärluggla</t>
        </is>
      </c>
      <c r="S322">
        <f>HYPERLINK("https://klasma.github.io/Logging_2309/artfynd/A 61240-2024 artfynd.xlsx", "A 61240-2024")</f>
        <v/>
      </c>
      <c r="T322">
        <f>HYPERLINK("https://klasma.github.io/Logging_2309/kartor/A 61240-2024 karta.png", "A 61240-2024")</f>
        <v/>
      </c>
      <c r="V322">
        <f>HYPERLINK("https://klasma.github.io/Logging_2309/klagomål/A 61240-2024 FSC-klagomål.docx", "A 61240-2024")</f>
        <v/>
      </c>
      <c r="W322">
        <f>HYPERLINK("https://klasma.github.io/Logging_2309/klagomålsmail/A 61240-2024 FSC-klagomål mail.docx", "A 61240-2024")</f>
        <v/>
      </c>
      <c r="X322">
        <f>HYPERLINK("https://klasma.github.io/Logging_2309/tillsyn/A 61240-2024 tillsynsbegäran.docx", "A 61240-2024")</f>
        <v/>
      </c>
      <c r="Y322">
        <f>HYPERLINK("https://klasma.github.io/Logging_2309/tillsynsmail/A 61240-2024 tillsynsbegäran mail.docx", "A 61240-2024")</f>
        <v/>
      </c>
      <c r="Z322">
        <f>HYPERLINK("https://klasma.github.io/Logging_2309/fåglar/A 61240-2024 prioriterade fågelarter.docx", "A 61240-2024")</f>
        <v/>
      </c>
    </row>
    <row r="323" ht="15" customHeight="1">
      <c r="A323" t="inlineStr">
        <is>
          <t>A 62165-2024</t>
        </is>
      </c>
      <c r="B323" s="1" t="n">
        <v>45657</v>
      </c>
      <c r="C323" s="1" t="n">
        <v>45730</v>
      </c>
      <c r="D323" t="inlineStr">
        <is>
          <t>JÄMTLANDS LÄN</t>
        </is>
      </c>
      <c r="E323" t="inlineStr">
        <is>
          <t>KROKOM</t>
        </is>
      </c>
      <c r="G323" t="n">
        <v>5</v>
      </c>
      <c r="H323" t="n">
        <v>1</v>
      </c>
      <c r="I323" t="n">
        <v>1</v>
      </c>
      <c r="J323" t="n">
        <v>0</v>
      </c>
      <c r="K323" t="n">
        <v>0</v>
      </c>
      <c r="L323" t="n">
        <v>0</v>
      </c>
      <c r="M323" t="n">
        <v>0</v>
      </c>
      <c r="N323" t="n">
        <v>0</v>
      </c>
      <c r="O323" t="n">
        <v>0</v>
      </c>
      <c r="P323" t="n">
        <v>0</v>
      </c>
      <c r="Q323" t="n">
        <v>1</v>
      </c>
      <c r="R323" s="2" t="inlineStr">
        <is>
          <t>Guckusko</t>
        </is>
      </c>
      <c r="S323">
        <f>HYPERLINK("https://klasma.github.io/Logging_2309/artfynd/A 62165-2024 artfynd.xlsx", "A 62165-2024")</f>
        <v/>
      </c>
      <c r="T323">
        <f>HYPERLINK("https://klasma.github.io/Logging_2309/kartor/A 62165-2024 karta.png", "A 62165-2024")</f>
        <v/>
      </c>
      <c r="V323">
        <f>HYPERLINK("https://klasma.github.io/Logging_2309/klagomål/A 62165-2024 FSC-klagomål.docx", "A 62165-2024")</f>
        <v/>
      </c>
      <c r="W323">
        <f>HYPERLINK("https://klasma.github.io/Logging_2309/klagomålsmail/A 62165-2024 FSC-klagomål mail.docx", "A 62165-2024")</f>
        <v/>
      </c>
      <c r="X323">
        <f>HYPERLINK("https://klasma.github.io/Logging_2309/tillsyn/A 62165-2024 tillsynsbegäran.docx", "A 62165-2024")</f>
        <v/>
      </c>
      <c r="Y323">
        <f>HYPERLINK("https://klasma.github.io/Logging_2309/tillsynsmail/A 62165-2024 tillsynsbegäran mail.docx", "A 62165-2024")</f>
        <v/>
      </c>
    </row>
    <row r="324" ht="15" customHeight="1">
      <c r="A324" t="inlineStr">
        <is>
          <t>A 2021-2025</t>
        </is>
      </c>
      <c r="B324" s="1" t="n">
        <v>45672</v>
      </c>
      <c r="C324" s="1" t="n">
        <v>45730</v>
      </c>
      <c r="D324" t="inlineStr">
        <is>
          <t>JÄMTLANDS LÄN</t>
        </is>
      </c>
      <c r="E324" t="inlineStr">
        <is>
          <t>KROKOM</t>
        </is>
      </c>
      <c r="G324" t="n">
        <v>5.4</v>
      </c>
      <c r="H324" t="n">
        <v>1</v>
      </c>
      <c r="I324" t="n">
        <v>1</v>
      </c>
      <c r="J324" t="n">
        <v>0</v>
      </c>
      <c r="K324" t="n">
        <v>0</v>
      </c>
      <c r="L324" t="n">
        <v>0</v>
      </c>
      <c r="M324" t="n">
        <v>0</v>
      </c>
      <c r="N324" t="n">
        <v>0</v>
      </c>
      <c r="O324" t="n">
        <v>0</v>
      </c>
      <c r="P324" t="n">
        <v>0</v>
      </c>
      <c r="Q324" t="n">
        <v>1</v>
      </c>
      <c r="R324" s="2" t="inlineStr">
        <is>
          <t>Guckusko</t>
        </is>
      </c>
      <c r="S324">
        <f>HYPERLINK("https://klasma.github.io/Logging_2309/artfynd/A 2021-2025 artfynd.xlsx", "A 2021-2025")</f>
        <v/>
      </c>
      <c r="T324">
        <f>HYPERLINK("https://klasma.github.io/Logging_2309/kartor/A 2021-2025 karta.png", "A 2021-2025")</f>
        <v/>
      </c>
      <c r="V324">
        <f>HYPERLINK("https://klasma.github.io/Logging_2309/klagomål/A 2021-2025 FSC-klagomål.docx", "A 2021-2025")</f>
        <v/>
      </c>
      <c r="W324">
        <f>HYPERLINK("https://klasma.github.io/Logging_2309/klagomålsmail/A 2021-2025 FSC-klagomål mail.docx", "A 2021-2025")</f>
        <v/>
      </c>
      <c r="X324">
        <f>HYPERLINK("https://klasma.github.io/Logging_2309/tillsyn/A 2021-2025 tillsynsbegäran.docx", "A 2021-2025")</f>
        <v/>
      </c>
      <c r="Y324">
        <f>HYPERLINK("https://klasma.github.io/Logging_2309/tillsynsmail/A 2021-2025 tillsynsbegäran mail.docx", "A 2021-2025")</f>
        <v/>
      </c>
    </row>
    <row r="325" ht="15" customHeight="1">
      <c r="A325" t="inlineStr">
        <is>
          <t>A 4331-2025</t>
        </is>
      </c>
      <c r="B325" s="1" t="n">
        <v>45685</v>
      </c>
      <c r="C325" s="1" t="n">
        <v>45730</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4331-2025 artfynd.xlsx", "A 4331-2025")</f>
        <v/>
      </c>
      <c r="T325">
        <f>HYPERLINK("https://klasma.github.io/Logging_2309/kartor/A 4331-2025 karta.png", "A 4331-2025")</f>
        <v/>
      </c>
      <c r="V325">
        <f>HYPERLINK("https://klasma.github.io/Logging_2309/klagomål/A 4331-2025 FSC-klagomål.docx", "A 4331-2025")</f>
        <v/>
      </c>
      <c r="W325">
        <f>HYPERLINK("https://klasma.github.io/Logging_2309/klagomålsmail/A 4331-2025 FSC-klagomål mail.docx", "A 4331-2025")</f>
        <v/>
      </c>
      <c r="X325">
        <f>HYPERLINK("https://klasma.github.io/Logging_2309/tillsyn/A 4331-2025 tillsynsbegäran.docx", "A 4331-2025")</f>
        <v/>
      </c>
      <c r="Y325">
        <f>HYPERLINK("https://klasma.github.io/Logging_2309/tillsynsmail/A 4331-2025 tillsynsbegäran mail.docx", "A 4331-2025")</f>
        <v/>
      </c>
    </row>
    <row r="326" ht="15" customHeight="1">
      <c r="A326" t="inlineStr">
        <is>
          <t>A 4348-2025</t>
        </is>
      </c>
      <c r="B326" s="1" t="n">
        <v>45686</v>
      </c>
      <c r="C326" s="1" t="n">
        <v>45730</v>
      </c>
      <c r="D326" t="inlineStr">
        <is>
          <t>JÄMTLANDS LÄN</t>
        </is>
      </c>
      <c r="E326" t="inlineStr">
        <is>
          <t>KROKOM</t>
        </is>
      </c>
      <c r="G326" t="n">
        <v>9.199999999999999</v>
      </c>
      <c r="H326" t="n">
        <v>0</v>
      </c>
      <c r="I326" t="n">
        <v>1</v>
      </c>
      <c r="J326" t="n">
        <v>0</v>
      </c>
      <c r="K326" t="n">
        <v>0</v>
      </c>
      <c r="L326" t="n">
        <v>0</v>
      </c>
      <c r="M326" t="n">
        <v>0</v>
      </c>
      <c r="N326" t="n">
        <v>0</v>
      </c>
      <c r="O326" t="n">
        <v>0</v>
      </c>
      <c r="P326" t="n">
        <v>0</v>
      </c>
      <c r="Q326" t="n">
        <v>1</v>
      </c>
      <c r="R326" s="2" t="inlineStr">
        <is>
          <t>Gytterlav</t>
        </is>
      </c>
      <c r="S326">
        <f>HYPERLINK("https://klasma.github.io/Logging_2309/artfynd/A 4348-2025 artfynd.xlsx", "A 4348-2025")</f>
        <v/>
      </c>
      <c r="T326">
        <f>HYPERLINK("https://klasma.github.io/Logging_2309/kartor/A 4348-2025 karta.png", "A 4348-2025")</f>
        <v/>
      </c>
      <c r="V326">
        <f>HYPERLINK("https://klasma.github.io/Logging_2309/klagomål/A 4348-2025 FSC-klagomål.docx", "A 4348-2025")</f>
        <v/>
      </c>
      <c r="W326">
        <f>HYPERLINK("https://klasma.github.io/Logging_2309/klagomålsmail/A 4348-2025 FSC-klagomål mail.docx", "A 4348-2025")</f>
        <v/>
      </c>
      <c r="X326">
        <f>HYPERLINK("https://klasma.github.io/Logging_2309/tillsyn/A 4348-2025 tillsynsbegäran.docx", "A 4348-2025")</f>
        <v/>
      </c>
      <c r="Y326">
        <f>HYPERLINK("https://klasma.github.io/Logging_2309/tillsynsmail/A 4348-2025 tillsynsbegäran mail.docx", "A 4348-2025")</f>
        <v/>
      </c>
    </row>
    <row r="327" ht="15" customHeight="1">
      <c r="A327" t="inlineStr">
        <is>
          <t>A 5919-2025</t>
        </is>
      </c>
      <c r="B327" s="1" t="n">
        <v>45695</v>
      </c>
      <c r="C327" s="1" t="n">
        <v>45730</v>
      </c>
      <c r="D327" t="inlineStr">
        <is>
          <t>JÄMTLANDS LÄN</t>
        </is>
      </c>
      <c r="E327" t="inlineStr">
        <is>
          <t>KROKOM</t>
        </is>
      </c>
      <c r="G327" t="n">
        <v>2.7</v>
      </c>
      <c r="H327" t="n">
        <v>0</v>
      </c>
      <c r="I327" t="n">
        <v>0</v>
      </c>
      <c r="J327" t="n">
        <v>1</v>
      </c>
      <c r="K327" t="n">
        <v>0</v>
      </c>
      <c r="L327" t="n">
        <v>0</v>
      </c>
      <c r="M327" t="n">
        <v>0</v>
      </c>
      <c r="N327" t="n">
        <v>0</v>
      </c>
      <c r="O327" t="n">
        <v>1</v>
      </c>
      <c r="P327" t="n">
        <v>0</v>
      </c>
      <c r="Q327" t="n">
        <v>1</v>
      </c>
      <c r="R327" s="2" t="inlineStr">
        <is>
          <t>Skogshare</t>
        </is>
      </c>
      <c r="S327">
        <f>HYPERLINK("https://klasma.github.io/Logging_2309/artfynd/A 5919-2025 artfynd.xlsx", "A 5919-2025")</f>
        <v/>
      </c>
      <c r="T327">
        <f>HYPERLINK("https://klasma.github.io/Logging_2309/kartor/A 5919-2025 karta.png", "A 5919-2025")</f>
        <v/>
      </c>
      <c r="V327">
        <f>HYPERLINK("https://klasma.github.io/Logging_2309/klagomål/A 5919-2025 FSC-klagomål.docx", "A 5919-2025")</f>
        <v/>
      </c>
      <c r="W327">
        <f>HYPERLINK("https://klasma.github.io/Logging_2309/klagomålsmail/A 5919-2025 FSC-klagomål mail.docx", "A 5919-2025")</f>
        <v/>
      </c>
      <c r="X327">
        <f>HYPERLINK("https://klasma.github.io/Logging_2309/tillsyn/A 5919-2025 tillsynsbegäran.docx", "A 5919-2025")</f>
        <v/>
      </c>
      <c r="Y327">
        <f>HYPERLINK("https://klasma.github.io/Logging_2309/tillsynsmail/A 5919-2025 tillsynsbegäran mail.docx", "A 5919-2025")</f>
        <v/>
      </c>
    </row>
    <row r="328" ht="15" customHeight="1">
      <c r="A328" t="inlineStr">
        <is>
          <t>A 5918-2025</t>
        </is>
      </c>
      <c r="B328" s="1" t="n">
        <v>45695</v>
      </c>
      <c r="C328" s="1" t="n">
        <v>45730</v>
      </c>
      <c r="D328" t="inlineStr">
        <is>
          <t>JÄMTLANDS LÄN</t>
        </is>
      </c>
      <c r="E328" t="inlineStr">
        <is>
          <t>KROKOM</t>
        </is>
      </c>
      <c r="G328" t="n">
        <v>5.7</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5918-2025 artfynd.xlsx", "A 5918-2025")</f>
        <v/>
      </c>
      <c r="T328">
        <f>HYPERLINK("https://klasma.github.io/Logging_2309/kartor/A 5918-2025 karta.png", "A 5918-2025")</f>
        <v/>
      </c>
      <c r="V328">
        <f>HYPERLINK("https://klasma.github.io/Logging_2309/klagomål/A 5918-2025 FSC-klagomål.docx", "A 5918-2025")</f>
        <v/>
      </c>
      <c r="W328">
        <f>HYPERLINK("https://klasma.github.io/Logging_2309/klagomålsmail/A 5918-2025 FSC-klagomål mail.docx", "A 5918-2025")</f>
        <v/>
      </c>
      <c r="X328">
        <f>HYPERLINK("https://klasma.github.io/Logging_2309/tillsyn/A 5918-2025 tillsynsbegäran.docx", "A 5918-2025")</f>
        <v/>
      </c>
      <c r="Y328">
        <f>HYPERLINK("https://klasma.github.io/Logging_2309/tillsynsmail/A 5918-2025 tillsynsbegäran mail.docx", "A 5918-2025")</f>
        <v/>
      </c>
      <c r="Z328">
        <f>HYPERLINK("https://klasma.github.io/Logging_2309/fåglar/A 5918-2025 prioriterade fågelarter.docx", "A 5918-2025")</f>
        <v/>
      </c>
    </row>
    <row r="329" ht="15" customHeight="1">
      <c r="A329" t="inlineStr">
        <is>
          <t>A 6398-2025</t>
        </is>
      </c>
      <c r="B329" s="1" t="n">
        <v>45699</v>
      </c>
      <c r="C329" s="1" t="n">
        <v>45730</v>
      </c>
      <c r="D329" t="inlineStr">
        <is>
          <t>JÄMTLANDS LÄN</t>
        </is>
      </c>
      <c r="E329" t="inlineStr">
        <is>
          <t>KROKOM</t>
        </is>
      </c>
      <c r="G329" t="n">
        <v>5.2</v>
      </c>
      <c r="H329" t="n">
        <v>0</v>
      </c>
      <c r="I329" t="n">
        <v>0</v>
      </c>
      <c r="J329" t="n">
        <v>0</v>
      </c>
      <c r="K329" t="n">
        <v>0</v>
      </c>
      <c r="L329" t="n">
        <v>1</v>
      </c>
      <c r="M329" t="n">
        <v>0</v>
      </c>
      <c r="N329" t="n">
        <v>0</v>
      </c>
      <c r="O329" t="n">
        <v>1</v>
      </c>
      <c r="P329" t="n">
        <v>1</v>
      </c>
      <c r="Q329" t="n">
        <v>1</v>
      </c>
      <c r="R329" s="2" t="inlineStr">
        <is>
          <t>Fältgentiana</t>
        </is>
      </c>
      <c r="S329">
        <f>HYPERLINK("https://klasma.github.io/Logging_2309/artfynd/A 6398-2025 artfynd.xlsx", "A 6398-2025")</f>
        <v/>
      </c>
      <c r="T329">
        <f>HYPERLINK("https://klasma.github.io/Logging_2309/kartor/A 6398-2025 karta.png", "A 6398-2025")</f>
        <v/>
      </c>
      <c r="V329">
        <f>HYPERLINK("https://klasma.github.io/Logging_2309/klagomål/A 6398-2025 FSC-klagomål.docx", "A 6398-2025")</f>
        <v/>
      </c>
      <c r="W329">
        <f>HYPERLINK("https://klasma.github.io/Logging_2309/klagomålsmail/A 6398-2025 FSC-klagomål mail.docx", "A 6398-2025")</f>
        <v/>
      </c>
      <c r="X329">
        <f>HYPERLINK("https://klasma.github.io/Logging_2309/tillsyn/A 6398-2025 tillsynsbegäran.docx", "A 6398-2025")</f>
        <v/>
      </c>
      <c r="Y329">
        <f>HYPERLINK("https://klasma.github.io/Logging_2309/tillsynsmail/A 6398-2025 tillsynsbegäran mail.docx", "A 6398-2025")</f>
        <v/>
      </c>
    </row>
    <row r="330" ht="15" customHeight="1">
      <c r="A330" t="inlineStr">
        <is>
          <t>A 7208-2025</t>
        </is>
      </c>
      <c r="B330" s="1" t="n">
        <v>45702</v>
      </c>
      <c r="C330" s="1" t="n">
        <v>45730</v>
      </c>
      <c r="D330" t="inlineStr">
        <is>
          <t>JÄMTLANDS LÄN</t>
        </is>
      </c>
      <c r="E330" t="inlineStr">
        <is>
          <t>KROKOM</t>
        </is>
      </c>
      <c r="F330" t="inlineStr">
        <is>
          <t>Övriga Aktiebolag</t>
        </is>
      </c>
      <c r="G330" t="n">
        <v>39.4</v>
      </c>
      <c r="H330" t="n">
        <v>0</v>
      </c>
      <c r="I330" t="n">
        <v>0</v>
      </c>
      <c r="J330" t="n">
        <v>1</v>
      </c>
      <c r="K330" t="n">
        <v>0</v>
      </c>
      <c r="L330" t="n">
        <v>0</v>
      </c>
      <c r="M330" t="n">
        <v>0</v>
      </c>
      <c r="N330" t="n">
        <v>0</v>
      </c>
      <c r="O330" t="n">
        <v>1</v>
      </c>
      <c r="P330" t="n">
        <v>0</v>
      </c>
      <c r="Q330" t="n">
        <v>1</v>
      </c>
      <c r="R330" s="2" t="inlineStr">
        <is>
          <t>Ullticka</t>
        </is>
      </c>
      <c r="S330">
        <f>HYPERLINK("https://klasma.github.io/Logging_2309/artfynd/A 7208-2025 artfynd.xlsx", "A 7208-2025")</f>
        <v/>
      </c>
      <c r="T330">
        <f>HYPERLINK("https://klasma.github.io/Logging_2309/kartor/A 7208-2025 karta.png", "A 7208-2025")</f>
        <v/>
      </c>
      <c r="V330">
        <f>HYPERLINK("https://klasma.github.io/Logging_2309/klagomål/A 7208-2025 FSC-klagomål.docx", "A 7208-2025")</f>
        <v/>
      </c>
      <c r="W330">
        <f>HYPERLINK("https://klasma.github.io/Logging_2309/klagomålsmail/A 7208-2025 FSC-klagomål mail.docx", "A 7208-2025")</f>
        <v/>
      </c>
      <c r="X330">
        <f>HYPERLINK("https://klasma.github.io/Logging_2309/tillsyn/A 7208-2025 tillsynsbegäran.docx", "A 7208-2025")</f>
        <v/>
      </c>
      <c r="Y330">
        <f>HYPERLINK("https://klasma.github.io/Logging_2309/tillsynsmail/A 7208-2025 tillsynsbegäran mail.docx", "A 7208-2025")</f>
        <v/>
      </c>
    </row>
    <row r="331" ht="15" customHeight="1">
      <c r="A331" t="inlineStr">
        <is>
          <t>A 7175-2025</t>
        </is>
      </c>
      <c r="B331" s="1" t="n">
        <v>45702</v>
      </c>
      <c r="C331" s="1" t="n">
        <v>45730</v>
      </c>
      <c r="D331" t="inlineStr">
        <is>
          <t>JÄMTLANDS LÄN</t>
        </is>
      </c>
      <c r="E331" t="inlineStr">
        <is>
          <t>KROKOM</t>
        </is>
      </c>
      <c r="F331" t="inlineStr">
        <is>
          <t>Övriga Aktiebolag</t>
        </is>
      </c>
      <c r="G331" t="n">
        <v>23</v>
      </c>
      <c r="H331" t="n">
        <v>0</v>
      </c>
      <c r="I331" t="n">
        <v>0</v>
      </c>
      <c r="J331" t="n">
        <v>1</v>
      </c>
      <c r="K331" t="n">
        <v>0</v>
      </c>
      <c r="L331" t="n">
        <v>0</v>
      </c>
      <c r="M331" t="n">
        <v>0</v>
      </c>
      <c r="N331" t="n">
        <v>0</v>
      </c>
      <c r="O331" t="n">
        <v>1</v>
      </c>
      <c r="P331" t="n">
        <v>0</v>
      </c>
      <c r="Q331" t="n">
        <v>1</v>
      </c>
      <c r="R331" s="2" t="inlineStr">
        <is>
          <t>Gränsticka</t>
        </is>
      </c>
      <c r="S331">
        <f>HYPERLINK("https://klasma.github.io/Logging_2309/artfynd/A 7175-2025 artfynd.xlsx", "A 7175-2025")</f>
        <v/>
      </c>
      <c r="T331">
        <f>HYPERLINK("https://klasma.github.io/Logging_2309/kartor/A 7175-2025 karta.png", "A 7175-2025")</f>
        <v/>
      </c>
      <c r="V331">
        <f>HYPERLINK("https://klasma.github.io/Logging_2309/klagomål/A 7175-2025 FSC-klagomål.docx", "A 7175-2025")</f>
        <v/>
      </c>
      <c r="W331">
        <f>HYPERLINK("https://klasma.github.io/Logging_2309/klagomålsmail/A 7175-2025 FSC-klagomål mail.docx", "A 7175-2025")</f>
        <v/>
      </c>
      <c r="X331">
        <f>HYPERLINK("https://klasma.github.io/Logging_2309/tillsyn/A 7175-2025 tillsynsbegäran.docx", "A 7175-2025")</f>
        <v/>
      </c>
      <c r="Y331">
        <f>HYPERLINK("https://klasma.github.io/Logging_2309/tillsynsmail/A 7175-2025 tillsynsbegäran mail.docx", "A 7175-2025")</f>
        <v/>
      </c>
    </row>
    <row r="332" ht="15" customHeight="1">
      <c r="A332" t="inlineStr">
        <is>
          <t>A 17853-2019</t>
        </is>
      </c>
      <c r="B332" s="1" t="n">
        <v>43556</v>
      </c>
      <c r="C332" s="1" t="n">
        <v>45730</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18183-2019</t>
        </is>
      </c>
      <c r="B333" s="1" t="n">
        <v>43558</v>
      </c>
      <c r="C333" s="1" t="n">
        <v>45730</v>
      </c>
      <c r="D333" t="inlineStr">
        <is>
          <t>JÄMTLANDS LÄN</t>
        </is>
      </c>
      <c r="E333" t="inlineStr">
        <is>
          <t>KROKOM</t>
        </is>
      </c>
      <c r="G333" t="n">
        <v>5.3</v>
      </c>
      <c r="H333" t="n">
        <v>0</v>
      </c>
      <c r="I333" t="n">
        <v>0</v>
      </c>
      <c r="J333" t="n">
        <v>0</v>
      </c>
      <c r="K333" t="n">
        <v>0</v>
      </c>
      <c r="L333" t="n">
        <v>0</v>
      </c>
      <c r="M333" t="n">
        <v>0</v>
      </c>
      <c r="N333" t="n">
        <v>0</v>
      </c>
      <c r="O333" t="n">
        <v>0</v>
      </c>
      <c r="P333" t="n">
        <v>0</v>
      </c>
      <c r="Q333" t="n">
        <v>0</v>
      </c>
      <c r="R333" s="2" t="inlineStr"/>
    </row>
    <row r="334" ht="15" customHeight="1">
      <c r="A334" t="inlineStr">
        <is>
          <t>A 18477-2019</t>
        </is>
      </c>
      <c r="B334" s="1" t="n">
        <v>43559</v>
      </c>
      <c r="C334" s="1" t="n">
        <v>45730</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18565-2019</t>
        </is>
      </c>
      <c r="B335" s="1" t="n">
        <v>43559</v>
      </c>
      <c r="C335" s="1" t="n">
        <v>45730</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18407-2019</t>
        </is>
      </c>
      <c r="B336" s="1" t="n">
        <v>43559</v>
      </c>
      <c r="C336" s="1" t="n">
        <v>45730</v>
      </c>
      <c r="D336" t="inlineStr">
        <is>
          <t>JÄMTLANDS LÄN</t>
        </is>
      </c>
      <c r="E336" t="inlineStr">
        <is>
          <t>KROKOM</t>
        </is>
      </c>
      <c r="G336" t="n">
        <v>43.1</v>
      </c>
      <c r="H336" t="n">
        <v>0</v>
      </c>
      <c r="I336" t="n">
        <v>0</v>
      </c>
      <c r="J336" t="n">
        <v>0</v>
      </c>
      <c r="K336" t="n">
        <v>0</v>
      </c>
      <c r="L336" t="n">
        <v>0</v>
      </c>
      <c r="M336" t="n">
        <v>0</v>
      </c>
      <c r="N336" t="n">
        <v>0</v>
      </c>
      <c r="O336" t="n">
        <v>0</v>
      </c>
      <c r="P336" t="n">
        <v>0</v>
      </c>
      <c r="Q336" t="n">
        <v>0</v>
      </c>
      <c r="R336" s="2" t="inlineStr"/>
    </row>
    <row r="337" ht="15" customHeight="1">
      <c r="A337" t="inlineStr">
        <is>
          <t>A 18397-2019</t>
        </is>
      </c>
      <c r="B337" s="1" t="n">
        <v>43559</v>
      </c>
      <c r="C337" s="1" t="n">
        <v>45730</v>
      </c>
      <c r="D337" t="inlineStr">
        <is>
          <t>JÄMTLANDS LÄN</t>
        </is>
      </c>
      <c r="E337" t="inlineStr">
        <is>
          <t>KROKOM</t>
        </is>
      </c>
      <c r="G337" t="n">
        <v>2.8</v>
      </c>
      <c r="H337" t="n">
        <v>0</v>
      </c>
      <c r="I337" t="n">
        <v>0</v>
      </c>
      <c r="J337" t="n">
        <v>0</v>
      </c>
      <c r="K337" t="n">
        <v>0</v>
      </c>
      <c r="L337" t="n">
        <v>0</v>
      </c>
      <c r="M337" t="n">
        <v>0</v>
      </c>
      <c r="N337" t="n">
        <v>0</v>
      </c>
      <c r="O337" t="n">
        <v>0</v>
      </c>
      <c r="P337" t="n">
        <v>0</v>
      </c>
      <c r="Q337" t="n">
        <v>0</v>
      </c>
      <c r="R337" s="2" t="inlineStr"/>
    </row>
    <row r="338" ht="15" customHeight="1">
      <c r="A338" t="inlineStr">
        <is>
          <t>A 18602-2019</t>
        </is>
      </c>
      <c r="B338" s="1" t="n">
        <v>43560</v>
      </c>
      <c r="C338" s="1" t="n">
        <v>45730</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18831-2019</t>
        </is>
      </c>
      <c r="B339" s="1" t="n">
        <v>43563</v>
      </c>
      <c r="C339" s="1" t="n">
        <v>45730</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18847-2019</t>
        </is>
      </c>
      <c r="B340" s="1" t="n">
        <v>43563</v>
      </c>
      <c r="C340" s="1" t="n">
        <v>45730</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19152-2019</t>
        </is>
      </c>
      <c r="B341" s="1" t="n">
        <v>43564</v>
      </c>
      <c r="C341" s="1" t="n">
        <v>45730</v>
      </c>
      <c r="D341" t="inlineStr">
        <is>
          <t>JÄMTLANDS LÄN</t>
        </is>
      </c>
      <c r="E341" t="inlineStr">
        <is>
          <t>KROKOM</t>
        </is>
      </c>
      <c r="G341" t="n">
        <v>4.1</v>
      </c>
      <c r="H341" t="n">
        <v>0</v>
      </c>
      <c r="I341" t="n">
        <v>0</v>
      </c>
      <c r="J341" t="n">
        <v>0</v>
      </c>
      <c r="K341" t="n">
        <v>0</v>
      </c>
      <c r="L341" t="n">
        <v>0</v>
      </c>
      <c r="M341" t="n">
        <v>0</v>
      </c>
      <c r="N341" t="n">
        <v>0</v>
      </c>
      <c r="O341" t="n">
        <v>0</v>
      </c>
      <c r="P341" t="n">
        <v>0</v>
      </c>
      <c r="Q341" t="n">
        <v>0</v>
      </c>
      <c r="R341" s="2" t="inlineStr"/>
    </row>
    <row r="342" ht="15" customHeight="1">
      <c r="A342" t="inlineStr">
        <is>
          <t>A 19325-2019</t>
        </is>
      </c>
      <c r="B342" s="1" t="n">
        <v>43565</v>
      </c>
      <c r="C342" s="1" t="n">
        <v>45730</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19708-2019</t>
        </is>
      </c>
      <c r="B343" s="1" t="n">
        <v>43566</v>
      </c>
      <c r="C343" s="1" t="n">
        <v>45730</v>
      </c>
      <c r="D343" t="inlineStr">
        <is>
          <t>JÄMTLANDS LÄN</t>
        </is>
      </c>
      <c r="E343" t="inlineStr">
        <is>
          <t>KROKOM</t>
        </is>
      </c>
      <c r="G343" t="n">
        <v>8.9</v>
      </c>
      <c r="H343" t="n">
        <v>0</v>
      </c>
      <c r="I343" t="n">
        <v>0</v>
      </c>
      <c r="J343" t="n">
        <v>0</v>
      </c>
      <c r="K343" t="n">
        <v>0</v>
      </c>
      <c r="L343" t="n">
        <v>0</v>
      </c>
      <c r="M343" t="n">
        <v>0</v>
      </c>
      <c r="N343" t="n">
        <v>0</v>
      </c>
      <c r="O343" t="n">
        <v>0</v>
      </c>
      <c r="P343" t="n">
        <v>0</v>
      </c>
      <c r="Q343" t="n">
        <v>0</v>
      </c>
      <c r="R343" s="2" t="inlineStr"/>
    </row>
    <row r="344" ht="15" customHeight="1">
      <c r="A344" t="inlineStr">
        <is>
          <t>A 20378-2019</t>
        </is>
      </c>
      <c r="B344" s="1" t="n">
        <v>43571</v>
      </c>
      <c r="C344" s="1" t="n">
        <v>45730</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20596-2019</t>
        </is>
      </c>
      <c r="B345" s="1" t="n">
        <v>43572</v>
      </c>
      <c r="C345" s="1" t="n">
        <v>45730</v>
      </c>
      <c r="D345" t="inlineStr">
        <is>
          <t>JÄMTLANDS LÄN</t>
        </is>
      </c>
      <c r="E345" t="inlineStr">
        <is>
          <t>KROKOM</t>
        </is>
      </c>
      <c r="G345" t="n">
        <v>10.6</v>
      </c>
      <c r="H345" t="n">
        <v>0</v>
      </c>
      <c r="I345" t="n">
        <v>0</v>
      </c>
      <c r="J345" t="n">
        <v>0</v>
      </c>
      <c r="K345" t="n">
        <v>0</v>
      </c>
      <c r="L345" t="n">
        <v>0</v>
      </c>
      <c r="M345" t="n">
        <v>0</v>
      </c>
      <c r="N345" t="n">
        <v>0</v>
      </c>
      <c r="O345" t="n">
        <v>0</v>
      </c>
      <c r="P345" t="n">
        <v>0</v>
      </c>
      <c r="Q345" t="n">
        <v>0</v>
      </c>
      <c r="R345" s="2" t="inlineStr"/>
    </row>
    <row r="346" ht="15" customHeight="1">
      <c r="A346" t="inlineStr">
        <is>
          <t>A 21269-2019</t>
        </is>
      </c>
      <c r="B346" s="1" t="n">
        <v>43579</v>
      </c>
      <c r="C346" s="1" t="n">
        <v>45730</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21421-2019</t>
        </is>
      </c>
      <c r="B347" s="1" t="n">
        <v>43580</v>
      </c>
      <c r="C347" s="1" t="n">
        <v>45730</v>
      </c>
      <c r="D347" t="inlineStr">
        <is>
          <t>JÄMTLANDS LÄN</t>
        </is>
      </c>
      <c r="E347" t="inlineStr">
        <is>
          <t>KROKOM</t>
        </is>
      </c>
      <c r="G347" t="n">
        <v>13.1</v>
      </c>
      <c r="H347" t="n">
        <v>0</v>
      </c>
      <c r="I347" t="n">
        <v>0</v>
      </c>
      <c r="J347" t="n">
        <v>0</v>
      </c>
      <c r="K347" t="n">
        <v>0</v>
      </c>
      <c r="L347" t="n">
        <v>0</v>
      </c>
      <c r="M347" t="n">
        <v>0</v>
      </c>
      <c r="N347" t="n">
        <v>0</v>
      </c>
      <c r="O347" t="n">
        <v>0</v>
      </c>
      <c r="P347" t="n">
        <v>0</v>
      </c>
      <c r="Q347" t="n">
        <v>0</v>
      </c>
      <c r="R347" s="2" t="inlineStr"/>
    </row>
    <row r="348" ht="15" customHeight="1">
      <c r="A348" t="inlineStr">
        <is>
          <t>A 21716-2019</t>
        </is>
      </c>
      <c r="B348" s="1" t="n">
        <v>43581</v>
      </c>
      <c r="C348" s="1" t="n">
        <v>45730</v>
      </c>
      <c r="D348" t="inlineStr">
        <is>
          <t>JÄMTLANDS LÄN</t>
        </is>
      </c>
      <c r="E348" t="inlineStr">
        <is>
          <t>KROKOM</t>
        </is>
      </c>
      <c r="G348" t="n">
        <v>4.2</v>
      </c>
      <c r="H348" t="n">
        <v>0</v>
      </c>
      <c r="I348" t="n">
        <v>0</v>
      </c>
      <c r="J348" t="n">
        <v>0</v>
      </c>
      <c r="K348" t="n">
        <v>0</v>
      </c>
      <c r="L348" t="n">
        <v>0</v>
      </c>
      <c r="M348" t="n">
        <v>0</v>
      </c>
      <c r="N348" t="n">
        <v>0</v>
      </c>
      <c r="O348" t="n">
        <v>0</v>
      </c>
      <c r="P348" t="n">
        <v>0</v>
      </c>
      <c r="Q348" t="n">
        <v>0</v>
      </c>
      <c r="R348" s="2" t="inlineStr"/>
    </row>
    <row r="349" ht="15" customHeight="1">
      <c r="A349" t="inlineStr">
        <is>
          <t>A 21933-2019</t>
        </is>
      </c>
      <c r="B349" s="1" t="n">
        <v>43584</v>
      </c>
      <c r="C349" s="1" t="n">
        <v>45730</v>
      </c>
      <c r="D349" t="inlineStr">
        <is>
          <t>JÄMTLANDS LÄN</t>
        </is>
      </c>
      <c r="E349" t="inlineStr">
        <is>
          <t>KROKOM</t>
        </is>
      </c>
      <c r="G349" t="n">
        <v>12.8</v>
      </c>
      <c r="H349" t="n">
        <v>0</v>
      </c>
      <c r="I349" t="n">
        <v>0</v>
      </c>
      <c r="J349" t="n">
        <v>0</v>
      </c>
      <c r="K349" t="n">
        <v>0</v>
      </c>
      <c r="L349" t="n">
        <v>0</v>
      </c>
      <c r="M349" t="n">
        <v>0</v>
      </c>
      <c r="N349" t="n">
        <v>0</v>
      </c>
      <c r="O349" t="n">
        <v>0</v>
      </c>
      <c r="P349" t="n">
        <v>0</v>
      </c>
      <c r="Q349" t="n">
        <v>0</v>
      </c>
      <c r="R349" s="2" t="inlineStr"/>
    </row>
    <row r="350" ht="15" customHeight="1">
      <c r="A350" t="inlineStr">
        <is>
          <t>A 22208-2019</t>
        </is>
      </c>
      <c r="B350" s="1" t="n">
        <v>43585</v>
      </c>
      <c r="C350" s="1" t="n">
        <v>45730</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22135-2019</t>
        </is>
      </c>
      <c r="B351" s="1" t="n">
        <v>43585</v>
      </c>
      <c r="C351" s="1" t="n">
        <v>45730</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22129-2019</t>
        </is>
      </c>
      <c r="B352" s="1" t="n">
        <v>43585</v>
      </c>
      <c r="C352" s="1" t="n">
        <v>45730</v>
      </c>
      <c r="D352" t="inlineStr">
        <is>
          <t>JÄMTLANDS LÄN</t>
        </is>
      </c>
      <c r="E352" t="inlineStr">
        <is>
          <t>KROKOM</t>
        </is>
      </c>
      <c r="G352" t="n">
        <v>7</v>
      </c>
      <c r="H352" t="n">
        <v>0</v>
      </c>
      <c r="I352" t="n">
        <v>0</v>
      </c>
      <c r="J352" t="n">
        <v>0</v>
      </c>
      <c r="K352" t="n">
        <v>0</v>
      </c>
      <c r="L352" t="n">
        <v>0</v>
      </c>
      <c r="M352" t="n">
        <v>0</v>
      </c>
      <c r="N352" t="n">
        <v>0</v>
      </c>
      <c r="O352" t="n">
        <v>0</v>
      </c>
      <c r="P352" t="n">
        <v>0</v>
      </c>
      <c r="Q352" t="n">
        <v>0</v>
      </c>
      <c r="R352" s="2" t="inlineStr"/>
    </row>
    <row r="353" ht="15" customHeight="1">
      <c r="A353" t="inlineStr">
        <is>
          <t>A 22521-2019</t>
        </is>
      </c>
      <c r="B353" s="1" t="n">
        <v>43587</v>
      </c>
      <c r="C353" s="1" t="n">
        <v>45730</v>
      </c>
      <c r="D353" t="inlineStr">
        <is>
          <t>JÄMTLANDS LÄN</t>
        </is>
      </c>
      <c r="E353" t="inlineStr">
        <is>
          <t>KROKOM</t>
        </is>
      </c>
      <c r="F353" t="inlineStr">
        <is>
          <t>Kyrkan</t>
        </is>
      </c>
      <c r="G353" t="n">
        <v>14.5</v>
      </c>
      <c r="H353" t="n">
        <v>0</v>
      </c>
      <c r="I353" t="n">
        <v>0</v>
      </c>
      <c r="J353" t="n">
        <v>0</v>
      </c>
      <c r="K353" t="n">
        <v>0</v>
      </c>
      <c r="L353" t="n">
        <v>0</v>
      </c>
      <c r="M353" t="n">
        <v>0</v>
      </c>
      <c r="N353" t="n">
        <v>0</v>
      </c>
      <c r="O353" t="n">
        <v>0</v>
      </c>
      <c r="P353" t="n">
        <v>0</v>
      </c>
      <c r="Q353" t="n">
        <v>0</v>
      </c>
      <c r="R353" s="2" t="inlineStr"/>
    </row>
    <row r="354" ht="15" customHeight="1">
      <c r="A354" t="inlineStr">
        <is>
          <t>A 22533-2019</t>
        </is>
      </c>
      <c r="B354" s="1" t="n">
        <v>43587</v>
      </c>
      <c r="C354" s="1" t="n">
        <v>45730</v>
      </c>
      <c r="D354" t="inlineStr">
        <is>
          <t>JÄMTLANDS LÄN</t>
        </is>
      </c>
      <c r="E354" t="inlineStr">
        <is>
          <t>KROKOM</t>
        </is>
      </c>
      <c r="F354" t="inlineStr">
        <is>
          <t>Kyrkan</t>
        </is>
      </c>
      <c r="G354" t="n">
        <v>1.5</v>
      </c>
      <c r="H354" t="n">
        <v>0</v>
      </c>
      <c r="I354" t="n">
        <v>0</v>
      </c>
      <c r="J354" t="n">
        <v>0</v>
      </c>
      <c r="K354" t="n">
        <v>0</v>
      </c>
      <c r="L354" t="n">
        <v>0</v>
      </c>
      <c r="M354" t="n">
        <v>0</v>
      </c>
      <c r="N354" t="n">
        <v>0</v>
      </c>
      <c r="O354" t="n">
        <v>0</v>
      </c>
      <c r="P354" t="n">
        <v>0</v>
      </c>
      <c r="Q354" t="n">
        <v>0</v>
      </c>
      <c r="R354" s="2" t="inlineStr"/>
    </row>
    <row r="355" ht="15" customHeight="1">
      <c r="A355" t="inlineStr">
        <is>
          <t>A 22877-2019</t>
        </is>
      </c>
      <c r="B355" s="1" t="n">
        <v>43591</v>
      </c>
      <c r="C355" s="1" t="n">
        <v>45730</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23698-2019</t>
        </is>
      </c>
      <c r="B356" s="1" t="n">
        <v>43594</v>
      </c>
      <c r="C356" s="1" t="n">
        <v>45730</v>
      </c>
      <c r="D356" t="inlineStr">
        <is>
          <t>JÄMTLANDS LÄN</t>
        </is>
      </c>
      <c r="E356" t="inlineStr">
        <is>
          <t>KROKOM</t>
        </is>
      </c>
      <c r="G356" t="n">
        <v>14.3</v>
      </c>
      <c r="H356" t="n">
        <v>0</v>
      </c>
      <c r="I356" t="n">
        <v>0</v>
      </c>
      <c r="J356" t="n">
        <v>0</v>
      </c>
      <c r="K356" t="n">
        <v>0</v>
      </c>
      <c r="L356" t="n">
        <v>0</v>
      </c>
      <c r="M356" t="n">
        <v>0</v>
      </c>
      <c r="N356" t="n">
        <v>0</v>
      </c>
      <c r="O356" t="n">
        <v>0</v>
      </c>
      <c r="P356" t="n">
        <v>0</v>
      </c>
      <c r="Q356" t="n">
        <v>0</v>
      </c>
      <c r="R356" s="2" t="inlineStr"/>
    </row>
    <row r="357" ht="15" customHeight="1">
      <c r="A357" t="inlineStr">
        <is>
          <t>A 24900-2019</t>
        </is>
      </c>
      <c r="B357" s="1" t="n">
        <v>43599</v>
      </c>
      <c r="C357" s="1" t="n">
        <v>45730</v>
      </c>
      <c r="D357" t="inlineStr">
        <is>
          <t>JÄMTLANDS LÄN</t>
        </is>
      </c>
      <c r="E357" t="inlineStr">
        <is>
          <t>KROKOM</t>
        </is>
      </c>
      <c r="G357" t="n">
        <v>3.3</v>
      </c>
      <c r="H357" t="n">
        <v>0</v>
      </c>
      <c r="I357" t="n">
        <v>0</v>
      </c>
      <c r="J357" t="n">
        <v>0</v>
      </c>
      <c r="K357" t="n">
        <v>0</v>
      </c>
      <c r="L357" t="n">
        <v>0</v>
      </c>
      <c r="M357" t="n">
        <v>0</v>
      </c>
      <c r="N357" t="n">
        <v>0</v>
      </c>
      <c r="O357" t="n">
        <v>0</v>
      </c>
      <c r="P357" t="n">
        <v>0</v>
      </c>
      <c r="Q357" t="n">
        <v>0</v>
      </c>
      <c r="R357" s="2" t="inlineStr"/>
    </row>
    <row r="358" ht="15" customHeight="1">
      <c r="A358" t="inlineStr">
        <is>
          <t>A 25641-2019</t>
        </is>
      </c>
      <c r="B358" s="1" t="n">
        <v>43602</v>
      </c>
      <c r="C358" s="1" t="n">
        <v>45730</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25644-2019</t>
        </is>
      </c>
      <c r="B359" s="1" t="n">
        <v>43602</v>
      </c>
      <c r="C359" s="1" t="n">
        <v>45730</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25634-2019</t>
        </is>
      </c>
      <c r="B360" s="1" t="n">
        <v>43602</v>
      </c>
      <c r="C360" s="1" t="n">
        <v>45730</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25115-2019</t>
        </is>
      </c>
      <c r="B361" s="1" t="n">
        <v>43605</v>
      </c>
      <c r="C361" s="1" t="n">
        <v>45730</v>
      </c>
      <c r="D361" t="inlineStr">
        <is>
          <t>JÄMTLANDS LÄN</t>
        </is>
      </c>
      <c r="E361" t="inlineStr">
        <is>
          <t>KROKOM</t>
        </is>
      </c>
      <c r="G361" t="n">
        <v>2.2</v>
      </c>
      <c r="H361" t="n">
        <v>0</v>
      </c>
      <c r="I361" t="n">
        <v>0</v>
      </c>
      <c r="J361" t="n">
        <v>0</v>
      </c>
      <c r="K361" t="n">
        <v>0</v>
      </c>
      <c r="L361" t="n">
        <v>0</v>
      </c>
      <c r="M361" t="n">
        <v>0</v>
      </c>
      <c r="N361" t="n">
        <v>0</v>
      </c>
      <c r="O361" t="n">
        <v>0</v>
      </c>
      <c r="P361" t="n">
        <v>0</v>
      </c>
      <c r="Q361" t="n">
        <v>0</v>
      </c>
      <c r="R361" s="2" t="inlineStr"/>
    </row>
    <row r="362" ht="15" customHeight="1">
      <c r="A362" t="inlineStr">
        <is>
          <t>A 25858-2019</t>
        </is>
      </c>
      <c r="B362" s="1" t="n">
        <v>43608</v>
      </c>
      <c r="C362" s="1" t="n">
        <v>45730</v>
      </c>
      <c r="D362" t="inlineStr">
        <is>
          <t>JÄMTLANDS LÄN</t>
        </is>
      </c>
      <c r="E362" t="inlineStr">
        <is>
          <t>KROKOM</t>
        </is>
      </c>
      <c r="F362" t="inlineStr">
        <is>
          <t>Övriga Aktiebolag</t>
        </is>
      </c>
      <c r="G362" t="n">
        <v>32.2</v>
      </c>
      <c r="H362" t="n">
        <v>0</v>
      </c>
      <c r="I362" t="n">
        <v>0</v>
      </c>
      <c r="J362" t="n">
        <v>0</v>
      </c>
      <c r="K362" t="n">
        <v>0</v>
      </c>
      <c r="L362" t="n">
        <v>0</v>
      </c>
      <c r="M362" t="n">
        <v>0</v>
      </c>
      <c r="N362" t="n">
        <v>0</v>
      </c>
      <c r="O362" t="n">
        <v>0</v>
      </c>
      <c r="P362" t="n">
        <v>0</v>
      </c>
      <c r="Q362" t="n">
        <v>0</v>
      </c>
      <c r="R362" s="2" t="inlineStr"/>
    </row>
    <row r="363" ht="15" customHeight="1">
      <c r="A363" t="inlineStr">
        <is>
          <t>A 26486-2019</t>
        </is>
      </c>
      <c r="B363" s="1" t="n">
        <v>43612</v>
      </c>
      <c r="C363" s="1" t="n">
        <v>45730</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26408-2019</t>
        </is>
      </c>
      <c r="B364" s="1" t="n">
        <v>43612</v>
      </c>
      <c r="C364" s="1" t="n">
        <v>45730</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28077-2019</t>
        </is>
      </c>
      <c r="B365" s="1" t="n">
        <v>43613</v>
      </c>
      <c r="C365" s="1" t="n">
        <v>45730</v>
      </c>
      <c r="D365" t="inlineStr">
        <is>
          <t>JÄMTLANDS LÄN</t>
        </is>
      </c>
      <c r="E365" t="inlineStr">
        <is>
          <t>KROKOM</t>
        </is>
      </c>
      <c r="F365" t="inlineStr">
        <is>
          <t>Övriga Aktiebolag</t>
        </is>
      </c>
      <c r="G365" t="n">
        <v>26.1</v>
      </c>
      <c r="H365" t="n">
        <v>0</v>
      </c>
      <c r="I365" t="n">
        <v>0</v>
      </c>
      <c r="J365" t="n">
        <v>0</v>
      </c>
      <c r="K365" t="n">
        <v>0</v>
      </c>
      <c r="L365" t="n">
        <v>0</v>
      </c>
      <c r="M365" t="n">
        <v>0</v>
      </c>
      <c r="N365" t="n">
        <v>0</v>
      </c>
      <c r="O365" t="n">
        <v>0</v>
      </c>
      <c r="P365" t="n">
        <v>0</v>
      </c>
      <c r="Q365" t="n">
        <v>0</v>
      </c>
      <c r="R365" s="2" t="inlineStr"/>
    </row>
    <row r="366" ht="15" customHeight="1">
      <c r="A366" t="inlineStr">
        <is>
          <t>A 27031-2019</t>
        </is>
      </c>
      <c r="B366" s="1" t="n">
        <v>43614</v>
      </c>
      <c r="C366" s="1" t="n">
        <v>45730</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27348-2019</t>
        </is>
      </c>
      <c r="B367" s="1" t="n">
        <v>43616</v>
      </c>
      <c r="C367" s="1" t="n">
        <v>45730</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27765-2019</t>
        </is>
      </c>
      <c r="B368" s="1" t="n">
        <v>43619</v>
      </c>
      <c r="C368" s="1" t="n">
        <v>45730</v>
      </c>
      <c r="D368" t="inlineStr">
        <is>
          <t>JÄMTLANDS LÄN</t>
        </is>
      </c>
      <c r="E368" t="inlineStr">
        <is>
          <t>KROKOM</t>
        </is>
      </c>
      <c r="G368" t="n">
        <v>20.1</v>
      </c>
      <c r="H368" t="n">
        <v>0</v>
      </c>
      <c r="I368" t="n">
        <v>0</v>
      </c>
      <c r="J368" t="n">
        <v>0</v>
      </c>
      <c r="K368" t="n">
        <v>0</v>
      </c>
      <c r="L368" t="n">
        <v>0</v>
      </c>
      <c r="M368" t="n">
        <v>0</v>
      </c>
      <c r="N368" t="n">
        <v>0</v>
      </c>
      <c r="O368" t="n">
        <v>0</v>
      </c>
      <c r="P368" t="n">
        <v>0</v>
      </c>
      <c r="Q368" t="n">
        <v>0</v>
      </c>
      <c r="R368" s="2" t="inlineStr"/>
    </row>
    <row r="369" ht="15" customHeight="1">
      <c r="A369" t="inlineStr">
        <is>
          <t>A 27766-2019</t>
        </is>
      </c>
      <c r="B369" s="1" t="n">
        <v>43619</v>
      </c>
      <c r="C369" s="1" t="n">
        <v>45730</v>
      </c>
      <c r="D369" t="inlineStr">
        <is>
          <t>JÄMTLANDS LÄN</t>
        </is>
      </c>
      <c r="E369" t="inlineStr">
        <is>
          <t>KROKOM</t>
        </is>
      </c>
      <c r="G369" t="n">
        <v>17.7</v>
      </c>
      <c r="H369" t="n">
        <v>0</v>
      </c>
      <c r="I369" t="n">
        <v>0</v>
      </c>
      <c r="J369" t="n">
        <v>0</v>
      </c>
      <c r="K369" t="n">
        <v>0</v>
      </c>
      <c r="L369" t="n">
        <v>0</v>
      </c>
      <c r="M369" t="n">
        <v>0</v>
      </c>
      <c r="N369" t="n">
        <v>0</v>
      </c>
      <c r="O369" t="n">
        <v>0</v>
      </c>
      <c r="P369" t="n">
        <v>0</v>
      </c>
      <c r="Q369" t="n">
        <v>0</v>
      </c>
      <c r="R369" s="2" t="inlineStr"/>
    </row>
    <row r="370" ht="15" customHeight="1">
      <c r="A370" t="inlineStr">
        <is>
          <t>A 27764-2019</t>
        </is>
      </c>
      <c r="B370" s="1" t="n">
        <v>43619</v>
      </c>
      <c r="C370" s="1" t="n">
        <v>45730</v>
      </c>
      <c r="D370" t="inlineStr">
        <is>
          <t>JÄMTLANDS LÄN</t>
        </is>
      </c>
      <c r="E370" t="inlineStr">
        <is>
          <t>KROKOM</t>
        </is>
      </c>
      <c r="G370" t="n">
        <v>41.8</v>
      </c>
      <c r="H370" t="n">
        <v>0</v>
      </c>
      <c r="I370" t="n">
        <v>0</v>
      </c>
      <c r="J370" t="n">
        <v>0</v>
      </c>
      <c r="K370" t="n">
        <v>0</v>
      </c>
      <c r="L370" t="n">
        <v>0</v>
      </c>
      <c r="M370" t="n">
        <v>0</v>
      </c>
      <c r="N370" t="n">
        <v>0</v>
      </c>
      <c r="O370" t="n">
        <v>0</v>
      </c>
      <c r="P370" t="n">
        <v>0</v>
      </c>
      <c r="Q370" t="n">
        <v>0</v>
      </c>
      <c r="R370" s="2" t="inlineStr"/>
    </row>
    <row r="371" ht="15" customHeight="1">
      <c r="A371" t="inlineStr">
        <is>
          <t>A 27763-2019</t>
        </is>
      </c>
      <c r="B371" s="1" t="n">
        <v>43619</v>
      </c>
      <c r="C371" s="1" t="n">
        <v>45730</v>
      </c>
      <c r="D371" t="inlineStr">
        <is>
          <t>JÄMTLANDS LÄN</t>
        </is>
      </c>
      <c r="E371" t="inlineStr">
        <is>
          <t>KROKOM</t>
        </is>
      </c>
      <c r="G371" t="n">
        <v>15.1</v>
      </c>
      <c r="H371" t="n">
        <v>0</v>
      </c>
      <c r="I371" t="n">
        <v>0</v>
      </c>
      <c r="J371" t="n">
        <v>0</v>
      </c>
      <c r="K371" t="n">
        <v>0</v>
      </c>
      <c r="L371" t="n">
        <v>0</v>
      </c>
      <c r="M371" t="n">
        <v>0</v>
      </c>
      <c r="N371" t="n">
        <v>0</v>
      </c>
      <c r="O371" t="n">
        <v>0</v>
      </c>
      <c r="P371" t="n">
        <v>0</v>
      </c>
      <c r="Q371" t="n">
        <v>0</v>
      </c>
      <c r="R371" s="2" t="inlineStr"/>
    </row>
    <row r="372" ht="15" customHeight="1">
      <c r="A372" t="inlineStr">
        <is>
          <t>A 29270-2019</t>
        </is>
      </c>
      <c r="B372" s="1" t="n">
        <v>43623</v>
      </c>
      <c r="C372" s="1" t="n">
        <v>45730</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29222-2019</t>
        </is>
      </c>
      <c r="B373" s="1" t="n">
        <v>43623</v>
      </c>
      <c r="C373" s="1" t="n">
        <v>45730</v>
      </c>
      <c r="D373" t="inlineStr">
        <is>
          <t>JÄMTLANDS LÄN</t>
        </is>
      </c>
      <c r="E373" t="inlineStr">
        <is>
          <t>KROKOM</t>
        </is>
      </c>
      <c r="G373" t="n">
        <v>5.9</v>
      </c>
      <c r="H373" t="n">
        <v>0</v>
      </c>
      <c r="I373" t="n">
        <v>0</v>
      </c>
      <c r="J373" t="n">
        <v>0</v>
      </c>
      <c r="K373" t="n">
        <v>0</v>
      </c>
      <c r="L373" t="n">
        <v>0</v>
      </c>
      <c r="M373" t="n">
        <v>0</v>
      </c>
      <c r="N373" t="n">
        <v>0</v>
      </c>
      <c r="O373" t="n">
        <v>0</v>
      </c>
      <c r="P373" t="n">
        <v>0</v>
      </c>
      <c r="Q373" t="n">
        <v>0</v>
      </c>
      <c r="R373" s="2" t="inlineStr"/>
    </row>
    <row r="374" ht="15" customHeight="1">
      <c r="A374" t="inlineStr">
        <is>
          <t>A 29211-2019</t>
        </is>
      </c>
      <c r="B374" s="1" t="n">
        <v>43623</v>
      </c>
      <c r="C374" s="1" t="n">
        <v>45730</v>
      </c>
      <c r="D374" t="inlineStr">
        <is>
          <t>JÄMTLANDS LÄN</t>
        </is>
      </c>
      <c r="E374" t="inlineStr">
        <is>
          <t>KROKOM</t>
        </is>
      </c>
      <c r="G374" t="n">
        <v>5</v>
      </c>
      <c r="H374" t="n">
        <v>0</v>
      </c>
      <c r="I374" t="n">
        <v>0</v>
      </c>
      <c r="J374" t="n">
        <v>0</v>
      </c>
      <c r="K374" t="n">
        <v>0</v>
      </c>
      <c r="L374" t="n">
        <v>0</v>
      </c>
      <c r="M374" t="n">
        <v>0</v>
      </c>
      <c r="N374" t="n">
        <v>0</v>
      </c>
      <c r="O374" t="n">
        <v>0</v>
      </c>
      <c r="P374" t="n">
        <v>0</v>
      </c>
      <c r="Q374" t="n">
        <v>0</v>
      </c>
      <c r="R374" s="2" t="inlineStr"/>
    </row>
    <row r="375" ht="15" customHeight="1">
      <c r="A375" t="inlineStr">
        <is>
          <t>A 28521-2019</t>
        </is>
      </c>
      <c r="B375" s="1" t="n">
        <v>43626</v>
      </c>
      <c r="C375" s="1" t="n">
        <v>45730</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29153-2019</t>
        </is>
      </c>
      <c r="B376" s="1" t="n">
        <v>43628</v>
      </c>
      <c r="C376" s="1" t="n">
        <v>45730</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29705-2019</t>
        </is>
      </c>
      <c r="B377" s="1" t="n">
        <v>43628</v>
      </c>
      <c r="C377" s="1" t="n">
        <v>45730</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29925-2019</t>
        </is>
      </c>
      <c r="B378" s="1" t="n">
        <v>43633</v>
      </c>
      <c r="C378" s="1" t="n">
        <v>45730</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29823-2019</t>
        </is>
      </c>
      <c r="B379" s="1" t="n">
        <v>43633</v>
      </c>
      <c r="C379" s="1" t="n">
        <v>45730</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30032-2019</t>
        </is>
      </c>
      <c r="B380" s="1" t="n">
        <v>43633</v>
      </c>
      <c r="C380" s="1" t="n">
        <v>45730</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30138-2019</t>
        </is>
      </c>
      <c r="B381" s="1" t="n">
        <v>43634</v>
      </c>
      <c r="C381" s="1" t="n">
        <v>45730</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30691-2019</t>
        </is>
      </c>
      <c r="B382" s="1" t="n">
        <v>43636</v>
      </c>
      <c r="C382" s="1" t="n">
        <v>45730</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30758-2019</t>
        </is>
      </c>
      <c r="B383" s="1" t="n">
        <v>43636</v>
      </c>
      <c r="C383" s="1" t="n">
        <v>45730</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31070-2019</t>
        </is>
      </c>
      <c r="B384" s="1" t="n">
        <v>43640</v>
      </c>
      <c r="C384" s="1" t="n">
        <v>45730</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31032-2019</t>
        </is>
      </c>
      <c r="B385" s="1" t="n">
        <v>43640</v>
      </c>
      <c r="C385" s="1" t="n">
        <v>45730</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31071-2019</t>
        </is>
      </c>
      <c r="B386" s="1" t="n">
        <v>43640</v>
      </c>
      <c r="C386" s="1" t="n">
        <v>45730</v>
      </c>
      <c r="D386" t="inlineStr">
        <is>
          <t>JÄMTLANDS LÄN</t>
        </is>
      </c>
      <c r="E386" t="inlineStr">
        <is>
          <t>KROKOM</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31574-2019</t>
        </is>
      </c>
      <c r="B387" s="1" t="n">
        <v>43641</v>
      </c>
      <c r="C387" s="1" t="n">
        <v>45730</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31575-2019</t>
        </is>
      </c>
      <c r="B388" s="1" t="n">
        <v>43641</v>
      </c>
      <c r="C388" s="1" t="n">
        <v>45730</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31911-2019</t>
        </is>
      </c>
      <c r="B389" s="1" t="n">
        <v>43642</v>
      </c>
      <c r="C389" s="1" t="n">
        <v>45730</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32053-2019</t>
        </is>
      </c>
      <c r="B390" s="1" t="n">
        <v>43642</v>
      </c>
      <c r="C390" s="1" t="n">
        <v>45730</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33001-2019</t>
        </is>
      </c>
      <c r="B391" s="1" t="n">
        <v>43649</v>
      </c>
      <c r="C391" s="1" t="n">
        <v>45730</v>
      </c>
      <c r="D391" t="inlineStr">
        <is>
          <t>JÄMTLANDS LÄN</t>
        </is>
      </c>
      <c r="E391" t="inlineStr">
        <is>
          <t>KROKOM</t>
        </is>
      </c>
      <c r="F391" t="inlineStr">
        <is>
          <t>Övriga Aktiebolag</t>
        </is>
      </c>
      <c r="G391" t="n">
        <v>7.8</v>
      </c>
      <c r="H391" t="n">
        <v>0</v>
      </c>
      <c r="I391" t="n">
        <v>0</v>
      </c>
      <c r="J391" t="n">
        <v>0</v>
      </c>
      <c r="K391" t="n">
        <v>0</v>
      </c>
      <c r="L391" t="n">
        <v>0</v>
      </c>
      <c r="M391" t="n">
        <v>0</v>
      </c>
      <c r="N391" t="n">
        <v>0</v>
      </c>
      <c r="O391" t="n">
        <v>0</v>
      </c>
      <c r="P391" t="n">
        <v>0</v>
      </c>
      <c r="Q391" t="n">
        <v>0</v>
      </c>
      <c r="R391" s="2" t="inlineStr"/>
    </row>
    <row r="392" ht="15" customHeight="1">
      <c r="A392" t="inlineStr">
        <is>
          <t>A 33015-2019</t>
        </is>
      </c>
      <c r="B392" s="1" t="n">
        <v>43649</v>
      </c>
      <c r="C392" s="1" t="n">
        <v>45730</v>
      </c>
      <c r="D392" t="inlineStr">
        <is>
          <t>JÄMTLANDS LÄN</t>
        </is>
      </c>
      <c r="E392" t="inlineStr">
        <is>
          <t>KROKOM</t>
        </is>
      </c>
      <c r="F392" t="inlineStr">
        <is>
          <t>Övriga Aktiebolag</t>
        </is>
      </c>
      <c r="G392" t="n">
        <v>12.7</v>
      </c>
      <c r="H392" t="n">
        <v>0</v>
      </c>
      <c r="I392" t="n">
        <v>0</v>
      </c>
      <c r="J392" t="n">
        <v>0</v>
      </c>
      <c r="K392" t="n">
        <v>0</v>
      </c>
      <c r="L392" t="n">
        <v>0</v>
      </c>
      <c r="M392" t="n">
        <v>0</v>
      </c>
      <c r="N392" t="n">
        <v>0</v>
      </c>
      <c r="O392" t="n">
        <v>0</v>
      </c>
      <c r="P392" t="n">
        <v>0</v>
      </c>
      <c r="Q392" t="n">
        <v>0</v>
      </c>
      <c r="R392" s="2" t="inlineStr"/>
    </row>
    <row r="393" ht="15" customHeight="1">
      <c r="A393" t="inlineStr">
        <is>
          <t>A 33360-2019</t>
        </is>
      </c>
      <c r="B393" s="1" t="n">
        <v>43650</v>
      </c>
      <c r="C393" s="1" t="n">
        <v>45730</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35288-2019</t>
        </is>
      </c>
      <c r="B394" s="1" t="n">
        <v>43651</v>
      </c>
      <c r="C394" s="1" t="n">
        <v>45730</v>
      </c>
      <c r="D394" t="inlineStr">
        <is>
          <t>JÄMTLANDS LÄN</t>
        </is>
      </c>
      <c r="E394" t="inlineStr">
        <is>
          <t>KROKOM</t>
        </is>
      </c>
      <c r="G394" t="n">
        <v>6.9</v>
      </c>
      <c r="H394" t="n">
        <v>0</v>
      </c>
      <c r="I394" t="n">
        <v>0</v>
      </c>
      <c r="J394" t="n">
        <v>0</v>
      </c>
      <c r="K394" t="n">
        <v>0</v>
      </c>
      <c r="L394" t="n">
        <v>0</v>
      </c>
      <c r="M394" t="n">
        <v>0</v>
      </c>
      <c r="N394" t="n">
        <v>0</v>
      </c>
      <c r="O394" t="n">
        <v>0</v>
      </c>
      <c r="P394" t="n">
        <v>0</v>
      </c>
      <c r="Q394" t="n">
        <v>0</v>
      </c>
      <c r="R394" s="2" t="inlineStr"/>
    </row>
    <row r="395" ht="15" customHeight="1">
      <c r="A395" t="inlineStr">
        <is>
          <t>A 35337-2019</t>
        </is>
      </c>
      <c r="B395" s="1" t="n">
        <v>43651</v>
      </c>
      <c r="C395" s="1" t="n">
        <v>45730</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35264-2019</t>
        </is>
      </c>
      <c r="B396" s="1" t="n">
        <v>43651</v>
      </c>
      <c r="C396" s="1" t="n">
        <v>45730</v>
      </c>
      <c r="D396" t="inlineStr">
        <is>
          <t>JÄMTLANDS LÄN</t>
        </is>
      </c>
      <c r="E396" t="inlineStr">
        <is>
          <t>KROKOM</t>
        </is>
      </c>
      <c r="G396" t="n">
        <v>10</v>
      </c>
      <c r="H396" t="n">
        <v>0</v>
      </c>
      <c r="I396" t="n">
        <v>0</v>
      </c>
      <c r="J396" t="n">
        <v>0</v>
      </c>
      <c r="K396" t="n">
        <v>0</v>
      </c>
      <c r="L396" t="n">
        <v>0</v>
      </c>
      <c r="M396" t="n">
        <v>0</v>
      </c>
      <c r="N396" t="n">
        <v>0</v>
      </c>
      <c r="O396" t="n">
        <v>0</v>
      </c>
      <c r="P396" t="n">
        <v>0</v>
      </c>
      <c r="Q396" t="n">
        <v>0</v>
      </c>
      <c r="R396" s="2" t="inlineStr"/>
    </row>
    <row r="397" ht="15" customHeight="1">
      <c r="A397" t="inlineStr">
        <is>
          <t>A 35339-2019</t>
        </is>
      </c>
      <c r="B397" s="1" t="n">
        <v>43651</v>
      </c>
      <c r="C397" s="1" t="n">
        <v>45730</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35266-2019</t>
        </is>
      </c>
      <c r="B398" s="1" t="n">
        <v>43651</v>
      </c>
      <c r="C398" s="1" t="n">
        <v>45730</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34065-2019</t>
        </is>
      </c>
      <c r="B399" s="1" t="n">
        <v>43654</v>
      </c>
      <c r="C399" s="1" t="n">
        <v>45730</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34108-2019</t>
        </is>
      </c>
      <c r="B400" s="1" t="n">
        <v>43655</v>
      </c>
      <c r="C400" s="1" t="n">
        <v>45730</v>
      </c>
      <c r="D400" t="inlineStr">
        <is>
          <t>JÄMTLANDS LÄN</t>
        </is>
      </c>
      <c r="E400" t="inlineStr">
        <is>
          <t>KROKOM</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35668-2019</t>
        </is>
      </c>
      <c r="B401" s="1" t="n">
        <v>43655</v>
      </c>
      <c r="C401" s="1" t="n">
        <v>45730</v>
      </c>
      <c r="D401" t="inlineStr">
        <is>
          <t>JÄMTLANDS LÄN</t>
        </is>
      </c>
      <c r="E401" t="inlineStr">
        <is>
          <t>KROKOM</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35754-2019</t>
        </is>
      </c>
      <c r="B402" s="1" t="n">
        <v>43656</v>
      </c>
      <c r="C402" s="1" t="n">
        <v>45730</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34739-2019</t>
        </is>
      </c>
      <c r="B403" s="1" t="n">
        <v>43657</v>
      </c>
      <c r="C403" s="1" t="n">
        <v>45730</v>
      </c>
      <c r="D403" t="inlineStr">
        <is>
          <t>JÄMTLANDS LÄN</t>
        </is>
      </c>
      <c r="E403" t="inlineStr">
        <is>
          <t>KROKOM</t>
        </is>
      </c>
      <c r="F403" t="inlineStr">
        <is>
          <t>SCA</t>
        </is>
      </c>
      <c r="G403" t="n">
        <v>7.9</v>
      </c>
      <c r="H403" t="n">
        <v>0</v>
      </c>
      <c r="I403" t="n">
        <v>0</v>
      </c>
      <c r="J403" t="n">
        <v>0</v>
      </c>
      <c r="K403" t="n">
        <v>0</v>
      </c>
      <c r="L403" t="n">
        <v>0</v>
      </c>
      <c r="M403" t="n">
        <v>0</v>
      </c>
      <c r="N403" t="n">
        <v>0</v>
      </c>
      <c r="O403" t="n">
        <v>0</v>
      </c>
      <c r="P403" t="n">
        <v>0</v>
      </c>
      <c r="Q403" t="n">
        <v>0</v>
      </c>
      <c r="R403" s="2" t="inlineStr"/>
    </row>
    <row r="404" ht="15" customHeight="1">
      <c r="A404" t="inlineStr">
        <is>
          <t>A 36009-2019</t>
        </is>
      </c>
      <c r="B404" s="1" t="n">
        <v>43657</v>
      </c>
      <c r="C404" s="1" t="n">
        <v>45730</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35131-2019</t>
        </is>
      </c>
      <c r="B405" s="1" t="n">
        <v>43661</v>
      </c>
      <c r="C405" s="1" t="n">
        <v>45730</v>
      </c>
      <c r="D405" t="inlineStr">
        <is>
          <t>JÄMTLANDS LÄN</t>
        </is>
      </c>
      <c r="E405" t="inlineStr">
        <is>
          <t>KROKOM</t>
        </is>
      </c>
      <c r="G405" t="n">
        <v>10.4</v>
      </c>
      <c r="H405" t="n">
        <v>0</v>
      </c>
      <c r="I405" t="n">
        <v>0</v>
      </c>
      <c r="J405" t="n">
        <v>0</v>
      </c>
      <c r="K405" t="n">
        <v>0</v>
      </c>
      <c r="L405" t="n">
        <v>0</v>
      </c>
      <c r="M405" t="n">
        <v>0</v>
      </c>
      <c r="N405" t="n">
        <v>0</v>
      </c>
      <c r="O405" t="n">
        <v>0</v>
      </c>
      <c r="P405" t="n">
        <v>0</v>
      </c>
      <c r="Q405" t="n">
        <v>0</v>
      </c>
      <c r="R405" s="2" t="inlineStr"/>
    </row>
    <row r="406" ht="15" customHeight="1">
      <c r="A406" t="inlineStr">
        <is>
          <t>A 35340-2019</t>
        </is>
      </c>
      <c r="B406" s="1" t="n">
        <v>43661</v>
      </c>
      <c r="C406" s="1" t="n">
        <v>45730</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36271-2019</t>
        </is>
      </c>
      <c r="B407" s="1" t="n">
        <v>43661</v>
      </c>
      <c r="C407" s="1" t="n">
        <v>45730</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37369-2019</t>
        </is>
      </c>
      <c r="B408" s="1" t="n">
        <v>43678</v>
      </c>
      <c r="C408" s="1" t="n">
        <v>45730</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37756-2019</t>
        </is>
      </c>
      <c r="B409" s="1" t="n">
        <v>43682</v>
      </c>
      <c r="C409" s="1" t="n">
        <v>45730</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38208-2019</t>
        </is>
      </c>
      <c r="B410" s="1" t="n">
        <v>43684</v>
      </c>
      <c r="C410" s="1" t="n">
        <v>45730</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39353-2019</t>
        </is>
      </c>
      <c r="B411" s="1" t="n">
        <v>43690</v>
      </c>
      <c r="C411" s="1" t="n">
        <v>45730</v>
      </c>
      <c r="D411" t="inlineStr">
        <is>
          <t>JÄMTLANDS LÄN</t>
        </is>
      </c>
      <c r="E411" t="inlineStr">
        <is>
          <t>KROKOM</t>
        </is>
      </c>
      <c r="G411" t="n">
        <v>7.8</v>
      </c>
      <c r="H411" t="n">
        <v>0</v>
      </c>
      <c r="I411" t="n">
        <v>0</v>
      </c>
      <c r="J411" t="n">
        <v>0</v>
      </c>
      <c r="K411" t="n">
        <v>0</v>
      </c>
      <c r="L411" t="n">
        <v>0</v>
      </c>
      <c r="M411" t="n">
        <v>0</v>
      </c>
      <c r="N411" t="n">
        <v>0</v>
      </c>
      <c r="O411" t="n">
        <v>0</v>
      </c>
      <c r="P411" t="n">
        <v>0</v>
      </c>
      <c r="Q411" t="n">
        <v>0</v>
      </c>
      <c r="R411" s="2" t="inlineStr"/>
    </row>
    <row r="412" ht="15" customHeight="1">
      <c r="A412" t="inlineStr">
        <is>
          <t>A 39587-2019</t>
        </is>
      </c>
      <c r="B412" s="1" t="n">
        <v>43691</v>
      </c>
      <c r="C412" s="1" t="n">
        <v>45730</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39956-2019</t>
        </is>
      </c>
      <c r="B413" s="1" t="n">
        <v>43692</v>
      </c>
      <c r="C413" s="1" t="n">
        <v>45730</v>
      </c>
      <c r="D413" t="inlineStr">
        <is>
          <t>JÄMTLANDS LÄN</t>
        </is>
      </c>
      <c r="E413" t="inlineStr">
        <is>
          <t>KROKOM</t>
        </is>
      </c>
      <c r="G413" t="n">
        <v>4.3</v>
      </c>
      <c r="H413" t="n">
        <v>0</v>
      </c>
      <c r="I413" t="n">
        <v>0</v>
      </c>
      <c r="J413" t="n">
        <v>0</v>
      </c>
      <c r="K413" t="n">
        <v>0</v>
      </c>
      <c r="L413" t="n">
        <v>0</v>
      </c>
      <c r="M413" t="n">
        <v>0</v>
      </c>
      <c r="N413" t="n">
        <v>0</v>
      </c>
      <c r="O413" t="n">
        <v>0</v>
      </c>
      <c r="P413" t="n">
        <v>0</v>
      </c>
      <c r="Q413" t="n">
        <v>0</v>
      </c>
      <c r="R413" s="2" t="inlineStr"/>
    </row>
    <row r="414" ht="15" customHeight="1">
      <c r="A414" t="inlineStr">
        <is>
          <t>A 39943-2019</t>
        </is>
      </c>
      <c r="B414" s="1" t="n">
        <v>43692</v>
      </c>
      <c r="C414" s="1" t="n">
        <v>45730</v>
      </c>
      <c r="D414" t="inlineStr">
        <is>
          <t>JÄMTLANDS LÄN</t>
        </is>
      </c>
      <c r="E414" t="inlineStr">
        <is>
          <t>KROKOM</t>
        </is>
      </c>
      <c r="G414" t="n">
        <v>17.9</v>
      </c>
      <c r="H414" t="n">
        <v>0</v>
      </c>
      <c r="I414" t="n">
        <v>0</v>
      </c>
      <c r="J414" t="n">
        <v>0</v>
      </c>
      <c r="K414" t="n">
        <v>0</v>
      </c>
      <c r="L414" t="n">
        <v>0</v>
      </c>
      <c r="M414" t="n">
        <v>0</v>
      </c>
      <c r="N414" t="n">
        <v>0</v>
      </c>
      <c r="O414" t="n">
        <v>0</v>
      </c>
      <c r="P414" t="n">
        <v>0</v>
      </c>
      <c r="Q414" t="n">
        <v>0</v>
      </c>
      <c r="R414" s="2" t="inlineStr"/>
    </row>
    <row r="415" ht="15" customHeight="1">
      <c r="A415" t="inlineStr">
        <is>
          <t>A 40929-2019</t>
        </is>
      </c>
      <c r="B415" s="1" t="n">
        <v>43693</v>
      </c>
      <c r="C415" s="1" t="n">
        <v>45730</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40491-2019</t>
        </is>
      </c>
      <c r="B416" s="1" t="n">
        <v>43696</v>
      </c>
      <c r="C416" s="1" t="n">
        <v>45730</v>
      </c>
      <c r="D416" t="inlineStr">
        <is>
          <t>JÄMTLANDS LÄN</t>
        </is>
      </c>
      <c r="E416" t="inlineStr">
        <is>
          <t>KROKOM</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41491-2019</t>
        </is>
      </c>
      <c r="B417" s="1" t="n">
        <v>43699</v>
      </c>
      <c r="C417" s="1" t="n">
        <v>45730</v>
      </c>
      <c r="D417" t="inlineStr">
        <is>
          <t>JÄMTLANDS LÄN</t>
        </is>
      </c>
      <c r="E417" t="inlineStr">
        <is>
          <t>KROKOM</t>
        </is>
      </c>
      <c r="G417" t="n">
        <v>9.1</v>
      </c>
      <c r="H417" t="n">
        <v>0</v>
      </c>
      <c r="I417" t="n">
        <v>0</v>
      </c>
      <c r="J417" t="n">
        <v>0</v>
      </c>
      <c r="K417" t="n">
        <v>0</v>
      </c>
      <c r="L417" t="n">
        <v>0</v>
      </c>
      <c r="M417" t="n">
        <v>0</v>
      </c>
      <c r="N417" t="n">
        <v>0</v>
      </c>
      <c r="O417" t="n">
        <v>0</v>
      </c>
      <c r="P417" t="n">
        <v>0</v>
      </c>
      <c r="Q417" t="n">
        <v>0</v>
      </c>
      <c r="R417" s="2" t="inlineStr"/>
    </row>
    <row r="418" ht="15" customHeight="1">
      <c r="A418" t="inlineStr">
        <is>
          <t>A 42258-2019</t>
        </is>
      </c>
      <c r="B418" s="1" t="n">
        <v>43703</v>
      </c>
      <c r="C418" s="1" t="n">
        <v>45730</v>
      </c>
      <c r="D418" t="inlineStr">
        <is>
          <t>JÄMTLANDS LÄN</t>
        </is>
      </c>
      <c r="E418" t="inlineStr">
        <is>
          <t>KROKOM</t>
        </is>
      </c>
      <c r="G418" t="n">
        <v>4.9</v>
      </c>
      <c r="H418" t="n">
        <v>0</v>
      </c>
      <c r="I418" t="n">
        <v>0</v>
      </c>
      <c r="J418" t="n">
        <v>0</v>
      </c>
      <c r="K418" t="n">
        <v>0</v>
      </c>
      <c r="L418" t="n">
        <v>0</v>
      </c>
      <c r="M418" t="n">
        <v>0</v>
      </c>
      <c r="N418" t="n">
        <v>0</v>
      </c>
      <c r="O418" t="n">
        <v>0</v>
      </c>
      <c r="P418" t="n">
        <v>0</v>
      </c>
      <c r="Q418" t="n">
        <v>0</v>
      </c>
      <c r="R418" s="2" t="inlineStr"/>
    </row>
    <row r="419" ht="15" customHeight="1">
      <c r="A419" t="inlineStr">
        <is>
          <t>A 42237-2019</t>
        </is>
      </c>
      <c r="B419" s="1" t="n">
        <v>43703</v>
      </c>
      <c r="C419" s="1" t="n">
        <v>45730</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42537-2019</t>
        </is>
      </c>
      <c r="B420" s="1" t="n">
        <v>43704</v>
      </c>
      <c r="C420" s="1" t="n">
        <v>45730</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42547-2019</t>
        </is>
      </c>
      <c r="B421" s="1" t="n">
        <v>43704</v>
      </c>
      <c r="C421" s="1" t="n">
        <v>45730</v>
      </c>
      <c r="D421" t="inlineStr">
        <is>
          <t>JÄMTLANDS LÄN</t>
        </is>
      </c>
      <c r="E421" t="inlineStr">
        <is>
          <t>KROKOM</t>
        </is>
      </c>
      <c r="F421" t="inlineStr">
        <is>
          <t>Övriga Aktiebolag</t>
        </is>
      </c>
      <c r="G421" t="n">
        <v>27.5</v>
      </c>
      <c r="H421" t="n">
        <v>0</v>
      </c>
      <c r="I421" t="n">
        <v>0</v>
      </c>
      <c r="J421" t="n">
        <v>0</v>
      </c>
      <c r="K421" t="n">
        <v>0</v>
      </c>
      <c r="L421" t="n">
        <v>0</v>
      </c>
      <c r="M421" t="n">
        <v>0</v>
      </c>
      <c r="N421" t="n">
        <v>0</v>
      </c>
      <c r="O421" t="n">
        <v>0</v>
      </c>
      <c r="P421" t="n">
        <v>0</v>
      </c>
      <c r="Q421" t="n">
        <v>0</v>
      </c>
      <c r="R421" s="2" t="inlineStr"/>
    </row>
    <row r="422" ht="15" customHeight="1">
      <c r="A422" t="inlineStr">
        <is>
          <t>A 42498-2019</t>
        </is>
      </c>
      <c r="B422" s="1" t="n">
        <v>43704</v>
      </c>
      <c r="C422" s="1" t="n">
        <v>45730</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42602-2019</t>
        </is>
      </c>
      <c r="B423" s="1" t="n">
        <v>43704</v>
      </c>
      <c r="C423" s="1" t="n">
        <v>45730</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42635-2019</t>
        </is>
      </c>
      <c r="B424" s="1" t="n">
        <v>43704</v>
      </c>
      <c r="C424" s="1" t="n">
        <v>45730</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43708-2019</t>
        </is>
      </c>
      <c r="B425" s="1" t="n">
        <v>43707</v>
      </c>
      <c r="C425" s="1" t="n">
        <v>45730</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43721-2019</t>
        </is>
      </c>
      <c r="B426" s="1" t="n">
        <v>43707</v>
      </c>
      <c r="C426" s="1" t="n">
        <v>45730</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44128-2019</t>
        </is>
      </c>
      <c r="B427" s="1" t="n">
        <v>43710</v>
      </c>
      <c r="C427" s="1" t="n">
        <v>45730</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44190-2019</t>
        </is>
      </c>
      <c r="B428" s="1" t="n">
        <v>43710</v>
      </c>
      <c r="C428" s="1" t="n">
        <v>45730</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44653-2019</t>
        </is>
      </c>
      <c r="B429" s="1" t="n">
        <v>43712</v>
      </c>
      <c r="C429" s="1" t="n">
        <v>45730</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46288-2019</t>
        </is>
      </c>
      <c r="B430" s="1" t="n">
        <v>43717</v>
      </c>
      <c r="C430" s="1" t="n">
        <v>45730</v>
      </c>
      <c r="D430" t="inlineStr">
        <is>
          <t>JÄMTLANDS LÄN</t>
        </is>
      </c>
      <c r="E430" t="inlineStr">
        <is>
          <t>KROKOM</t>
        </is>
      </c>
      <c r="G430" t="n">
        <v>1.2</v>
      </c>
      <c r="H430" t="n">
        <v>0</v>
      </c>
      <c r="I430" t="n">
        <v>0</v>
      </c>
      <c r="J430" t="n">
        <v>0</v>
      </c>
      <c r="K430" t="n">
        <v>0</v>
      </c>
      <c r="L430" t="n">
        <v>0</v>
      </c>
      <c r="M430" t="n">
        <v>0</v>
      </c>
      <c r="N430" t="n">
        <v>0</v>
      </c>
      <c r="O430" t="n">
        <v>0</v>
      </c>
      <c r="P430" t="n">
        <v>0</v>
      </c>
      <c r="Q430" t="n">
        <v>0</v>
      </c>
      <c r="R430" s="2" t="inlineStr"/>
    </row>
    <row r="431" ht="15" customHeight="1">
      <c r="A431" t="inlineStr">
        <is>
          <t>A 47406-2019</t>
        </is>
      </c>
      <c r="B431" s="1" t="n">
        <v>43722</v>
      </c>
      <c r="C431" s="1" t="n">
        <v>45730</v>
      </c>
      <c r="D431" t="inlineStr">
        <is>
          <t>JÄMTLANDS LÄN</t>
        </is>
      </c>
      <c r="E431" t="inlineStr">
        <is>
          <t>KROKOM</t>
        </is>
      </c>
      <c r="G431" t="n">
        <v>7.4</v>
      </c>
      <c r="H431" t="n">
        <v>0</v>
      </c>
      <c r="I431" t="n">
        <v>0</v>
      </c>
      <c r="J431" t="n">
        <v>0</v>
      </c>
      <c r="K431" t="n">
        <v>0</v>
      </c>
      <c r="L431" t="n">
        <v>0</v>
      </c>
      <c r="M431" t="n">
        <v>0</v>
      </c>
      <c r="N431" t="n">
        <v>0</v>
      </c>
      <c r="O431" t="n">
        <v>0</v>
      </c>
      <c r="P431" t="n">
        <v>0</v>
      </c>
      <c r="Q431" t="n">
        <v>0</v>
      </c>
      <c r="R431" s="2" t="inlineStr"/>
    </row>
    <row r="432" ht="15" customHeight="1">
      <c r="A432" t="inlineStr">
        <is>
          <t>A 48311-2019</t>
        </is>
      </c>
      <c r="B432" s="1" t="n">
        <v>43726</v>
      </c>
      <c r="C432" s="1" t="n">
        <v>45730</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48613-2019</t>
        </is>
      </c>
      <c r="B433" s="1" t="n">
        <v>43727</v>
      </c>
      <c r="C433" s="1" t="n">
        <v>45730</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49213-2019</t>
        </is>
      </c>
      <c r="B434" s="1" t="n">
        <v>43731</v>
      </c>
      <c r="C434" s="1" t="n">
        <v>45730</v>
      </c>
      <c r="D434" t="inlineStr">
        <is>
          <t>JÄMTLANDS LÄN</t>
        </is>
      </c>
      <c r="E434" t="inlineStr">
        <is>
          <t>KROKOM</t>
        </is>
      </c>
      <c r="G434" t="n">
        <v>3.8</v>
      </c>
      <c r="H434" t="n">
        <v>0</v>
      </c>
      <c r="I434" t="n">
        <v>0</v>
      </c>
      <c r="J434" t="n">
        <v>0</v>
      </c>
      <c r="K434" t="n">
        <v>0</v>
      </c>
      <c r="L434" t="n">
        <v>0</v>
      </c>
      <c r="M434" t="n">
        <v>0</v>
      </c>
      <c r="N434" t="n">
        <v>0</v>
      </c>
      <c r="O434" t="n">
        <v>0</v>
      </c>
      <c r="P434" t="n">
        <v>0</v>
      </c>
      <c r="Q434" t="n">
        <v>0</v>
      </c>
      <c r="R434" s="2" t="inlineStr"/>
    </row>
    <row r="435" ht="15" customHeight="1">
      <c r="A435" t="inlineStr">
        <is>
          <t>A 50104-2019</t>
        </is>
      </c>
      <c r="B435" s="1" t="n">
        <v>43731</v>
      </c>
      <c r="C435" s="1" t="n">
        <v>45730</v>
      </c>
      <c r="D435" t="inlineStr">
        <is>
          <t>JÄMTLANDS LÄN</t>
        </is>
      </c>
      <c r="E435" t="inlineStr">
        <is>
          <t>KROKOM</t>
        </is>
      </c>
      <c r="G435" t="n">
        <v>4.2</v>
      </c>
      <c r="H435" t="n">
        <v>0</v>
      </c>
      <c r="I435" t="n">
        <v>0</v>
      </c>
      <c r="J435" t="n">
        <v>0</v>
      </c>
      <c r="K435" t="n">
        <v>0</v>
      </c>
      <c r="L435" t="n">
        <v>0</v>
      </c>
      <c r="M435" t="n">
        <v>0</v>
      </c>
      <c r="N435" t="n">
        <v>0</v>
      </c>
      <c r="O435" t="n">
        <v>0</v>
      </c>
      <c r="P435" t="n">
        <v>0</v>
      </c>
      <c r="Q435" t="n">
        <v>0</v>
      </c>
      <c r="R435" s="2" t="inlineStr"/>
    </row>
    <row r="436" ht="15" customHeight="1">
      <c r="A436" t="inlineStr">
        <is>
          <t>A 50115-2019</t>
        </is>
      </c>
      <c r="B436" s="1" t="n">
        <v>43731</v>
      </c>
      <c r="C436" s="1" t="n">
        <v>45730</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50084-2019</t>
        </is>
      </c>
      <c r="B437" s="1" t="n">
        <v>43731</v>
      </c>
      <c r="C437" s="1" t="n">
        <v>45730</v>
      </c>
      <c r="D437" t="inlineStr">
        <is>
          <t>JÄMTLANDS LÄN</t>
        </is>
      </c>
      <c r="E437" t="inlineStr">
        <is>
          <t>KROKOM</t>
        </is>
      </c>
      <c r="G437" t="n">
        <v>12.5</v>
      </c>
      <c r="H437" t="n">
        <v>0</v>
      </c>
      <c r="I437" t="n">
        <v>0</v>
      </c>
      <c r="J437" t="n">
        <v>0</v>
      </c>
      <c r="K437" t="n">
        <v>0</v>
      </c>
      <c r="L437" t="n">
        <v>0</v>
      </c>
      <c r="M437" t="n">
        <v>0</v>
      </c>
      <c r="N437" t="n">
        <v>0</v>
      </c>
      <c r="O437" t="n">
        <v>0</v>
      </c>
      <c r="P437" t="n">
        <v>0</v>
      </c>
      <c r="Q437" t="n">
        <v>0</v>
      </c>
      <c r="R437" s="2" t="inlineStr"/>
    </row>
    <row r="438" ht="15" customHeight="1">
      <c r="A438" t="inlineStr">
        <is>
          <t>A 50112-2019</t>
        </is>
      </c>
      <c r="B438" s="1" t="n">
        <v>43731</v>
      </c>
      <c r="C438" s="1" t="n">
        <v>45730</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50144-2019</t>
        </is>
      </c>
      <c r="B439" s="1" t="n">
        <v>43734</v>
      </c>
      <c r="C439" s="1" t="n">
        <v>45730</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52049-2019</t>
        </is>
      </c>
      <c r="B440" s="1" t="n">
        <v>43734</v>
      </c>
      <c r="C440" s="1" t="n">
        <v>45730</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52028-2019</t>
        </is>
      </c>
      <c r="B441" s="1" t="n">
        <v>43734</v>
      </c>
      <c r="C441" s="1" t="n">
        <v>45730</v>
      </c>
      <c r="D441" t="inlineStr">
        <is>
          <t>JÄMTLANDS LÄN</t>
        </is>
      </c>
      <c r="E441" t="inlineStr">
        <is>
          <t>KROKOM</t>
        </is>
      </c>
      <c r="F441" t="inlineStr">
        <is>
          <t>Övriga Aktiebolag</t>
        </is>
      </c>
      <c r="G441" t="n">
        <v>5.5</v>
      </c>
      <c r="H441" t="n">
        <v>0</v>
      </c>
      <c r="I441" t="n">
        <v>0</v>
      </c>
      <c r="J441" t="n">
        <v>0</v>
      </c>
      <c r="K441" t="n">
        <v>0</v>
      </c>
      <c r="L441" t="n">
        <v>0</v>
      </c>
      <c r="M441" t="n">
        <v>0</v>
      </c>
      <c r="N441" t="n">
        <v>0</v>
      </c>
      <c r="O441" t="n">
        <v>0</v>
      </c>
      <c r="P441" t="n">
        <v>0</v>
      </c>
      <c r="Q441" t="n">
        <v>0</v>
      </c>
      <c r="R441" s="2" t="inlineStr"/>
    </row>
    <row r="442" ht="15" customHeight="1">
      <c r="A442" t="inlineStr">
        <is>
          <t>A 50360-2019</t>
        </is>
      </c>
      <c r="B442" s="1" t="n">
        <v>43735</v>
      </c>
      <c r="C442" s="1" t="n">
        <v>45730</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52446-2019</t>
        </is>
      </c>
      <c r="B443" s="1" t="n">
        <v>43735</v>
      </c>
      <c r="C443" s="1" t="n">
        <v>45730</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53662-2019</t>
        </is>
      </c>
      <c r="B444" s="1" t="n">
        <v>43741</v>
      </c>
      <c r="C444" s="1" t="n">
        <v>45730</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54154-2019</t>
        </is>
      </c>
      <c r="B445" s="1" t="n">
        <v>43745</v>
      </c>
      <c r="C445" s="1" t="n">
        <v>45730</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53023-2019</t>
        </is>
      </c>
      <c r="B446" s="1" t="n">
        <v>43747</v>
      </c>
      <c r="C446" s="1" t="n">
        <v>45730</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54494-2019</t>
        </is>
      </c>
      <c r="B447" s="1" t="n">
        <v>43747</v>
      </c>
      <c r="C447" s="1" t="n">
        <v>45730</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53941-2019</t>
        </is>
      </c>
      <c r="B448" s="1" t="n">
        <v>43752</v>
      </c>
      <c r="C448" s="1" t="n">
        <v>45730</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54013-2019</t>
        </is>
      </c>
      <c r="B449" s="1" t="n">
        <v>43752</v>
      </c>
      <c r="C449" s="1" t="n">
        <v>45730</v>
      </c>
      <c r="D449" t="inlineStr">
        <is>
          <t>JÄMTLANDS LÄN</t>
        </is>
      </c>
      <c r="E449" t="inlineStr">
        <is>
          <t>KROKOM</t>
        </is>
      </c>
      <c r="F449" t="inlineStr">
        <is>
          <t>Övriga Aktiebolag</t>
        </is>
      </c>
      <c r="G449" t="n">
        <v>32.6</v>
      </c>
      <c r="H449" t="n">
        <v>0</v>
      </c>
      <c r="I449" t="n">
        <v>0</v>
      </c>
      <c r="J449" t="n">
        <v>0</v>
      </c>
      <c r="K449" t="n">
        <v>0</v>
      </c>
      <c r="L449" t="n">
        <v>0</v>
      </c>
      <c r="M449" t="n">
        <v>0</v>
      </c>
      <c r="N449" t="n">
        <v>0</v>
      </c>
      <c r="O449" t="n">
        <v>0</v>
      </c>
      <c r="P449" t="n">
        <v>0</v>
      </c>
      <c r="Q449" t="n">
        <v>0</v>
      </c>
      <c r="R449" s="2" t="inlineStr"/>
    </row>
    <row r="450" ht="15" customHeight="1">
      <c r="A450" t="inlineStr">
        <is>
          <t>A 54045-2019</t>
        </is>
      </c>
      <c r="B450" s="1" t="n">
        <v>43752</v>
      </c>
      <c r="C450" s="1" t="n">
        <v>45730</v>
      </c>
      <c r="D450" t="inlineStr">
        <is>
          <t>JÄMTLANDS LÄN</t>
        </is>
      </c>
      <c r="E450" t="inlineStr">
        <is>
          <t>KROKOM</t>
        </is>
      </c>
      <c r="F450" t="inlineStr">
        <is>
          <t>Övriga Aktiebolag</t>
        </is>
      </c>
      <c r="G450" t="n">
        <v>15.2</v>
      </c>
      <c r="H450" t="n">
        <v>0</v>
      </c>
      <c r="I450" t="n">
        <v>0</v>
      </c>
      <c r="J450" t="n">
        <v>0</v>
      </c>
      <c r="K450" t="n">
        <v>0</v>
      </c>
      <c r="L450" t="n">
        <v>0</v>
      </c>
      <c r="M450" t="n">
        <v>0</v>
      </c>
      <c r="N450" t="n">
        <v>0</v>
      </c>
      <c r="O450" t="n">
        <v>0</v>
      </c>
      <c r="P450" t="n">
        <v>0</v>
      </c>
      <c r="Q450" t="n">
        <v>0</v>
      </c>
      <c r="R450" s="2" t="inlineStr"/>
    </row>
    <row r="451" ht="15" customHeight="1">
      <c r="A451" t="inlineStr">
        <is>
          <t>A 54820-2019</t>
        </is>
      </c>
      <c r="B451" s="1" t="n">
        <v>43755</v>
      </c>
      <c r="C451" s="1" t="n">
        <v>45730</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55013-2019</t>
        </is>
      </c>
      <c r="B452" s="1" t="n">
        <v>43755</v>
      </c>
      <c r="C452" s="1" t="n">
        <v>45730</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55804-2019</t>
        </is>
      </c>
      <c r="B453" s="1" t="n">
        <v>43759</v>
      </c>
      <c r="C453" s="1" t="n">
        <v>45730</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56672-2019</t>
        </is>
      </c>
      <c r="B454" s="1" t="n">
        <v>43759</v>
      </c>
      <c r="C454" s="1" t="n">
        <v>45730</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56321-2019</t>
        </is>
      </c>
      <c r="B455" s="1" t="n">
        <v>43762</v>
      </c>
      <c r="C455" s="1" t="n">
        <v>45730</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56397-2019</t>
        </is>
      </c>
      <c r="B456" s="1" t="n">
        <v>43762</v>
      </c>
      <c r="C456" s="1" t="n">
        <v>45730</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56389-2019</t>
        </is>
      </c>
      <c r="B457" s="1" t="n">
        <v>43762</v>
      </c>
      <c r="C457" s="1" t="n">
        <v>45730</v>
      </c>
      <c r="D457" t="inlineStr">
        <is>
          <t>JÄMTLANDS LÄN</t>
        </is>
      </c>
      <c r="E457" t="inlineStr">
        <is>
          <t>KROKOM</t>
        </is>
      </c>
      <c r="G457" t="n">
        <v>2.4</v>
      </c>
      <c r="H457" t="n">
        <v>0</v>
      </c>
      <c r="I457" t="n">
        <v>0</v>
      </c>
      <c r="J457" t="n">
        <v>0</v>
      </c>
      <c r="K457" t="n">
        <v>0</v>
      </c>
      <c r="L457" t="n">
        <v>0</v>
      </c>
      <c r="M457" t="n">
        <v>0</v>
      </c>
      <c r="N457" t="n">
        <v>0</v>
      </c>
      <c r="O457" t="n">
        <v>0</v>
      </c>
      <c r="P457" t="n">
        <v>0</v>
      </c>
      <c r="Q457" t="n">
        <v>0</v>
      </c>
      <c r="R457" s="2" t="inlineStr"/>
    </row>
    <row r="458" ht="15" customHeight="1">
      <c r="A458" t="inlineStr">
        <is>
          <t>A 56320-2019</t>
        </is>
      </c>
      <c r="B458" s="1" t="n">
        <v>43762</v>
      </c>
      <c r="C458" s="1" t="n">
        <v>45730</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56403-2019</t>
        </is>
      </c>
      <c r="B459" s="1" t="n">
        <v>43762</v>
      </c>
      <c r="C459" s="1" t="n">
        <v>45730</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56510-2019</t>
        </is>
      </c>
      <c r="B460" s="1" t="n">
        <v>43762</v>
      </c>
      <c r="C460" s="1" t="n">
        <v>45730</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56332-2019</t>
        </is>
      </c>
      <c r="B461" s="1" t="n">
        <v>43762</v>
      </c>
      <c r="C461" s="1" t="n">
        <v>45730</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57796-2019</t>
        </is>
      </c>
      <c r="B462" s="1" t="n">
        <v>43762</v>
      </c>
      <c r="C462" s="1" t="n">
        <v>45730</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56763-2019</t>
        </is>
      </c>
      <c r="B463" s="1" t="n">
        <v>43763</v>
      </c>
      <c r="C463" s="1" t="n">
        <v>45730</v>
      </c>
      <c r="D463" t="inlineStr">
        <is>
          <t>JÄMTLANDS LÄN</t>
        </is>
      </c>
      <c r="E463" t="inlineStr">
        <is>
          <t>KROKOM</t>
        </is>
      </c>
      <c r="F463" t="inlineStr">
        <is>
          <t>Övriga Aktiebolag</t>
        </is>
      </c>
      <c r="G463" t="n">
        <v>29.4</v>
      </c>
      <c r="H463" t="n">
        <v>0</v>
      </c>
      <c r="I463" t="n">
        <v>0</v>
      </c>
      <c r="J463" t="n">
        <v>0</v>
      </c>
      <c r="K463" t="n">
        <v>0</v>
      </c>
      <c r="L463" t="n">
        <v>0</v>
      </c>
      <c r="M463" t="n">
        <v>0</v>
      </c>
      <c r="N463" t="n">
        <v>0</v>
      </c>
      <c r="O463" t="n">
        <v>0</v>
      </c>
      <c r="P463" t="n">
        <v>0</v>
      </c>
      <c r="Q463" t="n">
        <v>0</v>
      </c>
      <c r="R463" s="2" t="inlineStr"/>
    </row>
    <row r="464" ht="15" customHeight="1">
      <c r="A464" t="inlineStr">
        <is>
          <t>A 57732-2019</t>
        </is>
      </c>
      <c r="B464" s="1" t="n">
        <v>43768</v>
      </c>
      <c r="C464" s="1" t="n">
        <v>45730</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58235-2019</t>
        </is>
      </c>
      <c r="B465" s="1" t="n">
        <v>43770</v>
      </c>
      <c r="C465" s="1" t="n">
        <v>45730</v>
      </c>
      <c r="D465" t="inlineStr">
        <is>
          <t>JÄMTLANDS LÄN</t>
        </is>
      </c>
      <c r="E465" t="inlineStr">
        <is>
          <t>KROKOM</t>
        </is>
      </c>
      <c r="G465" t="n">
        <v>47.9</v>
      </c>
      <c r="H465" t="n">
        <v>0</v>
      </c>
      <c r="I465" t="n">
        <v>0</v>
      </c>
      <c r="J465" t="n">
        <v>0</v>
      </c>
      <c r="K465" t="n">
        <v>0</v>
      </c>
      <c r="L465" t="n">
        <v>0</v>
      </c>
      <c r="M465" t="n">
        <v>0</v>
      </c>
      <c r="N465" t="n">
        <v>0</v>
      </c>
      <c r="O465" t="n">
        <v>0</v>
      </c>
      <c r="P465" t="n">
        <v>0</v>
      </c>
      <c r="Q465" t="n">
        <v>0</v>
      </c>
      <c r="R465" s="2" t="inlineStr"/>
    </row>
    <row r="466" ht="15" customHeight="1">
      <c r="A466" t="inlineStr">
        <is>
          <t>A 58778-2019</t>
        </is>
      </c>
      <c r="B466" s="1" t="n">
        <v>43773</v>
      </c>
      <c r="C466" s="1" t="n">
        <v>45730</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59027-2019</t>
        </is>
      </c>
      <c r="B467" s="1" t="n">
        <v>43774</v>
      </c>
      <c r="C467" s="1" t="n">
        <v>45730</v>
      </c>
      <c r="D467" t="inlineStr">
        <is>
          <t>JÄMTLANDS LÄN</t>
        </is>
      </c>
      <c r="E467" t="inlineStr">
        <is>
          <t>KROKOM</t>
        </is>
      </c>
      <c r="F467" t="inlineStr">
        <is>
          <t>Övriga Aktiebolag</t>
        </is>
      </c>
      <c r="G467" t="n">
        <v>19.6</v>
      </c>
      <c r="H467" t="n">
        <v>0</v>
      </c>
      <c r="I467" t="n">
        <v>0</v>
      </c>
      <c r="J467" t="n">
        <v>0</v>
      </c>
      <c r="K467" t="n">
        <v>0</v>
      </c>
      <c r="L467" t="n">
        <v>0</v>
      </c>
      <c r="M467" t="n">
        <v>0</v>
      </c>
      <c r="N467" t="n">
        <v>0</v>
      </c>
      <c r="O467" t="n">
        <v>0</v>
      </c>
      <c r="P467" t="n">
        <v>0</v>
      </c>
      <c r="Q467" t="n">
        <v>0</v>
      </c>
      <c r="R467" s="2" t="inlineStr"/>
    </row>
    <row r="468" ht="15" customHeight="1">
      <c r="A468" t="inlineStr">
        <is>
          <t>A 59588-2019</t>
        </is>
      </c>
      <c r="B468" s="1" t="n">
        <v>43776</v>
      </c>
      <c r="C468" s="1" t="n">
        <v>45730</v>
      </c>
      <c r="D468" t="inlineStr">
        <is>
          <t>JÄMTLANDS LÄN</t>
        </is>
      </c>
      <c r="E468" t="inlineStr">
        <is>
          <t>KROKOM</t>
        </is>
      </c>
      <c r="F468" t="inlineStr">
        <is>
          <t>Övriga Aktiebolag</t>
        </is>
      </c>
      <c r="G468" t="n">
        <v>9</v>
      </c>
      <c r="H468" t="n">
        <v>0</v>
      </c>
      <c r="I468" t="n">
        <v>0</v>
      </c>
      <c r="J468" t="n">
        <v>0</v>
      </c>
      <c r="K468" t="n">
        <v>0</v>
      </c>
      <c r="L468" t="n">
        <v>0</v>
      </c>
      <c r="M468" t="n">
        <v>0</v>
      </c>
      <c r="N468" t="n">
        <v>0</v>
      </c>
      <c r="O468" t="n">
        <v>0</v>
      </c>
      <c r="P468" t="n">
        <v>0</v>
      </c>
      <c r="Q468" t="n">
        <v>0</v>
      </c>
      <c r="R468" s="2" t="inlineStr"/>
    </row>
    <row r="469" ht="15" customHeight="1">
      <c r="A469" t="inlineStr">
        <is>
          <t>A 59672-2019</t>
        </is>
      </c>
      <c r="B469" s="1" t="n">
        <v>43776</v>
      </c>
      <c r="C469" s="1" t="n">
        <v>45730</v>
      </c>
      <c r="D469" t="inlineStr">
        <is>
          <t>JÄMTLANDS LÄN</t>
        </is>
      </c>
      <c r="E469" t="inlineStr">
        <is>
          <t>KROKOM</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60867-2019</t>
        </is>
      </c>
      <c r="B470" s="1" t="n">
        <v>43781</v>
      </c>
      <c r="C470" s="1" t="n">
        <v>45730</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61018-2019</t>
        </is>
      </c>
      <c r="B471" s="1" t="n">
        <v>43782</v>
      </c>
      <c r="C471" s="1" t="n">
        <v>45730</v>
      </c>
      <c r="D471" t="inlineStr">
        <is>
          <t>JÄMTLANDS LÄN</t>
        </is>
      </c>
      <c r="E471" t="inlineStr">
        <is>
          <t>KROKOM</t>
        </is>
      </c>
      <c r="F471" t="inlineStr">
        <is>
          <t>Övriga Aktiebolag</t>
        </is>
      </c>
      <c r="G471" t="n">
        <v>18.6</v>
      </c>
      <c r="H471" t="n">
        <v>0</v>
      </c>
      <c r="I471" t="n">
        <v>0</v>
      </c>
      <c r="J471" t="n">
        <v>0</v>
      </c>
      <c r="K471" t="n">
        <v>0</v>
      </c>
      <c r="L471" t="n">
        <v>0</v>
      </c>
      <c r="M471" t="n">
        <v>0</v>
      </c>
      <c r="N471" t="n">
        <v>0</v>
      </c>
      <c r="O471" t="n">
        <v>0</v>
      </c>
      <c r="P471" t="n">
        <v>0</v>
      </c>
      <c r="Q471" t="n">
        <v>0</v>
      </c>
      <c r="R471" s="2" t="inlineStr"/>
    </row>
    <row r="472" ht="15" customHeight="1">
      <c r="A472" t="inlineStr">
        <is>
          <t>A 61424-2019</t>
        </is>
      </c>
      <c r="B472" s="1" t="n">
        <v>43783</v>
      </c>
      <c r="C472" s="1" t="n">
        <v>45730</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61472-2019</t>
        </is>
      </c>
      <c r="B473" s="1" t="n">
        <v>43783</v>
      </c>
      <c r="C473" s="1" t="n">
        <v>45730</v>
      </c>
      <c r="D473" t="inlineStr">
        <is>
          <t>JÄMTLANDS LÄN</t>
        </is>
      </c>
      <c r="E473" t="inlineStr">
        <is>
          <t>KROKOM</t>
        </is>
      </c>
      <c r="G473" t="n">
        <v>13.8</v>
      </c>
      <c r="H473" t="n">
        <v>0</v>
      </c>
      <c r="I473" t="n">
        <v>0</v>
      </c>
      <c r="J473" t="n">
        <v>0</v>
      </c>
      <c r="K473" t="n">
        <v>0</v>
      </c>
      <c r="L473" t="n">
        <v>0</v>
      </c>
      <c r="M473" t="n">
        <v>0</v>
      </c>
      <c r="N473" t="n">
        <v>0</v>
      </c>
      <c r="O473" t="n">
        <v>0</v>
      </c>
      <c r="P473" t="n">
        <v>0</v>
      </c>
      <c r="Q473" t="n">
        <v>0</v>
      </c>
      <c r="R473" s="2" t="inlineStr"/>
    </row>
    <row r="474" ht="15" customHeight="1">
      <c r="A474" t="inlineStr">
        <is>
          <t>A 62400-2019</t>
        </is>
      </c>
      <c r="B474" s="1" t="n">
        <v>43783</v>
      </c>
      <c r="C474" s="1" t="n">
        <v>45730</v>
      </c>
      <c r="D474" t="inlineStr">
        <is>
          <t>JÄMTLANDS LÄN</t>
        </is>
      </c>
      <c r="E474" t="inlineStr">
        <is>
          <t>KROKOM</t>
        </is>
      </c>
      <c r="G474" t="n">
        <v>6.4</v>
      </c>
      <c r="H474" t="n">
        <v>0</v>
      </c>
      <c r="I474" t="n">
        <v>0</v>
      </c>
      <c r="J474" t="n">
        <v>0</v>
      </c>
      <c r="K474" t="n">
        <v>0</v>
      </c>
      <c r="L474" t="n">
        <v>0</v>
      </c>
      <c r="M474" t="n">
        <v>0</v>
      </c>
      <c r="N474" t="n">
        <v>0</v>
      </c>
      <c r="O474" t="n">
        <v>0</v>
      </c>
      <c r="P474" t="n">
        <v>0</v>
      </c>
      <c r="Q474" t="n">
        <v>0</v>
      </c>
      <c r="R474" s="2" t="inlineStr"/>
    </row>
    <row r="475" ht="15" customHeight="1">
      <c r="A475" t="inlineStr">
        <is>
          <t>A 62927-2019</t>
        </is>
      </c>
      <c r="B475" s="1" t="n">
        <v>43784</v>
      </c>
      <c r="C475" s="1" t="n">
        <v>45730</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62056-2019</t>
        </is>
      </c>
      <c r="B476" s="1" t="n">
        <v>43787</v>
      </c>
      <c r="C476" s="1" t="n">
        <v>45730</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62110-2019</t>
        </is>
      </c>
      <c r="B477" s="1" t="n">
        <v>43787</v>
      </c>
      <c r="C477" s="1" t="n">
        <v>45730</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62194-2019</t>
        </is>
      </c>
      <c r="B478" s="1" t="n">
        <v>43787</v>
      </c>
      <c r="C478" s="1" t="n">
        <v>45730</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62187-2019</t>
        </is>
      </c>
      <c r="B479" s="1" t="n">
        <v>43787</v>
      </c>
      <c r="C479" s="1" t="n">
        <v>45730</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62656-2019</t>
        </is>
      </c>
      <c r="B480" s="1" t="n">
        <v>43789</v>
      </c>
      <c r="C480" s="1" t="n">
        <v>45730</v>
      </c>
      <c r="D480" t="inlineStr">
        <is>
          <t>JÄMTLANDS LÄN</t>
        </is>
      </c>
      <c r="E480" t="inlineStr">
        <is>
          <t>KROKOM</t>
        </is>
      </c>
      <c r="F480" t="inlineStr">
        <is>
          <t>Övriga Aktiebolag</t>
        </is>
      </c>
      <c r="G480" t="n">
        <v>58.5</v>
      </c>
      <c r="H480" t="n">
        <v>0</v>
      </c>
      <c r="I480" t="n">
        <v>0</v>
      </c>
      <c r="J480" t="n">
        <v>0</v>
      </c>
      <c r="K480" t="n">
        <v>0</v>
      </c>
      <c r="L480" t="n">
        <v>0</v>
      </c>
      <c r="M480" t="n">
        <v>0</v>
      </c>
      <c r="N480" t="n">
        <v>0</v>
      </c>
      <c r="O480" t="n">
        <v>0</v>
      </c>
      <c r="P480" t="n">
        <v>0</v>
      </c>
      <c r="Q480" t="n">
        <v>0</v>
      </c>
      <c r="R480" s="2" t="inlineStr"/>
    </row>
    <row r="481" ht="15" customHeight="1">
      <c r="A481" t="inlineStr">
        <is>
          <t>A 62568-2019</t>
        </is>
      </c>
      <c r="B481" s="1" t="n">
        <v>43789</v>
      </c>
      <c r="C481" s="1" t="n">
        <v>45730</v>
      </c>
      <c r="D481" t="inlineStr">
        <is>
          <t>JÄMTLANDS LÄN</t>
        </is>
      </c>
      <c r="E481" t="inlineStr">
        <is>
          <t>KROKOM</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62864-2019</t>
        </is>
      </c>
      <c r="B482" s="1" t="n">
        <v>43790</v>
      </c>
      <c r="C482" s="1" t="n">
        <v>45730</v>
      </c>
      <c r="D482" t="inlineStr">
        <is>
          <t>JÄMTLANDS LÄN</t>
        </is>
      </c>
      <c r="E482" t="inlineStr">
        <is>
          <t>KROKOM</t>
        </is>
      </c>
      <c r="G482" t="n">
        <v>1.3</v>
      </c>
      <c r="H482" t="n">
        <v>0</v>
      </c>
      <c r="I482" t="n">
        <v>0</v>
      </c>
      <c r="J482" t="n">
        <v>0</v>
      </c>
      <c r="K482" t="n">
        <v>0</v>
      </c>
      <c r="L482" t="n">
        <v>0</v>
      </c>
      <c r="M482" t="n">
        <v>0</v>
      </c>
      <c r="N482" t="n">
        <v>0</v>
      </c>
      <c r="O482" t="n">
        <v>0</v>
      </c>
      <c r="P482" t="n">
        <v>0</v>
      </c>
      <c r="Q482" t="n">
        <v>0</v>
      </c>
      <c r="R482" s="2" t="inlineStr"/>
    </row>
    <row r="483" ht="15" customHeight="1">
      <c r="A483" t="inlineStr">
        <is>
          <t>A 63987-2019</t>
        </is>
      </c>
      <c r="B483" s="1" t="n">
        <v>43791</v>
      </c>
      <c r="C483" s="1" t="n">
        <v>45730</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63338-2019</t>
        </is>
      </c>
      <c r="B484" s="1" t="n">
        <v>43794</v>
      </c>
      <c r="C484" s="1" t="n">
        <v>45730</v>
      </c>
      <c r="D484" t="inlineStr">
        <is>
          <t>JÄMTLANDS LÄN</t>
        </is>
      </c>
      <c r="E484" t="inlineStr">
        <is>
          <t>KROKOM</t>
        </is>
      </c>
      <c r="F484" t="inlineStr">
        <is>
          <t>Övriga Aktiebolag</t>
        </is>
      </c>
      <c r="G484" t="n">
        <v>3.5</v>
      </c>
      <c r="H484" t="n">
        <v>0</v>
      </c>
      <c r="I484" t="n">
        <v>0</v>
      </c>
      <c r="J484" t="n">
        <v>0</v>
      </c>
      <c r="K484" t="n">
        <v>0</v>
      </c>
      <c r="L484" t="n">
        <v>0</v>
      </c>
      <c r="M484" t="n">
        <v>0</v>
      </c>
      <c r="N484" t="n">
        <v>0</v>
      </c>
      <c r="O484" t="n">
        <v>0</v>
      </c>
      <c r="P484" t="n">
        <v>0</v>
      </c>
      <c r="Q484" t="n">
        <v>0</v>
      </c>
      <c r="R484" s="2" t="inlineStr"/>
    </row>
    <row r="485" ht="15" customHeight="1">
      <c r="A485" t="inlineStr">
        <is>
          <t>A 63345-2019</t>
        </is>
      </c>
      <c r="B485" s="1" t="n">
        <v>43794</v>
      </c>
      <c r="C485" s="1" t="n">
        <v>45730</v>
      </c>
      <c r="D485" t="inlineStr">
        <is>
          <t>JÄMTLANDS LÄN</t>
        </is>
      </c>
      <c r="E485" t="inlineStr">
        <is>
          <t>KROKOM</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65065-2019</t>
        </is>
      </c>
      <c r="B486" s="1" t="n">
        <v>43801</v>
      </c>
      <c r="C486" s="1" t="n">
        <v>45730</v>
      </c>
      <c r="D486" t="inlineStr">
        <is>
          <t>JÄMTLANDS LÄN</t>
        </is>
      </c>
      <c r="E486" t="inlineStr">
        <is>
          <t>KROKOM</t>
        </is>
      </c>
      <c r="F486" t="inlineStr">
        <is>
          <t>Övriga Aktiebolag</t>
        </is>
      </c>
      <c r="G486" t="n">
        <v>30.7</v>
      </c>
      <c r="H486" t="n">
        <v>0</v>
      </c>
      <c r="I486" t="n">
        <v>0</v>
      </c>
      <c r="J486" t="n">
        <v>0</v>
      </c>
      <c r="K486" t="n">
        <v>0</v>
      </c>
      <c r="L486" t="n">
        <v>0</v>
      </c>
      <c r="M486" t="n">
        <v>0</v>
      </c>
      <c r="N486" t="n">
        <v>0</v>
      </c>
      <c r="O486" t="n">
        <v>0</v>
      </c>
      <c r="P486" t="n">
        <v>0</v>
      </c>
      <c r="Q486" t="n">
        <v>0</v>
      </c>
      <c r="R486" s="2" t="inlineStr"/>
    </row>
    <row r="487" ht="15" customHeight="1">
      <c r="A487" t="inlineStr">
        <is>
          <t>A 65323-2019</t>
        </is>
      </c>
      <c r="B487" s="1" t="n">
        <v>43802</v>
      </c>
      <c r="C487" s="1" t="n">
        <v>45730</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65322-2019</t>
        </is>
      </c>
      <c r="B488" s="1" t="n">
        <v>43802</v>
      </c>
      <c r="C488" s="1" t="n">
        <v>45730</v>
      </c>
      <c r="D488" t="inlineStr">
        <is>
          <t>JÄMTLANDS LÄN</t>
        </is>
      </c>
      <c r="E488" t="inlineStr">
        <is>
          <t>KROKOM</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65786-2019</t>
        </is>
      </c>
      <c r="B489" s="1" t="n">
        <v>43804</v>
      </c>
      <c r="C489" s="1" t="n">
        <v>45730</v>
      </c>
      <c r="D489" t="inlineStr">
        <is>
          <t>JÄMTLANDS LÄN</t>
        </is>
      </c>
      <c r="E489" t="inlineStr">
        <is>
          <t>KROKOM</t>
        </is>
      </c>
      <c r="G489" t="n">
        <v>2.3</v>
      </c>
      <c r="H489" t="n">
        <v>0</v>
      </c>
      <c r="I489" t="n">
        <v>0</v>
      </c>
      <c r="J489" t="n">
        <v>0</v>
      </c>
      <c r="K489" t="n">
        <v>0</v>
      </c>
      <c r="L489" t="n">
        <v>0</v>
      </c>
      <c r="M489" t="n">
        <v>0</v>
      </c>
      <c r="N489" t="n">
        <v>0</v>
      </c>
      <c r="O489" t="n">
        <v>0</v>
      </c>
      <c r="P489" t="n">
        <v>0</v>
      </c>
      <c r="Q489" t="n">
        <v>0</v>
      </c>
      <c r="R489" s="2" t="inlineStr"/>
    </row>
    <row r="490" ht="15" customHeight="1">
      <c r="A490" t="inlineStr">
        <is>
          <t>A 65780-2019</t>
        </is>
      </c>
      <c r="B490" s="1" t="n">
        <v>43804</v>
      </c>
      <c r="C490" s="1" t="n">
        <v>45730</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66051-2019</t>
        </is>
      </c>
      <c r="B491" s="1" t="n">
        <v>43805</v>
      </c>
      <c r="C491" s="1" t="n">
        <v>45730</v>
      </c>
      <c r="D491" t="inlineStr">
        <is>
          <t>JÄMTLANDS LÄN</t>
        </is>
      </c>
      <c r="E491" t="inlineStr">
        <is>
          <t>KROKOM</t>
        </is>
      </c>
      <c r="G491" t="n">
        <v>12.1</v>
      </c>
      <c r="H491" t="n">
        <v>0</v>
      </c>
      <c r="I491" t="n">
        <v>0</v>
      </c>
      <c r="J491" t="n">
        <v>0</v>
      </c>
      <c r="K491" t="n">
        <v>0</v>
      </c>
      <c r="L491" t="n">
        <v>0</v>
      </c>
      <c r="M491" t="n">
        <v>0</v>
      </c>
      <c r="N491" t="n">
        <v>0</v>
      </c>
      <c r="O491" t="n">
        <v>0</v>
      </c>
      <c r="P491" t="n">
        <v>0</v>
      </c>
      <c r="Q491" t="n">
        <v>0</v>
      </c>
      <c r="R491" s="2" t="inlineStr"/>
    </row>
    <row r="492" ht="15" customHeight="1">
      <c r="A492" t="inlineStr">
        <is>
          <t>A 66444-2019</t>
        </is>
      </c>
      <c r="B492" s="1" t="n">
        <v>43809</v>
      </c>
      <c r="C492" s="1" t="n">
        <v>45730</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67323-2019</t>
        </is>
      </c>
      <c r="B493" s="1" t="n">
        <v>43810</v>
      </c>
      <c r="C493" s="1" t="n">
        <v>45730</v>
      </c>
      <c r="D493" t="inlineStr">
        <is>
          <t>JÄMTLANDS LÄN</t>
        </is>
      </c>
      <c r="E493" t="inlineStr">
        <is>
          <t>KROKOM</t>
        </is>
      </c>
      <c r="G493" t="n">
        <v>4.3</v>
      </c>
      <c r="H493" t="n">
        <v>0</v>
      </c>
      <c r="I493" t="n">
        <v>0</v>
      </c>
      <c r="J493" t="n">
        <v>0</v>
      </c>
      <c r="K493" t="n">
        <v>0</v>
      </c>
      <c r="L493" t="n">
        <v>0</v>
      </c>
      <c r="M493" t="n">
        <v>0</v>
      </c>
      <c r="N493" t="n">
        <v>0</v>
      </c>
      <c r="O493" t="n">
        <v>0</v>
      </c>
      <c r="P493" t="n">
        <v>0</v>
      </c>
      <c r="Q493" t="n">
        <v>0</v>
      </c>
      <c r="R493" s="2" t="inlineStr"/>
    </row>
    <row r="494" ht="15" customHeight="1">
      <c r="A494" t="inlineStr">
        <is>
          <t>A 67098-2019</t>
        </is>
      </c>
      <c r="B494" s="1" t="n">
        <v>43811</v>
      </c>
      <c r="C494" s="1" t="n">
        <v>45730</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67102-2019</t>
        </is>
      </c>
      <c r="B495" s="1" t="n">
        <v>43811</v>
      </c>
      <c r="C495" s="1" t="n">
        <v>45730</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67071-2019</t>
        </is>
      </c>
      <c r="B496" s="1" t="n">
        <v>43811</v>
      </c>
      <c r="C496" s="1" t="n">
        <v>45730</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67081-2019</t>
        </is>
      </c>
      <c r="B497" s="1" t="n">
        <v>43811</v>
      </c>
      <c r="C497" s="1" t="n">
        <v>45730</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68480-2019</t>
        </is>
      </c>
      <c r="B498" s="1" t="n">
        <v>43811</v>
      </c>
      <c r="C498" s="1" t="n">
        <v>45730</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68081-2019</t>
        </is>
      </c>
      <c r="B499" s="1" t="n">
        <v>43816</v>
      </c>
      <c r="C499" s="1" t="n">
        <v>45730</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908-2020</t>
        </is>
      </c>
      <c r="B500" s="1" t="n">
        <v>43818</v>
      </c>
      <c r="C500" s="1" t="n">
        <v>45730</v>
      </c>
      <c r="D500" t="inlineStr">
        <is>
          <t>JÄMTLANDS LÄN</t>
        </is>
      </c>
      <c r="E500" t="inlineStr">
        <is>
          <t>KROKOM</t>
        </is>
      </c>
      <c r="G500" t="n">
        <v>5.8</v>
      </c>
      <c r="H500" t="n">
        <v>0</v>
      </c>
      <c r="I500" t="n">
        <v>0</v>
      </c>
      <c r="J500" t="n">
        <v>0</v>
      </c>
      <c r="K500" t="n">
        <v>0</v>
      </c>
      <c r="L500" t="n">
        <v>0</v>
      </c>
      <c r="M500" t="n">
        <v>0</v>
      </c>
      <c r="N500" t="n">
        <v>0</v>
      </c>
      <c r="O500" t="n">
        <v>0</v>
      </c>
      <c r="P500" t="n">
        <v>0</v>
      </c>
      <c r="Q500" t="n">
        <v>0</v>
      </c>
      <c r="R500" s="2" t="inlineStr"/>
    </row>
    <row r="501" ht="15" customHeight="1">
      <c r="A501" t="inlineStr">
        <is>
          <t>A 911-2020</t>
        </is>
      </c>
      <c r="B501" s="1" t="n">
        <v>43818</v>
      </c>
      <c r="C501" s="1" t="n">
        <v>45730</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69010-2019</t>
        </is>
      </c>
      <c r="B502" s="1" t="n">
        <v>43826</v>
      </c>
      <c r="C502" s="1" t="n">
        <v>45730</v>
      </c>
      <c r="D502" t="inlineStr">
        <is>
          <t>JÄMTLANDS LÄN</t>
        </is>
      </c>
      <c r="E502" t="inlineStr">
        <is>
          <t>KROKOM</t>
        </is>
      </c>
      <c r="G502" t="n">
        <v>4.7</v>
      </c>
      <c r="H502" t="n">
        <v>0</v>
      </c>
      <c r="I502" t="n">
        <v>0</v>
      </c>
      <c r="J502" t="n">
        <v>0</v>
      </c>
      <c r="K502" t="n">
        <v>0</v>
      </c>
      <c r="L502" t="n">
        <v>0</v>
      </c>
      <c r="M502" t="n">
        <v>0</v>
      </c>
      <c r="N502" t="n">
        <v>0</v>
      </c>
      <c r="O502" t="n">
        <v>0</v>
      </c>
      <c r="P502" t="n">
        <v>0</v>
      </c>
      <c r="Q502" t="n">
        <v>0</v>
      </c>
      <c r="R502" s="2" t="inlineStr"/>
    </row>
    <row r="503" ht="15" customHeight="1">
      <c r="A503" t="inlineStr">
        <is>
          <t>A 68996-2019</t>
        </is>
      </c>
      <c r="B503" s="1" t="n">
        <v>43826</v>
      </c>
      <c r="C503" s="1" t="n">
        <v>45730</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12-2020</t>
        </is>
      </c>
      <c r="B504" s="1" t="n">
        <v>43831</v>
      </c>
      <c r="C504" s="1" t="n">
        <v>45730</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327-2020</t>
        </is>
      </c>
      <c r="B505" s="1" t="n">
        <v>43837</v>
      </c>
      <c r="C505" s="1" t="n">
        <v>45730</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735-2020</t>
        </is>
      </c>
      <c r="B506" s="1" t="n">
        <v>43838</v>
      </c>
      <c r="C506" s="1" t="n">
        <v>45730</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4599-2020</t>
        </is>
      </c>
      <c r="B507" s="1" t="n">
        <v>43858</v>
      </c>
      <c r="C507" s="1" t="n">
        <v>45730</v>
      </c>
      <c r="D507" t="inlineStr">
        <is>
          <t>JÄMTLANDS LÄN</t>
        </is>
      </c>
      <c r="E507" t="inlineStr">
        <is>
          <t>KROKOM</t>
        </is>
      </c>
      <c r="G507" t="n">
        <v>32.1</v>
      </c>
      <c r="H507" t="n">
        <v>0</v>
      </c>
      <c r="I507" t="n">
        <v>0</v>
      </c>
      <c r="J507" t="n">
        <v>0</v>
      </c>
      <c r="K507" t="n">
        <v>0</v>
      </c>
      <c r="L507" t="n">
        <v>0</v>
      </c>
      <c r="M507" t="n">
        <v>0</v>
      </c>
      <c r="N507" t="n">
        <v>0</v>
      </c>
      <c r="O507" t="n">
        <v>0</v>
      </c>
      <c r="P507" t="n">
        <v>0</v>
      </c>
      <c r="Q507" t="n">
        <v>0</v>
      </c>
      <c r="R507" s="2" t="inlineStr"/>
    </row>
    <row r="508" ht="15" customHeight="1">
      <c r="A508" t="inlineStr">
        <is>
          <t>A 4762-2020</t>
        </is>
      </c>
      <c r="B508" s="1" t="n">
        <v>43859</v>
      </c>
      <c r="C508" s="1" t="n">
        <v>45730</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5337-2020</t>
        </is>
      </c>
      <c r="B509" s="1" t="n">
        <v>43860</v>
      </c>
      <c r="C509" s="1" t="n">
        <v>45730</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8110-2020</t>
        </is>
      </c>
      <c r="B510" s="1" t="n">
        <v>43874</v>
      </c>
      <c r="C510" s="1" t="n">
        <v>45730</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8380-2020</t>
        </is>
      </c>
      <c r="B511" s="1" t="n">
        <v>43874</v>
      </c>
      <c r="C511" s="1" t="n">
        <v>45730</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9049-2020</t>
        </is>
      </c>
      <c r="B512" s="1" t="n">
        <v>43879</v>
      </c>
      <c r="C512" s="1" t="n">
        <v>45730</v>
      </c>
      <c r="D512" t="inlineStr">
        <is>
          <t>JÄMTLANDS LÄN</t>
        </is>
      </c>
      <c r="E512" t="inlineStr">
        <is>
          <t>KROKOM</t>
        </is>
      </c>
      <c r="G512" t="n">
        <v>9.5</v>
      </c>
      <c r="H512" t="n">
        <v>0</v>
      </c>
      <c r="I512" t="n">
        <v>0</v>
      </c>
      <c r="J512" t="n">
        <v>0</v>
      </c>
      <c r="K512" t="n">
        <v>0</v>
      </c>
      <c r="L512" t="n">
        <v>0</v>
      </c>
      <c r="M512" t="n">
        <v>0</v>
      </c>
      <c r="N512" t="n">
        <v>0</v>
      </c>
      <c r="O512" t="n">
        <v>0</v>
      </c>
      <c r="P512" t="n">
        <v>0</v>
      </c>
      <c r="Q512" t="n">
        <v>0</v>
      </c>
      <c r="R512" s="2" t="inlineStr"/>
    </row>
    <row r="513" ht="15" customHeight="1">
      <c r="A513" t="inlineStr">
        <is>
          <t>A 9412-2020</t>
        </is>
      </c>
      <c r="B513" s="1" t="n">
        <v>43880</v>
      </c>
      <c r="C513" s="1" t="n">
        <v>45730</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10206-2020</t>
        </is>
      </c>
      <c r="B514" s="1" t="n">
        <v>43885</v>
      </c>
      <c r="C514" s="1" t="n">
        <v>45730</v>
      </c>
      <c r="D514" t="inlineStr">
        <is>
          <t>JÄMTLANDS LÄN</t>
        </is>
      </c>
      <c r="E514" t="inlineStr">
        <is>
          <t>KROKOM</t>
        </is>
      </c>
      <c r="G514" t="n">
        <v>5.4</v>
      </c>
      <c r="H514" t="n">
        <v>0</v>
      </c>
      <c r="I514" t="n">
        <v>0</v>
      </c>
      <c r="J514" t="n">
        <v>0</v>
      </c>
      <c r="K514" t="n">
        <v>0</v>
      </c>
      <c r="L514" t="n">
        <v>0</v>
      </c>
      <c r="M514" t="n">
        <v>0</v>
      </c>
      <c r="N514" t="n">
        <v>0</v>
      </c>
      <c r="O514" t="n">
        <v>0</v>
      </c>
      <c r="P514" t="n">
        <v>0</v>
      </c>
      <c r="Q514" t="n">
        <v>0</v>
      </c>
      <c r="R514" s="2" t="inlineStr"/>
    </row>
    <row r="515" ht="15" customHeight="1">
      <c r="A515" t="inlineStr">
        <is>
          <t>A 10180-2020</t>
        </is>
      </c>
      <c r="B515" s="1" t="n">
        <v>43887</v>
      </c>
      <c r="C515" s="1" t="n">
        <v>45730</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11021-2020</t>
        </is>
      </c>
      <c r="B516" s="1" t="n">
        <v>43889</v>
      </c>
      <c r="C516" s="1" t="n">
        <v>45730</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11500-2020</t>
        </is>
      </c>
      <c r="B517" s="1" t="n">
        <v>43893</v>
      </c>
      <c r="C517" s="1" t="n">
        <v>45730</v>
      </c>
      <c r="D517" t="inlineStr">
        <is>
          <t>JÄMTLANDS LÄN</t>
        </is>
      </c>
      <c r="E517" t="inlineStr">
        <is>
          <t>KROKOM</t>
        </is>
      </c>
      <c r="G517" t="n">
        <v>3.5</v>
      </c>
      <c r="H517" t="n">
        <v>0</v>
      </c>
      <c r="I517" t="n">
        <v>0</v>
      </c>
      <c r="J517" t="n">
        <v>0</v>
      </c>
      <c r="K517" t="n">
        <v>0</v>
      </c>
      <c r="L517" t="n">
        <v>0</v>
      </c>
      <c r="M517" t="n">
        <v>0</v>
      </c>
      <c r="N517" t="n">
        <v>0</v>
      </c>
      <c r="O517" t="n">
        <v>0</v>
      </c>
      <c r="P517" t="n">
        <v>0</v>
      </c>
      <c r="Q517" t="n">
        <v>0</v>
      </c>
      <c r="R517" s="2" t="inlineStr"/>
    </row>
    <row r="518" ht="15" customHeight="1">
      <c r="A518" t="inlineStr">
        <is>
          <t>A 11487-2020</t>
        </is>
      </c>
      <c r="B518" s="1" t="n">
        <v>43893</v>
      </c>
      <c r="C518" s="1" t="n">
        <v>45730</v>
      </c>
      <c r="D518" t="inlineStr">
        <is>
          <t>JÄMTLANDS LÄN</t>
        </is>
      </c>
      <c r="E518" t="inlineStr">
        <is>
          <t>KROKOM</t>
        </is>
      </c>
      <c r="G518" t="n">
        <v>2.4</v>
      </c>
      <c r="H518" t="n">
        <v>0</v>
      </c>
      <c r="I518" t="n">
        <v>0</v>
      </c>
      <c r="J518" t="n">
        <v>0</v>
      </c>
      <c r="K518" t="n">
        <v>0</v>
      </c>
      <c r="L518" t="n">
        <v>0</v>
      </c>
      <c r="M518" t="n">
        <v>0</v>
      </c>
      <c r="N518" t="n">
        <v>0</v>
      </c>
      <c r="O518" t="n">
        <v>0</v>
      </c>
      <c r="P518" t="n">
        <v>0</v>
      </c>
      <c r="Q518" t="n">
        <v>0</v>
      </c>
      <c r="R518" s="2" t="inlineStr"/>
    </row>
    <row r="519" ht="15" customHeight="1">
      <c r="A519" t="inlineStr">
        <is>
          <t>A 13367-2020</t>
        </is>
      </c>
      <c r="B519" s="1" t="n">
        <v>43894</v>
      </c>
      <c r="C519" s="1" t="n">
        <v>45730</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12914-2020</t>
        </is>
      </c>
      <c r="B520" s="1" t="n">
        <v>43900</v>
      </c>
      <c r="C520" s="1" t="n">
        <v>45730</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13502-2020</t>
        </is>
      </c>
      <c r="B521" s="1" t="n">
        <v>43900</v>
      </c>
      <c r="C521" s="1" t="n">
        <v>45730</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12908-2020</t>
        </is>
      </c>
      <c r="B522" s="1" t="n">
        <v>43900</v>
      </c>
      <c r="C522" s="1" t="n">
        <v>45730</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14285-2020</t>
        </is>
      </c>
      <c r="B523" s="1" t="n">
        <v>43907</v>
      </c>
      <c r="C523" s="1" t="n">
        <v>45730</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15315-2020</t>
        </is>
      </c>
      <c r="B524" s="1" t="n">
        <v>43913</v>
      </c>
      <c r="C524" s="1" t="n">
        <v>45730</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17527-2020</t>
        </is>
      </c>
      <c r="B525" s="1" t="n">
        <v>43920</v>
      </c>
      <c r="C525" s="1" t="n">
        <v>45730</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18445-2020</t>
        </is>
      </c>
      <c r="B526" s="1" t="n">
        <v>43927</v>
      </c>
      <c r="C526" s="1" t="n">
        <v>45730</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18591-2020</t>
        </is>
      </c>
      <c r="B527" s="1" t="n">
        <v>43928</v>
      </c>
      <c r="C527" s="1" t="n">
        <v>45730</v>
      </c>
      <c r="D527" t="inlineStr">
        <is>
          <t>JÄMTLANDS LÄN</t>
        </is>
      </c>
      <c r="E527" t="inlineStr">
        <is>
          <t>KROKOM</t>
        </is>
      </c>
      <c r="G527" t="n">
        <v>13.6</v>
      </c>
      <c r="H527" t="n">
        <v>0</v>
      </c>
      <c r="I527" t="n">
        <v>0</v>
      </c>
      <c r="J527" t="n">
        <v>0</v>
      </c>
      <c r="K527" t="n">
        <v>0</v>
      </c>
      <c r="L527" t="n">
        <v>0</v>
      </c>
      <c r="M527" t="n">
        <v>0</v>
      </c>
      <c r="N527" t="n">
        <v>0</v>
      </c>
      <c r="O527" t="n">
        <v>0</v>
      </c>
      <c r="P527" t="n">
        <v>0</v>
      </c>
      <c r="Q527" t="n">
        <v>0</v>
      </c>
      <c r="R527" s="2" t="inlineStr"/>
    </row>
    <row r="528" ht="15" customHeight="1">
      <c r="A528" t="inlineStr">
        <is>
          <t>A 19031-2020</t>
        </is>
      </c>
      <c r="B528" s="1" t="n">
        <v>43936</v>
      </c>
      <c r="C528" s="1" t="n">
        <v>45730</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19827-2020</t>
        </is>
      </c>
      <c r="B529" s="1" t="n">
        <v>43938</v>
      </c>
      <c r="C529" s="1" t="n">
        <v>45730</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19648-2020</t>
        </is>
      </c>
      <c r="B530" s="1" t="n">
        <v>43941</v>
      </c>
      <c r="C530" s="1" t="n">
        <v>45730</v>
      </c>
      <c r="D530" t="inlineStr">
        <is>
          <t>JÄMTLANDS LÄN</t>
        </is>
      </c>
      <c r="E530" t="inlineStr">
        <is>
          <t>KROKOM</t>
        </is>
      </c>
      <c r="G530" t="n">
        <v>21.6</v>
      </c>
      <c r="H530" t="n">
        <v>0</v>
      </c>
      <c r="I530" t="n">
        <v>0</v>
      </c>
      <c r="J530" t="n">
        <v>0</v>
      </c>
      <c r="K530" t="n">
        <v>0</v>
      </c>
      <c r="L530" t="n">
        <v>0</v>
      </c>
      <c r="M530" t="n">
        <v>0</v>
      </c>
      <c r="N530" t="n">
        <v>0</v>
      </c>
      <c r="O530" t="n">
        <v>0</v>
      </c>
      <c r="P530" t="n">
        <v>0</v>
      </c>
      <c r="Q530" t="n">
        <v>0</v>
      </c>
      <c r="R530" s="2" t="inlineStr"/>
    </row>
    <row r="531" ht="15" customHeight="1">
      <c r="A531" t="inlineStr">
        <is>
          <t>A 19768-2020</t>
        </is>
      </c>
      <c r="B531" s="1" t="n">
        <v>43942</v>
      </c>
      <c r="C531" s="1" t="n">
        <v>45730</v>
      </c>
      <c r="D531" t="inlineStr">
        <is>
          <t>JÄMTLANDS LÄN</t>
        </is>
      </c>
      <c r="E531" t="inlineStr">
        <is>
          <t>KROKOM</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21106-2020</t>
        </is>
      </c>
      <c r="B532" s="1" t="n">
        <v>43951</v>
      </c>
      <c r="C532" s="1" t="n">
        <v>45730</v>
      </c>
      <c r="D532" t="inlineStr">
        <is>
          <t>JÄMTLANDS LÄN</t>
        </is>
      </c>
      <c r="E532" t="inlineStr">
        <is>
          <t>KROKOM</t>
        </is>
      </c>
      <c r="G532" t="n">
        <v>17.7</v>
      </c>
      <c r="H532" t="n">
        <v>0</v>
      </c>
      <c r="I532" t="n">
        <v>0</v>
      </c>
      <c r="J532" t="n">
        <v>0</v>
      </c>
      <c r="K532" t="n">
        <v>0</v>
      </c>
      <c r="L532" t="n">
        <v>0</v>
      </c>
      <c r="M532" t="n">
        <v>0</v>
      </c>
      <c r="N532" t="n">
        <v>0</v>
      </c>
      <c r="O532" t="n">
        <v>0</v>
      </c>
      <c r="P532" t="n">
        <v>0</v>
      </c>
      <c r="Q532" t="n">
        <v>0</v>
      </c>
      <c r="R532" s="2" t="inlineStr"/>
    </row>
    <row r="533" ht="15" customHeight="1">
      <c r="A533" t="inlineStr">
        <is>
          <t>A 21144-2020</t>
        </is>
      </c>
      <c r="B533" s="1" t="n">
        <v>43951</v>
      </c>
      <c r="C533" s="1" t="n">
        <v>45730</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21443-2020</t>
        </is>
      </c>
      <c r="B534" s="1" t="n">
        <v>43955</v>
      </c>
      <c r="C534" s="1" t="n">
        <v>45730</v>
      </c>
      <c r="D534" t="inlineStr">
        <is>
          <t>JÄMTLANDS LÄN</t>
        </is>
      </c>
      <c r="E534" t="inlineStr">
        <is>
          <t>KROKOM</t>
        </is>
      </c>
      <c r="G534" t="n">
        <v>7.7</v>
      </c>
      <c r="H534" t="n">
        <v>0</v>
      </c>
      <c r="I534" t="n">
        <v>0</v>
      </c>
      <c r="J534" t="n">
        <v>0</v>
      </c>
      <c r="K534" t="n">
        <v>0</v>
      </c>
      <c r="L534" t="n">
        <v>0</v>
      </c>
      <c r="M534" t="n">
        <v>0</v>
      </c>
      <c r="N534" t="n">
        <v>0</v>
      </c>
      <c r="O534" t="n">
        <v>0</v>
      </c>
      <c r="P534" t="n">
        <v>0</v>
      </c>
      <c r="Q534" t="n">
        <v>0</v>
      </c>
      <c r="R534" s="2" t="inlineStr"/>
    </row>
    <row r="535" ht="15" customHeight="1">
      <c r="A535" t="inlineStr">
        <is>
          <t>A 22005-2020</t>
        </is>
      </c>
      <c r="B535" s="1" t="n">
        <v>43959</v>
      </c>
      <c r="C535" s="1" t="n">
        <v>45730</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25520-2020</t>
        </is>
      </c>
      <c r="B536" s="1" t="n">
        <v>43983</v>
      </c>
      <c r="C536" s="1" t="n">
        <v>45730</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25489-2020</t>
        </is>
      </c>
      <c r="B537" s="1" t="n">
        <v>43983</v>
      </c>
      <c r="C537" s="1" t="n">
        <v>45730</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27056-2020</t>
        </is>
      </c>
      <c r="B538" s="1" t="n">
        <v>43991</v>
      </c>
      <c r="C538" s="1" t="n">
        <v>45730</v>
      </c>
      <c r="D538" t="inlineStr">
        <is>
          <t>JÄMTLANDS LÄN</t>
        </is>
      </c>
      <c r="E538" t="inlineStr">
        <is>
          <t>KROKOM</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30368-2020</t>
        </is>
      </c>
      <c r="B539" s="1" t="n">
        <v>44007</v>
      </c>
      <c r="C539" s="1" t="n">
        <v>45730</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31421-2020</t>
        </is>
      </c>
      <c r="B540" s="1" t="n">
        <v>44013</v>
      </c>
      <c r="C540" s="1" t="n">
        <v>45730</v>
      </c>
      <c r="D540" t="inlineStr">
        <is>
          <t>JÄMTLANDS LÄN</t>
        </is>
      </c>
      <c r="E540" t="inlineStr">
        <is>
          <t>KROKOM</t>
        </is>
      </c>
      <c r="G540" t="n">
        <v>14.1</v>
      </c>
      <c r="H540" t="n">
        <v>0</v>
      </c>
      <c r="I540" t="n">
        <v>0</v>
      </c>
      <c r="J540" t="n">
        <v>0</v>
      </c>
      <c r="K540" t="n">
        <v>0</v>
      </c>
      <c r="L540" t="n">
        <v>0</v>
      </c>
      <c r="M540" t="n">
        <v>0</v>
      </c>
      <c r="N540" t="n">
        <v>0</v>
      </c>
      <c r="O540" t="n">
        <v>0</v>
      </c>
      <c r="P540" t="n">
        <v>0</v>
      </c>
      <c r="Q540" t="n">
        <v>0</v>
      </c>
      <c r="R540" s="2" t="inlineStr"/>
    </row>
    <row r="541" ht="15" customHeight="1">
      <c r="A541" t="inlineStr">
        <is>
          <t>A 32084-2020</t>
        </is>
      </c>
      <c r="B541" s="1" t="n">
        <v>44015</v>
      </c>
      <c r="C541" s="1" t="n">
        <v>45730</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34469-2020</t>
        </is>
      </c>
      <c r="B542" s="1" t="n">
        <v>44032</v>
      </c>
      <c r="C542" s="1" t="n">
        <v>45730</v>
      </c>
      <c r="D542" t="inlineStr">
        <is>
          <t>JÄMTLANDS LÄN</t>
        </is>
      </c>
      <c r="E542" t="inlineStr">
        <is>
          <t>KROKOM</t>
        </is>
      </c>
      <c r="G542" t="n">
        <v>0.8</v>
      </c>
      <c r="H542" t="n">
        <v>0</v>
      </c>
      <c r="I542" t="n">
        <v>0</v>
      </c>
      <c r="J542" t="n">
        <v>0</v>
      </c>
      <c r="K542" t="n">
        <v>0</v>
      </c>
      <c r="L542" t="n">
        <v>0</v>
      </c>
      <c r="M542" t="n">
        <v>0</v>
      </c>
      <c r="N542" t="n">
        <v>0</v>
      </c>
      <c r="O542" t="n">
        <v>0</v>
      </c>
      <c r="P542" t="n">
        <v>0</v>
      </c>
      <c r="Q542" t="n">
        <v>0</v>
      </c>
      <c r="R542" s="2" t="inlineStr"/>
    </row>
    <row r="543" ht="15" customHeight="1">
      <c r="A543" t="inlineStr">
        <is>
          <t>A 34619-2020</t>
        </is>
      </c>
      <c r="B543" s="1" t="n">
        <v>44033</v>
      </c>
      <c r="C543" s="1" t="n">
        <v>45730</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34954-2020</t>
        </is>
      </c>
      <c r="B544" s="1" t="n">
        <v>44038</v>
      </c>
      <c r="C544" s="1" t="n">
        <v>45730</v>
      </c>
      <c r="D544" t="inlineStr">
        <is>
          <t>JÄMTLANDS LÄN</t>
        </is>
      </c>
      <c r="E544" t="inlineStr">
        <is>
          <t>KROKOM</t>
        </is>
      </c>
      <c r="G544" t="n">
        <v>14.3</v>
      </c>
      <c r="H544" t="n">
        <v>0</v>
      </c>
      <c r="I544" t="n">
        <v>0</v>
      </c>
      <c r="J544" t="n">
        <v>0</v>
      </c>
      <c r="K544" t="n">
        <v>0</v>
      </c>
      <c r="L544" t="n">
        <v>0</v>
      </c>
      <c r="M544" t="n">
        <v>0</v>
      </c>
      <c r="N544" t="n">
        <v>0</v>
      </c>
      <c r="O544" t="n">
        <v>0</v>
      </c>
      <c r="P544" t="n">
        <v>0</v>
      </c>
      <c r="Q544" t="n">
        <v>0</v>
      </c>
      <c r="R544" s="2" t="inlineStr"/>
    </row>
    <row r="545" ht="15" customHeight="1">
      <c r="A545" t="inlineStr">
        <is>
          <t>A 36098-2020</t>
        </is>
      </c>
      <c r="B545" s="1" t="n">
        <v>44048</v>
      </c>
      <c r="C545" s="1" t="n">
        <v>45730</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36698-2020</t>
        </is>
      </c>
      <c r="B546" s="1" t="n">
        <v>44050</v>
      </c>
      <c r="C546" s="1" t="n">
        <v>45730</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36523-2020</t>
        </is>
      </c>
      <c r="B547" s="1" t="n">
        <v>44050</v>
      </c>
      <c r="C547" s="1" t="n">
        <v>45730</v>
      </c>
      <c r="D547" t="inlineStr">
        <is>
          <t>JÄMTLANDS LÄN</t>
        </is>
      </c>
      <c r="E547" t="inlineStr">
        <is>
          <t>KROKOM</t>
        </is>
      </c>
      <c r="G547" t="n">
        <v>5.1</v>
      </c>
      <c r="H547" t="n">
        <v>0</v>
      </c>
      <c r="I547" t="n">
        <v>0</v>
      </c>
      <c r="J547" t="n">
        <v>0</v>
      </c>
      <c r="K547" t="n">
        <v>0</v>
      </c>
      <c r="L547" t="n">
        <v>0</v>
      </c>
      <c r="M547" t="n">
        <v>0</v>
      </c>
      <c r="N547" t="n">
        <v>0</v>
      </c>
      <c r="O547" t="n">
        <v>0</v>
      </c>
      <c r="P547" t="n">
        <v>0</v>
      </c>
      <c r="Q547" t="n">
        <v>0</v>
      </c>
      <c r="R547" s="2" t="inlineStr"/>
    </row>
    <row r="548" ht="15" customHeight="1">
      <c r="A548" t="inlineStr">
        <is>
          <t>A 36696-2020</t>
        </is>
      </c>
      <c r="B548" s="1" t="n">
        <v>44050</v>
      </c>
      <c r="C548" s="1" t="n">
        <v>45730</v>
      </c>
      <c r="D548" t="inlineStr">
        <is>
          <t>JÄMTLANDS LÄN</t>
        </is>
      </c>
      <c r="E548" t="inlineStr">
        <is>
          <t>KROKOM</t>
        </is>
      </c>
      <c r="G548" t="n">
        <v>8</v>
      </c>
      <c r="H548" t="n">
        <v>0</v>
      </c>
      <c r="I548" t="n">
        <v>0</v>
      </c>
      <c r="J548" t="n">
        <v>0</v>
      </c>
      <c r="K548" t="n">
        <v>0</v>
      </c>
      <c r="L548" t="n">
        <v>0</v>
      </c>
      <c r="M548" t="n">
        <v>0</v>
      </c>
      <c r="N548" t="n">
        <v>0</v>
      </c>
      <c r="O548" t="n">
        <v>0</v>
      </c>
      <c r="P548" t="n">
        <v>0</v>
      </c>
      <c r="Q548" t="n">
        <v>0</v>
      </c>
      <c r="R548" s="2" t="inlineStr"/>
    </row>
    <row r="549" ht="15" customHeight="1">
      <c r="A549" t="inlineStr">
        <is>
          <t>A 38001-2020</t>
        </is>
      </c>
      <c r="B549" s="1" t="n">
        <v>44057</v>
      </c>
      <c r="C549" s="1" t="n">
        <v>45730</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38720-2020</t>
        </is>
      </c>
      <c r="B550" s="1" t="n">
        <v>44061</v>
      </c>
      <c r="C550" s="1" t="n">
        <v>45730</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38866-2020</t>
        </is>
      </c>
      <c r="B551" s="1" t="n">
        <v>44062</v>
      </c>
      <c r="C551" s="1" t="n">
        <v>45730</v>
      </c>
      <c r="D551" t="inlineStr">
        <is>
          <t>JÄMTLANDS LÄN</t>
        </is>
      </c>
      <c r="E551" t="inlineStr">
        <is>
          <t>KROKOM</t>
        </is>
      </c>
      <c r="F551" t="inlineStr">
        <is>
          <t>Övriga Aktiebolag</t>
        </is>
      </c>
      <c r="G551" t="n">
        <v>4.6</v>
      </c>
      <c r="H551" t="n">
        <v>0</v>
      </c>
      <c r="I551" t="n">
        <v>0</v>
      </c>
      <c r="J551" t="n">
        <v>0</v>
      </c>
      <c r="K551" t="n">
        <v>0</v>
      </c>
      <c r="L551" t="n">
        <v>0</v>
      </c>
      <c r="M551" t="n">
        <v>0</v>
      </c>
      <c r="N551" t="n">
        <v>0</v>
      </c>
      <c r="O551" t="n">
        <v>0</v>
      </c>
      <c r="P551" t="n">
        <v>0</v>
      </c>
      <c r="Q551" t="n">
        <v>0</v>
      </c>
      <c r="R551" s="2" t="inlineStr"/>
    </row>
    <row r="552" ht="15" customHeight="1">
      <c r="A552" t="inlineStr">
        <is>
          <t>A 42385-2020</t>
        </is>
      </c>
      <c r="B552" s="1" t="n">
        <v>44076</v>
      </c>
      <c r="C552" s="1" t="n">
        <v>45730</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42550-2020</t>
        </is>
      </c>
      <c r="B553" s="1" t="n">
        <v>44077</v>
      </c>
      <c r="C553" s="1" t="n">
        <v>45730</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45602-2020</t>
        </is>
      </c>
      <c r="B554" s="1" t="n">
        <v>44090</v>
      </c>
      <c r="C554" s="1" t="n">
        <v>45730</v>
      </c>
      <c r="D554" t="inlineStr">
        <is>
          <t>JÄMTLANDS LÄN</t>
        </is>
      </c>
      <c r="E554" t="inlineStr">
        <is>
          <t>KROKOM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46589-2020</t>
        </is>
      </c>
      <c r="B555" s="1" t="n">
        <v>44095</v>
      </c>
      <c r="C555" s="1" t="n">
        <v>45730</v>
      </c>
      <c r="D555" t="inlineStr">
        <is>
          <t>JÄMTLANDS LÄN</t>
        </is>
      </c>
      <c r="E555" t="inlineStr">
        <is>
          <t>KROKOM</t>
        </is>
      </c>
      <c r="G555" t="n">
        <v>8.5</v>
      </c>
      <c r="H555" t="n">
        <v>0</v>
      </c>
      <c r="I555" t="n">
        <v>0</v>
      </c>
      <c r="J555" t="n">
        <v>0</v>
      </c>
      <c r="K555" t="n">
        <v>0</v>
      </c>
      <c r="L555" t="n">
        <v>0</v>
      </c>
      <c r="M555" t="n">
        <v>0</v>
      </c>
      <c r="N555" t="n">
        <v>0</v>
      </c>
      <c r="O555" t="n">
        <v>0</v>
      </c>
      <c r="P555" t="n">
        <v>0</v>
      </c>
      <c r="Q555" t="n">
        <v>0</v>
      </c>
      <c r="R555" s="2" t="inlineStr"/>
    </row>
    <row r="556" ht="15" customHeight="1">
      <c r="A556" t="inlineStr">
        <is>
          <t>A 46597-2020</t>
        </is>
      </c>
      <c r="B556" s="1" t="n">
        <v>44095</v>
      </c>
      <c r="C556" s="1" t="n">
        <v>45730</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49037-2020</t>
        </is>
      </c>
      <c r="B557" s="1" t="n">
        <v>44102</v>
      </c>
      <c r="C557" s="1" t="n">
        <v>45730</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48610-2020</t>
        </is>
      </c>
      <c r="B558" s="1" t="n">
        <v>44103</v>
      </c>
      <c r="C558" s="1" t="n">
        <v>45730</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49697-2020</t>
        </is>
      </c>
      <c r="B559" s="1" t="n">
        <v>44106</v>
      </c>
      <c r="C559" s="1" t="n">
        <v>45730</v>
      </c>
      <c r="D559" t="inlineStr">
        <is>
          <t>JÄMTLANDS LÄN</t>
        </is>
      </c>
      <c r="E559" t="inlineStr">
        <is>
          <t>KROKOM</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51719-2020</t>
        </is>
      </c>
      <c r="B560" s="1" t="n">
        <v>44113</v>
      </c>
      <c r="C560" s="1" t="n">
        <v>45730</v>
      </c>
      <c r="D560" t="inlineStr">
        <is>
          <t>JÄMTLANDS LÄN</t>
        </is>
      </c>
      <c r="E560" t="inlineStr">
        <is>
          <t>KROKOM</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51717-2020</t>
        </is>
      </c>
      <c r="B561" s="1" t="n">
        <v>44113</v>
      </c>
      <c r="C561" s="1" t="n">
        <v>45730</v>
      </c>
      <c r="D561" t="inlineStr">
        <is>
          <t>JÄMTLANDS LÄN</t>
        </is>
      </c>
      <c r="E561" t="inlineStr">
        <is>
          <t>KROKOM</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52487-2020</t>
        </is>
      </c>
      <c r="B562" s="1" t="n">
        <v>44113</v>
      </c>
      <c r="C562" s="1" t="n">
        <v>45730</v>
      </c>
      <c r="D562" t="inlineStr">
        <is>
          <t>JÄMTLANDS LÄN</t>
        </is>
      </c>
      <c r="E562" t="inlineStr">
        <is>
          <t>KROKOM</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52491-2020</t>
        </is>
      </c>
      <c r="B563" s="1" t="n">
        <v>44113</v>
      </c>
      <c r="C563" s="1" t="n">
        <v>45730</v>
      </c>
      <c r="D563" t="inlineStr">
        <is>
          <t>JÄMTLANDS LÄN</t>
        </is>
      </c>
      <c r="E563" t="inlineStr">
        <is>
          <t>KROKOM</t>
        </is>
      </c>
      <c r="G563" t="n">
        <v>2.7</v>
      </c>
      <c r="H563" t="n">
        <v>0</v>
      </c>
      <c r="I563" t="n">
        <v>0</v>
      </c>
      <c r="J563" t="n">
        <v>0</v>
      </c>
      <c r="K563" t="n">
        <v>0</v>
      </c>
      <c r="L563" t="n">
        <v>0</v>
      </c>
      <c r="M563" t="n">
        <v>0</v>
      </c>
      <c r="N563" t="n">
        <v>0</v>
      </c>
      <c r="O563" t="n">
        <v>0</v>
      </c>
      <c r="P563" t="n">
        <v>0</v>
      </c>
      <c r="Q563" t="n">
        <v>0</v>
      </c>
      <c r="R563" s="2" t="inlineStr"/>
    </row>
    <row r="564" ht="15" customHeight="1">
      <c r="A564" t="inlineStr">
        <is>
          <t>A 52626-2020</t>
        </is>
      </c>
      <c r="B564" s="1" t="n">
        <v>44119</v>
      </c>
      <c r="C564" s="1" t="n">
        <v>45730</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53241-2020</t>
        </is>
      </c>
      <c r="B565" s="1" t="n">
        <v>44123</v>
      </c>
      <c r="C565" s="1" t="n">
        <v>45730</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53501-2020</t>
        </is>
      </c>
      <c r="B566" s="1" t="n">
        <v>44123</v>
      </c>
      <c r="C566" s="1" t="n">
        <v>45730</v>
      </c>
      <c r="D566" t="inlineStr">
        <is>
          <t>JÄMTLANDS LÄN</t>
        </is>
      </c>
      <c r="E566" t="inlineStr">
        <is>
          <t>KROKOM</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53499-2020</t>
        </is>
      </c>
      <c r="B567" s="1" t="n">
        <v>44123</v>
      </c>
      <c r="C567" s="1" t="n">
        <v>45730</v>
      </c>
      <c r="D567" t="inlineStr">
        <is>
          <t>JÄMTLANDS LÄN</t>
        </is>
      </c>
      <c r="E567" t="inlineStr">
        <is>
          <t>KROKOM</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53500-2020</t>
        </is>
      </c>
      <c r="B568" s="1" t="n">
        <v>44123</v>
      </c>
      <c r="C568" s="1" t="n">
        <v>45730</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54575-2020</t>
        </is>
      </c>
      <c r="B569" s="1" t="n">
        <v>44126</v>
      </c>
      <c r="C569" s="1" t="n">
        <v>45730</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54582-2020</t>
        </is>
      </c>
      <c r="B570" s="1" t="n">
        <v>44127</v>
      </c>
      <c r="C570" s="1" t="n">
        <v>45730</v>
      </c>
      <c r="D570" t="inlineStr">
        <is>
          <t>JÄMTLANDS LÄN</t>
        </is>
      </c>
      <c r="E570" t="inlineStr">
        <is>
          <t>KROKOM</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56203-2020</t>
        </is>
      </c>
      <c r="B571" s="1" t="n">
        <v>44133</v>
      </c>
      <c r="C571" s="1" t="n">
        <v>45730</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56596-2020</t>
        </is>
      </c>
      <c r="B572" s="1" t="n">
        <v>44133</v>
      </c>
      <c r="C572" s="1" t="n">
        <v>45730</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56168-2020</t>
        </is>
      </c>
      <c r="B573" s="1" t="n">
        <v>44133</v>
      </c>
      <c r="C573" s="1" t="n">
        <v>45730</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57375-2020</t>
        </is>
      </c>
      <c r="B574" s="1" t="n">
        <v>44139</v>
      </c>
      <c r="C574" s="1" t="n">
        <v>45730</v>
      </c>
      <c r="D574" t="inlineStr">
        <is>
          <t>JÄMTLANDS LÄN</t>
        </is>
      </c>
      <c r="E574" t="inlineStr">
        <is>
          <t>KROKOM</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57726-2020</t>
        </is>
      </c>
      <c r="B575" s="1" t="n">
        <v>44140</v>
      </c>
      <c r="C575" s="1" t="n">
        <v>45730</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57728-2020</t>
        </is>
      </c>
      <c r="B576" s="1" t="n">
        <v>44140</v>
      </c>
      <c r="C576" s="1" t="n">
        <v>45730</v>
      </c>
      <c r="D576" t="inlineStr">
        <is>
          <t>JÄMTLANDS LÄN</t>
        </is>
      </c>
      <c r="E576" t="inlineStr">
        <is>
          <t>KROKOM</t>
        </is>
      </c>
      <c r="G576" t="n">
        <v>5</v>
      </c>
      <c r="H576" t="n">
        <v>0</v>
      </c>
      <c r="I576" t="n">
        <v>0</v>
      </c>
      <c r="J576" t="n">
        <v>0</v>
      </c>
      <c r="K576" t="n">
        <v>0</v>
      </c>
      <c r="L576" t="n">
        <v>0</v>
      </c>
      <c r="M576" t="n">
        <v>0</v>
      </c>
      <c r="N576" t="n">
        <v>0</v>
      </c>
      <c r="O576" t="n">
        <v>0</v>
      </c>
      <c r="P576" t="n">
        <v>0</v>
      </c>
      <c r="Q576" t="n">
        <v>0</v>
      </c>
      <c r="R576" s="2" t="inlineStr"/>
    </row>
    <row r="577" ht="15" customHeight="1">
      <c r="A577" t="inlineStr">
        <is>
          <t>A 58378-2020</t>
        </is>
      </c>
      <c r="B577" s="1" t="n">
        <v>44141</v>
      </c>
      <c r="C577" s="1" t="n">
        <v>45730</v>
      </c>
      <c r="D577" t="inlineStr">
        <is>
          <t>JÄMTLANDS LÄN</t>
        </is>
      </c>
      <c r="E577" t="inlineStr">
        <is>
          <t>KROKOM</t>
        </is>
      </c>
      <c r="G577" t="n">
        <v>14.4</v>
      </c>
      <c r="H577" t="n">
        <v>0</v>
      </c>
      <c r="I577" t="n">
        <v>0</v>
      </c>
      <c r="J577" t="n">
        <v>0</v>
      </c>
      <c r="K577" t="n">
        <v>0</v>
      </c>
      <c r="L577" t="n">
        <v>0</v>
      </c>
      <c r="M577" t="n">
        <v>0</v>
      </c>
      <c r="N577" t="n">
        <v>0</v>
      </c>
      <c r="O577" t="n">
        <v>0</v>
      </c>
      <c r="P577" t="n">
        <v>0</v>
      </c>
      <c r="Q577" t="n">
        <v>0</v>
      </c>
      <c r="R577" s="2" t="inlineStr"/>
    </row>
    <row r="578" ht="15" customHeight="1">
      <c r="A578" t="inlineStr">
        <is>
          <t>A 58569-2020</t>
        </is>
      </c>
      <c r="B578" s="1" t="n">
        <v>44141</v>
      </c>
      <c r="C578" s="1" t="n">
        <v>45730</v>
      </c>
      <c r="D578" t="inlineStr">
        <is>
          <t>JÄMTLANDS LÄN</t>
        </is>
      </c>
      <c r="E578" t="inlineStr">
        <is>
          <t>KROKOM</t>
        </is>
      </c>
      <c r="G578" t="n">
        <v>52.8</v>
      </c>
      <c r="H578" t="n">
        <v>0</v>
      </c>
      <c r="I578" t="n">
        <v>0</v>
      </c>
      <c r="J578" t="n">
        <v>0</v>
      </c>
      <c r="K578" t="n">
        <v>0</v>
      </c>
      <c r="L578" t="n">
        <v>0</v>
      </c>
      <c r="M578" t="n">
        <v>0</v>
      </c>
      <c r="N578" t="n">
        <v>0</v>
      </c>
      <c r="O578" t="n">
        <v>0</v>
      </c>
      <c r="P578" t="n">
        <v>0</v>
      </c>
      <c r="Q578" t="n">
        <v>0</v>
      </c>
      <c r="R578" s="2" t="inlineStr"/>
    </row>
    <row r="579" ht="15" customHeight="1">
      <c r="A579" t="inlineStr">
        <is>
          <t>A 58868-2020</t>
        </is>
      </c>
      <c r="B579" s="1" t="n">
        <v>44146</v>
      </c>
      <c r="C579" s="1" t="n">
        <v>45730</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59778-2020</t>
        </is>
      </c>
      <c r="B580" s="1" t="n">
        <v>44148</v>
      </c>
      <c r="C580" s="1" t="n">
        <v>45730</v>
      </c>
      <c r="D580" t="inlineStr">
        <is>
          <t>JÄMTLANDS LÄN</t>
        </is>
      </c>
      <c r="E580" t="inlineStr">
        <is>
          <t>KROKOM</t>
        </is>
      </c>
      <c r="G580" t="n">
        <v>39.3</v>
      </c>
      <c r="H580" t="n">
        <v>0</v>
      </c>
      <c r="I580" t="n">
        <v>0</v>
      </c>
      <c r="J580" t="n">
        <v>0</v>
      </c>
      <c r="K580" t="n">
        <v>0</v>
      </c>
      <c r="L580" t="n">
        <v>0</v>
      </c>
      <c r="M580" t="n">
        <v>0</v>
      </c>
      <c r="N580" t="n">
        <v>0</v>
      </c>
      <c r="O580" t="n">
        <v>0</v>
      </c>
      <c r="P580" t="n">
        <v>0</v>
      </c>
      <c r="Q580" t="n">
        <v>0</v>
      </c>
      <c r="R580" s="2" t="inlineStr"/>
    </row>
    <row r="581" ht="15" customHeight="1">
      <c r="A581" t="inlineStr">
        <is>
          <t>A 59718-2020</t>
        </is>
      </c>
      <c r="B581" s="1" t="n">
        <v>44151</v>
      </c>
      <c r="C581" s="1" t="n">
        <v>45730</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59706-2020</t>
        </is>
      </c>
      <c r="B582" s="1" t="n">
        <v>44151</v>
      </c>
      <c r="C582" s="1" t="n">
        <v>45730</v>
      </c>
      <c r="D582" t="inlineStr">
        <is>
          <t>JÄMTLANDS LÄN</t>
        </is>
      </c>
      <c r="E582" t="inlineStr">
        <is>
          <t>KROKOM</t>
        </is>
      </c>
      <c r="G582" t="n">
        <v>75</v>
      </c>
      <c r="H582" t="n">
        <v>0</v>
      </c>
      <c r="I582" t="n">
        <v>0</v>
      </c>
      <c r="J582" t="n">
        <v>0</v>
      </c>
      <c r="K582" t="n">
        <v>0</v>
      </c>
      <c r="L582" t="n">
        <v>0</v>
      </c>
      <c r="M582" t="n">
        <v>0</v>
      </c>
      <c r="N582" t="n">
        <v>0</v>
      </c>
      <c r="O582" t="n">
        <v>0</v>
      </c>
      <c r="P582" t="n">
        <v>0</v>
      </c>
      <c r="Q582" t="n">
        <v>0</v>
      </c>
      <c r="R582" s="2" t="inlineStr"/>
    </row>
    <row r="583" ht="15" customHeight="1">
      <c r="A583" t="inlineStr">
        <is>
          <t>A 61091-2020</t>
        </is>
      </c>
      <c r="B583" s="1" t="n">
        <v>44153</v>
      </c>
      <c r="C583" s="1" t="n">
        <v>45730</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45730</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60928-2020</t>
        </is>
      </c>
      <c r="B585" s="1" t="n">
        <v>44154</v>
      </c>
      <c r="C585" s="1" t="n">
        <v>45730</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62406-2020</t>
        </is>
      </c>
      <c r="B586" s="1" t="n">
        <v>44159</v>
      </c>
      <c r="C586" s="1" t="n">
        <v>45730</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63821-2020</t>
        </is>
      </c>
      <c r="B587" s="1" t="n">
        <v>44161</v>
      </c>
      <c r="C587" s="1" t="n">
        <v>45730</v>
      </c>
      <c r="D587" t="inlineStr">
        <is>
          <t>JÄMTLANDS LÄN</t>
        </is>
      </c>
      <c r="E587" t="inlineStr">
        <is>
          <t>KROKOM</t>
        </is>
      </c>
      <c r="G587" t="n">
        <v>6.8</v>
      </c>
      <c r="H587" t="n">
        <v>0</v>
      </c>
      <c r="I587" t="n">
        <v>0</v>
      </c>
      <c r="J587" t="n">
        <v>0</v>
      </c>
      <c r="K587" t="n">
        <v>0</v>
      </c>
      <c r="L587" t="n">
        <v>0</v>
      </c>
      <c r="M587" t="n">
        <v>0</v>
      </c>
      <c r="N587" t="n">
        <v>0</v>
      </c>
      <c r="O587" t="n">
        <v>0</v>
      </c>
      <c r="P587" t="n">
        <v>0</v>
      </c>
      <c r="Q587" t="n">
        <v>0</v>
      </c>
      <c r="R587" s="2" t="inlineStr"/>
    </row>
    <row r="588" ht="15" customHeight="1">
      <c r="A588" t="inlineStr">
        <is>
          <t>A 63701-2020</t>
        </is>
      </c>
      <c r="B588" s="1" t="n">
        <v>44162</v>
      </c>
      <c r="C588" s="1" t="n">
        <v>45730</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63787-2020</t>
        </is>
      </c>
      <c r="B589" s="1" t="n">
        <v>44162</v>
      </c>
      <c r="C589" s="1" t="n">
        <v>45730</v>
      </c>
      <c r="D589" t="inlineStr">
        <is>
          <t>JÄMTLANDS LÄN</t>
        </is>
      </c>
      <c r="E589" t="inlineStr">
        <is>
          <t>KROKOM</t>
        </is>
      </c>
      <c r="G589" t="n">
        <v>60.3</v>
      </c>
      <c r="H589" t="n">
        <v>0</v>
      </c>
      <c r="I589" t="n">
        <v>0</v>
      </c>
      <c r="J589" t="n">
        <v>0</v>
      </c>
      <c r="K589" t="n">
        <v>0</v>
      </c>
      <c r="L589" t="n">
        <v>0</v>
      </c>
      <c r="M589" t="n">
        <v>0</v>
      </c>
      <c r="N589" t="n">
        <v>0</v>
      </c>
      <c r="O589" t="n">
        <v>0</v>
      </c>
      <c r="P589" t="n">
        <v>0</v>
      </c>
      <c r="Q589" t="n">
        <v>0</v>
      </c>
      <c r="R589" s="2" t="inlineStr"/>
    </row>
    <row r="590" ht="15" customHeight="1">
      <c r="A590" t="inlineStr">
        <is>
          <t>A 64777-2020</t>
        </is>
      </c>
      <c r="B590" s="1" t="n">
        <v>44167</v>
      </c>
      <c r="C590" s="1" t="n">
        <v>45730</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65433-2020</t>
        </is>
      </c>
      <c r="B591" s="1" t="n">
        <v>44169</v>
      </c>
      <c r="C591" s="1" t="n">
        <v>45730</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65451-2020</t>
        </is>
      </c>
      <c r="B592" s="1" t="n">
        <v>44169</v>
      </c>
      <c r="C592" s="1" t="n">
        <v>45730</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65787-2020</t>
        </is>
      </c>
      <c r="B593" s="1" t="n">
        <v>44172</v>
      </c>
      <c r="C593" s="1" t="n">
        <v>45730</v>
      </c>
      <c r="D593" t="inlineStr">
        <is>
          <t>JÄMTLANDS LÄN</t>
        </is>
      </c>
      <c r="E593" t="inlineStr">
        <is>
          <t>KROKOM</t>
        </is>
      </c>
      <c r="G593" t="n">
        <v>5.8</v>
      </c>
      <c r="H593" t="n">
        <v>0</v>
      </c>
      <c r="I593" t="n">
        <v>0</v>
      </c>
      <c r="J593" t="n">
        <v>0</v>
      </c>
      <c r="K593" t="n">
        <v>0</v>
      </c>
      <c r="L593" t="n">
        <v>0</v>
      </c>
      <c r="M593" t="n">
        <v>0</v>
      </c>
      <c r="N593" t="n">
        <v>0</v>
      </c>
      <c r="O593" t="n">
        <v>0</v>
      </c>
      <c r="P593" t="n">
        <v>0</v>
      </c>
      <c r="Q593" t="n">
        <v>0</v>
      </c>
      <c r="R593" s="2" t="inlineStr"/>
    </row>
    <row r="594" ht="15" customHeight="1">
      <c r="A594" t="inlineStr">
        <is>
          <t>A 65783-2020</t>
        </is>
      </c>
      <c r="B594" s="1" t="n">
        <v>44172</v>
      </c>
      <c r="C594" s="1" t="n">
        <v>45730</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65316-2020</t>
        </is>
      </c>
      <c r="B595" s="1" t="n">
        <v>44173</v>
      </c>
      <c r="C595" s="1" t="n">
        <v>45730</v>
      </c>
      <c r="D595" t="inlineStr">
        <is>
          <t>JÄMTLANDS LÄN</t>
        </is>
      </c>
      <c r="E595" t="inlineStr">
        <is>
          <t>KROKOM</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66784-2020</t>
        </is>
      </c>
      <c r="B596" s="1" t="n">
        <v>44175</v>
      </c>
      <c r="C596" s="1" t="n">
        <v>45730</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66774-2020</t>
        </is>
      </c>
      <c r="B597" s="1" t="n">
        <v>44175</v>
      </c>
      <c r="C597" s="1" t="n">
        <v>45730</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67730-2020</t>
        </is>
      </c>
      <c r="B598" s="1" t="n">
        <v>44179</v>
      </c>
      <c r="C598" s="1" t="n">
        <v>45730</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68060-2020</t>
        </is>
      </c>
      <c r="B599" s="1" t="n">
        <v>44183</v>
      </c>
      <c r="C599" s="1" t="n">
        <v>45730</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68387-2020</t>
        </is>
      </c>
      <c r="B600" s="1" t="n">
        <v>44183</v>
      </c>
      <c r="C600" s="1" t="n">
        <v>45730</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68393-2020</t>
        </is>
      </c>
      <c r="B601" s="1" t="n">
        <v>44183</v>
      </c>
      <c r="C601" s="1" t="n">
        <v>45730</v>
      </c>
      <c r="D601" t="inlineStr">
        <is>
          <t>JÄMTLANDS LÄN</t>
        </is>
      </c>
      <c r="E601" t="inlineStr">
        <is>
          <t>KROKOM</t>
        </is>
      </c>
      <c r="G601" t="n">
        <v>0.4</v>
      </c>
      <c r="H601" t="n">
        <v>0</v>
      </c>
      <c r="I601" t="n">
        <v>0</v>
      </c>
      <c r="J601" t="n">
        <v>0</v>
      </c>
      <c r="K601" t="n">
        <v>0</v>
      </c>
      <c r="L601" t="n">
        <v>0</v>
      </c>
      <c r="M601" t="n">
        <v>0</v>
      </c>
      <c r="N601" t="n">
        <v>0</v>
      </c>
      <c r="O601" t="n">
        <v>0</v>
      </c>
      <c r="P601" t="n">
        <v>0</v>
      </c>
      <c r="Q601" t="n">
        <v>0</v>
      </c>
      <c r="R601" s="2" t="inlineStr"/>
    </row>
    <row r="602" ht="15" customHeight="1">
      <c r="A602" t="inlineStr">
        <is>
          <t>A 68433-2020</t>
        </is>
      </c>
      <c r="B602" s="1" t="n">
        <v>44183</v>
      </c>
      <c r="C602" s="1" t="n">
        <v>45730</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68395-2020</t>
        </is>
      </c>
      <c r="B603" s="1" t="n">
        <v>44183</v>
      </c>
      <c r="C603" s="1" t="n">
        <v>45730</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68658-2020</t>
        </is>
      </c>
      <c r="B604" s="1" t="n">
        <v>44186</v>
      </c>
      <c r="C604" s="1" t="n">
        <v>45730</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68764-2020</t>
        </is>
      </c>
      <c r="B605" s="1" t="n">
        <v>44186</v>
      </c>
      <c r="C605" s="1" t="n">
        <v>45730</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69120-2020</t>
        </is>
      </c>
      <c r="B606" s="1" t="n">
        <v>44188</v>
      </c>
      <c r="C606" s="1" t="n">
        <v>45730</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327-2021</t>
        </is>
      </c>
      <c r="B607" s="1" t="n">
        <v>44200</v>
      </c>
      <c r="C607" s="1" t="n">
        <v>45730</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688-2021</t>
        </is>
      </c>
      <c r="B608" s="1" t="n">
        <v>44203</v>
      </c>
      <c r="C608" s="1" t="n">
        <v>45730</v>
      </c>
      <c r="D608" t="inlineStr">
        <is>
          <t>JÄMTLANDS LÄN</t>
        </is>
      </c>
      <c r="E608" t="inlineStr">
        <is>
          <t>KROKOM</t>
        </is>
      </c>
      <c r="G608" t="n">
        <v>7.8</v>
      </c>
      <c r="H608" t="n">
        <v>0</v>
      </c>
      <c r="I608" t="n">
        <v>0</v>
      </c>
      <c r="J608" t="n">
        <v>0</v>
      </c>
      <c r="K608" t="n">
        <v>0</v>
      </c>
      <c r="L608" t="n">
        <v>0</v>
      </c>
      <c r="M608" t="n">
        <v>0</v>
      </c>
      <c r="N608" t="n">
        <v>0</v>
      </c>
      <c r="O608" t="n">
        <v>0</v>
      </c>
      <c r="P608" t="n">
        <v>0</v>
      </c>
      <c r="Q608" t="n">
        <v>0</v>
      </c>
      <c r="R608" s="2" t="inlineStr"/>
    </row>
    <row r="609" ht="15" customHeight="1">
      <c r="A609" t="inlineStr">
        <is>
          <t>A 884-2021</t>
        </is>
      </c>
      <c r="B609" s="1" t="n">
        <v>44206</v>
      </c>
      <c r="C609" s="1" t="n">
        <v>45730</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913-2021</t>
        </is>
      </c>
      <c r="B610" s="1" t="n">
        <v>44207</v>
      </c>
      <c r="C610" s="1" t="n">
        <v>45730</v>
      </c>
      <c r="D610" t="inlineStr">
        <is>
          <t>JÄMTLANDS LÄN</t>
        </is>
      </c>
      <c r="E610" t="inlineStr">
        <is>
          <t>KROKOM</t>
        </is>
      </c>
      <c r="F610" t="inlineStr">
        <is>
          <t>Övriga Aktiebolag</t>
        </is>
      </c>
      <c r="G610" t="n">
        <v>50.8</v>
      </c>
      <c r="H610" t="n">
        <v>0</v>
      </c>
      <c r="I610" t="n">
        <v>0</v>
      </c>
      <c r="J610" t="n">
        <v>0</v>
      </c>
      <c r="K610" t="n">
        <v>0</v>
      </c>
      <c r="L610" t="n">
        <v>0</v>
      </c>
      <c r="M610" t="n">
        <v>0</v>
      </c>
      <c r="N610" t="n">
        <v>0</v>
      </c>
      <c r="O610" t="n">
        <v>0</v>
      </c>
      <c r="P610" t="n">
        <v>0</v>
      </c>
      <c r="Q610" t="n">
        <v>0</v>
      </c>
      <c r="R610" s="2" t="inlineStr"/>
    </row>
    <row r="611" ht="15" customHeight="1">
      <c r="A611" t="inlineStr">
        <is>
          <t>A 981-2021</t>
        </is>
      </c>
      <c r="B611" s="1" t="n">
        <v>44207</v>
      </c>
      <c r="C611" s="1" t="n">
        <v>45730</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915-2021</t>
        </is>
      </c>
      <c r="B612" s="1" t="n">
        <v>44207</v>
      </c>
      <c r="C612" s="1" t="n">
        <v>45730</v>
      </c>
      <c r="D612" t="inlineStr">
        <is>
          <t>JÄMTLANDS LÄN</t>
        </is>
      </c>
      <c r="E612" t="inlineStr">
        <is>
          <t>KROKOM</t>
        </is>
      </c>
      <c r="F612" t="inlineStr">
        <is>
          <t>Övriga Aktiebolag</t>
        </is>
      </c>
      <c r="G612" t="n">
        <v>107.9</v>
      </c>
      <c r="H612" t="n">
        <v>0</v>
      </c>
      <c r="I612" t="n">
        <v>0</v>
      </c>
      <c r="J612" t="n">
        <v>0</v>
      </c>
      <c r="K612" t="n">
        <v>0</v>
      </c>
      <c r="L612" t="n">
        <v>0</v>
      </c>
      <c r="M612" t="n">
        <v>0</v>
      </c>
      <c r="N612" t="n">
        <v>0</v>
      </c>
      <c r="O612" t="n">
        <v>0</v>
      </c>
      <c r="P612" t="n">
        <v>0</v>
      </c>
      <c r="Q612" t="n">
        <v>0</v>
      </c>
      <c r="R612" s="2" t="inlineStr"/>
    </row>
    <row r="613" ht="15" customHeight="1">
      <c r="A613" t="inlineStr">
        <is>
          <t>A 1287-2021</t>
        </is>
      </c>
      <c r="B613" s="1" t="n">
        <v>44207</v>
      </c>
      <c r="C613" s="1" t="n">
        <v>45730</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1696-2021</t>
        </is>
      </c>
      <c r="B614" s="1" t="n">
        <v>44209</v>
      </c>
      <c r="C614" s="1" t="n">
        <v>45730</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1718-2021</t>
        </is>
      </c>
      <c r="B615" s="1" t="n">
        <v>44209</v>
      </c>
      <c r="C615" s="1" t="n">
        <v>45730</v>
      </c>
      <c r="D615" t="inlineStr">
        <is>
          <t>JÄMTLANDS LÄN</t>
        </is>
      </c>
      <c r="E615" t="inlineStr">
        <is>
          <t>KROKOM</t>
        </is>
      </c>
      <c r="G615" t="n">
        <v>8</v>
      </c>
      <c r="H615" t="n">
        <v>0</v>
      </c>
      <c r="I615" t="n">
        <v>0</v>
      </c>
      <c r="J615" t="n">
        <v>0</v>
      </c>
      <c r="K615" t="n">
        <v>0</v>
      </c>
      <c r="L615" t="n">
        <v>0</v>
      </c>
      <c r="M615" t="n">
        <v>0</v>
      </c>
      <c r="N615" t="n">
        <v>0</v>
      </c>
      <c r="O615" t="n">
        <v>0</v>
      </c>
      <c r="P615" t="n">
        <v>0</v>
      </c>
      <c r="Q615" t="n">
        <v>0</v>
      </c>
      <c r="R615" s="2" t="inlineStr"/>
    </row>
    <row r="616" ht="15" customHeight="1">
      <c r="A616" t="inlineStr">
        <is>
          <t>A 1753-2021</t>
        </is>
      </c>
      <c r="B616" s="1" t="n">
        <v>44209</v>
      </c>
      <c r="C616" s="1" t="n">
        <v>45730</v>
      </c>
      <c r="D616" t="inlineStr">
        <is>
          <t>JÄMTLANDS LÄN</t>
        </is>
      </c>
      <c r="E616" t="inlineStr">
        <is>
          <t>KROKOM</t>
        </is>
      </c>
      <c r="G616" t="n">
        <v>17.2</v>
      </c>
      <c r="H616" t="n">
        <v>0</v>
      </c>
      <c r="I616" t="n">
        <v>0</v>
      </c>
      <c r="J616" t="n">
        <v>0</v>
      </c>
      <c r="K616" t="n">
        <v>0</v>
      </c>
      <c r="L616" t="n">
        <v>0</v>
      </c>
      <c r="M616" t="n">
        <v>0</v>
      </c>
      <c r="N616" t="n">
        <v>0</v>
      </c>
      <c r="O616" t="n">
        <v>0</v>
      </c>
      <c r="P616" t="n">
        <v>0</v>
      </c>
      <c r="Q616" t="n">
        <v>0</v>
      </c>
      <c r="R616" s="2" t="inlineStr"/>
    </row>
    <row r="617" ht="15" customHeight="1">
      <c r="A617" t="inlineStr">
        <is>
          <t>A 1756-2021</t>
        </is>
      </c>
      <c r="B617" s="1" t="n">
        <v>44209</v>
      </c>
      <c r="C617" s="1" t="n">
        <v>45730</v>
      </c>
      <c r="D617" t="inlineStr">
        <is>
          <t>JÄMTLANDS LÄN</t>
        </is>
      </c>
      <c r="E617" t="inlineStr">
        <is>
          <t>KROKOM</t>
        </is>
      </c>
      <c r="G617" t="n">
        <v>7.4</v>
      </c>
      <c r="H617" t="n">
        <v>0</v>
      </c>
      <c r="I617" t="n">
        <v>0</v>
      </c>
      <c r="J617" t="n">
        <v>0</v>
      </c>
      <c r="K617" t="n">
        <v>0</v>
      </c>
      <c r="L617" t="n">
        <v>0</v>
      </c>
      <c r="M617" t="n">
        <v>0</v>
      </c>
      <c r="N617" t="n">
        <v>0</v>
      </c>
      <c r="O617" t="n">
        <v>0</v>
      </c>
      <c r="P617" t="n">
        <v>0</v>
      </c>
      <c r="Q617" t="n">
        <v>0</v>
      </c>
      <c r="R617" s="2" t="inlineStr"/>
    </row>
    <row r="618" ht="15" customHeight="1">
      <c r="A618" t="inlineStr">
        <is>
          <t>A 2062-2021</t>
        </is>
      </c>
      <c r="B618" s="1" t="n">
        <v>44211</v>
      </c>
      <c r="C618" s="1" t="n">
        <v>45730</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2356-2021</t>
        </is>
      </c>
      <c r="B619" s="1" t="n">
        <v>44214</v>
      </c>
      <c r="C619" s="1" t="n">
        <v>45730</v>
      </c>
      <c r="D619" t="inlineStr">
        <is>
          <t>JÄMTLANDS LÄN</t>
        </is>
      </c>
      <c r="E619" t="inlineStr">
        <is>
          <t>KROKOM</t>
        </is>
      </c>
      <c r="G619" t="n">
        <v>22.6</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45730</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2427-2021</t>
        </is>
      </c>
      <c r="B621" s="1" t="n">
        <v>44214</v>
      </c>
      <c r="C621" s="1" t="n">
        <v>45730</v>
      </c>
      <c r="D621" t="inlineStr">
        <is>
          <t>JÄMTLANDS LÄN</t>
        </is>
      </c>
      <c r="E621" t="inlineStr">
        <is>
          <t>KROKOM</t>
        </is>
      </c>
      <c r="G621" t="n">
        <v>20.5</v>
      </c>
      <c r="H621" t="n">
        <v>0</v>
      </c>
      <c r="I621" t="n">
        <v>0</v>
      </c>
      <c r="J621" t="n">
        <v>0</v>
      </c>
      <c r="K621" t="n">
        <v>0</v>
      </c>
      <c r="L621" t="n">
        <v>0</v>
      </c>
      <c r="M621" t="n">
        <v>0</v>
      </c>
      <c r="N621" t="n">
        <v>0</v>
      </c>
      <c r="O621" t="n">
        <v>0</v>
      </c>
      <c r="P621" t="n">
        <v>0</v>
      </c>
      <c r="Q621" t="n">
        <v>0</v>
      </c>
      <c r="R621" s="2" t="inlineStr"/>
    </row>
    <row r="622" ht="15" customHeight="1">
      <c r="A622" t="inlineStr">
        <is>
          <t>A 2442-2021</t>
        </is>
      </c>
      <c r="B622" s="1" t="n">
        <v>44214</v>
      </c>
      <c r="C622" s="1" t="n">
        <v>45730</v>
      </c>
      <c r="D622" t="inlineStr">
        <is>
          <t>JÄMTLANDS LÄN</t>
        </is>
      </c>
      <c r="E622" t="inlineStr">
        <is>
          <t>KROKOM</t>
        </is>
      </c>
      <c r="G622" t="n">
        <v>25.4</v>
      </c>
      <c r="H622" t="n">
        <v>0</v>
      </c>
      <c r="I622" t="n">
        <v>0</v>
      </c>
      <c r="J622" t="n">
        <v>0</v>
      </c>
      <c r="K622" t="n">
        <v>0</v>
      </c>
      <c r="L622" t="n">
        <v>0</v>
      </c>
      <c r="M622" t="n">
        <v>0</v>
      </c>
      <c r="N622" t="n">
        <v>0</v>
      </c>
      <c r="O622" t="n">
        <v>0</v>
      </c>
      <c r="P622" t="n">
        <v>0</v>
      </c>
      <c r="Q622" t="n">
        <v>0</v>
      </c>
      <c r="R622" s="2" t="inlineStr"/>
    </row>
    <row r="623" ht="15" customHeight="1">
      <c r="A623" t="inlineStr">
        <is>
          <t>A 2451-2021</t>
        </is>
      </c>
      <c r="B623" s="1" t="n">
        <v>44214</v>
      </c>
      <c r="C623" s="1" t="n">
        <v>45730</v>
      </c>
      <c r="D623" t="inlineStr">
        <is>
          <t>JÄMTLANDS LÄN</t>
        </is>
      </c>
      <c r="E623" t="inlineStr">
        <is>
          <t>KROKOM</t>
        </is>
      </c>
      <c r="G623" t="n">
        <v>29.5</v>
      </c>
      <c r="H623" t="n">
        <v>0</v>
      </c>
      <c r="I623" t="n">
        <v>0</v>
      </c>
      <c r="J623" t="n">
        <v>0</v>
      </c>
      <c r="K623" t="n">
        <v>0</v>
      </c>
      <c r="L623" t="n">
        <v>0</v>
      </c>
      <c r="M623" t="n">
        <v>0</v>
      </c>
      <c r="N623" t="n">
        <v>0</v>
      </c>
      <c r="O623" t="n">
        <v>0</v>
      </c>
      <c r="P623" t="n">
        <v>0</v>
      </c>
      <c r="Q623" t="n">
        <v>0</v>
      </c>
      <c r="R623" s="2" t="inlineStr"/>
    </row>
    <row r="624" ht="15" customHeight="1">
      <c r="A624" t="inlineStr">
        <is>
          <t>A 2568-2021</t>
        </is>
      </c>
      <c r="B624" s="1" t="n">
        <v>44214</v>
      </c>
      <c r="C624" s="1" t="n">
        <v>45730</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5422-2021</t>
        </is>
      </c>
      <c r="B625" s="1" t="n">
        <v>44228</v>
      </c>
      <c r="C625" s="1" t="n">
        <v>45730</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8154-2021</t>
        </is>
      </c>
      <c r="B626" s="1" t="n">
        <v>44243</v>
      </c>
      <c r="C626" s="1" t="n">
        <v>45730</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8302-2021</t>
        </is>
      </c>
      <c r="B627" s="1" t="n">
        <v>44244</v>
      </c>
      <c r="C627" s="1" t="n">
        <v>45730</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10008-2021</t>
        </is>
      </c>
      <c r="B628" s="1" t="n">
        <v>44255</v>
      </c>
      <c r="C628" s="1" t="n">
        <v>45730</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10303-2021</t>
        </is>
      </c>
      <c r="B629" s="1" t="n">
        <v>44256</v>
      </c>
      <c r="C629" s="1" t="n">
        <v>45730</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11117-2021</t>
        </is>
      </c>
      <c r="B630" s="1" t="n">
        <v>44260</v>
      </c>
      <c r="C630" s="1" t="n">
        <v>45730</v>
      </c>
      <c r="D630" t="inlineStr">
        <is>
          <t>JÄMTLANDS LÄN</t>
        </is>
      </c>
      <c r="E630" t="inlineStr">
        <is>
          <t>KROKOM</t>
        </is>
      </c>
      <c r="G630" t="n">
        <v>8</v>
      </c>
      <c r="H630" t="n">
        <v>0</v>
      </c>
      <c r="I630" t="n">
        <v>0</v>
      </c>
      <c r="J630" t="n">
        <v>0</v>
      </c>
      <c r="K630" t="n">
        <v>0</v>
      </c>
      <c r="L630" t="n">
        <v>0</v>
      </c>
      <c r="M630" t="n">
        <v>0</v>
      </c>
      <c r="N630" t="n">
        <v>0</v>
      </c>
      <c r="O630" t="n">
        <v>0</v>
      </c>
      <c r="P630" t="n">
        <v>0</v>
      </c>
      <c r="Q630" t="n">
        <v>0</v>
      </c>
      <c r="R630" s="2" t="inlineStr"/>
    </row>
    <row r="631" ht="15" customHeight="1">
      <c r="A631" t="inlineStr">
        <is>
          <t>A 11530-2021</t>
        </is>
      </c>
      <c r="B631" s="1" t="n">
        <v>44263</v>
      </c>
      <c r="C631" s="1" t="n">
        <v>45730</v>
      </c>
      <c r="D631" t="inlineStr">
        <is>
          <t>JÄMTLANDS LÄN</t>
        </is>
      </c>
      <c r="E631" t="inlineStr">
        <is>
          <t>KROKOM</t>
        </is>
      </c>
      <c r="G631" t="n">
        <v>9</v>
      </c>
      <c r="H631" t="n">
        <v>0</v>
      </c>
      <c r="I631" t="n">
        <v>0</v>
      </c>
      <c r="J631" t="n">
        <v>0</v>
      </c>
      <c r="K631" t="n">
        <v>0</v>
      </c>
      <c r="L631" t="n">
        <v>0</v>
      </c>
      <c r="M631" t="n">
        <v>0</v>
      </c>
      <c r="N631" t="n">
        <v>0</v>
      </c>
      <c r="O631" t="n">
        <v>0</v>
      </c>
      <c r="P631" t="n">
        <v>0</v>
      </c>
      <c r="Q631" t="n">
        <v>0</v>
      </c>
      <c r="R631" s="2" t="inlineStr"/>
    </row>
    <row r="632" ht="15" customHeight="1">
      <c r="A632" t="inlineStr">
        <is>
          <t>A 12721-2021</t>
        </is>
      </c>
      <c r="B632" s="1" t="n">
        <v>44270</v>
      </c>
      <c r="C632" s="1" t="n">
        <v>45730</v>
      </c>
      <c r="D632" t="inlineStr">
        <is>
          <t>JÄMTLANDS LÄN</t>
        </is>
      </c>
      <c r="E632" t="inlineStr">
        <is>
          <t>KROKOM</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12884-2021</t>
        </is>
      </c>
      <c r="B633" s="1" t="n">
        <v>44271</v>
      </c>
      <c r="C633" s="1" t="n">
        <v>45730</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12889-2021</t>
        </is>
      </c>
      <c r="B634" s="1" t="n">
        <v>44271</v>
      </c>
      <c r="C634" s="1" t="n">
        <v>45730</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13395-2021</t>
        </is>
      </c>
      <c r="B635" s="1" t="n">
        <v>44273</v>
      </c>
      <c r="C635" s="1" t="n">
        <v>45730</v>
      </c>
      <c r="D635" t="inlineStr">
        <is>
          <t>JÄMTLANDS LÄN</t>
        </is>
      </c>
      <c r="E635" t="inlineStr">
        <is>
          <t>KROKOM</t>
        </is>
      </c>
      <c r="G635" t="n">
        <v>13.7</v>
      </c>
      <c r="H635" t="n">
        <v>0</v>
      </c>
      <c r="I635" t="n">
        <v>0</v>
      </c>
      <c r="J635" t="n">
        <v>0</v>
      </c>
      <c r="K635" t="n">
        <v>0</v>
      </c>
      <c r="L635" t="n">
        <v>0</v>
      </c>
      <c r="M635" t="n">
        <v>0</v>
      </c>
      <c r="N635" t="n">
        <v>0</v>
      </c>
      <c r="O635" t="n">
        <v>0</v>
      </c>
      <c r="P635" t="n">
        <v>0</v>
      </c>
      <c r="Q635" t="n">
        <v>0</v>
      </c>
      <c r="R635" s="2" t="inlineStr"/>
    </row>
    <row r="636" ht="15" customHeight="1">
      <c r="A636" t="inlineStr">
        <is>
          <t>A 13989-2021</t>
        </is>
      </c>
      <c r="B636" s="1" t="n">
        <v>44277</v>
      </c>
      <c r="C636" s="1" t="n">
        <v>45730</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14167-2021</t>
        </is>
      </c>
      <c r="B637" s="1" t="n">
        <v>44278</v>
      </c>
      <c r="C637" s="1" t="n">
        <v>45730</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14593-2021</t>
        </is>
      </c>
      <c r="B638" s="1" t="n">
        <v>44279</v>
      </c>
      <c r="C638" s="1" t="n">
        <v>45730</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14598-2021</t>
        </is>
      </c>
      <c r="B639" s="1" t="n">
        <v>44279</v>
      </c>
      <c r="C639" s="1" t="n">
        <v>45730</v>
      </c>
      <c r="D639" t="inlineStr">
        <is>
          <t>JÄMTLANDS LÄN</t>
        </is>
      </c>
      <c r="E639" t="inlineStr">
        <is>
          <t>KROKOM</t>
        </is>
      </c>
      <c r="G639" t="n">
        <v>25.4</v>
      </c>
      <c r="H639" t="n">
        <v>0</v>
      </c>
      <c r="I639" t="n">
        <v>0</v>
      </c>
      <c r="J639" t="n">
        <v>0</v>
      </c>
      <c r="K639" t="n">
        <v>0</v>
      </c>
      <c r="L639" t="n">
        <v>0</v>
      </c>
      <c r="M639" t="n">
        <v>0</v>
      </c>
      <c r="N639" t="n">
        <v>0</v>
      </c>
      <c r="O639" t="n">
        <v>0</v>
      </c>
      <c r="P639" t="n">
        <v>0</v>
      </c>
      <c r="Q639" t="n">
        <v>0</v>
      </c>
      <c r="R639" s="2" t="inlineStr"/>
    </row>
    <row r="640" ht="15" customHeight="1">
      <c r="A640" t="inlineStr">
        <is>
          <t>A 14591-2021</t>
        </is>
      </c>
      <c r="B640" s="1" t="n">
        <v>44279</v>
      </c>
      <c r="C640" s="1" t="n">
        <v>45730</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14595-2021</t>
        </is>
      </c>
      <c r="B641" s="1" t="n">
        <v>44279</v>
      </c>
      <c r="C641" s="1" t="n">
        <v>45730</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14592-2021</t>
        </is>
      </c>
      <c r="B642" s="1" t="n">
        <v>44279</v>
      </c>
      <c r="C642" s="1" t="n">
        <v>45730</v>
      </c>
      <c r="D642" t="inlineStr">
        <is>
          <t>JÄMTLANDS LÄN</t>
        </is>
      </c>
      <c r="E642" t="inlineStr">
        <is>
          <t>KROKOM</t>
        </is>
      </c>
      <c r="G642" t="n">
        <v>5.6</v>
      </c>
      <c r="H642" t="n">
        <v>0</v>
      </c>
      <c r="I642" t="n">
        <v>0</v>
      </c>
      <c r="J642" t="n">
        <v>0</v>
      </c>
      <c r="K642" t="n">
        <v>0</v>
      </c>
      <c r="L642" t="n">
        <v>0</v>
      </c>
      <c r="M642" t="n">
        <v>0</v>
      </c>
      <c r="N642" t="n">
        <v>0</v>
      </c>
      <c r="O642" t="n">
        <v>0</v>
      </c>
      <c r="P642" t="n">
        <v>0</v>
      </c>
      <c r="Q642" t="n">
        <v>0</v>
      </c>
      <c r="R642" s="2" t="inlineStr"/>
    </row>
    <row r="643" ht="15" customHeight="1">
      <c r="A643" t="inlineStr">
        <is>
          <t>A 14596-2021</t>
        </is>
      </c>
      <c r="B643" s="1" t="n">
        <v>44279</v>
      </c>
      <c r="C643" s="1" t="n">
        <v>45730</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15425-2021</t>
        </is>
      </c>
      <c r="B644" s="1" t="n">
        <v>44284</v>
      </c>
      <c r="C644" s="1" t="n">
        <v>45730</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15452-2021</t>
        </is>
      </c>
      <c r="B645" s="1" t="n">
        <v>44285</v>
      </c>
      <c r="C645" s="1" t="n">
        <v>45730</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15455-2021</t>
        </is>
      </c>
      <c r="B646" s="1" t="n">
        <v>44285</v>
      </c>
      <c r="C646" s="1" t="n">
        <v>45730</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15451-2021</t>
        </is>
      </c>
      <c r="B647" s="1" t="n">
        <v>44285</v>
      </c>
      <c r="C647" s="1" t="n">
        <v>45730</v>
      </c>
      <c r="D647" t="inlineStr">
        <is>
          <t>JÄMTLANDS LÄN</t>
        </is>
      </c>
      <c r="E647" t="inlineStr">
        <is>
          <t>KROKOM</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15748-2021</t>
        </is>
      </c>
      <c r="B648" s="1" t="n">
        <v>44286</v>
      </c>
      <c r="C648" s="1" t="n">
        <v>45730</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16188-2021</t>
        </is>
      </c>
      <c r="B649" s="1" t="n">
        <v>44287</v>
      </c>
      <c r="C649" s="1" t="n">
        <v>45730</v>
      </c>
      <c r="D649" t="inlineStr">
        <is>
          <t>JÄMTLANDS LÄN</t>
        </is>
      </c>
      <c r="E649" t="inlineStr">
        <is>
          <t>KROKOM</t>
        </is>
      </c>
      <c r="G649" t="n">
        <v>30.5</v>
      </c>
      <c r="H649" t="n">
        <v>0</v>
      </c>
      <c r="I649" t="n">
        <v>0</v>
      </c>
      <c r="J649" t="n">
        <v>0</v>
      </c>
      <c r="K649" t="n">
        <v>0</v>
      </c>
      <c r="L649" t="n">
        <v>0</v>
      </c>
      <c r="M649" t="n">
        <v>0</v>
      </c>
      <c r="N649" t="n">
        <v>0</v>
      </c>
      <c r="O649" t="n">
        <v>0</v>
      </c>
      <c r="P649" t="n">
        <v>0</v>
      </c>
      <c r="Q649" t="n">
        <v>0</v>
      </c>
      <c r="R649" s="2" t="inlineStr"/>
    </row>
    <row r="650" ht="15" customHeight="1">
      <c r="A650" t="inlineStr">
        <is>
          <t>A 16242-2021</t>
        </is>
      </c>
      <c r="B650" s="1" t="n">
        <v>44292</v>
      </c>
      <c r="C650" s="1" t="n">
        <v>45730</v>
      </c>
      <c r="D650" t="inlineStr">
        <is>
          <t>JÄMTLANDS LÄN</t>
        </is>
      </c>
      <c r="E650" t="inlineStr">
        <is>
          <t>KROKOM</t>
        </is>
      </c>
      <c r="G650" t="n">
        <v>1.4</v>
      </c>
      <c r="H650" t="n">
        <v>0</v>
      </c>
      <c r="I650" t="n">
        <v>0</v>
      </c>
      <c r="J650" t="n">
        <v>0</v>
      </c>
      <c r="K650" t="n">
        <v>0</v>
      </c>
      <c r="L650" t="n">
        <v>0</v>
      </c>
      <c r="M650" t="n">
        <v>0</v>
      </c>
      <c r="N650" t="n">
        <v>0</v>
      </c>
      <c r="O650" t="n">
        <v>0</v>
      </c>
      <c r="P650" t="n">
        <v>0</v>
      </c>
      <c r="Q650" t="n">
        <v>0</v>
      </c>
      <c r="R650" s="2" t="inlineStr"/>
    </row>
    <row r="651" ht="15" customHeight="1">
      <c r="A651" t="inlineStr">
        <is>
          <t>A 17599-2021</t>
        </is>
      </c>
      <c r="B651" s="1" t="n">
        <v>44299</v>
      </c>
      <c r="C651" s="1" t="n">
        <v>45730</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17726-2021</t>
        </is>
      </c>
      <c r="B652" s="1" t="n">
        <v>44300</v>
      </c>
      <c r="C652" s="1" t="n">
        <v>45730</v>
      </c>
      <c r="D652" t="inlineStr">
        <is>
          <t>JÄMTLANDS LÄN</t>
        </is>
      </c>
      <c r="E652" t="inlineStr">
        <is>
          <t>KROKOM</t>
        </is>
      </c>
      <c r="G652" t="n">
        <v>30.7</v>
      </c>
      <c r="H652" t="n">
        <v>0</v>
      </c>
      <c r="I652" t="n">
        <v>0</v>
      </c>
      <c r="J652" t="n">
        <v>0</v>
      </c>
      <c r="K652" t="n">
        <v>0</v>
      </c>
      <c r="L652" t="n">
        <v>0</v>
      </c>
      <c r="M652" t="n">
        <v>0</v>
      </c>
      <c r="N652" t="n">
        <v>0</v>
      </c>
      <c r="O652" t="n">
        <v>0</v>
      </c>
      <c r="P652" t="n">
        <v>0</v>
      </c>
      <c r="Q652" t="n">
        <v>0</v>
      </c>
      <c r="R652" s="2" t="inlineStr"/>
    </row>
    <row r="653" ht="15" customHeight="1">
      <c r="A653" t="inlineStr">
        <is>
          <t>A 18544-2021</t>
        </is>
      </c>
      <c r="B653" s="1" t="n">
        <v>44306</v>
      </c>
      <c r="C653" s="1" t="n">
        <v>45730</v>
      </c>
      <c r="D653" t="inlineStr">
        <is>
          <t>JÄMTLANDS LÄN</t>
        </is>
      </c>
      <c r="E653" t="inlineStr">
        <is>
          <t>KROKOM</t>
        </is>
      </c>
      <c r="G653" t="n">
        <v>4.1</v>
      </c>
      <c r="H653" t="n">
        <v>0</v>
      </c>
      <c r="I653" t="n">
        <v>0</v>
      </c>
      <c r="J653" t="n">
        <v>0</v>
      </c>
      <c r="K653" t="n">
        <v>0</v>
      </c>
      <c r="L653" t="n">
        <v>0</v>
      </c>
      <c r="M653" t="n">
        <v>0</v>
      </c>
      <c r="N653" t="n">
        <v>0</v>
      </c>
      <c r="O653" t="n">
        <v>0</v>
      </c>
      <c r="P653" t="n">
        <v>0</v>
      </c>
      <c r="Q653" t="n">
        <v>0</v>
      </c>
      <c r="R653" s="2" t="inlineStr"/>
    </row>
    <row r="654" ht="15" customHeight="1">
      <c r="A654" t="inlineStr">
        <is>
          <t>A 18731-2021</t>
        </is>
      </c>
      <c r="B654" s="1" t="n">
        <v>44307</v>
      </c>
      <c r="C654" s="1" t="n">
        <v>45730</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20405-2021</t>
        </is>
      </c>
      <c r="B655" s="1" t="n">
        <v>44312</v>
      </c>
      <c r="C655" s="1" t="n">
        <v>45730</v>
      </c>
      <c r="D655" t="inlineStr">
        <is>
          <t>JÄMTLANDS LÄN</t>
        </is>
      </c>
      <c r="E655" t="inlineStr">
        <is>
          <t>KROKOM</t>
        </is>
      </c>
      <c r="G655" t="n">
        <v>7.1</v>
      </c>
      <c r="H655" t="n">
        <v>0</v>
      </c>
      <c r="I655" t="n">
        <v>0</v>
      </c>
      <c r="J655" t="n">
        <v>0</v>
      </c>
      <c r="K655" t="n">
        <v>0</v>
      </c>
      <c r="L655" t="n">
        <v>0</v>
      </c>
      <c r="M655" t="n">
        <v>0</v>
      </c>
      <c r="N655" t="n">
        <v>0</v>
      </c>
      <c r="O655" t="n">
        <v>0</v>
      </c>
      <c r="P655" t="n">
        <v>0</v>
      </c>
      <c r="Q655" t="n">
        <v>0</v>
      </c>
      <c r="R655" s="2" t="inlineStr"/>
    </row>
    <row r="656" ht="15" customHeight="1">
      <c r="A656" t="inlineStr">
        <is>
          <t>A 19984-2021</t>
        </is>
      </c>
      <c r="B656" s="1" t="n">
        <v>44313</v>
      </c>
      <c r="C656" s="1" t="n">
        <v>45730</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21000-2021</t>
        </is>
      </c>
      <c r="B657" s="1" t="n">
        <v>44316</v>
      </c>
      <c r="C657" s="1" t="n">
        <v>45730</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22083-2021</t>
        </is>
      </c>
      <c r="B658" s="1" t="n">
        <v>44323</v>
      </c>
      <c r="C658" s="1" t="n">
        <v>45730</v>
      </c>
      <c r="D658" t="inlineStr">
        <is>
          <t>JÄMTLANDS LÄN</t>
        </is>
      </c>
      <c r="E658" t="inlineStr">
        <is>
          <t>KROKOM</t>
        </is>
      </c>
      <c r="G658" t="n">
        <v>12.3</v>
      </c>
      <c r="H658" t="n">
        <v>0</v>
      </c>
      <c r="I658" t="n">
        <v>0</v>
      </c>
      <c r="J658" t="n">
        <v>0</v>
      </c>
      <c r="K658" t="n">
        <v>0</v>
      </c>
      <c r="L658" t="n">
        <v>0</v>
      </c>
      <c r="M658" t="n">
        <v>0</v>
      </c>
      <c r="N658" t="n">
        <v>0</v>
      </c>
      <c r="O658" t="n">
        <v>0</v>
      </c>
      <c r="P658" t="n">
        <v>0</v>
      </c>
      <c r="Q658" t="n">
        <v>0</v>
      </c>
      <c r="R658" s="2" t="inlineStr"/>
    </row>
    <row r="659" ht="15" customHeight="1">
      <c r="A659" t="inlineStr">
        <is>
          <t>A 22078-2021</t>
        </is>
      </c>
      <c r="B659" s="1" t="n">
        <v>44323</v>
      </c>
      <c r="C659" s="1" t="n">
        <v>45730</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45730</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45730</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45730</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45730</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45730</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45730</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45730</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45730</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45730</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45730</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45730</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45730</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45730</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45730</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45730</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45730</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45730</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45730</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45730</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45730</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45730</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45730</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45730</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45730</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45730</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45730</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45730</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45730</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45730</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45730</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45730</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45730</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45730</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45730</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45730</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45730</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45730</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45730</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45730</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45730</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45730</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45730</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45730</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45730</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45730</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45730</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45730</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45730</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45730</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45730</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45730</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45730</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45730</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45730</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45730</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45730</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45730</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45730</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45730</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45730</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45730</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45730</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45730</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45730</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45730</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45730</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45730</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45730</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45730</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45730</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45730</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45730</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45730</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45730</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45730</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45730</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45730</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45730</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45730</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45730</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45730</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45730</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45730</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45730</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45730</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45730</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45730</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45730</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45730</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45730</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45730</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45730</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45730</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45730</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45730</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45730</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45730</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45730</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45730</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45730</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45730</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45730</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45730</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45730</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45730</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45730</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45730</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45730</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45730</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45730</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45730</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45730</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45730</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45730</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45730</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45730</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45730</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45730</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45730</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45730</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45730</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45730</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45730</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45730</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45730</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45730</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45730</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45730</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45730</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45730</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45730</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45730</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45730</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45730</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45730</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45730</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45730</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45730</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45730</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45730</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45730</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45730</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45730</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45730</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45730</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45730</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45730</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45730</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45730</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45730</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45730</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45730</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45730</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45730</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45730</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45730</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45730</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45730</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45730</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45730</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45730</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45730</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45730</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45730</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45730</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45730</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45730</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45730</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45730</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45730</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45730</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45730</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45730</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45730</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45730</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45730</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45730</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45730</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45730</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45730</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45730</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45730</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45730</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45730</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45730</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45730</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45730</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45730</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45730</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45730</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45730</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45730</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45730</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45730</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45730</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45730</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45730</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45730</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45730</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45730</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45730</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45730</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45730</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45730</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45730</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45730</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45730</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45730</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45730</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45730</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45730</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45730</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45730</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45730</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45730</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45730</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45730</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45730</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45730</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45730</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45730</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45730</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45730</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45730</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45730</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45730</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45730</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45730</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45730</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45730</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45730</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45730</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45730</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45730</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45730</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45730</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45730</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45730</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45730</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45730</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45730</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45730</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45730</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45730</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45730</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45730</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45730</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45730</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45730</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45730</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45730</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45730</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45730</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45730</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45730</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45730</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45730</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45730</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45730</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45730</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45730</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45730</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45730</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45730</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45730</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45730</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45730</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45730</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45730</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45730</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45730</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45730</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45730</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45730</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45730</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45730</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45730</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45730</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45730</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45730</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45730</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45730</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45730</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45730</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45730</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45730</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45730</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45730</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45730</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45730</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45730</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45730</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45730</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45730</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45730</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45730</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45730</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45730</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45730</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45730</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45730</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45730</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45730</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45730</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45730</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45730</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45730</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45730</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45730</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45730</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45730</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45730</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45730</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45730</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45730</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45730</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45730</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45730</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45730</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45730</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45730</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45730</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45730</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45730</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45730</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45730</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45730</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45730</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45730</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45730</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45730</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45730</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45730</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45730</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45730</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45730</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45730</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45730</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45730</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45730</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45730</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45730</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45730</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45730</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45730</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45730</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45730</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45730</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45730</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45730</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45730</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45730</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45730</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45730</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45730</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45730</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45730</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45730</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45730</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45730</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45730</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45730</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45730</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45730</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45730</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45730</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45730</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45730</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45730</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45730</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45730</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45730</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45730</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45730</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45730</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45730</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45730</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45730</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45730</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45730</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45730</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45730</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45730</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45730</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45730</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45730</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45730</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45730</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45730</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45730</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45730</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45730</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45730</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45730</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45730</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45730</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45730</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45730</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45730</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45730</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45730</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45730</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45730</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45730</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45730</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45730</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45730</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45730</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45730</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45730</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45730</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45730</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45730</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45730</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45730</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45730</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45730</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45730</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45730</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45730</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45730</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45730</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45730</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45730</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45730</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45730</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45730</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45730</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45730</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45730</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45730</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45730</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45730</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45730</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45730</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45730</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45730</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45730</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45730</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45730</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45730</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45730</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45730</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45730</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45730</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45730</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45730</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45730</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45730</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45730</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45730</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45730</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45730</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45730</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45730</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45730</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45730</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45730</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45730</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45730</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45730</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45730</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45730</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45730</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45730</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45730</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45730</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45730</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45730</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45730</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45730</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45730</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45730</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45730</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45730</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45730</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45730</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45730</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45730</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45730</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45730</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45730</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45730</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45730</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45730</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45730</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45730</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45730</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45730</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45730</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45730</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45730</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45730</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45730</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45730</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45730</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45730</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45730</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45730</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45730</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45730</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45730</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45730</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45730</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45730</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45730</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45730</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45730</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45730</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45730</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45730</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45730</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45730</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45730</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45730</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45730</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45730</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45730</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45730</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45730</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45730</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45730</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45730</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45730</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45730</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45730</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45730</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45730</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45730</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45730</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45730</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45730</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45730</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45730</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45730</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45730</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45730</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45730</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45730</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45730</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45730</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45730</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45730</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45730</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45730</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45730</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45730</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45730</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45730</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45730</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45730</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45730</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45730</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45730</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45730</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45730</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45730</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45730</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45730</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45730</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45730</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45730</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45730</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45730</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45730</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45730</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45730</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45730</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45730</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45730</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45730</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45730</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45730</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45730</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45730</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45730</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45730</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45730</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45730</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45730</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45730</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45730</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45730</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45730</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45730</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45730</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45730</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45730</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45730</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45730</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45730</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45730</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45730</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45730</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45730</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45730</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45730</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45730</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45730</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45730</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45730</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45730</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45730</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45730</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45730</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45730</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45730</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45730</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45730</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45730</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45730</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45730</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45730</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45730</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45730</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45730</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45730</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45730</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45730</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45730</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45730</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45730</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45730</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45730</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45730</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45730</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45730</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45730</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45730</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45730</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45730</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45730</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45730</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45730</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45730</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45730</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45730</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45730</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45730</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45730</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45730</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45730</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45730</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45730</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45730</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45730</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45730</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45730</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45730</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45730</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45730</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45730</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45730</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45730</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45730</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45730</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45730</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45730</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45730</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45730</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45730</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45730</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45730</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45730</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45730</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45730</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45730</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45730</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45730</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45730</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45730</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45730</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45730</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45730</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45730</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45730</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45730</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45730</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45730</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45730</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45730</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45730</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45730</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45730</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45730</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45730</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45730</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45730</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45730</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45730</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45730</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45730</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45730</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45730</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45730</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45730</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45730</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45730</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45730</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45730</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45730</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45730</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45730</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45730</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45730</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45730</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45730</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45730</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45730</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45730</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45730</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45730</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45730</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45730</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45730</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45730</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45730</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45730</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45730</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45730</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45730</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45730</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45730</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45730</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45730</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45730</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45730</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45730</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45730</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45730</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45730</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45730</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45730</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45730</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45730</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45730</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45730</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45730</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45730</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45730</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45730</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45730</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45730</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45730</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45730</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45730</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45730</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45730</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45730</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45730</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45730</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45730</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45730</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45730</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45730</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45730</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45730</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45730</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45730</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45730</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45730</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45730</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45730</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45730</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45730</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45730</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45730</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45730</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45730</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45730</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45730</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45730</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45730</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45730</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45730</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45730</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45730</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45730</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45730</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45730</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45730</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45730</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45730</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45730</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45730</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45730</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45730</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45730</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45730</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45730</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45730</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45730</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45730</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45730</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45730</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45730</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45730</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45730</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45730</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45730</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45730</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45730</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45730</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45730</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45730</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45730</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45730</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45730</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45730</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45730</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45730</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45730</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45730</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45730</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45730</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45730</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45730</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45730</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45730</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45730</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45730</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45730</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45730</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45730</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45730</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45730</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45730</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45730</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45730</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45730</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45730</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45730</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45730</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45730</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45730</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45730</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45730</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45730</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45730</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45730</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45730</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45730</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45730</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45730</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45730</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45730</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45730</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45730</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45730</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45730</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45730</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45730</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45730</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45730</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45730</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45730</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45730</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45730</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45730</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45730</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45730</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45730</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45730</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45730</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45730</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45730</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45730</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45730</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45730</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45730</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45730</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45730</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45730</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45730</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45730</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45730</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45730</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45730</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45730</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45730</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45730</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45730</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45730</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45730</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45730</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45730</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45730</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45730</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45730</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45730</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45730</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45730</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45730</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45730</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45730</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45730</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45730</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45730</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45730</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45730</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45730</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45730</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45730</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45730</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45730</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45730</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45730</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45730</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45730</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45730</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45730</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45730</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45730</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45730</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45730</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45730</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45730</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45730</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45730</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45730</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45730</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45730</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45730</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45730</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45730</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45730</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45730</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45730</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45730</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45730</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45730</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45730</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45730</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45730</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45730</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45730</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45730</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45730</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45730</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45730</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45730</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45730</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45730</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45730</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45730</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45730</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45730</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45730</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45730</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45730</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45730</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45730</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45730</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45730</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45730</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45730</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45730</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45730</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45730</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45730</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45730</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45730</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45730</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45730</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45730</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45730</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45730</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45730</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45730</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45730</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45730</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45730</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45730</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45730</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45730</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45730</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45730</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45730</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45730</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45730</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45730</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45730</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45730</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45730</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45730</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45730</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45730</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45730</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45730</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45730</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45730</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45730</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45730</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45730</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45730</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45730</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45730</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45730</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45730</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45730</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45730</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45730</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45730</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45730</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45730</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45730</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45730</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45730</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45730</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45730</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45730</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45730</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45730</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45730</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45730</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45730</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45730</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45730</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45730</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45730</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45730</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45730</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45730</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45730</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45730</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45730</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45730</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45730</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45730</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45730</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45730</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45730</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45730</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45730</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45730</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45730</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45730</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45730</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45730</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45730</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45730</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45730</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45730</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45730</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45730</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6705-2025</t>
        </is>
      </c>
      <c r="B1705" s="1" t="n">
        <v>45700</v>
      </c>
      <c r="C1705" s="1" t="n">
        <v>45730</v>
      </c>
      <c r="D1705" t="inlineStr">
        <is>
          <t>JÄMTLANDS LÄN</t>
        </is>
      </c>
      <c r="E1705" t="inlineStr">
        <is>
          <t>KROKOM</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45730</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6590-2025</t>
        </is>
      </c>
      <c r="B1707" s="1" t="n">
        <v>45700</v>
      </c>
      <c r="C1707" s="1" t="n">
        <v>45730</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45730</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6585-2025</t>
        </is>
      </c>
      <c r="B1709" s="1" t="n">
        <v>45700</v>
      </c>
      <c r="C1709" s="1" t="n">
        <v>45730</v>
      </c>
      <c r="D1709" t="inlineStr">
        <is>
          <t>JÄMTLANDS LÄN</t>
        </is>
      </c>
      <c r="E1709" t="inlineStr">
        <is>
          <t>KROKOM</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6711-2025</t>
        </is>
      </c>
      <c r="B1710" s="1" t="n">
        <v>45700</v>
      </c>
      <c r="C1710" s="1" t="n">
        <v>45730</v>
      </c>
      <c r="D1710" t="inlineStr">
        <is>
          <t>JÄMTLANDS LÄN</t>
        </is>
      </c>
      <c r="E1710" t="inlineStr">
        <is>
          <t>KROKOM</t>
        </is>
      </c>
      <c r="F1710" t="inlineStr">
        <is>
          <t>Övriga Aktiebolag</t>
        </is>
      </c>
      <c r="G1710" t="n">
        <v>37.6</v>
      </c>
      <c r="H1710" t="n">
        <v>0</v>
      </c>
      <c r="I1710" t="n">
        <v>0</v>
      </c>
      <c r="J1710" t="n">
        <v>0</v>
      </c>
      <c r="K1710" t="n">
        <v>0</v>
      </c>
      <c r="L1710" t="n">
        <v>0</v>
      </c>
      <c r="M1710" t="n">
        <v>0</v>
      </c>
      <c r="N1710" t="n">
        <v>0</v>
      </c>
      <c r="O1710" t="n">
        <v>0</v>
      </c>
      <c r="P1710" t="n">
        <v>0</v>
      </c>
      <c r="Q1710" t="n">
        <v>0</v>
      </c>
      <c r="R1710" s="2" t="inlineStr"/>
    </row>
    <row r="1711" ht="15" customHeight="1">
      <c r="A1711" t="inlineStr">
        <is>
          <t>A 6870-2025</t>
        </is>
      </c>
      <c r="B1711" s="1" t="n">
        <v>45701</v>
      </c>
      <c r="C1711" s="1" t="n">
        <v>45730</v>
      </c>
      <c r="D1711" t="inlineStr">
        <is>
          <t>JÄMTLANDS LÄN</t>
        </is>
      </c>
      <c r="E1711" t="inlineStr">
        <is>
          <t>KROKOM</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45730</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45730</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45730</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45730</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45730</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7392-2025</t>
        </is>
      </c>
      <c r="B1717" s="1" t="n">
        <v>45705</v>
      </c>
      <c r="C1717" s="1" t="n">
        <v>45730</v>
      </c>
      <c r="D1717" t="inlineStr">
        <is>
          <t>JÄMTLANDS LÄN</t>
        </is>
      </c>
      <c r="E1717" t="inlineStr">
        <is>
          <t>KROKOM</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7391-2025</t>
        </is>
      </c>
      <c r="B1718" s="1" t="n">
        <v>45705</v>
      </c>
      <c r="C1718" s="1" t="n">
        <v>45730</v>
      </c>
      <c r="D1718" t="inlineStr">
        <is>
          <t>JÄMTLANDS LÄN</t>
        </is>
      </c>
      <c r="E1718" t="inlineStr">
        <is>
          <t>KROKOM</t>
        </is>
      </c>
      <c r="F1718" t="inlineStr">
        <is>
          <t>Övriga Aktiebolag</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45730</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45730</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7724-2025</t>
        </is>
      </c>
      <c r="B1721" s="1" t="n">
        <v>45706</v>
      </c>
      <c r="C1721" s="1" t="n">
        <v>45730</v>
      </c>
      <c r="D1721" t="inlineStr">
        <is>
          <t>JÄMTLANDS LÄN</t>
        </is>
      </c>
      <c r="E1721" t="inlineStr">
        <is>
          <t>KROKOM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45730</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45730</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45730</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8024-2025</t>
        </is>
      </c>
      <c r="B1725" s="1" t="n">
        <v>45707</v>
      </c>
      <c r="C1725" s="1" t="n">
        <v>45730</v>
      </c>
      <c r="D1725" t="inlineStr">
        <is>
          <t>JÄMTLANDS LÄN</t>
        </is>
      </c>
      <c r="E1725" t="inlineStr">
        <is>
          <t>KROKOM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7921-2025</t>
        </is>
      </c>
      <c r="B1726" s="1" t="n">
        <v>45707</v>
      </c>
      <c r="C1726" s="1" t="n">
        <v>45730</v>
      </c>
      <c r="D1726" t="inlineStr">
        <is>
          <t>JÄMTLANDS LÄN</t>
        </is>
      </c>
      <c r="E1726" t="inlineStr">
        <is>
          <t>KROKOM</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8011-2025</t>
        </is>
      </c>
      <c r="B1727" s="1" t="n">
        <v>45707</v>
      </c>
      <c r="C1727" s="1" t="n">
        <v>45730</v>
      </c>
      <c r="D1727" t="inlineStr">
        <is>
          <t>JÄMTLANDS LÄN</t>
        </is>
      </c>
      <c r="E1727" t="inlineStr">
        <is>
          <t>KROKOM</t>
        </is>
      </c>
      <c r="F1727" t="inlineStr">
        <is>
          <t>Övriga Aktiebolag</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45730</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45730</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8167-2025</t>
        </is>
      </c>
      <c r="B1730" s="1" t="n">
        <v>45708</v>
      </c>
      <c r="C1730" s="1" t="n">
        <v>45730</v>
      </c>
      <c r="D1730" t="inlineStr">
        <is>
          <t>JÄMTLANDS LÄN</t>
        </is>
      </c>
      <c r="E1730" t="inlineStr">
        <is>
          <t>KROKOM</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45730</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45730</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8865-2025</t>
        </is>
      </c>
      <c r="B1733" s="1" t="n">
        <v>45713</v>
      </c>
      <c r="C1733" s="1" t="n">
        <v>45730</v>
      </c>
      <c r="D1733" t="inlineStr">
        <is>
          <t>JÄMTLANDS LÄN</t>
        </is>
      </c>
      <c r="E1733" t="inlineStr">
        <is>
          <t>KROKOM</t>
        </is>
      </c>
      <c r="F1733" t="inlineStr">
        <is>
          <t>Övriga Aktiebolag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8868-2025</t>
        </is>
      </c>
      <c r="B1734" s="1" t="n">
        <v>45713</v>
      </c>
      <c r="C1734" s="1" t="n">
        <v>45730</v>
      </c>
      <c r="D1734" t="inlineStr">
        <is>
          <t>JÄMTLANDS LÄN</t>
        </is>
      </c>
      <c r="E1734" t="inlineStr">
        <is>
          <t>KROKOM</t>
        </is>
      </c>
      <c r="F1734" t="inlineStr">
        <is>
          <t>Övriga Aktiebolag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8872-2025</t>
        </is>
      </c>
      <c r="B1735" s="1" t="n">
        <v>45713</v>
      </c>
      <c r="C1735" s="1" t="n">
        <v>45730</v>
      </c>
      <c r="D1735" t="inlineStr">
        <is>
          <t>JÄMTLANDS LÄN</t>
        </is>
      </c>
      <c r="E1735" t="inlineStr">
        <is>
          <t>KROKOM</t>
        </is>
      </c>
      <c r="F1735" t="inlineStr">
        <is>
          <t>Övriga Aktiebolag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9023-2025</t>
        </is>
      </c>
      <c r="B1736" s="1" t="n">
        <v>45713</v>
      </c>
      <c r="C1736" s="1" t="n">
        <v>45730</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9022-2025</t>
        </is>
      </c>
      <c r="B1737" s="1" t="n">
        <v>45713</v>
      </c>
      <c r="C1737" s="1" t="n">
        <v>45730</v>
      </c>
      <c r="D1737" t="inlineStr">
        <is>
          <t>JÄMTLANDS LÄN</t>
        </is>
      </c>
      <c r="E1737" t="inlineStr">
        <is>
          <t>KROKOM</t>
        </is>
      </c>
      <c r="F1737" t="inlineStr">
        <is>
          <t>Övriga Aktiebolag</t>
        </is>
      </c>
      <c r="G1737" t="n">
        <v>29.9</v>
      </c>
      <c r="H1737" t="n">
        <v>0</v>
      </c>
      <c r="I1737" t="n">
        <v>0</v>
      </c>
      <c r="J1737" t="n">
        <v>0</v>
      </c>
      <c r="K1737" t="n">
        <v>0</v>
      </c>
      <c r="L1737" t="n">
        <v>0</v>
      </c>
      <c r="M1737" t="n">
        <v>0</v>
      </c>
      <c r="N1737" t="n">
        <v>0</v>
      </c>
      <c r="O1737" t="n">
        <v>0</v>
      </c>
      <c r="P1737" t="n">
        <v>0</v>
      </c>
      <c r="Q1737" t="n">
        <v>0</v>
      </c>
      <c r="R1737" s="2" t="inlineStr"/>
    </row>
    <row r="1738" ht="15" customHeight="1">
      <c r="A1738" t="inlineStr">
        <is>
          <t>A 9027-2025</t>
        </is>
      </c>
      <c r="B1738" s="1" t="n">
        <v>45713</v>
      </c>
      <c r="C1738" s="1" t="n">
        <v>45730</v>
      </c>
      <c r="D1738" t="inlineStr">
        <is>
          <t>JÄMTLANDS LÄN</t>
        </is>
      </c>
      <c r="E1738" t="inlineStr">
        <is>
          <t>KROKOM</t>
        </is>
      </c>
      <c r="F1738" t="inlineStr">
        <is>
          <t>Övriga Aktiebolag</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9043-2025</t>
        </is>
      </c>
      <c r="B1739" s="1" t="n">
        <v>45713</v>
      </c>
      <c r="C1739" s="1" t="n">
        <v>45730</v>
      </c>
      <c r="D1739" t="inlineStr">
        <is>
          <t>JÄMTLANDS LÄN</t>
        </is>
      </c>
      <c r="E1739" t="inlineStr">
        <is>
          <t>KROKOM</t>
        </is>
      </c>
      <c r="F1739" t="inlineStr">
        <is>
          <t>Övriga Aktiebolag</t>
        </is>
      </c>
      <c r="G1739" t="n">
        <v>43.6</v>
      </c>
      <c r="H1739" t="n">
        <v>0</v>
      </c>
      <c r="I1739" t="n">
        <v>0</v>
      </c>
      <c r="J1739" t="n">
        <v>0</v>
      </c>
      <c r="K1739" t="n">
        <v>0</v>
      </c>
      <c r="L1739" t="n">
        <v>0</v>
      </c>
      <c r="M1739" t="n">
        <v>0</v>
      </c>
      <c r="N1739" t="n">
        <v>0</v>
      </c>
      <c r="O1739" t="n">
        <v>0</v>
      </c>
      <c r="P1739" t="n">
        <v>0</v>
      </c>
      <c r="Q1739" t="n">
        <v>0</v>
      </c>
      <c r="R1739" s="2" t="inlineStr"/>
    </row>
    <row r="1740" ht="15" customHeight="1">
      <c r="A1740" t="inlineStr">
        <is>
          <t>A 9025-2025</t>
        </is>
      </c>
      <c r="B1740" s="1" t="n">
        <v>45713</v>
      </c>
      <c r="C1740" s="1" t="n">
        <v>45730</v>
      </c>
      <c r="D1740" t="inlineStr">
        <is>
          <t>JÄMTLANDS LÄN</t>
        </is>
      </c>
      <c r="E1740" t="inlineStr">
        <is>
          <t>KROKOM</t>
        </is>
      </c>
      <c r="F1740" t="inlineStr">
        <is>
          <t>Övriga Aktiebolag</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8880-2025</t>
        </is>
      </c>
      <c r="B1741" s="1" t="n">
        <v>45713</v>
      </c>
      <c r="C1741" s="1" t="n">
        <v>45730</v>
      </c>
      <c r="D1741" t="inlineStr">
        <is>
          <t>JÄMTLANDS LÄN</t>
        </is>
      </c>
      <c r="E1741" t="inlineStr">
        <is>
          <t>KROKOM</t>
        </is>
      </c>
      <c r="F1741" t="inlineStr">
        <is>
          <t>Övriga Aktiebolag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9016-2025</t>
        </is>
      </c>
      <c r="B1742" s="1" t="n">
        <v>45713</v>
      </c>
      <c r="C1742" s="1" t="n">
        <v>45730</v>
      </c>
      <c r="D1742" t="inlineStr">
        <is>
          <t>JÄMTLANDS LÄN</t>
        </is>
      </c>
      <c r="E1742" t="inlineStr">
        <is>
          <t>KROKOM</t>
        </is>
      </c>
      <c r="F1742" t="inlineStr">
        <is>
          <t>Övriga Aktiebolag</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45730</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45730</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45730</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45730</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45730</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45730</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9701-2025</t>
        </is>
      </c>
      <c r="B1749" s="1" t="n">
        <v>45716</v>
      </c>
      <c r="C1749" s="1" t="n">
        <v>45730</v>
      </c>
      <c r="D1749" t="inlineStr">
        <is>
          <t>JÄMTLANDS LÄN</t>
        </is>
      </c>
      <c r="E1749" t="inlineStr">
        <is>
          <t>KROKOM</t>
        </is>
      </c>
      <c r="F1749" t="inlineStr">
        <is>
          <t>Övriga Aktiebolag</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9963-2025</t>
        </is>
      </c>
      <c r="B1750" s="1" t="n">
        <v>45719</v>
      </c>
      <c r="C1750" s="1" t="n">
        <v>45730</v>
      </c>
      <c r="D1750" t="inlineStr">
        <is>
          <t>JÄMTLANDS LÄN</t>
        </is>
      </c>
      <c r="E1750" t="inlineStr">
        <is>
          <t>KROKOM</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10051-2025</t>
        </is>
      </c>
      <c r="B1751" s="1" t="n">
        <v>45719</v>
      </c>
      <c r="C1751" s="1" t="n">
        <v>45730</v>
      </c>
      <c r="D1751" t="inlineStr">
        <is>
          <t>JÄMTLANDS LÄN</t>
        </is>
      </c>
      <c r="E1751" t="inlineStr">
        <is>
          <t>KROKOM</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10053-2025</t>
        </is>
      </c>
      <c r="B1752" s="1" t="n">
        <v>45719</v>
      </c>
      <c r="C1752" s="1" t="n">
        <v>45730</v>
      </c>
      <c r="D1752" t="inlineStr">
        <is>
          <t>JÄMTLANDS LÄN</t>
        </is>
      </c>
      <c r="E1752" t="inlineStr">
        <is>
          <t>KROKOM</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45730</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10071-2025</t>
        </is>
      </c>
      <c r="B1754" s="1" t="n">
        <v>45719</v>
      </c>
      <c r="C1754" s="1" t="n">
        <v>45730</v>
      </c>
      <c r="D1754" t="inlineStr">
        <is>
          <t>JÄMTLANDS LÄN</t>
        </is>
      </c>
      <c r="E1754" t="inlineStr">
        <is>
          <t>KROKOM</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10128-2025</t>
        </is>
      </c>
      <c r="B1755" s="1" t="n">
        <v>45719</v>
      </c>
      <c r="C1755" s="1" t="n">
        <v>45730</v>
      </c>
      <c r="D1755" t="inlineStr">
        <is>
          <t>JÄMTLANDS LÄN</t>
        </is>
      </c>
      <c r="E1755" t="inlineStr">
        <is>
          <t>KROKOM</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10133-2025</t>
        </is>
      </c>
      <c r="B1756" s="1" t="n">
        <v>45719</v>
      </c>
      <c r="C1756" s="1" t="n">
        <v>45730</v>
      </c>
      <c r="D1756" t="inlineStr">
        <is>
          <t>JÄMTLANDS LÄN</t>
        </is>
      </c>
      <c r="E1756" t="inlineStr">
        <is>
          <t>KROKOM</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10220-2025</t>
        </is>
      </c>
      <c r="B1757" s="1" t="n">
        <v>45720</v>
      </c>
      <c r="C1757" s="1" t="n">
        <v>45730</v>
      </c>
      <c r="D1757" t="inlineStr">
        <is>
          <t>JÄMTLANDS LÄN</t>
        </is>
      </c>
      <c r="E1757" t="inlineStr">
        <is>
          <t>KROKOM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10279-2025</t>
        </is>
      </c>
      <c r="B1758" s="1" t="n">
        <v>45720</v>
      </c>
      <c r="C1758" s="1" t="n">
        <v>45730</v>
      </c>
      <c r="D1758" t="inlineStr">
        <is>
          <t>JÄMTLANDS LÄN</t>
        </is>
      </c>
      <c r="E1758" t="inlineStr">
        <is>
          <t>KROKOM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45730</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10581-2025</t>
        </is>
      </c>
      <c r="B1760" s="1" t="n">
        <v>45721</v>
      </c>
      <c r="C1760" s="1" t="n">
        <v>45730</v>
      </c>
      <c r="D1760" t="inlineStr">
        <is>
          <t>JÄMTLANDS LÄN</t>
        </is>
      </c>
      <c r="E1760" t="inlineStr">
        <is>
          <t>KROKOM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10533-2025</t>
        </is>
      </c>
      <c r="B1761" s="1" t="n">
        <v>45721</v>
      </c>
      <c r="C1761" s="1" t="n">
        <v>45730</v>
      </c>
      <c r="D1761" t="inlineStr">
        <is>
          <t>JÄMTLANDS LÄN</t>
        </is>
      </c>
      <c r="E1761" t="inlineStr">
        <is>
          <t>KROKOM</t>
        </is>
      </c>
      <c r="F1761" t="inlineStr">
        <is>
          <t>SCA</t>
        </is>
      </c>
      <c r="G1761" t="n">
        <v>64.90000000000001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10588-2025</t>
        </is>
      </c>
      <c r="B1762" s="1" t="n">
        <v>45721</v>
      </c>
      <c r="C1762" s="1" t="n">
        <v>45730</v>
      </c>
      <c r="D1762" t="inlineStr">
        <is>
          <t>JÄMTLANDS LÄN</t>
        </is>
      </c>
      <c r="E1762" t="inlineStr">
        <is>
          <t>KROKOM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10498-2025</t>
        </is>
      </c>
      <c r="B1763" s="1" t="n">
        <v>45721</v>
      </c>
      <c r="C1763" s="1" t="n">
        <v>45730</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45730</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10552-2025</t>
        </is>
      </c>
      <c r="B1765" s="1" t="n">
        <v>45721</v>
      </c>
      <c r="C1765" s="1" t="n">
        <v>45730</v>
      </c>
      <c r="D1765" t="inlineStr">
        <is>
          <t>JÄMTLANDS LÄN</t>
        </is>
      </c>
      <c r="E1765" t="inlineStr">
        <is>
          <t>KROKOM</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10532-2025</t>
        </is>
      </c>
      <c r="B1766" s="1" t="n">
        <v>45721</v>
      </c>
      <c r="C1766" s="1" t="n">
        <v>45730</v>
      </c>
      <c r="D1766" t="inlineStr">
        <is>
          <t>JÄMTLANDS LÄN</t>
        </is>
      </c>
      <c r="E1766" t="inlineStr">
        <is>
          <t>KROKOM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10632-2025</t>
        </is>
      </c>
      <c r="B1767" s="1" t="n">
        <v>45721</v>
      </c>
      <c r="C1767" s="1" t="n">
        <v>45730</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10646-2025</t>
        </is>
      </c>
      <c r="B1768" s="1" t="n">
        <v>45721</v>
      </c>
      <c r="C1768" s="1" t="n">
        <v>45730</v>
      </c>
      <c r="D1768" t="inlineStr">
        <is>
          <t>JÄMTLANDS LÄN</t>
        </is>
      </c>
      <c r="E1768" t="inlineStr">
        <is>
          <t>KROKOM</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10991-2025</t>
        </is>
      </c>
      <c r="B1769" s="1" t="n">
        <v>45723</v>
      </c>
      <c r="C1769" s="1" t="n">
        <v>45730</v>
      </c>
      <c r="D1769" t="inlineStr">
        <is>
          <t>JÄMTLANDS LÄN</t>
        </is>
      </c>
      <c r="E1769" t="inlineStr">
        <is>
          <t>KROKOM</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11056-2025</t>
        </is>
      </c>
      <c r="B1770" s="1" t="n">
        <v>45723</v>
      </c>
      <c r="C1770" s="1" t="n">
        <v>45730</v>
      </c>
      <c r="D1770" t="inlineStr">
        <is>
          <t>JÄMTLANDS LÄN</t>
        </is>
      </c>
      <c r="E1770" t="inlineStr">
        <is>
          <t>KROKOM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45730</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45730</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45730</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11317-2025</t>
        </is>
      </c>
      <c r="B1774" s="1" t="n">
        <v>45726</v>
      </c>
      <c r="C1774" s="1" t="n">
        <v>45730</v>
      </c>
      <c r="D1774" t="inlineStr">
        <is>
          <t>JÄMTLANDS LÄN</t>
        </is>
      </c>
      <c r="E1774" t="inlineStr">
        <is>
          <t>KROKOM</t>
        </is>
      </c>
      <c r="F1774" t="inlineStr">
        <is>
          <t>Övriga Aktiebolag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11386-2025</t>
        </is>
      </c>
      <c r="B1775" s="1" t="n">
        <v>45726</v>
      </c>
      <c r="C1775" s="1" t="n">
        <v>45730</v>
      </c>
      <c r="D1775" t="inlineStr">
        <is>
          <t>JÄMTLANDS LÄN</t>
        </is>
      </c>
      <c r="E1775" t="inlineStr">
        <is>
          <t>KROKOM</t>
        </is>
      </c>
      <c r="F1775" t="inlineStr">
        <is>
          <t>Övriga Aktiebolag</t>
        </is>
      </c>
      <c r="G1775" t="n">
        <v>42.4</v>
      </c>
      <c r="H1775" t="n">
        <v>0</v>
      </c>
      <c r="I1775" t="n">
        <v>0</v>
      </c>
      <c r="J1775" t="n">
        <v>0</v>
      </c>
      <c r="K1775" t="n">
        <v>0</v>
      </c>
      <c r="L1775" t="n">
        <v>0</v>
      </c>
      <c r="M1775" t="n">
        <v>0</v>
      </c>
      <c r="N1775" t="n">
        <v>0</v>
      </c>
      <c r="O1775" t="n">
        <v>0</v>
      </c>
      <c r="P1775" t="n">
        <v>0</v>
      </c>
      <c r="Q1775" t="n">
        <v>0</v>
      </c>
      <c r="R1775" s="2" t="inlineStr"/>
    </row>
    <row r="1776" ht="15" customHeight="1">
      <c r="A1776" t="inlineStr">
        <is>
          <t>A 11403-2025</t>
        </is>
      </c>
      <c r="B1776" s="1" t="n">
        <v>45726</v>
      </c>
      <c r="C1776" s="1" t="n">
        <v>45730</v>
      </c>
      <c r="D1776" t="inlineStr">
        <is>
          <t>JÄMTLANDS LÄN</t>
        </is>
      </c>
      <c r="E1776" t="inlineStr">
        <is>
          <t>KROKOM</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45730</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c r="A1778" t="inlineStr">
        <is>
          <t>A 11436-2025</t>
        </is>
      </c>
      <c r="B1778" s="1" t="n">
        <v>45726</v>
      </c>
      <c r="C1778" s="1" t="n">
        <v>45730</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2025-03-14T17:17:56Z</dcterms:created>
  <dcterms:modified xmlns:dcterms="http://purl.org/dc/terms/" xmlns:xsi="http://www.w3.org/2001/XMLSchema-instance" xsi:type="dcterms:W3CDTF">2025-03-14T17:17:58Z</dcterms:modified>
</cp:coreProperties>
</file>