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45935</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45935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45935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45935</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45935</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45935</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45935</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22083-2021</t>
        </is>
      </c>
      <c r="B17" s="1" t="n">
        <v>44323</v>
      </c>
      <c r="C17" s="1" t="n">
        <v>45935</v>
      </c>
      <c r="D17" t="inlineStr">
        <is>
          <t>JÄMTLANDS LÄN</t>
        </is>
      </c>
      <c r="E17" t="inlineStr">
        <is>
          <t>KROKOM</t>
        </is>
      </c>
      <c r="G17" t="n">
        <v>12.3</v>
      </c>
      <c r="H17" t="n">
        <v>6</v>
      </c>
      <c r="I17" t="n">
        <v>3</v>
      </c>
      <c r="J17" t="n">
        <v>12</v>
      </c>
      <c r="K17" t="n">
        <v>3</v>
      </c>
      <c r="L17" t="n">
        <v>0</v>
      </c>
      <c r="M17" t="n">
        <v>0</v>
      </c>
      <c r="N17" t="n">
        <v>0</v>
      </c>
      <c r="O17" t="n">
        <v>15</v>
      </c>
      <c r="P17" t="n">
        <v>3</v>
      </c>
      <c r="Q17" t="n">
        <v>19</v>
      </c>
      <c r="R17" s="2" t="inlineStr">
        <is>
          <t>Knärot
Rynkskinn
Sprickporing
Doftskinn
Garnlav
Granticka
Gränsticka
Järpe
Lunglav
Skrovellav
Spillkråka
Stjärntagging
Talltita
Tretåig hackspett
Ullticka
Bårdlav
Luddlav
Stuplav
Kungsfågel</t>
        </is>
      </c>
      <c r="S17">
        <f>HYPERLINK("https://klasma.github.io/Logging_2309/artfynd/A 22083-2021 artfynd.xlsx", "A 22083-2021")</f>
        <v/>
      </c>
      <c r="T17">
        <f>HYPERLINK("https://klasma.github.io/Logging_2309/kartor/A 22083-2021 karta.png", "A 22083-2021")</f>
        <v/>
      </c>
      <c r="U17">
        <f>HYPERLINK("https://klasma.github.io/Logging_2309/knärot/A 22083-2021 karta knärot.png", "A 22083-2021")</f>
        <v/>
      </c>
      <c r="V17">
        <f>HYPERLINK("https://klasma.github.io/Logging_2309/klagomål/A 22083-2021 FSC-klagomål.docx", "A 22083-2021")</f>
        <v/>
      </c>
      <c r="W17">
        <f>HYPERLINK("https://klasma.github.io/Logging_2309/klagomålsmail/A 22083-2021 FSC-klagomål mail.docx", "A 22083-2021")</f>
        <v/>
      </c>
      <c r="X17">
        <f>HYPERLINK("https://klasma.github.io/Logging_2309/tillsyn/A 22083-2021 tillsynsbegäran.docx", "A 22083-2021")</f>
        <v/>
      </c>
      <c r="Y17">
        <f>HYPERLINK("https://klasma.github.io/Logging_2309/tillsynsmail/A 22083-2021 tillsynsbegäran mail.docx", "A 22083-2021")</f>
        <v/>
      </c>
      <c r="Z17">
        <f>HYPERLINK("https://klasma.github.io/Logging_2309/fåglar/A 22083-2021 prioriterade fågelarter.docx", "A 22083-2021")</f>
        <v/>
      </c>
    </row>
    <row r="18" ht="15" customHeight="1">
      <c r="A18" t="inlineStr">
        <is>
          <t>A 37027-2023</t>
        </is>
      </c>
      <c r="B18" s="1" t="n">
        <v>45155</v>
      </c>
      <c r="C18" s="1" t="n">
        <v>45935</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45935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45935</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45935</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23434-2024</t>
        </is>
      </c>
      <c r="B22" s="1" t="n">
        <v>45453</v>
      </c>
      <c r="C22" s="1" t="n">
        <v>45935</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45935</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45935</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45935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394-2025</t>
        </is>
      </c>
      <c r="B27" s="1" t="n">
        <v>45663</v>
      </c>
      <c r="C27" s="1" t="n">
        <v>45935</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45935</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22902-2025</t>
        </is>
      </c>
      <c r="B29" s="1" t="n">
        <v>45790</v>
      </c>
      <c r="C29" s="1" t="n">
        <v>45935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45935</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45935</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45935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45935</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45935</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45935</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45935</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45935</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45935</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23499-2025</t>
        </is>
      </c>
      <c r="B39" s="1" t="n">
        <v>45792</v>
      </c>
      <c r="C39" s="1" t="n">
        <v>45935</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45935</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45935</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45935</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45935</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61434-2024</t>
        </is>
      </c>
      <c r="B44" s="1" t="n">
        <v>45646</v>
      </c>
      <c r="C44" s="1" t="n">
        <v>45935</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45935</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5877-2021</t>
        </is>
      </c>
      <c r="B46" s="1" t="n">
        <v>44231</v>
      </c>
      <c r="C46" s="1" t="n">
        <v>45935</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39503-2024</t>
        </is>
      </c>
      <c r="B47" s="1" t="n">
        <v>45551</v>
      </c>
      <c r="C47" s="1" t="n">
        <v>45935</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45935</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60117-2024</t>
        </is>
      </c>
      <c r="B49" s="1" t="n">
        <v>45639</v>
      </c>
      <c r="C49" s="1" t="n">
        <v>45935</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32351-2024</t>
        </is>
      </c>
      <c r="B50" s="1" t="n">
        <v>45512</v>
      </c>
      <c r="C50" s="1" t="n">
        <v>45935</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45935</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18460-2023</t>
        </is>
      </c>
      <c r="B52" s="1" t="n">
        <v>45041</v>
      </c>
      <c r="C52" s="1" t="n">
        <v>45935</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10051-2025</t>
        </is>
      </c>
      <c r="B53" s="1" t="n">
        <v>45719.52238425926</v>
      </c>
      <c r="C53" s="1" t="n">
        <v>45935</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45935</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34678-2022</t>
        </is>
      </c>
      <c r="B55" s="1" t="n">
        <v>44795</v>
      </c>
      <c r="C55" s="1" t="n">
        <v>45935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35063-2024</t>
        </is>
      </c>
      <c r="B56" s="1" t="n">
        <v>45527</v>
      </c>
      <c r="C56" s="1" t="n">
        <v>45935</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52574-2020</t>
        </is>
      </c>
      <c r="B57" s="1" t="n">
        <v>44118</v>
      </c>
      <c r="C57" s="1" t="n">
        <v>45935</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52633-2023</t>
        </is>
      </c>
      <c r="B58" s="1" t="n">
        <v>45219</v>
      </c>
      <c r="C58" s="1" t="n">
        <v>45935</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45935</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46038-2024</t>
        </is>
      </c>
      <c r="B60" s="1" t="n">
        <v>45580</v>
      </c>
      <c r="C60" s="1" t="n">
        <v>45935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45935</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24370-2024</t>
        </is>
      </c>
      <c r="B62" s="1" t="n">
        <v>45457</v>
      </c>
      <c r="C62" s="1" t="n">
        <v>45935</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73840-2021</t>
        </is>
      </c>
      <c r="B63" s="1" t="n">
        <v>44552</v>
      </c>
      <c r="C63" s="1" t="n">
        <v>45935</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45935</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56568-2020</t>
        </is>
      </c>
      <c r="B65" s="1" t="n">
        <v>44133</v>
      </c>
      <c r="C65" s="1" t="n">
        <v>45935</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40206-2023</t>
        </is>
      </c>
      <c r="B66" s="1" t="n">
        <v>45169</v>
      </c>
      <c r="C66" s="1" t="n">
        <v>45935</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45935</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19014-2021</t>
        </is>
      </c>
      <c r="B68" s="1" t="n">
        <v>44308</v>
      </c>
      <c r="C68" s="1" t="n">
        <v>45935</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3433-2022</t>
        </is>
      </c>
      <c r="B69" s="1" t="n">
        <v>44585</v>
      </c>
      <c r="C69" s="1" t="n">
        <v>45935</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45935</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45935</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37408-2025</t>
        </is>
      </c>
      <c r="B72" s="1" t="n">
        <v>45877.46555555556</v>
      </c>
      <c r="C72" s="1" t="n">
        <v>45935</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62118-2023</t>
        </is>
      </c>
      <c r="B73" s="1" t="n">
        <v>45267</v>
      </c>
      <c r="C73" s="1" t="n">
        <v>45935</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45935</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3134-2024</t>
        </is>
      </c>
      <c r="B75" s="1" t="n">
        <v>45316</v>
      </c>
      <c r="C75" s="1" t="n">
        <v>45935</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45935</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32949-2025</t>
        </is>
      </c>
      <c r="B77" s="1" t="n">
        <v>45839.68914351852</v>
      </c>
      <c r="C77" s="1" t="n">
        <v>45935</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45935</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45935</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45935</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45935</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45935</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45935</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58951-2023</t>
        </is>
      </c>
      <c r="B84" s="1" t="n">
        <v>45252</v>
      </c>
      <c r="C84" s="1" t="n">
        <v>45935</v>
      </c>
      <c r="D84" t="inlineStr">
        <is>
          <t>JÄMTLANDS LÄN</t>
        </is>
      </c>
      <c r="E84" t="inlineStr">
        <is>
          <t>KROKOM</t>
        </is>
      </c>
      <c r="F84" t="inlineStr">
        <is>
          <t>Övriga Aktiebolag</t>
        </is>
      </c>
      <c r="G84" t="n">
        <v>4.4</v>
      </c>
      <c r="H84" t="n">
        <v>0</v>
      </c>
      <c r="I84" t="n">
        <v>2</v>
      </c>
      <c r="J84" t="n">
        <v>4</v>
      </c>
      <c r="K84" t="n">
        <v>0</v>
      </c>
      <c r="L84" t="n">
        <v>0</v>
      </c>
      <c r="M84" t="n">
        <v>0</v>
      </c>
      <c r="N84" t="n">
        <v>0</v>
      </c>
      <c r="O84" t="n">
        <v>4</v>
      </c>
      <c r="P84" t="n">
        <v>0</v>
      </c>
      <c r="Q84" t="n">
        <v>6</v>
      </c>
      <c r="R84" s="2" t="inlineStr">
        <is>
          <t>Garnlav
Lunglav
Rödbrun blekspik
Skrovellav
Bårdlav
Gulnål</t>
        </is>
      </c>
      <c r="S84">
        <f>HYPERLINK("https://klasma.github.io/Logging_2309/artfynd/A 58951-2023 artfynd.xlsx", "A 58951-2023")</f>
        <v/>
      </c>
      <c r="T84">
        <f>HYPERLINK("https://klasma.github.io/Logging_2309/kartor/A 58951-2023 karta.png", "A 58951-2023")</f>
        <v/>
      </c>
      <c r="V84">
        <f>HYPERLINK("https://klasma.github.io/Logging_2309/klagomål/A 58951-2023 FSC-klagomål.docx", "A 58951-2023")</f>
        <v/>
      </c>
      <c r="W84">
        <f>HYPERLINK("https://klasma.github.io/Logging_2309/klagomålsmail/A 58951-2023 FSC-klagomål mail.docx", "A 58951-2023")</f>
        <v/>
      </c>
      <c r="X84">
        <f>HYPERLINK("https://klasma.github.io/Logging_2309/tillsyn/A 58951-2023 tillsynsbegäran.docx", "A 58951-2023")</f>
        <v/>
      </c>
      <c r="Y84">
        <f>HYPERLINK("https://klasma.github.io/Logging_2309/tillsynsmail/A 58951-2023 tillsynsbegäran mail.docx", "A 58951-2023")</f>
        <v/>
      </c>
    </row>
    <row r="85" ht="15" customHeight="1">
      <c r="A85" t="inlineStr">
        <is>
          <t>A 56194-2021</t>
        </is>
      </c>
      <c r="B85" s="1" t="n">
        <v>44477</v>
      </c>
      <c r="C85" s="1" t="n">
        <v>45935</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45935</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27490-2024</t>
        </is>
      </c>
      <c r="B87" s="1" t="n">
        <v>45474</v>
      </c>
      <c r="C87" s="1" t="n">
        <v>45935</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16978-2025</t>
        </is>
      </c>
      <c r="B88" s="1" t="n">
        <v>45755</v>
      </c>
      <c r="C88" s="1" t="n">
        <v>45935</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30921-2025</t>
        </is>
      </c>
      <c r="B89" s="1" t="n">
        <v>45832</v>
      </c>
      <c r="C89" s="1" t="n">
        <v>45935</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35158-2022</t>
        </is>
      </c>
      <c r="B90" s="1" t="n">
        <v>44797</v>
      </c>
      <c r="C90" s="1" t="n">
        <v>45935</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43190-2022</t>
        </is>
      </c>
      <c r="B91" s="1" t="n">
        <v>44834</v>
      </c>
      <c r="C91" s="1" t="n">
        <v>45935</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46118-2024</t>
        </is>
      </c>
      <c r="B92" s="1" t="n">
        <v>45581</v>
      </c>
      <c r="C92" s="1" t="n">
        <v>45935</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11097-2024</t>
        </is>
      </c>
      <c r="B93" s="1" t="n">
        <v>45370</v>
      </c>
      <c r="C93" s="1" t="n">
        <v>45935</v>
      </c>
      <c r="D93" t="inlineStr">
        <is>
          <t>JÄMTLANDS LÄN</t>
        </is>
      </c>
      <c r="E93" t="inlineStr">
        <is>
          <t>KROKOM</t>
        </is>
      </c>
      <c r="G93" t="n">
        <v>12.3</v>
      </c>
      <c r="H93" t="n">
        <v>1</v>
      </c>
      <c r="I93" t="n">
        <v>0</v>
      </c>
      <c r="J93" t="n">
        <v>6</v>
      </c>
      <c r="K93" t="n">
        <v>0</v>
      </c>
      <c r="L93" t="n">
        <v>0</v>
      </c>
      <c r="M93" t="n">
        <v>0</v>
      </c>
      <c r="N93" t="n">
        <v>0</v>
      </c>
      <c r="O93" t="n">
        <v>6</v>
      </c>
      <c r="P93" t="n">
        <v>0</v>
      </c>
      <c r="Q93" t="n">
        <v>6</v>
      </c>
      <c r="R93" s="2" t="inlineStr">
        <is>
          <t>Granticka
Lunglav
Rosenticka
Skrovellav
Tretåig hackspett
Ullticka</t>
        </is>
      </c>
      <c r="S93">
        <f>HYPERLINK("https://klasma.github.io/Logging_2309/artfynd/A 11097-2024 artfynd.xlsx", "A 11097-2024")</f>
        <v/>
      </c>
      <c r="T93">
        <f>HYPERLINK("https://klasma.github.io/Logging_2309/kartor/A 11097-2024 karta.png", "A 11097-2024")</f>
        <v/>
      </c>
      <c r="V93">
        <f>HYPERLINK("https://klasma.github.io/Logging_2309/klagomål/A 11097-2024 FSC-klagomål.docx", "A 11097-2024")</f>
        <v/>
      </c>
      <c r="W93">
        <f>HYPERLINK("https://klasma.github.io/Logging_2309/klagomålsmail/A 11097-2024 FSC-klagomål mail.docx", "A 11097-2024")</f>
        <v/>
      </c>
      <c r="X93">
        <f>HYPERLINK("https://klasma.github.io/Logging_2309/tillsyn/A 11097-2024 tillsynsbegäran.docx", "A 11097-2024")</f>
        <v/>
      </c>
      <c r="Y93">
        <f>HYPERLINK("https://klasma.github.io/Logging_2309/tillsynsmail/A 11097-2024 tillsynsbegäran mail.docx", "A 11097-2024")</f>
        <v/>
      </c>
      <c r="Z93">
        <f>HYPERLINK("https://klasma.github.io/Logging_2309/fåglar/A 11097-2024 prioriterade fågelarter.docx", "A 11097-2024")</f>
        <v/>
      </c>
    </row>
    <row r="94" ht="15" customHeight="1">
      <c r="A94" t="inlineStr">
        <is>
          <t>A 35883-2025</t>
        </is>
      </c>
      <c r="B94" s="1" t="n">
        <v>45862.4257175926</v>
      </c>
      <c r="C94" s="1" t="n">
        <v>45935</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45935</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45935</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45935</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25286-2023</t>
        </is>
      </c>
      <c r="B98" s="1" t="n">
        <v>45079</v>
      </c>
      <c r="C98" s="1" t="n">
        <v>45935</v>
      </c>
      <c r="D98" t="inlineStr">
        <is>
          <t>JÄMTLANDS LÄN</t>
        </is>
      </c>
      <c r="E98" t="inlineStr">
        <is>
          <t>KROKOM</t>
        </is>
      </c>
      <c r="G98" t="n">
        <v>11.4</v>
      </c>
      <c r="H98" t="n">
        <v>1</v>
      </c>
      <c r="I98" t="n">
        <v>2</v>
      </c>
      <c r="J98" t="n">
        <v>3</v>
      </c>
      <c r="K98" t="n">
        <v>0</v>
      </c>
      <c r="L98" t="n">
        <v>0</v>
      </c>
      <c r="M98" t="n">
        <v>0</v>
      </c>
      <c r="N98" t="n">
        <v>0</v>
      </c>
      <c r="O98" t="n">
        <v>3</v>
      </c>
      <c r="P98" t="n">
        <v>0</v>
      </c>
      <c r="Q98" t="n">
        <v>5</v>
      </c>
      <c r="R98" s="2" t="inlineStr">
        <is>
          <t>Garnlav
Gränsticka
Spillkråka
Blodticka
Trådticka</t>
        </is>
      </c>
      <c r="S98">
        <f>HYPERLINK("https://klasma.github.io/Logging_2309/artfynd/A 25286-2023 artfynd.xlsx", "A 25286-2023")</f>
        <v/>
      </c>
      <c r="T98">
        <f>HYPERLINK("https://klasma.github.io/Logging_2309/kartor/A 25286-2023 karta.png", "A 25286-2023")</f>
        <v/>
      </c>
      <c r="V98">
        <f>HYPERLINK("https://klasma.github.io/Logging_2309/klagomål/A 25286-2023 FSC-klagomål.docx", "A 25286-2023")</f>
        <v/>
      </c>
      <c r="W98">
        <f>HYPERLINK("https://klasma.github.io/Logging_2309/klagomålsmail/A 25286-2023 FSC-klagomål mail.docx", "A 25286-2023")</f>
        <v/>
      </c>
      <c r="X98">
        <f>HYPERLINK("https://klasma.github.io/Logging_2309/tillsyn/A 25286-2023 tillsynsbegäran.docx", "A 25286-2023")</f>
        <v/>
      </c>
      <c r="Y98">
        <f>HYPERLINK("https://klasma.github.io/Logging_2309/tillsynsmail/A 25286-2023 tillsynsbegäran mail.docx", "A 25286-2023")</f>
        <v/>
      </c>
      <c r="Z98">
        <f>HYPERLINK("https://klasma.github.io/Logging_2309/fåglar/A 25286-2023 prioriterade fågelarter.docx", "A 25286-2023")</f>
        <v/>
      </c>
    </row>
    <row r="99" ht="15" customHeight="1">
      <c r="A99" t="inlineStr">
        <is>
          <t>A 36995-2025</t>
        </is>
      </c>
      <c r="B99" s="1" t="n">
        <v>45874.67765046296</v>
      </c>
      <c r="C99" s="1" t="n">
        <v>45935</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53815-2024</t>
        </is>
      </c>
      <c r="B100" s="1" t="n">
        <v>45615</v>
      </c>
      <c r="C100" s="1" t="n">
        <v>45935</v>
      </c>
      <c r="D100" t="inlineStr">
        <is>
          <t>JÄMTLANDS LÄN</t>
        </is>
      </c>
      <c r="E100" t="inlineStr">
        <is>
          <t>KROKOM</t>
        </is>
      </c>
      <c r="F100" t="inlineStr">
        <is>
          <t>Övriga Aktiebolag</t>
        </is>
      </c>
      <c r="G100" t="n">
        <v>11.8</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53815-2024 artfynd.xlsx", "A 53815-2024")</f>
        <v/>
      </c>
      <c r="T100">
        <f>HYPERLINK("https://klasma.github.io/Logging_2309/kartor/A 53815-2024 karta.png", "A 53815-2024")</f>
        <v/>
      </c>
      <c r="V100">
        <f>HYPERLINK("https://klasma.github.io/Logging_2309/klagomål/A 53815-2024 FSC-klagomål.docx", "A 53815-2024")</f>
        <v/>
      </c>
      <c r="W100">
        <f>HYPERLINK("https://klasma.github.io/Logging_2309/klagomålsmail/A 53815-2024 FSC-klagomål mail.docx", "A 53815-2024")</f>
        <v/>
      </c>
      <c r="X100">
        <f>HYPERLINK("https://klasma.github.io/Logging_2309/tillsyn/A 53815-2024 tillsynsbegäran.docx", "A 53815-2024")</f>
        <v/>
      </c>
      <c r="Y100">
        <f>HYPERLINK("https://klasma.github.io/Logging_2309/tillsynsmail/A 53815-2024 tillsynsbegäran mail.docx", "A 53815-2024")</f>
        <v/>
      </c>
      <c r="Z100">
        <f>HYPERLINK("https://klasma.github.io/Logging_2309/fåglar/A 53815-2024 prioriterade fågelarter.docx", "A 53815-2024")</f>
        <v/>
      </c>
    </row>
    <row r="101" ht="15" customHeight="1">
      <c r="A101" t="inlineStr">
        <is>
          <t>A 59619-2020</t>
        </is>
      </c>
      <c r="B101" s="1" t="n">
        <v>44150</v>
      </c>
      <c r="C101" s="1" t="n">
        <v>45935</v>
      </c>
      <c r="D101" t="inlineStr">
        <is>
          <t>JÄMTLANDS LÄN</t>
        </is>
      </c>
      <c r="E101" t="inlineStr">
        <is>
          <t>KROKOM</t>
        </is>
      </c>
      <c r="G101" t="n">
        <v>11.3</v>
      </c>
      <c r="H101" t="n">
        <v>1</v>
      </c>
      <c r="I101" t="n">
        <v>0</v>
      </c>
      <c r="J101" t="n">
        <v>5</v>
      </c>
      <c r="K101" t="n">
        <v>0</v>
      </c>
      <c r="L101" t="n">
        <v>0</v>
      </c>
      <c r="M101" t="n">
        <v>0</v>
      </c>
      <c r="N101" t="n">
        <v>0</v>
      </c>
      <c r="O101" t="n">
        <v>5</v>
      </c>
      <c r="P101" t="n">
        <v>0</v>
      </c>
      <c r="Q101" t="n">
        <v>5</v>
      </c>
      <c r="R101" s="2" t="inlineStr">
        <is>
          <t>Brunpudrad nållav
Granticka
Liten svartspik
Tretåig hackspett
Vitgrynig nållav</t>
        </is>
      </c>
      <c r="S101">
        <f>HYPERLINK("https://klasma.github.io/Logging_2309/artfynd/A 59619-2020 artfynd.xlsx", "A 59619-2020")</f>
        <v/>
      </c>
      <c r="T101">
        <f>HYPERLINK("https://klasma.github.io/Logging_2309/kartor/A 59619-2020 karta.png", "A 59619-2020")</f>
        <v/>
      </c>
      <c r="V101">
        <f>HYPERLINK("https://klasma.github.io/Logging_2309/klagomål/A 59619-2020 FSC-klagomål.docx", "A 59619-2020")</f>
        <v/>
      </c>
      <c r="W101">
        <f>HYPERLINK("https://klasma.github.io/Logging_2309/klagomålsmail/A 59619-2020 FSC-klagomål mail.docx", "A 59619-2020")</f>
        <v/>
      </c>
      <c r="X101">
        <f>HYPERLINK("https://klasma.github.io/Logging_2309/tillsyn/A 59619-2020 tillsynsbegäran.docx", "A 59619-2020")</f>
        <v/>
      </c>
      <c r="Y101">
        <f>HYPERLINK("https://klasma.github.io/Logging_2309/tillsynsmail/A 59619-2020 tillsynsbegäran mail.docx", "A 59619-2020")</f>
        <v/>
      </c>
      <c r="Z101">
        <f>HYPERLINK("https://klasma.github.io/Logging_2309/fåglar/A 59619-2020 prioriterade fågelarter.docx", "A 59619-2020")</f>
        <v/>
      </c>
    </row>
    <row r="102" ht="15" customHeight="1">
      <c r="A102" t="inlineStr">
        <is>
          <t>A 48914-2021</t>
        </is>
      </c>
      <c r="B102" s="1" t="n">
        <v>44452</v>
      </c>
      <c r="C102" s="1" t="n">
        <v>45935</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72538-2021</t>
        </is>
      </c>
      <c r="B103" s="1" t="n">
        <v>44546</v>
      </c>
      <c r="C103" s="1" t="n">
        <v>45935</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39487-2024</t>
        </is>
      </c>
      <c r="B104" s="1" t="n">
        <v>45551</v>
      </c>
      <c r="C104" s="1" t="n">
        <v>45935</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39118-2025</t>
        </is>
      </c>
      <c r="B105" s="1" t="n">
        <v>45888.55305555555</v>
      </c>
      <c r="C105" s="1" t="n">
        <v>45935</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35749-2024</t>
        </is>
      </c>
      <c r="B106" s="1" t="n">
        <v>45532</v>
      </c>
      <c r="C106" s="1" t="n">
        <v>45935</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11319-2025</t>
        </is>
      </c>
      <c r="B107" s="1" t="n">
        <v>45726.46192129629</v>
      </c>
      <c r="C107" s="1" t="n">
        <v>45935</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59039-2022</t>
        </is>
      </c>
      <c r="B108" s="1" t="n">
        <v>44903</v>
      </c>
      <c r="C108" s="1" t="n">
        <v>45935</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32658-2025</t>
        </is>
      </c>
      <c r="B109" s="1" t="n">
        <v>45838.67858796296</v>
      </c>
      <c r="C109" s="1" t="n">
        <v>45935</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74005-2021</t>
        </is>
      </c>
      <c r="B110" s="1" t="n">
        <v>44557</v>
      </c>
      <c r="C110" s="1" t="n">
        <v>45935</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45935</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63787-2020</t>
        </is>
      </c>
      <c r="B112" s="1" t="n">
        <v>44162</v>
      </c>
      <c r="C112" s="1" t="n">
        <v>45935</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45935</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45935</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58205-2024</t>
        </is>
      </c>
      <c r="B115" s="1" t="n">
        <v>45632</v>
      </c>
      <c r="C115" s="1" t="n">
        <v>45935</v>
      </c>
      <c r="D115" t="inlineStr">
        <is>
          <t>JÄMTLANDS LÄN</t>
        </is>
      </c>
      <c r="E115" t="inlineStr">
        <is>
          <t>KROKOM</t>
        </is>
      </c>
      <c r="G115" t="n">
        <v>14</v>
      </c>
      <c r="H115" t="n">
        <v>0</v>
      </c>
      <c r="I115" t="n">
        <v>1</v>
      </c>
      <c r="J115" t="n">
        <v>3</v>
      </c>
      <c r="K115" t="n">
        <v>0</v>
      </c>
      <c r="L115" t="n">
        <v>0</v>
      </c>
      <c r="M115" t="n">
        <v>0</v>
      </c>
      <c r="N115" t="n">
        <v>0</v>
      </c>
      <c r="O115" t="n">
        <v>3</v>
      </c>
      <c r="P115" t="n">
        <v>0</v>
      </c>
      <c r="Q115" t="n">
        <v>4</v>
      </c>
      <c r="R115" s="2" t="inlineStr">
        <is>
          <t>Lunglav
Skrovellav
Ullticka
Vedticka</t>
        </is>
      </c>
      <c r="S115">
        <f>HYPERLINK("https://klasma.github.io/Logging_2309/artfynd/A 58205-2024 artfynd.xlsx", "A 58205-2024")</f>
        <v/>
      </c>
      <c r="T115">
        <f>HYPERLINK("https://klasma.github.io/Logging_2309/kartor/A 58205-2024 karta.png", "A 58205-2024")</f>
        <v/>
      </c>
      <c r="V115">
        <f>HYPERLINK("https://klasma.github.io/Logging_2309/klagomål/A 58205-2024 FSC-klagomål.docx", "A 58205-2024")</f>
        <v/>
      </c>
      <c r="W115">
        <f>HYPERLINK("https://klasma.github.io/Logging_2309/klagomålsmail/A 58205-2024 FSC-klagomål mail.docx", "A 58205-2024")</f>
        <v/>
      </c>
      <c r="X115">
        <f>HYPERLINK("https://klasma.github.io/Logging_2309/tillsyn/A 58205-2024 tillsynsbegäran.docx", "A 58205-2024")</f>
        <v/>
      </c>
      <c r="Y115">
        <f>HYPERLINK("https://klasma.github.io/Logging_2309/tillsynsmail/A 58205-2024 tillsynsbegäran mail.docx", "A 58205-2024")</f>
        <v/>
      </c>
    </row>
    <row r="116" ht="15" customHeight="1">
      <c r="A116" t="inlineStr">
        <is>
          <t>A 73935-2021</t>
        </is>
      </c>
      <c r="B116" s="1" t="n">
        <v>44553</v>
      </c>
      <c r="C116" s="1" t="n">
        <v>45935</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35023-2024</t>
        </is>
      </c>
      <c r="B117" s="1" t="n">
        <v>45527</v>
      </c>
      <c r="C117" s="1" t="n">
        <v>45935</v>
      </c>
      <c r="D117" t="inlineStr">
        <is>
          <t>JÄMTLANDS LÄN</t>
        </is>
      </c>
      <c r="E117" t="inlineStr">
        <is>
          <t>KROKOM</t>
        </is>
      </c>
      <c r="F117" t="inlineStr">
        <is>
          <t>Övriga Aktiebolag</t>
        </is>
      </c>
      <c r="G117" t="n">
        <v>14</v>
      </c>
      <c r="H117" t="n">
        <v>1</v>
      </c>
      <c r="I117" t="n">
        <v>0</v>
      </c>
      <c r="J117" t="n">
        <v>4</v>
      </c>
      <c r="K117" t="n">
        <v>0</v>
      </c>
      <c r="L117" t="n">
        <v>0</v>
      </c>
      <c r="M117" t="n">
        <v>0</v>
      </c>
      <c r="N117" t="n">
        <v>0</v>
      </c>
      <c r="O117" t="n">
        <v>4</v>
      </c>
      <c r="P117" t="n">
        <v>0</v>
      </c>
      <c r="Q117" t="n">
        <v>4</v>
      </c>
      <c r="R117" s="2" t="inlineStr">
        <is>
          <t>Garnlav
Granticka
Harticka
Tretåig hackspett</t>
        </is>
      </c>
      <c r="S117">
        <f>HYPERLINK("https://klasma.github.io/Logging_2309/artfynd/A 35023-2024 artfynd.xlsx", "A 35023-2024")</f>
        <v/>
      </c>
      <c r="T117">
        <f>HYPERLINK("https://klasma.github.io/Logging_2309/kartor/A 35023-2024 karta.png", "A 35023-2024")</f>
        <v/>
      </c>
      <c r="V117">
        <f>HYPERLINK("https://klasma.github.io/Logging_2309/klagomål/A 35023-2024 FSC-klagomål.docx", "A 35023-2024")</f>
        <v/>
      </c>
      <c r="W117">
        <f>HYPERLINK("https://klasma.github.io/Logging_2309/klagomålsmail/A 35023-2024 FSC-klagomål mail.docx", "A 35023-2024")</f>
        <v/>
      </c>
      <c r="X117">
        <f>HYPERLINK("https://klasma.github.io/Logging_2309/tillsyn/A 35023-2024 tillsynsbegäran.docx", "A 35023-2024")</f>
        <v/>
      </c>
      <c r="Y117">
        <f>HYPERLINK("https://klasma.github.io/Logging_2309/tillsynsmail/A 35023-2024 tillsynsbegäran mail.docx", "A 35023-2024")</f>
        <v/>
      </c>
      <c r="Z117">
        <f>HYPERLINK("https://klasma.github.io/Logging_2309/fåglar/A 35023-2024 prioriterade fågelarter.docx", "A 35023-2024")</f>
        <v/>
      </c>
    </row>
    <row r="118" ht="15" customHeight="1">
      <c r="A118" t="inlineStr">
        <is>
          <t>A 18940-2025</t>
        </is>
      </c>
      <c r="B118" s="1" t="n">
        <v>45764</v>
      </c>
      <c r="C118" s="1" t="n">
        <v>45935</v>
      </c>
      <c r="D118" t="inlineStr">
        <is>
          <t>JÄMTLANDS LÄN</t>
        </is>
      </c>
      <c r="E118" t="inlineStr">
        <is>
          <t>KROKOM</t>
        </is>
      </c>
      <c r="G118" t="n">
        <v>44.4</v>
      </c>
      <c r="H118" t="n">
        <v>2</v>
      </c>
      <c r="I118" t="n">
        <v>1</v>
      </c>
      <c r="J118" t="n">
        <v>3</v>
      </c>
      <c r="K118" t="n">
        <v>0</v>
      </c>
      <c r="L118" t="n">
        <v>0</v>
      </c>
      <c r="M118" t="n">
        <v>0</v>
      </c>
      <c r="N118" t="n">
        <v>0</v>
      </c>
      <c r="O118" t="n">
        <v>3</v>
      </c>
      <c r="P118" t="n">
        <v>0</v>
      </c>
      <c r="Q118" t="n">
        <v>4</v>
      </c>
      <c r="R118" s="2" t="inlineStr">
        <is>
          <t>Granticka
Tretåig hackspett
Ullticka
Spindelblomster</t>
        </is>
      </c>
      <c r="S118">
        <f>HYPERLINK("https://klasma.github.io/Logging_2309/artfynd/A 18940-2025 artfynd.xlsx", "A 18940-2025")</f>
        <v/>
      </c>
      <c r="T118">
        <f>HYPERLINK("https://klasma.github.io/Logging_2309/kartor/A 18940-2025 karta.png", "A 18940-2025")</f>
        <v/>
      </c>
      <c r="V118">
        <f>HYPERLINK("https://klasma.github.io/Logging_2309/klagomål/A 18940-2025 FSC-klagomål.docx", "A 18940-2025")</f>
        <v/>
      </c>
      <c r="W118">
        <f>HYPERLINK("https://klasma.github.io/Logging_2309/klagomålsmail/A 18940-2025 FSC-klagomål mail.docx", "A 18940-2025")</f>
        <v/>
      </c>
      <c r="X118">
        <f>HYPERLINK("https://klasma.github.io/Logging_2309/tillsyn/A 18940-2025 tillsynsbegäran.docx", "A 18940-2025")</f>
        <v/>
      </c>
      <c r="Y118">
        <f>HYPERLINK("https://klasma.github.io/Logging_2309/tillsynsmail/A 18940-2025 tillsynsbegäran mail.docx", "A 18940-2025")</f>
        <v/>
      </c>
      <c r="Z118">
        <f>HYPERLINK("https://klasma.github.io/Logging_2309/fåglar/A 18940-2025 prioriterade fågelarter.docx", "A 18940-2025")</f>
        <v/>
      </c>
    </row>
    <row r="119" ht="15" customHeight="1">
      <c r="A119" t="inlineStr">
        <is>
          <t>A 56312-2024</t>
        </is>
      </c>
      <c r="B119" s="1" t="n">
        <v>45624</v>
      </c>
      <c r="C119" s="1" t="n">
        <v>45935</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55224-2024</t>
        </is>
      </c>
      <c r="B120" s="1" t="n">
        <v>45621</v>
      </c>
      <c r="C120" s="1" t="n">
        <v>45935</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6682-2023</t>
        </is>
      </c>
      <c r="B121" s="1" t="n">
        <v>44966</v>
      </c>
      <c r="C121" s="1" t="n">
        <v>45935</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60566-2022</t>
        </is>
      </c>
      <c r="B122" s="1" t="n">
        <v>44904</v>
      </c>
      <c r="C122" s="1" t="n">
        <v>45935</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57295-2022</t>
        </is>
      </c>
      <c r="B123" s="1" t="n">
        <v>44895</v>
      </c>
      <c r="C123" s="1" t="n">
        <v>45935</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54427-2024</t>
        </is>
      </c>
      <c r="B124" s="1" t="n">
        <v>45617</v>
      </c>
      <c r="C124" s="1" t="n">
        <v>45935</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45935</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45935</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45935</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49178-2024</t>
        </is>
      </c>
      <c r="B128" s="1" t="n">
        <v>45595</v>
      </c>
      <c r="C128" s="1" t="n">
        <v>45935</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53363-2022</t>
        </is>
      </c>
      <c r="B129" s="1" t="n">
        <v>44879</v>
      </c>
      <c r="C129" s="1" t="n">
        <v>45935</v>
      </c>
      <c r="D129" t="inlineStr">
        <is>
          <t>JÄMTLANDS LÄN</t>
        </is>
      </c>
      <c r="E129" t="inlineStr">
        <is>
          <t>KROKOM</t>
        </is>
      </c>
      <c r="F129" t="inlineStr">
        <is>
          <t>Kyrkan</t>
        </is>
      </c>
      <c r="G129" t="n">
        <v>13.3</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53363-2022 artfynd.xlsx", "A 53363-2022")</f>
        <v/>
      </c>
      <c r="T129">
        <f>HYPERLINK("https://klasma.github.io/Logging_2309/kartor/A 53363-2022 karta.png", "A 53363-2022")</f>
        <v/>
      </c>
      <c r="V129">
        <f>HYPERLINK("https://klasma.github.io/Logging_2309/klagomål/A 53363-2022 FSC-klagomål.docx", "A 53363-2022")</f>
        <v/>
      </c>
      <c r="W129">
        <f>HYPERLINK("https://klasma.github.io/Logging_2309/klagomålsmail/A 53363-2022 FSC-klagomål mail.docx", "A 53363-2022")</f>
        <v/>
      </c>
      <c r="X129">
        <f>HYPERLINK("https://klasma.github.io/Logging_2309/tillsyn/A 53363-2022 tillsynsbegäran.docx", "A 53363-2022")</f>
        <v/>
      </c>
      <c r="Y129">
        <f>HYPERLINK("https://klasma.github.io/Logging_2309/tillsynsmail/A 53363-2022 tillsynsbegäran mail.docx", "A 53363-2022")</f>
        <v/>
      </c>
      <c r="Z129">
        <f>HYPERLINK("https://klasma.github.io/Logging_2309/fåglar/A 53363-2022 prioriterade fågelarter.docx", "A 53363-2022")</f>
        <v/>
      </c>
    </row>
    <row r="130" ht="15" customHeight="1">
      <c r="A130" t="inlineStr">
        <is>
          <t>A 34855-2025</t>
        </is>
      </c>
      <c r="B130" s="1" t="n">
        <v>45849.42818287037</v>
      </c>
      <c r="C130" s="1" t="n">
        <v>45935</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65901-2020</t>
        </is>
      </c>
      <c r="B131" s="1" t="n">
        <v>44174</v>
      </c>
      <c r="C131" s="1" t="n">
        <v>45935</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62113-2024</t>
        </is>
      </c>
      <c r="B132" s="1" t="n">
        <v>45656.54600694445</v>
      </c>
      <c r="C132" s="1" t="n">
        <v>45935</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54494-2023</t>
        </is>
      </c>
      <c r="B133" s="1" t="n">
        <v>45233</v>
      </c>
      <c r="C133" s="1" t="n">
        <v>45935</v>
      </c>
      <c r="D133" t="inlineStr">
        <is>
          <t>JÄMTLANDS LÄN</t>
        </is>
      </c>
      <c r="E133" t="inlineStr">
        <is>
          <t>KROKOM</t>
        </is>
      </c>
      <c r="G133" t="n">
        <v>6.2</v>
      </c>
      <c r="H133" t="n">
        <v>1</v>
      </c>
      <c r="I133" t="n">
        <v>2</v>
      </c>
      <c r="J133" t="n">
        <v>0</v>
      </c>
      <c r="K133" t="n">
        <v>0</v>
      </c>
      <c r="L133" t="n">
        <v>0</v>
      </c>
      <c r="M133" t="n">
        <v>0</v>
      </c>
      <c r="N133" t="n">
        <v>0</v>
      </c>
      <c r="O133" t="n">
        <v>0</v>
      </c>
      <c r="P133" t="n">
        <v>0</v>
      </c>
      <c r="Q133" t="n">
        <v>3</v>
      </c>
      <c r="R133" s="2" t="inlineStr">
        <is>
          <t>Finbräken
Tibast
Blåsippa</t>
        </is>
      </c>
      <c r="S133">
        <f>HYPERLINK("https://klasma.github.io/Logging_2309/artfynd/A 54494-2023 artfynd.xlsx", "A 54494-2023")</f>
        <v/>
      </c>
      <c r="T133">
        <f>HYPERLINK("https://klasma.github.io/Logging_2309/kartor/A 54494-2023 karta.png", "A 54494-2023")</f>
        <v/>
      </c>
      <c r="V133">
        <f>HYPERLINK("https://klasma.github.io/Logging_2309/klagomål/A 54494-2023 FSC-klagomål.docx", "A 54494-2023")</f>
        <v/>
      </c>
      <c r="W133">
        <f>HYPERLINK("https://klasma.github.io/Logging_2309/klagomålsmail/A 54494-2023 FSC-klagomål mail.docx", "A 54494-2023")</f>
        <v/>
      </c>
      <c r="X133">
        <f>HYPERLINK("https://klasma.github.io/Logging_2309/tillsyn/A 54494-2023 tillsynsbegäran.docx", "A 54494-2023")</f>
        <v/>
      </c>
      <c r="Y133">
        <f>HYPERLINK("https://klasma.github.io/Logging_2309/tillsynsmail/A 54494-2023 tillsynsbegäran mail.docx", "A 54494-2023")</f>
        <v/>
      </c>
    </row>
    <row r="134" ht="15" customHeight="1">
      <c r="A134" t="inlineStr">
        <is>
          <t>A 44869-2022</t>
        </is>
      </c>
      <c r="B134" s="1" t="n">
        <v>44841</v>
      </c>
      <c r="C134" s="1" t="n">
        <v>45935</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45935</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62731-2023</t>
        </is>
      </c>
      <c r="B136" s="1" t="n">
        <v>45271</v>
      </c>
      <c r="C136" s="1" t="n">
        <v>45935</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38966-2025</t>
        </is>
      </c>
      <c r="B137" s="1" t="n">
        <v>45887.6989699074</v>
      </c>
      <c r="C137" s="1" t="n">
        <v>45935</v>
      </c>
      <c r="D137" t="inlineStr">
        <is>
          <t>JÄMTLANDS LÄN</t>
        </is>
      </c>
      <c r="E137" t="inlineStr">
        <is>
          <t>KROKOM</t>
        </is>
      </c>
      <c r="G137" t="n">
        <v>8.199999999999999</v>
      </c>
      <c r="H137" t="n">
        <v>0</v>
      </c>
      <c r="I137" t="n">
        <v>3</v>
      </c>
      <c r="J137" t="n">
        <v>0</v>
      </c>
      <c r="K137" t="n">
        <v>0</v>
      </c>
      <c r="L137" t="n">
        <v>0</v>
      </c>
      <c r="M137" t="n">
        <v>0</v>
      </c>
      <c r="N137" t="n">
        <v>0</v>
      </c>
      <c r="O137" t="n">
        <v>0</v>
      </c>
      <c r="P137" t="n">
        <v>0</v>
      </c>
      <c r="Q137" t="n">
        <v>3</v>
      </c>
      <c r="R137" s="2" t="inlineStr">
        <is>
          <t>Luddlav
Skinnlav
Stuplav</t>
        </is>
      </c>
      <c r="S137">
        <f>HYPERLINK("https://klasma.github.io/Logging_2309/artfynd/A 38966-2025 artfynd.xlsx", "A 38966-2025")</f>
        <v/>
      </c>
      <c r="T137">
        <f>HYPERLINK("https://klasma.github.io/Logging_2309/kartor/A 38966-2025 karta.png", "A 38966-2025")</f>
        <v/>
      </c>
      <c r="V137">
        <f>HYPERLINK("https://klasma.github.io/Logging_2309/klagomål/A 38966-2025 FSC-klagomål.docx", "A 38966-2025")</f>
        <v/>
      </c>
      <c r="W137">
        <f>HYPERLINK("https://klasma.github.io/Logging_2309/klagomålsmail/A 38966-2025 FSC-klagomål mail.docx", "A 38966-2025")</f>
        <v/>
      </c>
      <c r="X137">
        <f>HYPERLINK("https://klasma.github.io/Logging_2309/tillsyn/A 38966-2025 tillsynsbegäran.docx", "A 38966-2025")</f>
        <v/>
      </c>
      <c r="Y137">
        <f>HYPERLINK("https://klasma.github.io/Logging_2309/tillsynsmail/A 38966-2025 tillsynsbegäran mail.docx", "A 38966-2025")</f>
        <v/>
      </c>
    </row>
    <row r="138" ht="15" customHeight="1">
      <c r="A138" t="inlineStr">
        <is>
          <t>A 50345-2023</t>
        </is>
      </c>
      <c r="B138" s="1" t="n">
        <v>45216</v>
      </c>
      <c r="C138" s="1" t="n">
        <v>45935</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2592-2024</t>
        </is>
      </c>
      <c r="B139" s="1" t="n">
        <v>45313</v>
      </c>
      <c r="C139" s="1" t="n">
        <v>45935</v>
      </c>
      <c r="D139" t="inlineStr">
        <is>
          <t>JÄMTLANDS LÄN</t>
        </is>
      </c>
      <c r="E139" t="inlineStr">
        <is>
          <t>KROKOM</t>
        </is>
      </c>
      <c r="G139" t="n">
        <v>28.5</v>
      </c>
      <c r="H139" t="n">
        <v>2</v>
      </c>
      <c r="I139" t="n">
        <v>0</v>
      </c>
      <c r="J139" t="n">
        <v>2</v>
      </c>
      <c r="K139" t="n">
        <v>1</v>
      </c>
      <c r="L139" t="n">
        <v>0</v>
      </c>
      <c r="M139" t="n">
        <v>0</v>
      </c>
      <c r="N139" t="n">
        <v>0</v>
      </c>
      <c r="O139" t="n">
        <v>3</v>
      </c>
      <c r="P139" t="n">
        <v>1</v>
      </c>
      <c r="Q139" t="n">
        <v>3</v>
      </c>
      <c r="R139" s="2" t="inlineStr">
        <is>
          <t>Doftticka
Granticka
Tretåig hackspett</t>
        </is>
      </c>
      <c r="S139">
        <f>HYPERLINK("https://klasma.github.io/Logging_2309/artfynd/A 2592-2024 artfynd.xlsx", "A 2592-2024")</f>
        <v/>
      </c>
      <c r="T139">
        <f>HYPERLINK("https://klasma.github.io/Logging_2309/kartor/A 2592-2024 karta.png", "A 2592-2024")</f>
        <v/>
      </c>
      <c r="V139">
        <f>HYPERLINK("https://klasma.github.io/Logging_2309/klagomål/A 2592-2024 FSC-klagomål.docx", "A 2592-2024")</f>
        <v/>
      </c>
      <c r="W139">
        <f>HYPERLINK("https://klasma.github.io/Logging_2309/klagomålsmail/A 2592-2024 FSC-klagomål mail.docx", "A 2592-2024")</f>
        <v/>
      </c>
      <c r="X139">
        <f>HYPERLINK("https://klasma.github.io/Logging_2309/tillsyn/A 2592-2024 tillsynsbegäran.docx", "A 2592-2024")</f>
        <v/>
      </c>
      <c r="Y139">
        <f>HYPERLINK("https://klasma.github.io/Logging_2309/tillsynsmail/A 2592-2024 tillsynsbegäran mail.docx", "A 2592-2024")</f>
        <v/>
      </c>
      <c r="Z139">
        <f>HYPERLINK("https://klasma.github.io/Logging_2309/fåglar/A 2592-2024 prioriterade fågelarter.docx", "A 2592-2024")</f>
        <v/>
      </c>
    </row>
    <row r="140" ht="15" customHeight="1">
      <c r="A140" t="inlineStr">
        <is>
          <t>A 50431-2023</t>
        </is>
      </c>
      <c r="B140" s="1" t="n">
        <v>45216.67748842593</v>
      </c>
      <c r="C140" s="1" t="n">
        <v>45935</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34582-2024</t>
        </is>
      </c>
      <c r="B141" s="1" t="n">
        <v>45526</v>
      </c>
      <c r="C141" s="1" t="n">
        <v>45935</v>
      </c>
      <c r="D141" t="inlineStr">
        <is>
          <t>JÄMTLANDS LÄN</t>
        </is>
      </c>
      <c r="E141" t="inlineStr">
        <is>
          <t>KROKOM</t>
        </is>
      </c>
      <c r="G141" t="n">
        <v>8.1</v>
      </c>
      <c r="H141" t="n">
        <v>1</v>
      </c>
      <c r="I141" t="n">
        <v>0</v>
      </c>
      <c r="J141" t="n">
        <v>3</v>
      </c>
      <c r="K141" t="n">
        <v>0</v>
      </c>
      <c r="L141" t="n">
        <v>0</v>
      </c>
      <c r="M141" t="n">
        <v>0</v>
      </c>
      <c r="N141" t="n">
        <v>0</v>
      </c>
      <c r="O141" t="n">
        <v>3</v>
      </c>
      <c r="P141" t="n">
        <v>0</v>
      </c>
      <c r="Q141" t="n">
        <v>3</v>
      </c>
      <c r="R141" s="2" t="inlineStr">
        <is>
          <t>Granticka
Tretåig hackspett
Ullticka</t>
        </is>
      </c>
      <c r="S141">
        <f>HYPERLINK("https://klasma.github.io/Logging_2309/artfynd/A 34582-2024 artfynd.xlsx", "A 34582-2024")</f>
        <v/>
      </c>
      <c r="T141">
        <f>HYPERLINK("https://klasma.github.io/Logging_2309/kartor/A 34582-2024 karta.png", "A 34582-2024")</f>
        <v/>
      </c>
      <c r="V141">
        <f>HYPERLINK("https://klasma.github.io/Logging_2309/klagomål/A 34582-2024 FSC-klagomål.docx", "A 34582-2024")</f>
        <v/>
      </c>
      <c r="W141">
        <f>HYPERLINK("https://klasma.github.io/Logging_2309/klagomålsmail/A 34582-2024 FSC-klagomål mail.docx", "A 34582-2024")</f>
        <v/>
      </c>
      <c r="X141">
        <f>HYPERLINK("https://klasma.github.io/Logging_2309/tillsyn/A 34582-2024 tillsynsbegäran.docx", "A 34582-2024")</f>
        <v/>
      </c>
      <c r="Y141">
        <f>HYPERLINK("https://klasma.github.io/Logging_2309/tillsynsmail/A 34582-2024 tillsynsbegäran mail.docx", "A 34582-2024")</f>
        <v/>
      </c>
      <c r="Z141">
        <f>HYPERLINK("https://klasma.github.io/Logging_2309/fåglar/A 34582-2024 prioriterade fågelarter.docx", "A 34582-2024")</f>
        <v/>
      </c>
    </row>
    <row r="142" ht="15" customHeight="1">
      <c r="A142" t="inlineStr">
        <is>
          <t>A 58896-2024</t>
        </is>
      </c>
      <c r="B142" s="1" t="n">
        <v>45636</v>
      </c>
      <c r="C142" s="1" t="n">
        <v>45935</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32148-2024</t>
        </is>
      </c>
      <c r="B143" s="1" t="n">
        <v>45511.55719907407</v>
      </c>
      <c r="C143" s="1" t="n">
        <v>45935</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30068-2022</t>
        </is>
      </c>
      <c r="B144" s="1" t="n">
        <v>44757</v>
      </c>
      <c r="C144" s="1" t="n">
        <v>45935</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23439-2024</t>
        </is>
      </c>
      <c r="B145" s="1" t="n">
        <v>45453.63133101852</v>
      </c>
      <c r="C145" s="1" t="n">
        <v>45935</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29035-2025</t>
        </is>
      </c>
      <c r="B146" s="1" t="n">
        <v>45821.44299768518</v>
      </c>
      <c r="C146" s="1" t="n">
        <v>45935</v>
      </c>
      <c r="D146" t="inlineStr">
        <is>
          <t>JÄMTLANDS LÄN</t>
        </is>
      </c>
      <c r="E146" t="inlineStr">
        <is>
          <t>KROKOM</t>
        </is>
      </c>
      <c r="G146" t="n">
        <v>45.1</v>
      </c>
      <c r="H146" t="n">
        <v>1</v>
      </c>
      <c r="I146" t="n">
        <v>1</v>
      </c>
      <c r="J146" t="n">
        <v>1</v>
      </c>
      <c r="K146" t="n">
        <v>0</v>
      </c>
      <c r="L146" t="n">
        <v>0</v>
      </c>
      <c r="M146" t="n">
        <v>1</v>
      </c>
      <c r="N146" t="n">
        <v>0</v>
      </c>
      <c r="O146" t="n">
        <v>2</v>
      </c>
      <c r="P146" t="n">
        <v>1</v>
      </c>
      <c r="Q146" t="n">
        <v>3</v>
      </c>
      <c r="R146" s="2" t="inlineStr">
        <is>
          <t>Vedtrådmossa
Lunglav
Ögonpyrola</t>
        </is>
      </c>
      <c r="S146">
        <f>HYPERLINK("https://klasma.github.io/Logging_2309/artfynd/A 29035-2025 artfynd.xlsx", "A 29035-2025")</f>
        <v/>
      </c>
      <c r="T146">
        <f>HYPERLINK("https://klasma.github.io/Logging_2309/kartor/A 29035-2025 karta.png", "A 29035-2025")</f>
        <v/>
      </c>
      <c r="V146">
        <f>HYPERLINK("https://klasma.github.io/Logging_2309/klagomål/A 29035-2025 FSC-klagomål.docx", "A 29035-2025")</f>
        <v/>
      </c>
      <c r="W146">
        <f>HYPERLINK("https://klasma.github.io/Logging_2309/klagomålsmail/A 29035-2025 FSC-klagomål mail.docx", "A 29035-2025")</f>
        <v/>
      </c>
      <c r="X146">
        <f>HYPERLINK("https://klasma.github.io/Logging_2309/tillsyn/A 29035-2025 tillsynsbegäran.docx", "A 29035-2025")</f>
        <v/>
      </c>
      <c r="Y146">
        <f>HYPERLINK("https://klasma.github.io/Logging_2309/tillsynsmail/A 29035-2025 tillsynsbegäran mail.docx", "A 29035-2025")</f>
        <v/>
      </c>
    </row>
    <row r="147" ht="15" customHeight="1">
      <c r="A147" t="inlineStr">
        <is>
          <t>A 11439-2024</t>
        </is>
      </c>
      <c r="B147" s="1" t="n">
        <v>45372</v>
      </c>
      <c r="C147" s="1" t="n">
        <v>45935</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30069-2022</t>
        </is>
      </c>
      <c r="B148" s="1" t="n">
        <v>44757</v>
      </c>
      <c r="C148" s="1" t="n">
        <v>45935</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45935</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45935</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57468-2024</t>
        </is>
      </c>
      <c r="B151" s="1" t="n">
        <v>45630</v>
      </c>
      <c r="C151" s="1" t="n">
        <v>45935</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36009-2025</t>
        </is>
      </c>
      <c r="B152" s="1" t="n">
        <v>45863.58127314815</v>
      </c>
      <c r="C152" s="1" t="n">
        <v>45935</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5278-2025</t>
        </is>
      </c>
      <c r="B153" s="1" t="n">
        <v>45692</v>
      </c>
      <c r="C153" s="1" t="n">
        <v>45935</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45935</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45935</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20981-2021</t>
        </is>
      </c>
      <c r="B156" s="1" t="n">
        <v>44316</v>
      </c>
      <c r="C156" s="1" t="n">
        <v>45935</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45935</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33874-2021</t>
        </is>
      </c>
      <c r="B158" s="1" t="n">
        <v>44378</v>
      </c>
      <c r="C158" s="1" t="n">
        <v>45935</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30060-2022</t>
        </is>
      </c>
      <c r="B159" s="1" t="n">
        <v>44757</v>
      </c>
      <c r="C159" s="1" t="n">
        <v>45935</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67738-2021</t>
        </is>
      </c>
      <c r="B160" s="1" t="n">
        <v>44524</v>
      </c>
      <c r="C160" s="1" t="n">
        <v>45935</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18032-2022</t>
        </is>
      </c>
      <c r="B161" s="1" t="n">
        <v>44683</v>
      </c>
      <c r="C161" s="1" t="n">
        <v>45935</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14589-2021</t>
        </is>
      </c>
      <c r="B162" s="1" t="n">
        <v>44279</v>
      </c>
      <c r="C162" s="1" t="n">
        <v>45935</v>
      </c>
      <c r="D162" t="inlineStr">
        <is>
          <t>JÄMTLANDS LÄN</t>
        </is>
      </c>
      <c r="E162" t="inlineStr">
        <is>
          <t>KROKOM</t>
        </is>
      </c>
      <c r="G162" t="n">
        <v>8.800000000000001</v>
      </c>
      <c r="H162" t="n">
        <v>2</v>
      </c>
      <c r="I162" t="n">
        <v>0</v>
      </c>
      <c r="J162" t="n">
        <v>1</v>
      </c>
      <c r="K162" t="n">
        <v>0</v>
      </c>
      <c r="L162" t="n">
        <v>0</v>
      </c>
      <c r="M162" t="n">
        <v>0</v>
      </c>
      <c r="N162" t="n">
        <v>0</v>
      </c>
      <c r="O162" t="n">
        <v>1</v>
      </c>
      <c r="P162" t="n">
        <v>0</v>
      </c>
      <c r="Q162" t="n">
        <v>2</v>
      </c>
      <c r="R162" s="2" t="inlineStr">
        <is>
          <t>Utter
Fläcknycklar</t>
        </is>
      </c>
      <c r="S162">
        <f>HYPERLINK("https://klasma.github.io/Logging_2309/artfynd/A 14589-2021 artfynd.xlsx", "A 14589-2021")</f>
        <v/>
      </c>
      <c r="T162">
        <f>HYPERLINK("https://klasma.github.io/Logging_2309/kartor/A 14589-2021 karta.png", "A 14589-2021")</f>
        <v/>
      </c>
      <c r="V162">
        <f>HYPERLINK("https://klasma.github.io/Logging_2309/klagomål/A 14589-2021 FSC-klagomål.docx", "A 14589-2021")</f>
        <v/>
      </c>
      <c r="W162">
        <f>HYPERLINK("https://klasma.github.io/Logging_2309/klagomålsmail/A 14589-2021 FSC-klagomål mail.docx", "A 14589-2021")</f>
        <v/>
      </c>
      <c r="X162">
        <f>HYPERLINK("https://klasma.github.io/Logging_2309/tillsyn/A 14589-2021 tillsynsbegäran.docx", "A 14589-2021")</f>
        <v/>
      </c>
      <c r="Y162">
        <f>HYPERLINK("https://klasma.github.io/Logging_2309/tillsynsmail/A 14589-2021 tillsynsbegäran mail.docx", "A 14589-2021")</f>
        <v/>
      </c>
    </row>
    <row r="163" ht="15" customHeight="1">
      <c r="A163" t="inlineStr">
        <is>
          <t>A 37509-2025</t>
        </is>
      </c>
      <c r="B163" s="1" t="n">
        <v>45877.67787037037</v>
      </c>
      <c r="C163" s="1" t="n">
        <v>45935</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52021-2023</t>
        </is>
      </c>
      <c r="B164" s="1" t="n">
        <v>45223</v>
      </c>
      <c r="C164" s="1" t="n">
        <v>45935</v>
      </c>
      <c r="D164" t="inlineStr">
        <is>
          <t>JÄMTLANDS LÄN</t>
        </is>
      </c>
      <c r="E164" t="inlineStr">
        <is>
          <t>KROKOM</t>
        </is>
      </c>
      <c r="F164" t="inlineStr">
        <is>
          <t>Övriga Aktiebolag</t>
        </is>
      </c>
      <c r="G164" t="n">
        <v>1.5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52021-2023 artfynd.xlsx", "A 52021-2023")</f>
        <v/>
      </c>
      <c r="T164">
        <f>HYPERLINK("https://klasma.github.io/Logging_2309/kartor/A 52021-2023 karta.png", "A 52021-2023")</f>
        <v/>
      </c>
      <c r="V164">
        <f>HYPERLINK("https://klasma.github.io/Logging_2309/klagomål/A 52021-2023 FSC-klagomål.docx", "A 52021-2023")</f>
        <v/>
      </c>
      <c r="W164">
        <f>HYPERLINK("https://klasma.github.io/Logging_2309/klagomålsmail/A 52021-2023 FSC-klagomål mail.docx", "A 52021-2023")</f>
        <v/>
      </c>
      <c r="X164">
        <f>HYPERLINK("https://klasma.github.io/Logging_2309/tillsyn/A 52021-2023 tillsynsbegäran.docx", "A 52021-2023")</f>
        <v/>
      </c>
      <c r="Y164">
        <f>HYPERLINK("https://klasma.github.io/Logging_2309/tillsynsmail/A 52021-2023 tillsynsbegäran mail.docx", "A 52021-2023")</f>
        <v/>
      </c>
      <c r="Z164">
        <f>HYPERLINK("https://klasma.github.io/Logging_2309/fåglar/A 52021-2023 prioriterade fågelarter.docx", "A 52021-2023")</f>
        <v/>
      </c>
    </row>
    <row r="165" ht="15" customHeight="1">
      <c r="A165" t="inlineStr">
        <is>
          <t>A 60419-2024</t>
        </is>
      </c>
      <c r="B165" s="1" t="n">
        <v>45643.53393518519</v>
      </c>
      <c r="C165" s="1" t="n">
        <v>45935</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40236-2024</t>
        </is>
      </c>
      <c r="B166" s="1" t="n">
        <v>45554</v>
      </c>
      <c r="C166" s="1" t="n">
        <v>45935</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54189-2022</t>
        </is>
      </c>
      <c r="B167" s="1" t="n">
        <v>44879</v>
      </c>
      <c r="C167" s="1" t="n">
        <v>45935</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11984-2024</t>
        </is>
      </c>
      <c r="B168" s="1" t="n">
        <v>45376</v>
      </c>
      <c r="C168" s="1" t="n">
        <v>45935</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7575-2024</t>
        </is>
      </c>
      <c r="B169" s="1" t="n">
        <v>45348</v>
      </c>
      <c r="C169" s="1" t="n">
        <v>45935</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46828-2025</t>
        </is>
      </c>
      <c r="B170" s="1" t="n">
        <v>45927.34478009259</v>
      </c>
      <c r="C170" s="1" t="n">
        <v>45935</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62125-2024</t>
        </is>
      </c>
      <c r="B171" s="1" t="n">
        <v>45656.59703703703</v>
      </c>
      <c r="C171" s="1" t="n">
        <v>45935</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1698-2021</t>
        </is>
      </c>
      <c r="B172" s="1" t="n">
        <v>44209</v>
      </c>
      <c r="C172" s="1" t="n">
        <v>45935</v>
      </c>
      <c r="D172" t="inlineStr">
        <is>
          <t>JÄMTLANDS LÄN</t>
        </is>
      </c>
      <c r="E172" t="inlineStr">
        <is>
          <t>KROKOM</t>
        </is>
      </c>
      <c r="G172" t="n">
        <v>21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1698-2021 artfynd.xlsx", "A 1698-2021")</f>
        <v/>
      </c>
      <c r="T172">
        <f>HYPERLINK("https://klasma.github.io/Logging_2309/kartor/A 1698-2021 karta.png", "A 1698-2021")</f>
        <v/>
      </c>
      <c r="V172">
        <f>HYPERLINK("https://klasma.github.io/Logging_2309/klagomål/A 1698-2021 FSC-klagomål.docx", "A 1698-2021")</f>
        <v/>
      </c>
      <c r="W172">
        <f>HYPERLINK("https://klasma.github.io/Logging_2309/klagomålsmail/A 1698-2021 FSC-klagomål mail.docx", "A 1698-2021")</f>
        <v/>
      </c>
      <c r="X172">
        <f>HYPERLINK("https://klasma.github.io/Logging_2309/tillsyn/A 1698-2021 tillsynsbegäran.docx", "A 1698-2021")</f>
        <v/>
      </c>
      <c r="Y172">
        <f>HYPERLINK("https://klasma.github.io/Logging_2309/tillsynsmail/A 1698-2021 tillsynsbegäran mail.docx", "A 1698-2021")</f>
        <v/>
      </c>
      <c r="Z172">
        <f>HYPERLINK("https://klasma.github.io/Logging_2309/fåglar/A 1698-2021 prioriterade fågelarter.docx", "A 1698-2021")</f>
        <v/>
      </c>
    </row>
    <row r="173" ht="15" customHeight="1">
      <c r="A173" t="inlineStr">
        <is>
          <t>A 71571-2021</t>
        </is>
      </c>
      <c r="B173" s="1" t="n">
        <v>44540</v>
      </c>
      <c r="C173" s="1" t="n">
        <v>45935</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49386-2024</t>
        </is>
      </c>
      <c r="B174" s="1" t="n">
        <v>45595</v>
      </c>
      <c r="C174" s="1" t="n">
        <v>45935</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61692-2024</t>
        </is>
      </c>
      <c r="B175" s="1" t="n">
        <v>45647</v>
      </c>
      <c r="C175" s="1" t="n">
        <v>45935</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35891-2025</t>
        </is>
      </c>
      <c r="B176" s="1" t="n">
        <v>45862</v>
      </c>
      <c r="C176" s="1" t="n">
        <v>45935</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23730-2025</t>
        </is>
      </c>
      <c r="B177" s="1" t="n">
        <v>45793.4189699074</v>
      </c>
      <c r="C177" s="1" t="n">
        <v>45935</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25952-2025</t>
        </is>
      </c>
      <c r="B178" s="1" t="n">
        <v>45804.60005787037</v>
      </c>
      <c r="C178" s="1" t="n">
        <v>45935</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62453-2023</t>
        </is>
      </c>
      <c r="B179" s="1" t="n">
        <v>45268</v>
      </c>
      <c r="C179" s="1" t="n">
        <v>45935</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40508-2025</t>
        </is>
      </c>
      <c r="B180" s="1" t="n">
        <v>45896.34465277778</v>
      </c>
      <c r="C180" s="1" t="n">
        <v>45935</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36011-2025</t>
        </is>
      </c>
      <c r="B181" s="1" t="n">
        <v>45863.59111111111</v>
      </c>
      <c r="C181" s="1" t="n">
        <v>45935</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36445-2025</t>
        </is>
      </c>
      <c r="B182" s="1" t="n">
        <v>45869</v>
      </c>
      <c r="C182" s="1" t="n">
        <v>45935</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61054-2020</t>
        </is>
      </c>
      <c r="B183" s="1" t="n">
        <v>44154</v>
      </c>
      <c r="C183" s="1" t="n">
        <v>45935</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45935</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45935</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45935</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45935</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45935</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45935</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25041-2022</t>
        </is>
      </c>
      <c r="B190" s="1" t="n">
        <v>44728</v>
      </c>
      <c r="C190" s="1" t="n">
        <v>45935</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33347-2021</t>
        </is>
      </c>
      <c r="B191" s="1" t="n">
        <v>44377</v>
      </c>
      <c r="C191" s="1" t="n">
        <v>45935</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1112-2021</t>
        </is>
      </c>
      <c r="B192" s="1" t="n">
        <v>44207</v>
      </c>
      <c r="C192" s="1" t="n">
        <v>45935</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32756-2023</t>
        </is>
      </c>
      <c r="B193" s="1" t="n">
        <v>45123</v>
      </c>
      <c r="C193" s="1" t="n">
        <v>45935</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45935</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45935</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4348-2025</t>
        </is>
      </c>
      <c r="B196" s="1" t="n">
        <v>45686.27208333334</v>
      </c>
      <c r="C196" s="1" t="n">
        <v>45935</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4348-2025 artfynd.xlsx", "A 4348-2025")</f>
        <v/>
      </c>
      <c r="T196">
        <f>HYPERLINK("https://klasma.github.io/Logging_2309/kartor/A 4348-2025 karta.png", "A 4348-2025")</f>
        <v/>
      </c>
      <c r="V196">
        <f>HYPERLINK("https://klasma.github.io/Logging_2309/klagomål/A 4348-2025 FSC-klagomål.docx", "A 4348-2025")</f>
        <v/>
      </c>
      <c r="W196">
        <f>HYPERLINK("https://klasma.github.io/Logging_2309/klagomålsmail/A 4348-2025 FSC-klagomål mail.docx", "A 4348-2025")</f>
        <v/>
      </c>
      <c r="X196">
        <f>HYPERLINK("https://klasma.github.io/Logging_2309/tillsyn/A 4348-2025 tillsynsbegäran.docx", "A 4348-2025")</f>
        <v/>
      </c>
      <c r="Y196">
        <f>HYPERLINK("https://klasma.github.io/Logging_2309/tillsynsmail/A 4348-2025 tillsynsbegäran mail.docx", "A 4348-2025")</f>
        <v/>
      </c>
    </row>
    <row r="197" ht="15" customHeight="1">
      <c r="A197" t="inlineStr">
        <is>
          <t>A 71574-2021</t>
        </is>
      </c>
      <c r="B197" s="1" t="n">
        <v>44540</v>
      </c>
      <c r="C197" s="1" t="n">
        <v>45935</v>
      </c>
      <c r="D197" t="inlineStr">
        <is>
          <t>JÄMTLANDS LÄN</t>
        </is>
      </c>
      <c r="E197" t="inlineStr">
        <is>
          <t>KROKOM</t>
        </is>
      </c>
      <c r="G197" t="n">
        <v>1.1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71574-2021 artfynd.xlsx", "A 71574-2021")</f>
        <v/>
      </c>
      <c r="T197">
        <f>HYPERLINK("https://klasma.github.io/Logging_2309/kartor/A 71574-2021 karta.png", "A 71574-2021")</f>
        <v/>
      </c>
      <c r="V197">
        <f>HYPERLINK("https://klasma.github.io/Logging_2309/klagomål/A 71574-2021 FSC-klagomål.docx", "A 71574-2021")</f>
        <v/>
      </c>
      <c r="W197">
        <f>HYPERLINK("https://klasma.github.io/Logging_2309/klagomålsmail/A 71574-2021 FSC-klagomål mail.docx", "A 71574-2021")</f>
        <v/>
      </c>
      <c r="X197">
        <f>HYPERLINK("https://klasma.github.io/Logging_2309/tillsyn/A 71574-2021 tillsynsbegäran.docx", "A 71574-2021")</f>
        <v/>
      </c>
      <c r="Y197">
        <f>HYPERLINK("https://klasma.github.io/Logging_2309/tillsynsmail/A 71574-2021 tillsynsbegäran mail.docx", "A 71574-2021")</f>
        <v/>
      </c>
    </row>
    <row r="198" ht="15" customHeight="1">
      <c r="A198" t="inlineStr">
        <is>
          <t>A 52473-2024</t>
        </is>
      </c>
      <c r="B198" s="1" t="n">
        <v>45609</v>
      </c>
      <c r="C198" s="1" t="n">
        <v>45935</v>
      </c>
      <c r="D198" t="inlineStr">
        <is>
          <t>JÄMTLANDS LÄN</t>
        </is>
      </c>
      <c r="E198" t="inlineStr">
        <is>
          <t>KROKOM</t>
        </is>
      </c>
      <c r="G198" t="n">
        <v>38.5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52473-2024 artfynd.xlsx", "A 52473-2024")</f>
        <v/>
      </c>
      <c r="T198">
        <f>HYPERLINK("https://klasma.github.io/Logging_2309/kartor/A 52473-2024 karta.png", "A 52473-2024")</f>
        <v/>
      </c>
      <c r="V198">
        <f>HYPERLINK("https://klasma.github.io/Logging_2309/klagomål/A 52473-2024 FSC-klagomål.docx", "A 52473-2024")</f>
        <v/>
      </c>
      <c r="W198">
        <f>HYPERLINK("https://klasma.github.io/Logging_2309/klagomålsmail/A 52473-2024 FSC-klagomål mail.docx", "A 52473-2024")</f>
        <v/>
      </c>
      <c r="X198">
        <f>HYPERLINK("https://klasma.github.io/Logging_2309/tillsyn/A 52473-2024 tillsynsbegäran.docx", "A 52473-2024")</f>
        <v/>
      </c>
      <c r="Y198">
        <f>HYPERLINK("https://klasma.github.io/Logging_2309/tillsynsmail/A 52473-2024 tillsynsbegäran mail.docx", "A 52473-2024")</f>
        <v/>
      </c>
      <c r="Z198">
        <f>HYPERLINK("https://klasma.github.io/Logging_2309/fåglar/A 52473-2024 prioriterade fågelarter.docx", "A 52473-2024")</f>
        <v/>
      </c>
    </row>
    <row r="199" ht="15" customHeight="1">
      <c r="A199" t="inlineStr">
        <is>
          <t>A 26231-2024</t>
        </is>
      </c>
      <c r="B199" s="1" t="n">
        <v>45467</v>
      </c>
      <c r="C199" s="1" t="n">
        <v>45935</v>
      </c>
      <c r="D199" t="inlineStr">
        <is>
          <t>JÄMTLANDS LÄN</t>
        </is>
      </c>
      <c r="E199" t="inlineStr">
        <is>
          <t>KROKOM</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26231-2024 artfynd.xlsx", "A 26231-2024")</f>
        <v/>
      </c>
      <c r="T199">
        <f>HYPERLINK("https://klasma.github.io/Logging_2309/kartor/A 26231-2024 karta.png", "A 26231-2024")</f>
        <v/>
      </c>
      <c r="V199">
        <f>HYPERLINK("https://klasma.github.io/Logging_2309/klagomål/A 26231-2024 FSC-klagomål.docx", "A 26231-2024")</f>
        <v/>
      </c>
      <c r="W199">
        <f>HYPERLINK("https://klasma.github.io/Logging_2309/klagomålsmail/A 26231-2024 FSC-klagomål mail.docx", "A 26231-2024")</f>
        <v/>
      </c>
      <c r="X199">
        <f>HYPERLINK("https://klasma.github.io/Logging_2309/tillsyn/A 26231-2024 tillsynsbegäran.docx", "A 26231-2024")</f>
        <v/>
      </c>
      <c r="Y199">
        <f>HYPERLINK("https://klasma.github.io/Logging_2309/tillsynsmail/A 26231-2024 tillsynsbegäran mail.docx", "A 26231-2024")</f>
        <v/>
      </c>
      <c r="Z199">
        <f>HYPERLINK("https://klasma.github.io/Logging_2309/fåglar/A 26231-2024 prioriterade fågelarter.docx", "A 26231-2024")</f>
        <v/>
      </c>
    </row>
    <row r="200" ht="15" customHeight="1">
      <c r="A200" t="inlineStr">
        <is>
          <t>A 36639-2023</t>
        </is>
      </c>
      <c r="B200" s="1" t="n">
        <v>45153</v>
      </c>
      <c r="C200" s="1" t="n">
        <v>45935</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7005-2022</t>
        </is>
      </c>
      <c r="B201" s="1" t="n">
        <v>44603</v>
      </c>
      <c r="C201" s="1" t="n">
        <v>45935</v>
      </c>
      <c r="D201" t="inlineStr">
        <is>
          <t>JÄMTLANDS LÄN</t>
        </is>
      </c>
      <c r="E201" t="inlineStr">
        <is>
          <t>KROKOM</t>
        </is>
      </c>
      <c r="G201" t="n">
        <v>46</v>
      </c>
      <c r="H201" t="n">
        <v>0</v>
      </c>
      <c r="I201" t="n">
        <v>1</v>
      </c>
      <c r="J201" t="n">
        <v>0</v>
      </c>
      <c r="K201" t="n">
        <v>0</v>
      </c>
      <c r="L201" t="n">
        <v>0</v>
      </c>
      <c r="M201" t="n">
        <v>0</v>
      </c>
      <c r="N201" t="n">
        <v>0</v>
      </c>
      <c r="O201" t="n">
        <v>0</v>
      </c>
      <c r="P201" t="n">
        <v>0</v>
      </c>
      <c r="Q201" t="n">
        <v>1</v>
      </c>
      <c r="R201" s="2" t="inlineStr">
        <is>
          <t>Stuplav</t>
        </is>
      </c>
      <c r="S201">
        <f>HYPERLINK("https://klasma.github.io/Logging_2309/artfynd/A 7005-2022 artfynd.xlsx", "A 7005-2022")</f>
        <v/>
      </c>
      <c r="T201">
        <f>HYPERLINK("https://klasma.github.io/Logging_2309/kartor/A 7005-2022 karta.png", "A 7005-2022")</f>
        <v/>
      </c>
      <c r="V201">
        <f>HYPERLINK("https://klasma.github.io/Logging_2309/klagomål/A 7005-2022 FSC-klagomål.docx", "A 7005-2022")</f>
        <v/>
      </c>
      <c r="W201">
        <f>HYPERLINK("https://klasma.github.io/Logging_2309/klagomålsmail/A 7005-2022 FSC-klagomål mail.docx", "A 7005-2022")</f>
        <v/>
      </c>
      <c r="X201">
        <f>HYPERLINK("https://klasma.github.io/Logging_2309/tillsyn/A 7005-2022 tillsynsbegäran.docx", "A 7005-2022")</f>
        <v/>
      </c>
      <c r="Y201">
        <f>HYPERLINK("https://klasma.github.io/Logging_2309/tillsynsmail/A 7005-2022 tillsynsbegäran mail.docx", "A 7005-2022")</f>
        <v/>
      </c>
    </row>
    <row r="202" ht="15" customHeight="1">
      <c r="A202" t="inlineStr">
        <is>
          <t>A 11413-2022</t>
        </is>
      </c>
      <c r="B202" s="1" t="n">
        <v>44630</v>
      </c>
      <c r="C202" s="1" t="n">
        <v>45935</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5919-2025</t>
        </is>
      </c>
      <c r="B203" s="1" t="n">
        <v>45695.42197916667</v>
      </c>
      <c r="C203" s="1" t="n">
        <v>45935</v>
      </c>
      <c r="D203" t="inlineStr">
        <is>
          <t>JÄMTLANDS LÄN</t>
        </is>
      </c>
      <c r="E203" t="inlineStr">
        <is>
          <t>KROKOM</t>
        </is>
      </c>
      <c r="G203" t="n">
        <v>2.7</v>
      </c>
      <c r="H203" t="n">
        <v>0</v>
      </c>
      <c r="I203" t="n">
        <v>0</v>
      </c>
      <c r="J203" t="n">
        <v>1</v>
      </c>
      <c r="K203" t="n">
        <v>0</v>
      </c>
      <c r="L203" t="n">
        <v>0</v>
      </c>
      <c r="M203" t="n">
        <v>0</v>
      </c>
      <c r="N203" t="n">
        <v>0</v>
      </c>
      <c r="O203" t="n">
        <v>1</v>
      </c>
      <c r="P203" t="n">
        <v>0</v>
      </c>
      <c r="Q203" t="n">
        <v>1</v>
      </c>
      <c r="R203" s="2" t="inlineStr">
        <is>
          <t>Skogshare</t>
        </is>
      </c>
      <c r="S203">
        <f>HYPERLINK("https://klasma.github.io/Logging_2309/artfynd/A 5919-2025 artfynd.xlsx", "A 5919-2025")</f>
        <v/>
      </c>
      <c r="T203">
        <f>HYPERLINK("https://klasma.github.io/Logging_2309/kartor/A 5919-2025 karta.png", "A 5919-2025")</f>
        <v/>
      </c>
      <c r="V203">
        <f>HYPERLINK("https://klasma.github.io/Logging_2309/klagomål/A 5919-2025 FSC-klagomål.docx", "A 5919-2025")</f>
        <v/>
      </c>
      <c r="W203">
        <f>HYPERLINK("https://klasma.github.io/Logging_2309/klagomålsmail/A 5919-2025 FSC-klagomål mail.docx", "A 5919-2025")</f>
        <v/>
      </c>
      <c r="X203">
        <f>HYPERLINK("https://klasma.github.io/Logging_2309/tillsyn/A 5919-2025 tillsynsbegäran.docx", "A 5919-2025")</f>
        <v/>
      </c>
      <c r="Y203">
        <f>HYPERLINK("https://klasma.github.io/Logging_2309/tillsynsmail/A 5919-2025 tillsynsbegäran mail.docx", "A 5919-2025")</f>
        <v/>
      </c>
    </row>
    <row r="204" ht="15" customHeight="1">
      <c r="A204" t="inlineStr">
        <is>
          <t>A 38253-2025</t>
        </is>
      </c>
      <c r="B204" s="1" t="n">
        <v>45883.37883101852</v>
      </c>
      <c r="C204" s="1" t="n">
        <v>45935</v>
      </c>
      <c r="D204" t="inlineStr">
        <is>
          <t>JÄMTLANDS LÄN</t>
        </is>
      </c>
      <c r="E204" t="inlineStr">
        <is>
          <t>KROKOM</t>
        </is>
      </c>
      <c r="G204" t="n">
        <v>5.8</v>
      </c>
      <c r="H204" t="n">
        <v>1</v>
      </c>
      <c r="I204" t="n">
        <v>0</v>
      </c>
      <c r="J204" t="n">
        <v>0</v>
      </c>
      <c r="K204" t="n">
        <v>1</v>
      </c>
      <c r="L204" t="n">
        <v>0</v>
      </c>
      <c r="M204" t="n">
        <v>0</v>
      </c>
      <c r="N204" t="n">
        <v>0</v>
      </c>
      <c r="O204" t="n">
        <v>1</v>
      </c>
      <c r="P204" t="n">
        <v>1</v>
      </c>
      <c r="Q204" t="n">
        <v>1</v>
      </c>
      <c r="R204" s="2" t="inlineStr">
        <is>
          <t>Knärot</t>
        </is>
      </c>
      <c r="S204">
        <f>HYPERLINK("https://klasma.github.io/Logging_2309/artfynd/A 38253-2025 artfynd.xlsx", "A 38253-2025")</f>
        <v/>
      </c>
      <c r="T204">
        <f>HYPERLINK("https://klasma.github.io/Logging_2309/kartor/A 38253-2025 karta.png", "A 38253-2025")</f>
        <v/>
      </c>
      <c r="U204">
        <f>HYPERLINK("https://klasma.github.io/Logging_2309/knärot/A 38253-2025 karta knärot.png", "A 38253-2025")</f>
        <v/>
      </c>
      <c r="V204">
        <f>HYPERLINK("https://klasma.github.io/Logging_2309/klagomål/A 38253-2025 FSC-klagomål.docx", "A 38253-2025")</f>
        <v/>
      </c>
      <c r="W204">
        <f>HYPERLINK("https://klasma.github.io/Logging_2309/klagomålsmail/A 38253-2025 FSC-klagomål mail.docx", "A 38253-2025")</f>
        <v/>
      </c>
      <c r="X204">
        <f>HYPERLINK("https://klasma.github.io/Logging_2309/tillsyn/A 38253-2025 tillsynsbegäran.docx", "A 38253-2025")</f>
        <v/>
      </c>
      <c r="Y204">
        <f>HYPERLINK("https://klasma.github.io/Logging_2309/tillsynsmail/A 38253-2025 tillsynsbegäran mail.docx", "A 38253-2025")</f>
        <v/>
      </c>
    </row>
    <row r="205" ht="15" customHeight="1">
      <c r="A205" t="inlineStr">
        <is>
          <t>A 27753-2023</t>
        </is>
      </c>
      <c r="B205" s="1" t="n">
        <v>45098</v>
      </c>
      <c r="C205" s="1" t="n">
        <v>45935</v>
      </c>
      <c r="D205" t="inlineStr">
        <is>
          <t>JÄMTLANDS LÄN</t>
        </is>
      </c>
      <c r="E205" t="inlineStr">
        <is>
          <t>KROKOM</t>
        </is>
      </c>
      <c r="F205" t="inlineStr">
        <is>
          <t>Övriga Aktiebolag</t>
        </is>
      </c>
      <c r="G205" t="n">
        <v>20.9</v>
      </c>
      <c r="H205" t="n">
        <v>0</v>
      </c>
      <c r="I205" t="n">
        <v>0</v>
      </c>
      <c r="J205" t="n">
        <v>1</v>
      </c>
      <c r="K205" t="n">
        <v>0</v>
      </c>
      <c r="L205" t="n">
        <v>0</v>
      </c>
      <c r="M205" t="n">
        <v>0</v>
      </c>
      <c r="N205" t="n">
        <v>0</v>
      </c>
      <c r="O205" t="n">
        <v>1</v>
      </c>
      <c r="P205" t="n">
        <v>0</v>
      </c>
      <c r="Q205" t="n">
        <v>1</v>
      </c>
      <c r="R205" s="2" t="inlineStr">
        <is>
          <t>Mörk kolflarnlav</t>
        </is>
      </c>
      <c r="S205">
        <f>HYPERLINK("https://klasma.github.io/Logging_2309/artfynd/A 27753-2023 artfynd.xlsx", "A 27753-2023")</f>
        <v/>
      </c>
      <c r="T205">
        <f>HYPERLINK("https://klasma.github.io/Logging_2309/kartor/A 27753-2023 karta.png", "A 27753-2023")</f>
        <v/>
      </c>
      <c r="V205">
        <f>HYPERLINK("https://klasma.github.io/Logging_2309/klagomål/A 27753-2023 FSC-klagomål.docx", "A 27753-2023")</f>
        <v/>
      </c>
      <c r="W205">
        <f>HYPERLINK("https://klasma.github.io/Logging_2309/klagomålsmail/A 27753-2023 FSC-klagomål mail.docx", "A 27753-2023")</f>
        <v/>
      </c>
      <c r="X205">
        <f>HYPERLINK("https://klasma.github.io/Logging_2309/tillsyn/A 27753-2023 tillsynsbegäran.docx", "A 27753-2023")</f>
        <v/>
      </c>
      <c r="Y205">
        <f>HYPERLINK("https://klasma.github.io/Logging_2309/tillsynsmail/A 27753-2023 tillsynsbegäran mail.docx", "A 27753-2023")</f>
        <v/>
      </c>
    </row>
    <row r="206" ht="15" customHeight="1">
      <c r="A206" t="inlineStr">
        <is>
          <t>A 6705-2025</t>
        </is>
      </c>
      <c r="B206" s="1" t="n">
        <v>45700</v>
      </c>
      <c r="C206" s="1" t="n">
        <v>45935</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814-2022</t>
        </is>
      </c>
      <c r="B207" s="1" t="n">
        <v>44568</v>
      </c>
      <c r="C207" s="1" t="n">
        <v>45935</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13485-2025</t>
        </is>
      </c>
      <c r="B208" s="1" t="n">
        <v>45736.42743055556</v>
      </c>
      <c r="C208" s="1" t="n">
        <v>45935</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7208-2025</t>
        </is>
      </c>
      <c r="B209" s="1" t="n">
        <v>45702.47149305556</v>
      </c>
      <c r="C209" s="1" t="n">
        <v>45935</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16125-2025</t>
        </is>
      </c>
      <c r="B210" s="1" t="n">
        <v>45750.42127314815</v>
      </c>
      <c r="C210" s="1" t="n">
        <v>45935</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806-2022</t>
        </is>
      </c>
      <c r="B211" s="1" t="n">
        <v>44568</v>
      </c>
      <c r="C211" s="1" t="n">
        <v>45935</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42258-2023</t>
        </is>
      </c>
      <c r="B212" s="1" t="n">
        <v>45180</v>
      </c>
      <c r="C212" s="1" t="n">
        <v>45935</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49387-2024</t>
        </is>
      </c>
      <c r="B213" s="1" t="n">
        <v>45595</v>
      </c>
      <c r="C213" s="1" t="n">
        <v>45935</v>
      </c>
      <c r="D213" t="inlineStr">
        <is>
          <t>JÄMTLANDS LÄN</t>
        </is>
      </c>
      <c r="E213" t="inlineStr">
        <is>
          <t>KROKOM</t>
        </is>
      </c>
      <c r="G213" t="n">
        <v>0.8</v>
      </c>
      <c r="H213" t="n">
        <v>0</v>
      </c>
      <c r="I213" t="n">
        <v>0</v>
      </c>
      <c r="J213" t="n">
        <v>1</v>
      </c>
      <c r="K213" t="n">
        <v>0</v>
      </c>
      <c r="L213" t="n">
        <v>0</v>
      </c>
      <c r="M213" t="n">
        <v>0</v>
      </c>
      <c r="N213" t="n">
        <v>0</v>
      </c>
      <c r="O213" t="n">
        <v>1</v>
      </c>
      <c r="P213" t="n">
        <v>0</v>
      </c>
      <c r="Q213" t="n">
        <v>1</v>
      </c>
      <c r="R213" s="2" t="inlineStr">
        <is>
          <t>Garnlav</t>
        </is>
      </c>
      <c r="S213">
        <f>HYPERLINK("https://klasma.github.io/Logging_2309/artfynd/A 49387-2024 artfynd.xlsx", "A 49387-2024")</f>
        <v/>
      </c>
      <c r="T213">
        <f>HYPERLINK("https://klasma.github.io/Logging_2309/kartor/A 49387-2024 karta.png", "A 49387-2024")</f>
        <v/>
      </c>
      <c r="V213">
        <f>HYPERLINK("https://klasma.github.io/Logging_2309/klagomål/A 49387-2024 FSC-klagomål.docx", "A 49387-2024")</f>
        <v/>
      </c>
      <c r="W213">
        <f>HYPERLINK("https://klasma.github.io/Logging_2309/klagomålsmail/A 49387-2024 FSC-klagomål mail.docx", "A 49387-2024")</f>
        <v/>
      </c>
      <c r="X213">
        <f>HYPERLINK("https://klasma.github.io/Logging_2309/tillsyn/A 49387-2024 tillsynsbegäran.docx", "A 49387-2024")</f>
        <v/>
      </c>
      <c r="Y213">
        <f>HYPERLINK("https://klasma.github.io/Logging_2309/tillsynsmail/A 49387-2024 tillsynsbegäran mail.docx", "A 49387-2024")</f>
        <v/>
      </c>
    </row>
    <row r="214" ht="15" customHeight="1">
      <c r="A214" t="inlineStr">
        <is>
          <t>A 49385-2024</t>
        </is>
      </c>
      <c r="B214" s="1" t="n">
        <v>45595</v>
      </c>
      <c r="C214" s="1" t="n">
        <v>45935</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49385-2024 artfynd.xlsx", "A 49385-2024")</f>
        <v/>
      </c>
      <c r="T214">
        <f>HYPERLINK("https://klasma.github.io/Logging_2309/kartor/A 49385-2024 karta.png", "A 49385-2024")</f>
        <v/>
      </c>
      <c r="V214">
        <f>HYPERLINK("https://klasma.github.io/Logging_2309/klagomål/A 49385-2024 FSC-klagomål.docx", "A 49385-2024")</f>
        <v/>
      </c>
      <c r="W214">
        <f>HYPERLINK("https://klasma.github.io/Logging_2309/klagomålsmail/A 49385-2024 FSC-klagomål mail.docx", "A 49385-2024")</f>
        <v/>
      </c>
      <c r="X214">
        <f>HYPERLINK("https://klasma.github.io/Logging_2309/tillsyn/A 49385-2024 tillsynsbegäran.docx", "A 49385-2024")</f>
        <v/>
      </c>
      <c r="Y214">
        <f>HYPERLINK("https://klasma.github.io/Logging_2309/tillsynsmail/A 49385-2024 tillsynsbegäran mail.docx", "A 49385-2024")</f>
        <v/>
      </c>
      <c r="Z214">
        <f>HYPERLINK("https://klasma.github.io/Logging_2309/fåglar/A 49385-2024 prioriterade fågelarter.docx", "A 49385-2024")</f>
        <v/>
      </c>
    </row>
    <row r="215" ht="15" customHeight="1">
      <c r="A215" t="inlineStr">
        <is>
          <t>A 55387-2024</t>
        </is>
      </c>
      <c r="B215" s="1" t="n">
        <v>45622</v>
      </c>
      <c r="C215" s="1" t="n">
        <v>45935</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16426-2024</t>
        </is>
      </c>
      <c r="B216" s="1" t="n">
        <v>45407</v>
      </c>
      <c r="C216" s="1" t="n">
        <v>45935</v>
      </c>
      <c r="D216" t="inlineStr">
        <is>
          <t>JÄMTLANDS LÄN</t>
        </is>
      </c>
      <c r="E216" t="inlineStr">
        <is>
          <t>KROKOM</t>
        </is>
      </c>
      <c r="G216" t="n">
        <v>1.3</v>
      </c>
      <c r="H216" t="n">
        <v>0</v>
      </c>
      <c r="I216" t="n">
        <v>0</v>
      </c>
      <c r="J216" t="n">
        <v>1</v>
      </c>
      <c r="K216" t="n">
        <v>0</v>
      </c>
      <c r="L216" t="n">
        <v>0</v>
      </c>
      <c r="M216" t="n">
        <v>0</v>
      </c>
      <c r="N216" t="n">
        <v>0</v>
      </c>
      <c r="O216" t="n">
        <v>1</v>
      </c>
      <c r="P216" t="n">
        <v>0</v>
      </c>
      <c r="Q216" t="n">
        <v>1</v>
      </c>
      <c r="R216" s="2" t="inlineStr">
        <is>
          <t>Slåtterfibbla</t>
        </is>
      </c>
      <c r="S216">
        <f>HYPERLINK("https://klasma.github.io/Logging_2309/artfynd/A 16426-2024 artfynd.xlsx", "A 16426-2024")</f>
        <v/>
      </c>
      <c r="T216">
        <f>HYPERLINK("https://klasma.github.io/Logging_2309/kartor/A 16426-2024 karta.png", "A 16426-2024")</f>
        <v/>
      </c>
      <c r="V216">
        <f>HYPERLINK("https://klasma.github.io/Logging_2309/klagomål/A 16426-2024 FSC-klagomål.docx", "A 16426-2024")</f>
        <v/>
      </c>
      <c r="W216">
        <f>HYPERLINK("https://klasma.github.io/Logging_2309/klagomålsmail/A 16426-2024 FSC-klagomål mail.docx", "A 16426-2024")</f>
        <v/>
      </c>
      <c r="X216">
        <f>HYPERLINK("https://klasma.github.io/Logging_2309/tillsyn/A 16426-2024 tillsynsbegäran.docx", "A 16426-2024")</f>
        <v/>
      </c>
      <c r="Y216">
        <f>HYPERLINK("https://klasma.github.io/Logging_2309/tillsynsmail/A 16426-2024 tillsynsbegäran mail.docx", "A 16426-2024")</f>
        <v/>
      </c>
    </row>
    <row r="217" ht="15" customHeight="1">
      <c r="A217" t="inlineStr">
        <is>
          <t>A 19282-2021</t>
        </is>
      </c>
      <c r="B217" s="1" t="n">
        <v>44308</v>
      </c>
      <c r="C217" s="1" t="n">
        <v>45935</v>
      </c>
      <c r="D217" t="inlineStr">
        <is>
          <t>JÄMTLANDS LÄN</t>
        </is>
      </c>
      <c r="E217" t="inlineStr">
        <is>
          <t>KROKOM</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HYPERLINK("https://klasma.github.io/Logging_2309/artfynd/A 19282-2021 artfynd.xlsx", "A 19282-2021")</f>
        <v/>
      </c>
      <c r="T217">
        <f>HYPERLINK("https://klasma.github.io/Logging_2309/kartor/A 19282-2021 karta.png", "A 19282-2021")</f>
        <v/>
      </c>
      <c r="V217">
        <f>HYPERLINK("https://klasma.github.io/Logging_2309/klagomål/A 19282-2021 FSC-klagomål.docx", "A 19282-2021")</f>
        <v/>
      </c>
      <c r="W217">
        <f>HYPERLINK("https://klasma.github.io/Logging_2309/klagomålsmail/A 19282-2021 FSC-klagomål mail.docx", "A 19282-2021")</f>
        <v/>
      </c>
      <c r="X217">
        <f>HYPERLINK("https://klasma.github.io/Logging_2309/tillsyn/A 19282-2021 tillsynsbegäran.docx", "A 19282-2021")</f>
        <v/>
      </c>
      <c r="Y217">
        <f>HYPERLINK("https://klasma.github.io/Logging_2309/tillsynsmail/A 19282-2021 tillsynsbegäran mail.docx", "A 19282-2021")</f>
        <v/>
      </c>
    </row>
    <row r="218" ht="15" customHeight="1">
      <c r="A218" t="inlineStr">
        <is>
          <t>A 56628-2023</t>
        </is>
      </c>
      <c r="B218" s="1" t="n">
        <v>45243</v>
      </c>
      <c r="C218" s="1" t="n">
        <v>45935</v>
      </c>
      <c r="D218" t="inlineStr">
        <is>
          <t>JÄMTLANDS LÄN</t>
        </is>
      </c>
      <c r="E218" t="inlineStr">
        <is>
          <t>KROKOM</t>
        </is>
      </c>
      <c r="G218" t="n">
        <v>17.8</v>
      </c>
      <c r="H218" t="n">
        <v>1</v>
      </c>
      <c r="I218" t="n">
        <v>0</v>
      </c>
      <c r="J218" t="n">
        <v>0</v>
      </c>
      <c r="K218" t="n">
        <v>0</v>
      </c>
      <c r="L218" t="n">
        <v>0</v>
      </c>
      <c r="M218" t="n">
        <v>0</v>
      </c>
      <c r="N218" t="n">
        <v>0</v>
      </c>
      <c r="O218" t="n">
        <v>0</v>
      </c>
      <c r="P218" t="n">
        <v>0</v>
      </c>
      <c r="Q218" t="n">
        <v>1</v>
      </c>
      <c r="R218" s="2" t="inlineStr">
        <is>
          <t>Blåsippa</t>
        </is>
      </c>
      <c r="S218">
        <f>HYPERLINK("https://klasma.github.io/Logging_2309/artfynd/A 56628-2023 artfynd.xlsx", "A 56628-2023")</f>
        <v/>
      </c>
      <c r="T218">
        <f>HYPERLINK("https://klasma.github.io/Logging_2309/kartor/A 56628-2023 karta.png", "A 56628-2023")</f>
        <v/>
      </c>
      <c r="V218">
        <f>HYPERLINK("https://klasma.github.io/Logging_2309/klagomål/A 56628-2023 FSC-klagomål.docx", "A 56628-2023")</f>
        <v/>
      </c>
      <c r="W218">
        <f>HYPERLINK("https://klasma.github.io/Logging_2309/klagomålsmail/A 56628-2023 FSC-klagomål mail.docx", "A 56628-2023")</f>
        <v/>
      </c>
      <c r="X218">
        <f>HYPERLINK("https://klasma.github.io/Logging_2309/tillsyn/A 56628-2023 tillsynsbegäran.docx", "A 56628-2023")</f>
        <v/>
      </c>
      <c r="Y218">
        <f>HYPERLINK("https://klasma.github.io/Logging_2309/tillsynsmail/A 56628-2023 tillsynsbegäran mail.docx", "A 56628-2023")</f>
        <v/>
      </c>
    </row>
    <row r="219" ht="15" customHeight="1">
      <c r="A219" t="inlineStr">
        <is>
          <t>A 25285-2023</t>
        </is>
      </c>
      <c r="B219" s="1" t="n">
        <v>45079</v>
      </c>
      <c r="C219" s="1" t="n">
        <v>45935</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45935</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45935</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61240-2024</t>
        </is>
      </c>
      <c r="B222" s="1" t="n">
        <v>45645.67945601852</v>
      </c>
      <c r="C222" s="1" t="n">
        <v>45935</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45935</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45935</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45935</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45935</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49388-2024</t>
        </is>
      </c>
      <c r="B227" s="1" t="n">
        <v>45595</v>
      </c>
      <c r="C227" s="1" t="n">
        <v>45935</v>
      </c>
      <c r="D227" t="inlineStr">
        <is>
          <t>JÄMTLANDS LÄN</t>
        </is>
      </c>
      <c r="E227" t="inlineStr">
        <is>
          <t>KROKOM</t>
        </is>
      </c>
      <c r="G227" t="n">
        <v>7.4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49388-2024 artfynd.xlsx", "A 49388-2024")</f>
        <v/>
      </c>
      <c r="T227">
        <f>HYPERLINK("https://klasma.github.io/Logging_2309/kartor/A 49388-2024 karta.png", "A 49388-2024")</f>
        <v/>
      </c>
      <c r="V227">
        <f>HYPERLINK("https://klasma.github.io/Logging_2309/klagomål/A 49388-2024 FSC-klagomål.docx", "A 49388-2024")</f>
        <v/>
      </c>
      <c r="W227">
        <f>HYPERLINK("https://klasma.github.io/Logging_2309/klagomålsmail/A 49388-2024 FSC-klagomål mail.docx", "A 49388-2024")</f>
        <v/>
      </c>
      <c r="X227">
        <f>HYPERLINK("https://klasma.github.io/Logging_2309/tillsyn/A 49388-2024 tillsynsbegäran.docx", "A 49388-2024")</f>
        <v/>
      </c>
      <c r="Y227">
        <f>HYPERLINK("https://klasma.github.io/Logging_2309/tillsynsmail/A 49388-2024 tillsynsbegäran mail.docx", "A 49388-2024")</f>
        <v/>
      </c>
      <c r="Z227">
        <f>HYPERLINK("https://klasma.github.io/Logging_2309/fåglar/A 49388-2024 prioriterade fågelarter.docx", "A 49388-2024")</f>
        <v/>
      </c>
    </row>
    <row r="228" ht="15" customHeight="1">
      <c r="A228" t="inlineStr">
        <is>
          <t>A 32888-2025</t>
        </is>
      </c>
      <c r="B228" s="1" t="n">
        <v>45839.60460648148</v>
      </c>
      <c r="C228" s="1" t="n">
        <v>45935</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32465-2025</t>
        </is>
      </c>
      <c r="B229" s="1" t="n">
        <v>45838</v>
      </c>
      <c r="C229" s="1" t="n">
        <v>45935</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32656-2025</t>
        </is>
      </c>
      <c r="B230" s="1" t="n">
        <v>45838.67815972222</v>
      </c>
      <c r="C230" s="1" t="n">
        <v>45935</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33513-2025</t>
        </is>
      </c>
      <c r="B231" s="1" t="n">
        <v>45841.52454861111</v>
      </c>
      <c r="C231" s="1" t="n">
        <v>45935</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58805-2024</t>
        </is>
      </c>
      <c r="B232" s="1" t="n">
        <v>45635</v>
      </c>
      <c r="C232" s="1" t="n">
        <v>45935</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34520-2025</t>
        </is>
      </c>
      <c r="B233" s="1" t="n">
        <v>45847.46962962963</v>
      </c>
      <c r="C233" s="1" t="n">
        <v>45935</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34534-2025</t>
        </is>
      </c>
      <c r="B234" s="1" t="n">
        <v>45847.51078703703</v>
      </c>
      <c r="C234" s="1" t="n">
        <v>45935</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40800-2025</t>
        </is>
      </c>
      <c r="B235" s="1" t="n">
        <v>45897.45311342592</v>
      </c>
      <c r="C235" s="1" t="n">
        <v>45935</v>
      </c>
      <c r="D235" t="inlineStr">
        <is>
          <t>JÄMTLANDS LÄN</t>
        </is>
      </c>
      <c r="E235" t="inlineStr">
        <is>
          <t>KROKOM</t>
        </is>
      </c>
      <c r="G235" t="n">
        <v>5.8</v>
      </c>
      <c r="H235" t="n">
        <v>1</v>
      </c>
      <c r="I235" t="n">
        <v>0</v>
      </c>
      <c r="J235" t="n">
        <v>0</v>
      </c>
      <c r="K235" t="n">
        <v>0</v>
      </c>
      <c r="L235" t="n">
        <v>0</v>
      </c>
      <c r="M235" t="n">
        <v>0</v>
      </c>
      <c r="N235" t="n">
        <v>0</v>
      </c>
      <c r="O235" t="n">
        <v>0</v>
      </c>
      <c r="P235" t="n">
        <v>0</v>
      </c>
      <c r="Q235" t="n">
        <v>1</v>
      </c>
      <c r="R235" s="2" t="inlineStr">
        <is>
          <t>Blåsippa</t>
        </is>
      </c>
      <c r="S235">
        <f>HYPERLINK("https://klasma.github.io/Logging_2309/artfynd/A 40800-2025 artfynd.xlsx", "A 40800-2025")</f>
        <v/>
      </c>
      <c r="T235">
        <f>HYPERLINK("https://klasma.github.io/Logging_2309/kartor/A 40800-2025 karta.png", "A 40800-2025")</f>
        <v/>
      </c>
      <c r="V235">
        <f>HYPERLINK("https://klasma.github.io/Logging_2309/klagomål/A 40800-2025 FSC-klagomål.docx", "A 40800-2025")</f>
        <v/>
      </c>
      <c r="W235">
        <f>HYPERLINK("https://klasma.github.io/Logging_2309/klagomålsmail/A 40800-2025 FSC-klagomål mail.docx", "A 40800-2025")</f>
        <v/>
      </c>
      <c r="X235">
        <f>HYPERLINK("https://klasma.github.io/Logging_2309/tillsyn/A 40800-2025 tillsynsbegäran.docx", "A 40800-2025")</f>
        <v/>
      </c>
      <c r="Y235">
        <f>HYPERLINK("https://klasma.github.io/Logging_2309/tillsynsmail/A 40800-2025 tillsynsbegäran mail.docx", "A 40800-2025")</f>
        <v/>
      </c>
    </row>
    <row r="236" ht="15" customHeight="1">
      <c r="A236" t="inlineStr">
        <is>
          <t>A 19984-2021</t>
        </is>
      </c>
      <c r="B236" s="1" t="n">
        <v>44313</v>
      </c>
      <c r="C236" s="1" t="n">
        <v>45935</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45935</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45935</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45935</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45935</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45935</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45935</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45935</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45935</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45935</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45935</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45935</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45935</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45935</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45935</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45935</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45935</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45935</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45935</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45935</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45935</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45935</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45935</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45935</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45935</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45935</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45935</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45935</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45935</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45935</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45935</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45935</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45935</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45935</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45935</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45935</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45935</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45935</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45935</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45935</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45935</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45935</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45935</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45935</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45935</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45935</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45935</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45935</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45935</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45935</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45935</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45935</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45935</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45935</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45935</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45935</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45935</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45935</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45935</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45935</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45935</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45935</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45935</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45935</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45935</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45935</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45935</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45935</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53501-2020</t>
        </is>
      </c>
      <c r="B304" s="1" t="n">
        <v>44123</v>
      </c>
      <c r="C304" s="1" t="n">
        <v>45935</v>
      </c>
      <c r="D304" t="inlineStr">
        <is>
          <t>JÄMTLANDS LÄN</t>
        </is>
      </c>
      <c r="E304" t="inlineStr">
        <is>
          <t>KROKOM</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8569-2022</t>
        </is>
      </c>
      <c r="B305" s="1" t="n">
        <v>44610</v>
      </c>
      <c r="C305" s="1" t="n">
        <v>45935</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24436-2021</t>
        </is>
      </c>
      <c r="B306" s="1" t="n">
        <v>44337</v>
      </c>
      <c r="C306" s="1" t="n">
        <v>45935</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53241-2020</t>
        </is>
      </c>
      <c r="B307" s="1" t="n">
        <v>44123</v>
      </c>
      <c r="C307" s="1" t="n">
        <v>45935</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45935</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54516-2021</t>
        </is>
      </c>
      <c r="B309" s="1" t="n">
        <v>44473.53013888889</v>
      </c>
      <c r="C309" s="1" t="n">
        <v>45935</v>
      </c>
      <c r="D309" t="inlineStr">
        <is>
          <t>JÄMTLANDS LÄN</t>
        </is>
      </c>
      <c r="E309" t="inlineStr">
        <is>
          <t>KROKOM</t>
        </is>
      </c>
      <c r="G309" t="n">
        <v>1.6</v>
      </c>
      <c r="H309" t="n">
        <v>0</v>
      </c>
      <c r="I309" t="n">
        <v>0</v>
      </c>
      <c r="J309" t="n">
        <v>0</v>
      </c>
      <c r="K309" t="n">
        <v>0</v>
      </c>
      <c r="L309" t="n">
        <v>0</v>
      </c>
      <c r="M309" t="n">
        <v>0</v>
      </c>
      <c r="N309" t="n">
        <v>0</v>
      </c>
      <c r="O309" t="n">
        <v>0</v>
      </c>
      <c r="P309" t="n">
        <v>0</v>
      </c>
      <c r="Q309" t="n">
        <v>0</v>
      </c>
      <c r="R309" s="2" t="inlineStr"/>
    </row>
    <row r="310" ht="15" customHeight="1">
      <c r="A310" t="inlineStr">
        <is>
          <t>A 50476-2021</t>
        </is>
      </c>
      <c r="B310" s="1" t="n">
        <v>44459</v>
      </c>
      <c r="C310" s="1" t="n">
        <v>45935</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45935</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2356-2021</t>
        </is>
      </c>
      <c r="B312" s="1" t="n">
        <v>44214</v>
      </c>
      <c r="C312" s="1" t="n">
        <v>45935</v>
      </c>
      <c r="D312" t="inlineStr">
        <is>
          <t>JÄMTLANDS LÄN</t>
        </is>
      </c>
      <c r="E312" t="inlineStr">
        <is>
          <t>KROKOM</t>
        </is>
      </c>
      <c r="G312" t="n">
        <v>22.6</v>
      </c>
      <c r="H312" t="n">
        <v>0</v>
      </c>
      <c r="I312" t="n">
        <v>0</v>
      </c>
      <c r="J312" t="n">
        <v>0</v>
      </c>
      <c r="K312" t="n">
        <v>0</v>
      </c>
      <c r="L312" t="n">
        <v>0</v>
      </c>
      <c r="M312" t="n">
        <v>0</v>
      </c>
      <c r="N312" t="n">
        <v>0</v>
      </c>
      <c r="O312" t="n">
        <v>0</v>
      </c>
      <c r="P312" t="n">
        <v>0</v>
      </c>
      <c r="Q312" t="n">
        <v>0</v>
      </c>
      <c r="R312" s="2" t="inlineStr"/>
    </row>
    <row r="313" ht="15" customHeight="1">
      <c r="A313" t="inlineStr">
        <is>
          <t>A 14598-2021</t>
        </is>
      </c>
      <c r="B313" s="1" t="n">
        <v>44279</v>
      </c>
      <c r="C313" s="1" t="n">
        <v>45935</v>
      </c>
      <c r="D313" t="inlineStr">
        <is>
          <t>JÄMTLANDS LÄN</t>
        </is>
      </c>
      <c r="E313" t="inlineStr">
        <is>
          <t>KROKOM</t>
        </is>
      </c>
      <c r="G313" t="n">
        <v>25.4</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45935</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15425-2021</t>
        </is>
      </c>
      <c r="B315" s="1" t="n">
        <v>44284</v>
      </c>
      <c r="C315" s="1" t="n">
        <v>45935</v>
      </c>
      <c r="D315" t="inlineStr">
        <is>
          <t>JÄMTLANDS LÄN</t>
        </is>
      </c>
      <c r="E315" t="inlineStr">
        <is>
          <t>KROKOM</t>
        </is>
      </c>
      <c r="G315" t="n">
        <v>1.2</v>
      </c>
      <c r="H315" t="n">
        <v>0</v>
      </c>
      <c r="I315" t="n">
        <v>0</v>
      </c>
      <c r="J315" t="n">
        <v>0</v>
      </c>
      <c r="K315" t="n">
        <v>0</v>
      </c>
      <c r="L315" t="n">
        <v>0</v>
      </c>
      <c r="M315" t="n">
        <v>0</v>
      </c>
      <c r="N315" t="n">
        <v>0</v>
      </c>
      <c r="O315" t="n">
        <v>0</v>
      </c>
      <c r="P315" t="n">
        <v>0</v>
      </c>
      <c r="Q315" t="n">
        <v>0</v>
      </c>
      <c r="R315" s="2" t="inlineStr"/>
    </row>
    <row r="316" ht="15" customHeight="1">
      <c r="A316" t="inlineStr">
        <is>
          <t>A 65433-2020</t>
        </is>
      </c>
      <c r="B316" s="1" t="n">
        <v>44169</v>
      </c>
      <c r="C316" s="1" t="n">
        <v>45935</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45935</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44374-2021</t>
        </is>
      </c>
      <c r="B318" s="1" t="n">
        <v>44447</v>
      </c>
      <c r="C318" s="1" t="n">
        <v>45935</v>
      </c>
      <c r="D318" t="inlineStr">
        <is>
          <t>JÄMTLANDS LÄN</t>
        </is>
      </c>
      <c r="E318" t="inlineStr">
        <is>
          <t>KROKOM</t>
        </is>
      </c>
      <c r="G318" t="n">
        <v>7.8</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45935</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45935</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45935</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54039-2021</t>
        </is>
      </c>
      <c r="B322" s="1" t="n">
        <v>44470.39989583333</v>
      </c>
      <c r="C322" s="1" t="n">
        <v>45935</v>
      </c>
      <c r="D322" t="inlineStr">
        <is>
          <t>JÄMTLANDS LÄN</t>
        </is>
      </c>
      <c r="E322" t="inlineStr">
        <is>
          <t>KROKOM</t>
        </is>
      </c>
      <c r="G322" t="n">
        <v>9.9</v>
      </c>
      <c r="H322" t="n">
        <v>0</v>
      </c>
      <c r="I322" t="n">
        <v>0</v>
      </c>
      <c r="J322" t="n">
        <v>0</v>
      </c>
      <c r="K322" t="n">
        <v>0</v>
      </c>
      <c r="L322" t="n">
        <v>0</v>
      </c>
      <c r="M322" t="n">
        <v>0</v>
      </c>
      <c r="N322" t="n">
        <v>0</v>
      </c>
      <c r="O322" t="n">
        <v>0</v>
      </c>
      <c r="P322" t="n">
        <v>0</v>
      </c>
      <c r="Q322" t="n">
        <v>0</v>
      </c>
      <c r="R322" s="2" t="inlineStr"/>
    </row>
    <row r="323" ht="15" customHeight="1">
      <c r="A323" t="inlineStr">
        <is>
          <t>A 18731-2021</t>
        </is>
      </c>
      <c r="B323" s="1" t="n">
        <v>44307.42378472222</v>
      </c>
      <c r="C323" s="1" t="n">
        <v>45935</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45935</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45935</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45935</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45935</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61091-2020</t>
        </is>
      </c>
      <c r="B328" s="1" t="n">
        <v>44153</v>
      </c>
      <c r="C328" s="1" t="n">
        <v>45935</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59718-2020</t>
        </is>
      </c>
      <c r="B329" s="1" t="n">
        <v>44151</v>
      </c>
      <c r="C329" s="1" t="n">
        <v>45935</v>
      </c>
      <c r="D329" t="inlineStr">
        <is>
          <t>JÄMTLANDS LÄN</t>
        </is>
      </c>
      <c r="E329" t="inlineStr">
        <is>
          <t>KROKOM</t>
        </is>
      </c>
      <c r="G329" t="n">
        <v>3.7</v>
      </c>
      <c r="H329" t="n">
        <v>0</v>
      </c>
      <c r="I329" t="n">
        <v>0</v>
      </c>
      <c r="J329" t="n">
        <v>0</v>
      </c>
      <c r="K329" t="n">
        <v>0</v>
      </c>
      <c r="L329" t="n">
        <v>0</v>
      </c>
      <c r="M329" t="n">
        <v>0</v>
      </c>
      <c r="N329" t="n">
        <v>0</v>
      </c>
      <c r="O329" t="n">
        <v>0</v>
      </c>
      <c r="P329" t="n">
        <v>0</v>
      </c>
      <c r="Q329" t="n">
        <v>0</v>
      </c>
      <c r="R329" s="2" t="inlineStr"/>
    </row>
    <row r="330" ht="15" customHeight="1">
      <c r="A330" t="inlineStr">
        <is>
          <t>A 11386-2025</t>
        </is>
      </c>
      <c r="B330" s="1" t="n">
        <v>45726.56341435185</v>
      </c>
      <c r="C330" s="1" t="n">
        <v>45935</v>
      </c>
      <c r="D330" t="inlineStr">
        <is>
          <t>JÄMTLANDS LÄN</t>
        </is>
      </c>
      <c r="E330" t="inlineStr">
        <is>
          <t>KROKOM</t>
        </is>
      </c>
      <c r="F330" t="inlineStr">
        <is>
          <t>Övriga Aktiebolag</t>
        </is>
      </c>
      <c r="G330" t="n">
        <v>42.4</v>
      </c>
      <c r="H330" t="n">
        <v>0</v>
      </c>
      <c r="I330" t="n">
        <v>0</v>
      </c>
      <c r="J330" t="n">
        <v>0</v>
      </c>
      <c r="K330" t="n">
        <v>0</v>
      </c>
      <c r="L330" t="n">
        <v>0</v>
      </c>
      <c r="M330" t="n">
        <v>0</v>
      </c>
      <c r="N330" t="n">
        <v>0</v>
      </c>
      <c r="O330" t="n">
        <v>0</v>
      </c>
      <c r="P330" t="n">
        <v>0</v>
      </c>
      <c r="Q330" t="n">
        <v>0</v>
      </c>
      <c r="R330" s="2" t="inlineStr"/>
    </row>
    <row r="331" ht="15" customHeight="1">
      <c r="A331" t="inlineStr">
        <is>
          <t>A 24559-2024</t>
        </is>
      </c>
      <c r="B331" s="1" t="n">
        <v>45460.44076388889</v>
      </c>
      <c r="C331" s="1" t="n">
        <v>45935</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5402-2025</t>
        </is>
      </c>
      <c r="B332" s="1" t="n">
        <v>45692.64298611111</v>
      </c>
      <c r="C332" s="1" t="n">
        <v>45935</v>
      </c>
      <c r="D332" t="inlineStr">
        <is>
          <t>JÄMTLANDS LÄN</t>
        </is>
      </c>
      <c r="E332" t="inlineStr">
        <is>
          <t>KROKOM</t>
        </is>
      </c>
      <c r="G332" t="n">
        <v>20.3</v>
      </c>
      <c r="H332" t="n">
        <v>0</v>
      </c>
      <c r="I332" t="n">
        <v>0</v>
      </c>
      <c r="J332" t="n">
        <v>0</v>
      </c>
      <c r="K332" t="n">
        <v>0</v>
      </c>
      <c r="L332" t="n">
        <v>0</v>
      </c>
      <c r="M332" t="n">
        <v>0</v>
      </c>
      <c r="N332" t="n">
        <v>0</v>
      </c>
      <c r="O332" t="n">
        <v>0</v>
      </c>
      <c r="P332" t="n">
        <v>0</v>
      </c>
      <c r="Q332" t="n">
        <v>0</v>
      </c>
      <c r="R332" s="2" t="inlineStr"/>
    </row>
    <row r="333" ht="15" customHeight="1">
      <c r="A333" t="inlineStr">
        <is>
          <t>A 11403-2025</t>
        </is>
      </c>
      <c r="B333" s="1" t="n">
        <v>45726.5827199074</v>
      </c>
      <c r="C333" s="1" t="n">
        <v>45935</v>
      </c>
      <c r="D333" t="inlineStr">
        <is>
          <t>JÄMTLANDS LÄN</t>
        </is>
      </c>
      <c r="E333" t="inlineStr">
        <is>
          <t>KROKOM</t>
        </is>
      </c>
      <c r="G333" t="n">
        <v>4.4</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45935</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68686-2021</t>
        </is>
      </c>
      <c r="B335" s="1" t="n">
        <v>44526</v>
      </c>
      <c r="C335" s="1" t="n">
        <v>45935</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24252-2024</t>
        </is>
      </c>
      <c r="B336" s="1" t="n">
        <v>45457.38799768518</v>
      </c>
      <c r="C336" s="1" t="n">
        <v>45935</v>
      </c>
      <c r="D336" t="inlineStr">
        <is>
          <t>JÄMTLANDS LÄN</t>
        </is>
      </c>
      <c r="E336" t="inlineStr">
        <is>
          <t>KROKOM</t>
        </is>
      </c>
      <c r="G336" t="n">
        <v>1.9</v>
      </c>
      <c r="H336" t="n">
        <v>0</v>
      </c>
      <c r="I336" t="n">
        <v>0</v>
      </c>
      <c r="J336" t="n">
        <v>0</v>
      </c>
      <c r="K336" t="n">
        <v>0</v>
      </c>
      <c r="L336" t="n">
        <v>0</v>
      </c>
      <c r="M336" t="n">
        <v>0</v>
      </c>
      <c r="N336" t="n">
        <v>0</v>
      </c>
      <c r="O336" t="n">
        <v>0</v>
      </c>
      <c r="P336" t="n">
        <v>0</v>
      </c>
      <c r="Q336" t="n">
        <v>0</v>
      </c>
      <c r="R336" s="2" t="inlineStr"/>
    </row>
    <row r="337" ht="15" customHeight="1">
      <c r="A337" t="inlineStr">
        <is>
          <t>A 57375-2020</t>
        </is>
      </c>
      <c r="B337" s="1" t="n">
        <v>44139</v>
      </c>
      <c r="C337" s="1" t="n">
        <v>45935</v>
      </c>
      <c r="D337" t="inlineStr">
        <is>
          <t>JÄMTLANDS LÄN</t>
        </is>
      </c>
      <c r="E337" t="inlineStr">
        <is>
          <t>KROKOM</t>
        </is>
      </c>
      <c r="F337" t="inlineStr">
        <is>
          <t>SCA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58563-2023</t>
        </is>
      </c>
      <c r="B338" s="1" t="n">
        <v>45246</v>
      </c>
      <c r="C338" s="1" t="n">
        <v>45935</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52626-2020</t>
        </is>
      </c>
      <c r="B339" s="1" t="n">
        <v>44118.98730324074</v>
      </c>
      <c r="C339" s="1" t="n">
        <v>45935</v>
      </c>
      <c r="D339" t="inlineStr">
        <is>
          <t>JÄMTLANDS LÄN</t>
        </is>
      </c>
      <c r="E339" t="inlineStr">
        <is>
          <t>KROKOM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52268-2022</t>
        </is>
      </c>
      <c r="B340" s="1" t="n">
        <v>44873</v>
      </c>
      <c r="C340" s="1" t="n">
        <v>45935</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c r="U340">
        <f>HYPERLINK("https://klasma.github.io/Logging_2309/knärot/A 52268-2022 karta knärot.png", "A 52268-2022")</f>
        <v/>
      </c>
      <c r="V340">
        <f>HYPERLINK("https://klasma.github.io/Logging_2309/klagomål/A 52268-2022 FSC-klagomål.docx", "A 52268-2022")</f>
        <v/>
      </c>
      <c r="W340">
        <f>HYPERLINK("https://klasma.github.io/Logging_2309/klagomålsmail/A 52268-2022 FSC-klagomål mail.docx", "A 52268-2022")</f>
        <v/>
      </c>
      <c r="X340">
        <f>HYPERLINK("https://klasma.github.io/Logging_2309/tillsyn/A 52268-2022 tillsynsbegäran.docx", "A 52268-2022")</f>
        <v/>
      </c>
      <c r="Y340">
        <f>HYPERLINK("https://klasma.github.io/Logging_2309/tillsynsmail/A 52268-2022 tillsynsbegäran mail.docx", "A 52268-2022")</f>
        <v/>
      </c>
    </row>
    <row r="341" ht="15" customHeight="1">
      <c r="A341" t="inlineStr">
        <is>
          <t>A 2427-2021</t>
        </is>
      </c>
      <c r="B341" s="1" t="n">
        <v>44214</v>
      </c>
      <c r="C341" s="1" t="n">
        <v>45935</v>
      </c>
      <c r="D341" t="inlineStr">
        <is>
          <t>JÄMTLANDS LÄN</t>
        </is>
      </c>
      <c r="E341" t="inlineStr">
        <is>
          <t>KROKOM</t>
        </is>
      </c>
      <c r="G341" t="n">
        <v>20.5</v>
      </c>
      <c r="H341" t="n">
        <v>0</v>
      </c>
      <c r="I341" t="n">
        <v>0</v>
      </c>
      <c r="J341" t="n">
        <v>0</v>
      </c>
      <c r="K341" t="n">
        <v>0</v>
      </c>
      <c r="L341" t="n">
        <v>0</v>
      </c>
      <c r="M341" t="n">
        <v>0</v>
      </c>
      <c r="N341" t="n">
        <v>0</v>
      </c>
      <c r="O341" t="n">
        <v>0</v>
      </c>
      <c r="P341" t="n">
        <v>0</v>
      </c>
      <c r="Q341" t="n">
        <v>0</v>
      </c>
      <c r="R341" s="2" t="inlineStr"/>
    </row>
    <row r="342" ht="15" customHeight="1">
      <c r="A342" t="inlineStr">
        <is>
          <t>A 52258-2022</t>
        </is>
      </c>
      <c r="B342" s="1" t="n">
        <v>44873</v>
      </c>
      <c r="C342" s="1" t="n">
        <v>45935</v>
      </c>
      <c r="D342" t="inlineStr">
        <is>
          <t>JÄMTLANDS LÄN</t>
        </is>
      </c>
      <c r="E342" t="inlineStr">
        <is>
          <t>KROKOM</t>
        </is>
      </c>
      <c r="G342" t="n">
        <v>1.3</v>
      </c>
      <c r="H342" t="n">
        <v>0</v>
      </c>
      <c r="I342" t="n">
        <v>0</v>
      </c>
      <c r="J342" t="n">
        <v>0</v>
      </c>
      <c r="K342" t="n">
        <v>0</v>
      </c>
      <c r="L342" t="n">
        <v>0</v>
      </c>
      <c r="M342" t="n">
        <v>0</v>
      </c>
      <c r="N342" t="n">
        <v>0</v>
      </c>
      <c r="O342" t="n">
        <v>0</v>
      </c>
      <c r="P342" t="n">
        <v>0</v>
      </c>
      <c r="Q342" t="n">
        <v>0</v>
      </c>
      <c r="R342" s="2" t="inlineStr"/>
    </row>
    <row r="343" ht="15" customHeight="1">
      <c r="A343" t="inlineStr">
        <is>
          <t>A 53771-2022</t>
        </is>
      </c>
      <c r="B343" s="1" t="n">
        <v>44875</v>
      </c>
      <c r="C343" s="1" t="n">
        <v>45935</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45935</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33333-2021</t>
        </is>
      </c>
      <c r="B345" s="1" t="n">
        <v>44377</v>
      </c>
      <c r="C345" s="1" t="n">
        <v>45935</v>
      </c>
      <c r="D345" t="inlineStr">
        <is>
          <t>JÄMTLANDS LÄN</t>
        </is>
      </c>
      <c r="E345" t="inlineStr">
        <is>
          <t>KROKOM</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45935</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45935</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45935</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25031-2022</t>
        </is>
      </c>
      <c r="B349" s="1" t="n">
        <v>44728.94420138889</v>
      </c>
      <c r="C349" s="1" t="n">
        <v>45935</v>
      </c>
      <c r="D349" t="inlineStr">
        <is>
          <t>JÄMTLANDS LÄN</t>
        </is>
      </c>
      <c r="E349" t="inlineStr">
        <is>
          <t>KROKOM</t>
        </is>
      </c>
      <c r="F349" t="inlineStr">
        <is>
          <t>SCA</t>
        </is>
      </c>
      <c r="G349" t="n">
        <v>5.3</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45935</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46506-2022</t>
        </is>
      </c>
      <c r="B351" s="1" t="n">
        <v>44848</v>
      </c>
      <c r="C351" s="1" t="n">
        <v>45935</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46046-2023</t>
        </is>
      </c>
      <c r="B352" s="1" t="n">
        <v>45190</v>
      </c>
      <c r="C352" s="1" t="n">
        <v>45935</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37641-2021</t>
        </is>
      </c>
      <c r="B353" s="1" t="n">
        <v>44400.37204861111</v>
      </c>
      <c r="C353" s="1" t="n">
        <v>45935</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45935</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14184-2024</t>
        </is>
      </c>
      <c r="B355" s="1" t="n">
        <v>45393</v>
      </c>
      <c r="C355" s="1" t="n">
        <v>45935</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45935</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57728-2020</t>
        </is>
      </c>
      <c r="B357" s="1" t="n">
        <v>44140</v>
      </c>
      <c r="C357" s="1" t="n">
        <v>45935</v>
      </c>
      <c r="D357" t="inlineStr">
        <is>
          <t>JÄMTLANDS LÄN</t>
        </is>
      </c>
      <c r="E357" t="inlineStr">
        <is>
          <t>KROKOM</t>
        </is>
      </c>
      <c r="G357" t="n">
        <v>5</v>
      </c>
      <c r="H357" t="n">
        <v>0</v>
      </c>
      <c r="I357" t="n">
        <v>0</v>
      </c>
      <c r="J357" t="n">
        <v>0</v>
      </c>
      <c r="K357" t="n">
        <v>0</v>
      </c>
      <c r="L357" t="n">
        <v>0</v>
      </c>
      <c r="M357" t="n">
        <v>0</v>
      </c>
      <c r="N357" t="n">
        <v>0</v>
      </c>
      <c r="O357" t="n">
        <v>0</v>
      </c>
      <c r="P357" t="n">
        <v>0</v>
      </c>
      <c r="Q357" t="n">
        <v>0</v>
      </c>
      <c r="R357" s="2" t="inlineStr"/>
    </row>
    <row r="358" ht="15" customHeight="1">
      <c r="A358" t="inlineStr">
        <is>
          <t>A 40866-2022</t>
        </is>
      </c>
      <c r="B358" s="1" t="n">
        <v>44820</v>
      </c>
      <c r="C358" s="1" t="n">
        <v>45935</v>
      </c>
      <c r="D358" t="inlineStr">
        <is>
          <t>JÄMTLANDS LÄN</t>
        </is>
      </c>
      <c r="E358" t="inlineStr">
        <is>
          <t>KROKOM</t>
        </is>
      </c>
      <c r="G358" t="n">
        <v>4.3</v>
      </c>
      <c r="H358" t="n">
        <v>0</v>
      </c>
      <c r="I358" t="n">
        <v>0</v>
      </c>
      <c r="J358" t="n">
        <v>0</v>
      </c>
      <c r="K358" t="n">
        <v>0</v>
      </c>
      <c r="L358" t="n">
        <v>0</v>
      </c>
      <c r="M358" t="n">
        <v>0</v>
      </c>
      <c r="N358" t="n">
        <v>0</v>
      </c>
      <c r="O358" t="n">
        <v>0</v>
      </c>
      <c r="P358" t="n">
        <v>0</v>
      </c>
      <c r="Q358" t="n">
        <v>0</v>
      </c>
      <c r="R358" s="2" t="inlineStr"/>
    </row>
    <row r="359" ht="15" customHeight="1">
      <c r="A359" t="inlineStr">
        <is>
          <t>A 16874-2024</t>
        </is>
      </c>
      <c r="B359" s="1" t="n">
        <v>45411</v>
      </c>
      <c r="C359" s="1" t="n">
        <v>45935</v>
      </c>
      <c r="D359" t="inlineStr">
        <is>
          <t>JÄMTLANDS LÄN</t>
        </is>
      </c>
      <c r="E359" t="inlineStr">
        <is>
          <t>KROKOM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2236-2024</t>
        </is>
      </c>
      <c r="B360" s="1" t="n">
        <v>45309.94650462963</v>
      </c>
      <c r="C360" s="1" t="n">
        <v>45935</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48334-2022</t>
        </is>
      </c>
      <c r="B361" s="1" t="n">
        <v>44858</v>
      </c>
      <c r="C361" s="1" t="n">
        <v>45935</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773-2024</t>
        </is>
      </c>
      <c r="B362" s="1" t="n">
        <v>45300</v>
      </c>
      <c r="C362" s="1" t="n">
        <v>45935</v>
      </c>
      <c r="D362" t="inlineStr">
        <is>
          <t>JÄMTLANDS LÄN</t>
        </is>
      </c>
      <c r="E362" t="inlineStr">
        <is>
          <t>KROKOM</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35767-2024</t>
        </is>
      </c>
      <c r="B363" s="1" t="n">
        <v>45532.58101851852</v>
      </c>
      <c r="C363" s="1" t="n">
        <v>45935</v>
      </c>
      <c r="D363" t="inlineStr">
        <is>
          <t>JÄMTLANDS LÄN</t>
        </is>
      </c>
      <c r="E363" t="inlineStr">
        <is>
          <t>KROKOM</t>
        </is>
      </c>
      <c r="G363" t="n">
        <v>5.1</v>
      </c>
      <c r="H363" t="n">
        <v>0</v>
      </c>
      <c r="I363" t="n">
        <v>0</v>
      </c>
      <c r="J363" t="n">
        <v>0</v>
      </c>
      <c r="K363" t="n">
        <v>0</v>
      </c>
      <c r="L363" t="n">
        <v>0</v>
      </c>
      <c r="M363" t="n">
        <v>0</v>
      </c>
      <c r="N363" t="n">
        <v>0</v>
      </c>
      <c r="O363" t="n">
        <v>0</v>
      </c>
      <c r="P363" t="n">
        <v>0</v>
      </c>
      <c r="Q363" t="n">
        <v>0</v>
      </c>
      <c r="R363" s="2" t="inlineStr"/>
    </row>
    <row r="364" ht="15" customHeight="1">
      <c r="A364" t="inlineStr">
        <is>
          <t>A 27616-2023</t>
        </is>
      </c>
      <c r="B364" s="1" t="n">
        <v>45097</v>
      </c>
      <c r="C364" s="1" t="n">
        <v>45935</v>
      </c>
      <c r="D364" t="inlineStr">
        <is>
          <t>JÄMTLANDS LÄN</t>
        </is>
      </c>
      <c r="E364" t="inlineStr">
        <is>
          <t>KROKOM</t>
        </is>
      </c>
      <c r="F364" t="inlineStr">
        <is>
          <t>Övriga Aktiebolag</t>
        </is>
      </c>
      <c r="G364" t="n">
        <v>13.3</v>
      </c>
      <c r="H364" t="n">
        <v>0</v>
      </c>
      <c r="I364" t="n">
        <v>0</v>
      </c>
      <c r="J364" t="n">
        <v>0</v>
      </c>
      <c r="K364" t="n">
        <v>0</v>
      </c>
      <c r="L364" t="n">
        <v>0</v>
      </c>
      <c r="M364" t="n">
        <v>0</v>
      </c>
      <c r="N364" t="n">
        <v>0</v>
      </c>
      <c r="O364" t="n">
        <v>0</v>
      </c>
      <c r="P364" t="n">
        <v>0</v>
      </c>
      <c r="Q364" t="n">
        <v>0</v>
      </c>
      <c r="R364" s="2" t="inlineStr"/>
    </row>
    <row r="365" ht="15" customHeight="1">
      <c r="A365" t="inlineStr">
        <is>
          <t>A 58734-2024</t>
        </is>
      </c>
      <c r="B365" s="1" t="n">
        <v>45635.67949074074</v>
      </c>
      <c r="C365" s="1" t="n">
        <v>45935</v>
      </c>
      <c r="D365" t="inlineStr">
        <is>
          <t>JÄMTLANDS LÄN</t>
        </is>
      </c>
      <c r="E365" t="inlineStr">
        <is>
          <t>KROKOM</t>
        </is>
      </c>
      <c r="G365" t="n">
        <v>3.4</v>
      </c>
      <c r="H365" t="n">
        <v>0</v>
      </c>
      <c r="I365" t="n">
        <v>0</v>
      </c>
      <c r="J365" t="n">
        <v>0</v>
      </c>
      <c r="K365" t="n">
        <v>0</v>
      </c>
      <c r="L365" t="n">
        <v>0</v>
      </c>
      <c r="M365" t="n">
        <v>0</v>
      </c>
      <c r="N365" t="n">
        <v>0</v>
      </c>
      <c r="O365" t="n">
        <v>0</v>
      </c>
      <c r="P365" t="n">
        <v>0</v>
      </c>
      <c r="Q365" t="n">
        <v>0</v>
      </c>
      <c r="R365" s="2" t="inlineStr"/>
    </row>
    <row r="366" ht="15" customHeight="1">
      <c r="A366" t="inlineStr">
        <is>
          <t>A 53055-2023</t>
        </is>
      </c>
      <c r="B366" s="1" t="n">
        <v>45226</v>
      </c>
      <c r="C366" s="1" t="n">
        <v>45935</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14032-2024</t>
        </is>
      </c>
      <c r="B367" s="1" t="n">
        <v>45392</v>
      </c>
      <c r="C367" s="1" t="n">
        <v>45935</v>
      </c>
      <c r="D367" t="inlineStr">
        <is>
          <t>JÄMTLANDS LÄN</t>
        </is>
      </c>
      <c r="E367" t="inlineStr">
        <is>
          <t>KROKOM</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61675-2022</t>
        </is>
      </c>
      <c r="B368" s="1" t="n">
        <v>44911</v>
      </c>
      <c r="C368" s="1" t="n">
        <v>45935</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8167-2025</t>
        </is>
      </c>
      <c r="B369" s="1" t="n">
        <v>45708</v>
      </c>
      <c r="C369" s="1" t="n">
        <v>45935</v>
      </c>
      <c r="D369" t="inlineStr">
        <is>
          <t>JÄMTLANDS LÄN</t>
        </is>
      </c>
      <c r="E369" t="inlineStr">
        <is>
          <t>KROKOM</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39263-2024</t>
        </is>
      </c>
      <c r="B370" s="1" t="n">
        <v>45551.34414351852</v>
      </c>
      <c r="C370" s="1" t="n">
        <v>45935</v>
      </c>
      <c r="D370" t="inlineStr">
        <is>
          <t>JÄMTLANDS LÄN</t>
        </is>
      </c>
      <c r="E370" t="inlineStr">
        <is>
          <t>KROKOM</t>
        </is>
      </c>
      <c r="G370" t="n">
        <v>2.5</v>
      </c>
      <c r="H370" t="n">
        <v>0</v>
      </c>
      <c r="I370" t="n">
        <v>0</v>
      </c>
      <c r="J370" t="n">
        <v>0</v>
      </c>
      <c r="K370" t="n">
        <v>0</v>
      </c>
      <c r="L370" t="n">
        <v>0</v>
      </c>
      <c r="M370" t="n">
        <v>0</v>
      </c>
      <c r="N370" t="n">
        <v>0</v>
      </c>
      <c r="O370" t="n">
        <v>0</v>
      </c>
      <c r="P370" t="n">
        <v>0</v>
      </c>
      <c r="Q370" t="n">
        <v>0</v>
      </c>
      <c r="R370" s="2" t="inlineStr"/>
    </row>
    <row r="371" ht="15" customHeight="1">
      <c r="A371" t="inlineStr">
        <is>
          <t>A 42393-2024</t>
        </is>
      </c>
      <c r="B371" s="1" t="n">
        <v>45565.32449074074</v>
      </c>
      <c r="C371" s="1" t="n">
        <v>45935</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31988-2024</t>
        </is>
      </c>
      <c r="B372" s="1" t="n">
        <v>45510.58033564815</v>
      </c>
      <c r="C372" s="1" t="n">
        <v>45935</v>
      </c>
      <c r="D372" t="inlineStr">
        <is>
          <t>JÄMTLANDS LÄN</t>
        </is>
      </c>
      <c r="E372" t="inlineStr">
        <is>
          <t>KROKOM</t>
        </is>
      </c>
      <c r="F372" t="inlineStr">
        <is>
          <t>Övriga Aktiebolag</t>
        </is>
      </c>
      <c r="G372" t="n">
        <v>4.8</v>
      </c>
      <c r="H372" t="n">
        <v>0</v>
      </c>
      <c r="I372" t="n">
        <v>0</v>
      </c>
      <c r="J372" t="n">
        <v>0</v>
      </c>
      <c r="K372" t="n">
        <v>0</v>
      </c>
      <c r="L372" t="n">
        <v>0</v>
      </c>
      <c r="M372" t="n">
        <v>0</v>
      </c>
      <c r="N372" t="n">
        <v>0</v>
      </c>
      <c r="O372" t="n">
        <v>0</v>
      </c>
      <c r="P372" t="n">
        <v>0</v>
      </c>
      <c r="Q372" t="n">
        <v>0</v>
      </c>
      <c r="R372" s="2" t="inlineStr"/>
    </row>
    <row r="373" ht="15" customHeight="1">
      <c r="A373" t="inlineStr">
        <is>
          <t>A 34769-2021</t>
        </is>
      </c>
      <c r="B373" s="1" t="n">
        <v>44382.92065972222</v>
      </c>
      <c r="C373" s="1" t="n">
        <v>45935</v>
      </c>
      <c r="D373" t="inlineStr">
        <is>
          <t>JÄMTLANDS LÄN</t>
        </is>
      </c>
      <c r="E373" t="inlineStr">
        <is>
          <t>KROKOM</t>
        </is>
      </c>
      <c r="G373" t="n">
        <v>14.5</v>
      </c>
      <c r="H373" t="n">
        <v>0</v>
      </c>
      <c r="I373" t="n">
        <v>0</v>
      </c>
      <c r="J373" t="n">
        <v>0</v>
      </c>
      <c r="K373" t="n">
        <v>0</v>
      </c>
      <c r="L373" t="n">
        <v>0</v>
      </c>
      <c r="M373" t="n">
        <v>0</v>
      </c>
      <c r="N373" t="n">
        <v>0</v>
      </c>
      <c r="O373" t="n">
        <v>0</v>
      </c>
      <c r="P373" t="n">
        <v>0</v>
      </c>
      <c r="Q373" t="n">
        <v>0</v>
      </c>
      <c r="R373" s="2" t="inlineStr"/>
    </row>
    <row r="374" ht="15" customHeight="1">
      <c r="A374" t="inlineStr">
        <is>
          <t>A 45777-2024</t>
        </is>
      </c>
      <c r="B374" s="1" t="n">
        <v>45579.66459490741</v>
      </c>
      <c r="C374" s="1" t="n">
        <v>45935</v>
      </c>
      <c r="D374" t="inlineStr">
        <is>
          <t>JÄMTLANDS LÄN</t>
        </is>
      </c>
      <c r="E374" t="inlineStr">
        <is>
          <t>KROKOM</t>
        </is>
      </c>
      <c r="G374" t="n">
        <v>5.3</v>
      </c>
      <c r="H374" t="n">
        <v>0</v>
      </c>
      <c r="I374" t="n">
        <v>0</v>
      </c>
      <c r="J374" t="n">
        <v>0</v>
      </c>
      <c r="K374" t="n">
        <v>0</v>
      </c>
      <c r="L374" t="n">
        <v>0</v>
      </c>
      <c r="M374" t="n">
        <v>0</v>
      </c>
      <c r="N374" t="n">
        <v>0</v>
      </c>
      <c r="O374" t="n">
        <v>0</v>
      </c>
      <c r="P374" t="n">
        <v>0</v>
      </c>
      <c r="Q374" t="n">
        <v>0</v>
      </c>
      <c r="R374" s="2" t="inlineStr"/>
    </row>
    <row r="375" ht="15" customHeight="1">
      <c r="A375" t="inlineStr">
        <is>
          <t>A 29146-2021</t>
        </is>
      </c>
      <c r="B375" s="1" t="n">
        <v>44358.63585648148</v>
      </c>
      <c r="C375" s="1" t="n">
        <v>45935</v>
      </c>
      <c r="D375" t="inlineStr">
        <is>
          <t>JÄMTLANDS LÄN</t>
        </is>
      </c>
      <c r="E375" t="inlineStr">
        <is>
          <t>KROKOM</t>
        </is>
      </c>
      <c r="G375" t="n">
        <v>0.6</v>
      </c>
      <c r="H375" t="n">
        <v>0</v>
      </c>
      <c r="I375" t="n">
        <v>0</v>
      </c>
      <c r="J375" t="n">
        <v>0</v>
      </c>
      <c r="K375" t="n">
        <v>0</v>
      </c>
      <c r="L375" t="n">
        <v>0</v>
      </c>
      <c r="M375" t="n">
        <v>0</v>
      </c>
      <c r="N375" t="n">
        <v>0</v>
      </c>
      <c r="O375" t="n">
        <v>0</v>
      </c>
      <c r="P375" t="n">
        <v>0</v>
      </c>
      <c r="Q375" t="n">
        <v>0</v>
      </c>
      <c r="R375" s="2" t="inlineStr"/>
    </row>
    <row r="376" ht="15" customHeight="1">
      <c r="A376" t="inlineStr">
        <is>
          <t>A 10220-2025</t>
        </is>
      </c>
      <c r="B376" s="1" t="n">
        <v>45720</v>
      </c>
      <c r="C376" s="1" t="n">
        <v>45935</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53765-2022</t>
        </is>
      </c>
      <c r="B377" s="1" t="n">
        <v>44875</v>
      </c>
      <c r="C377" s="1" t="n">
        <v>45935</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14827-2024</t>
        </is>
      </c>
      <c r="B378" s="1" t="n">
        <v>45398</v>
      </c>
      <c r="C378" s="1" t="n">
        <v>45935</v>
      </c>
      <c r="D378" t="inlineStr">
        <is>
          <t>JÄMTLANDS LÄN</t>
        </is>
      </c>
      <c r="E378" t="inlineStr">
        <is>
          <t>KROKOM</t>
        </is>
      </c>
      <c r="G378" t="n">
        <v>10</v>
      </c>
      <c r="H378" t="n">
        <v>0</v>
      </c>
      <c r="I378" t="n">
        <v>0</v>
      </c>
      <c r="J378" t="n">
        <v>0</v>
      </c>
      <c r="K378" t="n">
        <v>0</v>
      </c>
      <c r="L378" t="n">
        <v>0</v>
      </c>
      <c r="M378" t="n">
        <v>0</v>
      </c>
      <c r="N378" t="n">
        <v>0</v>
      </c>
      <c r="O378" t="n">
        <v>0</v>
      </c>
      <c r="P378" t="n">
        <v>0</v>
      </c>
      <c r="Q378" t="n">
        <v>0</v>
      </c>
      <c r="R378" s="2" t="inlineStr"/>
    </row>
    <row r="379" ht="15" customHeight="1">
      <c r="A379" t="inlineStr">
        <is>
          <t>A 50270-2023</t>
        </is>
      </c>
      <c r="B379" s="1" t="n">
        <v>45216.3965625</v>
      </c>
      <c r="C379" s="1" t="n">
        <v>45935</v>
      </c>
      <c r="D379" t="inlineStr">
        <is>
          <t>JÄMTLANDS LÄN</t>
        </is>
      </c>
      <c r="E379" t="inlineStr">
        <is>
          <t>KROKOM</t>
        </is>
      </c>
      <c r="G379" t="n">
        <v>0.4</v>
      </c>
      <c r="H379" t="n">
        <v>0</v>
      </c>
      <c r="I379" t="n">
        <v>0</v>
      </c>
      <c r="J379" t="n">
        <v>0</v>
      </c>
      <c r="K379" t="n">
        <v>0</v>
      </c>
      <c r="L379" t="n">
        <v>0</v>
      </c>
      <c r="M379" t="n">
        <v>0</v>
      </c>
      <c r="N379" t="n">
        <v>0</v>
      </c>
      <c r="O379" t="n">
        <v>0</v>
      </c>
      <c r="P379" t="n">
        <v>0</v>
      </c>
      <c r="Q379" t="n">
        <v>0</v>
      </c>
      <c r="R379" s="2" t="inlineStr"/>
    </row>
    <row r="380" ht="15" customHeight="1">
      <c r="A380" t="inlineStr">
        <is>
          <t>A 19478-2023</t>
        </is>
      </c>
      <c r="B380" s="1" t="n">
        <v>45050</v>
      </c>
      <c r="C380" s="1" t="n">
        <v>45935</v>
      </c>
      <c r="D380" t="inlineStr">
        <is>
          <t>JÄMTLANDS LÄN</t>
        </is>
      </c>
      <c r="E380" t="inlineStr">
        <is>
          <t>KROKOM</t>
        </is>
      </c>
      <c r="F380" t="inlineStr">
        <is>
          <t>Övriga Aktiebolag</t>
        </is>
      </c>
      <c r="G380" t="n">
        <v>22.2</v>
      </c>
      <c r="H380" t="n">
        <v>0</v>
      </c>
      <c r="I380" t="n">
        <v>0</v>
      </c>
      <c r="J380" t="n">
        <v>0</v>
      </c>
      <c r="K380" t="n">
        <v>0</v>
      </c>
      <c r="L380" t="n">
        <v>0</v>
      </c>
      <c r="M380" t="n">
        <v>0</v>
      </c>
      <c r="N380" t="n">
        <v>0</v>
      </c>
      <c r="O380" t="n">
        <v>0</v>
      </c>
      <c r="P380" t="n">
        <v>0</v>
      </c>
      <c r="Q380" t="n">
        <v>0</v>
      </c>
      <c r="R380" s="2" t="inlineStr"/>
    </row>
    <row r="381" ht="15" customHeight="1">
      <c r="A381" t="inlineStr">
        <is>
          <t>A 20742-2023</t>
        </is>
      </c>
      <c r="B381" s="1" t="n">
        <v>45055</v>
      </c>
      <c r="C381" s="1" t="n">
        <v>45935</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33359-2022</t>
        </is>
      </c>
      <c r="B382" s="1" t="n">
        <v>44788</v>
      </c>
      <c r="C382" s="1" t="n">
        <v>45935</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42210-2022</t>
        </is>
      </c>
      <c r="B383" s="1" t="n">
        <v>44830</v>
      </c>
      <c r="C383" s="1" t="n">
        <v>45935</v>
      </c>
      <c r="D383" t="inlineStr">
        <is>
          <t>JÄMTLANDS LÄN</t>
        </is>
      </c>
      <c r="E383" t="inlineStr">
        <is>
          <t>KROKOM</t>
        </is>
      </c>
      <c r="F383" t="inlineStr">
        <is>
          <t>Övriga Aktiebolag</t>
        </is>
      </c>
      <c r="G383" t="n">
        <v>11.6</v>
      </c>
      <c r="H383" t="n">
        <v>0</v>
      </c>
      <c r="I383" t="n">
        <v>0</v>
      </c>
      <c r="J383" t="n">
        <v>0</v>
      </c>
      <c r="K383" t="n">
        <v>0</v>
      </c>
      <c r="L383" t="n">
        <v>0</v>
      </c>
      <c r="M383" t="n">
        <v>0</v>
      </c>
      <c r="N383" t="n">
        <v>0</v>
      </c>
      <c r="O383" t="n">
        <v>0</v>
      </c>
      <c r="P383" t="n">
        <v>0</v>
      </c>
      <c r="Q383" t="n">
        <v>0</v>
      </c>
      <c r="R383" s="2" t="inlineStr"/>
    </row>
    <row r="384" ht="15" customHeight="1">
      <c r="A384" t="inlineStr">
        <is>
          <t>A 7391-2025</t>
        </is>
      </c>
      <c r="B384" s="1" t="n">
        <v>45705.33446759259</v>
      </c>
      <c r="C384" s="1" t="n">
        <v>45935</v>
      </c>
      <c r="D384" t="inlineStr">
        <is>
          <t>JÄMTLANDS LÄN</t>
        </is>
      </c>
      <c r="E384" t="inlineStr">
        <is>
          <t>KROKOM</t>
        </is>
      </c>
      <c r="F384" t="inlineStr">
        <is>
          <t>Övriga Aktiebolag</t>
        </is>
      </c>
      <c r="G384" t="n">
        <v>7.9</v>
      </c>
      <c r="H384" t="n">
        <v>0</v>
      </c>
      <c r="I384" t="n">
        <v>0</v>
      </c>
      <c r="J384" t="n">
        <v>0</v>
      </c>
      <c r="K384" t="n">
        <v>0</v>
      </c>
      <c r="L384" t="n">
        <v>0</v>
      </c>
      <c r="M384" t="n">
        <v>0</v>
      </c>
      <c r="N384" t="n">
        <v>0</v>
      </c>
      <c r="O384" t="n">
        <v>0</v>
      </c>
      <c r="P384" t="n">
        <v>0</v>
      </c>
      <c r="Q384" t="n">
        <v>0</v>
      </c>
      <c r="R384" s="2" t="inlineStr"/>
    </row>
    <row r="385" ht="15" customHeight="1">
      <c r="A385" t="inlineStr">
        <is>
          <t>A 50738-2024</t>
        </is>
      </c>
      <c r="B385" s="1" t="n">
        <v>45602.39862268518</v>
      </c>
      <c r="C385" s="1" t="n">
        <v>45935</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50755-2024</t>
        </is>
      </c>
      <c r="B386" s="1" t="n">
        <v>45602.42878472222</v>
      </c>
      <c r="C386" s="1" t="n">
        <v>45935</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6042-2025</t>
        </is>
      </c>
      <c r="B387" s="1" t="n">
        <v>45695</v>
      </c>
      <c r="C387" s="1" t="n">
        <v>45935</v>
      </c>
      <c r="D387" t="inlineStr">
        <is>
          <t>JÄMTLANDS LÄN</t>
        </is>
      </c>
      <c r="E387" t="inlineStr">
        <is>
          <t>KROKOM</t>
        </is>
      </c>
      <c r="F387" t="inlineStr">
        <is>
          <t>Övriga Aktiebolag</t>
        </is>
      </c>
      <c r="G387" t="n">
        <v>8.9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45935</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6214-2022</t>
        </is>
      </c>
      <c r="B389" s="1" t="n">
        <v>44600.37212962963</v>
      </c>
      <c r="C389" s="1" t="n">
        <v>45935</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38747-2024</t>
        </is>
      </c>
      <c r="B390" s="1" t="n">
        <v>45547.42732638889</v>
      </c>
      <c r="C390" s="1" t="n">
        <v>45935</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9016-2025</t>
        </is>
      </c>
      <c r="B391" s="1" t="n">
        <v>45713.59163194444</v>
      </c>
      <c r="C391" s="1" t="n">
        <v>45935</v>
      </c>
      <c r="D391" t="inlineStr">
        <is>
          <t>JÄMTLANDS LÄN</t>
        </is>
      </c>
      <c r="E391" t="inlineStr">
        <is>
          <t>KROKOM</t>
        </is>
      </c>
      <c r="F391" t="inlineStr">
        <is>
          <t>Övriga Aktiebolag</t>
        </is>
      </c>
      <c r="G391" t="n">
        <v>19.3</v>
      </c>
      <c r="H391" t="n">
        <v>0</v>
      </c>
      <c r="I391" t="n">
        <v>0</v>
      </c>
      <c r="J391" t="n">
        <v>0</v>
      </c>
      <c r="K391" t="n">
        <v>0</v>
      </c>
      <c r="L391" t="n">
        <v>0</v>
      </c>
      <c r="M391" t="n">
        <v>0</v>
      </c>
      <c r="N391" t="n">
        <v>0</v>
      </c>
      <c r="O391" t="n">
        <v>0</v>
      </c>
      <c r="P391" t="n">
        <v>0</v>
      </c>
      <c r="Q391" t="n">
        <v>0</v>
      </c>
      <c r="R391" s="2" t="inlineStr"/>
    </row>
    <row r="392" ht="15" customHeight="1">
      <c r="A392" t="inlineStr">
        <is>
          <t>A 18980-2025</t>
        </is>
      </c>
      <c r="B392" s="1" t="n">
        <v>45764.55260416667</v>
      </c>
      <c r="C392" s="1" t="n">
        <v>45935</v>
      </c>
      <c r="D392" t="inlineStr">
        <is>
          <t>JÄMTLANDS LÄN</t>
        </is>
      </c>
      <c r="E392" t="inlineStr">
        <is>
          <t>KROKOM</t>
        </is>
      </c>
      <c r="G392" t="n">
        <v>3.2</v>
      </c>
      <c r="H392" t="n">
        <v>0</v>
      </c>
      <c r="I392" t="n">
        <v>0</v>
      </c>
      <c r="J392" t="n">
        <v>0</v>
      </c>
      <c r="K392" t="n">
        <v>0</v>
      </c>
      <c r="L392" t="n">
        <v>0</v>
      </c>
      <c r="M392" t="n">
        <v>0</v>
      </c>
      <c r="N392" t="n">
        <v>0</v>
      </c>
      <c r="O392" t="n">
        <v>0</v>
      </c>
      <c r="P392" t="n">
        <v>0</v>
      </c>
      <c r="Q392" t="n">
        <v>0</v>
      </c>
      <c r="R392" s="2" t="inlineStr"/>
    </row>
    <row r="393" ht="15" customHeight="1">
      <c r="A393" t="inlineStr">
        <is>
          <t>A 1119-2025</t>
        </is>
      </c>
      <c r="B393" s="1" t="n">
        <v>45666.65987268519</v>
      </c>
      <c r="C393" s="1" t="n">
        <v>45935</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52313-2024</t>
        </is>
      </c>
      <c r="B394" s="1" t="n">
        <v>45608.86341435185</v>
      </c>
      <c r="C394" s="1" t="n">
        <v>45935</v>
      </c>
      <c r="D394" t="inlineStr">
        <is>
          <t>JÄMTLANDS LÄN</t>
        </is>
      </c>
      <c r="E394" t="inlineStr">
        <is>
          <t>KROKOM</t>
        </is>
      </c>
      <c r="G394" t="n">
        <v>6.4</v>
      </c>
      <c r="H394" t="n">
        <v>0</v>
      </c>
      <c r="I394" t="n">
        <v>0</v>
      </c>
      <c r="J394" t="n">
        <v>0</v>
      </c>
      <c r="K394" t="n">
        <v>0</v>
      </c>
      <c r="L394" t="n">
        <v>0</v>
      </c>
      <c r="M394" t="n">
        <v>0</v>
      </c>
      <c r="N394" t="n">
        <v>0</v>
      </c>
      <c r="O394" t="n">
        <v>0</v>
      </c>
      <c r="P394" t="n">
        <v>0</v>
      </c>
      <c r="Q394" t="n">
        <v>0</v>
      </c>
      <c r="R394" s="2" t="inlineStr"/>
    </row>
    <row r="395" ht="15" customHeight="1">
      <c r="A395" t="inlineStr">
        <is>
          <t>A 58677-2023</t>
        </is>
      </c>
      <c r="B395" s="1" t="n">
        <v>45251.65152777778</v>
      </c>
      <c r="C395" s="1" t="n">
        <v>45935</v>
      </c>
      <c r="D395" t="inlineStr">
        <is>
          <t>JÄMTLANDS LÄN</t>
        </is>
      </c>
      <c r="E395" t="inlineStr">
        <is>
          <t>KROKOM</t>
        </is>
      </c>
      <c r="G395" t="n">
        <v>3.6</v>
      </c>
      <c r="H395" t="n">
        <v>0</v>
      </c>
      <c r="I395" t="n">
        <v>0</v>
      </c>
      <c r="J395" t="n">
        <v>0</v>
      </c>
      <c r="K395" t="n">
        <v>0</v>
      </c>
      <c r="L395" t="n">
        <v>0</v>
      </c>
      <c r="M395" t="n">
        <v>0</v>
      </c>
      <c r="N395" t="n">
        <v>0</v>
      </c>
      <c r="O395" t="n">
        <v>0</v>
      </c>
      <c r="P395" t="n">
        <v>0</v>
      </c>
      <c r="Q395" t="n">
        <v>0</v>
      </c>
      <c r="R395" s="2" t="inlineStr"/>
    </row>
    <row r="396" ht="15" customHeight="1">
      <c r="A396" t="inlineStr">
        <is>
          <t>A 67488-2021</t>
        </is>
      </c>
      <c r="B396" s="1" t="n">
        <v>44524</v>
      </c>
      <c r="C396" s="1" t="n">
        <v>45935</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68658-2020</t>
        </is>
      </c>
      <c r="B397" s="1" t="n">
        <v>44186</v>
      </c>
      <c r="C397" s="1" t="n">
        <v>45935</v>
      </c>
      <c r="D397" t="inlineStr">
        <is>
          <t>JÄMTLANDS LÄN</t>
        </is>
      </c>
      <c r="E397" t="inlineStr">
        <is>
          <t>KROKOM</t>
        </is>
      </c>
      <c r="G397" t="n">
        <v>1.3</v>
      </c>
      <c r="H397" t="n">
        <v>0</v>
      </c>
      <c r="I397" t="n">
        <v>0</v>
      </c>
      <c r="J397" t="n">
        <v>0</v>
      </c>
      <c r="K397" t="n">
        <v>0</v>
      </c>
      <c r="L397" t="n">
        <v>0</v>
      </c>
      <c r="M397" t="n">
        <v>0</v>
      </c>
      <c r="N397" t="n">
        <v>0</v>
      </c>
      <c r="O397" t="n">
        <v>0</v>
      </c>
      <c r="P397" t="n">
        <v>0</v>
      </c>
      <c r="Q397" t="n">
        <v>0</v>
      </c>
      <c r="R397" s="2" t="inlineStr"/>
    </row>
    <row r="398" ht="15" customHeight="1">
      <c r="A398" t="inlineStr">
        <is>
          <t>A 22411-2024</t>
        </is>
      </c>
      <c r="B398" s="1" t="n">
        <v>45446.68733796296</v>
      </c>
      <c r="C398" s="1" t="n">
        <v>45935</v>
      </c>
      <c r="D398" t="inlineStr">
        <is>
          <t>JÄMTLANDS LÄN</t>
        </is>
      </c>
      <c r="E398" t="inlineStr">
        <is>
          <t>KROKOM</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20966-2023</t>
        </is>
      </c>
      <c r="B399" s="1" t="n">
        <v>45056</v>
      </c>
      <c r="C399" s="1" t="n">
        <v>45935</v>
      </c>
      <c r="D399" t="inlineStr">
        <is>
          <t>JÄMTLANDS LÄN</t>
        </is>
      </c>
      <c r="E399" t="inlineStr">
        <is>
          <t>KROKOM</t>
        </is>
      </c>
      <c r="G399" t="n">
        <v>0.9</v>
      </c>
      <c r="H399" t="n">
        <v>0</v>
      </c>
      <c r="I399" t="n">
        <v>0</v>
      </c>
      <c r="J399" t="n">
        <v>0</v>
      </c>
      <c r="K399" t="n">
        <v>0</v>
      </c>
      <c r="L399" t="n">
        <v>0</v>
      </c>
      <c r="M399" t="n">
        <v>0</v>
      </c>
      <c r="N399" t="n">
        <v>0</v>
      </c>
      <c r="O399" t="n">
        <v>0</v>
      </c>
      <c r="P399" t="n">
        <v>0</v>
      </c>
      <c r="Q399" t="n">
        <v>0</v>
      </c>
      <c r="R399" s="2" t="inlineStr"/>
    </row>
    <row r="400" ht="15" customHeight="1">
      <c r="A400" t="inlineStr">
        <is>
          <t>A 51929-2023</t>
        </is>
      </c>
      <c r="B400" s="1" t="n">
        <v>45216</v>
      </c>
      <c r="C400" s="1" t="n">
        <v>45935</v>
      </c>
      <c r="D400" t="inlineStr">
        <is>
          <t>JÄMTLANDS LÄN</t>
        </is>
      </c>
      <c r="E400" t="inlineStr">
        <is>
          <t>KROKOM</t>
        </is>
      </c>
      <c r="G400" t="n">
        <v>0.8</v>
      </c>
      <c r="H400" t="n">
        <v>0</v>
      </c>
      <c r="I400" t="n">
        <v>0</v>
      </c>
      <c r="J400" t="n">
        <v>0</v>
      </c>
      <c r="K400" t="n">
        <v>0</v>
      </c>
      <c r="L400" t="n">
        <v>0</v>
      </c>
      <c r="M400" t="n">
        <v>0</v>
      </c>
      <c r="N400" t="n">
        <v>0</v>
      </c>
      <c r="O400" t="n">
        <v>0</v>
      </c>
      <c r="P400" t="n">
        <v>0</v>
      </c>
      <c r="Q400" t="n">
        <v>0</v>
      </c>
      <c r="R400" s="2" t="inlineStr"/>
    </row>
    <row r="401" ht="15" customHeight="1">
      <c r="A401" t="inlineStr">
        <is>
          <t>A 42825-2023</t>
        </is>
      </c>
      <c r="B401" s="1" t="n">
        <v>45182</v>
      </c>
      <c r="C401" s="1" t="n">
        <v>45935</v>
      </c>
      <c r="D401" t="inlineStr">
        <is>
          <t>JÄMTLANDS LÄN</t>
        </is>
      </c>
      <c r="E401" t="inlineStr">
        <is>
          <t>KROKOM</t>
        </is>
      </c>
      <c r="G401" t="n">
        <v>0.2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45935</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33653-2023</t>
        </is>
      </c>
      <c r="B403" s="1" t="n">
        <v>45119</v>
      </c>
      <c r="C403" s="1" t="n">
        <v>45935</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30016-2024</t>
        </is>
      </c>
      <c r="B404" s="1" t="n">
        <v>45485</v>
      </c>
      <c r="C404" s="1" t="n">
        <v>45935</v>
      </c>
      <c r="D404" t="inlineStr">
        <is>
          <t>JÄMTLANDS LÄN</t>
        </is>
      </c>
      <c r="E404" t="inlineStr">
        <is>
          <t>KROKOM</t>
        </is>
      </c>
      <c r="G404" t="n">
        <v>0.7</v>
      </c>
      <c r="H404" t="n">
        <v>0</v>
      </c>
      <c r="I404" t="n">
        <v>0</v>
      </c>
      <c r="J404" t="n">
        <v>0</v>
      </c>
      <c r="K404" t="n">
        <v>0</v>
      </c>
      <c r="L404" t="n">
        <v>0</v>
      </c>
      <c r="M404" t="n">
        <v>0</v>
      </c>
      <c r="N404" t="n">
        <v>0</v>
      </c>
      <c r="O404" t="n">
        <v>0</v>
      </c>
      <c r="P404" t="n">
        <v>0</v>
      </c>
      <c r="Q404" t="n">
        <v>0</v>
      </c>
      <c r="R404" s="2" t="inlineStr"/>
    </row>
    <row r="405" ht="15" customHeight="1">
      <c r="A405" t="inlineStr">
        <is>
          <t>A 6804-2025</t>
        </is>
      </c>
      <c r="B405" s="1" t="n">
        <v>45700.6833912037</v>
      </c>
      <c r="C405" s="1" t="n">
        <v>45935</v>
      </c>
      <c r="D405" t="inlineStr">
        <is>
          <t>JÄMTLANDS LÄN</t>
        </is>
      </c>
      <c r="E405" t="inlineStr">
        <is>
          <t>KROKOM</t>
        </is>
      </c>
      <c r="G405" t="n">
        <v>2.2</v>
      </c>
      <c r="H405" t="n">
        <v>0</v>
      </c>
      <c r="I405" t="n">
        <v>0</v>
      </c>
      <c r="J405" t="n">
        <v>0</v>
      </c>
      <c r="K405" t="n">
        <v>0</v>
      </c>
      <c r="L405" t="n">
        <v>0</v>
      </c>
      <c r="M405" t="n">
        <v>0</v>
      </c>
      <c r="N405" t="n">
        <v>0</v>
      </c>
      <c r="O405" t="n">
        <v>0</v>
      </c>
      <c r="P405" t="n">
        <v>0</v>
      </c>
      <c r="Q405" t="n">
        <v>0</v>
      </c>
      <c r="R405" s="2" t="inlineStr"/>
    </row>
    <row r="406" ht="15" customHeight="1">
      <c r="A406" t="inlineStr">
        <is>
          <t>A 24484-2024</t>
        </is>
      </c>
      <c r="B406" s="1" t="n">
        <v>45459.55150462963</v>
      </c>
      <c r="C406" s="1" t="n">
        <v>45935</v>
      </c>
      <c r="D406" t="inlineStr">
        <is>
          <t>JÄMTLANDS LÄN</t>
        </is>
      </c>
      <c r="E406" t="inlineStr">
        <is>
          <t>KROKOM</t>
        </is>
      </c>
      <c r="F406" t="inlineStr">
        <is>
          <t>Övriga Aktiebolag</t>
        </is>
      </c>
      <c r="G406" t="n">
        <v>1.4</v>
      </c>
      <c r="H406" t="n">
        <v>0</v>
      </c>
      <c r="I406" t="n">
        <v>0</v>
      </c>
      <c r="J406" t="n">
        <v>0</v>
      </c>
      <c r="K406" t="n">
        <v>0</v>
      </c>
      <c r="L406" t="n">
        <v>0</v>
      </c>
      <c r="M406" t="n">
        <v>0</v>
      </c>
      <c r="N406" t="n">
        <v>0</v>
      </c>
      <c r="O406" t="n">
        <v>0</v>
      </c>
      <c r="P406" t="n">
        <v>0</v>
      </c>
      <c r="Q406" t="n">
        <v>0</v>
      </c>
      <c r="R406" s="2" t="inlineStr"/>
    </row>
    <row r="407" ht="15" customHeight="1">
      <c r="A407" t="inlineStr">
        <is>
          <t>A 64163-2023</t>
        </is>
      </c>
      <c r="B407" s="1" t="n">
        <v>45279</v>
      </c>
      <c r="C407" s="1" t="n">
        <v>45935</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53540-2024</t>
        </is>
      </c>
      <c r="B408" s="1" t="n">
        <v>45614.63575231482</v>
      </c>
      <c r="C408" s="1" t="n">
        <v>45935</v>
      </c>
      <c r="D408" t="inlineStr">
        <is>
          <t>JÄMTLANDS LÄN</t>
        </is>
      </c>
      <c r="E408" t="inlineStr">
        <is>
          <t>KROKOM</t>
        </is>
      </c>
      <c r="G408" t="n">
        <v>4.7</v>
      </c>
      <c r="H408" t="n">
        <v>0</v>
      </c>
      <c r="I408" t="n">
        <v>0</v>
      </c>
      <c r="J408" t="n">
        <v>0</v>
      </c>
      <c r="K408" t="n">
        <v>0</v>
      </c>
      <c r="L408" t="n">
        <v>0</v>
      </c>
      <c r="M408" t="n">
        <v>0</v>
      </c>
      <c r="N408" t="n">
        <v>0</v>
      </c>
      <c r="O408" t="n">
        <v>0</v>
      </c>
      <c r="P408" t="n">
        <v>0</v>
      </c>
      <c r="Q408" t="n">
        <v>0</v>
      </c>
      <c r="R408" s="2" t="inlineStr"/>
    </row>
    <row r="409" ht="15" customHeight="1">
      <c r="A409" t="inlineStr">
        <is>
          <t>A 29896-2021</t>
        </is>
      </c>
      <c r="B409" s="1" t="n">
        <v>44362</v>
      </c>
      <c r="C409" s="1" t="n">
        <v>45935</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6991-2025</t>
        </is>
      </c>
      <c r="B410" s="1" t="n">
        <v>45701.57363425926</v>
      </c>
      <c r="C410" s="1" t="n">
        <v>45935</v>
      </c>
      <c r="D410" t="inlineStr">
        <is>
          <t>JÄMTLANDS LÄN</t>
        </is>
      </c>
      <c r="E410" t="inlineStr">
        <is>
          <t>KROKOM</t>
        </is>
      </c>
      <c r="G410" t="n">
        <v>4.9</v>
      </c>
      <c r="H410" t="n">
        <v>0</v>
      </c>
      <c r="I410" t="n">
        <v>0</v>
      </c>
      <c r="J410" t="n">
        <v>0</v>
      </c>
      <c r="K410" t="n">
        <v>0</v>
      </c>
      <c r="L410" t="n">
        <v>0</v>
      </c>
      <c r="M410" t="n">
        <v>0</v>
      </c>
      <c r="N410" t="n">
        <v>0</v>
      </c>
      <c r="O410" t="n">
        <v>0</v>
      </c>
      <c r="P410" t="n">
        <v>0</v>
      </c>
      <c r="Q410" t="n">
        <v>0</v>
      </c>
      <c r="R410" s="2" t="inlineStr"/>
    </row>
    <row r="411" ht="15" customHeight="1">
      <c r="A411" t="inlineStr">
        <is>
          <t>A 51345-2022</t>
        </is>
      </c>
      <c r="B411" s="1" t="n">
        <v>44866</v>
      </c>
      <c r="C411" s="1" t="n">
        <v>45935</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15876-2025</t>
        </is>
      </c>
      <c r="B412" s="1" t="n">
        <v>45749.38379629629</v>
      </c>
      <c r="C412" s="1" t="n">
        <v>45935</v>
      </c>
      <c r="D412" t="inlineStr">
        <is>
          <t>JÄMTLANDS LÄN</t>
        </is>
      </c>
      <c r="E412" t="inlineStr">
        <is>
          <t>KROKOM</t>
        </is>
      </c>
      <c r="G412" t="n">
        <v>2.9</v>
      </c>
      <c r="H412" t="n">
        <v>0</v>
      </c>
      <c r="I412" t="n">
        <v>0</v>
      </c>
      <c r="J412" t="n">
        <v>0</v>
      </c>
      <c r="K412" t="n">
        <v>0</v>
      </c>
      <c r="L412" t="n">
        <v>0</v>
      </c>
      <c r="M412" t="n">
        <v>0</v>
      </c>
      <c r="N412" t="n">
        <v>0</v>
      </c>
      <c r="O412" t="n">
        <v>0</v>
      </c>
      <c r="P412" t="n">
        <v>0</v>
      </c>
      <c r="Q412" t="n">
        <v>0</v>
      </c>
      <c r="R412" s="2" t="inlineStr"/>
    </row>
    <row r="413" ht="15" customHeight="1">
      <c r="A413" t="inlineStr">
        <is>
          <t>A 27954-2024</t>
        </is>
      </c>
      <c r="B413" s="1" t="n">
        <v>45476</v>
      </c>
      <c r="C413" s="1" t="n">
        <v>45935</v>
      </c>
      <c r="D413" t="inlineStr">
        <is>
          <t>JÄMTLANDS LÄN</t>
        </is>
      </c>
      <c r="E413" t="inlineStr">
        <is>
          <t>KROKOM</t>
        </is>
      </c>
      <c r="G413" t="n">
        <v>0.1</v>
      </c>
      <c r="H413" t="n">
        <v>0</v>
      </c>
      <c r="I413" t="n">
        <v>0</v>
      </c>
      <c r="J413" t="n">
        <v>0</v>
      </c>
      <c r="K413" t="n">
        <v>0</v>
      </c>
      <c r="L413" t="n">
        <v>0</v>
      </c>
      <c r="M413" t="n">
        <v>0</v>
      </c>
      <c r="N413" t="n">
        <v>0</v>
      </c>
      <c r="O413" t="n">
        <v>0</v>
      </c>
      <c r="P413" t="n">
        <v>0</v>
      </c>
      <c r="Q413" t="n">
        <v>0</v>
      </c>
      <c r="R413" s="2" t="inlineStr"/>
    </row>
    <row r="414" ht="15" customHeight="1">
      <c r="A414" t="inlineStr">
        <is>
          <t>A 38748-2024</t>
        </is>
      </c>
      <c r="B414" s="1" t="n">
        <v>45547.42736111111</v>
      </c>
      <c r="C414" s="1" t="n">
        <v>45935</v>
      </c>
      <c r="D414" t="inlineStr">
        <is>
          <t>JÄMTLANDS LÄN</t>
        </is>
      </c>
      <c r="E414" t="inlineStr">
        <is>
          <t>KROKOM</t>
        </is>
      </c>
      <c r="G414" t="n">
        <v>0.1</v>
      </c>
      <c r="H414" t="n">
        <v>0</v>
      </c>
      <c r="I414" t="n">
        <v>0</v>
      </c>
      <c r="J414" t="n">
        <v>0</v>
      </c>
      <c r="K414" t="n">
        <v>0</v>
      </c>
      <c r="L414" t="n">
        <v>0</v>
      </c>
      <c r="M414" t="n">
        <v>0</v>
      </c>
      <c r="N414" t="n">
        <v>0</v>
      </c>
      <c r="O414" t="n">
        <v>0</v>
      </c>
      <c r="P414" t="n">
        <v>0</v>
      </c>
      <c r="Q414" t="n">
        <v>0</v>
      </c>
      <c r="R414" s="2" t="inlineStr"/>
    </row>
    <row r="415" ht="15" customHeight="1">
      <c r="A415" t="inlineStr">
        <is>
          <t>A 43785-2025</t>
        </is>
      </c>
      <c r="B415" s="1" t="n">
        <v>45912</v>
      </c>
      <c r="C415" s="1" t="n">
        <v>45935</v>
      </c>
      <c r="D415" t="inlineStr">
        <is>
          <t>JÄMTLANDS LÄN</t>
        </is>
      </c>
      <c r="E415" t="inlineStr">
        <is>
          <t>KROKOM</t>
        </is>
      </c>
      <c r="G415" t="n">
        <v>2</v>
      </c>
      <c r="H415" t="n">
        <v>0</v>
      </c>
      <c r="I415" t="n">
        <v>0</v>
      </c>
      <c r="J415" t="n">
        <v>0</v>
      </c>
      <c r="K415" t="n">
        <v>0</v>
      </c>
      <c r="L415" t="n">
        <v>0</v>
      </c>
      <c r="M415" t="n">
        <v>0</v>
      </c>
      <c r="N415" t="n">
        <v>0</v>
      </c>
      <c r="O415" t="n">
        <v>0</v>
      </c>
      <c r="P415" t="n">
        <v>0</v>
      </c>
      <c r="Q415" t="n">
        <v>0</v>
      </c>
      <c r="R415" s="2" t="inlineStr"/>
    </row>
    <row r="416" ht="15" customHeight="1">
      <c r="A416" t="inlineStr">
        <is>
          <t>A 15761-2025</t>
        </is>
      </c>
      <c r="B416" s="1" t="n">
        <v>45748.57269675926</v>
      </c>
      <c r="C416" s="1" t="n">
        <v>45935</v>
      </c>
      <c r="D416" t="inlineStr">
        <is>
          <t>JÄMTLANDS LÄN</t>
        </is>
      </c>
      <c r="E416" t="inlineStr">
        <is>
          <t>KROKOM</t>
        </is>
      </c>
      <c r="G416" t="n">
        <v>48.1</v>
      </c>
      <c r="H416" t="n">
        <v>0</v>
      </c>
      <c r="I416" t="n">
        <v>0</v>
      </c>
      <c r="J416" t="n">
        <v>0</v>
      </c>
      <c r="K416" t="n">
        <v>0</v>
      </c>
      <c r="L416" t="n">
        <v>0</v>
      </c>
      <c r="M416" t="n">
        <v>0</v>
      </c>
      <c r="N416" t="n">
        <v>0</v>
      </c>
      <c r="O416" t="n">
        <v>0</v>
      </c>
      <c r="P416" t="n">
        <v>0</v>
      </c>
      <c r="Q416" t="n">
        <v>0</v>
      </c>
      <c r="R416" s="2" t="inlineStr"/>
    </row>
    <row r="417" ht="15" customHeight="1">
      <c r="A417" t="inlineStr">
        <is>
          <t>A 60122-2024</t>
        </is>
      </c>
      <c r="B417" s="1" t="n">
        <v>45639</v>
      </c>
      <c r="C417" s="1" t="n">
        <v>45935</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4423-2025</t>
        </is>
      </c>
      <c r="B418" s="1" t="n">
        <v>45686</v>
      </c>
      <c r="C418" s="1" t="n">
        <v>45935</v>
      </c>
      <c r="D418" t="inlineStr">
        <is>
          <t>JÄMTLANDS LÄN</t>
        </is>
      </c>
      <c r="E418" t="inlineStr">
        <is>
          <t>KROKOM</t>
        </is>
      </c>
      <c r="G418" t="n">
        <v>17.3</v>
      </c>
      <c r="H418" t="n">
        <v>0</v>
      </c>
      <c r="I418" t="n">
        <v>0</v>
      </c>
      <c r="J418" t="n">
        <v>0</v>
      </c>
      <c r="K418" t="n">
        <v>0</v>
      </c>
      <c r="L418" t="n">
        <v>0</v>
      </c>
      <c r="M418" t="n">
        <v>0</v>
      </c>
      <c r="N418" t="n">
        <v>0</v>
      </c>
      <c r="O418" t="n">
        <v>0</v>
      </c>
      <c r="P418" t="n">
        <v>0</v>
      </c>
      <c r="Q418" t="n">
        <v>0</v>
      </c>
      <c r="R418" s="2" t="inlineStr"/>
    </row>
    <row r="419" ht="15" customHeight="1">
      <c r="A419" t="inlineStr">
        <is>
          <t>A 32244-2024</t>
        </is>
      </c>
      <c r="B419" s="1" t="n">
        <v>45511.95109953704</v>
      </c>
      <c r="C419" s="1" t="n">
        <v>45935</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32692-2023</t>
        </is>
      </c>
      <c r="B420" s="1" t="n">
        <v>45112</v>
      </c>
      <c r="C420" s="1" t="n">
        <v>45935</v>
      </c>
      <c r="D420" t="inlineStr">
        <is>
          <t>JÄMTLANDS LÄN</t>
        </is>
      </c>
      <c r="E420" t="inlineStr">
        <is>
          <t>KROKOM</t>
        </is>
      </c>
      <c r="G420" t="n">
        <v>6.6</v>
      </c>
      <c r="H420" t="n">
        <v>0</v>
      </c>
      <c r="I420" t="n">
        <v>0</v>
      </c>
      <c r="J420" t="n">
        <v>0</v>
      </c>
      <c r="K420" t="n">
        <v>0</v>
      </c>
      <c r="L420" t="n">
        <v>0</v>
      </c>
      <c r="M420" t="n">
        <v>0</v>
      </c>
      <c r="N420" t="n">
        <v>0</v>
      </c>
      <c r="O420" t="n">
        <v>0</v>
      </c>
      <c r="P420" t="n">
        <v>0</v>
      </c>
      <c r="Q420" t="n">
        <v>0</v>
      </c>
      <c r="R420" s="2" t="inlineStr"/>
    </row>
    <row r="421" ht="15" customHeight="1">
      <c r="A421" t="inlineStr">
        <is>
          <t>A 10646-2025</t>
        </is>
      </c>
      <c r="B421" s="1" t="n">
        <v>45721.66456018519</v>
      </c>
      <c r="C421" s="1" t="n">
        <v>45935</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43996-2025</t>
        </is>
      </c>
      <c r="B422" s="1" t="n">
        <v>45915</v>
      </c>
      <c r="C422" s="1" t="n">
        <v>45935</v>
      </c>
      <c r="D422" t="inlineStr">
        <is>
          <t>JÄMTLANDS LÄN</t>
        </is>
      </c>
      <c r="E422" t="inlineStr">
        <is>
          <t>KROKOM</t>
        </is>
      </c>
      <c r="G422" t="n">
        <v>24.2</v>
      </c>
      <c r="H422" t="n">
        <v>0</v>
      </c>
      <c r="I422" t="n">
        <v>0</v>
      </c>
      <c r="J422" t="n">
        <v>0</v>
      </c>
      <c r="K422" t="n">
        <v>0</v>
      </c>
      <c r="L422" t="n">
        <v>0</v>
      </c>
      <c r="M422" t="n">
        <v>0</v>
      </c>
      <c r="N422" t="n">
        <v>0</v>
      </c>
      <c r="O422" t="n">
        <v>0</v>
      </c>
      <c r="P422" t="n">
        <v>0</v>
      </c>
      <c r="Q422" t="n">
        <v>0</v>
      </c>
      <c r="R422" s="2" t="inlineStr"/>
    </row>
    <row r="423" ht="15" customHeight="1">
      <c r="A423" t="inlineStr">
        <is>
          <t>A 14029-2024</t>
        </is>
      </c>
      <c r="B423" s="1" t="n">
        <v>45392</v>
      </c>
      <c r="C423" s="1" t="n">
        <v>45935</v>
      </c>
      <c r="D423" t="inlineStr">
        <is>
          <t>JÄMTLANDS LÄN</t>
        </is>
      </c>
      <c r="E423" t="inlineStr">
        <is>
          <t>KROKOM</t>
        </is>
      </c>
      <c r="F423" t="inlineStr">
        <is>
          <t>Kyrkan</t>
        </is>
      </c>
      <c r="G423" t="n">
        <v>1.1</v>
      </c>
      <c r="H423" t="n">
        <v>0</v>
      </c>
      <c r="I423" t="n">
        <v>0</v>
      </c>
      <c r="J423" t="n">
        <v>0</v>
      </c>
      <c r="K423" t="n">
        <v>0</v>
      </c>
      <c r="L423" t="n">
        <v>0</v>
      </c>
      <c r="M423" t="n">
        <v>0</v>
      </c>
      <c r="N423" t="n">
        <v>0</v>
      </c>
      <c r="O423" t="n">
        <v>0</v>
      </c>
      <c r="P423" t="n">
        <v>0</v>
      </c>
      <c r="Q423" t="n">
        <v>0</v>
      </c>
      <c r="R423" s="2" t="inlineStr"/>
    </row>
    <row r="424" ht="15" customHeight="1">
      <c r="A424" t="inlineStr">
        <is>
          <t>A 25428-2022</t>
        </is>
      </c>
      <c r="B424" s="1" t="n">
        <v>44732</v>
      </c>
      <c r="C424" s="1" t="n">
        <v>45935</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15432-2025</t>
        </is>
      </c>
      <c r="B425" s="1" t="n">
        <v>45747.47025462963</v>
      </c>
      <c r="C425" s="1" t="n">
        <v>45935</v>
      </c>
      <c r="D425" t="inlineStr">
        <is>
          <t>JÄMTLANDS LÄN</t>
        </is>
      </c>
      <c r="E425" t="inlineStr">
        <is>
          <t>KROKOM</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44138-2025</t>
        </is>
      </c>
      <c r="B426" s="1" t="n">
        <v>45915.58836805556</v>
      </c>
      <c r="C426" s="1" t="n">
        <v>45935</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17591-2023</t>
        </is>
      </c>
      <c r="B427" s="1" t="n">
        <v>45036</v>
      </c>
      <c r="C427" s="1" t="n">
        <v>45935</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17594-2023</t>
        </is>
      </c>
      <c r="B428" s="1" t="n">
        <v>45036</v>
      </c>
      <c r="C428" s="1" t="n">
        <v>45935</v>
      </c>
      <c r="D428" t="inlineStr">
        <is>
          <t>JÄMTLANDS LÄN</t>
        </is>
      </c>
      <c r="E428" t="inlineStr">
        <is>
          <t>KROKOM</t>
        </is>
      </c>
      <c r="G428" t="n">
        <v>5.5</v>
      </c>
      <c r="H428" t="n">
        <v>0</v>
      </c>
      <c r="I428" t="n">
        <v>0</v>
      </c>
      <c r="J428" t="n">
        <v>0</v>
      </c>
      <c r="K428" t="n">
        <v>0</v>
      </c>
      <c r="L428" t="n">
        <v>0</v>
      </c>
      <c r="M428" t="n">
        <v>0</v>
      </c>
      <c r="N428" t="n">
        <v>0</v>
      </c>
      <c r="O428" t="n">
        <v>0</v>
      </c>
      <c r="P428" t="n">
        <v>0</v>
      </c>
      <c r="Q428" t="n">
        <v>0</v>
      </c>
      <c r="R428" s="2" t="inlineStr"/>
    </row>
    <row r="429" ht="15" customHeight="1">
      <c r="A429" t="inlineStr">
        <is>
          <t>A 47098-2024</t>
        </is>
      </c>
      <c r="B429" s="1" t="n">
        <v>45586.53618055556</v>
      </c>
      <c r="C429" s="1" t="n">
        <v>45935</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7962-2023</t>
        </is>
      </c>
      <c r="B430" s="1" t="n">
        <v>44970</v>
      </c>
      <c r="C430" s="1" t="n">
        <v>45935</v>
      </c>
      <c r="D430" t="inlineStr">
        <is>
          <t>JÄMTLANDS LÄN</t>
        </is>
      </c>
      <c r="E430" t="inlineStr">
        <is>
          <t>KROKOM</t>
        </is>
      </c>
      <c r="G430" t="n">
        <v>12.2</v>
      </c>
      <c r="H430" t="n">
        <v>0</v>
      </c>
      <c r="I430" t="n">
        <v>0</v>
      </c>
      <c r="J430" t="n">
        <v>0</v>
      </c>
      <c r="K430" t="n">
        <v>0</v>
      </c>
      <c r="L430" t="n">
        <v>0</v>
      </c>
      <c r="M430" t="n">
        <v>0</v>
      </c>
      <c r="N430" t="n">
        <v>0</v>
      </c>
      <c r="O430" t="n">
        <v>0</v>
      </c>
      <c r="P430" t="n">
        <v>0</v>
      </c>
      <c r="Q430" t="n">
        <v>0</v>
      </c>
      <c r="R430" s="2" t="inlineStr"/>
    </row>
    <row r="431" ht="15" customHeight="1">
      <c r="A431" t="inlineStr">
        <is>
          <t>A 9963-2025</t>
        </is>
      </c>
      <c r="B431" s="1" t="n">
        <v>45719.37307870371</v>
      </c>
      <c r="C431" s="1" t="n">
        <v>45935</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10397-2025</t>
        </is>
      </c>
      <c r="B432" s="1" t="n">
        <v>45720.60774305555</v>
      </c>
      <c r="C432" s="1" t="n">
        <v>45935</v>
      </c>
      <c r="D432" t="inlineStr">
        <is>
          <t>JÄMTLANDS LÄN</t>
        </is>
      </c>
      <c r="E432" t="inlineStr">
        <is>
          <t>KROKOM</t>
        </is>
      </c>
      <c r="F432" t="inlineStr">
        <is>
          <t>Övriga Aktiebolag</t>
        </is>
      </c>
      <c r="G432" t="n">
        <v>32.9</v>
      </c>
      <c r="H432" t="n">
        <v>0</v>
      </c>
      <c r="I432" t="n">
        <v>0</v>
      </c>
      <c r="J432" t="n">
        <v>0</v>
      </c>
      <c r="K432" t="n">
        <v>0</v>
      </c>
      <c r="L432" t="n">
        <v>0</v>
      </c>
      <c r="M432" t="n">
        <v>0</v>
      </c>
      <c r="N432" t="n">
        <v>0</v>
      </c>
      <c r="O432" t="n">
        <v>0</v>
      </c>
      <c r="P432" t="n">
        <v>0</v>
      </c>
      <c r="Q432" t="n">
        <v>0</v>
      </c>
      <c r="R432" s="2" t="inlineStr"/>
    </row>
    <row r="433" ht="15" customHeight="1">
      <c r="A433" t="inlineStr">
        <is>
          <t>A 40394-2024</t>
        </is>
      </c>
      <c r="B433" s="1" t="n">
        <v>45555.43584490741</v>
      </c>
      <c r="C433" s="1" t="n">
        <v>45935</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17820-2024</t>
        </is>
      </c>
      <c r="B434" s="1" t="n">
        <v>45418.94616898148</v>
      </c>
      <c r="C434" s="1" t="n">
        <v>45935</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24333-2024</t>
        </is>
      </c>
      <c r="B435" s="1" t="n">
        <v>45457.55922453704</v>
      </c>
      <c r="C435" s="1" t="n">
        <v>45935</v>
      </c>
      <c r="D435" t="inlineStr">
        <is>
          <t>JÄMTLANDS LÄN</t>
        </is>
      </c>
      <c r="E435" t="inlineStr">
        <is>
          <t>KROKOM</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15528-2024</t>
        </is>
      </c>
      <c r="B436" s="1" t="n">
        <v>45401.59810185185</v>
      </c>
      <c r="C436" s="1" t="n">
        <v>45935</v>
      </c>
      <c r="D436" t="inlineStr">
        <is>
          <t>JÄMTLANDS LÄN</t>
        </is>
      </c>
      <c r="E436" t="inlineStr">
        <is>
          <t>KROKOM</t>
        </is>
      </c>
      <c r="G436" t="n">
        <v>2.9</v>
      </c>
      <c r="H436" t="n">
        <v>0</v>
      </c>
      <c r="I436" t="n">
        <v>0</v>
      </c>
      <c r="J436" t="n">
        <v>0</v>
      </c>
      <c r="K436" t="n">
        <v>0</v>
      </c>
      <c r="L436" t="n">
        <v>0</v>
      </c>
      <c r="M436" t="n">
        <v>0</v>
      </c>
      <c r="N436" t="n">
        <v>0</v>
      </c>
      <c r="O436" t="n">
        <v>0</v>
      </c>
      <c r="P436" t="n">
        <v>0</v>
      </c>
      <c r="Q436" t="n">
        <v>0</v>
      </c>
      <c r="R436" s="2" t="inlineStr"/>
    </row>
    <row r="437" ht="15" customHeight="1">
      <c r="A437" t="inlineStr">
        <is>
          <t>A 50206-2024</t>
        </is>
      </c>
      <c r="B437" s="1" t="n">
        <v>45600.49616898148</v>
      </c>
      <c r="C437" s="1" t="n">
        <v>45935</v>
      </c>
      <c r="D437" t="inlineStr">
        <is>
          <t>JÄMTLANDS LÄN</t>
        </is>
      </c>
      <c r="E437" t="inlineStr">
        <is>
          <t>KROKOM</t>
        </is>
      </c>
      <c r="G437" t="n">
        <v>2.9</v>
      </c>
      <c r="H437" t="n">
        <v>0</v>
      </c>
      <c r="I437" t="n">
        <v>0</v>
      </c>
      <c r="J437" t="n">
        <v>0</v>
      </c>
      <c r="K437" t="n">
        <v>0</v>
      </c>
      <c r="L437" t="n">
        <v>0</v>
      </c>
      <c r="M437" t="n">
        <v>0</v>
      </c>
      <c r="N437" t="n">
        <v>0</v>
      </c>
      <c r="O437" t="n">
        <v>0</v>
      </c>
      <c r="P437" t="n">
        <v>0</v>
      </c>
      <c r="Q437" t="n">
        <v>0</v>
      </c>
      <c r="R437" s="2" t="inlineStr"/>
    </row>
    <row r="438" ht="15" customHeight="1">
      <c r="A438" t="inlineStr">
        <is>
          <t>A 10533-2025</t>
        </is>
      </c>
      <c r="B438" s="1" t="n">
        <v>45721.45563657407</v>
      </c>
      <c r="C438" s="1" t="n">
        <v>45935</v>
      </c>
      <c r="D438" t="inlineStr">
        <is>
          <t>JÄMTLANDS LÄN</t>
        </is>
      </c>
      <c r="E438" t="inlineStr">
        <is>
          <t>KROKOM</t>
        </is>
      </c>
      <c r="F438" t="inlineStr">
        <is>
          <t>SCA</t>
        </is>
      </c>
      <c r="G438" t="n">
        <v>64.90000000000001</v>
      </c>
      <c r="H438" t="n">
        <v>0</v>
      </c>
      <c r="I438" t="n">
        <v>0</v>
      </c>
      <c r="J438" t="n">
        <v>0</v>
      </c>
      <c r="K438" t="n">
        <v>0</v>
      </c>
      <c r="L438" t="n">
        <v>0</v>
      </c>
      <c r="M438" t="n">
        <v>0</v>
      </c>
      <c r="N438" t="n">
        <v>0</v>
      </c>
      <c r="O438" t="n">
        <v>0</v>
      </c>
      <c r="P438" t="n">
        <v>0</v>
      </c>
      <c r="Q438" t="n">
        <v>0</v>
      </c>
      <c r="R438" s="2" t="inlineStr"/>
    </row>
    <row r="439" ht="15" customHeight="1">
      <c r="A439" t="inlineStr">
        <is>
          <t>A 51910-2023</t>
        </is>
      </c>
      <c r="B439" s="1" t="n">
        <v>45216</v>
      </c>
      <c r="C439" s="1" t="n">
        <v>45935</v>
      </c>
      <c r="D439" t="inlineStr">
        <is>
          <t>JÄMTLANDS LÄN</t>
        </is>
      </c>
      <c r="E439" t="inlineStr">
        <is>
          <t>KROKOM</t>
        </is>
      </c>
      <c r="G439" t="n">
        <v>1.8</v>
      </c>
      <c r="H439" t="n">
        <v>0</v>
      </c>
      <c r="I439" t="n">
        <v>0</v>
      </c>
      <c r="J439" t="n">
        <v>0</v>
      </c>
      <c r="K439" t="n">
        <v>0</v>
      </c>
      <c r="L439" t="n">
        <v>0</v>
      </c>
      <c r="M439" t="n">
        <v>0</v>
      </c>
      <c r="N439" t="n">
        <v>0</v>
      </c>
      <c r="O439" t="n">
        <v>0</v>
      </c>
      <c r="P439" t="n">
        <v>0</v>
      </c>
      <c r="Q439" t="n">
        <v>0</v>
      </c>
      <c r="R439" s="2" t="inlineStr"/>
    </row>
    <row r="440" ht="15" customHeight="1">
      <c r="A440" t="inlineStr">
        <is>
          <t>A 45869-2024</t>
        </is>
      </c>
      <c r="B440" s="1" t="n">
        <v>45580.36991898148</v>
      </c>
      <c r="C440" s="1" t="n">
        <v>45935</v>
      </c>
      <c r="D440" t="inlineStr">
        <is>
          <t>JÄMTLANDS LÄN</t>
        </is>
      </c>
      <c r="E440" t="inlineStr">
        <is>
          <t>KROKOM</t>
        </is>
      </c>
      <c r="F440" t="inlineStr">
        <is>
          <t>Övriga Aktiebolag</t>
        </is>
      </c>
      <c r="G440" t="n">
        <v>4.1</v>
      </c>
      <c r="H440" t="n">
        <v>0</v>
      </c>
      <c r="I440" t="n">
        <v>0</v>
      </c>
      <c r="J440" t="n">
        <v>0</v>
      </c>
      <c r="K440" t="n">
        <v>0</v>
      </c>
      <c r="L440" t="n">
        <v>0</v>
      </c>
      <c r="M440" t="n">
        <v>0</v>
      </c>
      <c r="N440" t="n">
        <v>0</v>
      </c>
      <c r="O440" t="n">
        <v>0</v>
      </c>
      <c r="P440" t="n">
        <v>0</v>
      </c>
      <c r="Q440" t="n">
        <v>0</v>
      </c>
      <c r="R440" s="2" t="inlineStr"/>
    </row>
    <row r="441" ht="15" customHeight="1">
      <c r="A441" t="inlineStr">
        <is>
          <t>A 55479-2022</t>
        </is>
      </c>
      <c r="B441" s="1" t="n">
        <v>44887</v>
      </c>
      <c r="C441" s="1" t="n">
        <v>45935</v>
      </c>
      <c r="D441" t="inlineStr">
        <is>
          <t>JÄMTLANDS LÄN</t>
        </is>
      </c>
      <c r="E441" t="inlineStr">
        <is>
          <t>KROKOM</t>
        </is>
      </c>
      <c r="F441" t="inlineStr">
        <is>
          <t>Övriga Aktiebolag</t>
        </is>
      </c>
      <c r="G441" t="n">
        <v>2.7</v>
      </c>
      <c r="H441" t="n">
        <v>0</v>
      </c>
      <c r="I441" t="n">
        <v>0</v>
      </c>
      <c r="J441" t="n">
        <v>0</v>
      </c>
      <c r="K441" t="n">
        <v>0</v>
      </c>
      <c r="L441" t="n">
        <v>0</v>
      </c>
      <c r="M441" t="n">
        <v>0</v>
      </c>
      <c r="N441" t="n">
        <v>0</v>
      </c>
      <c r="O441" t="n">
        <v>0</v>
      </c>
      <c r="P441" t="n">
        <v>0</v>
      </c>
      <c r="Q441" t="n">
        <v>0</v>
      </c>
      <c r="R441" s="2" t="inlineStr"/>
    </row>
    <row r="442" ht="15" customHeight="1">
      <c r="A442" t="inlineStr">
        <is>
          <t>A 49046-2023</t>
        </is>
      </c>
      <c r="B442" s="1" t="n">
        <v>45209</v>
      </c>
      <c r="C442" s="1" t="n">
        <v>45935</v>
      </c>
      <c r="D442" t="inlineStr">
        <is>
          <t>JÄMTLANDS LÄN</t>
        </is>
      </c>
      <c r="E442" t="inlineStr">
        <is>
          <t>KROKOM</t>
        </is>
      </c>
      <c r="G442" t="n">
        <v>2.6</v>
      </c>
      <c r="H442" t="n">
        <v>0</v>
      </c>
      <c r="I442" t="n">
        <v>0</v>
      </c>
      <c r="J442" t="n">
        <v>0</v>
      </c>
      <c r="K442" t="n">
        <v>0</v>
      </c>
      <c r="L442" t="n">
        <v>0</v>
      </c>
      <c r="M442" t="n">
        <v>0</v>
      </c>
      <c r="N442" t="n">
        <v>0</v>
      </c>
      <c r="O442" t="n">
        <v>0</v>
      </c>
      <c r="P442" t="n">
        <v>0</v>
      </c>
      <c r="Q442" t="n">
        <v>0</v>
      </c>
      <c r="R442" s="2" t="inlineStr"/>
    </row>
    <row r="443" ht="15" customHeight="1">
      <c r="A443" t="inlineStr">
        <is>
          <t>A 24387-2023</t>
        </is>
      </c>
      <c r="B443" s="1" t="n">
        <v>45082</v>
      </c>
      <c r="C443" s="1" t="n">
        <v>45935</v>
      </c>
      <c r="D443" t="inlineStr">
        <is>
          <t>JÄMTLANDS LÄN</t>
        </is>
      </c>
      <c r="E443" t="inlineStr">
        <is>
          <t>KROKOM</t>
        </is>
      </c>
      <c r="F443" t="inlineStr">
        <is>
          <t>Kyrkan</t>
        </is>
      </c>
      <c r="G443" t="n">
        <v>21.2</v>
      </c>
      <c r="H443" t="n">
        <v>0</v>
      </c>
      <c r="I443" t="n">
        <v>0</v>
      </c>
      <c r="J443" t="n">
        <v>0</v>
      </c>
      <c r="K443" t="n">
        <v>0</v>
      </c>
      <c r="L443" t="n">
        <v>0</v>
      </c>
      <c r="M443" t="n">
        <v>0</v>
      </c>
      <c r="N443" t="n">
        <v>0</v>
      </c>
      <c r="O443" t="n">
        <v>0</v>
      </c>
      <c r="P443" t="n">
        <v>0</v>
      </c>
      <c r="Q443" t="n">
        <v>0</v>
      </c>
      <c r="R443" s="2" t="inlineStr"/>
    </row>
    <row r="444" ht="15" customHeight="1">
      <c r="A444" t="inlineStr">
        <is>
          <t>A 17950-2025</t>
        </is>
      </c>
      <c r="B444" s="1" t="n">
        <v>45760.81083333334</v>
      </c>
      <c r="C444" s="1" t="n">
        <v>45935</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59293-2023</t>
        </is>
      </c>
      <c r="B445" s="1" t="n">
        <v>45253</v>
      </c>
      <c r="C445" s="1" t="n">
        <v>45935</v>
      </c>
      <c r="D445" t="inlineStr">
        <is>
          <t>JÄMTLANDS LÄN</t>
        </is>
      </c>
      <c r="E445" t="inlineStr">
        <is>
          <t>KROKOM</t>
        </is>
      </c>
      <c r="G445" t="n">
        <v>5.4</v>
      </c>
      <c r="H445" t="n">
        <v>0</v>
      </c>
      <c r="I445" t="n">
        <v>0</v>
      </c>
      <c r="J445" t="n">
        <v>0</v>
      </c>
      <c r="K445" t="n">
        <v>0</v>
      </c>
      <c r="L445" t="n">
        <v>0</v>
      </c>
      <c r="M445" t="n">
        <v>0</v>
      </c>
      <c r="N445" t="n">
        <v>0</v>
      </c>
      <c r="O445" t="n">
        <v>0</v>
      </c>
      <c r="P445" t="n">
        <v>0</v>
      </c>
      <c r="Q445" t="n">
        <v>0</v>
      </c>
      <c r="R445" s="2" t="inlineStr"/>
    </row>
    <row r="446" ht="15" customHeight="1">
      <c r="A446" t="inlineStr">
        <is>
          <t>A 47635-2023</t>
        </is>
      </c>
      <c r="B446" s="1" t="n">
        <v>45203</v>
      </c>
      <c r="C446" s="1" t="n">
        <v>45935</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4575-2025</t>
        </is>
      </c>
      <c r="B447" s="1" t="n">
        <v>45687.48931712963</v>
      </c>
      <c r="C447" s="1" t="n">
        <v>45935</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6585-2025</t>
        </is>
      </c>
      <c r="B448" s="1" t="n">
        <v>45700.27895833334</v>
      </c>
      <c r="C448" s="1" t="n">
        <v>45935</v>
      </c>
      <c r="D448" t="inlineStr">
        <is>
          <t>JÄMTLANDS LÄN</t>
        </is>
      </c>
      <c r="E448" t="inlineStr">
        <is>
          <t>KROKOM</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39490-2022</t>
        </is>
      </c>
      <c r="B449" s="1" t="n">
        <v>44818</v>
      </c>
      <c r="C449" s="1" t="n">
        <v>45935</v>
      </c>
      <c r="D449" t="inlineStr">
        <is>
          <t>JÄMTLANDS LÄN</t>
        </is>
      </c>
      <c r="E449" t="inlineStr">
        <is>
          <t>KROKOM</t>
        </is>
      </c>
      <c r="G449" t="n">
        <v>11.9</v>
      </c>
      <c r="H449" t="n">
        <v>0</v>
      </c>
      <c r="I449" t="n">
        <v>0</v>
      </c>
      <c r="J449" t="n">
        <v>0</v>
      </c>
      <c r="K449" t="n">
        <v>0</v>
      </c>
      <c r="L449" t="n">
        <v>0</v>
      </c>
      <c r="M449" t="n">
        <v>0</v>
      </c>
      <c r="N449" t="n">
        <v>0</v>
      </c>
      <c r="O449" t="n">
        <v>0</v>
      </c>
      <c r="P449" t="n">
        <v>0</v>
      </c>
      <c r="Q449" t="n">
        <v>0</v>
      </c>
      <c r="R449" s="2" t="inlineStr"/>
    </row>
    <row r="450" ht="15" customHeight="1">
      <c r="A450" t="inlineStr">
        <is>
          <t>A 37111-2025</t>
        </is>
      </c>
      <c r="B450" s="1" t="n">
        <v>45875.51046296296</v>
      </c>
      <c r="C450" s="1" t="n">
        <v>45935</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44645-2025</t>
        </is>
      </c>
      <c r="B451" s="1" t="n">
        <v>45917.53457175926</v>
      </c>
      <c r="C451" s="1" t="n">
        <v>45935</v>
      </c>
      <c r="D451" t="inlineStr">
        <is>
          <t>JÄMTLANDS LÄN</t>
        </is>
      </c>
      <c r="E451" t="inlineStr">
        <is>
          <t>KROKOM</t>
        </is>
      </c>
      <c r="G451" t="n">
        <v>4.7</v>
      </c>
      <c r="H451" t="n">
        <v>0</v>
      </c>
      <c r="I451" t="n">
        <v>0</v>
      </c>
      <c r="J451" t="n">
        <v>0</v>
      </c>
      <c r="K451" t="n">
        <v>0</v>
      </c>
      <c r="L451" t="n">
        <v>0</v>
      </c>
      <c r="M451" t="n">
        <v>0</v>
      </c>
      <c r="N451" t="n">
        <v>0</v>
      </c>
      <c r="O451" t="n">
        <v>0</v>
      </c>
      <c r="P451" t="n">
        <v>0</v>
      </c>
      <c r="Q451" t="n">
        <v>0</v>
      </c>
      <c r="R451" s="2" t="inlineStr"/>
    </row>
    <row r="452" ht="15" customHeight="1">
      <c r="A452" t="inlineStr">
        <is>
          <t>A 45827-2023</t>
        </is>
      </c>
      <c r="B452" s="1" t="n">
        <v>45195</v>
      </c>
      <c r="C452" s="1" t="n">
        <v>45935</v>
      </c>
      <c r="D452" t="inlineStr">
        <is>
          <t>JÄMTLANDS LÄN</t>
        </is>
      </c>
      <c r="E452" t="inlineStr">
        <is>
          <t>KROKOM</t>
        </is>
      </c>
      <c r="G452" t="n">
        <v>1.6</v>
      </c>
      <c r="H452" t="n">
        <v>0</v>
      </c>
      <c r="I452" t="n">
        <v>0</v>
      </c>
      <c r="J452" t="n">
        <v>0</v>
      </c>
      <c r="K452" t="n">
        <v>0</v>
      </c>
      <c r="L452" t="n">
        <v>0</v>
      </c>
      <c r="M452" t="n">
        <v>0</v>
      </c>
      <c r="N452" t="n">
        <v>0</v>
      </c>
      <c r="O452" t="n">
        <v>0</v>
      </c>
      <c r="P452" t="n">
        <v>0</v>
      </c>
      <c r="Q452" t="n">
        <v>0</v>
      </c>
      <c r="R452" s="2" t="inlineStr"/>
    </row>
    <row r="453" ht="15" customHeight="1">
      <c r="A453" t="inlineStr">
        <is>
          <t>A 2062-2021</t>
        </is>
      </c>
      <c r="B453" s="1" t="n">
        <v>44211</v>
      </c>
      <c r="C453" s="1" t="n">
        <v>45935</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18942-2025</t>
        </is>
      </c>
      <c r="B454" s="1" t="n">
        <v>45764</v>
      </c>
      <c r="C454" s="1" t="n">
        <v>45935</v>
      </c>
      <c r="D454" t="inlineStr">
        <is>
          <t>JÄMTLANDS LÄN</t>
        </is>
      </c>
      <c r="E454" t="inlineStr">
        <is>
          <t>KROKOM</t>
        </is>
      </c>
      <c r="G454" t="n">
        <v>8.9</v>
      </c>
      <c r="H454" t="n">
        <v>0</v>
      </c>
      <c r="I454" t="n">
        <v>0</v>
      </c>
      <c r="J454" t="n">
        <v>0</v>
      </c>
      <c r="K454" t="n">
        <v>0</v>
      </c>
      <c r="L454" t="n">
        <v>0</v>
      </c>
      <c r="M454" t="n">
        <v>0</v>
      </c>
      <c r="N454" t="n">
        <v>0</v>
      </c>
      <c r="O454" t="n">
        <v>0</v>
      </c>
      <c r="P454" t="n">
        <v>0</v>
      </c>
      <c r="Q454" t="n">
        <v>0</v>
      </c>
      <c r="R454" s="2" t="inlineStr"/>
    </row>
    <row r="455" ht="15" customHeight="1">
      <c r="A455" t="inlineStr">
        <is>
          <t>A 31426-2025</t>
        </is>
      </c>
      <c r="B455" s="1" t="n">
        <v>45833</v>
      </c>
      <c r="C455" s="1" t="n">
        <v>45935</v>
      </c>
      <c r="D455" t="inlineStr">
        <is>
          <t>JÄMTLANDS LÄN</t>
        </is>
      </c>
      <c r="E455" t="inlineStr">
        <is>
          <t>KROKOM</t>
        </is>
      </c>
      <c r="G455" t="n">
        <v>0.9</v>
      </c>
      <c r="H455" t="n">
        <v>0</v>
      </c>
      <c r="I455" t="n">
        <v>0</v>
      </c>
      <c r="J455" t="n">
        <v>0</v>
      </c>
      <c r="K455" t="n">
        <v>0</v>
      </c>
      <c r="L455" t="n">
        <v>0</v>
      </c>
      <c r="M455" t="n">
        <v>0</v>
      </c>
      <c r="N455" t="n">
        <v>0</v>
      </c>
      <c r="O455" t="n">
        <v>0</v>
      </c>
      <c r="P455" t="n">
        <v>0</v>
      </c>
      <c r="Q455" t="n">
        <v>0</v>
      </c>
      <c r="R455" s="2" t="inlineStr"/>
    </row>
    <row r="456" ht="15" customHeight="1">
      <c r="A456" t="inlineStr">
        <is>
          <t>A 43371-2025</t>
        </is>
      </c>
      <c r="B456" s="1" t="n">
        <v>45911</v>
      </c>
      <c r="C456" s="1" t="n">
        <v>45935</v>
      </c>
      <c r="D456" t="inlineStr">
        <is>
          <t>JÄMTLANDS LÄN</t>
        </is>
      </c>
      <c r="E456" t="inlineStr">
        <is>
          <t>KROKOM</t>
        </is>
      </c>
      <c r="G456" t="n">
        <v>7.3</v>
      </c>
      <c r="H456" t="n">
        <v>0</v>
      </c>
      <c r="I456" t="n">
        <v>0</v>
      </c>
      <c r="J456" t="n">
        <v>0</v>
      </c>
      <c r="K456" t="n">
        <v>0</v>
      </c>
      <c r="L456" t="n">
        <v>0</v>
      </c>
      <c r="M456" t="n">
        <v>0</v>
      </c>
      <c r="N456" t="n">
        <v>0</v>
      </c>
      <c r="O456" t="n">
        <v>0</v>
      </c>
      <c r="P456" t="n">
        <v>0</v>
      </c>
      <c r="Q456" t="n">
        <v>0</v>
      </c>
      <c r="R456" s="2" t="inlineStr"/>
    </row>
    <row r="457" ht="15" customHeight="1">
      <c r="A457" t="inlineStr">
        <is>
          <t>A 43373-2025</t>
        </is>
      </c>
      <c r="B457" s="1" t="n">
        <v>45911</v>
      </c>
      <c r="C457" s="1" t="n">
        <v>45935</v>
      </c>
      <c r="D457" t="inlineStr">
        <is>
          <t>JÄMTLANDS LÄN</t>
        </is>
      </c>
      <c r="E457" t="inlineStr">
        <is>
          <t>KROKOM</t>
        </is>
      </c>
      <c r="G457" t="n">
        <v>34.9</v>
      </c>
      <c r="H457" t="n">
        <v>0</v>
      </c>
      <c r="I457" t="n">
        <v>0</v>
      </c>
      <c r="J457" t="n">
        <v>0</v>
      </c>
      <c r="K457" t="n">
        <v>0</v>
      </c>
      <c r="L457" t="n">
        <v>0</v>
      </c>
      <c r="M457" t="n">
        <v>0</v>
      </c>
      <c r="N457" t="n">
        <v>0</v>
      </c>
      <c r="O457" t="n">
        <v>0</v>
      </c>
      <c r="P457" t="n">
        <v>0</v>
      </c>
      <c r="Q457" t="n">
        <v>0</v>
      </c>
      <c r="R457" s="2" t="inlineStr"/>
    </row>
    <row r="458" ht="15" customHeight="1">
      <c r="A458" t="inlineStr">
        <is>
          <t>A 6347-2023</t>
        </is>
      </c>
      <c r="B458" s="1" t="n">
        <v>44965</v>
      </c>
      <c r="C458" s="1" t="n">
        <v>45935</v>
      </c>
      <c r="D458" t="inlineStr">
        <is>
          <t>JÄMTLANDS LÄN</t>
        </is>
      </c>
      <c r="E458" t="inlineStr">
        <is>
          <t>KROKOM</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44888-2025</t>
        </is>
      </c>
      <c r="B459" s="1" t="n">
        <v>45918.49489583333</v>
      </c>
      <c r="C459" s="1" t="n">
        <v>45935</v>
      </c>
      <c r="D459" t="inlineStr">
        <is>
          <t>JÄMTLANDS LÄN</t>
        </is>
      </c>
      <c r="E459" t="inlineStr">
        <is>
          <t>KROKOM</t>
        </is>
      </c>
      <c r="G459" t="n">
        <v>1.8</v>
      </c>
      <c r="H459" t="n">
        <v>0</v>
      </c>
      <c r="I459" t="n">
        <v>0</v>
      </c>
      <c r="J459" t="n">
        <v>0</v>
      </c>
      <c r="K459" t="n">
        <v>0</v>
      </c>
      <c r="L459" t="n">
        <v>0</v>
      </c>
      <c r="M459" t="n">
        <v>0</v>
      </c>
      <c r="N459" t="n">
        <v>0</v>
      </c>
      <c r="O459" t="n">
        <v>0</v>
      </c>
      <c r="P459" t="n">
        <v>0</v>
      </c>
      <c r="Q459" t="n">
        <v>0</v>
      </c>
      <c r="R459" s="2" t="inlineStr"/>
    </row>
    <row r="460" ht="15" customHeight="1">
      <c r="A460" t="inlineStr">
        <is>
          <t>A 31427-2025</t>
        </is>
      </c>
      <c r="B460" s="1" t="n">
        <v>45833</v>
      </c>
      <c r="C460" s="1" t="n">
        <v>45935</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45253-2025</t>
        </is>
      </c>
      <c r="B461" s="1" t="n">
        <v>45919.61512731481</v>
      </c>
      <c r="C461" s="1" t="n">
        <v>45935</v>
      </c>
      <c r="D461" t="inlineStr">
        <is>
          <t>JÄMTLANDS LÄN</t>
        </is>
      </c>
      <c r="E461" t="inlineStr">
        <is>
          <t>KROKOM</t>
        </is>
      </c>
      <c r="G461" t="n">
        <v>4.1</v>
      </c>
      <c r="H461" t="n">
        <v>0</v>
      </c>
      <c r="I461" t="n">
        <v>0</v>
      </c>
      <c r="J461" t="n">
        <v>0</v>
      </c>
      <c r="K461" t="n">
        <v>0</v>
      </c>
      <c r="L461" t="n">
        <v>0</v>
      </c>
      <c r="M461" t="n">
        <v>0</v>
      </c>
      <c r="N461" t="n">
        <v>0</v>
      </c>
      <c r="O461" t="n">
        <v>0</v>
      </c>
      <c r="P461" t="n">
        <v>0</v>
      </c>
      <c r="Q461" t="n">
        <v>0</v>
      </c>
      <c r="R461" s="2" t="inlineStr"/>
    </row>
    <row r="462" ht="15" customHeight="1">
      <c r="A462" t="inlineStr">
        <is>
          <t>A 37346-2025</t>
        </is>
      </c>
      <c r="B462" s="1" t="n">
        <v>45876</v>
      </c>
      <c r="C462" s="1" t="n">
        <v>45935</v>
      </c>
      <c r="D462" t="inlineStr">
        <is>
          <t>JÄMTLANDS LÄN</t>
        </is>
      </c>
      <c r="E462" t="inlineStr">
        <is>
          <t>KROKOM</t>
        </is>
      </c>
      <c r="G462" t="n">
        <v>5</v>
      </c>
      <c r="H462" t="n">
        <v>0</v>
      </c>
      <c r="I462" t="n">
        <v>0</v>
      </c>
      <c r="J462" t="n">
        <v>0</v>
      </c>
      <c r="K462" t="n">
        <v>0</v>
      </c>
      <c r="L462" t="n">
        <v>0</v>
      </c>
      <c r="M462" t="n">
        <v>0</v>
      </c>
      <c r="N462" t="n">
        <v>0</v>
      </c>
      <c r="O462" t="n">
        <v>0</v>
      </c>
      <c r="P462" t="n">
        <v>0</v>
      </c>
      <c r="Q462" t="n">
        <v>0</v>
      </c>
      <c r="R462" s="2" t="inlineStr"/>
    </row>
    <row r="463" ht="15" customHeight="1">
      <c r="A463" t="inlineStr">
        <is>
          <t>A 37349-2025</t>
        </is>
      </c>
      <c r="B463" s="1" t="n">
        <v>45876</v>
      </c>
      <c r="C463" s="1" t="n">
        <v>45935</v>
      </c>
      <c r="D463" t="inlineStr">
        <is>
          <t>JÄMTLANDS LÄN</t>
        </is>
      </c>
      <c r="E463" t="inlineStr">
        <is>
          <t>KROKOM</t>
        </is>
      </c>
      <c r="G463" t="n">
        <v>7.9</v>
      </c>
      <c r="H463" t="n">
        <v>0</v>
      </c>
      <c r="I463" t="n">
        <v>0</v>
      </c>
      <c r="J463" t="n">
        <v>0</v>
      </c>
      <c r="K463" t="n">
        <v>0</v>
      </c>
      <c r="L463" t="n">
        <v>0</v>
      </c>
      <c r="M463" t="n">
        <v>0</v>
      </c>
      <c r="N463" t="n">
        <v>0</v>
      </c>
      <c r="O463" t="n">
        <v>0</v>
      </c>
      <c r="P463" t="n">
        <v>0</v>
      </c>
      <c r="Q463" t="n">
        <v>0</v>
      </c>
      <c r="R463" s="2" t="inlineStr"/>
    </row>
    <row r="464" ht="15" customHeight="1">
      <c r="A464" t="inlineStr">
        <is>
          <t>A 37350-2025</t>
        </is>
      </c>
      <c r="B464" s="1" t="n">
        <v>45876</v>
      </c>
      <c r="C464" s="1" t="n">
        <v>45935</v>
      </c>
      <c r="D464" t="inlineStr">
        <is>
          <t>JÄMTLANDS LÄN</t>
        </is>
      </c>
      <c r="E464" t="inlineStr">
        <is>
          <t>KROKOM</t>
        </is>
      </c>
      <c r="G464" t="n">
        <v>29.9</v>
      </c>
      <c r="H464" t="n">
        <v>0</v>
      </c>
      <c r="I464" t="n">
        <v>0</v>
      </c>
      <c r="J464" t="n">
        <v>0</v>
      </c>
      <c r="K464" t="n">
        <v>0</v>
      </c>
      <c r="L464" t="n">
        <v>0</v>
      </c>
      <c r="M464" t="n">
        <v>0</v>
      </c>
      <c r="N464" t="n">
        <v>0</v>
      </c>
      <c r="O464" t="n">
        <v>0</v>
      </c>
      <c r="P464" t="n">
        <v>0</v>
      </c>
      <c r="Q464" t="n">
        <v>0</v>
      </c>
      <c r="R464" s="2" t="inlineStr"/>
    </row>
    <row r="465" ht="15" customHeight="1">
      <c r="A465" t="inlineStr">
        <is>
          <t>A 50881-2024</t>
        </is>
      </c>
      <c r="B465" s="1" t="n">
        <v>45602.65599537037</v>
      </c>
      <c r="C465" s="1" t="n">
        <v>45935</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50951-2024</t>
        </is>
      </c>
      <c r="B466" s="1" t="n">
        <v>45603.28460648148</v>
      </c>
      <c r="C466" s="1" t="n">
        <v>45935</v>
      </c>
      <c r="D466" t="inlineStr">
        <is>
          <t>JÄMTLANDS LÄN</t>
        </is>
      </c>
      <c r="E466" t="inlineStr">
        <is>
          <t>KROKOM</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42439-2023</t>
        </is>
      </c>
      <c r="B467" s="1" t="n">
        <v>45180.6391087963</v>
      </c>
      <c r="C467" s="1" t="n">
        <v>45935</v>
      </c>
      <c r="D467" t="inlineStr">
        <is>
          <t>JÄMTLANDS LÄN</t>
        </is>
      </c>
      <c r="E467" t="inlineStr">
        <is>
          <t>KROKOM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23214-2024</t>
        </is>
      </c>
      <c r="B468" s="1" t="n">
        <v>45452.55271990741</v>
      </c>
      <c r="C468" s="1" t="n">
        <v>45935</v>
      </c>
      <c r="D468" t="inlineStr">
        <is>
          <t>JÄMTLANDS LÄN</t>
        </is>
      </c>
      <c r="E468" t="inlineStr">
        <is>
          <t>KROKOM</t>
        </is>
      </c>
      <c r="F468" t="inlineStr">
        <is>
          <t>Övriga Aktiebolag</t>
        </is>
      </c>
      <c r="G468" t="n">
        <v>0.4</v>
      </c>
      <c r="H468" t="n">
        <v>0</v>
      </c>
      <c r="I468" t="n">
        <v>0</v>
      </c>
      <c r="J468" t="n">
        <v>0</v>
      </c>
      <c r="K468" t="n">
        <v>0</v>
      </c>
      <c r="L468" t="n">
        <v>0</v>
      </c>
      <c r="M468" t="n">
        <v>0</v>
      </c>
      <c r="N468" t="n">
        <v>0</v>
      </c>
      <c r="O468" t="n">
        <v>0</v>
      </c>
      <c r="P468" t="n">
        <v>0</v>
      </c>
      <c r="Q468" t="n">
        <v>0</v>
      </c>
      <c r="R468" s="2" t="inlineStr"/>
    </row>
    <row r="469" ht="15" customHeight="1">
      <c r="A469" t="inlineStr">
        <is>
          <t>A 10782-2023</t>
        </is>
      </c>
      <c r="B469" s="1" t="n">
        <v>44988.94056712963</v>
      </c>
      <c r="C469" s="1" t="n">
        <v>45935</v>
      </c>
      <c r="D469" t="inlineStr">
        <is>
          <t>JÄMTLANDS LÄN</t>
        </is>
      </c>
      <c r="E469" t="inlineStr">
        <is>
          <t>KROKOM</t>
        </is>
      </c>
      <c r="F469" t="inlineStr">
        <is>
          <t>SCA</t>
        </is>
      </c>
      <c r="G469" t="n">
        <v>68.8</v>
      </c>
      <c r="H469" t="n">
        <v>0</v>
      </c>
      <c r="I469" t="n">
        <v>0</v>
      </c>
      <c r="J469" t="n">
        <v>0</v>
      </c>
      <c r="K469" t="n">
        <v>0</v>
      </c>
      <c r="L469" t="n">
        <v>0</v>
      </c>
      <c r="M469" t="n">
        <v>0</v>
      </c>
      <c r="N469" t="n">
        <v>0</v>
      </c>
      <c r="O469" t="n">
        <v>0</v>
      </c>
      <c r="P469" t="n">
        <v>0</v>
      </c>
      <c r="Q469" t="n">
        <v>0</v>
      </c>
      <c r="R469" s="2" t="inlineStr"/>
    </row>
    <row r="470" ht="15" customHeight="1">
      <c r="A470" t="inlineStr">
        <is>
          <t>A 30771-2023</t>
        </is>
      </c>
      <c r="B470" s="1" t="n">
        <v>45112</v>
      </c>
      <c r="C470" s="1" t="n">
        <v>45935</v>
      </c>
      <c r="D470" t="inlineStr">
        <is>
          <t>JÄMTLANDS LÄN</t>
        </is>
      </c>
      <c r="E470" t="inlineStr">
        <is>
          <t>KROKOM</t>
        </is>
      </c>
      <c r="G470" t="n">
        <v>10.6</v>
      </c>
      <c r="H470" t="n">
        <v>0</v>
      </c>
      <c r="I470" t="n">
        <v>0</v>
      </c>
      <c r="J470" t="n">
        <v>0</v>
      </c>
      <c r="K470" t="n">
        <v>0</v>
      </c>
      <c r="L470" t="n">
        <v>0</v>
      </c>
      <c r="M470" t="n">
        <v>0</v>
      </c>
      <c r="N470" t="n">
        <v>0</v>
      </c>
      <c r="O470" t="n">
        <v>0</v>
      </c>
      <c r="P470" t="n">
        <v>0</v>
      </c>
      <c r="Q470" t="n">
        <v>0</v>
      </c>
      <c r="R470" s="2" t="inlineStr"/>
    </row>
    <row r="471" ht="15" customHeight="1">
      <c r="A471" t="inlineStr">
        <is>
          <t>A 19634-2025</t>
        </is>
      </c>
      <c r="B471" s="1" t="n">
        <v>45770.64677083334</v>
      </c>
      <c r="C471" s="1" t="n">
        <v>45935</v>
      </c>
      <c r="D471" t="inlineStr">
        <is>
          <t>JÄMTLANDS LÄN</t>
        </is>
      </c>
      <c r="E471" t="inlineStr">
        <is>
          <t>KROKOM</t>
        </is>
      </c>
      <c r="G471" t="n">
        <v>1.2</v>
      </c>
      <c r="H471" t="n">
        <v>0</v>
      </c>
      <c r="I471" t="n">
        <v>0</v>
      </c>
      <c r="J471" t="n">
        <v>0</v>
      </c>
      <c r="K471" t="n">
        <v>0</v>
      </c>
      <c r="L471" t="n">
        <v>0</v>
      </c>
      <c r="M471" t="n">
        <v>0</v>
      </c>
      <c r="N471" t="n">
        <v>0</v>
      </c>
      <c r="O471" t="n">
        <v>0</v>
      </c>
      <c r="P471" t="n">
        <v>0</v>
      </c>
      <c r="Q471" t="n">
        <v>0</v>
      </c>
      <c r="R471" s="2" t="inlineStr"/>
    </row>
    <row r="472" ht="15" customHeight="1">
      <c r="A472" t="inlineStr">
        <is>
          <t>A 31543-2025</t>
        </is>
      </c>
      <c r="B472" s="1" t="n">
        <v>45833</v>
      </c>
      <c r="C472" s="1" t="n">
        <v>45935</v>
      </c>
      <c r="D472" t="inlineStr">
        <is>
          <t>JÄMTLANDS LÄN</t>
        </is>
      </c>
      <c r="E472" t="inlineStr">
        <is>
          <t>KROKOM</t>
        </is>
      </c>
      <c r="G472" t="n">
        <v>0.7</v>
      </c>
      <c r="H472" t="n">
        <v>0</v>
      </c>
      <c r="I472" t="n">
        <v>0</v>
      </c>
      <c r="J472" t="n">
        <v>0</v>
      </c>
      <c r="K472" t="n">
        <v>0</v>
      </c>
      <c r="L472" t="n">
        <v>0</v>
      </c>
      <c r="M472" t="n">
        <v>0</v>
      </c>
      <c r="N472" t="n">
        <v>0</v>
      </c>
      <c r="O472" t="n">
        <v>0</v>
      </c>
      <c r="P472" t="n">
        <v>0</v>
      </c>
      <c r="Q472" t="n">
        <v>0</v>
      </c>
      <c r="R472" s="2" t="inlineStr"/>
    </row>
    <row r="473" ht="15" customHeight="1">
      <c r="A473" t="inlineStr">
        <is>
          <t>A 4570-2025</t>
        </is>
      </c>
      <c r="B473" s="1" t="n">
        <v>45687</v>
      </c>
      <c r="C473" s="1" t="n">
        <v>45935</v>
      </c>
      <c r="D473" t="inlineStr">
        <is>
          <t>JÄMTLANDS LÄN</t>
        </is>
      </c>
      <c r="E473" t="inlineStr">
        <is>
          <t>KROKOM</t>
        </is>
      </c>
      <c r="G473" t="n">
        <v>4.6</v>
      </c>
      <c r="H473" t="n">
        <v>0</v>
      </c>
      <c r="I473" t="n">
        <v>0</v>
      </c>
      <c r="J473" t="n">
        <v>0</v>
      </c>
      <c r="K473" t="n">
        <v>0</v>
      </c>
      <c r="L473" t="n">
        <v>0</v>
      </c>
      <c r="M473" t="n">
        <v>0</v>
      </c>
      <c r="N473" t="n">
        <v>0</v>
      </c>
      <c r="O473" t="n">
        <v>0</v>
      </c>
      <c r="P473" t="n">
        <v>0</v>
      </c>
      <c r="Q473" t="n">
        <v>0</v>
      </c>
      <c r="R473" s="2" t="inlineStr"/>
    </row>
    <row r="474" ht="15" customHeight="1">
      <c r="A474" t="inlineStr">
        <is>
          <t>A 67740-2021</t>
        </is>
      </c>
      <c r="B474" s="1" t="n">
        <v>44524</v>
      </c>
      <c r="C474" s="1" t="n">
        <v>45935</v>
      </c>
      <c r="D474" t="inlineStr">
        <is>
          <t>JÄMTLANDS LÄN</t>
        </is>
      </c>
      <c r="E474" t="inlineStr">
        <is>
          <t>KROKOM</t>
        </is>
      </c>
      <c r="G474" t="n">
        <v>12.3</v>
      </c>
      <c r="H474" t="n">
        <v>0</v>
      </c>
      <c r="I474" t="n">
        <v>0</v>
      </c>
      <c r="J474" t="n">
        <v>0</v>
      </c>
      <c r="K474" t="n">
        <v>0</v>
      </c>
      <c r="L474" t="n">
        <v>0</v>
      </c>
      <c r="M474" t="n">
        <v>0</v>
      </c>
      <c r="N474" t="n">
        <v>0</v>
      </c>
      <c r="O474" t="n">
        <v>0</v>
      </c>
      <c r="P474" t="n">
        <v>0</v>
      </c>
      <c r="Q474" t="n">
        <v>0</v>
      </c>
      <c r="R474" s="2" t="inlineStr"/>
    </row>
    <row r="475" ht="15" customHeight="1">
      <c r="A475" t="inlineStr">
        <is>
          <t>A 12813-2023</t>
        </is>
      </c>
      <c r="B475" s="1" t="n">
        <v>45000</v>
      </c>
      <c r="C475" s="1" t="n">
        <v>45935</v>
      </c>
      <c r="D475" t="inlineStr">
        <is>
          <t>JÄMTLANDS LÄN</t>
        </is>
      </c>
      <c r="E475" t="inlineStr">
        <is>
          <t>KROKOM</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44663-2025</t>
        </is>
      </c>
      <c r="B476" s="1" t="n">
        <v>45917</v>
      </c>
      <c r="C476" s="1" t="n">
        <v>45935</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6066-2025</t>
        </is>
      </c>
      <c r="B477" s="1" t="n">
        <v>45696.3440162037</v>
      </c>
      <c r="C477" s="1" t="n">
        <v>45935</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34794-2022</t>
        </is>
      </c>
      <c r="B478" s="1" t="n">
        <v>44795</v>
      </c>
      <c r="C478" s="1" t="n">
        <v>45935</v>
      </c>
      <c r="D478" t="inlineStr">
        <is>
          <t>JÄMTLANDS LÄN</t>
        </is>
      </c>
      <c r="E478" t="inlineStr">
        <is>
          <t>KROKOM</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50782-2023</t>
        </is>
      </c>
      <c r="B479" s="1" t="n">
        <v>45217</v>
      </c>
      <c r="C479" s="1" t="n">
        <v>45935</v>
      </c>
      <c r="D479" t="inlineStr">
        <is>
          <t>JÄMTLANDS LÄN</t>
        </is>
      </c>
      <c r="E479" t="inlineStr">
        <is>
          <t>KROKOM</t>
        </is>
      </c>
      <c r="G479" t="n">
        <v>3.5</v>
      </c>
      <c r="H479" t="n">
        <v>0</v>
      </c>
      <c r="I479" t="n">
        <v>0</v>
      </c>
      <c r="J479" t="n">
        <v>0</v>
      </c>
      <c r="K479" t="n">
        <v>0</v>
      </c>
      <c r="L479" t="n">
        <v>0</v>
      </c>
      <c r="M479" t="n">
        <v>0</v>
      </c>
      <c r="N479" t="n">
        <v>0</v>
      </c>
      <c r="O479" t="n">
        <v>0</v>
      </c>
      <c r="P479" t="n">
        <v>0</v>
      </c>
      <c r="Q479" t="n">
        <v>0</v>
      </c>
      <c r="R479" s="2" t="inlineStr"/>
    </row>
    <row r="480" ht="15" customHeight="1">
      <c r="A480" t="inlineStr">
        <is>
          <t>A 52590-2023</t>
        </is>
      </c>
      <c r="B480" s="1" t="n">
        <v>45225.60212962963</v>
      </c>
      <c r="C480" s="1" t="n">
        <v>45935</v>
      </c>
      <c r="D480" t="inlineStr">
        <is>
          <t>JÄMTLANDS LÄN</t>
        </is>
      </c>
      <c r="E480" t="inlineStr">
        <is>
          <t>KROKOM</t>
        </is>
      </c>
      <c r="G480" t="n">
        <v>9</v>
      </c>
      <c r="H480" t="n">
        <v>0</v>
      </c>
      <c r="I480" t="n">
        <v>0</v>
      </c>
      <c r="J480" t="n">
        <v>0</v>
      </c>
      <c r="K480" t="n">
        <v>0</v>
      </c>
      <c r="L480" t="n">
        <v>0</v>
      </c>
      <c r="M480" t="n">
        <v>0</v>
      </c>
      <c r="N480" t="n">
        <v>0</v>
      </c>
      <c r="O480" t="n">
        <v>0</v>
      </c>
      <c r="P480" t="n">
        <v>0</v>
      </c>
      <c r="Q480" t="n">
        <v>0</v>
      </c>
      <c r="R480" s="2" t="inlineStr"/>
    </row>
    <row r="481" ht="15" customHeight="1">
      <c r="A481" t="inlineStr">
        <is>
          <t>A 6245-2025</t>
        </is>
      </c>
      <c r="B481" s="1" t="n">
        <v>45698.57129629629</v>
      </c>
      <c r="C481" s="1" t="n">
        <v>45935</v>
      </c>
      <c r="D481" t="inlineStr">
        <is>
          <t>JÄMTLANDS LÄN</t>
        </is>
      </c>
      <c r="E481" t="inlineStr">
        <is>
          <t>KROKOM</t>
        </is>
      </c>
      <c r="G481" t="n">
        <v>9.9</v>
      </c>
      <c r="H481" t="n">
        <v>0</v>
      </c>
      <c r="I481" t="n">
        <v>0</v>
      </c>
      <c r="J481" t="n">
        <v>0</v>
      </c>
      <c r="K481" t="n">
        <v>0</v>
      </c>
      <c r="L481" t="n">
        <v>0</v>
      </c>
      <c r="M481" t="n">
        <v>0</v>
      </c>
      <c r="N481" t="n">
        <v>0</v>
      </c>
      <c r="O481" t="n">
        <v>0</v>
      </c>
      <c r="P481" t="n">
        <v>0</v>
      </c>
      <c r="Q481" t="n">
        <v>0</v>
      </c>
      <c r="R481" s="2" t="inlineStr"/>
    </row>
    <row r="482" ht="15" customHeight="1">
      <c r="A482" t="inlineStr">
        <is>
          <t>A 60491-2024</t>
        </is>
      </c>
      <c r="B482" s="1" t="n">
        <v>45643.65354166667</v>
      </c>
      <c r="C482" s="1" t="n">
        <v>45935</v>
      </c>
      <c r="D482" t="inlineStr">
        <is>
          <t>JÄMTLANDS LÄN</t>
        </is>
      </c>
      <c r="E482" t="inlineStr">
        <is>
          <t>KROKOM</t>
        </is>
      </c>
      <c r="G482" t="n">
        <v>0.5</v>
      </c>
      <c r="H482" t="n">
        <v>0</v>
      </c>
      <c r="I482" t="n">
        <v>0</v>
      </c>
      <c r="J482" t="n">
        <v>0</v>
      </c>
      <c r="K482" t="n">
        <v>0</v>
      </c>
      <c r="L482" t="n">
        <v>0</v>
      </c>
      <c r="M482" t="n">
        <v>0</v>
      </c>
      <c r="N482" t="n">
        <v>0</v>
      </c>
      <c r="O482" t="n">
        <v>0</v>
      </c>
      <c r="P482" t="n">
        <v>0</v>
      </c>
      <c r="Q482" t="n">
        <v>0</v>
      </c>
      <c r="R482" s="2" t="inlineStr"/>
    </row>
    <row r="483" ht="15" customHeight="1">
      <c r="A483" t="inlineStr">
        <is>
          <t>A 2410-2021</t>
        </is>
      </c>
      <c r="B483" s="1" t="n">
        <v>44214</v>
      </c>
      <c r="C483" s="1" t="n">
        <v>45935</v>
      </c>
      <c r="D483" t="inlineStr">
        <is>
          <t>JÄMTLANDS LÄN</t>
        </is>
      </c>
      <c r="E483" t="inlineStr">
        <is>
          <t>KROKOM</t>
        </is>
      </c>
      <c r="G483" t="n">
        <v>32.7</v>
      </c>
      <c r="H483" t="n">
        <v>0</v>
      </c>
      <c r="I483" t="n">
        <v>0</v>
      </c>
      <c r="J483" t="n">
        <v>0</v>
      </c>
      <c r="K483" t="n">
        <v>0</v>
      </c>
      <c r="L483" t="n">
        <v>0</v>
      </c>
      <c r="M483" t="n">
        <v>0</v>
      </c>
      <c r="N483" t="n">
        <v>0</v>
      </c>
      <c r="O483" t="n">
        <v>0</v>
      </c>
      <c r="P483" t="n">
        <v>0</v>
      </c>
      <c r="Q483" t="n">
        <v>0</v>
      </c>
      <c r="R483" s="2" t="inlineStr"/>
    </row>
    <row r="484" ht="15" customHeight="1">
      <c r="A484" t="inlineStr">
        <is>
          <t>A 53402-2022</t>
        </is>
      </c>
      <c r="B484" s="1" t="n">
        <v>44874</v>
      </c>
      <c r="C484" s="1" t="n">
        <v>45935</v>
      </c>
      <c r="D484" t="inlineStr">
        <is>
          <t>JÄMTLANDS LÄN</t>
        </is>
      </c>
      <c r="E484" t="inlineStr">
        <is>
          <t>KROKOM</t>
        </is>
      </c>
      <c r="G484" t="n">
        <v>36.7</v>
      </c>
      <c r="H484" t="n">
        <v>0</v>
      </c>
      <c r="I484" t="n">
        <v>0</v>
      </c>
      <c r="J484" t="n">
        <v>0</v>
      </c>
      <c r="K484" t="n">
        <v>0</v>
      </c>
      <c r="L484" t="n">
        <v>0</v>
      </c>
      <c r="M484" t="n">
        <v>0</v>
      </c>
      <c r="N484" t="n">
        <v>0</v>
      </c>
      <c r="O484" t="n">
        <v>0</v>
      </c>
      <c r="P484" t="n">
        <v>0</v>
      </c>
      <c r="Q484" t="n">
        <v>0</v>
      </c>
      <c r="R484" s="2" t="inlineStr"/>
    </row>
    <row r="485" ht="15" customHeight="1">
      <c r="A485" t="inlineStr">
        <is>
          <t>A 45464-2025</t>
        </is>
      </c>
      <c r="B485" s="1" t="n">
        <v>45922.4984837963</v>
      </c>
      <c r="C485" s="1" t="n">
        <v>45935</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34278-2022</t>
        </is>
      </c>
      <c r="B486" s="1" t="n">
        <v>44792.27644675926</v>
      </c>
      <c r="C486" s="1" t="n">
        <v>45935</v>
      </c>
      <c r="D486" t="inlineStr">
        <is>
          <t>JÄMTLANDS LÄN</t>
        </is>
      </c>
      <c r="E486" t="inlineStr">
        <is>
          <t>KROKOM</t>
        </is>
      </c>
      <c r="G486" t="n">
        <v>19.5</v>
      </c>
      <c r="H486" t="n">
        <v>0</v>
      </c>
      <c r="I486" t="n">
        <v>0</v>
      </c>
      <c r="J486" t="n">
        <v>0</v>
      </c>
      <c r="K486" t="n">
        <v>0</v>
      </c>
      <c r="L486" t="n">
        <v>0</v>
      </c>
      <c r="M486" t="n">
        <v>0</v>
      </c>
      <c r="N486" t="n">
        <v>0</v>
      </c>
      <c r="O486" t="n">
        <v>0</v>
      </c>
      <c r="P486" t="n">
        <v>0</v>
      </c>
      <c r="Q486" t="n">
        <v>0</v>
      </c>
      <c r="R486" s="2" t="inlineStr"/>
    </row>
    <row r="487" ht="15" customHeight="1">
      <c r="A487" t="inlineStr">
        <is>
          <t>A 45780-2025</t>
        </is>
      </c>
      <c r="B487" s="1" t="n">
        <v>45923.54827546296</v>
      </c>
      <c r="C487" s="1" t="n">
        <v>45935</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6900-2024</t>
        </is>
      </c>
      <c r="B488" s="1" t="n">
        <v>45342</v>
      </c>
      <c r="C488" s="1" t="n">
        <v>45935</v>
      </c>
      <c r="D488" t="inlineStr">
        <is>
          <t>JÄMTLANDS LÄN</t>
        </is>
      </c>
      <c r="E488" t="inlineStr">
        <is>
          <t>KROKOM</t>
        </is>
      </c>
      <c r="F488" t="inlineStr">
        <is>
          <t>SCA</t>
        </is>
      </c>
      <c r="G488" t="n">
        <v>64.59999999999999</v>
      </c>
      <c r="H488" t="n">
        <v>0</v>
      </c>
      <c r="I488" t="n">
        <v>0</v>
      </c>
      <c r="J488" t="n">
        <v>0</v>
      </c>
      <c r="K488" t="n">
        <v>0</v>
      </c>
      <c r="L488" t="n">
        <v>0</v>
      </c>
      <c r="M488" t="n">
        <v>0</v>
      </c>
      <c r="N488" t="n">
        <v>0</v>
      </c>
      <c r="O488" t="n">
        <v>0</v>
      </c>
      <c r="P488" t="n">
        <v>0</v>
      </c>
      <c r="Q488" t="n">
        <v>0</v>
      </c>
      <c r="R488" s="2" t="inlineStr"/>
    </row>
    <row r="489" ht="15" customHeight="1">
      <c r="A489" t="inlineStr">
        <is>
          <t>A 45462-2025</t>
        </is>
      </c>
      <c r="B489" s="1" t="n">
        <v>45922.49604166667</v>
      </c>
      <c r="C489" s="1" t="n">
        <v>45935</v>
      </c>
      <c r="D489" t="inlineStr">
        <is>
          <t>JÄMTLANDS LÄN</t>
        </is>
      </c>
      <c r="E489" t="inlineStr">
        <is>
          <t>KROKOM</t>
        </is>
      </c>
      <c r="G489" t="n">
        <v>2.4</v>
      </c>
      <c r="H489" t="n">
        <v>0</v>
      </c>
      <c r="I489" t="n">
        <v>0</v>
      </c>
      <c r="J489" t="n">
        <v>0</v>
      </c>
      <c r="K489" t="n">
        <v>0</v>
      </c>
      <c r="L489" t="n">
        <v>0</v>
      </c>
      <c r="M489" t="n">
        <v>0</v>
      </c>
      <c r="N489" t="n">
        <v>0</v>
      </c>
      <c r="O489" t="n">
        <v>0</v>
      </c>
      <c r="P489" t="n">
        <v>0</v>
      </c>
      <c r="Q489" t="n">
        <v>0</v>
      </c>
      <c r="R489" s="2" t="inlineStr"/>
    </row>
    <row r="490" ht="15" customHeight="1">
      <c r="A490" t="inlineStr">
        <is>
          <t>A 53916-2023</t>
        </is>
      </c>
      <c r="B490" s="1" t="n">
        <v>45231</v>
      </c>
      <c r="C490" s="1" t="n">
        <v>45935</v>
      </c>
      <c r="D490" t="inlineStr">
        <is>
          <t>JÄMTLANDS LÄN</t>
        </is>
      </c>
      <c r="E490" t="inlineStr">
        <is>
          <t>KROKOM</t>
        </is>
      </c>
      <c r="G490" t="n">
        <v>7.3</v>
      </c>
      <c r="H490" t="n">
        <v>0</v>
      </c>
      <c r="I490" t="n">
        <v>0</v>
      </c>
      <c r="J490" t="n">
        <v>0</v>
      </c>
      <c r="K490" t="n">
        <v>0</v>
      </c>
      <c r="L490" t="n">
        <v>0</v>
      </c>
      <c r="M490" t="n">
        <v>0</v>
      </c>
      <c r="N490" t="n">
        <v>0</v>
      </c>
      <c r="O490" t="n">
        <v>0</v>
      </c>
      <c r="P490" t="n">
        <v>0</v>
      </c>
      <c r="Q490" t="n">
        <v>0</v>
      </c>
      <c r="R490" s="2" t="inlineStr"/>
    </row>
    <row r="491" ht="15" customHeight="1">
      <c r="A491" t="inlineStr">
        <is>
          <t>A 59706-2020</t>
        </is>
      </c>
      <c r="B491" s="1" t="n">
        <v>44151</v>
      </c>
      <c r="C491" s="1" t="n">
        <v>45935</v>
      </c>
      <c r="D491" t="inlineStr">
        <is>
          <t>JÄMTLANDS LÄN</t>
        </is>
      </c>
      <c r="E491" t="inlineStr">
        <is>
          <t>KROKOM</t>
        </is>
      </c>
      <c r="G491" t="n">
        <v>75</v>
      </c>
      <c r="H491" t="n">
        <v>0</v>
      </c>
      <c r="I491" t="n">
        <v>0</v>
      </c>
      <c r="J491" t="n">
        <v>0</v>
      </c>
      <c r="K491" t="n">
        <v>0</v>
      </c>
      <c r="L491" t="n">
        <v>0</v>
      </c>
      <c r="M491" t="n">
        <v>0</v>
      </c>
      <c r="N491" t="n">
        <v>0</v>
      </c>
      <c r="O491" t="n">
        <v>0</v>
      </c>
      <c r="P491" t="n">
        <v>0</v>
      </c>
      <c r="Q491" t="n">
        <v>0</v>
      </c>
      <c r="R491" s="2" t="inlineStr"/>
    </row>
    <row r="492" ht="15" customHeight="1">
      <c r="A492" t="inlineStr">
        <is>
          <t>A 1473-2025</t>
        </is>
      </c>
      <c r="B492" s="1" t="n">
        <v>45670</v>
      </c>
      <c r="C492" s="1" t="n">
        <v>45935</v>
      </c>
      <c r="D492" t="inlineStr">
        <is>
          <t>JÄMTLANDS LÄN</t>
        </is>
      </c>
      <c r="E492" t="inlineStr">
        <is>
          <t>KROKOM</t>
        </is>
      </c>
      <c r="G492" t="n">
        <v>7.6</v>
      </c>
      <c r="H492" t="n">
        <v>0</v>
      </c>
      <c r="I492" t="n">
        <v>0</v>
      </c>
      <c r="J492" t="n">
        <v>0</v>
      </c>
      <c r="K492" t="n">
        <v>0</v>
      </c>
      <c r="L492" t="n">
        <v>0</v>
      </c>
      <c r="M492" t="n">
        <v>0</v>
      </c>
      <c r="N492" t="n">
        <v>0</v>
      </c>
      <c r="O492" t="n">
        <v>0</v>
      </c>
      <c r="P492" t="n">
        <v>0</v>
      </c>
      <c r="Q492" t="n">
        <v>0</v>
      </c>
      <c r="R492" s="2" t="inlineStr"/>
    </row>
    <row r="493" ht="15" customHeight="1">
      <c r="A493" t="inlineStr">
        <is>
          <t>A 2480-2025</t>
        </is>
      </c>
      <c r="B493" s="1" t="n">
        <v>45674</v>
      </c>
      <c r="C493" s="1" t="n">
        <v>45935</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33802-2021</t>
        </is>
      </c>
      <c r="B494" s="1" t="n">
        <v>44377</v>
      </c>
      <c r="C494" s="1" t="n">
        <v>45935</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50129-2024</t>
        </is>
      </c>
      <c r="B495" s="1" t="n">
        <v>45600.433125</v>
      </c>
      <c r="C495" s="1" t="n">
        <v>45935</v>
      </c>
      <c r="D495" t="inlineStr">
        <is>
          <t>JÄMTLANDS LÄN</t>
        </is>
      </c>
      <c r="E495" t="inlineStr">
        <is>
          <t>KROKOM</t>
        </is>
      </c>
      <c r="F495" t="inlineStr">
        <is>
          <t>Övriga Aktiebolag</t>
        </is>
      </c>
      <c r="G495" t="n">
        <v>4.1</v>
      </c>
      <c r="H495" t="n">
        <v>0</v>
      </c>
      <c r="I495" t="n">
        <v>0</v>
      </c>
      <c r="J495" t="n">
        <v>0</v>
      </c>
      <c r="K495" t="n">
        <v>0</v>
      </c>
      <c r="L495" t="n">
        <v>0</v>
      </c>
      <c r="M495" t="n">
        <v>0</v>
      </c>
      <c r="N495" t="n">
        <v>0</v>
      </c>
      <c r="O495" t="n">
        <v>0</v>
      </c>
      <c r="P495" t="n">
        <v>0</v>
      </c>
      <c r="Q495" t="n">
        <v>0</v>
      </c>
      <c r="R495" s="2" t="inlineStr"/>
    </row>
    <row r="496" ht="15" customHeight="1">
      <c r="A496" t="inlineStr">
        <is>
          <t>A 7111-2024</t>
        </is>
      </c>
      <c r="B496" s="1" t="n">
        <v>45343.95162037037</v>
      </c>
      <c r="C496" s="1" t="n">
        <v>45935</v>
      </c>
      <c r="D496" t="inlineStr">
        <is>
          <t>JÄMTLANDS LÄN</t>
        </is>
      </c>
      <c r="E496" t="inlineStr">
        <is>
          <t>KROKOM</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40221-2024</t>
        </is>
      </c>
      <c r="B497" s="1" t="n">
        <v>45554.59550925926</v>
      </c>
      <c r="C497" s="1" t="n">
        <v>45935</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31821-2023</t>
        </is>
      </c>
      <c r="B498" s="1" t="n">
        <v>45118</v>
      </c>
      <c r="C498" s="1" t="n">
        <v>45935</v>
      </c>
      <c r="D498" t="inlineStr">
        <is>
          <t>JÄMTLANDS LÄN</t>
        </is>
      </c>
      <c r="E498" t="inlineStr">
        <is>
          <t>KROKOM</t>
        </is>
      </c>
      <c r="G498" t="n">
        <v>0.1</v>
      </c>
      <c r="H498" t="n">
        <v>0</v>
      </c>
      <c r="I498" t="n">
        <v>0</v>
      </c>
      <c r="J498" t="n">
        <v>0</v>
      </c>
      <c r="K498" t="n">
        <v>0</v>
      </c>
      <c r="L498" t="n">
        <v>0</v>
      </c>
      <c r="M498" t="n">
        <v>0</v>
      </c>
      <c r="N498" t="n">
        <v>0</v>
      </c>
      <c r="O498" t="n">
        <v>0</v>
      </c>
      <c r="P498" t="n">
        <v>0</v>
      </c>
      <c r="Q498" t="n">
        <v>0</v>
      </c>
      <c r="R498" s="2" t="inlineStr"/>
    </row>
    <row r="499" ht="15" customHeight="1">
      <c r="A499" t="inlineStr">
        <is>
          <t>A 59973-2023</t>
        </is>
      </c>
      <c r="B499" s="1" t="n">
        <v>45257</v>
      </c>
      <c r="C499" s="1" t="n">
        <v>45935</v>
      </c>
      <c r="D499" t="inlineStr">
        <is>
          <t>JÄMTLANDS LÄN</t>
        </is>
      </c>
      <c r="E499" t="inlineStr">
        <is>
          <t>KROKOM</t>
        </is>
      </c>
      <c r="G499" t="n">
        <v>2.1</v>
      </c>
      <c r="H499" t="n">
        <v>0</v>
      </c>
      <c r="I499" t="n">
        <v>0</v>
      </c>
      <c r="J499" t="n">
        <v>0</v>
      </c>
      <c r="K499" t="n">
        <v>0</v>
      </c>
      <c r="L499" t="n">
        <v>0</v>
      </c>
      <c r="M499" t="n">
        <v>0</v>
      </c>
      <c r="N499" t="n">
        <v>0</v>
      </c>
      <c r="O499" t="n">
        <v>0</v>
      </c>
      <c r="P499" t="n">
        <v>0</v>
      </c>
      <c r="Q499" t="n">
        <v>0</v>
      </c>
      <c r="R499" s="2" t="inlineStr"/>
    </row>
    <row r="500" ht="15" customHeight="1">
      <c r="A500" t="inlineStr">
        <is>
          <t>A 42828-2023</t>
        </is>
      </c>
      <c r="B500" s="1" t="n">
        <v>45182</v>
      </c>
      <c r="C500" s="1" t="n">
        <v>45935</v>
      </c>
      <c r="D500" t="inlineStr">
        <is>
          <t>JÄMTLANDS LÄN</t>
        </is>
      </c>
      <c r="E500" t="inlineStr">
        <is>
          <t>KROKOM</t>
        </is>
      </c>
      <c r="G500" t="n">
        <v>0.2</v>
      </c>
      <c r="H500" t="n">
        <v>0</v>
      </c>
      <c r="I500" t="n">
        <v>0</v>
      </c>
      <c r="J500" t="n">
        <v>0</v>
      </c>
      <c r="K500" t="n">
        <v>0</v>
      </c>
      <c r="L500" t="n">
        <v>0</v>
      </c>
      <c r="M500" t="n">
        <v>0</v>
      </c>
      <c r="N500" t="n">
        <v>0</v>
      </c>
      <c r="O500" t="n">
        <v>0</v>
      </c>
      <c r="P500" t="n">
        <v>0</v>
      </c>
      <c r="Q500" t="n">
        <v>0</v>
      </c>
      <c r="R500" s="2" t="inlineStr"/>
    </row>
    <row r="501" ht="15" customHeight="1">
      <c r="A501" t="inlineStr">
        <is>
          <t>A 7556-2025</t>
        </is>
      </c>
      <c r="B501" s="1" t="n">
        <v>45705</v>
      </c>
      <c r="C501" s="1" t="n">
        <v>45935</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40271-2024</t>
        </is>
      </c>
      <c r="B502" s="1" t="n">
        <v>45554</v>
      </c>
      <c r="C502" s="1" t="n">
        <v>45935</v>
      </c>
      <c r="D502" t="inlineStr">
        <is>
          <t>JÄMTLANDS LÄN</t>
        </is>
      </c>
      <c r="E502" t="inlineStr">
        <is>
          <t>KROKOM</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40364-2023</t>
        </is>
      </c>
      <c r="B503" s="1" t="n">
        <v>45168</v>
      </c>
      <c r="C503" s="1" t="n">
        <v>45935</v>
      </c>
      <c r="D503" t="inlineStr">
        <is>
          <t>JÄMTLANDS LÄN</t>
        </is>
      </c>
      <c r="E503" t="inlineStr">
        <is>
          <t>KROKOM</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884-2021</t>
        </is>
      </c>
      <c r="B504" s="1" t="n">
        <v>44206</v>
      </c>
      <c r="C504" s="1" t="n">
        <v>45935</v>
      </c>
      <c r="D504" t="inlineStr">
        <is>
          <t>JÄMTLANDS LÄN</t>
        </is>
      </c>
      <c r="E504" t="inlineStr">
        <is>
          <t>KROKOM</t>
        </is>
      </c>
      <c r="G504" t="n">
        <v>0.2</v>
      </c>
      <c r="H504" t="n">
        <v>0</v>
      </c>
      <c r="I504" t="n">
        <v>0</v>
      </c>
      <c r="J504" t="n">
        <v>0</v>
      </c>
      <c r="K504" t="n">
        <v>0</v>
      </c>
      <c r="L504" t="n">
        <v>0</v>
      </c>
      <c r="M504" t="n">
        <v>0</v>
      </c>
      <c r="N504" t="n">
        <v>0</v>
      </c>
      <c r="O504" t="n">
        <v>0</v>
      </c>
      <c r="P504" t="n">
        <v>0</v>
      </c>
      <c r="Q504" t="n">
        <v>0</v>
      </c>
      <c r="R504" s="2" t="inlineStr"/>
    </row>
    <row r="505" ht="15" customHeight="1">
      <c r="A505" t="inlineStr">
        <is>
          <t>A 37530-2025</t>
        </is>
      </c>
      <c r="B505" s="1" t="n">
        <v>45878</v>
      </c>
      <c r="C505" s="1" t="n">
        <v>45935</v>
      </c>
      <c r="D505" t="inlineStr">
        <is>
          <t>JÄMTLANDS LÄN</t>
        </is>
      </c>
      <c r="E505" t="inlineStr">
        <is>
          <t>KROKOM</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5378-2025</t>
        </is>
      </c>
      <c r="B506" s="1" t="n">
        <v>45692.60364583333</v>
      </c>
      <c r="C506" s="1" t="n">
        <v>45935</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18080-2025</t>
        </is>
      </c>
      <c r="B507" s="1" t="n">
        <v>45761.50909722222</v>
      </c>
      <c r="C507" s="1" t="n">
        <v>45935</v>
      </c>
      <c r="D507" t="inlineStr">
        <is>
          <t>JÄMTLANDS LÄN</t>
        </is>
      </c>
      <c r="E507" t="inlineStr">
        <is>
          <t>KROKOM</t>
        </is>
      </c>
      <c r="G507" t="n">
        <v>21.9</v>
      </c>
      <c r="H507" t="n">
        <v>0</v>
      </c>
      <c r="I507" t="n">
        <v>0</v>
      </c>
      <c r="J507" t="n">
        <v>0</v>
      </c>
      <c r="K507" t="n">
        <v>0</v>
      </c>
      <c r="L507" t="n">
        <v>0</v>
      </c>
      <c r="M507" t="n">
        <v>0</v>
      </c>
      <c r="N507" t="n">
        <v>0</v>
      </c>
      <c r="O507" t="n">
        <v>0</v>
      </c>
      <c r="P507" t="n">
        <v>0</v>
      </c>
      <c r="Q507" t="n">
        <v>0</v>
      </c>
      <c r="R507" s="2" t="inlineStr"/>
    </row>
    <row r="508" ht="15" customHeight="1">
      <c r="A508" t="inlineStr">
        <is>
          <t>A 6185-2025</t>
        </is>
      </c>
      <c r="B508" s="1" t="n">
        <v>45698.45653935185</v>
      </c>
      <c r="C508" s="1" t="n">
        <v>45935</v>
      </c>
      <c r="D508" t="inlineStr">
        <is>
          <t>JÄMTLANDS LÄN</t>
        </is>
      </c>
      <c r="E508" t="inlineStr">
        <is>
          <t>KROKOM</t>
        </is>
      </c>
      <c r="G508" t="n">
        <v>14.7</v>
      </c>
      <c r="H508" t="n">
        <v>0</v>
      </c>
      <c r="I508" t="n">
        <v>0</v>
      </c>
      <c r="J508" t="n">
        <v>0</v>
      </c>
      <c r="K508" t="n">
        <v>0</v>
      </c>
      <c r="L508" t="n">
        <v>0</v>
      </c>
      <c r="M508" t="n">
        <v>0</v>
      </c>
      <c r="N508" t="n">
        <v>0</v>
      </c>
      <c r="O508" t="n">
        <v>0</v>
      </c>
      <c r="P508" t="n">
        <v>0</v>
      </c>
      <c r="Q508" t="n">
        <v>0</v>
      </c>
      <c r="R508" s="2" t="inlineStr"/>
    </row>
    <row r="509" ht="15" customHeight="1">
      <c r="A509" t="inlineStr">
        <is>
          <t>A 4741-2022</t>
        </is>
      </c>
      <c r="B509" s="1" t="n">
        <v>44592</v>
      </c>
      <c r="C509" s="1" t="n">
        <v>45935</v>
      </c>
      <c r="D509" t="inlineStr">
        <is>
          <t>JÄMTLANDS LÄN</t>
        </is>
      </c>
      <c r="E509" t="inlineStr">
        <is>
          <t>KROKOM</t>
        </is>
      </c>
      <c r="G509" t="n">
        <v>54.2</v>
      </c>
      <c r="H509" t="n">
        <v>0</v>
      </c>
      <c r="I509" t="n">
        <v>0</v>
      </c>
      <c r="J509" t="n">
        <v>0</v>
      </c>
      <c r="K509" t="n">
        <v>0</v>
      </c>
      <c r="L509" t="n">
        <v>0</v>
      </c>
      <c r="M509" t="n">
        <v>0</v>
      </c>
      <c r="N509" t="n">
        <v>0</v>
      </c>
      <c r="O509" t="n">
        <v>0</v>
      </c>
      <c r="P509" t="n">
        <v>0</v>
      </c>
      <c r="Q509" t="n">
        <v>0</v>
      </c>
      <c r="R509" s="2" t="inlineStr"/>
    </row>
    <row r="510" ht="15" customHeight="1">
      <c r="A510" t="inlineStr">
        <is>
          <t>A 29224-2023</t>
        </is>
      </c>
      <c r="B510" s="1" t="n">
        <v>45097</v>
      </c>
      <c r="C510" s="1" t="n">
        <v>45935</v>
      </c>
      <c r="D510" t="inlineStr">
        <is>
          <t>JÄMTLANDS LÄN</t>
        </is>
      </c>
      <c r="E510" t="inlineStr">
        <is>
          <t>KROKOM</t>
        </is>
      </c>
      <c r="G510" t="n">
        <v>2.6</v>
      </c>
      <c r="H510" t="n">
        <v>0</v>
      </c>
      <c r="I510" t="n">
        <v>0</v>
      </c>
      <c r="J510" t="n">
        <v>0</v>
      </c>
      <c r="K510" t="n">
        <v>0</v>
      </c>
      <c r="L510" t="n">
        <v>0</v>
      </c>
      <c r="M510" t="n">
        <v>0</v>
      </c>
      <c r="N510" t="n">
        <v>0</v>
      </c>
      <c r="O510" t="n">
        <v>0</v>
      </c>
      <c r="P510" t="n">
        <v>0</v>
      </c>
      <c r="Q510" t="n">
        <v>0</v>
      </c>
      <c r="R510" s="2" t="inlineStr"/>
    </row>
    <row r="511" ht="15" customHeight="1">
      <c r="A511" t="inlineStr">
        <is>
          <t>A 15776-2025</t>
        </is>
      </c>
      <c r="B511" s="1" t="n">
        <v>45748.59744212963</v>
      </c>
      <c r="C511" s="1" t="n">
        <v>45935</v>
      </c>
      <c r="D511" t="inlineStr">
        <is>
          <t>JÄMTLANDS LÄN</t>
        </is>
      </c>
      <c r="E511" t="inlineStr">
        <is>
          <t>KROKOM</t>
        </is>
      </c>
      <c r="G511" t="n">
        <v>46.5</v>
      </c>
      <c r="H511" t="n">
        <v>0</v>
      </c>
      <c r="I511" t="n">
        <v>0</v>
      </c>
      <c r="J511" t="n">
        <v>0</v>
      </c>
      <c r="K511" t="n">
        <v>0</v>
      </c>
      <c r="L511" t="n">
        <v>0</v>
      </c>
      <c r="M511" t="n">
        <v>0</v>
      </c>
      <c r="N511" t="n">
        <v>0</v>
      </c>
      <c r="O511" t="n">
        <v>0</v>
      </c>
      <c r="P511" t="n">
        <v>0</v>
      </c>
      <c r="Q511" t="n">
        <v>0</v>
      </c>
      <c r="R511" s="2" t="inlineStr"/>
    </row>
    <row r="512" ht="15" customHeight="1">
      <c r="A512" t="inlineStr">
        <is>
          <t>A 52217-2024</t>
        </is>
      </c>
      <c r="B512" s="1" t="n">
        <v>45607</v>
      </c>
      <c r="C512" s="1" t="n">
        <v>45935</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52237-2024</t>
        </is>
      </c>
      <c r="B513" s="1" t="n">
        <v>45608.61606481481</v>
      </c>
      <c r="C513" s="1" t="n">
        <v>45935</v>
      </c>
      <c r="D513" t="inlineStr">
        <is>
          <t>JÄMTLANDS LÄN</t>
        </is>
      </c>
      <c r="E513" t="inlineStr">
        <is>
          <t>KROKOM</t>
        </is>
      </c>
      <c r="G513" t="n">
        <v>2</v>
      </c>
      <c r="H513" t="n">
        <v>0</v>
      </c>
      <c r="I513" t="n">
        <v>0</v>
      </c>
      <c r="J513" t="n">
        <v>0</v>
      </c>
      <c r="K513" t="n">
        <v>0</v>
      </c>
      <c r="L513" t="n">
        <v>0</v>
      </c>
      <c r="M513" t="n">
        <v>0</v>
      </c>
      <c r="N513" t="n">
        <v>0</v>
      </c>
      <c r="O513" t="n">
        <v>0</v>
      </c>
      <c r="P513" t="n">
        <v>0</v>
      </c>
      <c r="Q513" t="n">
        <v>0</v>
      </c>
      <c r="R513" s="2" t="inlineStr"/>
    </row>
    <row r="514" ht="15" customHeight="1">
      <c r="A514" t="inlineStr">
        <is>
          <t>A 26228-2024</t>
        </is>
      </c>
      <c r="B514" s="1" t="n">
        <v>45467</v>
      </c>
      <c r="C514" s="1" t="n">
        <v>45935</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58390-2021</t>
        </is>
      </c>
      <c r="B515" s="1" t="n">
        <v>44488.47928240741</v>
      </c>
      <c r="C515" s="1" t="n">
        <v>45935</v>
      </c>
      <c r="D515" t="inlineStr">
        <is>
          <t>JÄMTLANDS LÄN</t>
        </is>
      </c>
      <c r="E515" t="inlineStr">
        <is>
          <t>KROKOM</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27075-2022</t>
        </is>
      </c>
      <c r="B516" s="1" t="n">
        <v>44741</v>
      </c>
      <c r="C516" s="1" t="n">
        <v>45935</v>
      </c>
      <c r="D516" t="inlineStr">
        <is>
          <t>JÄMTLANDS LÄN</t>
        </is>
      </c>
      <c r="E516" t="inlineStr">
        <is>
          <t>KROKOM</t>
        </is>
      </c>
      <c r="G516" t="n">
        <v>10.4</v>
      </c>
      <c r="H516" t="n">
        <v>0</v>
      </c>
      <c r="I516" t="n">
        <v>0</v>
      </c>
      <c r="J516" t="n">
        <v>0</v>
      </c>
      <c r="K516" t="n">
        <v>0</v>
      </c>
      <c r="L516" t="n">
        <v>0</v>
      </c>
      <c r="M516" t="n">
        <v>0</v>
      </c>
      <c r="N516" t="n">
        <v>0</v>
      </c>
      <c r="O516" t="n">
        <v>0</v>
      </c>
      <c r="P516" t="n">
        <v>0</v>
      </c>
      <c r="Q516" t="n">
        <v>0</v>
      </c>
      <c r="R516" s="2" t="inlineStr"/>
    </row>
    <row r="517" ht="15" customHeight="1">
      <c r="A517" t="inlineStr">
        <is>
          <t>A 16278-2025</t>
        </is>
      </c>
      <c r="B517" s="1" t="n">
        <v>45751.28243055556</v>
      </c>
      <c r="C517" s="1" t="n">
        <v>45935</v>
      </c>
      <c r="D517" t="inlineStr">
        <is>
          <t>JÄMTLANDS LÄN</t>
        </is>
      </c>
      <c r="E517" t="inlineStr">
        <is>
          <t>KROKOM</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3257-2024</t>
        </is>
      </c>
      <c r="B518" s="1" t="n">
        <v>45316</v>
      </c>
      <c r="C518" s="1" t="n">
        <v>45935</v>
      </c>
      <c r="D518" t="inlineStr">
        <is>
          <t>JÄMTLANDS LÄN</t>
        </is>
      </c>
      <c r="E518" t="inlineStr">
        <is>
          <t>KROKOM</t>
        </is>
      </c>
      <c r="G518" t="n">
        <v>6.5</v>
      </c>
      <c r="H518" t="n">
        <v>0</v>
      </c>
      <c r="I518" t="n">
        <v>0</v>
      </c>
      <c r="J518" t="n">
        <v>0</v>
      </c>
      <c r="K518" t="n">
        <v>0</v>
      </c>
      <c r="L518" t="n">
        <v>0</v>
      </c>
      <c r="M518" t="n">
        <v>0</v>
      </c>
      <c r="N518" t="n">
        <v>0</v>
      </c>
      <c r="O518" t="n">
        <v>0</v>
      </c>
      <c r="P518" t="n">
        <v>0</v>
      </c>
      <c r="Q518" t="n">
        <v>0</v>
      </c>
      <c r="R518" s="2" t="inlineStr"/>
    </row>
    <row r="519" ht="15" customHeight="1">
      <c r="A519" t="inlineStr">
        <is>
          <t>A 17298-2024</t>
        </is>
      </c>
      <c r="B519" s="1" t="n">
        <v>45414.486875</v>
      </c>
      <c r="C519" s="1" t="n">
        <v>45935</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15524-2024</t>
        </is>
      </c>
      <c r="B520" s="1" t="n">
        <v>45401.59133101852</v>
      </c>
      <c r="C520" s="1" t="n">
        <v>45935</v>
      </c>
      <c r="D520" t="inlineStr">
        <is>
          <t>JÄMTLANDS LÄN</t>
        </is>
      </c>
      <c r="E520" t="inlineStr">
        <is>
          <t>KROKOM</t>
        </is>
      </c>
      <c r="G520" t="n">
        <v>2.4</v>
      </c>
      <c r="H520" t="n">
        <v>0</v>
      </c>
      <c r="I520" t="n">
        <v>0</v>
      </c>
      <c r="J520" t="n">
        <v>0</v>
      </c>
      <c r="K520" t="n">
        <v>0</v>
      </c>
      <c r="L520" t="n">
        <v>0</v>
      </c>
      <c r="M520" t="n">
        <v>0</v>
      </c>
      <c r="N520" t="n">
        <v>0</v>
      </c>
      <c r="O520" t="n">
        <v>0</v>
      </c>
      <c r="P520" t="n">
        <v>0</v>
      </c>
      <c r="Q520" t="n">
        <v>0</v>
      </c>
      <c r="R520" s="2" t="inlineStr"/>
    </row>
    <row r="521" ht="15" customHeight="1">
      <c r="A521" t="inlineStr">
        <is>
          <t>A 28210-2024</t>
        </is>
      </c>
      <c r="B521" s="1" t="n">
        <v>45477.35225694445</v>
      </c>
      <c r="C521" s="1" t="n">
        <v>45935</v>
      </c>
      <c r="D521" t="inlineStr">
        <is>
          <t>JÄMTLANDS LÄN</t>
        </is>
      </c>
      <c r="E521" t="inlineStr">
        <is>
          <t>KROKOM</t>
        </is>
      </c>
      <c r="F521" t="inlineStr">
        <is>
          <t>Övriga Aktiebolag</t>
        </is>
      </c>
      <c r="G521" t="n">
        <v>0.1</v>
      </c>
      <c r="H521" t="n">
        <v>0</v>
      </c>
      <c r="I521" t="n">
        <v>0</v>
      </c>
      <c r="J521" t="n">
        <v>0</v>
      </c>
      <c r="K521" t="n">
        <v>0</v>
      </c>
      <c r="L521" t="n">
        <v>0</v>
      </c>
      <c r="M521" t="n">
        <v>0</v>
      </c>
      <c r="N521" t="n">
        <v>0</v>
      </c>
      <c r="O521" t="n">
        <v>0</v>
      </c>
      <c r="P521" t="n">
        <v>0</v>
      </c>
      <c r="Q521" t="n">
        <v>0</v>
      </c>
      <c r="R521" s="2" t="inlineStr"/>
    </row>
    <row r="522" ht="15" customHeight="1">
      <c r="A522" t="inlineStr">
        <is>
          <t>A 36567-2021</t>
        </is>
      </c>
      <c r="B522" s="1" t="n">
        <v>44391</v>
      </c>
      <c r="C522" s="1" t="n">
        <v>45935</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57856-2023</t>
        </is>
      </c>
      <c r="B523" s="1" t="n">
        <v>45247</v>
      </c>
      <c r="C523" s="1" t="n">
        <v>45935</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37615-2025</t>
        </is>
      </c>
      <c r="B524" s="1" t="n">
        <v>45880</v>
      </c>
      <c r="C524" s="1" t="n">
        <v>45935</v>
      </c>
      <c r="D524" t="inlineStr">
        <is>
          <t>JÄMTLANDS LÄN</t>
        </is>
      </c>
      <c r="E524" t="inlineStr">
        <is>
          <t>KROKOM</t>
        </is>
      </c>
      <c r="G524" t="n">
        <v>33.6</v>
      </c>
      <c r="H524" t="n">
        <v>0</v>
      </c>
      <c r="I524" t="n">
        <v>0</v>
      </c>
      <c r="J524" t="n">
        <v>0</v>
      </c>
      <c r="K524" t="n">
        <v>0</v>
      </c>
      <c r="L524" t="n">
        <v>0</v>
      </c>
      <c r="M524" t="n">
        <v>0</v>
      </c>
      <c r="N524" t="n">
        <v>0</v>
      </c>
      <c r="O524" t="n">
        <v>0</v>
      </c>
      <c r="P524" t="n">
        <v>0</v>
      </c>
      <c r="Q524" t="n">
        <v>0</v>
      </c>
      <c r="R524" s="2" t="inlineStr"/>
    </row>
    <row r="525" ht="15" customHeight="1">
      <c r="A525" t="inlineStr">
        <is>
          <t>A 41628-2024</t>
        </is>
      </c>
      <c r="B525" s="1" t="n">
        <v>45560</v>
      </c>
      <c r="C525" s="1" t="n">
        <v>45935</v>
      </c>
      <c r="D525" t="inlineStr">
        <is>
          <t>JÄMTLANDS LÄN</t>
        </is>
      </c>
      <c r="E525" t="inlineStr">
        <is>
          <t>KROKOM</t>
        </is>
      </c>
      <c r="F525" t="inlineStr">
        <is>
          <t>Övriga Aktiebolag</t>
        </is>
      </c>
      <c r="G525" t="n">
        <v>7.3</v>
      </c>
      <c r="H525" t="n">
        <v>0</v>
      </c>
      <c r="I525" t="n">
        <v>0</v>
      </c>
      <c r="J525" t="n">
        <v>0</v>
      </c>
      <c r="K525" t="n">
        <v>0</v>
      </c>
      <c r="L525" t="n">
        <v>0</v>
      </c>
      <c r="M525" t="n">
        <v>0</v>
      </c>
      <c r="N525" t="n">
        <v>0</v>
      </c>
      <c r="O525" t="n">
        <v>0</v>
      </c>
      <c r="P525" t="n">
        <v>0</v>
      </c>
      <c r="Q525" t="n">
        <v>0</v>
      </c>
      <c r="R525" s="2" t="inlineStr"/>
    </row>
    <row r="526" ht="15" customHeight="1">
      <c r="A526" t="inlineStr">
        <is>
          <t>A 56596-2020</t>
        </is>
      </c>
      <c r="B526" s="1" t="n">
        <v>44133</v>
      </c>
      <c r="C526" s="1" t="n">
        <v>45935</v>
      </c>
      <c r="D526" t="inlineStr">
        <is>
          <t>JÄMTLANDS LÄN</t>
        </is>
      </c>
      <c r="E526" t="inlineStr">
        <is>
          <t>KROKOM</t>
        </is>
      </c>
      <c r="G526" t="n">
        <v>7.2</v>
      </c>
      <c r="H526" t="n">
        <v>0</v>
      </c>
      <c r="I526" t="n">
        <v>0</v>
      </c>
      <c r="J526" t="n">
        <v>0</v>
      </c>
      <c r="K526" t="n">
        <v>0</v>
      </c>
      <c r="L526" t="n">
        <v>0</v>
      </c>
      <c r="M526" t="n">
        <v>0</v>
      </c>
      <c r="N526" t="n">
        <v>0</v>
      </c>
      <c r="O526" t="n">
        <v>0</v>
      </c>
      <c r="P526" t="n">
        <v>0</v>
      </c>
      <c r="Q526" t="n">
        <v>0</v>
      </c>
      <c r="R526" s="2" t="inlineStr"/>
    </row>
    <row r="527" ht="15" customHeight="1">
      <c r="A527" t="inlineStr">
        <is>
          <t>A 10842-2024</t>
        </is>
      </c>
      <c r="B527" s="1" t="n">
        <v>45369</v>
      </c>
      <c r="C527" s="1" t="n">
        <v>45935</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9023-2025</t>
        </is>
      </c>
      <c r="B528" s="1" t="n">
        <v>45713.59741898148</v>
      </c>
      <c r="C528" s="1" t="n">
        <v>45935</v>
      </c>
      <c r="D528" t="inlineStr">
        <is>
          <t>JÄMTLANDS LÄN</t>
        </is>
      </c>
      <c r="E528" t="inlineStr">
        <is>
          <t>KROKOM</t>
        </is>
      </c>
      <c r="F528" t="inlineStr">
        <is>
          <t>Övriga Aktiebolag</t>
        </is>
      </c>
      <c r="G528" t="n">
        <v>16.8</v>
      </c>
      <c r="H528" t="n">
        <v>0</v>
      </c>
      <c r="I528" t="n">
        <v>0</v>
      </c>
      <c r="J528" t="n">
        <v>0</v>
      </c>
      <c r="K528" t="n">
        <v>0</v>
      </c>
      <c r="L528" t="n">
        <v>0</v>
      </c>
      <c r="M528" t="n">
        <v>0</v>
      </c>
      <c r="N528" t="n">
        <v>0</v>
      </c>
      <c r="O528" t="n">
        <v>0</v>
      </c>
      <c r="P528" t="n">
        <v>0</v>
      </c>
      <c r="Q528" t="n">
        <v>0</v>
      </c>
      <c r="R528" s="2" t="inlineStr"/>
    </row>
    <row r="529" ht="15" customHeight="1">
      <c r="A529" t="inlineStr">
        <is>
          <t>A 11059-2024</t>
        </is>
      </c>
      <c r="B529" s="1" t="n">
        <v>45370</v>
      </c>
      <c r="C529" s="1" t="n">
        <v>45935</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56328-2023</t>
        </is>
      </c>
      <c r="B530" s="1" t="n">
        <v>45243.33297453704</v>
      </c>
      <c r="C530" s="1" t="n">
        <v>45935</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45929-2025</t>
        </is>
      </c>
      <c r="B531" s="1" t="n">
        <v>45923.8644212963</v>
      </c>
      <c r="C531" s="1" t="n">
        <v>45935</v>
      </c>
      <c r="D531" t="inlineStr">
        <is>
          <t>JÄMTLANDS LÄN</t>
        </is>
      </c>
      <c r="E531" t="inlineStr">
        <is>
          <t>KROKOM</t>
        </is>
      </c>
      <c r="G531" t="n">
        <v>7.3</v>
      </c>
      <c r="H531" t="n">
        <v>0</v>
      </c>
      <c r="I531" t="n">
        <v>0</v>
      </c>
      <c r="J531" t="n">
        <v>0</v>
      </c>
      <c r="K531" t="n">
        <v>0</v>
      </c>
      <c r="L531" t="n">
        <v>0</v>
      </c>
      <c r="M531" t="n">
        <v>0</v>
      </c>
      <c r="N531" t="n">
        <v>0</v>
      </c>
      <c r="O531" t="n">
        <v>0</v>
      </c>
      <c r="P531" t="n">
        <v>0</v>
      </c>
      <c r="Q531" t="n">
        <v>0</v>
      </c>
      <c r="R531" s="2" t="inlineStr"/>
    </row>
    <row r="532" ht="15" customHeight="1">
      <c r="A532" t="inlineStr">
        <is>
          <t>A 17417-2024</t>
        </is>
      </c>
      <c r="B532" s="1" t="n">
        <v>45414.96341435185</v>
      </c>
      <c r="C532" s="1" t="n">
        <v>45935</v>
      </c>
      <c r="D532" t="inlineStr">
        <is>
          <t>JÄMTLANDS LÄN</t>
        </is>
      </c>
      <c r="E532" t="inlineStr">
        <is>
          <t>KROKOM</t>
        </is>
      </c>
      <c r="G532" t="n">
        <v>1.7</v>
      </c>
      <c r="H532" t="n">
        <v>0</v>
      </c>
      <c r="I532" t="n">
        <v>0</v>
      </c>
      <c r="J532" t="n">
        <v>0</v>
      </c>
      <c r="K532" t="n">
        <v>0</v>
      </c>
      <c r="L532" t="n">
        <v>0</v>
      </c>
      <c r="M532" t="n">
        <v>0</v>
      </c>
      <c r="N532" t="n">
        <v>0</v>
      </c>
      <c r="O532" t="n">
        <v>0</v>
      </c>
      <c r="P532" t="n">
        <v>0</v>
      </c>
      <c r="Q532" t="n">
        <v>0</v>
      </c>
      <c r="R532" s="2" t="inlineStr"/>
    </row>
    <row r="533" ht="15" customHeight="1">
      <c r="A533" t="inlineStr">
        <is>
          <t>A 45778-2025</t>
        </is>
      </c>
      <c r="B533" s="1" t="n">
        <v>45923.54756944445</v>
      </c>
      <c r="C533" s="1" t="n">
        <v>45935</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7908-2025</t>
        </is>
      </c>
      <c r="B534" s="1" t="n">
        <v>45707.33935185185</v>
      </c>
      <c r="C534" s="1" t="n">
        <v>45935</v>
      </c>
      <c r="D534" t="inlineStr">
        <is>
          <t>JÄMTLANDS LÄN</t>
        </is>
      </c>
      <c r="E534" t="inlineStr">
        <is>
          <t>KROKOM</t>
        </is>
      </c>
      <c r="F534" t="inlineStr">
        <is>
          <t>Övriga Aktiebolag</t>
        </is>
      </c>
      <c r="G534" t="n">
        <v>10.1</v>
      </c>
      <c r="H534" t="n">
        <v>0</v>
      </c>
      <c r="I534" t="n">
        <v>0</v>
      </c>
      <c r="J534" t="n">
        <v>0</v>
      </c>
      <c r="K534" t="n">
        <v>0</v>
      </c>
      <c r="L534" t="n">
        <v>0</v>
      </c>
      <c r="M534" t="n">
        <v>0</v>
      </c>
      <c r="N534" t="n">
        <v>0</v>
      </c>
      <c r="O534" t="n">
        <v>0</v>
      </c>
      <c r="P534" t="n">
        <v>0</v>
      </c>
      <c r="Q534" t="n">
        <v>0</v>
      </c>
      <c r="R534" s="2" t="inlineStr"/>
    </row>
    <row r="535" ht="15" customHeight="1">
      <c r="A535" t="inlineStr">
        <is>
          <t>A 72064-2021</t>
        </is>
      </c>
      <c r="B535" s="1" t="n">
        <v>44544.49326388889</v>
      </c>
      <c r="C535" s="1" t="n">
        <v>45935</v>
      </c>
      <c r="D535" t="inlineStr">
        <is>
          <t>JÄMTLANDS LÄN</t>
        </is>
      </c>
      <c r="E535" t="inlineStr">
        <is>
          <t>KROKOM</t>
        </is>
      </c>
      <c r="G535" t="n">
        <v>18.7</v>
      </c>
      <c r="H535" t="n">
        <v>0</v>
      </c>
      <c r="I535" t="n">
        <v>0</v>
      </c>
      <c r="J535" t="n">
        <v>0</v>
      </c>
      <c r="K535" t="n">
        <v>0</v>
      </c>
      <c r="L535" t="n">
        <v>0</v>
      </c>
      <c r="M535" t="n">
        <v>0</v>
      </c>
      <c r="N535" t="n">
        <v>0</v>
      </c>
      <c r="O535" t="n">
        <v>0</v>
      </c>
      <c r="P535" t="n">
        <v>0</v>
      </c>
      <c r="Q535" t="n">
        <v>0</v>
      </c>
      <c r="R535" s="2" t="inlineStr"/>
    </row>
    <row r="536" ht="15" customHeight="1">
      <c r="A536" t="inlineStr">
        <is>
          <t>A 37821-2025</t>
        </is>
      </c>
      <c r="B536" s="1" t="n">
        <v>45881.40521990741</v>
      </c>
      <c r="C536" s="1" t="n">
        <v>45935</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46295-2025</t>
        </is>
      </c>
      <c r="B537" s="1" t="n">
        <v>45925.39686342593</v>
      </c>
      <c r="C537" s="1" t="n">
        <v>45935</v>
      </c>
      <c r="D537" t="inlineStr">
        <is>
          <t>JÄMTLANDS LÄN</t>
        </is>
      </c>
      <c r="E537" t="inlineStr">
        <is>
          <t>KROKOM</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46274-2025</t>
        </is>
      </c>
      <c r="B538" s="1" t="n">
        <v>45925.37074074074</v>
      </c>
      <c r="C538" s="1" t="n">
        <v>45935</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52240-2024</t>
        </is>
      </c>
      <c r="B539" s="1" t="n">
        <v>45608.61923611111</v>
      </c>
      <c r="C539" s="1" t="n">
        <v>45935</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46099-2025</t>
        </is>
      </c>
      <c r="B540" s="1" t="n">
        <v>45924.54465277777</v>
      </c>
      <c r="C540" s="1" t="n">
        <v>45935</v>
      </c>
      <c r="D540" t="inlineStr">
        <is>
          <t>JÄMTLANDS LÄN</t>
        </is>
      </c>
      <c r="E540" t="inlineStr">
        <is>
          <t>KROKOM</t>
        </is>
      </c>
      <c r="F540" t="inlineStr">
        <is>
          <t>Övriga Aktiebolag</t>
        </is>
      </c>
      <c r="G540" t="n">
        <v>13.4</v>
      </c>
      <c r="H540" t="n">
        <v>0</v>
      </c>
      <c r="I540" t="n">
        <v>0</v>
      </c>
      <c r="J540" t="n">
        <v>0</v>
      </c>
      <c r="K540" t="n">
        <v>0</v>
      </c>
      <c r="L540" t="n">
        <v>0</v>
      </c>
      <c r="M540" t="n">
        <v>0</v>
      </c>
      <c r="N540" t="n">
        <v>0</v>
      </c>
      <c r="O540" t="n">
        <v>0</v>
      </c>
      <c r="P540" t="n">
        <v>0</v>
      </c>
      <c r="Q540" t="n">
        <v>0</v>
      </c>
      <c r="R540" s="2" t="inlineStr"/>
    </row>
    <row r="541" ht="15" customHeight="1">
      <c r="A541" t="inlineStr">
        <is>
          <t>A 38416-2025</t>
        </is>
      </c>
      <c r="B541" s="1" t="n">
        <v>45883.61028935185</v>
      </c>
      <c r="C541" s="1" t="n">
        <v>45935</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7366-2025</t>
        </is>
      </c>
      <c r="B542" s="1" t="n">
        <v>45704.71069444445</v>
      </c>
      <c r="C542" s="1" t="n">
        <v>45935</v>
      </c>
      <c r="D542" t="inlineStr">
        <is>
          <t>JÄMTLANDS LÄN</t>
        </is>
      </c>
      <c r="E542" t="inlineStr">
        <is>
          <t>KROKOM</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56557-2021</t>
        </is>
      </c>
      <c r="B543" s="1" t="n">
        <v>44480</v>
      </c>
      <c r="C543" s="1" t="n">
        <v>45935</v>
      </c>
      <c r="D543" t="inlineStr">
        <is>
          <t>JÄMTLANDS LÄN</t>
        </is>
      </c>
      <c r="E543" t="inlineStr">
        <is>
          <t>KROKOM</t>
        </is>
      </c>
      <c r="G543" t="n">
        <v>2.3</v>
      </c>
      <c r="H543" t="n">
        <v>0</v>
      </c>
      <c r="I543" t="n">
        <v>0</v>
      </c>
      <c r="J543" t="n">
        <v>0</v>
      </c>
      <c r="K543" t="n">
        <v>0</v>
      </c>
      <c r="L543" t="n">
        <v>0</v>
      </c>
      <c r="M543" t="n">
        <v>0</v>
      </c>
      <c r="N543" t="n">
        <v>0</v>
      </c>
      <c r="O543" t="n">
        <v>0</v>
      </c>
      <c r="P543" t="n">
        <v>0</v>
      </c>
      <c r="Q543" t="n">
        <v>0</v>
      </c>
      <c r="R543" s="2" t="inlineStr"/>
    </row>
    <row r="544" ht="15" customHeight="1">
      <c r="A544" t="inlineStr">
        <is>
          <t>A 53568-2024</t>
        </is>
      </c>
      <c r="B544" s="1" t="n">
        <v>45614.65925925926</v>
      </c>
      <c r="C544" s="1" t="n">
        <v>45935</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17383-2023</t>
        </is>
      </c>
      <c r="B545" s="1" t="n">
        <v>45035</v>
      </c>
      <c r="C545" s="1" t="n">
        <v>45935</v>
      </c>
      <c r="D545" t="inlineStr">
        <is>
          <t>JÄMTLANDS LÄN</t>
        </is>
      </c>
      <c r="E545" t="inlineStr">
        <is>
          <t>KROKOM</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13395-2021</t>
        </is>
      </c>
      <c r="B546" s="1" t="n">
        <v>44273</v>
      </c>
      <c r="C546" s="1" t="n">
        <v>45935</v>
      </c>
      <c r="D546" t="inlineStr">
        <is>
          <t>JÄMTLANDS LÄN</t>
        </is>
      </c>
      <c r="E546" t="inlineStr">
        <is>
          <t>KROKOM</t>
        </is>
      </c>
      <c r="G546" t="n">
        <v>13.7</v>
      </c>
      <c r="H546" t="n">
        <v>0</v>
      </c>
      <c r="I546" t="n">
        <v>0</v>
      </c>
      <c r="J546" t="n">
        <v>0</v>
      </c>
      <c r="K546" t="n">
        <v>0</v>
      </c>
      <c r="L546" t="n">
        <v>0</v>
      </c>
      <c r="M546" t="n">
        <v>0</v>
      </c>
      <c r="N546" t="n">
        <v>0</v>
      </c>
      <c r="O546" t="n">
        <v>0</v>
      </c>
      <c r="P546" t="n">
        <v>0</v>
      </c>
      <c r="Q546" t="n">
        <v>0</v>
      </c>
      <c r="R546" s="2" t="inlineStr"/>
    </row>
    <row r="547" ht="15" customHeight="1">
      <c r="A547" t="inlineStr">
        <is>
          <t>A 11436-2025</t>
        </is>
      </c>
      <c r="B547" s="1" t="n">
        <v>45726.61520833334</v>
      </c>
      <c r="C547" s="1" t="n">
        <v>45935</v>
      </c>
      <c r="D547" t="inlineStr">
        <is>
          <t>JÄMTLANDS LÄN</t>
        </is>
      </c>
      <c r="E547" t="inlineStr">
        <is>
          <t>KROKOM</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41971-2024</t>
        </is>
      </c>
      <c r="B548" s="1" t="n">
        <v>45561.61509259259</v>
      </c>
      <c r="C548" s="1" t="n">
        <v>45935</v>
      </c>
      <c r="D548" t="inlineStr">
        <is>
          <t>JÄMTLANDS LÄN</t>
        </is>
      </c>
      <c r="E548" t="inlineStr">
        <is>
          <t>KROKOM</t>
        </is>
      </c>
      <c r="G548" t="n">
        <v>5.5</v>
      </c>
      <c r="H548" t="n">
        <v>0</v>
      </c>
      <c r="I548" t="n">
        <v>0</v>
      </c>
      <c r="J548" t="n">
        <v>0</v>
      </c>
      <c r="K548" t="n">
        <v>0</v>
      </c>
      <c r="L548" t="n">
        <v>0</v>
      </c>
      <c r="M548" t="n">
        <v>0</v>
      </c>
      <c r="N548" t="n">
        <v>0</v>
      </c>
      <c r="O548" t="n">
        <v>0</v>
      </c>
      <c r="P548" t="n">
        <v>0</v>
      </c>
      <c r="Q548" t="n">
        <v>0</v>
      </c>
      <c r="R548" s="2" t="inlineStr"/>
    </row>
    <row r="549" ht="15" customHeight="1">
      <c r="A549" t="inlineStr">
        <is>
          <t>A 58415-2024</t>
        </is>
      </c>
      <c r="B549" s="1" t="n">
        <v>45634.7925</v>
      </c>
      <c r="C549" s="1" t="n">
        <v>45935</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58416-2024</t>
        </is>
      </c>
      <c r="B550" s="1" t="n">
        <v>45634.79854166666</v>
      </c>
      <c r="C550" s="1" t="n">
        <v>45935</v>
      </c>
      <c r="D550" t="inlineStr">
        <is>
          <t>JÄMTLANDS LÄN</t>
        </is>
      </c>
      <c r="E550" t="inlineStr">
        <is>
          <t>KROKOM</t>
        </is>
      </c>
      <c r="G550" t="n">
        <v>1.2</v>
      </c>
      <c r="H550" t="n">
        <v>0</v>
      </c>
      <c r="I550" t="n">
        <v>0</v>
      </c>
      <c r="J550" t="n">
        <v>0</v>
      </c>
      <c r="K550" t="n">
        <v>0</v>
      </c>
      <c r="L550" t="n">
        <v>0</v>
      </c>
      <c r="M550" t="n">
        <v>0</v>
      </c>
      <c r="N550" t="n">
        <v>0</v>
      </c>
      <c r="O550" t="n">
        <v>0</v>
      </c>
      <c r="P550" t="n">
        <v>0</v>
      </c>
      <c r="Q550" t="n">
        <v>0</v>
      </c>
      <c r="R550" s="2" t="inlineStr"/>
    </row>
    <row r="551" ht="15" customHeight="1">
      <c r="A551" t="inlineStr">
        <is>
          <t>A 46141-2025</t>
        </is>
      </c>
      <c r="B551" s="1" t="n">
        <v>45924.60287037037</v>
      </c>
      <c r="C551" s="1" t="n">
        <v>45935</v>
      </c>
      <c r="D551" t="inlineStr">
        <is>
          <t>JÄMTLANDS LÄN</t>
        </is>
      </c>
      <c r="E551" t="inlineStr">
        <is>
          <t>KROKOM</t>
        </is>
      </c>
      <c r="F551" t="inlineStr">
        <is>
          <t>Övriga Aktiebolag</t>
        </is>
      </c>
      <c r="G551" t="n">
        <v>2.8</v>
      </c>
      <c r="H551" t="n">
        <v>0</v>
      </c>
      <c r="I551" t="n">
        <v>0</v>
      </c>
      <c r="J551" t="n">
        <v>0</v>
      </c>
      <c r="K551" t="n">
        <v>0</v>
      </c>
      <c r="L551" t="n">
        <v>0</v>
      </c>
      <c r="M551" t="n">
        <v>0</v>
      </c>
      <c r="N551" t="n">
        <v>0</v>
      </c>
      <c r="O551" t="n">
        <v>0</v>
      </c>
      <c r="P551" t="n">
        <v>0</v>
      </c>
      <c r="Q551" t="n">
        <v>0</v>
      </c>
      <c r="R551" s="2" t="inlineStr"/>
    </row>
    <row r="552" ht="15" customHeight="1">
      <c r="A552" t="inlineStr">
        <is>
          <t>A 28595-2024</t>
        </is>
      </c>
      <c r="B552" s="1" t="n">
        <v>45478.42063657408</v>
      </c>
      <c r="C552" s="1" t="n">
        <v>45935</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12471-2024</t>
        </is>
      </c>
      <c r="B553" s="1" t="n">
        <v>45378</v>
      </c>
      <c r="C553" s="1" t="n">
        <v>45935</v>
      </c>
      <c r="D553" t="inlineStr">
        <is>
          <t>JÄMTLANDS LÄN</t>
        </is>
      </c>
      <c r="E553" t="inlineStr">
        <is>
          <t>KROKOM</t>
        </is>
      </c>
      <c r="G553" t="n">
        <v>20.2</v>
      </c>
      <c r="H553" t="n">
        <v>0</v>
      </c>
      <c r="I553" t="n">
        <v>0</v>
      </c>
      <c r="J553" t="n">
        <v>0</v>
      </c>
      <c r="K553" t="n">
        <v>0</v>
      </c>
      <c r="L553" t="n">
        <v>0</v>
      </c>
      <c r="M553" t="n">
        <v>0</v>
      </c>
      <c r="N553" t="n">
        <v>0</v>
      </c>
      <c r="O553" t="n">
        <v>0</v>
      </c>
      <c r="P553" t="n">
        <v>0</v>
      </c>
      <c r="Q553" t="n">
        <v>0</v>
      </c>
      <c r="R553" s="2" t="inlineStr"/>
    </row>
    <row r="554" ht="15" customHeight="1">
      <c r="A554" t="inlineStr">
        <is>
          <t>A 9156-2025</t>
        </is>
      </c>
      <c r="B554" s="1" t="n">
        <v>45714.34859953704</v>
      </c>
      <c r="C554" s="1" t="n">
        <v>45935</v>
      </c>
      <c r="D554" t="inlineStr">
        <is>
          <t>JÄMTLANDS LÄN</t>
        </is>
      </c>
      <c r="E554" t="inlineStr">
        <is>
          <t>KROKOM</t>
        </is>
      </c>
      <c r="F554" t="inlineStr">
        <is>
          <t>Övriga Aktiebolag</t>
        </is>
      </c>
      <c r="G554" t="n">
        <v>26.7</v>
      </c>
      <c r="H554" t="n">
        <v>0</v>
      </c>
      <c r="I554" t="n">
        <v>0</v>
      </c>
      <c r="J554" t="n">
        <v>0</v>
      </c>
      <c r="K554" t="n">
        <v>0</v>
      </c>
      <c r="L554" t="n">
        <v>0</v>
      </c>
      <c r="M554" t="n">
        <v>0</v>
      </c>
      <c r="N554" t="n">
        <v>0</v>
      </c>
      <c r="O554" t="n">
        <v>0</v>
      </c>
      <c r="P554" t="n">
        <v>0</v>
      </c>
      <c r="Q554" t="n">
        <v>0</v>
      </c>
      <c r="R554" s="2" t="inlineStr"/>
      <c r="U554">
        <f>HYPERLINK("https://klasma.github.io/Logging_2309/knärot/A 9156-2025 karta knärot.png", "A 9156-2025")</f>
        <v/>
      </c>
      <c r="V554">
        <f>HYPERLINK("https://klasma.github.io/Logging_2309/klagomål/A 9156-2025 FSC-klagomål.docx", "A 9156-2025")</f>
        <v/>
      </c>
      <c r="W554">
        <f>HYPERLINK("https://klasma.github.io/Logging_2309/klagomålsmail/A 9156-2025 FSC-klagomål mail.docx", "A 9156-2025")</f>
        <v/>
      </c>
      <c r="X554">
        <f>HYPERLINK("https://klasma.github.io/Logging_2309/tillsyn/A 9156-2025 tillsynsbegäran.docx", "A 9156-2025")</f>
        <v/>
      </c>
      <c r="Y554">
        <f>HYPERLINK("https://klasma.github.io/Logging_2309/tillsynsmail/A 9156-2025 tillsynsbegäran mail.docx", "A 9156-2025")</f>
        <v/>
      </c>
    </row>
    <row r="555" ht="15" customHeight="1">
      <c r="A555" t="inlineStr">
        <is>
          <t>A 15231-2025</t>
        </is>
      </c>
      <c r="B555" s="1" t="n">
        <v>45744.59894675926</v>
      </c>
      <c r="C555" s="1" t="n">
        <v>45935</v>
      </c>
      <c r="D555" t="inlineStr">
        <is>
          <t>JÄMTLANDS LÄN</t>
        </is>
      </c>
      <c r="E555" t="inlineStr">
        <is>
          <t>KROKOM</t>
        </is>
      </c>
      <c r="F555" t="inlineStr">
        <is>
          <t>Övriga Aktiebolag</t>
        </is>
      </c>
      <c r="G555" t="n">
        <v>11.8</v>
      </c>
      <c r="H555" t="n">
        <v>0</v>
      </c>
      <c r="I555" t="n">
        <v>0</v>
      </c>
      <c r="J555" t="n">
        <v>0</v>
      </c>
      <c r="K555" t="n">
        <v>0</v>
      </c>
      <c r="L555" t="n">
        <v>0</v>
      </c>
      <c r="M555" t="n">
        <v>0</v>
      </c>
      <c r="N555" t="n">
        <v>0</v>
      </c>
      <c r="O555" t="n">
        <v>0</v>
      </c>
      <c r="P555" t="n">
        <v>0</v>
      </c>
      <c r="Q555" t="n">
        <v>0</v>
      </c>
      <c r="R555" s="2" t="inlineStr"/>
    </row>
    <row r="556" ht="15" customHeight="1">
      <c r="A556" t="inlineStr">
        <is>
          <t>A 42774-2024</t>
        </is>
      </c>
      <c r="B556" s="1" t="n">
        <v>45566.51501157408</v>
      </c>
      <c r="C556" s="1" t="n">
        <v>45935</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37886-2025</t>
        </is>
      </c>
      <c r="B557" s="1" t="n">
        <v>45881.51081018519</v>
      </c>
      <c r="C557" s="1" t="n">
        <v>45935</v>
      </c>
      <c r="D557" t="inlineStr">
        <is>
          <t>JÄMTLANDS LÄN</t>
        </is>
      </c>
      <c r="E557" t="inlineStr">
        <is>
          <t>KROKOM</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17510-2025</t>
        </is>
      </c>
      <c r="B558" s="1" t="n">
        <v>45757.56491898148</v>
      </c>
      <c r="C558" s="1" t="n">
        <v>45935</v>
      </c>
      <c r="D558" t="inlineStr">
        <is>
          <t>JÄMTLANDS LÄN</t>
        </is>
      </c>
      <c r="E558" t="inlineStr">
        <is>
          <t>KROKOM</t>
        </is>
      </c>
      <c r="G558" t="n">
        <v>3.1</v>
      </c>
      <c r="H558" t="n">
        <v>0</v>
      </c>
      <c r="I558" t="n">
        <v>0</v>
      </c>
      <c r="J558" t="n">
        <v>0</v>
      </c>
      <c r="K558" t="n">
        <v>0</v>
      </c>
      <c r="L558" t="n">
        <v>0</v>
      </c>
      <c r="M558" t="n">
        <v>0</v>
      </c>
      <c r="N558" t="n">
        <v>0</v>
      </c>
      <c r="O558" t="n">
        <v>0</v>
      </c>
      <c r="P558" t="n">
        <v>0</v>
      </c>
      <c r="Q558" t="n">
        <v>0</v>
      </c>
      <c r="R558" s="2" t="inlineStr"/>
    </row>
    <row r="559" ht="15" customHeight="1">
      <c r="A559" t="inlineStr">
        <is>
          <t>A 826-2025</t>
        </is>
      </c>
      <c r="B559" s="1" t="n">
        <v>45665.57373842593</v>
      </c>
      <c r="C559" s="1" t="n">
        <v>45935</v>
      </c>
      <c r="D559" t="inlineStr">
        <is>
          <t>JÄMTLANDS LÄN</t>
        </is>
      </c>
      <c r="E559" t="inlineStr">
        <is>
          <t>KROKOM</t>
        </is>
      </c>
      <c r="G559" t="n">
        <v>1.7</v>
      </c>
      <c r="H559" t="n">
        <v>0</v>
      </c>
      <c r="I559" t="n">
        <v>0</v>
      </c>
      <c r="J559" t="n">
        <v>0</v>
      </c>
      <c r="K559" t="n">
        <v>0</v>
      </c>
      <c r="L559" t="n">
        <v>0</v>
      </c>
      <c r="M559" t="n">
        <v>0</v>
      </c>
      <c r="N559" t="n">
        <v>0</v>
      </c>
      <c r="O559" t="n">
        <v>0</v>
      </c>
      <c r="P559" t="n">
        <v>0</v>
      </c>
      <c r="Q559" t="n">
        <v>0</v>
      </c>
      <c r="R559" s="2" t="inlineStr"/>
    </row>
    <row r="560" ht="15" customHeight="1">
      <c r="A560" t="inlineStr">
        <is>
          <t>A 5356-2025</t>
        </is>
      </c>
      <c r="B560" s="1" t="n">
        <v>45692</v>
      </c>
      <c r="C560" s="1" t="n">
        <v>45935</v>
      </c>
      <c r="D560" t="inlineStr">
        <is>
          <t>JÄMTLANDS LÄN</t>
        </is>
      </c>
      <c r="E560" t="inlineStr">
        <is>
          <t>KROKOM</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37820-2025</t>
        </is>
      </c>
      <c r="B561" s="1" t="n">
        <v>45881.39909722222</v>
      </c>
      <c r="C561" s="1" t="n">
        <v>45935</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60173-2024</t>
        </is>
      </c>
      <c r="B562" s="1" t="n">
        <v>45642.63666666667</v>
      </c>
      <c r="C562" s="1" t="n">
        <v>45935</v>
      </c>
      <c r="D562" t="inlineStr">
        <is>
          <t>JÄMTLANDS LÄN</t>
        </is>
      </c>
      <c r="E562" t="inlineStr">
        <is>
          <t>KROKOM</t>
        </is>
      </c>
      <c r="G562" t="n">
        <v>4.3</v>
      </c>
      <c r="H562" t="n">
        <v>0</v>
      </c>
      <c r="I562" t="n">
        <v>0</v>
      </c>
      <c r="J562" t="n">
        <v>0</v>
      </c>
      <c r="K562" t="n">
        <v>0</v>
      </c>
      <c r="L562" t="n">
        <v>0</v>
      </c>
      <c r="M562" t="n">
        <v>0</v>
      </c>
      <c r="N562" t="n">
        <v>0</v>
      </c>
      <c r="O562" t="n">
        <v>0</v>
      </c>
      <c r="P562" t="n">
        <v>0</v>
      </c>
      <c r="Q562" t="n">
        <v>0</v>
      </c>
      <c r="R562" s="2" t="inlineStr"/>
    </row>
    <row r="563" ht="15" customHeight="1">
      <c r="A563" t="inlineStr">
        <is>
          <t>A 50177-2021</t>
        </is>
      </c>
      <c r="B563" s="1" t="n">
        <v>44456</v>
      </c>
      <c r="C563" s="1" t="n">
        <v>45935</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38024-2025</t>
        </is>
      </c>
      <c r="B564" s="1" t="n">
        <v>45882.34510416666</v>
      </c>
      <c r="C564" s="1" t="n">
        <v>45935</v>
      </c>
      <c r="D564" t="inlineStr">
        <is>
          <t>JÄMTLANDS LÄN</t>
        </is>
      </c>
      <c r="E564" t="inlineStr">
        <is>
          <t>KROKOM</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34502-2023</t>
        </is>
      </c>
      <c r="B565" s="1" t="n">
        <v>45133</v>
      </c>
      <c r="C565" s="1" t="n">
        <v>45935</v>
      </c>
      <c r="D565" t="inlineStr">
        <is>
          <t>JÄMTLANDS LÄN</t>
        </is>
      </c>
      <c r="E565" t="inlineStr">
        <is>
          <t>KROKOM</t>
        </is>
      </c>
      <c r="G565" t="n">
        <v>6.9</v>
      </c>
      <c r="H565" t="n">
        <v>0</v>
      </c>
      <c r="I565" t="n">
        <v>0</v>
      </c>
      <c r="J565" t="n">
        <v>0</v>
      </c>
      <c r="K565" t="n">
        <v>0</v>
      </c>
      <c r="L565" t="n">
        <v>0</v>
      </c>
      <c r="M565" t="n">
        <v>0</v>
      </c>
      <c r="N565" t="n">
        <v>0</v>
      </c>
      <c r="O565" t="n">
        <v>0</v>
      </c>
      <c r="P565" t="n">
        <v>0</v>
      </c>
      <c r="Q565" t="n">
        <v>0</v>
      </c>
      <c r="R565" s="2" t="inlineStr"/>
    </row>
    <row r="566" ht="15" customHeight="1">
      <c r="A566" t="inlineStr">
        <is>
          <t>A 46308-2025</t>
        </is>
      </c>
      <c r="B566" s="1" t="n">
        <v>45925.43271990741</v>
      </c>
      <c r="C566" s="1" t="n">
        <v>45935</v>
      </c>
      <c r="D566" t="inlineStr">
        <is>
          <t>JÄMTLANDS LÄN</t>
        </is>
      </c>
      <c r="E566" t="inlineStr">
        <is>
          <t>KROKOM</t>
        </is>
      </c>
      <c r="G566" t="n">
        <v>0.7</v>
      </c>
      <c r="H566" t="n">
        <v>0</v>
      </c>
      <c r="I566" t="n">
        <v>0</v>
      </c>
      <c r="J566" t="n">
        <v>0</v>
      </c>
      <c r="K566" t="n">
        <v>0</v>
      </c>
      <c r="L566" t="n">
        <v>0</v>
      </c>
      <c r="M566" t="n">
        <v>0</v>
      </c>
      <c r="N566" t="n">
        <v>0</v>
      </c>
      <c r="O566" t="n">
        <v>0</v>
      </c>
      <c r="P566" t="n">
        <v>0</v>
      </c>
      <c r="Q566" t="n">
        <v>0</v>
      </c>
      <c r="R566" s="2" t="inlineStr"/>
    </row>
    <row r="567" ht="15" customHeight="1">
      <c r="A567" t="inlineStr">
        <is>
          <t>A 26805-2023</t>
        </is>
      </c>
      <c r="B567" s="1" t="n">
        <v>45090</v>
      </c>
      <c r="C567" s="1" t="n">
        <v>45935</v>
      </c>
      <c r="D567" t="inlineStr">
        <is>
          <t>JÄMTLANDS LÄN</t>
        </is>
      </c>
      <c r="E567" t="inlineStr">
        <is>
          <t>KROKOM</t>
        </is>
      </c>
      <c r="G567" t="n">
        <v>20.4</v>
      </c>
      <c r="H567" t="n">
        <v>0</v>
      </c>
      <c r="I567" t="n">
        <v>0</v>
      </c>
      <c r="J567" t="n">
        <v>0</v>
      </c>
      <c r="K567" t="n">
        <v>0</v>
      </c>
      <c r="L567" t="n">
        <v>0</v>
      </c>
      <c r="M567" t="n">
        <v>0</v>
      </c>
      <c r="N567" t="n">
        <v>0</v>
      </c>
      <c r="O567" t="n">
        <v>0</v>
      </c>
      <c r="P567" t="n">
        <v>0</v>
      </c>
      <c r="Q567" t="n">
        <v>0</v>
      </c>
      <c r="R567" s="2" t="inlineStr"/>
    </row>
    <row r="568" ht="15" customHeight="1">
      <c r="A568" t="inlineStr">
        <is>
          <t>A 46331-2025</t>
        </is>
      </c>
      <c r="B568" s="1" t="n">
        <v>45925.45605324074</v>
      </c>
      <c r="C568" s="1" t="n">
        <v>45935</v>
      </c>
      <c r="D568" t="inlineStr">
        <is>
          <t>JÄMTLANDS LÄN</t>
        </is>
      </c>
      <c r="E568" t="inlineStr">
        <is>
          <t>KROKOM</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55455-2022</t>
        </is>
      </c>
      <c r="B569" s="1" t="n">
        <v>44887</v>
      </c>
      <c r="C569" s="1" t="n">
        <v>45935</v>
      </c>
      <c r="D569" t="inlineStr">
        <is>
          <t>JÄMTLANDS LÄN</t>
        </is>
      </c>
      <c r="E569" t="inlineStr">
        <is>
          <t>KROKOM</t>
        </is>
      </c>
      <c r="F569" t="inlineStr">
        <is>
          <t>Övriga Aktiebolag</t>
        </is>
      </c>
      <c r="G569" t="n">
        <v>5.2</v>
      </c>
      <c r="H569" t="n">
        <v>0</v>
      </c>
      <c r="I569" t="n">
        <v>0</v>
      </c>
      <c r="J569" t="n">
        <v>0</v>
      </c>
      <c r="K569" t="n">
        <v>0</v>
      </c>
      <c r="L569" t="n">
        <v>0</v>
      </c>
      <c r="M569" t="n">
        <v>0</v>
      </c>
      <c r="N569" t="n">
        <v>0</v>
      </c>
      <c r="O569" t="n">
        <v>0</v>
      </c>
      <c r="P569" t="n">
        <v>0</v>
      </c>
      <c r="Q569" t="n">
        <v>0</v>
      </c>
      <c r="R569" s="2" t="inlineStr"/>
    </row>
    <row r="570" ht="15" customHeight="1">
      <c r="A570" t="inlineStr">
        <is>
          <t>A 38205-2025</t>
        </is>
      </c>
      <c r="B570" s="1" t="n">
        <v>45882.69851851852</v>
      </c>
      <c r="C570" s="1" t="n">
        <v>45935</v>
      </c>
      <c r="D570" t="inlineStr">
        <is>
          <t>JÄMTLANDS LÄN</t>
        </is>
      </c>
      <c r="E570" t="inlineStr">
        <is>
          <t>KROKOM</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28780-2024</t>
        </is>
      </c>
      <c r="B571" s="1" t="n">
        <v>45478.60708333334</v>
      </c>
      <c r="C571" s="1" t="n">
        <v>45935</v>
      </c>
      <c r="D571" t="inlineStr">
        <is>
          <t>JÄMTLANDS LÄN</t>
        </is>
      </c>
      <c r="E571" t="inlineStr">
        <is>
          <t>KROKOM</t>
        </is>
      </c>
      <c r="G571" t="n">
        <v>3.7</v>
      </c>
      <c r="H571" t="n">
        <v>0</v>
      </c>
      <c r="I571" t="n">
        <v>0</v>
      </c>
      <c r="J571" t="n">
        <v>0</v>
      </c>
      <c r="K571" t="n">
        <v>0</v>
      </c>
      <c r="L571" t="n">
        <v>0</v>
      </c>
      <c r="M571" t="n">
        <v>0</v>
      </c>
      <c r="N571" t="n">
        <v>0</v>
      </c>
      <c r="O571" t="n">
        <v>0</v>
      </c>
      <c r="P571" t="n">
        <v>0</v>
      </c>
      <c r="Q571" t="n">
        <v>0</v>
      </c>
      <c r="R571" s="2" t="inlineStr"/>
    </row>
    <row r="572" ht="15" customHeight="1">
      <c r="A572" t="inlineStr">
        <is>
          <t>A 18406-2025</t>
        </is>
      </c>
      <c r="B572" s="1" t="n">
        <v>45762.60907407408</v>
      </c>
      <c r="C572" s="1" t="n">
        <v>45935</v>
      </c>
      <c r="D572" t="inlineStr">
        <is>
          <t>JÄMTLANDS LÄN</t>
        </is>
      </c>
      <c r="E572" t="inlineStr">
        <is>
          <t>KROKOM</t>
        </is>
      </c>
      <c r="F572" t="inlineStr">
        <is>
          <t>Övriga Aktiebolag</t>
        </is>
      </c>
      <c r="G572" t="n">
        <v>34.3</v>
      </c>
      <c r="H572" t="n">
        <v>0</v>
      </c>
      <c r="I572" t="n">
        <v>0</v>
      </c>
      <c r="J572" t="n">
        <v>0</v>
      </c>
      <c r="K572" t="n">
        <v>0</v>
      </c>
      <c r="L572" t="n">
        <v>0</v>
      </c>
      <c r="M572" t="n">
        <v>0</v>
      </c>
      <c r="N572" t="n">
        <v>0</v>
      </c>
      <c r="O572" t="n">
        <v>0</v>
      </c>
      <c r="P572" t="n">
        <v>0</v>
      </c>
      <c r="Q572" t="n">
        <v>0</v>
      </c>
      <c r="R572" s="2" t="inlineStr"/>
    </row>
    <row r="573" ht="15" customHeight="1">
      <c r="A573" t="inlineStr">
        <is>
          <t>A 47606-2023</t>
        </is>
      </c>
      <c r="B573" s="1" t="n">
        <v>45203.46523148148</v>
      </c>
      <c r="C573" s="1" t="n">
        <v>45935</v>
      </c>
      <c r="D573" t="inlineStr">
        <is>
          <t>JÄMTLANDS LÄN</t>
        </is>
      </c>
      <c r="E573" t="inlineStr">
        <is>
          <t>KROKOM</t>
        </is>
      </c>
      <c r="G573" t="n">
        <v>5.5</v>
      </c>
      <c r="H573" t="n">
        <v>0</v>
      </c>
      <c r="I573" t="n">
        <v>0</v>
      </c>
      <c r="J573" t="n">
        <v>0</v>
      </c>
      <c r="K573" t="n">
        <v>0</v>
      </c>
      <c r="L573" t="n">
        <v>0</v>
      </c>
      <c r="M573" t="n">
        <v>0</v>
      </c>
      <c r="N573" t="n">
        <v>0</v>
      </c>
      <c r="O573" t="n">
        <v>0</v>
      </c>
      <c r="P573" t="n">
        <v>0</v>
      </c>
      <c r="Q573" t="n">
        <v>0</v>
      </c>
      <c r="R573" s="2" t="inlineStr"/>
    </row>
    <row r="574" ht="15" customHeight="1">
      <c r="A574" t="inlineStr">
        <is>
          <t>A 4354-2025</t>
        </is>
      </c>
      <c r="B574" s="1" t="n">
        <v>45686.32671296296</v>
      </c>
      <c r="C574" s="1" t="n">
        <v>45935</v>
      </c>
      <c r="D574" t="inlineStr">
        <is>
          <t>JÄMTLANDS LÄN</t>
        </is>
      </c>
      <c r="E574" t="inlineStr">
        <is>
          <t>KROKOM</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41972-2024</t>
        </is>
      </c>
      <c r="B575" s="1" t="n">
        <v>45561.61515046296</v>
      </c>
      <c r="C575" s="1" t="n">
        <v>45935</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73174-2021</t>
        </is>
      </c>
      <c r="B576" s="1" t="n">
        <v>44550</v>
      </c>
      <c r="C576" s="1" t="n">
        <v>45935</v>
      </c>
      <c r="D576" t="inlineStr">
        <is>
          <t>JÄMTLANDS LÄN</t>
        </is>
      </c>
      <c r="E576" t="inlineStr">
        <is>
          <t>KROKOM</t>
        </is>
      </c>
      <c r="G576" t="n">
        <v>152.9</v>
      </c>
      <c r="H576" t="n">
        <v>0</v>
      </c>
      <c r="I576" t="n">
        <v>0</v>
      </c>
      <c r="J576" t="n">
        <v>0</v>
      </c>
      <c r="K576" t="n">
        <v>0</v>
      </c>
      <c r="L576" t="n">
        <v>0</v>
      </c>
      <c r="M576" t="n">
        <v>0</v>
      </c>
      <c r="N576" t="n">
        <v>0</v>
      </c>
      <c r="O576" t="n">
        <v>0</v>
      </c>
      <c r="P576" t="n">
        <v>0</v>
      </c>
      <c r="Q576" t="n">
        <v>0</v>
      </c>
      <c r="R576" s="2" t="inlineStr"/>
    </row>
    <row r="577" ht="15" customHeight="1">
      <c r="A577" t="inlineStr">
        <is>
          <t>A 54160-2023</t>
        </is>
      </c>
      <c r="B577" s="1" t="n">
        <v>45232.46239583333</v>
      </c>
      <c r="C577" s="1" t="n">
        <v>45935</v>
      </c>
      <c r="D577" t="inlineStr">
        <is>
          <t>JÄMTLANDS LÄN</t>
        </is>
      </c>
      <c r="E577" t="inlineStr">
        <is>
          <t>KROKOM</t>
        </is>
      </c>
      <c r="G577" t="n">
        <v>3</v>
      </c>
      <c r="H577" t="n">
        <v>0</v>
      </c>
      <c r="I577" t="n">
        <v>0</v>
      </c>
      <c r="J577" t="n">
        <v>0</v>
      </c>
      <c r="K577" t="n">
        <v>0</v>
      </c>
      <c r="L577" t="n">
        <v>0</v>
      </c>
      <c r="M577" t="n">
        <v>0</v>
      </c>
      <c r="N577" t="n">
        <v>0</v>
      </c>
      <c r="O577" t="n">
        <v>0</v>
      </c>
      <c r="P577" t="n">
        <v>0</v>
      </c>
      <c r="Q577" t="n">
        <v>0</v>
      </c>
      <c r="R577" s="2" t="inlineStr"/>
    </row>
    <row r="578" ht="15" customHeight="1">
      <c r="A578" t="inlineStr">
        <is>
          <t>A 16225-2025</t>
        </is>
      </c>
      <c r="B578" s="1" t="n">
        <v>45750.6447800926</v>
      </c>
      <c r="C578" s="1" t="n">
        <v>45935</v>
      </c>
      <c r="D578" t="inlineStr">
        <is>
          <t>JÄMTLANDS LÄN</t>
        </is>
      </c>
      <c r="E578" t="inlineStr">
        <is>
          <t>KROKOM</t>
        </is>
      </c>
      <c r="F578" t="inlineStr">
        <is>
          <t>Övriga Aktiebolag</t>
        </is>
      </c>
      <c r="G578" t="n">
        <v>11.5</v>
      </c>
      <c r="H578" t="n">
        <v>0</v>
      </c>
      <c r="I578" t="n">
        <v>0</v>
      </c>
      <c r="J578" t="n">
        <v>0</v>
      </c>
      <c r="K578" t="n">
        <v>0</v>
      </c>
      <c r="L578" t="n">
        <v>0</v>
      </c>
      <c r="M578" t="n">
        <v>0</v>
      </c>
      <c r="N578" t="n">
        <v>0</v>
      </c>
      <c r="O578" t="n">
        <v>0</v>
      </c>
      <c r="P578" t="n">
        <v>0</v>
      </c>
      <c r="Q578" t="n">
        <v>0</v>
      </c>
      <c r="R578" s="2" t="inlineStr"/>
    </row>
    <row r="579" ht="15" customHeight="1">
      <c r="A579" t="inlineStr">
        <is>
          <t>A 6627-2025</t>
        </is>
      </c>
      <c r="B579" s="1" t="n">
        <v>45700.37127314815</v>
      </c>
      <c r="C579" s="1" t="n">
        <v>45935</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6629-2025</t>
        </is>
      </c>
      <c r="B580" s="1" t="n">
        <v>45700.37481481482</v>
      </c>
      <c r="C580" s="1" t="n">
        <v>45935</v>
      </c>
      <c r="D580" t="inlineStr">
        <is>
          <t>JÄMTLANDS LÄN</t>
        </is>
      </c>
      <c r="E580" t="inlineStr">
        <is>
          <t>KROKOM</t>
        </is>
      </c>
      <c r="F580" t="inlineStr">
        <is>
          <t>Övriga Aktiebolag</t>
        </is>
      </c>
      <c r="G580" t="n">
        <v>24.8</v>
      </c>
      <c r="H580" t="n">
        <v>0</v>
      </c>
      <c r="I580" t="n">
        <v>0</v>
      </c>
      <c r="J580" t="n">
        <v>0</v>
      </c>
      <c r="K580" t="n">
        <v>0</v>
      </c>
      <c r="L580" t="n">
        <v>0</v>
      </c>
      <c r="M580" t="n">
        <v>0</v>
      </c>
      <c r="N580" t="n">
        <v>0</v>
      </c>
      <c r="O580" t="n">
        <v>0</v>
      </c>
      <c r="P580" t="n">
        <v>0</v>
      </c>
      <c r="Q580" t="n">
        <v>0</v>
      </c>
      <c r="R580" s="2" t="inlineStr"/>
    </row>
    <row r="581" ht="15" customHeight="1">
      <c r="A581" t="inlineStr">
        <is>
          <t>A 30383-2024</t>
        </is>
      </c>
      <c r="B581" s="1" t="n">
        <v>45491.44971064815</v>
      </c>
      <c r="C581" s="1" t="n">
        <v>45935</v>
      </c>
      <c r="D581" t="inlineStr">
        <is>
          <t>JÄMTLANDS LÄN</t>
        </is>
      </c>
      <c r="E581" t="inlineStr">
        <is>
          <t>KROKOM</t>
        </is>
      </c>
      <c r="G581" t="n">
        <v>22.9</v>
      </c>
      <c r="H581" t="n">
        <v>0</v>
      </c>
      <c r="I581" t="n">
        <v>0</v>
      </c>
      <c r="J581" t="n">
        <v>0</v>
      </c>
      <c r="K581" t="n">
        <v>0</v>
      </c>
      <c r="L581" t="n">
        <v>0</v>
      </c>
      <c r="M581" t="n">
        <v>0</v>
      </c>
      <c r="N581" t="n">
        <v>0</v>
      </c>
      <c r="O581" t="n">
        <v>0</v>
      </c>
      <c r="P581" t="n">
        <v>0</v>
      </c>
      <c r="Q581" t="n">
        <v>0</v>
      </c>
      <c r="R581" s="2" t="inlineStr"/>
    </row>
    <row r="582" ht="15" customHeight="1">
      <c r="A582" t="inlineStr">
        <is>
          <t>A 5364-2025</t>
        </is>
      </c>
      <c r="B582" s="1" t="n">
        <v>45692.58106481482</v>
      </c>
      <c r="C582" s="1" t="n">
        <v>45935</v>
      </c>
      <c r="D582" t="inlineStr">
        <is>
          <t>JÄMTLANDS LÄN</t>
        </is>
      </c>
      <c r="E582" t="inlineStr">
        <is>
          <t>KROKOM</t>
        </is>
      </c>
      <c r="G582" t="n">
        <v>25.4</v>
      </c>
      <c r="H582" t="n">
        <v>0</v>
      </c>
      <c r="I582" t="n">
        <v>0</v>
      </c>
      <c r="J582" t="n">
        <v>0</v>
      </c>
      <c r="K582" t="n">
        <v>0</v>
      </c>
      <c r="L582" t="n">
        <v>0</v>
      </c>
      <c r="M582" t="n">
        <v>0</v>
      </c>
      <c r="N582" t="n">
        <v>0</v>
      </c>
      <c r="O582" t="n">
        <v>0</v>
      </c>
      <c r="P582" t="n">
        <v>0</v>
      </c>
      <c r="Q582" t="n">
        <v>0</v>
      </c>
      <c r="R582" s="2" t="inlineStr"/>
    </row>
    <row r="583" ht="15" customHeight="1">
      <c r="A583" t="inlineStr">
        <is>
          <t>A 61966-2024</t>
        </is>
      </c>
      <c r="B583" s="1" t="n">
        <v>45653.57240740741</v>
      </c>
      <c r="C583" s="1" t="n">
        <v>45935</v>
      </c>
      <c r="D583" t="inlineStr">
        <is>
          <t>JÄMTLANDS LÄN</t>
        </is>
      </c>
      <c r="E583" t="inlineStr">
        <is>
          <t>KROKOM</t>
        </is>
      </c>
      <c r="F583" t="inlineStr">
        <is>
          <t>Övriga Aktiebolag</t>
        </is>
      </c>
      <c r="G583" t="n">
        <v>15.7</v>
      </c>
      <c r="H583" t="n">
        <v>0</v>
      </c>
      <c r="I583" t="n">
        <v>0</v>
      </c>
      <c r="J583" t="n">
        <v>0</v>
      </c>
      <c r="K583" t="n">
        <v>0</v>
      </c>
      <c r="L583" t="n">
        <v>0</v>
      </c>
      <c r="M583" t="n">
        <v>0</v>
      </c>
      <c r="N583" t="n">
        <v>0</v>
      </c>
      <c r="O583" t="n">
        <v>0</v>
      </c>
      <c r="P583" t="n">
        <v>0</v>
      </c>
      <c r="Q583" t="n">
        <v>0</v>
      </c>
      <c r="R583" s="2" t="inlineStr"/>
    </row>
    <row r="584" ht="15" customHeight="1">
      <c r="A584" t="inlineStr">
        <is>
          <t>A 39127-2023</t>
        </is>
      </c>
      <c r="B584" s="1" t="n">
        <v>45165.70483796296</v>
      </c>
      <c r="C584" s="1" t="n">
        <v>45935</v>
      </c>
      <c r="D584" t="inlineStr">
        <is>
          <t>JÄMTLANDS LÄN</t>
        </is>
      </c>
      <c r="E584" t="inlineStr">
        <is>
          <t>KROKOM</t>
        </is>
      </c>
      <c r="G584" t="n">
        <v>0.7</v>
      </c>
      <c r="H584" t="n">
        <v>0</v>
      </c>
      <c r="I584" t="n">
        <v>0</v>
      </c>
      <c r="J584" t="n">
        <v>0</v>
      </c>
      <c r="K584" t="n">
        <v>0</v>
      </c>
      <c r="L584" t="n">
        <v>0</v>
      </c>
      <c r="M584" t="n">
        <v>0</v>
      </c>
      <c r="N584" t="n">
        <v>0</v>
      </c>
      <c r="O584" t="n">
        <v>0</v>
      </c>
      <c r="P584" t="n">
        <v>0</v>
      </c>
      <c r="Q584" t="n">
        <v>0</v>
      </c>
      <c r="R584" s="2" t="inlineStr"/>
    </row>
    <row r="585" ht="15" customHeight="1">
      <c r="A585" t="inlineStr">
        <is>
          <t>A 42398-2024</t>
        </is>
      </c>
      <c r="B585" s="1" t="n">
        <v>45565.33152777778</v>
      </c>
      <c r="C585" s="1" t="n">
        <v>45935</v>
      </c>
      <c r="D585" t="inlineStr">
        <is>
          <t>JÄMTLANDS LÄN</t>
        </is>
      </c>
      <c r="E585" t="inlineStr">
        <is>
          <t>KROKOM</t>
        </is>
      </c>
      <c r="G585" t="n">
        <v>1.5</v>
      </c>
      <c r="H585" t="n">
        <v>0</v>
      </c>
      <c r="I585" t="n">
        <v>0</v>
      </c>
      <c r="J585" t="n">
        <v>0</v>
      </c>
      <c r="K585" t="n">
        <v>0</v>
      </c>
      <c r="L585" t="n">
        <v>0</v>
      </c>
      <c r="M585" t="n">
        <v>0</v>
      </c>
      <c r="N585" t="n">
        <v>0</v>
      </c>
      <c r="O585" t="n">
        <v>0</v>
      </c>
      <c r="P585" t="n">
        <v>0</v>
      </c>
      <c r="Q585" t="n">
        <v>0</v>
      </c>
      <c r="R585" s="2" t="inlineStr"/>
    </row>
    <row r="586" ht="15" customHeight="1">
      <c r="A586" t="inlineStr">
        <is>
          <t>A 58487-2024</t>
        </is>
      </c>
      <c r="B586" s="1" t="n">
        <v>45635.39820601852</v>
      </c>
      <c r="C586" s="1" t="n">
        <v>45935</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48560-2024</t>
        </is>
      </c>
      <c r="B587" s="1" t="n">
        <v>45593.38568287037</v>
      </c>
      <c r="C587" s="1" t="n">
        <v>45935</v>
      </c>
      <c r="D587" t="inlineStr">
        <is>
          <t>JÄMTLANDS LÄN</t>
        </is>
      </c>
      <c r="E587" t="inlineStr">
        <is>
          <t>KROKOM</t>
        </is>
      </c>
      <c r="G587" t="n">
        <v>2.6</v>
      </c>
      <c r="H587" t="n">
        <v>0</v>
      </c>
      <c r="I587" t="n">
        <v>0</v>
      </c>
      <c r="J587" t="n">
        <v>0</v>
      </c>
      <c r="K587" t="n">
        <v>0</v>
      </c>
      <c r="L587" t="n">
        <v>0</v>
      </c>
      <c r="M587" t="n">
        <v>0</v>
      </c>
      <c r="N587" t="n">
        <v>0</v>
      </c>
      <c r="O587" t="n">
        <v>0</v>
      </c>
      <c r="P587" t="n">
        <v>0</v>
      </c>
      <c r="Q587" t="n">
        <v>0</v>
      </c>
      <c r="R587" s="2" t="inlineStr"/>
    </row>
    <row r="588" ht="15" customHeight="1">
      <c r="A588" t="inlineStr">
        <is>
          <t>A 60172-2024</t>
        </is>
      </c>
      <c r="B588" s="1" t="n">
        <v>45642.6366087963</v>
      </c>
      <c r="C588" s="1" t="n">
        <v>45935</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48769-2022</t>
        </is>
      </c>
      <c r="B589" s="1" t="n">
        <v>44855</v>
      </c>
      <c r="C589" s="1" t="n">
        <v>45935</v>
      </c>
      <c r="D589" t="inlineStr">
        <is>
          <t>JÄMTLANDS LÄN</t>
        </is>
      </c>
      <c r="E589" t="inlineStr">
        <is>
          <t>KROKOM</t>
        </is>
      </c>
      <c r="G589" t="n">
        <v>7.5</v>
      </c>
      <c r="H589" t="n">
        <v>0</v>
      </c>
      <c r="I589" t="n">
        <v>0</v>
      </c>
      <c r="J589" t="n">
        <v>0</v>
      </c>
      <c r="K589" t="n">
        <v>0</v>
      </c>
      <c r="L589" t="n">
        <v>0</v>
      </c>
      <c r="M589" t="n">
        <v>0</v>
      </c>
      <c r="N589" t="n">
        <v>0</v>
      </c>
      <c r="O589" t="n">
        <v>0</v>
      </c>
      <c r="P589" t="n">
        <v>0</v>
      </c>
      <c r="Q589" t="n">
        <v>0</v>
      </c>
      <c r="R589" s="2" t="inlineStr"/>
    </row>
    <row r="590" ht="15" customHeight="1">
      <c r="A590" t="inlineStr">
        <is>
          <t>A 48777-2022</t>
        </is>
      </c>
      <c r="B590" s="1" t="n">
        <v>44855</v>
      </c>
      <c r="C590" s="1" t="n">
        <v>45935</v>
      </c>
      <c r="D590" t="inlineStr">
        <is>
          <t>JÄMTLANDS LÄN</t>
        </is>
      </c>
      <c r="E590" t="inlineStr">
        <is>
          <t>KROKOM</t>
        </is>
      </c>
      <c r="G590" t="n">
        <v>5.3</v>
      </c>
      <c r="H590" t="n">
        <v>0</v>
      </c>
      <c r="I590" t="n">
        <v>0</v>
      </c>
      <c r="J590" t="n">
        <v>0</v>
      </c>
      <c r="K590" t="n">
        <v>0</v>
      </c>
      <c r="L590" t="n">
        <v>0</v>
      </c>
      <c r="M590" t="n">
        <v>0</v>
      </c>
      <c r="N590" t="n">
        <v>0</v>
      </c>
      <c r="O590" t="n">
        <v>0</v>
      </c>
      <c r="P590" t="n">
        <v>0</v>
      </c>
      <c r="Q590" t="n">
        <v>0</v>
      </c>
      <c r="R590" s="2" t="inlineStr"/>
    </row>
    <row r="591" ht="15" customHeight="1">
      <c r="A591" t="inlineStr">
        <is>
          <t>A 6451-2022</t>
        </is>
      </c>
      <c r="B591" s="1" t="n">
        <v>44601.35342592592</v>
      </c>
      <c r="C591" s="1" t="n">
        <v>45935</v>
      </c>
      <c r="D591" t="inlineStr">
        <is>
          <t>JÄMTLANDS LÄN</t>
        </is>
      </c>
      <c r="E591" t="inlineStr">
        <is>
          <t>KROKOM</t>
        </is>
      </c>
      <c r="G591" t="n">
        <v>5.8</v>
      </c>
      <c r="H591" t="n">
        <v>0</v>
      </c>
      <c r="I591" t="n">
        <v>0</v>
      </c>
      <c r="J591" t="n">
        <v>0</v>
      </c>
      <c r="K591" t="n">
        <v>0</v>
      </c>
      <c r="L591" t="n">
        <v>0</v>
      </c>
      <c r="M591" t="n">
        <v>0</v>
      </c>
      <c r="N591" t="n">
        <v>0</v>
      </c>
      <c r="O591" t="n">
        <v>0</v>
      </c>
      <c r="P591" t="n">
        <v>0</v>
      </c>
      <c r="Q591" t="n">
        <v>0</v>
      </c>
      <c r="R591" s="2" t="inlineStr"/>
    </row>
    <row r="592" ht="15" customHeight="1">
      <c r="A592" t="inlineStr">
        <is>
          <t>A 47838-2023</t>
        </is>
      </c>
      <c r="B592" s="1" t="n">
        <v>45204</v>
      </c>
      <c r="C592" s="1" t="n">
        <v>45935</v>
      </c>
      <c r="D592" t="inlineStr">
        <is>
          <t>JÄMTLANDS LÄN</t>
        </is>
      </c>
      <c r="E592" t="inlineStr">
        <is>
          <t>KROKOM</t>
        </is>
      </c>
      <c r="G592" t="n">
        <v>11.8</v>
      </c>
      <c r="H592" t="n">
        <v>0</v>
      </c>
      <c r="I592" t="n">
        <v>0</v>
      </c>
      <c r="J592" t="n">
        <v>0</v>
      </c>
      <c r="K592" t="n">
        <v>0</v>
      </c>
      <c r="L592" t="n">
        <v>0</v>
      </c>
      <c r="M592" t="n">
        <v>0</v>
      </c>
      <c r="N592" t="n">
        <v>0</v>
      </c>
      <c r="O592" t="n">
        <v>0</v>
      </c>
      <c r="P592" t="n">
        <v>0</v>
      </c>
      <c r="Q592" t="n">
        <v>0</v>
      </c>
      <c r="R592" s="2" t="inlineStr"/>
    </row>
    <row r="593" ht="15" customHeight="1">
      <c r="A593" t="inlineStr">
        <is>
          <t>A 31550-2023</t>
        </is>
      </c>
      <c r="B593" s="1" t="n">
        <v>45117</v>
      </c>
      <c r="C593" s="1" t="n">
        <v>45935</v>
      </c>
      <c r="D593" t="inlineStr">
        <is>
          <t>JÄMTLANDS LÄN</t>
        </is>
      </c>
      <c r="E593" t="inlineStr">
        <is>
          <t>KROKOM</t>
        </is>
      </c>
      <c r="G593" t="n">
        <v>4.5</v>
      </c>
      <c r="H593" t="n">
        <v>0</v>
      </c>
      <c r="I593" t="n">
        <v>0</v>
      </c>
      <c r="J593" t="n">
        <v>0</v>
      </c>
      <c r="K593" t="n">
        <v>0</v>
      </c>
      <c r="L593" t="n">
        <v>0</v>
      </c>
      <c r="M593" t="n">
        <v>0</v>
      </c>
      <c r="N593" t="n">
        <v>0</v>
      </c>
      <c r="O593" t="n">
        <v>0</v>
      </c>
      <c r="P593" t="n">
        <v>0</v>
      </c>
      <c r="Q593" t="n">
        <v>0</v>
      </c>
      <c r="R593" s="2" t="inlineStr"/>
    </row>
    <row r="594" ht="15" customHeight="1">
      <c r="A594" t="inlineStr">
        <is>
          <t>A 69120-2020</t>
        </is>
      </c>
      <c r="B594" s="1" t="n">
        <v>44188</v>
      </c>
      <c r="C594" s="1" t="n">
        <v>45935</v>
      </c>
      <c r="D594" t="inlineStr">
        <is>
          <t>JÄMTLANDS LÄN</t>
        </is>
      </c>
      <c r="E594" t="inlineStr">
        <is>
          <t>KROKOM</t>
        </is>
      </c>
      <c r="G594" t="n">
        <v>4.1</v>
      </c>
      <c r="H594" t="n">
        <v>0</v>
      </c>
      <c r="I594" t="n">
        <v>0</v>
      </c>
      <c r="J594" t="n">
        <v>0</v>
      </c>
      <c r="K594" t="n">
        <v>0</v>
      </c>
      <c r="L594" t="n">
        <v>0</v>
      </c>
      <c r="M594" t="n">
        <v>0</v>
      </c>
      <c r="N594" t="n">
        <v>0</v>
      </c>
      <c r="O594" t="n">
        <v>0</v>
      </c>
      <c r="P594" t="n">
        <v>0</v>
      </c>
      <c r="Q594" t="n">
        <v>0</v>
      </c>
      <c r="R594" s="2" t="inlineStr"/>
    </row>
    <row r="595" ht="15" customHeight="1">
      <c r="A595" t="inlineStr">
        <is>
          <t>A 38885-2025</t>
        </is>
      </c>
      <c r="B595" s="1" t="n">
        <v>45887.58372685185</v>
      </c>
      <c r="C595" s="1" t="n">
        <v>45935</v>
      </c>
      <c r="D595" t="inlineStr">
        <is>
          <t>JÄMTLANDS LÄN</t>
        </is>
      </c>
      <c r="E595" t="inlineStr">
        <is>
          <t>KROKOM</t>
        </is>
      </c>
      <c r="G595" t="n">
        <v>1</v>
      </c>
      <c r="H595" t="n">
        <v>0</v>
      </c>
      <c r="I595" t="n">
        <v>0</v>
      </c>
      <c r="J595" t="n">
        <v>0</v>
      </c>
      <c r="K595" t="n">
        <v>0</v>
      </c>
      <c r="L595" t="n">
        <v>0</v>
      </c>
      <c r="M595" t="n">
        <v>0</v>
      </c>
      <c r="N595" t="n">
        <v>0</v>
      </c>
      <c r="O595" t="n">
        <v>0</v>
      </c>
      <c r="P595" t="n">
        <v>0</v>
      </c>
      <c r="Q595" t="n">
        <v>0</v>
      </c>
      <c r="R595" s="2" t="inlineStr"/>
    </row>
    <row r="596" ht="15" customHeight="1">
      <c r="A596" t="inlineStr">
        <is>
          <t>A 23832-2021</t>
        </is>
      </c>
      <c r="B596" s="1" t="n">
        <v>44335</v>
      </c>
      <c r="C596" s="1" t="n">
        <v>45935</v>
      </c>
      <c r="D596" t="inlineStr">
        <is>
          <t>JÄMTLANDS LÄN</t>
        </is>
      </c>
      <c r="E596" t="inlineStr">
        <is>
          <t>KROKOM</t>
        </is>
      </c>
      <c r="G596" t="n">
        <v>20</v>
      </c>
      <c r="H596" t="n">
        <v>0</v>
      </c>
      <c r="I596" t="n">
        <v>0</v>
      </c>
      <c r="J596" t="n">
        <v>0</v>
      </c>
      <c r="K596" t="n">
        <v>0</v>
      </c>
      <c r="L596" t="n">
        <v>0</v>
      </c>
      <c r="M596" t="n">
        <v>0</v>
      </c>
      <c r="N596" t="n">
        <v>0</v>
      </c>
      <c r="O596" t="n">
        <v>0</v>
      </c>
      <c r="P596" t="n">
        <v>0</v>
      </c>
      <c r="Q596" t="n">
        <v>0</v>
      </c>
      <c r="R596" s="2" t="inlineStr"/>
    </row>
    <row r="597" ht="15" customHeight="1">
      <c r="A597" t="inlineStr">
        <is>
          <t>A 39368-2024</t>
        </is>
      </c>
      <c r="B597" s="1" t="n">
        <v>45551.47325231481</v>
      </c>
      <c r="C597" s="1" t="n">
        <v>45935</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11193-2024</t>
        </is>
      </c>
      <c r="B598" s="1" t="n">
        <v>45371</v>
      </c>
      <c r="C598" s="1" t="n">
        <v>45935</v>
      </c>
      <c r="D598" t="inlineStr">
        <is>
          <t>JÄMTLANDS LÄN</t>
        </is>
      </c>
      <c r="E598" t="inlineStr">
        <is>
          <t>KROKOM</t>
        </is>
      </c>
      <c r="G598" t="n">
        <v>6.2</v>
      </c>
      <c r="H598" t="n">
        <v>0</v>
      </c>
      <c r="I598" t="n">
        <v>0</v>
      </c>
      <c r="J598" t="n">
        <v>0</v>
      </c>
      <c r="K598" t="n">
        <v>0</v>
      </c>
      <c r="L598" t="n">
        <v>0</v>
      </c>
      <c r="M598" t="n">
        <v>0</v>
      </c>
      <c r="N598" t="n">
        <v>0</v>
      </c>
      <c r="O598" t="n">
        <v>0</v>
      </c>
      <c r="P598" t="n">
        <v>0</v>
      </c>
      <c r="Q598" t="n">
        <v>0</v>
      </c>
      <c r="R598" s="2" t="inlineStr"/>
    </row>
    <row r="599" ht="15" customHeight="1">
      <c r="A599" t="inlineStr">
        <is>
          <t>A 9755-2024</t>
        </is>
      </c>
      <c r="B599" s="1" t="n">
        <v>45362</v>
      </c>
      <c r="C599" s="1" t="n">
        <v>45935</v>
      </c>
      <c r="D599" t="inlineStr">
        <is>
          <t>JÄMTLANDS LÄN</t>
        </is>
      </c>
      <c r="E599" t="inlineStr">
        <is>
          <t>KROKOM</t>
        </is>
      </c>
      <c r="G599" t="n">
        <v>2.4</v>
      </c>
      <c r="H599" t="n">
        <v>0</v>
      </c>
      <c r="I599" t="n">
        <v>0</v>
      </c>
      <c r="J599" t="n">
        <v>0</v>
      </c>
      <c r="K599" t="n">
        <v>0</v>
      </c>
      <c r="L599" t="n">
        <v>0</v>
      </c>
      <c r="M599" t="n">
        <v>0</v>
      </c>
      <c r="N599" t="n">
        <v>0</v>
      </c>
      <c r="O599" t="n">
        <v>0</v>
      </c>
      <c r="P599" t="n">
        <v>0</v>
      </c>
      <c r="Q599" t="n">
        <v>0</v>
      </c>
      <c r="R599" s="2" t="inlineStr"/>
    </row>
    <row r="600" ht="15" customHeight="1">
      <c r="A600" t="inlineStr">
        <is>
          <t>A 59619-2024</t>
        </is>
      </c>
      <c r="B600" s="1" t="n">
        <v>45638.81375</v>
      </c>
      <c r="C600" s="1" t="n">
        <v>45935</v>
      </c>
      <c r="D600" t="inlineStr">
        <is>
          <t>JÄMTLANDS LÄN</t>
        </is>
      </c>
      <c r="E600" t="inlineStr">
        <is>
          <t>KROKOM</t>
        </is>
      </c>
      <c r="G600" t="n">
        <v>0.4</v>
      </c>
      <c r="H600" t="n">
        <v>0</v>
      </c>
      <c r="I600" t="n">
        <v>0</v>
      </c>
      <c r="J600" t="n">
        <v>0</v>
      </c>
      <c r="K600" t="n">
        <v>0</v>
      </c>
      <c r="L600" t="n">
        <v>0</v>
      </c>
      <c r="M600" t="n">
        <v>0</v>
      </c>
      <c r="N600" t="n">
        <v>0</v>
      </c>
      <c r="O600" t="n">
        <v>0</v>
      </c>
      <c r="P600" t="n">
        <v>0</v>
      </c>
      <c r="Q600" t="n">
        <v>0</v>
      </c>
      <c r="R600" s="2" t="inlineStr"/>
    </row>
    <row r="601" ht="15" customHeight="1">
      <c r="A601" t="inlineStr">
        <is>
          <t>A 38894-2025</t>
        </is>
      </c>
      <c r="B601" s="1" t="n">
        <v>45887.59064814815</v>
      </c>
      <c r="C601" s="1" t="n">
        <v>45935</v>
      </c>
      <c r="D601" t="inlineStr">
        <is>
          <t>JÄMTLANDS LÄN</t>
        </is>
      </c>
      <c r="E601" t="inlineStr">
        <is>
          <t>KROKOM</t>
        </is>
      </c>
      <c r="G601" t="n">
        <v>0.9</v>
      </c>
      <c r="H601" t="n">
        <v>0</v>
      </c>
      <c r="I601" t="n">
        <v>0</v>
      </c>
      <c r="J601" t="n">
        <v>0</v>
      </c>
      <c r="K601" t="n">
        <v>0</v>
      </c>
      <c r="L601" t="n">
        <v>0</v>
      </c>
      <c r="M601" t="n">
        <v>0</v>
      </c>
      <c r="N601" t="n">
        <v>0</v>
      </c>
      <c r="O601" t="n">
        <v>0</v>
      </c>
      <c r="P601" t="n">
        <v>0</v>
      </c>
      <c r="Q601" t="n">
        <v>0</v>
      </c>
      <c r="R601" s="2" t="inlineStr"/>
    </row>
    <row r="602" ht="15" customHeight="1">
      <c r="A602" t="inlineStr">
        <is>
          <t>A 27440-2024</t>
        </is>
      </c>
      <c r="B602" s="1" t="n">
        <v>45474</v>
      </c>
      <c r="C602" s="1" t="n">
        <v>45935</v>
      </c>
      <c r="D602" t="inlineStr">
        <is>
          <t>JÄMTLANDS LÄN</t>
        </is>
      </c>
      <c r="E602" t="inlineStr">
        <is>
          <t>KROKOM</t>
        </is>
      </c>
      <c r="G602" t="n">
        <v>2.9</v>
      </c>
      <c r="H602" t="n">
        <v>0</v>
      </c>
      <c r="I602" t="n">
        <v>0</v>
      </c>
      <c r="J602" t="n">
        <v>0</v>
      </c>
      <c r="K602" t="n">
        <v>0</v>
      </c>
      <c r="L602" t="n">
        <v>0</v>
      </c>
      <c r="M602" t="n">
        <v>0</v>
      </c>
      <c r="N602" t="n">
        <v>0</v>
      </c>
      <c r="O602" t="n">
        <v>0</v>
      </c>
      <c r="P602" t="n">
        <v>0</v>
      </c>
      <c r="Q602" t="n">
        <v>0</v>
      </c>
      <c r="R602" s="2" t="inlineStr"/>
    </row>
    <row r="603" ht="15" customHeight="1">
      <c r="A603" t="inlineStr">
        <is>
          <t>A 50822-2024</t>
        </is>
      </c>
      <c r="B603" s="1" t="n">
        <v>45602.57827546296</v>
      </c>
      <c r="C603" s="1" t="n">
        <v>45935</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2609-2023</t>
        </is>
      </c>
      <c r="B604" s="1" t="n">
        <v>44939</v>
      </c>
      <c r="C604" s="1" t="n">
        <v>45935</v>
      </c>
      <c r="D604" t="inlineStr">
        <is>
          <t>JÄMTLANDS LÄN</t>
        </is>
      </c>
      <c r="E604" t="inlineStr">
        <is>
          <t>KROKOM</t>
        </is>
      </c>
      <c r="G604" t="n">
        <v>16.9</v>
      </c>
      <c r="H604" t="n">
        <v>0</v>
      </c>
      <c r="I604" t="n">
        <v>0</v>
      </c>
      <c r="J604" t="n">
        <v>0</v>
      </c>
      <c r="K604" t="n">
        <v>0</v>
      </c>
      <c r="L604" t="n">
        <v>0</v>
      </c>
      <c r="M604" t="n">
        <v>0</v>
      </c>
      <c r="N604" t="n">
        <v>0</v>
      </c>
      <c r="O604" t="n">
        <v>0</v>
      </c>
      <c r="P604" t="n">
        <v>0</v>
      </c>
      <c r="Q604" t="n">
        <v>0</v>
      </c>
      <c r="R604" s="2" t="inlineStr"/>
    </row>
    <row r="605" ht="15" customHeight="1">
      <c r="A605" t="inlineStr">
        <is>
          <t>A 34801-2023</t>
        </is>
      </c>
      <c r="B605" s="1" t="n">
        <v>45140</v>
      </c>
      <c r="C605" s="1" t="n">
        <v>45935</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46516-2025</t>
        </is>
      </c>
      <c r="B606" s="1" t="n">
        <v>45926.29324074074</v>
      </c>
      <c r="C606" s="1" t="n">
        <v>45935</v>
      </c>
      <c r="D606" t="inlineStr">
        <is>
          <t>JÄMTLANDS LÄN</t>
        </is>
      </c>
      <c r="E606" t="inlineStr">
        <is>
          <t>KROKOM</t>
        </is>
      </c>
      <c r="F606" t="inlineStr">
        <is>
          <t>Övriga Aktiebolag</t>
        </is>
      </c>
      <c r="G606" t="n">
        <v>18.7</v>
      </c>
      <c r="H606" t="n">
        <v>0</v>
      </c>
      <c r="I606" t="n">
        <v>0</v>
      </c>
      <c r="J606" t="n">
        <v>0</v>
      </c>
      <c r="K606" t="n">
        <v>0</v>
      </c>
      <c r="L606" t="n">
        <v>0</v>
      </c>
      <c r="M606" t="n">
        <v>0</v>
      </c>
      <c r="N606" t="n">
        <v>0</v>
      </c>
      <c r="O606" t="n">
        <v>0</v>
      </c>
      <c r="P606" t="n">
        <v>0</v>
      </c>
      <c r="Q606" t="n">
        <v>0</v>
      </c>
      <c r="R606" s="2" t="inlineStr"/>
    </row>
    <row r="607" ht="15" customHeight="1">
      <c r="A607" t="inlineStr">
        <is>
          <t>A 54975-2024</t>
        </is>
      </c>
      <c r="B607" s="1" t="n">
        <v>45620.67667824074</v>
      </c>
      <c r="C607" s="1" t="n">
        <v>45935</v>
      </c>
      <c r="D607" t="inlineStr">
        <is>
          <t>JÄMTLANDS LÄN</t>
        </is>
      </c>
      <c r="E607" t="inlineStr">
        <is>
          <t>KROKOM</t>
        </is>
      </c>
      <c r="G607" t="n">
        <v>24.1</v>
      </c>
      <c r="H607" t="n">
        <v>0</v>
      </c>
      <c r="I607" t="n">
        <v>0</v>
      </c>
      <c r="J607" t="n">
        <v>0</v>
      </c>
      <c r="K607" t="n">
        <v>0</v>
      </c>
      <c r="L607" t="n">
        <v>0</v>
      </c>
      <c r="M607" t="n">
        <v>0</v>
      </c>
      <c r="N607" t="n">
        <v>0</v>
      </c>
      <c r="O607" t="n">
        <v>0</v>
      </c>
      <c r="P607" t="n">
        <v>0</v>
      </c>
      <c r="Q607" t="n">
        <v>0</v>
      </c>
      <c r="R607" s="2" t="inlineStr"/>
    </row>
    <row r="608" ht="15" customHeight="1">
      <c r="A608" t="inlineStr">
        <is>
          <t>A 9132-2023</t>
        </is>
      </c>
      <c r="B608" s="1" t="n">
        <v>44974</v>
      </c>
      <c r="C608" s="1" t="n">
        <v>45935</v>
      </c>
      <c r="D608" t="inlineStr">
        <is>
          <t>JÄMTLANDS LÄN</t>
        </is>
      </c>
      <c r="E608" t="inlineStr">
        <is>
          <t>KROKOM</t>
        </is>
      </c>
      <c r="F608" t="inlineStr">
        <is>
          <t>SCA</t>
        </is>
      </c>
      <c r="G608" t="n">
        <v>22.7</v>
      </c>
      <c r="H608" t="n">
        <v>0</v>
      </c>
      <c r="I608" t="n">
        <v>0</v>
      </c>
      <c r="J608" t="n">
        <v>0</v>
      </c>
      <c r="K608" t="n">
        <v>0</v>
      </c>
      <c r="L608" t="n">
        <v>0</v>
      </c>
      <c r="M608" t="n">
        <v>0</v>
      </c>
      <c r="N608" t="n">
        <v>0</v>
      </c>
      <c r="O608" t="n">
        <v>0</v>
      </c>
      <c r="P608" t="n">
        <v>0</v>
      </c>
      <c r="Q608" t="n">
        <v>0</v>
      </c>
      <c r="R608" s="2" t="inlineStr"/>
    </row>
    <row r="609" ht="15" customHeight="1">
      <c r="A609" t="inlineStr">
        <is>
          <t>A 59668-2023</t>
        </is>
      </c>
      <c r="B609" s="1" t="n">
        <v>45254</v>
      </c>
      <c r="C609" s="1" t="n">
        <v>45935</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58355-2023</t>
        </is>
      </c>
      <c r="B610" s="1" t="n">
        <v>45250</v>
      </c>
      <c r="C610" s="1" t="n">
        <v>45935</v>
      </c>
      <c r="D610" t="inlineStr">
        <is>
          <t>JÄMTLANDS LÄN</t>
        </is>
      </c>
      <c r="E610" t="inlineStr">
        <is>
          <t>KROKOM</t>
        </is>
      </c>
      <c r="F610" t="inlineStr">
        <is>
          <t>Övriga Aktiebolag</t>
        </is>
      </c>
      <c r="G610" t="n">
        <v>6.6</v>
      </c>
      <c r="H610" t="n">
        <v>0</v>
      </c>
      <c r="I610" t="n">
        <v>0</v>
      </c>
      <c r="J610" t="n">
        <v>0</v>
      </c>
      <c r="K610" t="n">
        <v>0</v>
      </c>
      <c r="L610" t="n">
        <v>0</v>
      </c>
      <c r="M610" t="n">
        <v>0</v>
      </c>
      <c r="N610" t="n">
        <v>0</v>
      </c>
      <c r="O610" t="n">
        <v>0</v>
      </c>
      <c r="P610" t="n">
        <v>0</v>
      </c>
      <c r="Q610" t="n">
        <v>0</v>
      </c>
      <c r="R610" s="2" t="inlineStr"/>
    </row>
    <row r="611" ht="15" customHeight="1">
      <c r="A611" t="inlineStr">
        <is>
          <t>A 7630-2023</t>
        </is>
      </c>
      <c r="B611" s="1" t="n">
        <v>44972.55690972223</v>
      </c>
      <c r="C611" s="1" t="n">
        <v>45935</v>
      </c>
      <c r="D611" t="inlineStr">
        <is>
          <t>JÄMTLANDS LÄN</t>
        </is>
      </c>
      <c r="E611" t="inlineStr">
        <is>
          <t>KROKOM</t>
        </is>
      </c>
      <c r="G611" t="n">
        <v>2.1</v>
      </c>
      <c r="H611" t="n">
        <v>0</v>
      </c>
      <c r="I611" t="n">
        <v>0</v>
      </c>
      <c r="J611" t="n">
        <v>0</v>
      </c>
      <c r="K611" t="n">
        <v>0</v>
      </c>
      <c r="L611" t="n">
        <v>0</v>
      </c>
      <c r="M611" t="n">
        <v>0</v>
      </c>
      <c r="N611" t="n">
        <v>0</v>
      </c>
      <c r="O611" t="n">
        <v>0</v>
      </c>
      <c r="P611" t="n">
        <v>0</v>
      </c>
      <c r="Q611" t="n">
        <v>0</v>
      </c>
      <c r="R611" s="2" t="inlineStr"/>
    </row>
    <row r="612" ht="15" customHeight="1">
      <c r="A612" t="inlineStr">
        <is>
          <t>A 56361-2023</t>
        </is>
      </c>
      <c r="B612" s="1" t="n">
        <v>45243.37567129629</v>
      </c>
      <c r="C612" s="1" t="n">
        <v>45935</v>
      </c>
      <c r="D612" t="inlineStr">
        <is>
          <t>JÄMTLANDS LÄN</t>
        </is>
      </c>
      <c r="E612" t="inlineStr">
        <is>
          <t>KROKOM</t>
        </is>
      </c>
      <c r="G612" t="n">
        <v>3.1</v>
      </c>
      <c r="H612" t="n">
        <v>0</v>
      </c>
      <c r="I612" t="n">
        <v>0</v>
      </c>
      <c r="J612" t="n">
        <v>0</v>
      </c>
      <c r="K612" t="n">
        <v>0</v>
      </c>
      <c r="L612" t="n">
        <v>0</v>
      </c>
      <c r="M612" t="n">
        <v>0</v>
      </c>
      <c r="N612" t="n">
        <v>0</v>
      </c>
      <c r="O612" t="n">
        <v>0</v>
      </c>
      <c r="P612" t="n">
        <v>0</v>
      </c>
      <c r="Q612" t="n">
        <v>0</v>
      </c>
      <c r="R612" s="2" t="inlineStr"/>
    </row>
    <row r="613" ht="15" customHeight="1">
      <c r="A613" t="inlineStr">
        <is>
          <t>A 44594-2023</t>
        </is>
      </c>
      <c r="B613" s="1" t="n">
        <v>45189.60987268519</v>
      </c>
      <c r="C613" s="1" t="n">
        <v>45935</v>
      </c>
      <c r="D613" t="inlineStr">
        <is>
          <t>JÄMTLANDS LÄN</t>
        </is>
      </c>
      <c r="E613" t="inlineStr">
        <is>
          <t>KROKOM</t>
        </is>
      </c>
      <c r="G613" t="n">
        <v>5.7</v>
      </c>
      <c r="H613" t="n">
        <v>0</v>
      </c>
      <c r="I613" t="n">
        <v>0</v>
      </c>
      <c r="J613" t="n">
        <v>0</v>
      </c>
      <c r="K613" t="n">
        <v>0</v>
      </c>
      <c r="L613" t="n">
        <v>0</v>
      </c>
      <c r="M613" t="n">
        <v>0</v>
      </c>
      <c r="N613" t="n">
        <v>0</v>
      </c>
      <c r="O613" t="n">
        <v>0</v>
      </c>
      <c r="P613" t="n">
        <v>0</v>
      </c>
      <c r="Q613" t="n">
        <v>0</v>
      </c>
      <c r="R613" s="2" t="inlineStr"/>
    </row>
    <row r="614" ht="15" customHeight="1">
      <c r="A614" t="inlineStr">
        <is>
          <t>A 47625-2023</t>
        </is>
      </c>
      <c r="B614" s="1" t="n">
        <v>45203</v>
      </c>
      <c r="C614" s="1" t="n">
        <v>45935</v>
      </c>
      <c r="D614" t="inlineStr">
        <is>
          <t>JÄMTLANDS LÄN</t>
        </is>
      </c>
      <c r="E614" t="inlineStr">
        <is>
          <t>KROKOM</t>
        </is>
      </c>
      <c r="G614" t="n">
        <v>1.1</v>
      </c>
      <c r="H614" t="n">
        <v>0</v>
      </c>
      <c r="I614" t="n">
        <v>0</v>
      </c>
      <c r="J614" t="n">
        <v>0</v>
      </c>
      <c r="K614" t="n">
        <v>0</v>
      </c>
      <c r="L614" t="n">
        <v>0</v>
      </c>
      <c r="M614" t="n">
        <v>0</v>
      </c>
      <c r="N614" t="n">
        <v>0</v>
      </c>
      <c r="O614" t="n">
        <v>0</v>
      </c>
      <c r="P614" t="n">
        <v>0</v>
      </c>
      <c r="Q614" t="n">
        <v>0</v>
      </c>
      <c r="R614" s="2" t="inlineStr"/>
    </row>
    <row r="615" ht="15" customHeight="1">
      <c r="A615" t="inlineStr">
        <is>
          <t>A 39696-2024</t>
        </is>
      </c>
      <c r="B615" s="1" t="n">
        <v>45552.57210648148</v>
      </c>
      <c r="C615" s="1" t="n">
        <v>45935</v>
      </c>
      <c r="D615" t="inlineStr">
        <is>
          <t>JÄMTLANDS LÄN</t>
        </is>
      </c>
      <c r="E615" t="inlineStr">
        <is>
          <t>KROKOM</t>
        </is>
      </c>
      <c r="G615" t="n">
        <v>5.3</v>
      </c>
      <c r="H615" t="n">
        <v>0</v>
      </c>
      <c r="I615" t="n">
        <v>0</v>
      </c>
      <c r="J615" t="n">
        <v>0</v>
      </c>
      <c r="K615" t="n">
        <v>0</v>
      </c>
      <c r="L615" t="n">
        <v>0</v>
      </c>
      <c r="M615" t="n">
        <v>0</v>
      </c>
      <c r="N615" t="n">
        <v>0</v>
      </c>
      <c r="O615" t="n">
        <v>0</v>
      </c>
      <c r="P615" t="n">
        <v>0</v>
      </c>
      <c r="Q615" t="n">
        <v>0</v>
      </c>
      <c r="R615" s="2" t="inlineStr"/>
    </row>
    <row r="616" ht="15" customHeight="1">
      <c r="A616" t="inlineStr">
        <is>
          <t>A 2257-2024</t>
        </is>
      </c>
      <c r="B616" s="1" t="n">
        <v>45310</v>
      </c>
      <c r="C616" s="1" t="n">
        <v>45935</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60680-2023</t>
        </is>
      </c>
      <c r="B617" s="1" t="n">
        <v>45260</v>
      </c>
      <c r="C617" s="1" t="n">
        <v>45935</v>
      </c>
      <c r="D617" t="inlineStr">
        <is>
          <t>JÄMTLANDS LÄN</t>
        </is>
      </c>
      <c r="E617" t="inlineStr">
        <is>
          <t>KROKOM</t>
        </is>
      </c>
      <c r="G617" t="n">
        <v>1</v>
      </c>
      <c r="H617" t="n">
        <v>0</v>
      </c>
      <c r="I617" t="n">
        <v>0</v>
      </c>
      <c r="J617" t="n">
        <v>0</v>
      </c>
      <c r="K617" t="n">
        <v>0</v>
      </c>
      <c r="L617" t="n">
        <v>0</v>
      </c>
      <c r="M617" t="n">
        <v>0</v>
      </c>
      <c r="N617" t="n">
        <v>0</v>
      </c>
      <c r="O617" t="n">
        <v>0</v>
      </c>
      <c r="P617" t="n">
        <v>0</v>
      </c>
      <c r="Q617" t="n">
        <v>0</v>
      </c>
      <c r="R617" s="2" t="inlineStr"/>
    </row>
    <row r="618" ht="15" customHeight="1">
      <c r="A618" t="inlineStr">
        <is>
          <t>A 58569-2020</t>
        </is>
      </c>
      <c r="B618" s="1" t="n">
        <v>44141</v>
      </c>
      <c r="C618" s="1" t="n">
        <v>45935</v>
      </c>
      <c r="D618" t="inlineStr">
        <is>
          <t>JÄMTLANDS LÄN</t>
        </is>
      </c>
      <c r="E618" t="inlineStr">
        <is>
          <t>KROKOM</t>
        </is>
      </c>
      <c r="G618" t="n">
        <v>52.8</v>
      </c>
      <c r="H618" t="n">
        <v>0</v>
      </c>
      <c r="I618" t="n">
        <v>0</v>
      </c>
      <c r="J618" t="n">
        <v>0</v>
      </c>
      <c r="K618" t="n">
        <v>0</v>
      </c>
      <c r="L618" t="n">
        <v>0</v>
      </c>
      <c r="M618" t="n">
        <v>0</v>
      </c>
      <c r="N618" t="n">
        <v>0</v>
      </c>
      <c r="O618" t="n">
        <v>0</v>
      </c>
      <c r="P618" t="n">
        <v>0</v>
      </c>
      <c r="Q618" t="n">
        <v>0</v>
      </c>
      <c r="R618" s="2" t="inlineStr"/>
    </row>
    <row r="619" ht="15" customHeight="1">
      <c r="A619" t="inlineStr">
        <is>
          <t>A 31537-2023</t>
        </is>
      </c>
      <c r="B619" s="1" t="n">
        <v>45117</v>
      </c>
      <c r="C619" s="1" t="n">
        <v>45935</v>
      </c>
      <c r="D619" t="inlineStr">
        <is>
          <t>JÄMTLANDS LÄN</t>
        </is>
      </c>
      <c r="E619" t="inlineStr">
        <is>
          <t>KROKOM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31905-2021</t>
        </is>
      </c>
      <c r="B620" s="1" t="n">
        <v>44370</v>
      </c>
      <c r="C620" s="1" t="n">
        <v>45935</v>
      </c>
      <c r="D620" t="inlineStr">
        <is>
          <t>JÄMTLANDS LÄN</t>
        </is>
      </c>
      <c r="E620" t="inlineStr">
        <is>
          <t>KROKOM</t>
        </is>
      </c>
      <c r="G620" t="n">
        <v>12.9</v>
      </c>
      <c r="H620" t="n">
        <v>0</v>
      </c>
      <c r="I620" t="n">
        <v>0</v>
      </c>
      <c r="J620" t="n">
        <v>0</v>
      </c>
      <c r="K620" t="n">
        <v>0</v>
      </c>
      <c r="L620" t="n">
        <v>0</v>
      </c>
      <c r="M620" t="n">
        <v>0</v>
      </c>
      <c r="N620" t="n">
        <v>0</v>
      </c>
      <c r="O620" t="n">
        <v>0</v>
      </c>
      <c r="P620" t="n">
        <v>0</v>
      </c>
      <c r="Q620" t="n">
        <v>0</v>
      </c>
      <c r="R620" s="2" t="inlineStr"/>
    </row>
    <row r="621" ht="15" customHeight="1">
      <c r="A621" t="inlineStr">
        <is>
          <t>A 41197-2022</t>
        </is>
      </c>
      <c r="B621" s="1" t="n">
        <v>44825</v>
      </c>
      <c r="C621" s="1" t="n">
        <v>45935</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30160-2022</t>
        </is>
      </c>
      <c r="B622" s="1" t="n">
        <v>44757</v>
      </c>
      <c r="C622" s="1" t="n">
        <v>45935</v>
      </c>
      <c r="D622" t="inlineStr">
        <is>
          <t>JÄMTLANDS LÄN</t>
        </is>
      </c>
      <c r="E622" t="inlineStr">
        <is>
          <t>KROKOM</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36122-2022</t>
        </is>
      </c>
      <c r="B623" s="1" t="n">
        <v>44803</v>
      </c>
      <c r="C623" s="1" t="n">
        <v>45935</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45935</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21990-2022</t>
        </is>
      </c>
      <c r="B625" s="1" t="n">
        <v>44711</v>
      </c>
      <c r="C625" s="1" t="n">
        <v>45935</v>
      </c>
      <c r="D625" t="inlineStr">
        <is>
          <t>JÄMTLANDS LÄN</t>
        </is>
      </c>
      <c r="E625" t="inlineStr">
        <is>
          <t>KROKOM</t>
        </is>
      </c>
      <c r="F625" t="inlineStr">
        <is>
          <t>Övriga Aktiebolag</t>
        </is>
      </c>
      <c r="G625" t="n">
        <v>26.3</v>
      </c>
      <c r="H625" t="n">
        <v>0</v>
      </c>
      <c r="I625" t="n">
        <v>0</v>
      </c>
      <c r="J625" t="n">
        <v>0</v>
      </c>
      <c r="K625" t="n">
        <v>0</v>
      </c>
      <c r="L625" t="n">
        <v>0</v>
      </c>
      <c r="M625" t="n">
        <v>0</v>
      </c>
      <c r="N625" t="n">
        <v>0</v>
      </c>
      <c r="O625" t="n">
        <v>0</v>
      </c>
      <c r="P625" t="n">
        <v>0</v>
      </c>
      <c r="Q625" t="n">
        <v>0</v>
      </c>
      <c r="R625" s="2" t="inlineStr"/>
    </row>
    <row r="626" ht="15" customHeight="1">
      <c r="A626" t="inlineStr">
        <is>
          <t>A 31538-2023</t>
        </is>
      </c>
      <c r="B626" s="1" t="n">
        <v>45117</v>
      </c>
      <c r="C626" s="1" t="n">
        <v>45935</v>
      </c>
      <c r="D626" t="inlineStr">
        <is>
          <t>JÄMTLANDS LÄN</t>
        </is>
      </c>
      <c r="E626" t="inlineStr">
        <is>
          <t>KROKOM</t>
        </is>
      </c>
      <c r="F626" t="inlineStr">
        <is>
          <t>Övriga Aktiebolag</t>
        </is>
      </c>
      <c r="G626" t="n">
        <v>9.9</v>
      </c>
      <c r="H626" t="n">
        <v>0</v>
      </c>
      <c r="I626" t="n">
        <v>0</v>
      </c>
      <c r="J626" t="n">
        <v>0</v>
      </c>
      <c r="K626" t="n">
        <v>0</v>
      </c>
      <c r="L626" t="n">
        <v>0</v>
      </c>
      <c r="M626" t="n">
        <v>0</v>
      </c>
      <c r="N626" t="n">
        <v>0</v>
      </c>
      <c r="O626" t="n">
        <v>0</v>
      </c>
      <c r="P626" t="n">
        <v>0</v>
      </c>
      <c r="Q626" t="n">
        <v>0</v>
      </c>
      <c r="R626" s="2" t="inlineStr"/>
    </row>
    <row r="627" ht="15" customHeight="1">
      <c r="A627" t="inlineStr">
        <is>
          <t>A 47587-2023</t>
        </is>
      </c>
      <c r="B627" s="1" t="n">
        <v>45203.44248842593</v>
      </c>
      <c r="C627" s="1" t="n">
        <v>45935</v>
      </c>
      <c r="D627" t="inlineStr">
        <is>
          <t>JÄMTLANDS LÄN</t>
        </is>
      </c>
      <c r="E627" t="inlineStr">
        <is>
          <t>KROKOM</t>
        </is>
      </c>
      <c r="G627" t="n">
        <v>5.1</v>
      </c>
      <c r="H627" t="n">
        <v>0</v>
      </c>
      <c r="I627" t="n">
        <v>0</v>
      </c>
      <c r="J627" t="n">
        <v>0</v>
      </c>
      <c r="K627" t="n">
        <v>0</v>
      </c>
      <c r="L627" t="n">
        <v>0</v>
      </c>
      <c r="M627" t="n">
        <v>0</v>
      </c>
      <c r="N627" t="n">
        <v>0</v>
      </c>
      <c r="O627" t="n">
        <v>0</v>
      </c>
      <c r="P627" t="n">
        <v>0</v>
      </c>
      <c r="Q627" t="n">
        <v>0</v>
      </c>
      <c r="R627" s="2" t="inlineStr"/>
    </row>
    <row r="628" ht="15" customHeight="1">
      <c r="A628" t="inlineStr">
        <is>
          <t>A 39230-2024</t>
        </is>
      </c>
      <c r="B628" s="1" t="n">
        <v>45550.66542824074</v>
      </c>
      <c r="C628" s="1" t="n">
        <v>45935</v>
      </c>
      <c r="D628" t="inlineStr">
        <is>
          <t>JÄMTLANDS LÄN</t>
        </is>
      </c>
      <c r="E628" t="inlineStr">
        <is>
          <t>KROKOM</t>
        </is>
      </c>
      <c r="G628" t="n">
        <v>7.9</v>
      </c>
      <c r="H628" t="n">
        <v>0</v>
      </c>
      <c r="I628" t="n">
        <v>0</v>
      </c>
      <c r="J628" t="n">
        <v>0</v>
      </c>
      <c r="K628" t="n">
        <v>0</v>
      </c>
      <c r="L628" t="n">
        <v>0</v>
      </c>
      <c r="M628" t="n">
        <v>0</v>
      </c>
      <c r="N628" t="n">
        <v>0</v>
      </c>
      <c r="O628" t="n">
        <v>0</v>
      </c>
      <c r="P628" t="n">
        <v>0</v>
      </c>
      <c r="Q628" t="n">
        <v>0</v>
      </c>
      <c r="R628" s="2" t="inlineStr"/>
    </row>
    <row r="629" ht="15" customHeight="1">
      <c r="A629" t="inlineStr">
        <is>
          <t>A 8011-2025</t>
        </is>
      </c>
      <c r="B629" s="1" t="n">
        <v>45707.55246527777</v>
      </c>
      <c r="C629" s="1" t="n">
        <v>45935</v>
      </c>
      <c r="D629" t="inlineStr">
        <is>
          <t>JÄMTLANDS LÄN</t>
        </is>
      </c>
      <c r="E629" t="inlineStr">
        <is>
          <t>KROKOM</t>
        </is>
      </c>
      <c r="F629" t="inlineStr">
        <is>
          <t>Övriga Aktiebolag</t>
        </is>
      </c>
      <c r="G629" t="n">
        <v>10.6</v>
      </c>
      <c r="H629" t="n">
        <v>0</v>
      </c>
      <c r="I629" t="n">
        <v>0</v>
      </c>
      <c r="J629" t="n">
        <v>0</v>
      </c>
      <c r="K629" t="n">
        <v>0</v>
      </c>
      <c r="L629" t="n">
        <v>0</v>
      </c>
      <c r="M629" t="n">
        <v>0</v>
      </c>
      <c r="N629" t="n">
        <v>0</v>
      </c>
      <c r="O629" t="n">
        <v>0</v>
      </c>
      <c r="P629" t="n">
        <v>0</v>
      </c>
      <c r="Q629" t="n">
        <v>0</v>
      </c>
      <c r="R629" s="2" t="inlineStr"/>
    </row>
    <row r="630" ht="15" customHeight="1">
      <c r="A630" t="inlineStr">
        <is>
          <t>A 57149-2023</t>
        </is>
      </c>
      <c r="B630" s="1" t="n">
        <v>45245</v>
      </c>
      <c r="C630" s="1" t="n">
        <v>45935</v>
      </c>
      <c r="D630" t="inlineStr">
        <is>
          <t>JÄMTLANDS LÄN</t>
        </is>
      </c>
      <c r="E630" t="inlineStr">
        <is>
          <t>KROKOM</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45935</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38043-2023</t>
        </is>
      </c>
      <c r="B632" s="1" t="n">
        <v>45160.66704861111</v>
      </c>
      <c r="C632" s="1" t="n">
        <v>45935</v>
      </c>
      <c r="D632" t="inlineStr">
        <is>
          <t>JÄMTLANDS LÄN</t>
        </is>
      </c>
      <c r="E632" t="inlineStr">
        <is>
          <t>KROKOM</t>
        </is>
      </c>
      <c r="F632" t="inlineStr">
        <is>
          <t>Övriga Aktiebolag</t>
        </is>
      </c>
      <c r="G632" t="n">
        <v>10.4</v>
      </c>
      <c r="H632" t="n">
        <v>0</v>
      </c>
      <c r="I632" t="n">
        <v>0</v>
      </c>
      <c r="J632" t="n">
        <v>0</v>
      </c>
      <c r="K632" t="n">
        <v>0</v>
      </c>
      <c r="L632" t="n">
        <v>0</v>
      </c>
      <c r="M632" t="n">
        <v>0</v>
      </c>
      <c r="N632" t="n">
        <v>0</v>
      </c>
      <c r="O632" t="n">
        <v>0</v>
      </c>
      <c r="P632" t="n">
        <v>0</v>
      </c>
      <c r="Q632" t="n">
        <v>0</v>
      </c>
      <c r="R632" s="2" t="inlineStr"/>
    </row>
    <row r="633" ht="15" customHeight="1">
      <c r="A633" t="inlineStr">
        <is>
          <t>A 8168-2025</t>
        </is>
      </c>
      <c r="B633" s="1" t="n">
        <v>45708</v>
      </c>
      <c r="C633" s="1" t="n">
        <v>45935</v>
      </c>
      <c r="D633" t="inlineStr">
        <is>
          <t>JÄMTLANDS LÄN</t>
        </is>
      </c>
      <c r="E633" t="inlineStr">
        <is>
          <t>KROKOM</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1287-2021</t>
        </is>
      </c>
      <c r="B634" s="1" t="n">
        <v>44207</v>
      </c>
      <c r="C634" s="1" t="n">
        <v>45935</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44156-2024</t>
        </is>
      </c>
      <c r="B635" s="1" t="n">
        <v>45572</v>
      </c>
      <c r="C635" s="1" t="n">
        <v>45935</v>
      </c>
      <c r="D635" t="inlineStr">
        <is>
          <t>JÄMTLANDS LÄN</t>
        </is>
      </c>
      <c r="E635" t="inlineStr">
        <is>
          <t>KROKOM</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26721-2023</t>
        </is>
      </c>
      <c r="B636" s="1" t="n">
        <v>45090</v>
      </c>
      <c r="C636" s="1" t="n">
        <v>45935</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23319-2024</t>
        </is>
      </c>
      <c r="B637" s="1" t="n">
        <v>45453.45515046296</v>
      </c>
      <c r="C637" s="1" t="n">
        <v>45935</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5693-2022</t>
        </is>
      </c>
      <c r="B638" s="1" t="n">
        <v>44596</v>
      </c>
      <c r="C638" s="1" t="n">
        <v>45935</v>
      </c>
      <c r="D638" t="inlineStr">
        <is>
          <t>JÄMTLANDS LÄN</t>
        </is>
      </c>
      <c r="E638" t="inlineStr">
        <is>
          <t>KROKOM</t>
        </is>
      </c>
      <c r="G638" t="n">
        <v>40.8</v>
      </c>
      <c r="H638" t="n">
        <v>0</v>
      </c>
      <c r="I638" t="n">
        <v>0</v>
      </c>
      <c r="J638" t="n">
        <v>0</v>
      </c>
      <c r="K638" t="n">
        <v>0</v>
      </c>
      <c r="L638" t="n">
        <v>0</v>
      </c>
      <c r="M638" t="n">
        <v>0</v>
      </c>
      <c r="N638" t="n">
        <v>0</v>
      </c>
      <c r="O638" t="n">
        <v>0</v>
      </c>
      <c r="P638" t="n">
        <v>0</v>
      </c>
      <c r="Q638" t="n">
        <v>0</v>
      </c>
      <c r="R638" s="2" t="inlineStr"/>
    </row>
    <row r="639" ht="15" customHeight="1">
      <c r="A639" t="inlineStr">
        <is>
          <t>A 23539-2024</t>
        </is>
      </c>
      <c r="B639" s="1" t="n">
        <v>45453.95237268518</v>
      </c>
      <c r="C639" s="1" t="n">
        <v>45935</v>
      </c>
      <c r="D639" t="inlineStr">
        <is>
          <t>JÄMTLANDS LÄN</t>
        </is>
      </c>
      <c r="E639" t="inlineStr">
        <is>
          <t>KROKOM</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9750-2024</t>
        </is>
      </c>
      <c r="B640" s="1" t="n">
        <v>45362</v>
      </c>
      <c r="C640" s="1" t="n">
        <v>45935</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60487-2024</t>
        </is>
      </c>
      <c r="B641" s="1" t="n">
        <v>45643.64706018518</v>
      </c>
      <c r="C641" s="1" t="n">
        <v>45935</v>
      </c>
      <c r="D641" t="inlineStr">
        <is>
          <t>JÄMTLANDS LÄN</t>
        </is>
      </c>
      <c r="E641" t="inlineStr">
        <is>
          <t>KROKOM</t>
        </is>
      </c>
      <c r="G641" t="n">
        <v>1</v>
      </c>
      <c r="H641" t="n">
        <v>0</v>
      </c>
      <c r="I641" t="n">
        <v>0</v>
      </c>
      <c r="J641" t="n">
        <v>0</v>
      </c>
      <c r="K641" t="n">
        <v>0</v>
      </c>
      <c r="L641" t="n">
        <v>0</v>
      </c>
      <c r="M641" t="n">
        <v>0</v>
      </c>
      <c r="N641" t="n">
        <v>0</v>
      </c>
      <c r="O641" t="n">
        <v>0</v>
      </c>
      <c r="P641" t="n">
        <v>0</v>
      </c>
      <c r="Q641" t="n">
        <v>0</v>
      </c>
      <c r="R641" s="2" t="inlineStr"/>
    </row>
    <row r="642" ht="15" customHeight="1">
      <c r="A642" t="inlineStr">
        <is>
          <t>A 47721-2024</t>
        </is>
      </c>
      <c r="B642" s="1" t="n">
        <v>45588</v>
      </c>
      <c r="C642" s="1" t="n">
        <v>45935</v>
      </c>
      <c r="D642" t="inlineStr">
        <is>
          <t>JÄMTLANDS LÄN</t>
        </is>
      </c>
      <c r="E642" t="inlineStr">
        <is>
          <t>KROKOM</t>
        </is>
      </c>
      <c r="G642" t="n">
        <v>19.2</v>
      </c>
      <c r="H642" t="n">
        <v>0</v>
      </c>
      <c r="I642" t="n">
        <v>0</v>
      </c>
      <c r="J642" t="n">
        <v>0</v>
      </c>
      <c r="K642" t="n">
        <v>0</v>
      </c>
      <c r="L642" t="n">
        <v>0</v>
      </c>
      <c r="M642" t="n">
        <v>0</v>
      </c>
      <c r="N642" t="n">
        <v>0</v>
      </c>
      <c r="O642" t="n">
        <v>0</v>
      </c>
      <c r="P642" t="n">
        <v>0</v>
      </c>
      <c r="Q642" t="n">
        <v>0</v>
      </c>
      <c r="R642" s="2" t="inlineStr"/>
    </row>
    <row r="643" ht="15" customHeight="1">
      <c r="A643" t="inlineStr">
        <is>
          <t>A 65236-2023</t>
        </is>
      </c>
      <c r="B643" s="1" t="n">
        <v>45289</v>
      </c>
      <c r="C643" s="1" t="n">
        <v>45935</v>
      </c>
      <c r="D643" t="inlineStr">
        <is>
          <t>JÄMTLANDS LÄN</t>
        </is>
      </c>
      <c r="E643" t="inlineStr">
        <is>
          <t>KROKOM</t>
        </is>
      </c>
      <c r="G643" t="n">
        <v>0.1</v>
      </c>
      <c r="H643" t="n">
        <v>0</v>
      </c>
      <c r="I643" t="n">
        <v>0</v>
      </c>
      <c r="J643" t="n">
        <v>0</v>
      </c>
      <c r="K643" t="n">
        <v>0</v>
      </c>
      <c r="L643" t="n">
        <v>0</v>
      </c>
      <c r="M643" t="n">
        <v>0</v>
      </c>
      <c r="N643" t="n">
        <v>0</v>
      </c>
      <c r="O643" t="n">
        <v>0</v>
      </c>
      <c r="P643" t="n">
        <v>0</v>
      </c>
      <c r="Q643" t="n">
        <v>0</v>
      </c>
      <c r="R643" s="2" t="inlineStr"/>
    </row>
    <row r="644" ht="15" customHeight="1">
      <c r="A644" t="inlineStr">
        <is>
          <t>A 43932-2024</t>
        </is>
      </c>
      <c r="B644" s="1" t="n">
        <v>45572.45601851852</v>
      </c>
      <c r="C644" s="1" t="n">
        <v>45935</v>
      </c>
      <c r="D644" t="inlineStr">
        <is>
          <t>JÄMTLANDS LÄN</t>
        </is>
      </c>
      <c r="E644" t="inlineStr">
        <is>
          <t>KROKOM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22865-2022</t>
        </is>
      </c>
      <c r="B645" s="1" t="n">
        <v>44715.48863425926</v>
      </c>
      <c r="C645" s="1" t="n">
        <v>45935</v>
      </c>
      <c r="D645" t="inlineStr">
        <is>
          <t>JÄMTLANDS LÄN</t>
        </is>
      </c>
      <c r="E645" t="inlineStr">
        <is>
          <t>KROKOM</t>
        </is>
      </c>
      <c r="F645" t="inlineStr">
        <is>
          <t>Övriga Aktiebolag</t>
        </is>
      </c>
      <c r="G645" t="n">
        <v>1.7</v>
      </c>
      <c r="H645" t="n">
        <v>0</v>
      </c>
      <c r="I645" t="n">
        <v>0</v>
      </c>
      <c r="J645" t="n">
        <v>0</v>
      </c>
      <c r="K645" t="n">
        <v>0</v>
      </c>
      <c r="L645" t="n">
        <v>0</v>
      </c>
      <c r="M645" t="n">
        <v>0</v>
      </c>
      <c r="N645" t="n">
        <v>0</v>
      </c>
      <c r="O645" t="n">
        <v>0</v>
      </c>
      <c r="P645" t="n">
        <v>0</v>
      </c>
      <c r="Q645" t="n">
        <v>0</v>
      </c>
      <c r="R645" s="2" t="inlineStr"/>
    </row>
    <row r="646" ht="15" customHeight="1">
      <c r="A646" t="inlineStr">
        <is>
          <t>A 62739-2021</t>
        </is>
      </c>
      <c r="B646" s="1" t="n">
        <v>44504</v>
      </c>
      <c r="C646" s="1" t="n">
        <v>45935</v>
      </c>
      <c r="D646" t="inlineStr">
        <is>
          <t>JÄMTLANDS LÄN</t>
        </is>
      </c>
      <c r="E646" t="inlineStr">
        <is>
          <t>KROKOM</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17469-2024</t>
        </is>
      </c>
      <c r="B647" s="1" t="n">
        <v>45415.45006944444</v>
      </c>
      <c r="C647" s="1" t="n">
        <v>45935</v>
      </c>
      <c r="D647" t="inlineStr">
        <is>
          <t>JÄMTLANDS LÄN</t>
        </is>
      </c>
      <c r="E647" t="inlineStr">
        <is>
          <t>KROKOM</t>
        </is>
      </c>
      <c r="G647" t="n">
        <v>4.6</v>
      </c>
      <c r="H647" t="n">
        <v>0</v>
      </c>
      <c r="I647" t="n">
        <v>0</v>
      </c>
      <c r="J647" t="n">
        <v>0</v>
      </c>
      <c r="K647" t="n">
        <v>0</v>
      </c>
      <c r="L647" t="n">
        <v>0</v>
      </c>
      <c r="M647" t="n">
        <v>0</v>
      </c>
      <c r="N647" t="n">
        <v>0</v>
      </c>
      <c r="O647" t="n">
        <v>0</v>
      </c>
      <c r="P647" t="n">
        <v>0</v>
      </c>
      <c r="Q647" t="n">
        <v>0</v>
      </c>
      <c r="R647" s="2" t="inlineStr"/>
    </row>
    <row r="648" ht="15" customHeight="1">
      <c r="A648" t="inlineStr">
        <is>
          <t>A 5722-2023</t>
        </is>
      </c>
      <c r="B648" s="1" t="n">
        <v>44961</v>
      </c>
      <c r="C648" s="1" t="n">
        <v>45935</v>
      </c>
      <c r="D648" t="inlineStr">
        <is>
          <t>JÄMTLANDS LÄN</t>
        </is>
      </c>
      <c r="E648" t="inlineStr">
        <is>
          <t>KROKOM</t>
        </is>
      </c>
      <c r="G648" t="n">
        <v>12.3</v>
      </c>
      <c r="H648" t="n">
        <v>0</v>
      </c>
      <c r="I648" t="n">
        <v>0</v>
      </c>
      <c r="J648" t="n">
        <v>0</v>
      </c>
      <c r="K648" t="n">
        <v>0</v>
      </c>
      <c r="L648" t="n">
        <v>0</v>
      </c>
      <c r="M648" t="n">
        <v>0</v>
      </c>
      <c r="N648" t="n">
        <v>0</v>
      </c>
      <c r="O648" t="n">
        <v>0</v>
      </c>
      <c r="P648" t="n">
        <v>0</v>
      </c>
      <c r="Q648" t="n">
        <v>0</v>
      </c>
      <c r="R648" s="2" t="inlineStr"/>
    </row>
    <row r="649" ht="15" customHeight="1">
      <c r="A649" t="inlineStr">
        <is>
          <t>A 4369-2025</t>
        </is>
      </c>
      <c r="B649" s="1" t="n">
        <v>45686.35247685185</v>
      </c>
      <c r="C649" s="1" t="n">
        <v>45935</v>
      </c>
      <c r="D649" t="inlineStr">
        <is>
          <t>JÄMTLANDS LÄN</t>
        </is>
      </c>
      <c r="E649" t="inlineStr">
        <is>
          <t>KROKOM</t>
        </is>
      </c>
      <c r="F649" t="inlineStr">
        <is>
          <t>SCA</t>
        </is>
      </c>
      <c r="G649" t="n">
        <v>45.4</v>
      </c>
      <c r="H649" t="n">
        <v>0</v>
      </c>
      <c r="I649" t="n">
        <v>0</v>
      </c>
      <c r="J649" t="n">
        <v>0</v>
      </c>
      <c r="K649" t="n">
        <v>0</v>
      </c>
      <c r="L649" t="n">
        <v>0</v>
      </c>
      <c r="M649" t="n">
        <v>0</v>
      </c>
      <c r="N649" t="n">
        <v>0</v>
      </c>
      <c r="O649" t="n">
        <v>0</v>
      </c>
      <c r="P649" t="n">
        <v>0</v>
      </c>
      <c r="Q649" t="n">
        <v>0</v>
      </c>
      <c r="R649" s="2" t="inlineStr"/>
    </row>
    <row r="650" ht="15" customHeight="1">
      <c r="A650" t="inlineStr">
        <is>
          <t>A 280-2025</t>
        </is>
      </c>
      <c r="B650" s="1" t="n">
        <v>45660.49618055556</v>
      </c>
      <c r="C650" s="1" t="n">
        <v>45935</v>
      </c>
      <c r="D650" t="inlineStr">
        <is>
          <t>JÄMTLANDS LÄN</t>
        </is>
      </c>
      <c r="E650" t="inlineStr">
        <is>
          <t>KROKOM</t>
        </is>
      </c>
      <c r="G650" t="n">
        <v>2.1</v>
      </c>
      <c r="H650" t="n">
        <v>0</v>
      </c>
      <c r="I650" t="n">
        <v>0</v>
      </c>
      <c r="J650" t="n">
        <v>0</v>
      </c>
      <c r="K650" t="n">
        <v>0</v>
      </c>
      <c r="L650" t="n">
        <v>0</v>
      </c>
      <c r="M650" t="n">
        <v>0</v>
      </c>
      <c r="N650" t="n">
        <v>0</v>
      </c>
      <c r="O650" t="n">
        <v>0</v>
      </c>
      <c r="P650" t="n">
        <v>0</v>
      </c>
      <c r="Q650" t="n">
        <v>0</v>
      </c>
      <c r="R650" s="2" t="inlineStr"/>
    </row>
    <row r="651" ht="15" customHeight="1">
      <c r="A651" t="inlineStr">
        <is>
          <t>A 41700-2024</t>
        </is>
      </c>
      <c r="B651" s="1" t="n">
        <v>45560.69164351852</v>
      </c>
      <c r="C651" s="1" t="n">
        <v>45935</v>
      </c>
      <c r="D651" t="inlineStr">
        <is>
          <t>JÄMTLANDS LÄN</t>
        </is>
      </c>
      <c r="E651" t="inlineStr">
        <is>
          <t>KROKOM</t>
        </is>
      </c>
      <c r="G651" t="n">
        <v>2.2</v>
      </c>
      <c r="H651" t="n">
        <v>0</v>
      </c>
      <c r="I651" t="n">
        <v>0</v>
      </c>
      <c r="J651" t="n">
        <v>0</v>
      </c>
      <c r="K651" t="n">
        <v>0</v>
      </c>
      <c r="L651" t="n">
        <v>0</v>
      </c>
      <c r="M651" t="n">
        <v>0</v>
      </c>
      <c r="N651" t="n">
        <v>0</v>
      </c>
      <c r="O651" t="n">
        <v>0</v>
      </c>
      <c r="P651" t="n">
        <v>0</v>
      </c>
      <c r="Q651" t="n">
        <v>0</v>
      </c>
      <c r="R651" s="2" t="inlineStr"/>
    </row>
    <row r="652" ht="15" customHeight="1">
      <c r="A652" t="inlineStr">
        <is>
          <t>A 16247-2025</t>
        </is>
      </c>
      <c r="B652" s="1" t="n">
        <v>45749</v>
      </c>
      <c r="C652" s="1" t="n">
        <v>45935</v>
      </c>
      <c r="D652" t="inlineStr">
        <is>
          <t>JÄMTLANDS LÄN</t>
        </is>
      </c>
      <c r="E652" t="inlineStr">
        <is>
          <t>KROKOM</t>
        </is>
      </c>
      <c r="G652" t="n">
        <v>3.9</v>
      </c>
      <c r="H652" t="n">
        <v>0</v>
      </c>
      <c r="I652" t="n">
        <v>0</v>
      </c>
      <c r="J652" t="n">
        <v>0</v>
      </c>
      <c r="K652" t="n">
        <v>0</v>
      </c>
      <c r="L652" t="n">
        <v>0</v>
      </c>
      <c r="M652" t="n">
        <v>0</v>
      </c>
      <c r="N652" t="n">
        <v>0</v>
      </c>
      <c r="O652" t="n">
        <v>0</v>
      </c>
      <c r="P652" t="n">
        <v>0</v>
      </c>
      <c r="Q652" t="n">
        <v>0</v>
      </c>
      <c r="R652" s="2" t="inlineStr"/>
    </row>
    <row r="653" ht="15" customHeight="1">
      <c r="A653" t="inlineStr">
        <is>
          <t>A 19698-2024</t>
        </is>
      </c>
      <c r="B653" s="1" t="n">
        <v>45432.54027777778</v>
      </c>
      <c r="C653" s="1" t="n">
        <v>45935</v>
      </c>
      <c r="D653" t="inlineStr">
        <is>
          <t>JÄMTLANDS LÄN</t>
        </is>
      </c>
      <c r="E653" t="inlineStr">
        <is>
          <t>KROKOM</t>
        </is>
      </c>
      <c r="G653" t="n">
        <v>15.9</v>
      </c>
      <c r="H653" t="n">
        <v>0</v>
      </c>
      <c r="I653" t="n">
        <v>0</v>
      </c>
      <c r="J653" t="n">
        <v>0</v>
      </c>
      <c r="K653" t="n">
        <v>0</v>
      </c>
      <c r="L653" t="n">
        <v>0</v>
      </c>
      <c r="M653" t="n">
        <v>0</v>
      </c>
      <c r="N653" t="n">
        <v>0</v>
      </c>
      <c r="O653" t="n">
        <v>0</v>
      </c>
      <c r="P653" t="n">
        <v>0</v>
      </c>
      <c r="Q653" t="n">
        <v>0</v>
      </c>
      <c r="R653" s="2" t="inlineStr"/>
    </row>
    <row r="654" ht="15" customHeight="1">
      <c r="A654" t="inlineStr">
        <is>
          <t>A 61767-2024</t>
        </is>
      </c>
      <c r="B654" s="1" t="n">
        <v>45649.45143518518</v>
      </c>
      <c r="C654" s="1" t="n">
        <v>45935</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55043-2024</t>
        </is>
      </c>
      <c r="B655" s="1" t="n">
        <v>45621</v>
      </c>
      <c r="C655" s="1" t="n">
        <v>45935</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1877-2023</t>
        </is>
      </c>
      <c r="B656" s="1" t="n">
        <v>44938.93989583333</v>
      </c>
      <c r="C656" s="1" t="n">
        <v>45935</v>
      </c>
      <c r="D656" t="inlineStr">
        <is>
          <t>JÄMTLANDS LÄN</t>
        </is>
      </c>
      <c r="E656" t="inlineStr">
        <is>
          <t>KROKOM</t>
        </is>
      </c>
      <c r="G656" t="n">
        <v>11.1</v>
      </c>
      <c r="H656" t="n">
        <v>0</v>
      </c>
      <c r="I656" t="n">
        <v>0</v>
      </c>
      <c r="J656" t="n">
        <v>0</v>
      </c>
      <c r="K656" t="n">
        <v>0</v>
      </c>
      <c r="L656" t="n">
        <v>0</v>
      </c>
      <c r="M656" t="n">
        <v>0</v>
      </c>
      <c r="N656" t="n">
        <v>0</v>
      </c>
      <c r="O656" t="n">
        <v>0</v>
      </c>
      <c r="P656" t="n">
        <v>0</v>
      </c>
      <c r="Q656" t="n">
        <v>0</v>
      </c>
      <c r="R656" s="2" t="inlineStr"/>
    </row>
    <row r="657" ht="15" customHeight="1">
      <c r="A657" t="inlineStr">
        <is>
          <t>A 27729-2024</t>
        </is>
      </c>
      <c r="B657" s="1" t="n">
        <v>45475</v>
      </c>
      <c r="C657" s="1" t="n">
        <v>45935</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38789-2025</t>
        </is>
      </c>
      <c r="B658" s="1" t="n">
        <v>45887.44883101852</v>
      </c>
      <c r="C658" s="1" t="n">
        <v>45935</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22629-2022</t>
        </is>
      </c>
      <c r="B659" s="1" t="n">
        <v>44714.438125</v>
      </c>
      <c r="C659" s="1" t="n">
        <v>45935</v>
      </c>
      <c r="D659" t="inlineStr">
        <is>
          <t>JÄMTLANDS LÄN</t>
        </is>
      </c>
      <c r="E659" t="inlineStr">
        <is>
          <t>KROKOM</t>
        </is>
      </c>
      <c r="G659" t="n">
        <v>17.1</v>
      </c>
      <c r="H659" t="n">
        <v>0</v>
      </c>
      <c r="I659" t="n">
        <v>0</v>
      </c>
      <c r="J659" t="n">
        <v>0</v>
      </c>
      <c r="K659" t="n">
        <v>0</v>
      </c>
      <c r="L659" t="n">
        <v>0</v>
      </c>
      <c r="M659" t="n">
        <v>0</v>
      </c>
      <c r="N659" t="n">
        <v>0</v>
      </c>
      <c r="O659" t="n">
        <v>0</v>
      </c>
      <c r="P659" t="n">
        <v>0</v>
      </c>
      <c r="Q659" t="n">
        <v>0</v>
      </c>
      <c r="R659" s="2" t="inlineStr"/>
    </row>
    <row r="660" ht="15" customHeight="1">
      <c r="A660" t="inlineStr">
        <is>
          <t>A 1323-2025</t>
        </is>
      </c>
      <c r="B660" s="1" t="n">
        <v>45667.57217592592</v>
      </c>
      <c r="C660" s="1" t="n">
        <v>45935</v>
      </c>
      <c r="D660" t="inlineStr">
        <is>
          <t>JÄMTLANDS LÄN</t>
        </is>
      </c>
      <c r="E660" t="inlineStr">
        <is>
          <t>KROKOM</t>
        </is>
      </c>
      <c r="G660" t="n">
        <v>5.9</v>
      </c>
      <c r="H660" t="n">
        <v>0</v>
      </c>
      <c r="I660" t="n">
        <v>0</v>
      </c>
      <c r="J660" t="n">
        <v>0</v>
      </c>
      <c r="K660" t="n">
        <v>0</v>
      </c>
      <c r="L660" t="n">
        <v>0</v>
      </c>
      <c r="M660" t="n">
        <v>0</v>
      </c>
      <c r="N660" t="n">
        <v>0</v>
      </c>
      <c r="O660" t="n">
        <v>0</v>
      </c>
      <c r="P660" t="n">
        <v>0</v>
      </c>
      <c r="Q660" t="n">
        <v>0</v>
      </c>
      <c r="R660" s="2" t="inlineStr"/>
    </row>
    <row r="661" ht="15" customHeight="1">
      <c r="A661" t="inlineStr">
        <is>
          <t>A 35720-2024</t>
        </is>
      </c>
      <c r="B661" s="1" t="n">
        <v>45532.48732638889</v>
      </c>
      <c r="C661" s="1" t="n">
        <v>45935</v>
      </c>
      <c r="D661" t="inlineStr">
        <is>
          <t>JÄMTLANDS LÄN</t>
        </is>
      </c>
      <c r="E661" t="inlineStr">
        <is>
          <t>KROKOM</t>
        </is>
      </c>
      <c r="G661" t="n">
        <v>3.2</v>
      </c>
      <c r="H661" t="n">
        <v>0</v>
      </c>
      <c r="I661" t="n">
        <v>0</v>
      </c>
      <c r="J661" t="n">
        <v>0</v>
      </c>
      <c r="K661" t="n">
        <v>0</v>
      </c>
      <c r="L661" t="n">
        <v>0</v>
      </c>
      <c r="M661" t="n">
        <v>0</v>
      </c>
      <c r="N661" t="n">
        <v>0</v>
      </c>
      <c r="O661" t="n">
        <v>0</v>
      </c>
      <c r="P661" t="n">
        <v>0</v>
      </c>
      <c r="Q661" t="n">
        <v>0</v>
      </c>
      <c r="R661" s="2" t="inlineStr"/>
    </row>
    <row r="662" ht="15" customHeight="1">
      <c r="A662" t="inlineStr">
        <is>
          <t>A 52869-2023</t>
        </is>
      </c>
      <c r="B662" s="1" t="n">
        <v>45226</v>
      </c>
      <c r="C662" s="1" t="n">
        <v>45935</v>
      </c>
      <c r="D662" t="inlineStr">
        <is>
          <t>JÄMTLANDS LÄN</t>
        </is>
      </c>
      <c r="E662" t="inlineStr">
        <is>
          <t>KROKOM</t>
        </is>
      </c>
      <c r="G662" t="n">
        <v>0</v>
      </c>
      <c r="H662" t="n">
        <v>0</v>
      </c>
      <c r="I662" t="n">
        <v>0</v>
      </c>
      <c r="J662" t="n">
        <v>0</v>
      </c>
      <c r="K662" t="n">
        <v>0</v>
      </c>
      <c r="L662" t="n">
        <v>0</v>
      </c>
      <c r="M662" t="n">
        <v>0</v>
      </c>
      <c r="N662" t="n">
        <v>0</v>
      </c>
      <c r="O662" t="n">
        <v>0</v>
      </c>
      <c r="P662" t="n">
        <v>0</v>
      </c>
      <c r="Q662" t="n">
        <v>0</v>
      </c>
      <c r="R662" s="2" t="inlineStr"/>
    </row>
    <row r="663" ht="15" customHeight="1">
      <c r="A663" t="inlineStr">
        <is>
          <t>A 26414-2024</t>
        </is>
      </c>
      <c r="B663" s="1" t="n">
        <v>45469</v>
      </c>
      <c r="C663" s="1" t="n">
        <v>45935</v>
      </c>
      <c r="D663" t="inlineStr">
        <is>
          <t>JÄMTLANDS LÄN</t>
        </is>
      </c>
      <c r="E663" t="inlineStr">
        <is>
          <t>KROKOM</t>
        </is>
      </c>
      <c r="G663" t="n">
        <v>0.8</v>
      </c>
      <c r="H663" t="n">
        <v>0</v>
      </c>
      <c r="I663" t="n">
        <v>0</v>
      </c>
      <c r="J663" t="n">
        <v>0</v>
      </c>
      <c r="K663" t="n">
        <v>0</v>
      </c>
      <c r="L663" t="n">
        <v>0</v>
      </c>
      <c r="M663" t="n">
        <v>0</v>
      </c>
      <c r="N663" t="n">
        <v>0</v>
      </c>
      <c r="O663" t="n">
        <v>0</v>
      </c>
      <c r="P663" t="n">
        <v>0</v>
      </c>
      <c r="Q663" t="n">
        <v>0</v>
      </c>
      <c r="R663" s="2" t="inlineStr"/>
    </row>
    <row r="664" ht="15" customHeight="1">
      <c r="A664" t="inlineStr">
        <is>
          <t>A 46796-2025</t>
        </is>
      </c>
      <c r="B664" s="1" t="n">
        <v>45926.65686342592</v>
      </c>
      <c r="C664" s="1" t="n">
        <v>45935</v>
      </c>
      <c r="D664" t="inlineStr">
        <is>
          <t>JÄMTLANDS LÄN</t>
        </is>
      </c>
      <c r="E664" t="inlineStr">
        <is>
          <t>KROKOM</t>
        </is>
      </c>
      <c r="F664" t="inlineStr">
        <is>
          <t>SCA</t>
        </is>
      </c>
      <c r="G664" t="n">
        <v>10.1</v>
      </c>
      <c r="H664" t="n">
        <v>0</v>
      </c>
      <c r="I664" t="n">
        <v>0</v>
      </c>
      <c r="J664" t="n">
        <v>0</v>
      </c>
      <c r="K664" t="n">
        <v>0</v>
      </c>
      <c r="L664" t="n">
        <v>0</v>
      </c>
      <c r="M664" t="n">
        <v>0</v>
      </c>
      <c r="N664" t="n">
        <v>0</v>
      </c>
      <c r="O664" t="n">
        <v>0</v>
      </c>
      <c r="P664" t="n">
        <v>0</v>
      </c>
      <c r="Q664" t="n">
        <v>0</v>
      </c>
      <c r="R664" s="2" t="inlineStr"/>
    </row>
    <row r="665" ht="15" customHeight="1">
      <c r="A665" t="inlineStr">
        <is>
          <t>A 8880-2025</t>
        </is>
      </c>
      <c r="B665" s="1" t="n">
        <v>45713.38028935185</v>
      </c>
      <c r="C665" s="1" t="n">
        <v>45935</v>
      </c>
      <c r="D665" t="inlineStr">
        <is>
          <t>JÄMTLANDS LÄN</t>
        </is>
      </c>
      <c r="E665" t="inlineStr">
        <is>
          <t>KROKOM</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5680-2025</t>
        </is>
      </c>
      <c r="B666" s="1" t="n">
        <v>45694.34268518518</v>
      </c>
      <c r="C666" s="1" t="n">
        <v>45935</v>
      </c>
      <c r="D666" t="inlineStr">
        <is>
          <t>JÄMTLANDS LÄN</t>
        </is>
      </c>
      <c r="E666" t="inlineStr">
        <is>
          <t>KROKOM</t>
        </is>
      </c>
      <c r="F666" t="inlineStr">
        <is>
          <t>Övriga Aktiebolag</t>
        </is>
      </c>
      <c r="G666" t="n">
        <v>48.4</v>
      </c>
      <c r="H666" t="n">
        <v>0</v>
      </c>
      <c r="I666" t="n">
        <v>0</v>
      </c>
      <c r="J666" t="n">
        <v>0</v>
      </c>
      <c r="K666" t="n">
        <v>0</v>
      </c>
      <c r="L666" t="n">
        <v>0</v>
      </c>
      <c r="M666" t="n">
        <v>0</v>
      </c>
      <c r="N666" t="n">
        <v>0</v>
      </c>
      <c r="O666" t="n">
        <v>0</v>
      </c>
      <c r="P666" t="n">
        <v>0</v>
      </c>
      <c r="Q666" t="n">
        <v>0</v>
      </c>
      <c r="R666" s="2" t="inlineStr"/>
    </row>
    <row r="667" ht="15" customHeight="1">
      <c r="A667" t="inlineStr">
        <is>
          <t>A 14234-2025</t>
        </is>
      </c>
      <c r="B667" s="1" t="n">
        <v>45740.60405092593</v>
      </c>
      <c r="C667" s="1" t="n">
        <v>45935</v>
      </c>
      <c r="D667" t="inlineStr">
        <is>
          <t>JÄMTLANDS LÄN</t>
        </is>
      </c>
      <c r="E667" t="inlineStr">
        <is>
          <t>KROKOM</t>
        </is>
      </c>
      <c r="F667" t="inlineStr">
        <is>
          <t>Övriga statliga verk och myndigheter</t>
        </is>
      </c>
      <c r="G667" t="n">
        <v>1.5</v>
      </c>
      <c r="H667" t="n">
        <v>0</v>
      </c>
      <c r="I667" t="n">
        <v>0</v>
      </c>
      <c r="J667" t="n">
        <v>0</v>
      </c>
      <c r="K667" t="n">
        <v>0</v>
      </c>
      <c r="L667" t="n">
        <v>0</v>
      </c>
      <c r="M667" t="n">
        <v>0</v>
      </c>
      <c r="N667" t="n">
        <v>0</v>
      </c>
      <c r="O667" t="n">
        <v>0</v>
      </c>
      <c r="P667" t="n">
        <v>0</v>
      </c>
      <c r="Q667" t="n">
        <v>0</v>
      </c>
      <c r="R667" s="2" t="inlineStr"/>
    </row>
    <row r="668" ht="15" customHeight="1">
      <c r="A668" t="inlineStr">
        <is>
          <t>A 17888-2025</t>
        </is>
      </c>
      <c r="B668" s="1" t="n">
        <v>45758.67065972222</v>
      </c>
      <c r="C668" s="1" t="n">
        <v>45935</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56927-2023</t>
        </is>
      </c>
      <c r="B669" s="1" t="n">
        <v>45244</v>
      </c>
      <c r="C669" s="1" t="n">
        <v>45935</v>
      </c>
      <c r="D669" t="inlineStr">
        <is>
          <t>JÄMTLANDS LÄN</t>
        </is>
      </c>
      <c r="E669" t="inlineStr">
        <is>
          <t>KROKOM</t>
        </is>
      </c>
      <c r="G669" t="n">
        <v>14.1</v>
      </c>
      <c r="H669" t="n">
        <v>0</v>
      </c>
      <c r="I669" t="n">
        <v>0</v>
      </c>
      <c r="J669" t="n">
        <v>0</v>
      </c>
      <c r="K669" t="n">
        <v>0</v>
      </c>
      <c r="L669" t="n">
        <v>0</v>
      </c>
      <c r="M669" t="n">
        <v>0</v>
      </c>
      <c r="N669" t="n">
        <v>0</v>
      </c>
      <c r="O669" t="n">
        <v>0</v>
      </c>
      <c r="P669" t="n">
        <v>0</v>
      </c>
      <c r="Q669" t="n">
        <v>0</v>
      </c>
      <c r="R669" s="2" t="inlineStr"/>
    </row>
    <row r="670" ht="15" customHeight="1">
      <c r="A670" t="inlineStr">
        <is>
          <t>A 2782-2025</t>
        </is>
      </c>
      <c r="B670" s="1" t="n">
        <v>45676</v>
      </c>
      <c r="C670" s="1" t="n">
        <v>45935</v>
      </c>
      <c r="D670" t="inlineStr">
        <is>
          <t>JÄMTLANDS LÄN</t>
        </is>
      </c>
      <c r="E670" t="inlineStr">
        <is>
          <t>KROKOM</t>
        </is>
      </c>
      <c r="G670" t="n">
        <v>18.6</v>
      </c>
      <c r="H670" t="n">
        <v>0</v>
      </c>
      <c r="I670" t="n">
        <v>0</v>
      </c>
      <c r="J670" t="n">
        <v>0</v>
      </c>
      <c r="K670" t="n">
        <v>0</v>
      </c>
      <c r="L670" t="n">
        <v>0</v>
      </c>
      <c r="M670" t="n">
        <v>0</v>
      </c>
      <c r="N670" t="n">
        <v>0</v>
      </c>
      <c r="O670" t="n">
        <v>0</v>
      </c>
      <c r="P670" t="n">
        <v>0</v>
      </c>
      <c r="Q670" t="n">
        <v>0</v>
      </c>
      <c r="R670" s="2" t="inlineStr"/>
    </row>
    <row r="671" ht="15" customHeight="1">
      <c r="A671" t="inlineStr">
        <is>
          <t>A 22258-2024</t>
        </is>
      </c>
      <c r="B671" s="1" t="n">
        <v>45446.47634259259</v>
      </c>
      <c r="C671" s="1" t="n">
        <v>45935</v>
      </c>
      <c r="D671" t="inlineStr">
        <is>
          <t>JÄMTLANDS LÄN</t>
        </is>
      </c>
      <c r="E671" t="inlineStr">
        <is>
          <t>KROKOM</t>
        </is>
      </c>
      <c r="F671" t="inlineStr">
        <is>
          <t>Övriga Aktiebolag</t>
        </is>
      </c>
      <c r="G671" t="n">
        <v>2.2</v>
      </c>
      <c r="H671" t="n">
        <v>0</v>
      </c>
      <c r="I671" t="n">
        <v>0</v>
      </c>
      <c r="J671" t="n">
        <v>0</v>
      </c>
      <c r="K671" t="n">
        <v>0</v>
      </c>
      <c r="L671" t="n">
        <v>0</v>
      </c>
      <c r="M671" t="n">
        <v>0</v>
      </c>
      <c r="N671" t="n">
        <v>0</v>
      </c>
      <c r="O671" t="n">
        <v>0</v>
      </c>
      <c r="P671" t="n">
        <v>0</v>
      </c>
      <c r="Q671" t="n">
        <v>0</v>
      </c>
      <c r="R671" s="2" t="inlineStr"/>
    </row>
    <row r="672" ht="15" customHeight="1">
      <c r="A672" t="inlineStr">
        <is>
          <t>A 51060-2024</t>
        </is>
      </c>
      <c r="B672" s="1" t="n">
        <v>45603.44815972223</v>
      </c>
      <c r="C672" s="1" t="n">
        <v>45935</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32765-2023</t>
        </is>
      </c>
      <c r="B673" s="1" t="n">
        <v>45123.61459490741</v>
      </c>
      <c r="C673" s="1" t="n">
        <v>45935</v>
      </c>
      <c r="D673" t="inlineStr">
        <is>
          <t>JÄMTLANDS LÄN</t>
        </is>
      </c>
      <c r="E673" t="inlineStr">
        <is>
          <t>KROKOM</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50821-2024</t>
        </is>
      </c>
      <c r="B674" s="1" t="n">
        <v>45602</v>
      </c>
      <c r="C674" s="1" t="n">
        <v>45935</v>
      </c>
      <c r="D674" t="inlineStr">
        <is>
          <t>JÄMTLANDS LÄN</t>
        </is>
      </c>
      <c r="E674" t="inlineStr">
        <is>
          <t>KROKOM</t>
        </is>
      </c>
      <c r="G674" t="n">
        <v>15</v>
      </c>
      <c r="H674" t="n">
        <v>0</v>
      </c>
      <c r="I674" t="n">
        <v>0</v>
      </c>
      <c r="J674" t="n">
        <v>0</v>
      </c>
      <c r="K674" t="n">
        <v>0</v>
      </c>
      <c r="L674" t="n">
        <v>0</v>
      </c>
      <c r="M674" t="n">
        <v>0</v>
      </c>
      <c r="N674" t="n">
        <v>0</v>
      </c>
      <c r="O674" t="n">
        <v>0</v>
      </c>
      <c r="P674" t="n">
        <v>0</v>
      </c>
      <c r="Q674" t="n">
        <v>0</v>
      </c>
      <c r="R674" s="2" t="inlineStr"/>
    </row>
    <row r="675" ht="15" customHeight="1">
      <c r="A675" t="inlineStr">
        <is>
          <t>A 10532-2025</t>
        </is>
      </c>
      <c r="B675" s="1" t="n">
        <v>45721.4546412037</v>
      </c>
      <c r="C675" s="1" t="n">
        <v>45935</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4383-2025</t>
        </is>
      </c>
      <c r="B676" s="1" t="n">
        <v>45686.39777777778</v>
      </c>
      <c r="C676" s="1" t="n">
        <v>45935</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45935</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61742-2024</t>
        </is>
      </c>
      <c r="B678" s="1" t="n">
        <v>45649.38149305555</v>
      </c>
      <c r="C678" s="1" t="n">
        <v>45935</v>
      </c>
      <c r="D678" t="inlineStr">
        <is>
          <t>JÄMTLANDS LÄN</t>
        </is>
      </c>
      <c r="E678" t="inlineStr">
        <is>
          <t>KROKOM</t>
        </is>
      </c>
      <c r="G678" t="n">
        <v>13.3</v>
      </c>
      <c r="H678" t="n">
        <v>0</v>
      </c>
      <c r="I678" t="n">
        <v>0</v>
      </c>
      <c r="J678" t="n">
        <v>0</v>
      </c>
      <c r="K678" t="n">
        <v>0</v>
      </c>
      <c r="L678" t="n">
        <v>0</v>
      </c>
      <c r="M678" t="n">
        <v>0</v>
      </c>
      <c r="N678" t="n">
        <v>0</v>
      </c>
      <c r="O678" t="n">
        <v>0</v>
      </c>
      <c r="P678" t="n">
        <v>0</v>
      </c>
      <c r="Q678" t="n">
        <v>0</v>
      </c>
      <c r="R678" s="2" t="inlineStr"/>
    </row>
    <row r="679" ht="15" customHeight="1">
      <c r="A679" t="inlineStr">
        <is>
          <t>A 4355-2024</t>
        </is>
      </c>
      <c r="B679" s="1" t="n">
        <v>45324</v>
      </c>
      <c r="C679" s="1" t="n">
        <v>45935</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45935</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11197-2024</t>
        </is>
      </c>
      <c r="B681" s="1" t="n">
        <v>45371</v>
      </c>
      <c r="C681" s="1" t="n">
        <v>45935</v>
      </c>
      <c r="D681" t="inlineStr">
        <is>
          <t>JÄMTLANDS LÄN</t>
        </is>
      </c>
      <c r="E681" t="inlineStr">
        <is>
          <t>KROKOM</t>
        </is>
      </c>
      <c r="G681" t="n">
        <v>15.3</v>
      </c>
      <c r="H681" t="n">
        <v>0</v>
      </c>
      <c r="I681" t="n">
        <v>0</v>
      </c>
      <c r="J681" t="n">
        <v>0</v>
      </c>
      <c r="K681" t="n">
        <v>0</v>
      </c>
      <c r="L681" t="n">
        <v>0</v>
      </c>
      <c r="M681" t="n">
        <v>0</v>
      </c>
      <c r="N681" t="n">
        <v>0</v>
      </c>
      <c r="O681" t="n">
        <v>0</v>
      </c>
      <c r="P681" t="n">
        <v>0</v>
      </c>
      <c r="Q681" t="n">
        <v>0</v>
      </c>
      <c r="R681" s="2" t="inlineStr"/>
    </row>
    <row r="682" ht="15" customHeight="1">
      <c r="A682" t="inlineStr">
        <is>
          <t>A 46644-2022</t>
        </is>
      </c>
      <c r="B682" s="1" t="n">
        <v>44849.8044212963</v>
      </c>
      <c r="C682" s="1" t="n">
        <v>45935</v>
      </c>
      <c r="D682" t="inlineStr">
        <is>
          <t>JÄMTLANDS LÄN</t>
        </is>
      </c>
      <c r="E682" t="inlineStr">
        <is>
          <t>KROKOM</t>
        </is>
      </c>
      <c r="G682" t="n">
        <v>4.2</v>
      </c>
      <c r="H682" t="n">
        <v>0</v>
      </c>
      <c r="I682" t="n">
        <v>0</v>
      </c>
      <c r="J682" t="n">
        <v>0</v>
      </c>
      <c r="K682" t="n">
        <v>0</v>
      </c>
      <c r="L682" t="n">
        <v>0</v>
      </c>
      <c r="M682" t="n">
        <v>0</v>
      </c>
      <c r="N682" t="n">
        <v>0</v>
      </c>
      <c r="O682" t="n">
        <v>0</v>
      </c>
      <c r="P682" t="n">
        <v>0</v>
      </c>
      <c r="Q682" t="n">
        <v>0</v>
      </c>
      <c r="R682" s="2" t="inlineStr"/>
    </row>
    <row r="683" ht="15" customHeight="1">
      <c r="A683" t="inlineStr">
        <is>
          <t>A 38850-2025</t>
        </is>
      </c>
      <c r="B683" s="1" t="n">
        <v>45887.55252314815</v>
      </c>
      <c r="C683" s="1" t="n">
        <v>45935</v>
      </c>
      <c r="D683" t="inlineStr">
        <is>
          <t>JÄMTLANDS LÄN</t>
        </is>
      </c>
      <c r="E683" t="inlineStr">
        <is>
          <t>KROKOM</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36929-2024</t>
        </is>
      </c>
      <c r="B684" s="1" t="n">
        <v>45538.68200231482</v>
      </c>
      <c r="C684" s="1" t="n">
        <v>45935</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1477-2025</t>
        </is>
      </c>
      <c r="B685" s="1" t="n">
        <v>45670</v>
      </c>
      <c r="C685" s="1" t="n">
        <v>45935</v>
      </c>
      <c r="D685" t="inlineStr">
        <is>
          <t>JÄMTLANDS LÄN</t>
        </is>
      </c>
      <c r="E685" t="inlineStr">
        <is>
          <t>KROKOM</t>
        </is>
      </c>
      <c r="G685" t="n">
        <v>7.3</v>
      </c>
      <c r="H685" t="n">
        <v>0</v>
      </c>
      <c r="I685" t="n">
        <v>0</v>
      </c>
      <c r="J685" t="n">
        <v>0</v>
      </c>
      <c r="K685" t="n">
        <v>0</v>
      </c>
      <c r="L685" t="n">
        <v>0</v>
      </c>
      <c r="M685" t="n">
        <v>0</v>
      </c>
      <c r="N685" t="n">
        <v>0</v>
      </c>
      <c r="O685" t="n">
        <v>0</v>
      </c>
      <c r="P685" t="n">
        <v>0</v>
      </c>
      <c r="Q685" t="n">
        <v>0</v>
      </c>
      <c r="R685" s="2" t="inlineStr"/>
    </row>
    <row r="686" ht="15" customHeight="1">
      <c r="A686" t="inlineStr">
        <is>
          <t>A 40219-2024</t>
        </is>
      </c>
      <c r="B686" s="1" t="n">
        <v>45554.59538194445</v>
      </c>
      <c r="C686" s="1" t="n">
        <v>45935</v>
      </c>
      <c r="D686" t="inlineStr">
        <is>
          <t>JÄMTLANDS LÄN</t>
        </is>
      </c>
      <c r="E686" t="inlineStr">
        <is>
          <t>KROKOM</t>
        </is>
      </c>
      <c r="G686" t="n">
        <v>3.7</v>
      </c>
      <c r="H686" t="n">
        <v>0</v>
      </c>
      <c r="I686" t="n">
        <v>0</v>
      </c>
      <c r="J686" t="n">
        <v>0</v>
      </c>
      <c r="K686" t="n">
        <v>0</v>
      </c>
      <c r="L686" t="n">
        <v>0</v>
      </c>
      <c r="M686" t="n">
        <v>0</v>
      </c>
      <c r="N686" t="n">
        <v>0</v>
      </c>
      <c r="O686" t="n">
        <v>0</v>
      </c>
      <c r="P686" t="n">
        <v>0</v>
      </c>
      <c r="Q686" t="n">
        <v>0</v>
      </c>
      <c r="R686" s="2" t="inlineStr"/>
    </row>
    <row r="687" ht="15" customHeight="1">
      <c r="A687" t="inlineStr">
        <is>
          <t>A 44154-2024</t>
        </is>
      </c>
      <c r="B687" s="1" t="n">
        <v>45572</v>
      </c>
      <c r="C687" s="1" t="n">
        <v>45935</v>
      </c>
      <c r="D687" t="inlineStr">
        <is>
          <t>JÄMTLANDS LÄN</t>
        </is>
      </c>
      <c r="E687" t="inlineStr">
        <is>
          <t>KROKOM</t>
        </is>
      </c>
      <c r="F687" t="inlineStr">
        <is>
          <t>SCA</t>
        </is>
      </c>
      <c r="G687" t="n">
        <v>28.9</v>
      </c>
      <c r="H687" t="n">
        <v>0</v>
      </c>
      <c r="I687" t="n">
        <v>0</v>
      </c>
      <c r="J687" t="n">
        <v>0</v>
      </c>
      <c r="K687" t="n">
        <v>0</v>
      </c>
      <c r="L687" t="n">
        <v>0</v>
      </c>
      <c r="M687" t="n">
        <v>0</v>
      </c>
      <c r="N687" t="n">
        <v>0</v>
      </c>
      <c r="O687" t="n">
        <v>0</v>
      </c>
      <c r="P687" t="n">
        <v>0</v>
      </c>
      <c r="Q687" t="n">
        <v>0</v>
      </c>
      <c r="R687" s="2" t="inlineStr"/>
    </row>
    <row r="688" ht="15" customHeight="1">
      <c r="A688" t="inlineStr">
        <is>
          <t>A 16199-2025</t>
        </is>
      </c>
      <c r="B688" s="1" t="n">
        <v>45750.60577546297</v>
      </c>
      <c r="C688" s="1" t="n">
        <v>45935</v>
      </c>
      <c r="D688" t="inlineStr">
        <is>
          <t>JÄMTLANDS LÄN</t>
        </is>
      </c>
      <c r="E688" t="inlineStr">
        <is>
          <t>KROKOM</t>
        </is>
      </c>
      <c r="G688" t="n">
        <v>0.5</v>
      </c>
      <c r="H688" t="n">
        <v>0</v>
      </c>
      <c r="I688" t="n">
        <v>0</v>
      </c>
      <c r="J688" t="n">
        <v>0</v>
      </c>
      <c r="K688" t="n">
        <v>0</v>
      </c>
      <c r="L688" t="n">
        <v>0</v>
      </c>
      <c r="M688" t="n">
        <v>0</v>
      </c>
      <c r="N688" t="n">
        <v>0</v>
      </c>
      <c r="O688" t="n">
        <v>0</v>
      </c>
      <c r="P688" t="n">
        <v>0</v>
      </c>
      <c r="Q688" t="n">
        <v>0</v>
      </c>
      <c r="R688" s="2" t="inlineStr"/>
    </row>
    <row r="689" ht="15" customHeight="1">
      <c r="A689" t="inlineStr">
        <is>
          <t>A 42369-2021</t>
        </is>
      </c>
      <c r="B689" s="1" t="n">
        <v>44427</v>
      </c>
      <c r="C689" s="1" t="n">
        <v>45935</v>
      </c>
      <c r="D689" t="inlineStr">
        <is>
          <t>JÄMTLANDS LÄN</t>
        </is>
      </c>
      <c r="E689" t="inlineStr">
        <is>
          <t>KROKOM</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55831-2024</t>
        </is>
      </c>
      <c r="B690" s="1" t="n">
        <v>45623.48571759259</v>
      </c>
      <c r="C690" s="1" t="n">
        <v>45935</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39271-2025</t>
        </is>
      </c>
      <c r="B691" s="1" t="n">
        <v>45889.38626157407</v>
      </c>
      <c r="C691" s="1" t="n">
        <v>45935</v>
      </c>
      <c r="D691" t="inlineStr">
        <is>
          <t>JÄMTLANDS LÄN</t>
        </is>
      </c>
      <c r="E691" t="inlineStr">
        <is>
          <t>KROKOM</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47435-2025</t>
        </is>
      </c>
      <c r="B692" s="1" t="n">
        <v>45930.63673611111</v>
      </c>
      <c r="C692" s="1" t="n">
        <v>45935</v>
      </c>
      <c r="D692" t="inlineStr">
        <is>
          <t>JÄMTLANDS LÄN</t>
        </is>
      </c>
      <c r="E692" t="inlineStr">
        <is>
          <t>KROKOM</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47438-2025</t>
        </is>
      </c>
      <c r="B693" s="1" t="n">
        <v>45930.63726851852</v>
      </c>
      <c r="C693" s="1" t="n">
        <v>45935</v>
      </c>
      <c r="D693" t="inlineStr">
        <is>
          <t>JÄMTLANDS LÄN</t>
        </is>
      </c>
      <c r="E693" t="inlineStr">
        <is>
          <t>KROKOM</t>
        </is>
      </c>
      <c r="F693" t="inlineStr">
        <is>
          <t>SCA</t>
        </is>
      </c>
      <c r="G693" t="n">
        <v>35.4</v>
      </c>
      <c r="H693" t="n">
        <v>0</v>
      </c>
      <c r="I693" t="n">
        <v>0</v>
      </c>
      <c r="J693" t="n">
        <v>0</v>
      </c>
      <c r="K693" t="n">
        <v>0</v>
      </c>
      <c r="L693" t="n">
        <v>0</v>
      </c>
      <c r="M693" t="n">
        <v>0</v>
      </c>
      <c r="N693" t="n">
        <v>0</v>
      </c>
      <c r="O693" t="n">
        <v>0</v>
      </c>
      <c r="P693" t="n">
        <v>0</v>
      </c>
      <c r="Q693" t="n">
        <v>0</v>
      </c>
      <c r="R693" s="2" t="inlineStr"/>
    </row>
    <row r="694" ht="15" customHeight="1">
      <c r="A694" t="inlineStr">
        <is>
          <t>A 63532-2023</t>
        </is>
      </c>
      <c r="B694" s="1" t="n">
        <v>45274</v>
      </c>
      <c r="C694" s="1" t="n">
        <v>45935</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60102-2023</t>
        </is>
      </c>
      <c r="B695" s="1" t="n">
        <v>45257</v>
      </c>
      <c r="C695" s="1" t="n">
        <v>45935</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41675-2024</t>
        </is>
      </c>
      <c r="B696" s="1" t="n">
        <v>45560.6599537037</v>
      </c>
      <c r="C696" s="1" t="n">
        <v>45935</v>
      </c>
      <c r="D696" t="inlineStr">
        <is>
          <t>JÄMTLANDS LÄN</t>
        </is>
      </c>
      <c r="E696" t="inlineStr">
        <is>
          <t>KROKOM</t>
        </is>
      </c>
      <c r="G696" t="n">
        <v>7</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45935</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c r="U697">
        <f>HYPERLINK("https://klasma.github.io/Logging_2309/knärot/A 11591-2022 karta knärot.png", "A 11591-2022")</f>
        <v/>
      </c>
      <c r="V697">
        <f>HYPERLINK("https://klasma.github.io/Logging_2309/klagomål/A 11591-2022 FSC-klagomål.docx", "A 11591-2022")</f>
        <v/>
      </c>
      <c r="W697">
        <f>HYPERLINK("https://klasma.github.io/Logging_2309/klagomålsmail/A 11591-2022 FSC-klagomål mail.docx", "A 11591-2022")</f>
        <v/>
      </c>
      <c r="X697">
        <f>HYPERLINK("https://klasma.github.io/Logging_2309/tillsyn/A 11591-2022 tillsynsbegäran.docx", "A 11591-2022")</f>
        <v/>
      </c>
      <c r="Y697">
        <f>HYPERLINK("https://klasma.github.io/Logging_2309/tillsynsmail/A 11591-2022 tillsynsbegäran mail.docx", "A 11591-2022")</f>
        <v/>
      </c>
    </row>
    <row r="698" ht="15" customHeight="1">
      <c r="A698" t="inlineStr">
        <is>
          <t>A 20174-2025</t>
        </is>
      </c>
      <c r="B698" s="1" t="n">
        <v>45772.58283564815</v>
      </c>
      <c r="C698" s="1" t="n">
        <v>45935</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20181-2025</t>
        </is>
      </c>
      <c r="B699" s="1" t="n">
        <v>45772.59200231481</v>
      </c>
      <c r="C699" s="1" t="n">
        <v>45935</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20210-2025</t>
        </is>
      </c>
      <c r="B700" s="1" t="n">
        <v>45772.62052083333</v>
      </c>
      <c r="C700" s="1" t="n">
        <v>45935</v>
      </c>
      <c r="D700" t="inlineStr">
        <is>
          <t>JÄMTLANDS LÄN</t>
        </is>
      </c>
      <c r="E700" t="inlineStr">
        <is>
          <t>KROKOM</t>
        </is>
      </c>
      <c r="G700" t="n">
        <v>12.3</v>
      </c>
      <c r="H700" t="n">
        <v>0</v>
      </c>
      <c r="I700" t="n">
        <v>0</v>
      </c>
      <c r="J700" t="n">
        <v>0</v>
      </c>
      <c r="K700" t="n">
        <v>0</v>
      </c>
      <c r="L700" t="n">
        <v>0</v>
      </c>
      <c r="M700" t="n">
        <v>0</v>
      </c>
      <c r="N700" t="n">
        <v>0</v>
      </c>
      <c r="O700" t="n">
        <v>0</v>
      </c>
      <c r="P700" t="n">
        <v>0</v>
      </c>
      <c r="Q700" t="n">
        <v>0</v>
      </c>
      <c r="R700" s="2" t="inlineStr"/>
    </row>
    <row r="701" ht="15" customHeight="1">
      <c r="A701" t="inlineStr">
        <is>
          <t>A 15231-2022</t>
        </is>
      </c>
      <c r="B701" s="1" t="n">
        <v>44658</v>
      </c>
      <c r="C701" s="1" t="n">
        <v>45935</v>
      </c>
      <c r="D701" t="inlineStr">
        <is>
          <t>JÄMTLANDS LÄN</t>
        </is>
      </c>
      <c r="E701" t="inlineStr">
        <is>
          <t>KROKOM</t>
        </is>
      </c>
      <c r="G701" t="n">
        <v>5.7</v>
      </c>
      <c r="H701" t="n">
        <v>0</v>
      </c>
      <c r="I701" t="n">
        <v>0</v>
      </c>
      <c r="J701" t="n">
        <v>0</v>
      </c>
      <c r="K701" t="n">
        <v>0</v>
      </c>
      <c r="L701" t="n">
        <v>0</v>
      </c>
      <c r="M701" t="n">
        <v>0</v>
      </c>
      <c r="N701" t="n">
        <v>0</v>
      </c>
      <c r="O701" t="n">
        <v>0</v>
      </c>
      <c r="P701" t="n">
        <v>0</v>
      </c>
      <c r="Q701" t="n">
        <v>0</v>
      </c>
      <c r="R701" s="2" t="inlineStr"/>
    </row>
    <row r="702" ht="15" customHeight="1">
      <c r="A702" t="inlineStr">
        <is>
          <t>A 11243-2025</t>
        </is>
      </c>
      <c r="B702" s="1" t="n">
        <v>45726.37850694444</v>
      </c>
      <c r="C702" s="1" t="n">
        <v>45935</v>
      </c>
      <c r="D702" t="inlineStr">
        <is>
          <t>JÄMTLANDS LÄN</t>
        </is>
      </c>
      <c r="E702" t="inlineStr">
        <is>
          <t>KROKOM</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32676-2023</t>
        </is>
      </c>
      <c r="B703" s="1" t="n">
        <v>45121</v>
      </c>
      <c r="C703" s="1" t="n">
        <v>45935</v>
      </c>
      <c r="D703" t="inlineStr">
        <is>
          <t>JÄMTLANDS LÄN</t>
        </is>
      </c>
      <c r="E703" t="inlineStr">
        <is>
          <t>KROKOM</t>
        </is>
      </c>
      <c r="F703" t="inlineStr">
        <is>
          <t>Övriga Aktiebolag</t>
        </is>
      </c>
      <c r="G703" t="n">
        <v>7.1</v>
      </c>
      <c r="H703" t="n">
        <v>0</v>
      </c>
      <c r="I703" t="n">
        <v>0</v>
      </c>
      <c r="J703" t="n">
        <v>0</v>
      </c>
      <c r="K703" t="n">
        <v>0</v>
      </c>
      <c r="L703" t="n">
        <v>0</v>
      </c>
      <c r="M703" t="n">
        <v>0</v>
      </c>
      <c r="N703" t="n">
        <v>0</v>
      </c>
      <c r="O703" t="n">
        <v>0</v>
      </c>
      <c r="P703" t="n">
        <v>0</v>
      </c>
      <c r="Q703" t="n">
        <v>0</v>
      </c>
      <c r="R703" s="2" t="inlineStr"/>
    </row>
    <row r="704" ht="15" customHeight="1">
      <c r="A704" t="inlineStr">
        <is>
          <t>A 16548-2025</t>
        </is>
      </c>
      <c r="B704" s="1" t="n">
        <v>45751.6877662037</v>
      </c>
      <c r="C704" s="1" t="n">
        <v>45935</v>
      </c>
      <c r="D704" t="inlineStr">
        <is>
          <t>JÄMTLANDS LÄN</t>
        </is>
      </c>
      <c r="E704" t="inlineStr">
        <is>
          <t>KROKOM</t>
        </is>
      </c>
      <c r="F704" t="inlineStr">
        <is>
          <t>Övriga Aktiebolag</t>
        </is>
      </c>
      <c r="G704" t="n">
        <v>10.9</v>
      </c>
      <c r="H704" t="n">
        <v>0</v>
      </c>
      <c r="I704" t="n">
        <v>0</v>
      </c>
      <c r="J704" t="n">
        <v>0</v>
      </c>
      <c r="K704" t="n">
        <v>0</v>
      </c>
      <c r="L704" t="n">
        <v>0</v>
      </c>
      <c r="M704" t="n">
        <v>0</v>
      </c>
      <c r="N704" t="n">
        <v>0</v>
      </c>
      <c r="O704" t="n">
        <v>0</v>
      </c>
      <c r="P704" t="n">
        <v>0</v>
      </c>
      <c r="Q704" t="n">
        <v>0</v>
      </c>
      <c r="R704" s="2" t="inlineStr"/>
    </row>
    <row r="705" ht="15" customHeight="1">
      <c r="A705" t="inlineStr">
        <is>
          <t>A 16545-2024</t>
        </is>
      </c>
      <c r="B705" s="1" t="n">
        <v>45408</v>
      </c>
      <c r="C705" s="1" t="n">
        <v>45935</v>
      </c>
      <c r="D705" t="inlineStr">
        <is>
          <t>JÄMTLANDS LÄN</t>
        </is>
      </c>
      <c r="E705" t="inlineStr">
        <is>
          <t>KROKOM</t>
        </is>
      </c>
      <c r="G705" t="n">
        <v>46.1</v>
      </c>
      <c r="H705" t="n">
        <v>0</v>
      </c>
      <c r="I705" t="n">
        <v>0</v>
      </c>
      <c r="J705" t="n">
        <v>0</v>
      </c>
      <c r="K705" t="n">
        <v>0</v>
      </c>
      <c r="L705" t="n">
        <v>0</v>
      </c>
      <c r="M705" t="n">
        <v>0</v>
      </c>
      <c r="N705" t="n">
        <v>0</v>
      </c>
      <c r="O705" t="n">
        <v>0</v>
      </c>
      <c r="P705" t="n">
        <v>0</v>
      </c>
      <c r="Q705" t="n">
        <v>0</v>
      </c>
      <c r="R705" s="2" t="inlineStr"/>
    </row>
    <row r="706" ht="15" customHeight="1">
      <c r="A706" t="inlineStr">
        <is>
          <t>A 19635-2024</t>
        </is>
      </c>
      <c r="B706" s="1" t="n">
        <v>45432.36971064815</v>
      </c>
      <c r="C706" s="1" t="n">
        <v>45935</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54043-2023</t>
        </is>
      </c>
      <c r="B707" s="1" t="n">
        <v>45231</v>
      </c>
      <c r="C707" s="1" t="n">
        <v>45935</v>
      </c>
      <c r="D707" t="inlineStr">
        <is>
          <t>JÄMTLANDS LÄN</t>
        </is>
      </c>
      <c r="E707" t="inlineStr">
        <is>
          <t>KROKOM</t>
        </is>
      </c>
      <c r="F707" t="inlineStr">
        <is>
          <t>SCA</t>
        </is>
      </c>
      <c r="G707" t="n">
        <v>6.5</v>
      </c>
      <c r="H707" t="n">
        <v>0</v>
      </c>
      <c r="I707" t="n">
        <v>0</v>
      </c>
      <c r="J707" t="n">
        <v>0</v>
      </c>
      <c r="K707" t="n">
        <v>0</v>
      </c>
      <c r="L707" t="n">
        <v>0</v>
      </c>
      <c r="M707" t="n">
        <v>0</v>
      </c>
      <c r="N707" t="n">
        <v>0</v>
      </c>
      <c r="O707" t="n">
        <v>0</v>
      </c>
      <c r="P707" t="n">
        <v>0</v>
      </c>
      <c r="Q707" t="n">
        <v>0</v>
      </c>
      <c r="R707" s="2" t="inlineStr"/>
    </row>
    <row r="708" ht="15" customHeight="1">
      <c r="A708" t="inlineStr">
        <is>
          <t>A 44453-2023</t>
        </is>
      </c>
      <c r="B708" s="1" t="n">
        <v>45189</v>
      </c>
      <c r="C708" s="1" t="n">
        <v>45935</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9025-2025</t>
        </is>
      </c>
      <c r="B709" s="1" t="n">
        <v>45713.59952546296</v>
      </c>
      <c r="C709" s="1" t="n">
        <v>45935</v>
      </c>
      <c r="D709" t="inlineStr">
        <is>
          <t>JÄMTLANDS LÄN</t>
        </is>
      </c>
      <c r="E709" t="inlineStr">
        <is>
          <t>KROKOM</t>
        </is>
      </c>
      <c r="F709" t="inlineStr">
        <is>
          <t>Övriga Aktiebolag</t>
        </is>
      </c>
      <c r="G709" t="n">
        <v>28.4</v>
      </c>
      <c r="H709" t="n">
        <v>0</v>
      </c>
      <c r="I709" t="n">
        <v>0</v>
      </c>
      <c r="J709" t="n">
        <v>0</v>
      </c>
      <c r="K709" t="n">
        <v>0</v>
      </c>
      <c r="L709" t="n">
        <v>0</v>
      </c>
      <c r="M709" t="n">
        <v>0</v>
      </c>
      <c r="N709" t="n">
        <v>0</v>
      </c>
      <c r="O709" t="n">
        <v>0</v>
      </c>
      <c r="P709" t="n">
        <v>0</v>
      </c>
      <c r="Q709" t="n">
        <v>0</v>
      </c>
      <c r="R709" s="2" t="inlineStr"/>
    </row>
    <row r="710" ht="15" customHeight="1">
      <c r="A710" t="inlineStr">
        <is>
          <t>A 5920-2025</t>
        </is>
      </c>
      <c r="B710" s="1" t="n">
        <v>45695.42418981482</v>
      </c>
      <c r="C710" s="1" t="n">
        <v>45935</v>
      </c>
      <c r="D710" t="inlineStr">
        <is>
          <t>JÄMTLANDS LÄN</t>
        </is>
      </c>
      <c r="E710" t="inlineStr">
        <is>
          <t>KROKOM</t>
        </is>
      </c>
      <c r="F710" t="inlineStr">
        <is>
          <t>Övriga Aktiebolag</t>
        </is>
      </c>
      <c r="G710" t="n">
        <v>6.8</v>
      </c>
      <c r="H710" t="n">
        <v>0</v>
      </c>
      <c r="I710" t="n">
        <v>0</v>
      </c>
      <c r="J710" t="n">
        <v>0</v>
      </c>
      <c r="K710" t="n">
        <v>0</v>
      </c>
      <c r="L710" t="n">
        <v>0</v>
      </c>
      <c r="M710" t="n">
        <v>0</v>
      </c>
      <c r="N710" t="n">
        <v>0</v>
      </c>
      <c r="O710" t="n">
        <v>0</v>
      </c>
      <c r="P710" t="n">
        <v>0</v>
      </c>
      <c r="Q710" t="n">
        <v>0</v>
      </c>
      <c r="R710" s="2" t="inlineStr"/>
    </row>
    <row r="711" ht="15" customHeight="1">
      <c r="A711" t="inlineStr">
        <is>
          <t>A 5558-2025</t>
        </is>
      </c>
      <c r="B711" s="1" t="n">
        <v>45693.48239583334</v>
      </c>
      <c r="C711" s="1" t="n">
        <v>45935</v>
      </c>
      <c r="D711" t="inlineStr">
        <is>
          <t>JÄMTLANDS LÄN</t>
        </is>
      </c>
      <c r="E711" t="inlineStr">
        <is>
          <t>KROKOM</t>
        </is>
      </c>
      <c r="G711" t="n">
        <v>31.1</v>
      </c>
      <c r="H711" t="n">
        <v>0</v>
      </c>
      <c r="I711" t="n">
        <v>0</v>
      </c>
      <c r="J711" t="n">
        <v>0</v>
      </c>
      <c r="K711" t="n">
        <v>0</v>
      </c>
      <c r="L711" t="n">
        <v>0</v>
      </c>
      <c r="M711" t="n">
        <v>0</v>
      </c>
      <c r="N711" t="n">
        <v>0</v>
      </c>
      <c r="O711" t="n">
        <v>0</v>
      </c>
      <c r="P711" t="n">
        <v>0</v>
      </c>
      <c r="Q711" t="n">
        <v>0</v>
      </c>
      <c r="R711" s="2" t="inlineStr"/>
    </row>
    <row r="712" ht="15" customHeight="1">
      <c r="A712" t="inlineStr">
        <is>
          <t>A 9027-2025</t>
        </is>
      </c>
      <c r="B712" s="1" t="n">
        <v>45713.60719907407</v>
      </c>
      <c r="C712" s="1" t="n">
        <v>45935</v>
      </c>
      <c r="D712" t="inlineStr">
        <is>
          <t>JÄMTLANDS LÄN</t>
        </is>
      </c>
      <c r="E712" t="inlineStr">
        <is>
          <t>KROKOM</t>
        </is>
      </c>
      <c r="F712" t="inlineStr">
        <is>
          <t>Övriga Aktiebolag</t>
        </is>
      </c>
      <c r="G712" t="n">
        <v>5.4</v>
      </c>
      <c r="H712" t="n">
        <v>0</v>
      </c>
      <c r="I712" t="n">
        <v>0</v>
      </c>
      <c r="J712" t="n">
        <v>0</v>
      </c>
      <c r="K712" t="n">
        <v>0</v>
      </c>
      <c r="L712" t="n">
        <v>0</v>
      </c>
      <c r="M712" t="n">
        <v>0</v>
      </c>
      <c r="N712" t="n">
        <v>0</v>
      </c>
      <c r="O712" t="n">
        <v>0</v>
      </c>
      <c r="P712" t="n">
        <v>0</v>
      </c>
      <c r="Q712" t="n">
        <v>0</v>
      </c>
      <c r="R712" s="2" t="inlineStr"/>
    </row>
    <row r="713" ht="15" customHeight="1">
      <c r="A713" t="inlineStr">
        <is>
          <t>A 13249-2024</t>
        </is>
      </c>
      <c r="B713" s="1" t="n">
        <v>45386</v>
      </c>
      <c r="C713" s="1" t="n">
        <v>45935</v>
      </c>
      <c r="D713" t="inlineStr">
        <is>
          <t>JÄMTLANDS LÄN</t>
        </is>
      </c>
      <c r="E713" t="inlineStr">
        <is>
          <t>KROKOM</t>
        </is>
      </c>
      <c r="G713" t="n">
        <v>2.4</v>
      </c>
      <c r="H713" t="n">
        <v>0</v>
      </c>
      <c r="I713" t="n">
        <v>0</v>
      </c>
      <c r="J713" t="n">
        <v>0</v>
      </c>
      <c r="K713" t="n">
        <v>0</v>
      </c>
      <c r="L713" t="n">
        <v>0</v>
      </c>
      <c r="M713" t="n">
        <v>0</v>
      </c>
      <c r="N713" t="n">
        <v>0</v>
      </c>
      <c r="O713" t="n">
        <v>0</v>
      </c>
      <c r="P713" t="n">
        <v>0</v>
      </c>
      <c r="Q713" t="n">
        <v>0</v>
      </c>
      <c r="R713" s="2" t="inlineStr"/>
    </row>
    <row r="714" ht="15" customHeight="1">
      <c r="A714" t="inlineStr">
        <is>
          <t>A 57259-2023</t>
        </is>
      </c>
      <c r="B714" s="1" t="n">
        <v>45245</v>
      </c>
      <c r="C714" s="1" t="n">
        <v>45935</v>
      </c>
      <c r="D714" t="inlineStr">
        <is>
          <t>JÄMTLANDS LÄN</t>
        </is>
      </c>
      <c r="E714" t="inlineStr">
        <is>
          <t>KROKOM</t>
        </is>
      </c>
      <c r="G714" t="n">
        <v>9.6</v>
      </c>
      <c r="H714" t="n">
        <v>0</v>
      </c>
      <c r="I714" t="n">
        <v>0</v>
      </c>
      <c r="J714" t="n">
        <v>0</v>
      </c>
      <c r="K714" t="n">
        <v>0</v>
      </c>
      <c r="L714" t="n">
        <v>0</v>
      </c>
      <c r="M714" t="n">
        <v>0</v>
      </c>
      <c r="N714" t="n">
        <v>0</v>
      </c>
      <c r="O714" t="n">
        <v>0</v>
      </c>
      <c r="P714" t="n">
        <v>0</v>
      </c>
      <c r="Q714" t="n">
        <v>0</v>
      </c>
      <c r="R714" s="2" t="inlineStr"/>
    </row>
    <row r="715" ht="15" customHeight="1">
      <c r="A715" t="inlineStr">
        <is>
          <t>A 20735-2023</t>
        </is>
      </c>
      <c r="B715" s="1" t="n">
        <v>45055</v>
      </c>
      <c r="C715" s="1" t="n">
        <v>45935</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57575-2024</t>
        </is>
      </c>
      <c r="B716" s="1" t="n">
        <v>45630.47099537037</v>
      </c>
      <c r="C716" s="1" t="n">
        <v>45935</v>
      </c>
      <c r="D716" t="inlineStr">
        <is>
          <t>JÄMTLANDS LÄN</t>
        </is>
      </c>
      <c r="E716" t="inlineStr">
        <is>
          <t>KROKOM</t>
        </is>
      </c>
      <c r="G716" t="n">
        <v>1.6</v>
      </c>
      <c r="H716" t="n">
        <v>0</v>
      </c>
      <c r="I716" t="n">
        <v>0</v>
      </c>
      <c r="J716" t="n">
        <v>0</v>
      </c>
      <c r="K716" t="n">
        <v>0</v>
      </c>
      <c r="L716" t="n">
        <v>0</v>
      </c>
      <c r="M716" t="n">
        <v>0</v>
      </c>
      <c r="N716" t="n">
        <v>0</v>
      </c>
      <c r="O716" t="n">
        <v>0</v>
      </c>
      <c r="P716" t="n">
        <v>0</v>
      </c>
      <c r="Q716" t="n">
        <v>0</v>
      </c>
      <c r="R716" s="2" t="inlineStr"/>
    </row>
    <row r="717" ht="15" customHeight="1">
      <c r="A717" t="inlineStr">
        <is>
          <t>A 1852-2025</t>
        </is>
      </c>
      <c r="B717" s="1" t="n">
        <v>45671.59114583334</v>
      </c>
      <c r="C717" s="1" t="n">
        <v>45935</v>
      </c>
      <c r="D717" t="inlineStr">
        <is>
          <t>JÄMTLANDS LÄN</t>
        </is>
      </c>
      <c r="E717" t="inlineStr">
        <is>
          <t>KROKOM</t>
        </is>
      </c>
      <c r="G717" t="n">
        <v>6.8</v>
      </c>
      <c r="H717" t="n">
        <v>0</v>
      </c>
      <c r="I717" t="n">
        <v>0</v>
      </c>
      <c r="J717" t="n">
        <v>0</v>
      </c>
      <c r="K717" t="n">
        <v>0</v>
      </c>
      <c r="L717" t="n">
        <v>0</v>
      </c>
      <c r="M717" t="n">
        <v>0</v>
      </c>
      <c r="N717" t="n">
        <v>0</v>
      </c>
      <c r="O717" t="n">
        <v>0</v>
      </c>
      <c r="P717" t="n">
        <v>0</v>
      </c>
      <c r="Q717" t="n">
        <v>0</v>
      </c>
      <c r="R717" s="2" t="inlineStr"/>
    </row>
    <row r="718" ht="15" customHeight="1">
      <c r="A718" t="inlineStr">
        <is>
          <t>A 42372-2023</t>
        </is>
      </c>
      <c r="B718" s="1" t="n">
        <v>45180</v>
      </c>
      <c r="C718" s="1" t="n">
        <v>45935</v>
      </c>
      <c r="D718" t="inlineStr">
        <is>
          <t>JÄMTLANDS LÄN</t>
        </is>
      </c>
      <c r="E718" t="inlineStr">
        <is>
          <t>KROKOM</t>
        </is>
      </c>
      <c r="F718" t="inlineStr">
        <is>
          <t>Övriga Aktiebolag</t>
        </is>
      </c>
      <c r="G718" t="n">
        <v>0.2</v>
      </c>
      <c r="H718" t="n">
        <v>0</v>
      </c>
      <c r="I718" t="n">
        <v>0</v>
      </c>
      <c r="J718" t="n">
        <v>0</v>
      </c>
      <c r="K718" t="n">
        <v>0</v>
      </c>
      <c r="L718" t="n">
        <v>0</v>
      </c>
      <c r="M718" t="n">
        <v>0</v>
      </c>
      <c r="N718" t="n">
        <v>0</v>
      </c>
      <c r="O718" t="n">
        <v>0</v>
      </c>
      <c r="P718" t="n">
        <v>0</v>
      </c>
      <c r="Q718" t="n">
        <v>0</v>
      </c>
      <c r="R718" s="2" t="inlineStr"/>
    </row>
    <row r="719" ht="15" customHeight="1">
      <c r="A719" t="inlineStr">
        <is>
          <t>A 39205-2025</t>
        </is>
      </c>
      <c r="B719" s="1" t="n">
        <v>45888.72445601852</v>
      </c>
      <c r="C719" s="1" t="n">
        <v>45935</v>
      </c>
      <c r="D719" t="inlineStr">
        <is>
          <t>JÄMTLANDS LÄN</t>
        </is>
      </c>
      <c r="E719" t="inlineStr">
        <is>
          <t>KROKOM</t>
        </is>
      </c>
      <c r="F719" t="inlineStr">
        <is>
          <t>Kyrkan</t>
        </is>
      </c>
      <c r="G719" t="n">
        <v>20.6</v>
      </c>
      <c r="H719" t="n">
        <v>0</v>
      </c>
      <c r="I719" t="n">
        <v>0</v>
      </c>
      <c r="J719" t="n">
        <v>0</v>
      </c>
      <c r="K719" t="n">
        <v>0</v>
      </c>
      <c r="L719" t="n">
        <v>0</v>
      </c>
      <c r="M719" t="n">
        <v>0</v>
      </c>
      <c r="N719" t="n">
        <v>0</v>
      </c>
      <c r="O719" t="n">
        <v>0</v>
      </c>
      <c r="P719" t="n">
        <v>0</v>
      </c>
      <c r="Q719" t="n">
        <v>0</v>
      </c>
      <c r="R719" s="2" t="inlineStr"/>
    </row>
    <row r="720" ht="15" customHeight="1">
      <c r="A720" t="inlineStr">
        <is>
          <t>A 29379-2024</t>
        </is>
      </c>
      <c r="B720" s="1" t="n">
        <v>45483</v>
      </c>
      <c r="C720" s="1" t="n">
        <v>45935</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47517-2025</t>
        </is>
      </c>
      <c r="B721" s="1" t="n">
        <v>45931.28456018519</v>
      </c>
      <c r="C721" s="1" t="n">
        <v>45935</v>
      </c>
      <c r="D721" t="inlineStr">
        <is>
          <t>JÄMTLANDS LÄN</t>
        </is>
      </c>
      <c r="E721" t="inlineStr">
        <is>
          <t>KROKOM</t>
        </is>
      </c>
      <c r="F721" t="inlineStr">
        <is>
          <t>Övriga Aktiebolag</t>
        </is>
      </c>
      <c r="G721" t="n">
        <v>18.4</v>
      </c>
      <c r="H721" t="n">
        <v>0</v>
      </c>
      <c r="I721" t="n">
        <v>0</v>
      </c>
      <c r="J721" t="n">
        <v>0</v>
      </c>
      <c r="K721" t="n">
        <v>0</v>
      </c>
      <c r="L721" t="n">
        <v>0</v>
      </c>
      <c r="M721" t="n">
        <v>0</v>
      </c>
      <c r="N721" t="n">
        <v>0</v>
      </c>
      <c r="O721" t="n">
        <v>0</v>
      </c>
      <c r="P721" t="n">
        <v>0</v>
      </c>
      <c r="Q721" t="n">
        <v>0</v>
      </c>
      <c r="R721" s="2" t="inlineStr"/>
    </row>
    <row r="722" ht="15" customHeight="1">
      <c r="A722" t="inlineStr">
        <is>
          <t>A 59620-2024</t>
        </is>
      </c>
      <c r="B722" s="1" t="n">
        <v>45638.81385416666</v>
      </c>
      <c r="C722" s="1" t="n">
        <v>45935</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10588-2025</t>
        </is>
      </c>
      <c r="B723" s="1" t="n">
        <v>45721.55653935186</v>
      </c>
      <c r="C723" s="1" t="n">
        <v>45935</v>
      </c>
      <c r="D723" t="inlineStr">
        <is>
          <t>JÄMTLANDS LÄN</t>
        </is>
      </c>
      <c r="E723" t="inlineStr">
        <is>
          <t>KROKOM</t>
        </is>
      </c>
      <c r="G723" t="n">
        <v>1</v>
      </c>
      <c r="H723" t="n">
        <v>0</v>
      </c>
      <c r="I723" t="n">
        <v>0</v>
      </c>
      <c r="J723" t="n">
        <v>0</v>
      </c>
      <c r="K723" t="n">
        <v>0</v>
      </c>
      <c r="L723" t="n">
        <v>0</v>
      </c>
      <c r="M723" t="n">
        <v>0</v>
      </c>
      <c r="N723" t="n">
        <v>0</v>
      </c>
      <c r="O723" t="n">
        <v>0</v>
      </c>
      <c r="P723" t="n">
        <v>0</v>
      </c>
      <c r="Q723" t="n">
        <v>0</v>
      </c>
      <c r="R723" s="2" t="inlineStr"/>
    </row>
    <row r="724" ht="15" customHeight="1">
      <c r="A724" t="inlineStr">
        <is>
          <t>A 17840-2025</t>
        </is>
      </c>
      <c r="B724" s="1" t="n">
        <v>45758.58943287037</v>
      </c>
      <c r="C724" s="1" t="n">
        <v>45935</v>
      </c>
      <c r="D724" t="inlineStr">
        <is>
          <t>JÄMTLANDS LÄN</t>
        </is>
      </c>
      <c r="E724" t="inlineStr">
        <is>
          <t>KROKOM</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45935</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39265-2025</t>
        </is>
      </c>
      <c r="B726" s="1" t="n">
        <v>45889.37520833333</v>
      </c>
      <c r="C726" s="1" t="n">
        <v>45935</v>
      </c>
      <c r="D726" t="inlineStr">
        <is>
          <t>JÄMTLANDS LÄN</t>
        </is>
      </c>
      <c r="E726" t="inlineStr">
        <is>
          <t>KROKOM</t>
        </is>
      </c>
      <c r="F726" t="inlineStr">
        <is>
          <t>Övriga Aktiebolag</t>
        </is>
      </c>
      <c r="G726" t="n">
        <v>3.9</v>
      </c>
      <c r="H726" t="n">
        <v>0</v>
      </c>
      <c r="I726" t="n">
        <v>0</v>
      </c>
      <c r="J726" t="n">
        <v>0</v>
      </c>
      <c r="K726" t="n">
        <v>0</v>
      </c>
      <c r="L726" t="n">
        <v>0</v>
      </c>
      <c r="M726" t="n">
        <v>0</v>
      </c>
      <c r="N726" t="n">
        <v>0</v>
      </c>
      <c r="O726" t="n">
        <v>0</v>
      </c>
      <c r="P726" t="n">
        <v>0</v>
      </c>
      <c r="Q726" t="n">
        <v>0</v>
      </c>
      <c r="R726" s="2" t="inlineStr"/>
    </row>
    <row r="727" ht="15" customHeight="1">
      <c r="A727" t="inlineStr">
        <is>
          <t>A 36272-2024</t>
        </is>
      </c>
      <c r="B727" s="1" t="n">
        <v>45534.57745370371</v>
      </c>
      <c r="C727" s="1" t="n">
        <v>45935</v>
      </c>
      <c r="D727" t="inlineStr">
        <is>
          <t>JÄMTLANDS LÄN</t>
        </is>
      </c>
      <c r="E727" t="inlineStr">
        <is>
          <t>KROKOM</t>
        </is>
      </c>
      <c r="F727" t="inlineStr">
        <is>
          <t>Övriga Aktiebolag</t>
        </is>
      </c>
      <c r="G727" t="n">
        <v>11.1</v>
      </c>
      <c r="H727" t="n">
        <v>0</v>
      </c>
      <c r="I727" t="n">
        <v>0</v>
      </c>
      <c r="J727" t="n">
        <v>0</v>
      </c>
      <c r="K727" t="n">
        <v>0</v>
      </c>
      <c r="L727" t="n">
        <v>0</v>
      </c>
      <c r="M727" t="n">
        <v>0</v>
      </c>
      <c r="N727" t="n">
        <v>0</v>
      </c>
      <c r="O727" t="n">
        <v>0</v>
      </c>
      <c r="P727" t="n">
        <v>0</v>
      </c>
      <c r="Q727" t="n">
        <v>0</v>
      </c>
      <c r="R727" s="2" t="inlineStr"/>
    </row>
    <row r="728" ht="15" customHeight="1">
      <c r="A728" t="inlineStr">
        <is>
          <t>A 7079-2025</t>
        </is>
      </c>
      <c r="B728" s="1" t="n">
        <v>45701</v>
      </c>
      <c r="C728" s="1" t="n">
        <v>45935</v>
      </c>
      <c r="D728" t="inlineStr">
        <is>
          <t>JÄMTLANDS LÄN</t>
        </is>
      </c>
      <c r="E728" t="inlineStr">
        <is>
          <t>KROKOM</t>
        </is>
      </c>
      <c r="F728" t="inlineStr">
        <is>
          <t>SCA</t>
        </is>
      </c>
      <c r="G728" t="n">
        <v>7.4</v>
      </c>
      <c r="H728" t="n">
        <v>0</v>
      </c>
      <c r="I728" t="n">
        <v>0</v>
      </c>
      <c r="J728" t="n">
        <v>0</v>
      </c>
      <c r="K728" t="n">
        <v>0</v>
      </c>
      <c r="L728" t="n">
        <v>0</v>
      </c>
      <c r="M728" t="n">
        <v>0</v>
      </c>
      <c r="N728" t="n">
        <v>0</v>
      </c>
      <c r="O728" t="n">
        <v>0</v>
      </c>
      <c r="P728" t="n">
        <v>0</v>
      </c>
      <c r="Q728" t="n">
        <v>0</v>
      </c>
      <c r="R728" s="2" t="inlineStr"/>
    </row>
    <row r="729" ht="15" customHeight="1">
      <c r="A729" t="inlineStr">
        <is>
          <t>A 39206-2025</t>
        </is>
      </c>
      <c r="B729" s="1" t="n">
        <v>45888.72766203704</v>
      </c>
      <c r="C729" s="1" t="n">
        <v>45935</v>
      </c>
      <c r="D729" t="inlineStr">
        <is>
          <t>JÄMTLANDS LÄN</t>
        </is>
      </c>
      <c r="E729" t="inlineStr">
        <is>
          <t>KROKOM</t>
        </is>
      </c>
      <c r="F729" t="inlineStr">
        <is>
          <t>Kyrkan</t>
        </is>
      </c>
      <c r="G729" t="n">
        <v>4.7</v>
      </c>
      <c r="H729" t="n">
        <v>0</v>
      </c>
      <c r="I729" t="n">
        <v>0</v>
      </c>
      <c r="J729" t="n">
        <v>0</v>
      </c>
      <c r="K729" t="n">
        <v>0</v>
      </c>
      <c r="L729" t="n">
        <v>0</v>
      </c>
      <c r="M729" t="n">
        <v>0</v>
      </c>
      <c r="N729" t="n">
        <v>0</v>
      </c>
      <c r="O729" t="n">
        <v>0</v>
      </c>
      <c r="P729" t="n">
        <v>0</v>
      </c>
      <c r="Q729" t="n">
        <v>0</v>
      </c>
      <c r="R729" s="2" t="inlineStr"/>
    </row>
    <row r="730" ht="15" customHeight="1">
      <c r="A730" t="inlineStr">
        <is>
          <t>A 23215-2024</t>
        </is>
      </c>
      <c r="B730" s="1" t="n">
        <v>45452.56446759259</v>
      </c>
      <c r="C730" s="1" t="n">
        <v>45935</v>
      </c>
      <c r="D730" t="inlineStr">
        <is>
          <t>JÄMTLANDS LÄN</t>
        </is>
      </c>
      <c r="E730" t="inlineStr">
        <is>
          <t>KROKOM</t>
        </is>
      </c>
      <c r="F730" t="inlineStr">
        <is>
          <t>Övriga Aktiebolag</t>
        </is>
      </c>
      <c r="G730" t="n">
        <v>0.4</v>
      </c>
      <c r="H730" t="n">
        <v>0</v>
      </c>
      <c r="I730" t="n">
        <v>0</v>
      </c>
      <c r="J730" t="n">
        <v>0</v>
      </c>
      <c r="K730" t="n">
        <v>0</v>
      </c>
      <c r="L730" t="n">
        <v>0</v>
      </c>
      <c r="M730" t="n">
        <v>0</v>
      </c>
      <c r="N730" t="n">
        <v>0</v>
      </c>
      <c r="O730" t="n">
        <v>0</v>
      </c>
      <c r="P730" t="n">
        <v>0</v>
      </c>
      <c r="Q730" t="n">
        <v>0</v>
      </c>
      <c r="R730" s="2" t="inlineStr"/>
    </row>
    <row r="731" ht="15" customHeight="1">
      <c r="A731" t="inlineStr">
        <is>
          <t>A 50391-2024</t>
        </is>
      </c>
      <c r="B731" s="1" t="n">
        <v>45601.33743055556</v>
      </c>
      <c r="C731" s="1" t="n">
        <v>45935</v>
      </c>
      <c r="D731" t="inlineStr">
        <is>
          <t>JÄMTLANDS LÄN</t>
        </is>
      </c>
      <c r="E731" t="inlineStr">
        <is>
          <t>KROKOM</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10552-2025</t>
        </is>
      </c>
      <c r="B732" s="1" t="n">
        <v>45721.5113425926</v>
      </c>
      <c r="C732" s="1" t="n">
        <v>45935</v>
      </c>
      <c r="D732" t="inlineStr">
        <is>
          <t>JÄMTLANDS LÄN</t>
        </is>
      </c>
      <c r="E732" t="inlineStr">
        <is>
          <t>KROKOM</t>
        </is>
      </c>
      <c r="G732" t="n">
        <v>0.9</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44483.42253472222</v>
      </c>
      <c r="C733" s="1" t="n">
        <v>45935</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47462-2025</t>
        </is>
      </c>
      <c r="B734" s="1" t="n">
        <v>45930.66175925926</v>
      </c>
      <c r="C734" s="1" t="n">
        <v>45935</v>
      </c>
      <c r="D734" t="inlineStr">
        <is>
          <t>JÄMTLANDS LÄN</t>
        </is>
      </c>
      <c r="E734" t="inlineStr">
        <is>
          <t>KROKOM</t>
        </is>
      </c>
      <c r="F734" t="inlineStr">
        <is>
          <t>Övriga Aktiebolag</t>
        </is>
      </c>
      <c r="G734" t="n">
        <v>8.9</v>
      </c>
      <c r="H734" t="n">
        <v>0</v>
      </c>
      <c r="I734" t="n">
        <v>0</v>
      </c>
      <c r="J734" t="n">
        <v>0</v>
      </c>
      <c r="K734" t="n">
        <v>0</v>
      </c>
      <c r="L734" t="n">
        <v>0</v>
      </c>
      <c r="M734" t="n">
        <v>0</v>
      </c>
      <c r="N734" t="n">
        <v>0</v>
      </c>
      <c r="O734" t="n">
        <v>0</v>
      </c>
      <c r="P734" t="n">
        <v>0</v>
      </c>
      <c r="Q734" t="n">
        <v>0</v>
      </c>
      <c r="R734" s="2" t="inlineStr"/>
    </row>
    <row r="735" ht="15" customHeight="1">
      <c r="A735" t="inlineStr">
        <is>
          <t>A 41784-2023</t>
        </is>
      </c>
      <c r="B735" s="1" t="n">
        <v>45176</v>
      </c>
      <c r="C735" s="1" t="n">
        <v>45935</v>
      </c>
      <c r="D735" t="inlineStr">
        <is>
          <t>JÄMTLANDS LÄN</t>
        </is>
      </c>
      <c r="E735" t="inlineStr">
        <is>
          <t>KROKOM</t>
        </is>
      </c>
      <c r="F735" t="inlineStr">
        <is>
          <t>Övriga Aktiebolag</t>
        </is>
      </c>
      <c r="G735" t="n">
        <v>3.1</v>
      </c>
      <c r="H735" t="n">
        <v>0</v>
      </c>
      <c r="I735" t="n">
        <v>0</v>
      </c>
      <c r="J735" t="n">
        <v>0</v>
      </c>
      <c r="K735" t="n">
        <v>0</v>
      </c>
      <c r="L735" t="n">
        <v>0</v>
      </c>
      <c r="M735" t="n">
        <v>0</v>
      </c>
      <c r="N735" t="n">
        <v>0</v>
      </c>
      <c r="O735" t="n">
        <v>0</v>
      </c>
      <c r="P735" t="n">
        <v>0</v>
      </c>
      <c r="Q735" t="n">
        <v>0</v>
      </c>
      <c r="R735" s="2" t="inlineStr"/>
    </row>
    <row r="736" ht="15" customHeight="1">
      <c r="A736" t="inlineStr">
        <is>
          <t>A 23601-2021</t>
        </is>
      </c>
      <c r="B736" s="1" t="n">
        <v>44334</v>
      </c>
      <c r="C736" s="1" t="n">
        <v>45935</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46061-2023</t>
        </is>
      </c>
      <c r="B737" s="1" t="n">
        <v>45190</v>
      </c>
      <c r="C737" s="1" t="n">
        <v>45935</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18826-2023</t>
        </is>
      </c>
      <c r="B738" s="1" t="n">
        <v>45042</v>
      </c>
      <c r="C738" s="1" t="n">
        <v>45935</v>
      </c>
      <c r="D738" t="inlineStr">
        <is>
          <t>JÄMTLANDS LÄN</t>
        </is>
      </c>
      <c r="E738" t="inlineStr">
        <is>
          <t>KROKOM</t>
        </is>
      </c>
      <c r="G738" t="n">
        <v>17.1</v>
      </c>
      <c r="H738" t="n">
        <v>0</v>
      </c>
      <c r="I738" t="n">
        <v>0</v>
      </c>
      <c r="J738" t="n">
        <v>0</v>
      </c>
      <c r="K738" t="n">
        <v>0</v>
      </c>
      <c r="L738" t="n">
        <v>0</v>
      </c>
      <c r="M738" t="n">
        <v>0</v>
      </c>
      <c r="N738" t="n">
        <v>0</v>
      </c>
      <c r="O738" t="n">
        <v>0</v>
      </c>
      <c r="P738" t="n">
        <v>0</v>
      </c>
      <c r="Q738" t="n">
        <v>0</v>
      </c>
      <c r="R738" s="2" t="inlineStr"/>
    </row>
    <row r="739" ht="15" customHeight="1">
      <c r="A739" t="inlineStr">
        <is>
          <t>A 42369-2023</t>
        </is>
      </c>
      <c r="B739" s="1" t="n">
        <v>45180</v>
      </c>
      <c r="C739" s="1" t="n">
        <v>45935</v>
      </c>
      <c r="D739" t="inlineStr">
        <is>
          <t>JÄMTLANDS LÄN</t>
        </is>
      </c>
      <c r="E739" t="inlineStr">
        <is>
          <t>KROKOM</t>
        </is>
      </c>
      <c r="F739" t="inlineStr">
        <is>
          <t>Övriga Aktiebolag</t>
        </is>
      </c>
      <c r="G739" t="n">
        <v>0.2</v>
      </c>
      <c r="H739" t="n">
        <v>0</v>
      </c>
      <c r="I739" t="n">
        <v>0</v>
      </c>
      <c r="J739" t="n">
        <v>0</v>
      </c>
      <c r="K739" t="n">
        <v>0</v>
      </c>
      <c r="L739" t="n">
        <v>0</v>
      </c>
      <c r="M739" t="n">
        <v>0</v>
      </c>
      <c r="N739" t="n">
        <v>0</v>
      </c>
      <c r="O739" t="n">
        <v>0</v>
      </c>
      <c r="P739" t="n">
        <v>0</v>
      </c>
      <c r="Q739" t="n">
        <v>0</v>
      </c>
      <c r="R739" s="2" t="inlineStr"/>
    </row>
    <row r="740" ht="15" customHeight="1">
      <c r="A740" t="inlineStr">
        <is>
          <t>A 54817-2024</t>
        </is>
      </c>
      <c r="B740" s="1" t="n">
        <v>45618.53126157408</v>
      </c>
      <c r="C740" s="1" t="n">
        <v>45935</v>
      </c>
      <c r="D740" t="inlineStr">
        <is>
          <t>JÄMTLANDS LÄN</t>
        </is>
      </c>
      <c r="E740" t="inlineStr">
        <is>
          <t>KROKOM</t>
        </is>
      </c>
      <c r="G740" t="n">
        <v>8.4</v>
      </c>
      <c r="H740" t="n">
        <v>0</v>
      </c>
      <c r="I740" t="n">
        <v>0</v>
      </c>
      <c r="J740" t="n">
        <v>0</v>
      </c>
      <c r="K740" t="n">
        <v>0</v>
      </c>
      <c r="L740" t="n">
        <v>0</v>
      </c>
      <c r="M740" t="n">
        <v>0</v>
      </c>
      <c r="N740" t="n">
        <v>0</v>
      </c>
      <c r="O740" t="n">
        <v>0</v>
      </c>
      <c r="P740" t="n">
        <v>0</v>
      </c>
      <c r="Q740" t="n">
        <v>0</v>
      </c>
      <c r="R740" s="2" t="inlineStr"/>
    </row>
    <row r="741" ht="15" customHeight="1">
      <c r="A741" t="inlineStr">
        <is>
          <t>A 54823-2024</t>
        </is>
      </c>
      <c r="B741" s="1" t="n">
        <v>45618.53633101852</v>
      </c>
      <c r="C741" s="1" t="n">
        <v>45935</v>
      </c>
      <c r="D741" t="inlineStr">
        <is>
          <t>JÄMTLANDS LÄN</t>
        </is>
      </c>
      <c r="E741" t="inlineStr">
        <is>
          <t>KROKOM</t>
        </is>
      </c>
      <c r="G741" t="n">
        <v>4</v>
      </c>
      <c r="H741" t="n">
        <v>0</v>
      </c>
      <c r="I741" t="n">
        <v>0</v>
      </c>
      <c r="J741" t="n">
        <v>0</v>
      </c>
      <c r="K741" t="n">
        <v>0</v>
      </c>
      <c r="L741" t="n">
        <v>0</v>
      </c>
      <c r="M741" t="n">
        <v>0</v>
      </c>
      <c r="N741" t="n">
        <v>0</v>
      </c>
      <c r="O741" t="n">
        <v>0</v>
      </c>
      <c r="P741" t="n">
        <v>0</v>
      </c>
      <c r="Q741" t="n">
        <v>0</v>
      </c>
      <c r="R741" s="2" t="inlineStr"/>
    </row>
    <row r="742" ht="15" customHeight="1">
      <c r="A742" t="inlineStr">
        <is>
          <t>A 15663-2025</t>
        </is>
      </c>
      <c r="B742" s="1" t="n">
        <v>45748</v>
      </c>
      <c r="C742" s="1" t="n">
        <v>45935</v>
      </c>
      <c r="D742" t="inlineStr">
        <is>
          <t>JÄMTLANDS LÄN</t>
        </is>
      </c>
      <c r="E742" t="inlineStr">
        <is>
          <t>KROKOM</t>
        </is>
      </c>
      <c r="F742" t="inlineStr">
        <is>
          <t>Övriga Aktiebolag</t>
        </is>
      </c>
      <c r="G742" t="n">
        <v>11.5</v>
      </c>
      <c r="H742" t="n">
        <v>0</v>
      </c>
      <c r="I742" t="n">
        <v>0</v>
      </c>
      <c r="J742" t="n">
        <v>0</v>
      </c>
      <c r="K742" t="n">
        <v>0</v>
      </c>
      <c r="L742" t="n">
        <v>0</v>
      </c>
      <c r="M742" t="n">
        <v>0</v>
      </c>
      <c r="N742" t="n">
        <v>0</v>
      </c>
      <c r="O742" t="n">
        <v>0</v>
      </c>
      <c r="P742" t="n">
        <v>0</v>
      </c>
      <c r="Q742" t="n">
        <v>0</v>
      </c>
      <c r="R742" s="2" t="inlineStr"/>
    </row>
    <row r="743" ht="15" customHeight="1">
      <c r="A743" t="inlineStr">
        <is>
          <t>A 30158-2022</t>
        </is>
      </c>
      <c r="B743" s="1" t="n">
        <v>44757</v>
      </c>
      <c r="C743" s="1" t="n">
        <v>45935</v>
      </c>
      <c r="D743" t="inlineStr">
        <is>
          <t>JÄMTLANDS LÄN</t>
        </is>
      </c>
      <c r="E743" t="inlineStr">
        <is>
          <t>KROKOM</t>
        </is>
      </c>
      <c r="F743" t="inlineStr">
        <is>
          <t>SCA</t>
        </is>
      </c>
      <c r="G743" t="n">
        <v>9.6</v>
      </c>
      <c r="H743" t="n">
        <v>0</v>
      </c>
      <c r="I743" t="n">
        <v>0</v>
      </c>
      <c r="J743" t="n">
        <v>0</v>
      </c>
      <c r="K743" t="n">
        <v>0</v>
      </c>
      <c r="L743" t="n">
        <v>0</v>
      </c>
      <c r="M743" t="n">
        <v>0</v>
      </c>
      <c r="N743" t="n">
        <v>0</v>
      </c>
      <c r="O743" t="n">
        <v>0</v>
      </c>
      <c r="P743" t="n">
        <v>0</v>
      </c>
      <c r="Q743" t="n">
        <v>0</v>
      </c>
      <c r="R743" s="2" t="inlineStr"/>
    </row>
    <row r="744" ht="15" customHeight="1">
      <c r="A744" t="inlineStr">
        <is>
          <t>A 27224-2024</t>
        </is>
      </c>
      <c r="B744" s="1" t="n">
        <v>45471.63390046296</v>
      </c>
      <c r="C744" s="1" t="n">
        <v>45935</v>
      </c>
      <c r="D744" t="inlineStr">
        <is>
          <t>JÄMTLANDS LÄN</t>
        </is>
      </c>
      <c r="E744" t="inlineStr">
        <is>
          <t>KROKOM</t>
        </is>
      </c>
      <c r="G744" t="n">
        <v>5.4</v>
      </c>
      <c r="H744" t="n">
        <v>0</v>
      </c>
      <c r="I744" t="n">
        <v>0</v>
      </c>
      <c r="J744" t="n">
        <v>0</v>
      </c>
      <c r="K744" t="n">
        <v>0</v>
      </c>
      <c r="L744" t="n">
        <v>0</v>
      </c>
      <c r="M744" t="n">
        <v>0</v>
      </c>
      <c r="N744" t="n">
        <v>0</v>
      </c>
      <c r="O744" t="n">
        <v>0</v>
      </c>
      <c r="P744" t="n">
        <v>0</v>
      </c>
      <c r="Q744" t="n">
        <v>0</v>
      </c>
      <c r="R744" s="2" t="inlineStr"/>
    </row>
    <row r="745" ht="15" customHeight="1">
      <c r="A745" t="inlineStr">
        <is>
          <t>A 49875-2024</t>
        </is>
      </c>
      <c r="B745" s="1" t="n">
        <v>45597.49638888889</v>
      </c>
      <c r="C745" s="1" t="n">
        <v>45935</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59668-2022</t>
        </is>
      </c>
      <c r="B746" s="1" t="n">
        <v>44908</v>
      </c>
      <c r="C746" s="1" t="n">
        <v>45935</v>
      </c>
      <c r="D746" t="inlineStr">
        <is>
          <t>JÄMTLANDS LÄN</t>
        </is>
      </c>
      <c r="E746" t="inlineStr">
        <is>
          <t>KROKOM</t>
        </is>
      </c>
      <c r="F746" t="inlineStr">
        <is>
          <t>Övriga Aktiebolag</t>
        </is>
      </c>
      <c r="G746" t="n">
        <v>7.8</v>
      </c>
      <c r="H746" t="n">
        <v>0</v>
      </c>
      <c r="I746" t="n">
        <v>0</v>
      </c>
      <c r="J746" t="n">
        <v>0</v>
      </c>
      <c r="K746" t="n">
        <v>0</v>
      </c>
      <c r="L746" t="n">
        <v>0</v>
      </c>
      <c r="M746" t="n">
        <v>0</v>
      </c>
      <c r="N746" t="n">
        <v>0</v>
      </c>
      <c r="O746" t="n">
        <v>0</v>
      </c>
      <c r="P746" t="n">
        <v>0</v>
      </c>
      <c r="Q746" t="n">
        <v>0</v>
      </c>
      <c r="R746" s="2" t="inlineStr"/>
    </row>
    <row r="747" ht="15" customHeight="1">
      <c r="A747" t="inlineStr">
        <is>
          <t>A 57239-2023</t>
        </is>
      </c>
      <c r="B747" s="1" t="n">
        <v>45245.5478125</v>
      </c>
      <c r="C747" s="1" t="n">
        <v>45935</v>
      </c>
      <c r="D747" t="inlineStr">
        <is>
          <t>JÄMTLANDS LÄN</t>
        </is>
      </c>
      <c r="E747" t="inlineStr">
        <is>
          <t>KROKOM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21027-2025</t>
        </is>
      </c>
      <c r="B748" s="1" t="n">
        <v>45777</v>
      </c>
      <c r="C748" s="1" t="n">
        <v>45935</v>
      </c>
      <c r="D748" t="inlineStr">
        <is>
          <t>JÄMTLANDS LÄN</t>
        </is>
      </c>
      <c r="E748" t="inlineStr">
        <is>
          <t>KROKOM</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21029-2025</t>
        </is>
      </c>
      <c r="B749" s="1" t="n">
        <v>45777</v>
      </c>
      <c r="C749" s="1" t="n">
        <v>45935</v>
      </c>
      <c r="D749" t="inlineStr">
        <is>
          <t>JÄMTLANDS LÄN</t>
        </is>
      </c>
      <c r="E749" t="inlineStr">
        <is>
          <t>KROKOM</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8784-2025</t>
        </is>
      </c>
      <c r="B750" s="1" t="n">
        <v>45712</v>
      </c>
      <c r="C750" s="1" t="n">
        <v>45935</v>
      </c>
      <c r="D750" t="inlineStr">
        <is>
          <t>JÄMTLANDS LÄN</t>
        </is>
      </c>
      <c r="E750" t="inlineStr">
        <is>
          <t>KROKOM</t>
        </is>
      </c>
      <c r="G750" t="n">
        <v>10.1</v>
      </c>
      <c r="H750" t="n">
        <v>0</v>
      </c>
      <c r="I750" t="n">
        <v>0</v>
      </c>
      <c r="J750" t="n">
        <v>0</v>
      </c>
      <c r="K750" t="n">
        <v>0</v>
      </c>
      <c r="L750" t="n">
        <v>0</v>
      </c>
      <c r="M750" t="n">
        <v>0</v>
      </c>
      <c r="N750" t="n">
        <v>0</v>
      </c>
      <c r="O750" t="n">
        <v>0</v>
      </c>
      <c r="P750" t="n">
        <v>0</v>
      </c>
      <c r="Q750" t="n">
        <v>0</v>
      </c>
      <c r="R750" s="2" t="inlineStr"/>
    </row>
    <row r="751" ht="15" customHeight="1">
      <c r="A751" t="inlineStr">
        <is>
          <t>A 20798-2025</t>
        </is>
      </c>
      <c r="B751" s="1" t="n">
        <v>45776</v>
      </c>
      <c r="C751" s="1" t="n">
        <v>45935</v>
      </c>
      <c r="D751" t="inlineStr">
        <is>
          <t>JÄMTLANDS LÄN</t>
        </is>
      </c>
      <c r="E751" t="inlineStr">
        <is>
          <t>KROKOM</t>
        </is>
      </c>
      <c r="G751" t="n">
        <v>2.2</v>
      </c>
      <c r="H751" t="n">
        <v>0</v>
      </c>
      <c r="I751" t="n">
        <v>0</v>
      </c>
      <c r="J751" t="n">
        <v>0</v>
      </c>
      <c r="K751" t="n">
        <v>0</v>
      </c>
      <c r="L751" t="n">
        <v>0</v>
      </c>
      <c r="M751" t="n">
        <v>0</v>
      </c>
      <c r="N751" t="n">
        <v>0</v>
      </c>
      <c r="O751" t="n">
        <v>0</v>
      </c>
      <c r="P751" t="n">
        <v>0</v>
      </c>
      <c r="Q751" t="n">
        <v>0</v>
      </c>
      <c r="R751" s="2" t="inlineStr"/>
    </row>
    <row r="752" ht="15" customHeight="1">
      <c r="A752" t="inlineStr">
        <is>
          <t>A 9623-2025</t>
        </is>
      </c>
      <c r="B752" s="1" t="n">
        <v>45715</v>
      </c>
      <c r="C752" s="1" t="n">
        <v>45935</v>
      </c>
      <c r="D752" t="inlineStr">
        <is>
          <t>JÄMTLANDS LÄN</t>
        </is>
      </c>
      <c r="E752" t="inlineStr">
        <is>
          <t>KROKOM</t>
        </is>
      </c>
      <c r="F752" t="inlineStr">
        <is>
          <t>Kyrkan</t>
        </is>
      </c>
      <c r="G752" t="n">
        <v>2.8</v>
      </c>
      <c r="H752" t="n">
        <v>0</v>
      </c>
      <c r="I752" t="n">
        <v>0</v>
      </c>
      <c r="J752" t="n">
        <v>0</v>
      </c>
      <c r="K752" t="n">
        <v>0</v>
      </c>
      <c r="L752" t="n">
        <v>0</v>
      </c>
      <c r="M752" t="n">
        <v>0</v>
      </c>
      <c r="N752" t="n">
        <v>0</v>
      </c>
      <c r="O752" t="n">
        <v>0</v>
      </c>
      <c r="P752" t="n">
        <v>0</v>
      </c>
      <c r="Q752" t="n">
        <v>0</v>
      </c>
      <c r="R752" s="2" t="inlineStr"/>
    </row>
    <row r="753" ht="15" customHeight="1">
      <c r="A753" t="inlineStr">
        <is>
          <t>A 692-2025</t>
        </is>
      </c>
      <c r="B753" s="1" t="n">
        <v>45662</v>
      </c>
      <c r="C753" s="1" t="n">
        <v>45935</v>
      </c>
      <c r="D753" t="inlineStr">
        <is>
          <t>JÄMTLANDS LÄN</t>
        </is>
      </c>
      <c r="E753" t="inlineStr">
        <is>
          <t>KROKOM</t>
        </is>
      </c>
      <c r="G753" t="n">
        <v>20</v>
      </c>
      <c r="H753" t="n">
        <v>0</v>
      </c>
      <c r="I753" t="n">
        <v>0</v>
      </c>
      <c r="J753" t="n">
        <v>0</v>
      </c>
      <c r="K753" t="n">
        <v>0</v>
      </c>
      <c r="L753" t="n">
        <v>0</v>
      </c>
      <c r="M753" t="n">
        <v>0</v>
      </c>
      <c r="N753" t="n">
        <v>0</v>
      </c>
      <c r="O753" t="n">
        <v>0</v>
      </c>
      <c r="P753" t="n">
        <v>0</v>
      </c>
      <c r="Q753" t="n">
        <v>0</v>
      </c>
      <c r="R753" s="2" t="inlineStr"/>
    </row>
    <row r="754" ht="15" customHeight="1">
      <c r="A754" t="inlineStr">
        <is>
          <t>A 5498-2025</t>
        </is>
      </c>
      <c r="B754" s="1" t="n">
        <v>45693</v>
      </c>
      <c r="C754" s="1" t="n">
        <v>45935</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27899-2025</t>
        </is>
      </c>
      <c r="B755" s="1" t="n">
        <v>45817</v>
      </c>
      <c r="C755" s="1" t="n">
        <v>45935</v>
      </c>
      <c r="D755" t="inlineStr">
        <is>
          <t>JÄMTLANDS LÄN</t>
        </is>
      </c>
      <c r="E755" t="inlineStr">
        <is>
          <t>KROKOM</t>
        </is>
      </c>
      <c r="G755" t="n">
        <v>16.4</v>
      </c>
      <c r="H755" t="n">
        <v>0</v>
      </c>
      <c r="I755" t="n">
        <v>0</v>
      </c>
      <c r="J755" t="n">
        <v>0</v>
      </c>
      <c r="K755" t="n">
        <v>0</v>
      </c>
      <c r="L755" t="n">
        <v>0</v>
      </c>
      <c r="M755" t="n">
        <v>0</v>
      </c>
      <c r="N755" t="n">
        <v>0</v>
      </c>
      <c r="O755" t="n">
        <v>0</v>
      </c>
      <c r="P755" t="n">
        <v>0</v>
      </c>
      <c r="Q755" t="n">
        <v>0</v>
      </c>
      <c r="R755" s="2" t="inlineStr"/>
    </row>
    <row r="756" ht="15" customHeight="1">
      <c r="A756" t="inlineStr">
        <is>
          <t>A 21172-2025</t>
        </is>
      </c>
      <c r="B756" s="1" t="n">
        <v>45779.42630787037</v>
      </c>
      <c r="C756" s="1" t="n">
        <v>45935</v>
      </c>
      <c r="D756" t="inlineStr">
        <is>
          <t>JÄMTLANDS LÄN</t>
        </is>
      </c>
      <c r="E756" t="inlineStr">
        <is>
          <t>KROKOM</t>
        </is>
      </c>
      <c r="G756" t="n">
        <v>3.7</v>
      </c>
      <c r="H756" t="n">
        <v>0</v>
      </c>
      <c r="I756" t="n">
        <v>0</v>
      </c>
      <c r="J756" t="n">
        <v>0</v>
      </c>
      <c r="K756" t="n">
        <v>0</v>
      </c>
      <c r="L756" t="n">
        <v>0</v>
      </c>
      <c r="M756" t="n">
        <v>0</v>
      </c>
      <c r="N756" t="n">
        <v>0</v>
      </c>
      <c r="O756" t="n">
        <v>0</v>
      </c>
      <c r="P756" t="n">
        <v>0</v>
      </c>
      <c r="Q756" t="n">
        <v>0</v>
      </c>
      <c r="R756" s="2" t="inlineStr"/>
    </row>
    <row r="757" ht="15" customHeight="1">
      <c r="A757" t="inlineStr">
        <is>
          <t>A 21239-2025</t>
        </is>
      </c>
      <c r="B757" s="1" t="n">
        <v>45779.56659722222</v>
      </c>
      <c r="C757" s="1" t="n">
        <v>45935</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5785-2025</t>
        </is>
      </c>
      <c r="B758" s="1" t="n">
        <v>45694.64416666667</v>
      </c>
      <c r="C758" s="1" t="n">
        <v>45935</v>
      </c>
      <c r="D758" t="inlineStr">
        <is>
          <t>JÄMTLANDS LÄN</t>
        </is>
      </c>
      <c r="E758" t="inlineStr">
        <is>
          <t>KROKOM</t>
        </is>
      </c>
      <c r="F758" t="inlineStr">
        <is>
          <t>Övriga Aktiebolag</t>
        </is>
      </c>
      <c r="G758" t="n">
        <v>4.2</v>
      </c>
      <c r="H758" t="n">
        <v>0</v>
      </c>
      <c r="I758" t="n">
        <v>0</v>
      </c>
      <c r="J758" t="n">
        <v>0</v>
      </c>
      <c r="K758" t="n">
        <v>0</v>
      </c>
      <c r="L758" t="n">
        <v>0</v>
      </c>
      <c r="M758" t="n">
        <v>0</v>
      </c>
      <c r="N758" t="n">
        <v>0</v>
      </c>
      <c r="O758" t="n">
        <v>0</v>
      </c>
      <c r="P758" t="n">
        <v>0</v>
      </c>
      <c r="Q758" t="n">
        <v>0</v>
      </c>
      <c r="R758" s="2" t="inlineStr"/>
    </row>
    <row r="759" ht="15" customHeight="1">
      <c r="A759" t="inlineStr">
        <is>
          <t>A 21280-2025</t>
        </is>
      </c>
      <c r="B759" s="1" t="n">
        <v>45779.65980324074</v>
      </c>
      <c r="C759" s="1" t="n">
        <v>45935</v>
      </c>
      <c r="D759" t="inlineStr">
        <is>
          <t>JÄMTLANDS LÄN</t>
        </is>
      </c>
      <c r="E759" t="inlineStr">
        <is>
          <t>KROKOM</t>
        </is>
      </c>
      <c r="G759" t="n">
        <v>30.9</v>
      </c>
      <c r="H759" t="n">
        <v>0</v>
      </c>
      <c r="I759" t="n">
        <v>0</v>
      </c>
      <c r="J759" t="n">
        <v>0</v>
      </c>
      <c r="K759" t="n">
        <v>0</v>
      </c>
      <c r="L759" t="n">
        <v>0</v>
      </c>
      <c r="M759" t="n">
        <v>0</v>
      </c>
      <c r="N759" t="n">
        <v>0</v>
      </c>
      <c r="O759" t="n">
        <v>0</v>
      </c>
      <c r="P759" t="n">
        <v>0</v>
      </c>
      <c r="Q759" t="n">
        <v>0</v>
      </c>
      <c r="R759" s="2" t="inlineStr"/>
    </row>
    <row r="760" ht="15" customHeight="1">
      <c r="A760" t="inlineStr">
        <is>
          <t>A 21254-2025</t>
        </is>
      </c>
      <c r="B760" s="1" t="n">
        <v>45779.57626157408</v>
      </c>
      <c r="C760" s="1" t="n">
        <v>45935</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21240-2025</t>
        </is>
      </c>
      <c r="B761" s="1" t="n">
        <v>45779.5674074074</v>
      </c>
      <c r="C761" s="1" t="n">
        <v>45935</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21276-2025</t>
        </is>
      </c>
      <c r="B762" s="1" t="n">
        <v>45779.63834490741</v>
      </c>
      <c r="C762" s="1" t="n">
        <v>45935</v>
      </c>
      <c r="D762" t="inlineStr">
        <is>
          <t>JÄMTLANDS LÄN</t>
        </is>
      </c>
      <c r="E762" t="inlineStr">
        <is>
          <t>KROKOM</t>
        </is>
      </c>
      <c r="G762" t="n">
        <v>4.3</v>
      </c>
      <c r="H762" t="n">
        <v>0</v>
      </c>
      <c r="I762" t="n">
        <v>0</v>
      </c>
      <c r="J762" t="n">
        <v>0</v>
      </c>
      <c r="K762" t="n">
        <v>0</v>
      </c>
      <c r="L762" t="n">
        <v>0</v>
      </c>
      <c r="M762" t="n">
        <v>0</v>
      </c>
      <c r="N762" t="n">
        <v>0</v>
      </c>
      <c r="O762" t="n">
        <v>0</v>
      </c>
      <c r="P762" t="n">
        <v>0</v>
      </c>
      <c r="Q762" t="n">
        <v>0</v>
      </c>
      <c r="R762" s="2" t="inlineStr"/>
    </row>
    <row r="763" ht="15" customHeight="1">
      <c r="A763" t="inlineStr">
        <is>
          <t>A 17090-2024</t>
        </is>
      </c>
      <c r="B763" s="1" t="n">
        <v>45412.51260416667</v>
      </c>
      <c r="C763" s="1" t="n">
        <v>45935</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18841-2025</t>
        </is>
      </c>
      <c r="B764" s="1" t="n">
        <v>45764.40834490741</v>
      </c>
      <c r="C764" s="1" t="n">
        <v>45935</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21654-2025</t>
        </is>
      </c>
      <c r="B765" s="1" t="n">
        <v>45783.45121527778</v>
      </c>
      <c r="C765" s="1" t="n">
        <v>45935</v>
      </c>
      <c r="D765" t="inlineStr">
        <is>
          <t>JÄMTLANDS LÄN</t>
        </is>
      </c>
      <c r="E765" t="inlineStr">
        <is>
          <t>KROKOM</t>
        </is>
      </c>
      <c r="G765" t="n">
        <v>7.4</v>
      </c>
      <c r="H765" t="n">
        <v>0</v>
      </c>
      <c r="I765" t="n">
        <v>0</v>
      </c>
      <c r="J765" t="n">
        <v>0</v>
      </c>
      <c r="K765" t="n">
        <v>0</v>
      </c>
      <c r="L765" t="n">
        <v>0</v>
      </c>
      <c r="M765" t="n">
        <v>0</v>
      </c>
      <c r="N765" t="n">
        <v>0</v>
      </c>
      <c r="O765" t="n">
        <v>0</v>
      </c>
      <c r="P765" t="n">
        <v>0</v>
      </c>
      <c r="Q765" t="n">
        <v>0</v>
      </c>
      <c r="R765" s="2" t="inlineStr"/>
    </row>
    <row r="766" ht="15" customHeight="1">
      <c r="A766" t="inlineStr">
        <is>
          <t>A 36079-2021</t>
        </is>
      </c>
      <c r="B766" s="1" t="n">
        <v>44389</v>
      </c>
      <c r="C766" s="1" t="n">
        <v>45935</v>
      </c>
      <c r="D766" t="inlineStr">
        <is>
          <t>JÄMTLANDS LÄN</t>
        </is>
      </c>
      <c r="E766" t="inlineStr">
        <is>
          <t>KROKOM</t>
        </is>
      </c>
      <c r="F766" t="inlineStr">
        <is>
          <t>Övriga Aktiebolag</t>
        </is>
      </c>
      <c r="G766" t="n">
        <v>17</v>
      </c>
      <c r="H766" t="n">
        <v>0</v>
      </c>
      <c r="I766" t="n">
        <v>0</v>
      </c>
      <c r="J766" t="n">
        <v>0</v>
      </c>
      <c r="K766" t="n">
        <v>0</v>
      </c>
      <c r="L766" t="n">
        <v>0</v>
      </c>
      <c r="M766" t="n">
        <v>0</v>
      </c>
      <c r="N766" t="n">
        <v>0</v>
      </c>
      <c r="O766" t="n">
        <v>0</v>
      </c>
      <c r="P766" t="n">
        <v>0</v>
      </c>
      <c r="Q766" t="n">
        <v>0</v>
      </c>
      <c r="R766" s="2" t="inlineStr"/>
    </row>
    <row r="767" ht="15" customHeight="1">
      <c r="A767" t="inlineStr">
        <is>
          <t>A 58313-2022</t>
        </is>
      </c>
      <c r="B767" s="1" t="n">
        <v>44901.54615740741</v>
      </c>
      <c r="C767" s="1" t="n">
        <v>45935</v>
      </c>
      <c r="D767" t="inlineStr">
        <is>
          <t>JÄMTLANDS LÄN</t>
        </is>
      </c>
      <c r="E767" t="inlineStr">
        <is>
          <t>KROKOM</t>
        </is>
      </c>
      <c r="F767" t="inlineStr">
        <is>
          <t>Övriga Aktiebolag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28067-2023</t>
        </is>
      </c>
      <c r="B768" s="1" t="n">
        <v>45099.37211805556</v>
      </c>
      <c r="C768" s="1" t="n">
        <v>45935</v>
      </c>
      <c r="D768" t="inlineStr">
        <is>
          <t>JÄMTLANDS LÄN</t>
        </is>
      </c>
      <c r="E768" t="inlineStr">
        <is>
          <t>KROKOM</t>
        </is>
      </c>
      <c r="G768" t="n">
        <v>2.8</v>
      </c>
      <c r="H768" t="n">
        <v>0</v>
      </c>
      <c r="I768" t="n">
        <v>0</v>
      </c>
      <c r="J768" t="n">
        <v>0</v>
      </c>
      <c r="K768" t="n">
        <v>0</v>
      </c>
      <c r="L768" t="n">
        <v>0</v>
      </c>
      <c r="M768" t="n">
        <v>0</v>
      </c>
      <c r="N768" t="n">
        <v>0</v>
      </c>
      <c r="O768" t="n">
        <v>0</v>
      </c>
      <c r="P768" t="n">
        <v>0</v>
      </c>
      <c r="Q768" t="n">
        <v>0</v>
      </c>
      <c r="R768" s="2" t="inlineStr"/>
    </row>
    <row r="769" ht="15" customHeight="1">
      <c r="A769" t="inlineStr">
        <is>
          <t>A 4707-2025</t>
        </is>
      </c>
      <c r="B769" s="1" t="n">
        <v>45688.38393518519</v>
      </c>
      <c r="C769" s="1" t="n">
        <v>45935</v>
      </c>
      <c r="D769" t="inlineStr">
        <is>
          <t>JÄMTLANDS LÄN</t>
        </is>
      </c>
      <c r="E769" t="inlineStr">
        <is>
          <t>KROKOM</t>
        </is>
      </c>
      <c r="G769" t="n">
        <v>8.9</v>
      </c>
      <c r="H769" t="n">
        <v>0</v>
      </c>
      <c r="I769" t="n">
        <v>0</v>
      </c>
      <c r="J769" t="n">
        <v>0</v>
      </c>
      <c r="K769" t="n">
        <v>0</v>
      </c>
      <c r="L769" t="n">
        <v>0</v>
      </c>
      <c r="M769" t="n">
        <v>0</v>
      </c>
      <c r="N769" t="n">
        <v>0</v>
      </c>
      <c r="O769" t="n">
        <v>0</v>
      </c>
      <c r="P769" t="n">
        <v>0</v>
      </c>
      <c r="Q769" t="n">
        <v>0</v>
      </c>
      <c r="R769" s="2" t="inlineStr"/>
    </row>
    <row r="770" ht="15" customHeight="1">
      <c r="A770" t="inlineStr">
        <is>
          <t>A 29986-2023</t>
        </is>
      </c>
      <c r="B770" s="1" t="n">
        <v>45109.44534722222</v>
      </c>
      <c r="C770" s="1" t="n">
        <v>45935</v>
      </c>
      <c r="D770" t="inlineStr">
        <is>
          <t>JÄMTLANDS LÄN</t>
        </is>
      </c>
      <c r="E770" t="inlineStr">
        <is>
          <t>KROKOM</t>
        </is>
      </c>
      <c r="F770" t="inlineStr">
        <is>
          <t>Övriga Aktiebolag</t>
        </is>
      </c>
      <c r="G770" t="n">
        <v>0.5</v>
      </c>
      <c r="H770" t="n">
        <v>0</v>
      </c>
      <c r="I770" t="n">
        <v>0</v>
      </c>
      <c r="J770" t="n">
        <v>0</v>
      </c>
      <c r="K770" t="n">
        <v>0</v>
      </c>
      <c r="L770" t="n">
        <v>0</v>
      </c>
      <c r="M770" t="n">
        <v>0</v>
      </c>
      <c r="N770" t="n">
        <v>0</v>
      </c>
      <c r="O770" t="n">
        <v>0</v>
      </c>
      <c r="P770" t="n">
        <v>0</v>
      </c>
      <c r="Q770" t="n">
        <v>0</v>
      </c>
      <c r="R770" s="2" t="inlineStr"/>
    </row>
    <row r="771" ht="15" customHeight="1">
      <c r="A771" t="inlineStr">
        <is>
          <t>A 15310-2025</t>
        </is>
      </c>
      <c r="B771" s="1" t="n">
        <v>45746.79134259259</v>
      </c>
      <c r="C771" s="1" t="n">
        <v>45935</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21643-2025</t>
        </is>
      </c>
      <c r="B772" s="1" t="n">
        <v>45783.43409722222</v>
      </c>
      <c r="C772" s="1" t="n">
        <v>45935</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54037-2021</t>
        </is>
      </c>
      <c r="B773" s="1" t="n">
        <v>44470</v>
      </c>
      <c r="C773" s="1" t="n">
        <v>45935</v>
      </c>
      <c r="D773" t="inlineStr">
        <is>
          <t>JÄMTLANDS LÄN</t>
        </is>
      </c>
      <c r="E773" t="inlineStr">
        <is>
          <t>KROKOM</t>
        </is>
      </c>
      <c r="G773" t="n">
        <v>6.3</v>
      </c>
      <c r="H773" t="n">
        <v>0</v>
      </c>
      <c r="I773" t="n">
        <v>0</v>
      </c>
      <c r="J773" t="n">
        <v>0</v>
      </c>
      <c r="K773" t="n">
        <v>0</v>
      </c>
      <c r="L773" t="n">
        <v>0</v>
      </c>
      <c r="M773" t="n">
        <v>0</v>
      </c>
      <c r="N773" t="n">
        <v>0</v>
      </c>
      <c r="O773" t="n">
        <v>0</v>
      </c>
      <c r="P773" t="n">
        <v>0</v>
      </c>
      <c r="Q773" t="n">
        <v>0</v>
      </c>
      <c r="R773" s="2" t="inlineStr"/>
    </row>
    <row r="774" ht="15" customHeight="1">
      <c r="A774" t="inlineStr">
        <is>
          <t>A 6068-2025</t>
        </is>
      </c>
      <c r="B774" s="1" t="n">
        <v>45696</v>
      </c>
      <c r="C774" s="1" t="n">
        <v>45935</v>
      </c>
      <c r="D774" t="inlineStr">
        <is>
          <t>JÄMTLANDS LÄN</t>
        </is>
      </c>
      <c r="E774" t="inlineStr">
        <is>
          <t>KROKOM</t>
        </is>
      </c>
      <c r="F774" t="inlineStr">
        <is>
          <t>Övriga Aktiebolag</t>
        </is>
      </c>
      <c r="G774" t="n">
        <v>17.2</v>
      </c>
      <c r="H774" t="n">
        <v>0</v>
      </c>
      <c r="I774" t="n">
        <v>0</v>
      </c>
      <c r="J774" t="n">
        <v>0</v>
      </c>
      <c r="K774" t="n">
        <v>0</v>
      </c>
      <c r="L774" t="n">
        <v>0</v>
      </c>
      <c r="M774" t="n">
        <v>0</v>
      </c>
      <c r="N774" t="n">
        <v>0</v>
      </c>
      <c r="O774" t="n">
        <v>0</v>
      </c>
      <c r="P774" t="n">
        <v>0</v>
      </c>
      <c r="Q774" t="n">
        <v>0</v>
      </c>
      <c r="R774" s="2" t="inlineStr"/>
    </row>
    <row r="775" ht="15" customHeight="1">
      <c r="A775" t="inlineStr">
        <is>
          <t>A 61609-2020</t>
        </is>
      </c>
      <c r="B775" s="1" t="n">
        <v>44154</v>
      </c>
      <c r="C775" s="1" t="n">
        <v>45935</v>
      </c>
      <c r="D775" t="inlineStr">
        <is>
          <t>JÄMTLANDS LÄN</t>
        </is>
      </c>
      <c r="E775" t="inlineStr">
        <is>
          <t>KROKOM</t>
        </is>
      </c>
      <c r="G775" t="n">
        <v>6.4</v>
      </c>
      <c r="H775" t="n">
        <v>0</v>
      </c>
      <c r="I775" t="n">
        <v>0</v>
      </c>
      <c r="J775" t="n">
        <v>0</v>
      </c>
      <c r="K775" t="n">
        <v>0</v>
      </c>
      <c r="L775" t="n">
        <v>0</v>
      </c>
      <c r="M775" t="n">
        <v>0</v>
      </c>
      <c r="N775" t="n">
        <v>0</v>
      </c>
      <c r="O775" t="n">
        <v>0</v>
      </c>
      <c r="P775" t="n">
        <v>0</v>
      </c>
      <c r="Q775" t="n">
        <v>0</v>
      </c>
      <c r="R775" s="2" t="inlineStr"/>
    </row>
    <row r="776" ht="15" customHeight="1">
      <c r="A776" t="inlineStr">
        <is>
          <t>A 48049-2025</t>
        </is>
      </c>
      <c r="B776" s="1" t="n">
        <v>45932.67771990741</v>
      </c>
      <c r="C776" s="1" t="n">
        <v>45935</v>
      </c>
      <c r="D776" t="inlineStr">
        <is>
          <t>JÄMTLANDS LÄN</t>
        </is>
      </c>
      <c r="E776" t="inlineStr">
        <is>
          <t>KROKOM</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45935</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45935</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9948-2025</t>
        </is>
      </c>
      <c r="B779" s="1" t="n">
        <v>45719.32584490741</v>
      </c>
      <c r="C779" s="1" t="n">
        <v>45935</v>
      </c>
      <c r="D779" t="inlineStr">
        <is>
          <t>JÄMTLANDS LÄN</t>
        </is>
      </c>
      <c r="E779" t="inlineStr">
        <is>
          <t>KROKOM</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22254-2025</t>
        </is>
      </c>
      <c r="B780" s="1" t="n">
        <v>45785</v>
      </c>
      <c r="C780" s="1" t="n">
        <v>45935</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14240-2025</t>
        </is>
      </c>
      <c r="B781" s="1" t="n">
        <v>45740</v>
      </c>
      <c r="C781" s="1" t="n">
        <v>45935</v>
      </c>
      <c r="D781" t="inlineStr">
        <is>
          <t>JÄMTLANDS LÄN</t>
        </is>
      </c>
      <c r="E781" t="inlineStr">
        <is>
          <t>KROKOM</t>
        </is>
      </c>
      <c r="G781" t="n">
        <v>30.3</v>
      </c>
      <c r="H781" t="n">
        <v>0</v>
      </c>
      <c r="I781" t="n">
        <v>0</v>
      </c>
      <c r="J781" t="n">
        <v>0</v>
      </c>
      <c r="K781" t="n">
        <v>0</v>
      </c>
      <c r="L781" t="n">
        <v>0</v>
      </c>
      <c r="M781" t="n">
        <v>0</v>
      </c>
      <c r="N781" t="n">
        <v>0</v>
      </c>
      <c r="O781" t="n">
        <v>0</v>
      </c>
      <c r="P781" t="n">
        <v>0</v>
      </c>
      <c r="Q781" t="n">
        <v>0</v>
      </c>
      <c r="R781" s="2" t="inlineStr"/>
    </row>
    <row r="782" ht="15" customHeight="1">
      <c r="A782" t="inlineStr">
        <is>
          <t>A 22115-2025</t>
        </is>
      </c>
      <c r="B782" s="1" t="n">
        <v>45785.51092592593</v>
      </c>
      <c r="C782" s="1" t="n">
        <v>45935</v>
      </c>
      <c r="D782" t="inlineStr">
        <is>
          <t>JÄMTLANDS LÄN</t>
        </is>
      </c>
      <c r="E782" t="inlineStr">
        <is>
          <t>KROKOM</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18476-2022</t>
        </is>
      </c>
      <c r="B783" s="1" t="n">
        <v>44686</v>
      </c>
      <c r="C783" s="1" t="n">
        <v>45935</v>
      </c>
      <c r="D783" t="inlineStr">
        <is>
          <t>JÄMTLANDS LÄN</t>
        </is>
      </c>
      <c r="E783" t="inlineStr">
        <is>
          <t>KROKOM</t>
        </is>
      </c>
      <c r="G783" t="n">
        <v>11.7</v>
      </c>
      <c r="H783" t="n">
        <v>0</v>
      </c>
      <c r="I783" t="n">
        <v>0</v>
      </c>
      <c r="J783" t="n">
        <v>0</v>
      </c>
      <c r="K783" t="n">
        <v>0</v>
      </c>
      <c r="L783" t="n">
        <v>0</v>
      </c>
      <c r="M783" t="n">
        <v>0</v>
      </c>
      <c r="N783" t="n">
        <v>0</v>
      </c>
      <c r="O783" t="n">
        <v>0</v>
      </c>
      <c r="P783" t="n">
        <v>0</v>
      </c>
      <c r="Q783" t="n">
        <v>0</v>
      </c>
      <c r="R783" s="2" t="inlineStr"/>
    </row>
    <row r="784" ht="15" customHeight="1">
      <c r="A784" t="inlineStr">
        <is>
          <t>A 48255-2025</t>
        </is>
      </c>
      <c r="B784" s="1" t="n">
        <v>45933.55407407408</v>
      </c>
      <c r="C784" s="1" t="n">
        <v>45935</v>
      </c>
      <c r="D784" t="inlineStr">
        <is>
          <t>JÄMTLANDS LÄN</t>
        </is>
      </c>
      <c r="E784" t="inlineStr">
        <is>
          <t>KROKOM</t>
        </is>
      </c>
      <c r="G784" t="n">
        <v>0.8</v>
      </c>
      <c r="H784" t="n">
        <v>0</v>
      </c>
      <c r="I784" t="n">
        <v>0</v>
      </c>
      <c r="J784" t="n">
        <v>0</v>
      </c>
      <c r="K784" t="n">
        <v>0</v>
      </c>
      <c r="L784" t="n">
        <v>0</v>
      </c>
      <c r="M784" t="n">
        <v>0</v>
      </c>
      <c r="N784" t="n">
        <v>0</v>
      </c>
      <c r="O784" t="n">
        <v>0</v>
      </c>
      <c r="P784" t="n">
        <v>0</v>
      </c>
      <c r="Q784" t="n">
        <v>0</v>
      </c>
      <c r="R784" s="2" t="inlineStr"/>
    </row>
    <row r="785" ht="15" customHeight="1">
      <c r="A785" t="inlineStr">
        <is>
          <t>A 22132-2025</t>
        </is>
      </c>
      <c r="B785" s="1" t="n">
        <v>45785.5403125</v>
      </c>
      <c r="C785" s="1" t="n">
        <v>45935</v>
      </c>
      <c r="D785" t="inlineStr">
        <is>
          <t>JÄMTLANDS LÄN</t>
        </is>
      </c>
      <c r="E785" t="inlineStr">
        <is>
          <t>KROKOM</t>
        </is>
      </c>
      <c r="G785" t="n">
        <v>2.6</v>
      </c>
      <c r="H785" t="n">
        <v>0</v>
      </c>
      <c r="I785" t="n">
        <v>0</v>
      </c>
      <c r="J785" t="n">
        <v>0</v>
      </c>
      <c r="K785" t="n">
        <v>0</v>
      </c>
      <c r="L785" t="n">
        <v>0</v>
      </c>
      <c r="M785" t="n">
        <v>0</v>
      </c>
      <c r="N785" t="n">
        <v>0</v>
      </c>
      <c r="O785" t="n">
        <v>0</v>
      </c>
      <c r="P785" t="n">
        <v>0</v>
      </c>
      <c r="Q785" t="n">
        <v>0</v>
      </c>
      <c r="R785" s="2" t="inlineStr"/>
    </row>
    <row r="786" ht="15" customHeight="1">
      <c r="A786" t="inlineStr">
        <is>
          <t>A 47809-2025</t>
        </is>
      </c>
      <c r="B786" s="1" t="n">
        <v>45931.98023148148</v>
      </c>
      <c r="C786" s="1" t="n">
        <v>45935</v>
      </c>
      <c r="D786" t="inlineStr">
        <is>
          <t>JÄMTLANDS LÄN</t>
        </is>
      </c>
      <c r="E786" t="inlineStr">
        <is>
          <t>KROKOM</t>
        </is>
      </c>
      <c r="G786" t="n">
        <v>5.5</v>
      </c>
      <c r="H786" t="n">
        <v>0</v>
      </c>
      <c r="I786" t="n">
        <v>0</v>
      </c>
      <c r="J786" t="n">
        <v>0</v>
      </c>
      <c r="K786" t="n">
        <v>0</v>
      </c>
      <c r="L786" t="n">
        <v>0</v>
      </c>
      <c r="M786" t="n">
        <v>0</v>
      </c>
      <c r="N786" t="n">
        <v>0</v>
      </c>
      <c r="O786" t="n">
        <v>0</v>
      </c>
      <c r="P786" t="n">
        <v>0</v>
      </c>
      <c r="Q786" t="n">
        <v>0</v>
      </c>
      <c r="R786" s="2" t="inlineStr"/>
    </row>
    <row r="787" ht="15" customHeight="1">
      <c r="A787" t="inlineStr">
        <is>
          <t>A 11639-2024</t>
        </is>
      </c>
      <c r="B787" s="1" t="n">
        <v>45373</v>
      </c>
      <c r="C787" s="1" t="n">
        <v>45935</v>
      </c>
      <c r="D787" t="inlineStr">
        <is>
          <t>JÄMTLANDS LÄN</t>
        </is>
      </c>
      <c r="E787" t="inlineStr">
        <is>
          <t>KROKOM</t>
        </is>
      </c>
      <c r="G787" t="n">
        <v>22.2</v>
      </c>
      <c r="H787" t="n">
        <v>0</v>
      </c>
      <c r="I787" t="n">
        <v>0</v>
      </c>
      <c r="J787" t="n">
        <v>0</v>
      </c>
      <c r="K787" t="n">
        <v>0</v>
      </c>
      <c r="L787" t="n">
        <v>0</v>
      </c>
      <c r="M787" t="n">
        <v>0</v>
      </c>
      <c r="N787" t="n">
        <v>0</v>
      </c>
      <c r="O787" t="n">
        <v>0</v>
      </c>
      <c r="P787" t="n">
        <v>0</v>
      </c>
      <c r="Q787" t="n">
        <v>0</v>
      </c>
      <c r="R787" s="2" t="inlineStr"/>
    </row>
    <row r="788" ht="15" customHeight="1">
      <c r="A788" t="inlineStr">
        <is>
          <t>A 64174-2023</t>
        </is>
      </c>
      <c r="B788" s="1" t="n">
        <v>45279</v>
      </c>
      <c r="C788" s="1" t="n">
        <v>45935</v>
      </c>
      <c r="D788" t="inlineStr">
        <is>
          <t>JÄMTLANDS LÄN</t>
        </is>
      </c>
      <c r="E788" t="inlineStr">
        <is>
          <t>KROKOM</t>
        </is>
      </c>
      <c r="G788" t="n">
        <v>1.9</v>
      </c>
      <c r="H788" t="n">
        <v>0</v>
      </c>
      <c r="I788" t="n">
        <v>0</v>
      </c>
      <c r="J788" t="n">
        <v>0</v>
      </c>
      <c r="K788" t="n">
        <v>0</v>
      </c>
      <c r="L788" t="n">
        <v>0</v>
      </c>
      <c r="M788" t="n">
        <v>0</v>
      </c>
      <c r="N788" t="n">
        <v>0</v>
      </c>
      <c r="O788" t="n">
        <v>0</v>
      </c>
      <c r="P788" t="n">
        <v>0</v>
      </c>
      <c r="Q788" t="n">
        <v>0</v>
      </c>
      <c r="R788" s="2" t="inlineStr"/>
    </row>
    <row r="789" ht="15" customHeight="1">
      <c r="A789" t="inlineStr">
        <is>
          <t>A 61615-2023</t>
        </is>
      </c>
      <c r="B789" s="1" t="n">
        <v>45265.52887731481</v>
      </c>
      <c r="C789" s="1" t="n">
        <v>45935</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9022-2025</t>
        </is>
      </c>
      <c r="B790" s="1" t="n">
        <v>45713.59623842593</v>
      </c>
      <c r="C790" s="1" t="n">
        <v>45935</v>
      </c>
      <c r="D790" t="inlineStr">
        <is>
          <t>JÄMTLANDS LÄN</t>
        </is>
      </c>
      <c r="E790" t="inlineStr">
        <is>
          <t>KROKOM</t>
        </is>
      </c>
      <c r="F790" t="inlineStr">
        <is>
          <t>Övriga Aktiebolag</t>
        </is>
      </c>
      <c r="G790" t="n">
        <v>29.9</v>
      </c>
      <c r="H790" t="n">
        <v>0</v>
      </c>
      <c r="I790" t="n">
        <v>0</v>
      </c>
      <c r="J790" t="n">
        <v>0</v>
      </c>
      <c r="K790" t="n">
        <v>0</v>
      </c>
      <c r="L790" t="n">
        <v>0</v>
      </c>
      <c r="M790" t="n">
        <v>0</v>
      </c>
      <c r="N790" t="n">
        <v>0</v>
      </c>
      <c r="O790" t="n">
        <v>0</v>
      </c>
      <c r="P790" t="n">
        <v>0</v>
      </c>
      <c r="Q790" t="n">
        <v>0</v>
      </c>
      <c r="R790" s="2" t="inlineStr"/>
    </row>
    <row r="791" ht="15" customHeight="1">
      <c r="A791" t="inlineStr">
        <is>
          <t>A 48323-2025</t>
        </is>
      </c>
      <c r="B791" s="1" t="n">
        <v>45933.62793981482</v>
      </c>
      <c r="C791" s="1" t="n">
        <v>45935</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45935</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22136-2025</t>
        </is>
      </c>
      <c r="B793" s="1" t="n">
        <v>45785.54635416667</v>
      </c>
      <c r="C793" s="1" t="n">
        <v>45935</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8872-2025</t>
        </is>
      </c>
      <c r="B794" s="1" t="n">
        <v>45713.37111111111</v>
      </c>
      <c r="C794" s="1" t="n">
        <v>45935</v>
      </c>
      <c r="D794" t="inlineStr">
        <is>
          <t>JÄMTLANDS LÄN</t>
        </is>
      </c>
      <c r="E794" t="inlineStr">
        <is>
          <t>KROKOM</t>
        </is>
      </c>
      <c r="F794" t="inlineStr">
        <is>
          <t>Övriga Aktiebolag</t>
        </is>
      </c>
      <c r="G794" t="n">
        <v>4</v>
      </c>
      <c r="H794" t="n">
        <v>0</v>
      </c>
      <c r="I794" t="n">
        <v>0</v>
      </c>
      <c r="J794" t="n">
        <v>0</v>
      </c>
      <c r="K794" t="n">
        <v>0</v>
      </c>
      <c r="L794" t="n">
        <v>0</v>
      </c>
      <c r="M794" t="n">
        <v>0</v>
      </c>
      <c r="N794" t="n">
        <v>0</v>
      </c>
      <c r="O794" t="n">
        <v>0</v>
      </c>
      <c r="P794" t="n">
        <v>0</v>
      </c>
      <c r="Q794" t="n">
        <v>0</v>
      </c>
      <c r="R794" s="2" t="inlineStr"/>
    </row>
    <row r="795" ht="15" customHeight="1">
      <c r="A795" t="inlineStr">
        <is>
          <t>A 61776-2024</t>
        </is>
      </c>
      <c r="B795" s="1" t="n">
        <v>45649.4634375</v>
      </c>
      <c r="C795" s="1" t="n">
        <v>45935</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22122-2025</t>
        </is>
      </c>
      <c r="B796" s="1" t="n">
        <v>45785.52112268518</v>
      </c>
      <c r="C796" s="1" t="n">
        <v>45935</v>
      </c>
      <c r="D796" t="inlineStr">
        <is>
          <t>JÄMTLANDS LÄN</t>
        </is>
      </c>
      <c r="E796" t="inlineStr">
        <is>
          <t>KROKOM</t>
        </is>
      </c>
      <c r="G796" t="n">
        <v>9.6</v>
      </c>
      <c r="H796" t="n">
        <v>0</v>
      </c>
      <c r="I796" t="n">
        <v>0</v>
      </c>
      <c r="J796" t="n">
        <v>0</v>
      </c>
      <c r="K796" t="n">
        <v>0</v>
      </c>
      <c r="L796" t="n">
        <v>0</v>
      </c>
      <c r="M796" t="n">
        <v>0</v>
      </c>
      <c r="N796" t="n">
        <v>0</v>
      </c>
      <c r="O796" t="n">
        <v>0</v>
      </c>
      <c r="P796" t="n">
        <v>0</v>
      </c>
      <c r="Q796" t="n">
        <v>0</v>
      </c>
      <c r="R796" s="2" t="inlineStr"/>
    </row>
    <row r="797" ht="15" customHeight="1">
      <c r="A797" t="inlineStr">
        <is>
          <t>A 25421-2022</t>
        </is>
      </c>
      <c r="B797" s="1" t="n">
        <v>44732</v>
      </c>
      <c r="C797" s="1" t="n">
        <v>45935</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22499-2025</t>
        </is>
      </c>
      <c r="B798" s="1" t="n">
        <v>45786.65702546296</v>
      </c>
      <c r="C798" s="1" t="n">
        <v>45935</v>
      </c>
      <c r="D798" t="inlineStr">
        <is>
          <t>JÄMTLANDS LÄN</t>
        </is>
      </c>
      <c r="E798" t="inlineStr">
        <is>
          <t>KROKOM</t>
        </is>
      </c>
      <c r="G798" t="n">
        <v>6.6</v>
      </c>
      <c r="H798" t="n">
        <v>0</v>
      </c>
      <c r="I798" t="n">
        <v>0</v>
      </c>
      <c r="J798" t="n">
        <v>0</v>
      </c>
      <c r="K798" t="n">
        <v>0</v>
      </c>
      <c r="L798" t="n">
        <v>0</v>
      </c>
      <c r="M798" t="n">
        <v>0</v>
      </c>
      <c r="N798" t="n">
        <v>0</v>
      </c>
      <c r="O798" t="n">
        <v>0</v>
      </c>
      <c r="P798" t="n">
        <v>0</v>
      </c>
      <c r="Q798" t="n">
        <v>0</v>
      </c>
      <c r="R798" s="2" t="inlineStr"/>
    </row>
    <row r="799" ht="15" customHeight="1">
      <c r="A799" t="inlineStr">
        <is>
          <t>A 22503-2025</t>
        </is>
      </c>
      <c r="B799" s="1" t="n">
        <v>45786.66140046297</v>
      </c>
      <c r="C799" s="1" t="n">
        <v>45935</v>
      </c>
      <c r="D799" t="inlineStr">
        <is>
          <t>JÄMTLANDS LÄN</t>
        </is>
      </c>
      <c r="E799" t="inlineStr">
        <is>
          <t>KROKOM</t>
        </is>
      </c>
      <c r="G799" t="n">
        <v>1.7</v>
      </c>
      <c r="H799" t="n">
        <v>0</v>
      </c>
      <c r="I799" t="n">
        <v>0</v>
      </c>
      <c r="J799" t="n">
        <v>0</v>
      </c>
      <c r="K799" t="n">
        <v>0</v>
      </c>
      <c r="L799" t="n">
        <v>0</v>
      </c>
      <c r="M799" t="n">
        <v>0</v>
      </c>
      <c r="N799" t="n">
        <v>0</v>
      </c>
      <c r="O799" t="n">
        <v>0</v>
      </c>
      <c r="P799" t="n">
        <v>0</v>
      </c>
      <c r="Q799" t="n">
        <v>0</v>
      </c>
      <c r="R799" s="2" t="inlineStr"/>
    </row>
    <row r="800" ht="15" customHeight="1">
      <c r="A800" t="inlineStr">
        <is>
          <t>A 9388-2025</t>
        </is>
      </c>
      <c r="B800" s="1" t="n">
        <v>45715</v>
      </c>
      <c r="C800" s="1" t="n">
        <v>45935</v>
      </c>
      <c r="D800" t="inlineStr">
        <is>
          <t>JÄMTLANDS LÄN</t>
        </is>
      </c>
      <c r="E800" t="inlineStr">
        <is>
          <t>KROKOM</t>
        </is>
      </c>
      <c r="F800" t="inlineStr">
        <is>
          <t>Övriga Aktiebolag</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22297-2025</t>
        </is>
      </c>
      <c r="B801" s="1" t="n">
        <v>45786.35219907408</v>
      </c>
      <c r="C801" s="1" t="n">
        <v>45935</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39126-2023</t>
        </is>
      </c>
      <c r="B802" s="1" t="n">
        <v>45165.69965277778</v>
      </c>
      <c r="C802" s="1" t="n">
        <v>45935</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22731-2025</t>
        </is>
      </c>
      <c r="B803" s="1" t="n">
        <v>45789.58238425926</v>
      </c>
      <c r="C803" s="1" t="n">
        <v>45935</v>
      </c>
      <c r="D803" t="inlineStr">
        <is>
          <t>JÄMTLANDS LÄN</t>
        </is>
      </c>
      <c r="E803" t="inlineStr">
        <is>
          <t>KROKOM</t>
        </is>
      </c>
      <c r="G803" t="n">
        <v>0.8</v>
      </c>
      <c r="H803" t="n">
        <v>0</v>
      </c>
      <c r="I803" t="n">
        <v>0</v>
      </c>
      <c r="J803" t="n">
        <v>0</v>
      </c>
      <c r="K803" t="n">
        <v>0</v>
      </c>
      <c r="L803" t="n">
        <v>0</v>
      </c>
      <c r="M803" t="n">
        <v>0</v>
      </c>
      <c r="N803" t="n">
        <v>0</v>
      </c>
      <c r="O803" t="n">
        <v>0</v>
      </c>
      <c r="P803" t="n">
        <v>0</v>
      </c>
      <c r="Q803" t="n">
        <v>0</v>
      </c>
      <c r="R803" s="2" t="inlineStr"/>
    </row>
    <row r="804" ht="15" customHeight="1">
      <c r="A804" t="inlineStr">
        <is>
          <t>A 22751-2025</t>
        </is>
      </c>
      <c r="B804" s="1" t="n">
        <v>45789.61349537037</v>
      </c>
      <c r="C804" s="1" t="n">
        <v>45935</v>
      </c>
      <c r="D804" t="inlineStr">
        <is>
          <t>JÄMTLANDS LÄN</t>
        </is>
      </c>
      <c r="E804" t="inlineStr">
        <is>
          <t>KROKOM</t>
        </is>
      </c>
      <c r="G804" t="n">
        <v>4.5</v>
      </c>
      <c r="H804" t="n">
        <v>0</v>
      </c>
      <c r="I804" t="n">
        <v>0</v>
      </c>
      <c r="J804" t="n">
        <v>0</v>
      </c>
      <c r="K804" t="n">
        <v>0</v>
      </c>
      <c r="L804" t="n">
        <v>0</v>
      </c>
      <c r="M804" t="n">
        <v>0</v>
      </c>
      <c r="N804" t="n">
        <v>0</v>
      </c>
      <c r="O804" t="n">
        <v>0</v>
      </c>
      <c r="P804" t="n">
        <v>0</v>
      </c>
      <c r="Q804" t="n">
        <v>0</v>
      </c>
      <c r="R804" s="2" t="inlineStr"/>
    </row>
    <row r="805" ht="15" customHeight="1">
      <c r="A805" t="inlineStr">
        <is>
          <t>A 22304-2025</t>
        </is>
      </c>
      <c r="B805" s="1" t="n">
        <v>45786</v>
      </c>
      <c r="C805" s="1" t="n">
        <v>45935</v>
      </c>
      <c r="D805" t="inlineStr">
        <is>
          <t>JÄMTLANDS LÄN</t>
        </is>
      </c>
      <c r="E805" t="inlineStr">
        <is>
          <t>KROKOM</t>
        </is>
      </c>
      <c r="G805" t="n">
        <v>0.2</v>
      </c>
      <c r="H805" t="n">
        <v>0</v>
      </c>
      <c r="I805" t="n">
        <v>0</v>
      </c>
      <c r="J805" t="n">
        <v>0</v>
      </c>
      <c r="K805" t="n">
        <v>0</v>
      </c>
      <c r="L805" t="n">
        <v>0</v>
      </c>
      <c r="M805" t="n">
        <v>0</v>
      </c>
      <c r="N805" t="n">
        <v>0</v>
      </c>
      <c r="O805" t="n">
        <v>0</v>
      </c>
      <c r="P805" t="n">
        <v>0</v>
      </c>
      <c r="Q805" t="n">
        <v>0</v>
      </c>
      <c r="R805" s="2" t="inlineStr"/>
    </row>
    <row r="806" ht="15" customHeight="1">
      <c r="A806" t="inlineStr">
        <is>
          <t>A 22490-2025</t>
        </is>
      </c>
      <c r="B806" s="1" t="n">
        <v>45786.64972222222</v>
      </c>
      <c r="C806" s="1" t="n">
        <v>45935</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22681-2025</t>
        </is>
      </c>
      <c r="B807" s="1" t="n">
        <v>45786</v>
      </c>
      <c r="C807" s="1" t="n">
        <v>45935</v>
      </c>
      <c r="D807" t="inlineStr">
        <is>
          <t>JÄMTLANDS LÄN</t>
        </is>
      </c>
      <c r="E807" t="inlineStr">
        <is>
          <t>KROKOM</t>
        </is>
      </c>
      <c r="G807" t="n">
        <v>1.9</v>
      </c>
      <c r="H807" t="n">
        <v>0</v>
      </c>
      <c r="I807" t="n">
        <v>0</v>
      </c>
      <c r="J807" t="n">
        <v>0</v>
      </c>
      <c r="K807" t="n">
        <v>0</v>
      </c>
      <c r="L807" t="n">
        <v>0</v>
      </c>
      <c r="M807" t="n">
        <v>0</v>
      </c>
      <c r="N807" t="n">
        <v>0</v>
      </c>
      <c r="O807" t="n">
        <v>0</v>
      </c>
      <c r="P807" t="n">
        <v>0</v>
      </c>
      <c r="Q807" t="n">
        <v>0</v>
      </c>
      <c r="R807" s="2" t="inlineStr"/>
    </row>
    <row r="808" ht="15" customHeight="1">
      <c r="A808" t="inlineStr">
        <is>
          <t>A 17887-2025</t>
        </is>
      </c>
      <c r="B808" s="1" t="n">
        <v>45758.66180555556</v>
      </c>
      <c r="C808" s="1" t="n">
        <v>45935</v>
      </c>
      <c r="D808" t="inlineStr">
        <is>
          <t>JÄMTLANDS LÄN</t>
        </is>
      </c>
      <c r="E808" t="inlineStr">
        <is>
          <t>KROKOM</t>
        </is>
      </c>
      <c r="G808" t="n">
        <v>11.5</v>
      </c>
      <c r="H808" t="n">
        <v>0</v>
      </c>
      <c r="I808" t="n">
        <v>0</v>
      </c>
      <c r="J808" t="n">
        <v>0</v>
      </c>
      <c r="K808" t="n">
        <v>0</v>
      </c>
      <c r="L808" t="n">
        <v>0</v>
      </c>
      <c r="M808" t="n">
        <v>0</v>
      </c>
      <c r="N808" t="n">
        <v>0</v>
      </c>
      <c r="O808" t="n">
        <v>0</v>
      </c>
      <c r="P808" t="n">
        <v>0</v>
      </c>
      <c r="Q808" t="n">
        <v>0</v>
      </c>
      <c r="R808" s="2" t="inlineStr"/>
    </row>
    <row r="809" ht="15" customHeight="1">
      <c r="A809" t="inlineStr">
        <is>
          <t>A 36577-2021</t>
        </is>
      </c>
      <c r="B809" s="1" t="n">
        <v>44391</v>
      </c>
      <c r="C809" s="1" t="n">
        <v>45935</v>
      </c>
      <c r="D809" t="inlineStr">
        <is>
          <t>JÄMTLANDS LÄN</t>
        </is>
      </c>
      <c r="E809" t="inlineStr">
        <is>
          <t>KROKOM</t>
        </is>
      </c>
      <c r="G809" t="n">
        <v>2</v>
      </c>
      <c r="H809" t="n">
        <v>0</v>
      </c>
      <c r="I809" t="n">
        <v>0</v>
      </c>
      <c r="J809" t="n">
        <v>0</v>
      </c>
      <c r="K809" t="n">
        <v>0</v>
      </c>
      <c r="L809" t="n">
        <v>0</v>
      </c>
      <c r="M809" t="n">
        <v>0</v>
      </c>
      <c r="N809" t="n">
        <v>0</v>
      </c>
      <c r="O809" t="n">
        <v>0</v>
      </c>
      <c r="P809" t="n">
        <v>0</v>
      </c>
      <c r="Q809" t="n">
        <v>0</v>
      </c>
      <c r="R809" s="2" t="inlineStr"/>
    </row>
    <row r="810" ht="15" customHeight="1">
      <c r="A810" t="inlineStr">
        <is>
          <t>A 74011-2021</t>
        </is>
      </c>
      <c r="B810" s="1" t="n">
        <v>44557</v>
      </c>
      <c r="C810" s="1" t="n">
        <v>45935</v>
      </c>
      <c r="D810" t="inlineStr">
        <is>
          <t>JÄMTLANDS LÄN</t>
        </is>
      </c>
      <c r="E810" t="inlineStr">
        <is>
          <t>KROKOM</t>
        </is>
      </c>
      <c r="G810" t="n">
        <v>33.2</v>
      </c>
      <c r="H810" t="n">
        <v>0</v>
      </c>
      <c r="I810" t="n">
        <v>0</v>
      </c>
      <c r="J810" t="n">
        <v>0</v>
      </c>
      <c r="K810" t="n">
        <v>0</v>
      </c>
      <c r="L810" t="n">
        <v>0</v>
      </c>
      <c r="M810" t="n">
        <v>0</v>
      </c>
      <c r="N810" t="n">
        <v>0</v>
      </c>
      <c r="O810" t="n">
        <v>0</v>
      </c>
      <c r="P810" t="n">
        <v>0</v>
      </c>
      <c r="Q810" t="n">
        <v>0</v>
      </c>
      <c r="R810" s="2" t="inlineStr"/>
    </row>
    <row r="811" ht="15" customHeight="1">
      <c r="A811" t="inlineStr">
        <is>
          <t>A 58136-2024</t>
        </is>
      </c>
      <c r="B811" s="1" t="n">
        <v>45632</v>
      </c>
      <c r="C811" s="1" t="n">
        <v>45935</v>
      </c>
      <c r="D811" t="inlineStr">
        <is>
          <t>JÄMTLANDS LÄN</t>
        </is>
      </c>
      <c r="E811" t="inlineStr">
        <is>
          <t>KROKOM</t>
        </is>
      </c>
      <c r="G811" t="n">
        <v>3.3</v>
      </c>
      <c r="H811" t="n">
        <v>0</v>
      </c>
      <c r="I811" t="n">
        <v>0</v>
      </c>
      <c r="J811" t="n">
        <v>0</v>
      </c>
      <c r="K811" t="n">
        <v>0</v>
      </c>
      <c r="L811" t="n">
        <v>0</v>
      </c>
      <c r="M811" t="n">
        <v>0</v>
      </c>
      <c r="N811" t="n">
        <v>0</v>
      </c>
      <c r="O811" t="n">
        <v>0</v>
      </c>
      <c r="P811" t="n">
        <v>0</v>
      </c>
      <c r="Q811" t="n">
        <v>0</v>
      </c>
      <c r="R811" s="2" t="inlineStr"/>
    </row>
    <row r="812" ht="15" customHeight="1">
      <c r="A812" t="inlineStr">
        <is>
          <t>A 45822-2023</t>
        </is>
      </c>
      <c r="B812" s="1" t="n">
        <v>45195</v>
      </c>
      <c r="C812" s="1" t="n">
        <v>45935</v>
      </c>
      <c r="D812" t="inlineStr">
        <is>
          <t>JÄMTLANDS LÄN</t>
        </is>
      </c>
      <c r="E812" t="inlineStr">
        <is>
          <t>KROKOM</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23080-2025</t>
        </is>
      </c>
      <c r="B813" s="1" t="n">
        <v>45791.3162037037</v>
      </c>
      <c r="C813" s="1" t="n">
        <v>45935</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57985-2024</t>
        </is>
      </c>
      <c r="B814" s="1" t="n">
        <v>45631.61869212963</v>
      </c>
      <c r="C814" s="1" t="n">
        <v>45935</v>
      </c>
      <c r="D814" t="inlineStr">
        <is>
          <t>JÄMTLANDS LÄN</t>
        </is>
      </c>
      <c r="E814" t="inlineStr">
        <is>
          <t>KROKOM</t>
        </is>
      </c>
      <c r="G814" t="n">
        <v>1.9</v>
      </c>
      <c r="H814" t="n">
        <v>0</v>
      </c>
      <c r="I814" t="n">
        <v>0</v>
      </c>
      <c r="J814" t="n">
        <v>0</v>
      </c>
      <c r="K814" t="n">
        <v>0</v>
      </c>
      <c r="L814" t="n">
        <v>0</v>
      </c>
      <c r="M814" t="n">
        <v>0</v>
      </c>
      <c r="N814" t="n">
        <v>0</v>
      </c>
      <c r="O814" t="n">
        <v>0</v>
      </c>
      <c r="P814" t="n">
        <v>0</v>
      </c>
      <c r="Q814" t="n">
        <v>0</v>
      </c>
      <c r="R814" s="2" t="inlineStr"/>
    </row>
    <row r="815" ht="15" customHeight="1">
      <c r="A815" t="inlineStr">
        <is>
          <t>A 23288-2025</t>
        </is>
      </c>
      <c r="B815" s="1" t="n">
        <v>45791</v>
      </c>
      <c r="C815" s="1" t="n">
        <v>45935</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24402-2022</t>
        </is>
      </c>
      <c r="B816" s="1" t="n">
        <v>44726</v>
      </c>
      <c r="C816" s="1" t="n">
        <v>45935</v>
      </c>
      <c r="D816" t="inlineStr">
        <is>
          <t>JÄMTLANDS LÄN</t>
        </is>
      </c>
      <c r="E816" t="inlineStr">
        <is>
          <t>KROKOM</t>
        </is>
      </c>
      <c r="G816" t="n">
        <v>13.3</v>
      </c>
      <c r="H816" t="n">
        <v>0</v>
      </c>
      <c r="I816" t="n">
        <v>0</v>
      </c>
      <c r="J816" t="n">
        <v>0</v>
      </c>
      <c r="K816" t="n">
        <v>0</v>
      </c>
      <c r="L816" t="n">
        <v>0</v>
      </c>
      <c r="M816" t="n">
        <v>0</v>
      </c>
      <c r="N816" t="n">
        <v>0</v>
      </c>
      <c r="O816" t="n">
        <v>0</v>
      </c>
      <c r="P816" t="n">
        <v>0</v>
      </c>
      <c r="Q816" t="n">
        <v>0</v>
      </c>
      <c r="R816" s="2" t="inlineStr"/>
    </row>
    <row r="817" ht="15" customHeight="1">
      <c r="A817" t="inlineStr">
        <is>
          <t>A 6015-2025</t>
        </is>
      </c>
      <c r="B817" s="1" t="n">
        <v>45695.60015046296</v>
      </c>
      <c r="C817" s="1" t="n">
        <v>45935</v>
      </c>
      <c r="D817" t="inlineStr">
        <is>
          <t>JÄMTLANDS LÄN</t>
        </is>
      </c>
      <c r="E817" t="inlineStr">
        <is>
          <t>KROKOM</t>
        </is>
      </c>
      <c r="F817" t="inlineStr">
        <is>
          <t>Övriga Aktiebolag</t>
        </is>
      </c>
      <c r="G817" t="n">
        <v>15.5</v>
      </c>
      <c r="H817" t="n">
        <v>0</v>
      </c>
      <c r="I817" t="n">
        <v>0</v>
      </c>
      <c r="J817" t="n">
        <v>0</v>
      </c>
      <c r="K817" t="n">
        <v>0</v>
      </c>
      <c r="L817" t="n">
        <v>0</v>
      </c>
      <c r="M817" t="n">
        <v>0</v>
      </c>
      <c r="N817" t="n">
        <v>0</v>
      </c>
      <c r="O817" t="n">
        <v>0</v>
      </c>
      <c r="P817" t="n">
        <v>0</v>
      </c>
      <c r="Q817" t="n">
        <v>0</v>
      </c>
      <c r="R817" s="2" t="inlineStr"/>
    </row>
    <row r="818" ht="15" customHeight="1">
      <c r="A818" t="inlineStr">
        <is>
          <t>A 5637-2025</t>
        </is>
      </c>
      <c r="B818" s="1" t="n">
        <v>45693.67361111111</v>
      </c>
      <c r="C818" s="1" t="n">
        <v>45935</v>
      </c>
      <c r="D818" t="inlineStr">
        <is>
          <t>JÄMTLANDS LÄN</t>
        </is>
      </c>
      <c r="E818" t="inlineStr">
        <is>
          <t>KROKOM</t>
        </is>
      </c>
      <c r="F818" t="inlineStr">
        <is>
          <t>Övriga Aktiebolag</t>
        </is>
      </c>
      <c r="G818" t="n">
        <v>57.8</v>
      </c>
      <c r="H818" t="n">
        <v>0</v>
      </c>
      <c r="I818" t="n">
        <v>0</v>
      </c>
      <c r="J818" t="n">
        <v>0</v>
      </c>
      <c r="K818" t="n">
        <v>0</v>
      </c>
      <c r="L818" t="n">
        <v>0</v>
      </c>
      <c r="M818" t="n">
        <v>0</v>
      </c>
      <c r="N818" t="n">
        <v>0</v>
      </c>
      <c r="O818" t="n">
        <v>0</v>
      </c>
      <c r="P818" t="n">
        <v>0</v>
      </c>
      <c r="Q818" t="n">
        <v>0</v>
      </c>
      <c r="R818" s="2" t="inlineStr"/>
    </row>
    <row r="819" ht="15" customHeight="1">
      <c r="A819" t="inlineStr">
        <is>
          <t>A 5704-2025</t>
        </is>
      </c>
      <c r="B819" s="1" t="n">
        <v>45694.43806712963</v>
      </c>
      <c r="C819" s="1" t="n">
        <v>45935</v>
      </c>
      <c r="D819" t="inlineStr">
        <is>
          <t>JÄMTLANDS LÄN</t>
        </is>
      </c>
      <c r="E819" t="inlineStr">
        <is>
          <t>KROKOM</t>
        </is>
      </c>
      <c r="G819" t="n">
        <v>1.8</v>
      </c>
      <c r="H819" t="n">
        <v>0</v>
      </c>
      <c r="I819" t="n">
        <v>0</v>
      </c>
      <c r="J819" t="n">
        <v>0</v>
      </c>
      <c r="K819" t="n">
        <v>0</v>
      </c>
      <c r="L819" t="n">
        <v>0</v>
      </c>
      <c r="M819" t="n">
        <v>0</v>
      </c>
      <c r="N819" t="n">
        <v>0</v>
      </c>
      <c r="O819" t="n">
        <v>0</v>
      </c>
      <c r="P819" t="n">
        <v>0</v>
      </c>
      <c r="Q819" t="n">
        <v>0</v>
      </c>
      <c r="R819" s="2" t="inlineStr"/>
    </row>
    <row r="820" ht="15" customHeight="1">
      <c r="A820" t="inlineStr">
        <is>
          <t>A 39169-2023</t>
        </is>
      </c>
      <c r="B820" s="1" t="n">
        <v>45166</v>
      </c>
      <c r="C820" s="1" t="n">
        <v>45935</v>
      </c>
      <c r="D820" t="inlineStr">
        <is>
          <t>JÄMTLANDS LÄN</t>
        </is>
      </c>
      <c r="E820" t="inlineStr">
        <is>
          <t>KROKOM</t>
        </is>
      </c>
      <c r="G820" t="n">
        <v>0.7</v>
      </c>
      <c r="H820" t="n">
        <v>0</v>
      </c>
      <c r="I820" t="n">
        <v>0</v>
      </c>
      <c r="J820" t="n">
        <v>0</v>
      </c>
      <c r="K820" t="n">
        <v>0</v>
      </c>
      <c r="L820" t="n">
        <v>0</v>
      </c>
      <c r="M820" t="n">
        <v>0</v>
      </c>
      <c r="N820" t="n">
        <v>0</v>
      </c>
      <c r="O820" t="n">
        <v>0</v>
      </c>
      <c r="P820" t="n">
        <v>0</v>
      </c>
      <c r="Q820" t="n">
        <v>0</v>
      </c>
      <c r="R820" s="2" t="inlineStr"/>
    </row>
    <row r="821" ht="15" customHeight="1">
      <c r="A821" t="inlineStr">
        <is>
          <t>A 26207-2024</t>
        </is>
      </c>
      <c r="B821" s="1" t="n">
        <v>45467</v>
      </c>
      <c r="C821" s="1" t="n">
        <v>45935</v>
      </c>
      <c r="D821" t="inlineStr">
        <is>
          <t>JÄMTLANDS LÄN</t>
        </is>
      </c>
      <c r="E821" t="inlineStr">
        <is>
          <t>KROKOM</t>
        </is>
      </c>
      <c r="G821" t="n">
        <v>14.4</v>
      </c>
      <c r="H821" t="n">
        <v>0</v>
      </c>
      <c r="I821" t="n">
        <v>0</v>
      </c>
      <c r="J821" t="n">
        <v>0</v>
      </c>
      <c r="K821" t="n">
        <v>0</v>
      </c>
      <c r="L821" t="n">
        <v>0</v>
      </c>
      <c r="M821" t="n">
        <v>0</v>
      </c>
      <c r="N821" t="n">
        <v>0</v>
      </c>
      <c r="O821" t="n">
        <v>0</v>
      </c>
      <c r="P821" t="n">
        <v>0</v>
      </c>
      <c r="Q821" t="n">
        <v>0</v>
      </c>
      <c r="R821" s="2" t="inlineStr"/>
    </row>
    <row r="822" ht="15" customHeight="1">
      <c r="A822" t="inlineStr">
        <is>
          <t>A 31655-2025</t>
        </is>
      </c>
      <c r="B822" s="1" t="n">
        <v>45834.34737268519</v>
      </c>
      <c r="C822" s="1" t="n">
        <v>45935</v>
      </c>
      <c r="D822" t="inlineStr">
        <is>
          <t>JÄMTLANDS LÄN</t>
        </is>
      </c>
      <c r="E822" t="inlineStr">
        <is>
          <t>KROKOM</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7787-2025</t>
        </is>
      </c>
      <c r="B823" s="1" t="n">
        <v>45706.59251157408</v>
      </c>
      <c r="C823" s="1" t="n">
        <v>45935</v>
      </c>
      <c r="D823" t="inlineStr">
        <is>
          <t>JÄMTLANDS LÄN</t>
        </is>
      </c>
      <c r="E823" t="inlineStr">
        <is>
          <t>KROKOM</t>
        </is>
      </c>
      <c r="F823" t="inlineStr">
        <is>
          <t>Övriga Aktiebolag</t>
        </is>
      </c>
      <c r="G823" t="n">
        <v>16.8</v>
      </c>
      <c r="H823" t="n">
        <v>0</v>
      </c>
      <c r="I823" t="n">
        <v>0</v>
      </c>
      <c r="J823" t="n">
        <v>0</v>
      </c>
      <c r="K823" t="n">
        <v>0</v>
      </c>
      <c r="L823" t="n">
        <v>0</v>
      </c>
      <c r="M823" t="n">
        <v>0</v>
      </c>
      <c r="N823" t="n">
        <v>0</v>
      </c>
      <c r="O823" t="n">
        <v>0</v>
      </c>
      <c r="P823" t="n">
        <v>0</v>
      </c>
      <c r="Q823" t="n">
        <v>0</v>
      </c>
      <c r="R823" s="2" t="inlineStr"/>
    </row>
    <row r="824" ht="15" customHeight="1">
      <c r="A824" t="inlineStr">
        <is>
          <t>A 29477-2024</t>
        </is>
      </c>
      <c r="B824" s="1" t="n">
        <v>45484</v>
      </c>
      <c r="C824" s="1" t="n">
        <v>45935</v>
      </c>
      <c r="D824" t="inlineStr">
        <is>
          <t>JÄMTLANDS LÄN</t>
        </is>
      </c>
      <c r="E824" t="inlineStr">
        <is>
          <t>KROKOM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29484-2024</t>
        </is>
      </c>
      <c r="B825" s="1" t="n">
        <v>45484</v>
      </c>
      <c r="C825" s="1" t="n">
        <v>45935</v>
      </c>
      <c r="D825" t="inlineStr">
        <is>
          <t>JÄMTLANDS LÄN</t>
        </is>
      </c>
      <c r="E825" t="inlineStr">
        <is>
          <t>KROKOM</t>
        </is>
      </c>
      <c r="F825" t="inlineStr">
        <is>
          <t>Övriga Aktiebolag</t>
        </is>
      </c>
      <c r="G825" t="n">
        <v>2.9</v>
      </c>
      <c r="H825" t="n">
        <v>0</v>
      </c>
      <c r="I825" t="n">
        <v>0</v>
      </c>
      <c r="J825" t="n">
        <v>0</v>
      </c>
      <c r="K825" t="n">
        <v>0</v>
      </c>
      <c r="L825" t="n">
        <v>0</v>
      </c>
      <c r="M825" t="n">
        <v>0</v>
      </c>
      <c r="N825" t="n">
        <v>0</v>
      </c>
      <c r="O825" t="n">
        <v>0</v>
      </c>
      <c r="P825" t="n">
        <v>0</v>
      </c>
      <c r="Q825" t="n">
        <v>0</v>
      </c>
      <c r="R825" s="2" t="inlineStr"/>
    </row>
    <row r="826" ht="15" customHeight="1">
      <c r="A826" t="inlineStr">
        <is>
          <t>A 20982-2023</t>
        </is>
      </c>
      <c r="B826" s="1" t="n">
        <v>45056</v>
      </c>
      <c r="C826" s="1" t="n">
        <v>45935</v>
      </c>
      <c r="D826" t="inlineStr">
        <is>
          <t>JÄMTLANDS LÄN</t>
        </is>
      </c>
      <c r="E826" t="inlineStr">
        <is>
          <t>KROKOM</t>
        </is>
      </c>
      <c r="G826" t="n">
        <v>0.7</v>
      </c>
      <c r="H826" t="n">
        <v>0</v>
      </c>
      <c r="I826" t="n">
        <v>0</v>
      </c>
      <c r="J826" t="n">
        <v>0</v>
      </c>
      <c r="K826" t="n">
        <v>0</v>
      </c>
      <c r="L826" t="n">
        <v>0</v>
      </c>
      <c r="M826" t="n">
        <v>0</v>
      </c>
      <c r="N826" t="n">
        <v>0</v>
      </c>
      <c r="O826" t="n">
        <v>0</v>
      </c>
      <c r="P826" t="n">
        <v>0</v>
      </c>
      <c r="Q826" t="n">
        <v>0</v>
      </c>
      <c r="R826" s="2" t="inlineStr"/>
    </row>
    <row r="827" ht="15" customHeight="1">
      <c r="A827" t="inlineStr">
        <is>
          <t>A 6148-2025</t>
        </is>
      </c>
      <c r="B827" s="1" t="n">
        <v>45698.40146990741</v>
      </c>
      <c r="C827" s="1" t="n">
        <v>45935</v>
      </c>
      <c r="D827" t="inlineStr">
        <is>
          <t>JÄMTLANDS LÄN</t>
        </is>
      </c>
      <c r="E827" t="inlineStr">
        <is>
          <t>KROKOM</t>
        </is>
      </c>
      <c r="G827" t="n">
        <v>43.6</v>
      </c>
      <c r="H827" t="n">
        <v>0</v>
      </c>
      <c r="I827" t="n">
        <v>0</v>
      </c>
      <c r="J827" t="n">
        <v>0</v>
      </c>
      <c r="K827" t="n">
        <v>0</v>
      </c>
      <c r="L827" t="n">
        <v>0</v>
      </c>
      <c r="M827" t="n">
        <v>0</v>
      </c>
      <c r="N827" t="n">
        <v>0</v>
      </c>
      <c r="O827" t="n">
        <v>0</v>
      </c>
      <c r="P827" t="n">
        <v>0</v>
      </c>
      <c r="Q827" t="n">
        <v>0</v>
      </c>
      <c r="R827" s="2" t="inlineStr"/>
    </row>
    <row r="828" ht="15" customHeight="1">
      <c r="A828" t="inlineStr">
        <is>
          <t>A 52086-2024</t>
        </is>
      </c>
      <c r="B828" s="1" t="n">
        <v>45608</v>
      </c>
      <c r="C828" s="1" t="n">
        <v>45935</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4361-2025</t>
        </is>
      </c>
      <c r="B829" s="1" t="n">
        <v>45686.33310185185</v>
      </c>
      <c r="C829" s="1" t="n">
        <v>45935</v>
      </c>
      <c r="D829" t="inlineStr">
        <is>
          <t>JÄMTLANDS LÄN</t>
        </is>
      </c>
      <c r="E829" t="inlineStr">
        <is>
          <t>KROKOM</t>
        </is>
      </c>
      <c r="F829" t="inlineStr">
        <is>
          <t>SCA</t>
        </is>
      </c>
      <c r="G829" t="n">
        <v>13.7</v>
      </c>
      <c r="H829" t="n">
        <v>0</v>
      </c>
      <c r="I829" t="n">
        <v>0</v>
      </c>
      <c r="J829" t="n">
        <v>0</v>
      </c>
      <c r="K829" t="n">
        <v>0</v>
      </c>
      <c r="L829" t="n">
        <v>0</v>
      </c>
      <c r="M829" t="n">
        <v>0</v>
      </c>
      <c r="N829" t="n">
        <v>0</v>
      </c>
      <c r="O829" t="n">
        <v>0</v>
      </c>
      <c r="P829" t="n">
        <v>0</v>
      </c>
      <c r="Q829" t="n">
        <v>0</v>
      </c>
      <c r="R829" s="2" t="inlineStr"/>
    </row>
    <row r="830" ht="15" customHeight="1">
      <c r="A830" t="inlineStr">
        <is>
          <t>A 65508-2021</t>
        </is>
      </c>
      <c r="B830" s="1" t="n">
        <v>44516</v>
      </c>
      <c r="C830" s="1" t="n">
        <v>45935</v>
      </c>
      <c r="D830" t="inlineStr">
        <is>
          <t>JÄMTLANDS LÄN</t>
        </is>
      </c>
      <c r="E830" t="inlineStr">
        <is>
          <t>KROKOM</t>
        </is>
      </c>
      <c r="G830" t="n">
        <v>0.3</v>
      </c>
      <c r="H830" t="n">
        <v>0</v>
      </c>
      <c r="I830" t="n">
        <v>0</v>
      </c>
      <c r="J830" t="n">
        <v>0</v>
      </c>
      <c r="K830" t="n">
        <v>0</v>
      </c>
      <c r="L830" t="n">
        <v>0</v>
      </c>
      <c r="M830" t="n">
        <v>0</v>
      </c>
      <c r="N830" t="n">
        <v>0</v>
      </c>
      <c r="O830" t="n">
        <v>0</v>
      </c>
      <c r="P830" t="n">
        <v>0</v>
      </c>
      <c r="Q830" t="n">
        <v>0</v>
      </c>
      <c r="R830" s="2" t="inlineStr"/>
    </row>
    <row r="831" ht="15" customHeight="1">
      <c r="A831" t="inlineStr">
        <is>
          <t>A 5998-2025</t>
        </is>
      </c>
      <c r="B831" s="1" t="n">
        <v>45695.57171296296</v>
      </c>
      <c r="C831" s="1" t="n">
        <v>45935</v>
      </c>
      <c r="D831" t="inlineStr">
        <is>
          <t>JÄMTLANDS LÄN</t>
        </is>
      </c>
      <c r="E831" t="inlineStr">
        <is>
          <t>KROKOM</t>
        </is>
      </c>
      <c r="F831" t="inlineStr">
        <is>
          <t>Övriga Aktiebolag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21000-2021</t>
        </is>
      </c>
      <c r="B832" s="1" t="n">
        <v>44316</v>
      </c>
      <c r="C832" s="1" t="n">
        <v>45935</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26184-2024</t>
        </is>
      </c>
      <c r="B833" s="1" t="n">
        <v>45467</v>
      </c>
      <c r="C833" s="1" t="n">
        <v>45935</v>
      </c>
      <c r="D833" t="inlineStr">
        <is>
          <t>JÄMTLANDS LÄN</t>
        </is>
      </c>
      <c r="E833" t="inlineStr">
        <is>
          <t>KROKOM</t>
        </is>
      </c>
      <c r="G833" t="n">
        <v>65.7</v>
      </c>
      <c r="H833" t="n">
        <v>0</v>
      </c>
      <c r="I833" t="n">
        <v>0</v>
      </c>
      <c r="J833" t="n">
        <v>0</v>
      </c>
      <c r="K833" t="n">
        <v>0</v>
      </c>
      <c r="L833" t="n">
        <v>0</v>
      </c>
      <c r="M833" t="n">
        <v>0</v>
      </c>
      <c r="N833" t="n">
        <v>0</v>
      </c>
      <c r="O833" t="n">
        <v>0</v>
      </c>
      <c r="P833" t="n">
        <v>0</v>
      </c>
      <c r="Q833" t="n">
        <v>0</v>
      </c>
      <c r="R833" s="2" t="inlineStr"/>
    </row>
    <row r="834" ht="15" customHeight="1">
      <c r="A834" t="inlineStr">
        <is>
          <t>A 7767-2025</t>
        </is>
      </c>
      <c r="B834" s="1" t="n">
        <v>45706.55993055556</v>
      </c>
      <c r="C834" s="1" t="n">
        <v>45935</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12412-2024</t>
        </is>
      </c>
      <c r="B835" s="1" t="n">
        <v>45378</v>
      </c>
      <c r="C835" s="1" t="n">
        <v>45935</v>
      </c>
      <c r="D835" t="inlineStr">
        <is>
          <t>JÄMTLANDS LÄN</t>
        </is>
      </c>
      <c r="E835" t="inlineStr">
        <is>
          <t>KROKOM</t>
        </is>
      </c>
      <c r="G835" t="n">
        <v>1.9</v>
      </c>
      <c r="H835" t="n">
        <v>0</v>
      </c>
      <c r="I835" t="n">
        <v>0</v>
      </c>
      <c r="J835" t="n">
        <v>0</v>
      </c>
      <c r="K835" t="n">
        <v>0</v>
      </c>
      <c r="L835" t="n">
        <v>0</v>
      </c>
      <c r="M835" t="n">
        <v>0</v>
      </c>
      <c r="N835" t="n">
        <v>0</v>
      </c>
      <c r="O835" t="n">
        <v>0</v>
      </c>
      <c r="P835" t="n">
        <v>0</v>
      </c>
      <c r="Q835" t="n">
        <v>0</v>
      </c>
      <c r="R835" s="2" t="inlineStr"/>
    </row>
    <row r="836" ht="15" customHeight="1">
      <c r="A836" t="inlineStr">
        <is>
          <t>A 46632-2023</t>
        </is>
      </c>
      <c r="B836" s="1" t="n">
        <v>45198.42734953704</v>
      </c>
      <c r="C836" s="1" t="n">
        <v>45935</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24103-2025</t>
        </is>
      </c>
      <c r="B837" s="1" t="n">
        <v>45796.59857638889</v>
      </c>
      <c r="C837" s="1" t="n">
        <v>45935</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24062-2025</t>
        </is>
      </c>
      <c r="B838" s="1" t="n">
        <v>45796.52836805556</v>
      </c>
      <c r="C838" s="1" t="n">
        <v>45935</v>
      </c>
      <c r="D838" t="inlineStr">
        <is>
          <t>JÄMTLANDS LÄN</t>
        </is>
      </c>
      <c r="E838" t="inlineStr">
        <is>
          <t>KROKOM</t>
        </is>
      </c>
      <c r="G838" t="n">
        <v>33</v>
      </c>
      <c r="H838" t="n">
        <v>0</v>
      </c>
      <c r="I838" t="n">
        <v>0</v>
      </c>
      <c r="J838" t="n">
        <v>0</v>
      </c>
      <c r="K838" t="n">
        <v>0</v>
      </c>
      <c r="L838" t="n">
        <v>0</v>
      </c>
      <c r="M838" t="n">
        <v>0</v>
      </c>
      <c r="N838" t="n">
        <v>0</v>
      </c>
      <c r="O838" t="n">
        <v>0</v>
      </c>
      <c r="P838" t="n">
        <v>0</v>
      </c>
      <c r="Q838" t="n">
        <v>0</v>
      </c>
      <c r="R838" s="2" t="inlineStr"/>
    </row>
    <row r="839" ht="15" customHeight="1">
      <c r="A839" t="inlineStr">
        <is>
          <t>A 63960-2023</t>
        </is>
      </c>
      <c r="B839" s="1" t="n">
        <v>45278.65582175926</v>
      </c>
      <c r="C839" s="1" t="n">
        <v>45935</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24648-2025</t>
        </is>
      </c>
      <c r="B840" s="1" t="n">
        <v>45798.63596064815</v>
      </c>
      <c r="C840" s="1" t="n">
        <v>45935</v>
      </c>
      <c r="D840" t="inlineStr">
        <is>
          <t>JÄMTLANDS LÄN</t>
        </is>
      </c>
      <c r="E840" t="inlineStr">
        <is>
          <t>KROKOM</t>
        </is>
      </c>
      <c r="F840" t="inlineStr">
        <is>
          <t>SCA</t>
        </is>
      </c>
      <c r="G840" t="n">
        <v>12.5</v>
      </c>
      <c r="H840" t="n">
        <v>0</v>
      </c>
      <c r="I840" t="n">
        <v>0</v>
      </c>
      <c r="J840" t="n">
        <v>0</v>
      </c>
      <c r="K840" t="n">
        <v>0</v>
      </c>
      <c r="L840" t="n">
        <v>0</v>
      </c>
      <c r="M840" t="n">
        <v>0</v>
      </c>
      <c r="N840" t="n">
        <v>0</v>
      </c>
      <c r="O840" t="n">
        <v>0</v>
      </c>
      <c r="P840" t="n">
        <v>0</v>
      </c>
      <c r="Q840" t="n">
        <v>0</v>
      </c>
      <c r="R840" s="2" t="inlineStr"/>
    </row>
    <row r="841" ht="15" customHeight="1">
      <c r="A841" t="inlineStr">
        <is>
          <t>A 23083-2025</t>
        </is>
      </c>
      <c r="B841" s="1" t="n">
        <v>45791</v>
      </c>
      <c r="C841" s="1" t="n">
        <v>45935</v>
      </c>
      <c r="D841" t="inlineStr">
        <is>
          <t>JÄMTLANDS LÄN</t>
        </is>
      </c>
      <c r="E841" t="inlineStr">
        <is>
          <t>KROKOM</t>
        </is>
      </c>
      <c r="G841" t="n">
        <v>0.5</v>
      </c>
      <c r="H841" t="n">
        <v>0</v>
      </c>
      <c r="I841" t="n">
        <v>0</v>
      </c>
      <c r="J841" t="n">
        <v>0</v>
      </c>
      <c r="K841" t="n">
        <v>0</v>
      </c>
      <c r="L841" t="n">
        <v>0</v>
      </c>
      <c r="M841" t="n">
        <v>0</v>
      </c>
      <c r="N841" t="n">
        <v>0</v>
      </c>
      <c r="O841" t="n">
        <v>0</v>
      </c>
      <c r="P841" t="n">
        <v>0</v>
      </c>
      <c r="Q841" t="n">
        <v>0</v>
      </c>
      <c r="R841" s="2" t="inlineStr"/>
    </row>
    <row r="842" ht="15" customHeight="1">
      <c r="A842" t="inlineStr">
        <is>
          <t>A 9796-2025</t>
        </is>
      </c>
      <c r="B842" s="1" t="n">
        <v>45716.55237268518</v>
      </c>
      <c r="C842" s="1" t="n">
        <v>45935</v>
      </c>
      <c r="D842" t="inlineStr">
        <is>
          <t>JÄMTLANDS LÄN</t>
        </is>
      </c>
      <c r="E842" t="inlineStr">
        <is>
          <t>KROKOM</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5798-2025</t>
        </is>
      </c>
      <c r="B843" s="1" t="n">
        <v>45694.65905092593</v>
      </c>
      <c r="C843" s="1" t="n">
        <v>45935</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6342-2025</t>
        </is>
      </c>
      <c r="B844" s="1" t="n">
        <v>45699</v>
      </c>
      <c r="C844" s="1" t="n">
        <v>45935</v>
      </c>
      <c r="D844" t="inlineStr">
        <is>
          <t>JÄMTLANDS LÄN</t>
        </is>
      </c>
      <c r="E844" t="inlineStr">
        <is>
          <t>KROKOM</t>
        </is>
      </c>
      <c r="F844" t="inlineStr">
        <is>
          <t>Övriga Aktiebolag</t>
        </is>
      </c>
      <c r="G844" t="n">
        <v>6.5</v>
      </c>
      <c r="H844" t="n">
        <v>0</v>
      </c>
      <c r="I844" t="n">
        <v>0</v>
      </c>
      <c r="J844" t="n">
        <v>0</v>
      </c>
      <c r="K844" t="n">
        <v>0</v>
      </c>
      <c r="L844" t="n">
        <v>0</v>
      </c>
      <c r="M844" t="n">
        <v>0</v>
      </c>
      <c r="N844" t="n">
        <v>0</v>
      </c>
      <c r="O844" t="n">
        <v>0</v>
      </c>
      <c r="P844" t="n">
        <v>0</v>
      </c>
      <c r="Q844" t="n">
        <v>0</v>
      </c>
      <c r="R844" s="2" t="inlineStr"/>
    </row>
    <row r="845" ht="15" customHeight="1">
      <c r="A845" t="inlineStr">
        <is>
          <t>A 71307-2021</t>
        </is>
      </c>
      <c r="B845" s="1" t="n">
        <v>44539</v>
      </c>
      <c r="C845" s="1" t="n">
        <v>45935</v>
      </c>
      <c r="D845" t="inlineStr">
        <is>
          <t>JÄMTLANDS LÄN</t>
        </is>
      </c>
      <c r="E845" t="inlineStr">
        <is>
          <t>KROKOM</t>
        </is>
      </c>
      <c r="G845" t="n">
        <v>21.5</v>
      </c>
      <c r="H845" t="n">
        <v>0</v>
      </c>
      <c r="I845" t="n">
        <v>0</v>
      </c>
      <c r="J845" t="n">
        <v>0</v>
      </c>
      <c r="K845" t="n">
        <v>0</v>
      </c>
      <c r="L845" t="n">
        <v>0</v>
      </c>
      <c r="M845" t="n">
        <v>0</v>
      </c>
      <c r="N845" t="n">
        <v>0</v>
      </c>
      <c r="O845" t="n">
        <v>0</v>
      </c>
      <c r="P845" t="n">
        <v>0</v>
      </c>
      <c r="Q845" t="n">
        <v>0</v>
      </c>
      <c r="R845" s="2" t="inlineStr"/>
    </row>
    <row r="846" ht="15" customHeight="1">
      <c r="A846" t="inlineStr">
        <is>
          <t>A 33480-2024</t>
        </is>
      </c>
      <c r="B846" s="1" t="n">
        <v>45519.60965277778</v>
      </c>
      <c r="C846" s="1" t="n">
        <v>45935</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15638-2025</t>
        </is>
      </c>
      <c r="B847" s="1" t="n">
        <v>45748.3822337963</v>
      </c>
      <c r="C847" s="1" t="n">
        <v>45935</v>
      </c>
      <c r="D847" t="inlineStr">
        <is>
          <t>JÄMTLANDS LÄN</t>
        </is>
      </c>
      <c r="E847" t="inlineStr">
        <is>
          <t>KROKOM</t>
        </is>
      </c>
      <c r="F847" t="inlineStr">
        <is>
          <t>Kyrkan</t>
        </is>
      </c>
      <c r="G847" t="n">
        <v>5.9</v>
      </c>
      <c r="H847" t="n">
        <v>0</v>
      </c>
      <c r="I847" t="n">
        <v>0</v>
      </c>
      <c r="J847" t="n">
        <v>0</v>
      </c>
      <c r="K847" t="n">
        <v>0</v>
      </c>
      <c r="L847" t="n">
        <v>0</v>
      </c>
      <c r="M847" t="n">
        <v>0</v>
      </c>
      <c r="N847" t="n">
        <v>0</v>
      </c>
      <c r="O847" t="n">
        <v>0</v>
      </c>
      <c r="P847" t="n">
        <v>0</v>
      </c>
      <c r="Q847" t="n">
        <v>0</v>
      </c>
      <c r="R847" s="2" t="inlineStr"/>
    </row>
    <row r="848" ht="15" customHeight="1">
      <c r="A848" t="inlineStr">
        <is>
          <t>A 50719-2024</t>
        </is>
      </c>
      <c r="B848" s="1" t="n">
        <v>45602.38614583333</v>
      </c>
      <c r="C848" s="1" t="n">
        <v>45935</v>
      </c>
      <c r="D848" t="inlineStr">
        <is>
          <t>JÄMTLANDS LÄN</t>
        </is>
      </c>
      <c r="E848" t="inlineStr">
        <is>
          <t>KROKOM</t>
        </is>
      </c>
      <c r="G848" t="n">
        <v>0.9</v>
      </c>
      <c r="H848" t="n">
        <v>0</v>
      </c>
      <c r="I848" t="n">
        <v>0</v>
      </c>
      <c r="J848" t="n">
        <v>0</v>
      </c>
      <c r="K848" t="n">
        <v>0</v>
      </c>
      <c r="L848" t="n">
        <v>0</v>
      </c>
      <c r="M848" t="n">
        <v>0</v>
      </c>
      <c r="N848" t="n">
        <v>0</v>
      </c>
      <c r="O848" t="n">
        <v>0</v>
      </c>
      <c r="P848" t="n">
        <v>0</v>
      </c>
      <c r="Q848" t="n">
        <v>0</v>
      </c>
      <c r="R848" s="2" t="inlineStr"/>
    </row>
    <row r="849" ht="15" customHeight="1">
      <c r="A849" t="inlineStr">
        <is>
          <t>A 24649-2025</t>
        </is>
      </c>
      <c r="B849" s="1" t="n">
        <v>45798.63611111111</v>
      </c>
      <c r="C849" s="1" t="n">
        <v>45935</v>
      </c>
      <c r="D849" t="inlineStr">
        <is>
          <t>JÄMTLANDS LÄN</t>
        </is>
      </c>
      <c r="E849" t="inlineStr">
        <is>
          <t>KROKOM</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52911-2023</t>
        </is>
      </c>
      <c r="B850" s="1" t="n">
        <v>45226</v>
      </c>
      <c r="C850" s="1" t="n">
        <v>45935</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4058-2025</t>
        </is>
      </c>
      <c r="B851" s="1" t="n">
        <v>45684.62510416667</v>
      </c>
      <c r="C851" s="1" t="n">
        <v>45935</v>
      </c>
      <c r="D851" t="inlineStr">
        <is>
          <t>JÄMTLANDS LÄN</t>
        </is>
      </c>
      <c r="E851" t="inlineStr">
        <is>
          <t>KROKOM</t>
        </is>
      </c>
      <c r="F851" t="inlineStr">
        <is>
          <t>Kyrkan</t>
        </is>
      </c>
      <c r="G851" t="n">
        <v>7.8</v>
      </c>
      <c r="H851" t="n">
        <v>0</v>
      </c>
      <c r="I851" t="n">
        <v>0</v>
      </c>
      <c r="J851" t="n">
        <v>0</v>
      </c>
      <c r="K851" t="n">
        <v>0</v>
      </c>
      <c r="L851" t="n">
        <v>0</v>
      </c>
      <c r="M851" t="n">
        <v>0</v>
      </c>
      <c r="N851" t="n">
        <v>0</v>
      </c>
      <c r="O851" t="n">
        <v>0</v>
      </c>
      <c r="P851" t="n">
        <v>0</v>
      </c>
      <c r="Q851" t="n">
        <v>0</v>
      </c>
      <c r="R851" s="2" t="inlineStr"/>
    </row>
    <row r="852" ht="15" customHeight="1">
      <c r="A852" t="inlineStr">
        <is>
          <t>A 15341-2025</t>
        </is>
      </c>
      <c r="B852" s="1" t="n">
        <v>45746</v>
      </c>
      <c r="C852" s="1" t="n">
        <v>45935</v>
      </c>
      <c r="D852" t="inlineStr">
        <is>
          <t>JÄMTLANDS LÄN</t>
        </is>
      </c>
      <c r="E852" t="inlineStr">
        <is>
          <t>KROKOM</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25715-2025</t>
        </is>
      </c>
      <c r="B853" s="1" t="n">
        <v>45803.69828703703</v>
      </c>
      <c r="C853" s="1" t="n">
        <v>45935</v>
      </c>
      <c r="D853" t="inlineStr">
        <is>
          <t>JÄMTLANDS LÄN</t>
        </is>
      </c>
      <c r="E853" t="inlineStr">
        <is>
          <t>KROKOM</t>
        </is>
      </c>
      <c r="G853" t="n">
        <v>8.9</v>
      </c>
      <c r="H853" t="n">
        <v>0</v>
      </c>
      <c r="I853" t="n">
        <v>0</v>
      </c>
      <c r="J853" t="n">
        <v>0</v>
      </c>
      <c r="K853" t="n">
        <v>0</v>
      </c>
      <c r="L853" t="n">
        <v>0</v>
      </c>
      <c r="M853" t="n">
        <v>0</v>
      </c>
      <c r="N853" t="n">
        <v>0</v>
      </c>
      <c r="O853" t="n">
        <v>0</v>
      </c>
      <c r="P853" t="n">
        <v>0</v>
      </c>
      <c r="Q853" t="n">
        <v>0</v>
      </c>
      <c r="R853" s="2" t="inlineStr"/>
    </row>
    <row r="854" ht="15" customHeight="1">
      <c r="A854" t="inlineStr">
        <is>
          <t>A 44296-2024</t>
        </is>
      </c>
      <c r="B854" s="1" t="n">
        <v>45573.54893518519</v>
      </c>
      <c r="C854" s="1" t="n">
        <v>45935</v>
      </c>
      <c r="D854" t="inlineStr">
        <is>
          <t>JÄMTLANDS LÄN</t>
        </is>
      </c>
      <c r="E854" t="inlineStr">
        <is>
          <t>KROKOM</t>
        </is>
      </c>
      <c r="G854" t="n">
        <v>6.1</v>
      </c>
      <c r="H854" t="n">
        <v>0</v>
      </c>
      <c r="I854" t="n">
        <v>0</v>
      </c>
      <c r="J854" t="n">
        <v>0</v>
      </c>
      <c r="K854" t="n">
        <v>0</v>
      </c>
      <c r="L854" t="n">
        <v>0</v>
      </c>
      <c r="M854" t="n">
        <v>0</v>
      </c>
      <c r="N854" t="n">
        <v>0</v>
      </c>
      <c r="O854" t="n">
        <v>0</v>
      </c>
      <c r="P854" t="n">
        <v>0</v>
      </c>
      <c r="Q854" t="n">
        <v>0</v>
      </c>
      <c r="R854" s="2" t="inlineStr"/>
    </row>
    <row r="855" ht="15" customHeight="1">
      <c r="A855" t="inlineStr">
        <is>
          <t>A 25386-2025</t>
        </is>
      </c>
      <c r="B855" s="1" t="n">
        <v>45800.64319444444</v>
      </c>
      <c r="C855" s="1" t="n">
        <v>45935</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25710-2025</t>
        </is>
      </c>
      <c r="B856" s="1" t="n">
        <v>45803.6837962963</v>
      </c>
      <c r="C856" s="1" t="n">
        <v>45935</v>
      </c>
      <c r="D856" t="inlineStr">
        <is>
          <t>JÄMTLANDS LÄN</t>
        </is>
      </c>
      <c r="E856" t="inlineStr">
        <is>
          <t>KROKOM</t>
        </is>
      </c>
      <c r="G856" t="n">
        <v>1</v>
      </c>
      <c r="H856" t="n">
        <v>0</v>
      </c>
      <c r="I856" t="n">
        <v>0</v>
      </c>
      <c r="J856" t="n">
        <v>0</v>
      </c>
      <c r="K856" t="n">
        <v>0</v>
      </c>
      <c r="L856" t="n">
        <v>0</v>
      </c>
      <c r="M856" t="n">
        <v>0</v>
      </c>
      <c r="N856" t="n">
        <v>0</v>
      </c>
      <c r="O856" t="n">
        <v>0</v>
      </c>
      <c r="P856" t="n">
        <v>0</v>
      </c>
      <c r="Q856" t="n">
        <v>0</v>
      </c>
      <c r="R856" s="2" t="inlineStr"/>
    </row>
    <row r="857" ht="15" customHeight="1">
      <c r="A857" t="inlineStr">
        <is>
          <t>A 52111-2024</t>
        </is>
      </c>
      <c r="B857" s="1" t="n">
        <v>45608.43930555556</v>
      </c>
      <c r="C857" s="1" t="n">
        <v>45935</v>
      </c>
      <c r="D857" t="inlineStr">
        <is>
          <t>JÄMTLANDS LÄN</t>
        </is>
      </c>
      <c r="E857" t="inlineStr">
        <is>
          <t>KROKOM</t>
        </is>
      </c>
      <c r="G857" t="n">
        <v>0.7</v>
      </c>
      <c r="H857" t="n">
        <v>0</v>
      </c>
      <c r="I857" t="n">
        <v>0</v>
      </c>
      <c r="J857" t="n">
        <v>0</v>
      </c>
      <c r="K857" t="n">
        <v>0</v>
      </c>
      <c r="L857" t="n">
        <v>0</v>
      </c>
      <c r="M857" t="n">
        <v>0</v>
      </c>
      <c r="N857" t="n">
        <v>0</v>
      </c>
      <c r="O857" t="n">
        <v>0</v>
      </c>
      <c r="P857" t="n">
        <v>0</v>
      </c>
      <c r="Q857" t="n">
        <v>0</v>
      </c>
      <c r="R857" s="2" t="inlineStr"/>
    </row>
    <row r="858" ht="15" customHeight="1">
      <c r="A858" t="inlineStr">
        <is>
          <t>A 34902-2024</t>
        </is>
      </c>
      <c r="B858" s="1" t="n">
        <v>45527.39858796296</v>
      </c>
      <c r="C858" s="1" t="n">
        <v>45935</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50255-2024</t>
        </is>
      </c>
      <c r="B859" s="1" t="n">
        <v>45600.58076388889</v>
      </c>
      <c r="C859" s="1" t="n">
        <v>45935</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10773-2024</t>
        </is>
      </c>
      <c r="B860" s="1" t="n">
        <v>45369</v>
      </c>
      <c r="C860" s="1" t="n">
        <v>45935</v>
      </c>
      <c r="D860" t="inlineStr">
        <is>
          <t>JÄMTLANDS LÄN</t>
        </is>
      </c>
      <c r="E860" t="inlineStr">
        <is>
          <t>KROKOM</t>
        </is>
      </c>
      <c r="G860" t="n">
        <v>27.1</v>
      </c>
      <c r="H860" t="n">
        <v>0</v>
      </c>
      <c r="I860" t="n">
        <v>0</v>
      </c>
      <c r="J860" t="n">
        <v>0</v>
      </c>
      <c r="K860" t="n">
        <v>0</v>
      </c>
      <c r="L860" t="n">
        <v>0</v>
      </c>
      <c r="M860" t="n">
        <v>0</v>
      </c>
      <c r="N860" t="n">
        <v>0</v>
      </c>
      <c r="O860" t="n">
        <v>0</v>
      </c>
      <c r="P860" t="n">
        <v>0</v>
      </c>
      <c r="Q860" t="n">
        <v>0</v>
      </c>
      <c r="R860" s="2" t="inlineStr"/>
    </row>
    <row r="861" ht="15" customHeight="1">
      <c r="A861" t="inlineStr">
        <is>
          <t>A 59778-2020</t>
        </is>
      </c>
      <c r="B861" s="1" t="n">
        <v>44148</v>
      </c>
      <c r="C861" s="1" t="n">
        <v>45935</v>
      </c>
      <c r="D861" t="inlineStr">
        <is>
          <t>JÄMTLANDS LÄN</t>
        </is>
      </c>
      <c r="E861" t="inlineStr">
        <is>
          <t>KROKOM</t>
        </is>
      </c>
      <c r="G861" t="n">
        <v>39.3</v>
      </c>
      <c r="H861" t="n">
        <v>0</v>
      </c>
      <c r="I861" t="n">
        <v>0</v>
      </c>
      <c r="J861" t="n">
        <v>0</v>
      </c>
      <c r="K861" t="n">
        <v>0</v>
      </c>
      <c r="L861" t="n">
        <v>0</v>
      </c>
      <c r="M861" t="n">
        <v>0</v>
      </c>
      <c r="N861" t="n">
        <v>0</v>
      </c>
      <c r="O861" t="n">
        <v>0</v>
      </c>
      <c r="P861" t="n">
        <v>0</v>
      </c>
      <c r="Q861" t="n">
        <v>0</v>
      </c>
      <c r="R861" s="2" t="inlineStr"/>
    </row>
    <row r="862" ht="15" customHeight="1">
      <c r="A862" t="inlineStr">
        <is>
          <t>A 53543-2024</t>
        </is>
      </c>
      <c r="B862" s="1" t="n">
        <v>45614.63697916667</v>
      </c>
      <c r="C862" s="1" t="n">
        <v>45935</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9313-2025</t>
        </is>
      </c>
      <c r="B863" s="1" t="n">
        <v>45714.69212962963</v>
      </c>
      <c r="C863" s="1" t="n">
        <v>45935</v>
      </c>
      <c r="D863" t="inlineStr">
        <is>
          <t>JÄMTLANDS LÄN</t>
        </is>
      </c>
      <c r="E863" t="inlineStr">
        <is>
          <t>KROKOM</t>
        </is>
      </c>
      <c r="F863" t="inlineStr">
        <is>
          <t>Kyrkan</t>
        </is>
      </c>
      <c r="G863" t="n">
        <v>3.3</v>
      </c>
      <c r="H863" t="n">
        <v>0</v>
      </c>
      <c r="I863" t="n">
        <v>0</v>
      </c>
      <c r="J863" t="n">
        <v>0</v>
      </c>
      <c r="K863" t="n">
        <v>0</v>
      </c>
      <c r="L863" t="n">
        <v>0</v>
      </c>
      <c r="M863" t="n">
        <v>0</v>
      </c>
      <c r="N863" t="n">
        <v>0</v>
      </c>
      <c r="O863" t="n">
        <v>0</v>
      </c>
      <c r="P863" t="n">
        <v>0</v>
      </c>
      <c r="Q863" t="n">
        <v>0</v>
      </c>
      <c r="R863" s="2" t="inlineStr"/>
    </row>
    <row r="864" ht="15" customHeight="1">
      <c r="A864" t="inlineStr">
        <is>
          <t>A 40213-2024</t>
        </is>
      </c>
      <c r="B864" s="1" t="n">
        <v>45554.59447916667</v>
      </c>
      <c r="C864" s="1" t="n">
        <v>45935</v>
      </c>
      <c r="D864" t="inlineStr">
        <is>
          <t>JÄMTLANDS LÄN</t>
        </is>
      </c>
      <c r="E864" t="inlineStr">
        <is>
          <t>KROKOM</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34517-2024</t>
        </is>
      </c>
      <c r="B865" s="1" t="n">
        <v>45525</v>
      </c>
      <c r="C865" s="1" t="n">
        <v>45935</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46785-2024</t>
        </is>
      </c>
      <c r="B866" s="1" t="n">
        <v>45583.52885416667</v>
      </c>
      <c r="C866" s="1" t="n">
        <v>45935</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16129-2025</t>
        </is>
      </c>
      <c r="B867" s="1" t="n">
        <v>45750.42650462963</v>
      </c>
      <c r="C867" s="1" t="n">
        <v>45935</v>
      </c>
      <c r="D867" t="inlineStr">
        <is>
          <t>JÄMTLANDS LÄN</t>
        </is>
      </c>
      <c r="E867" t="inlineStr">
        <is>
          <t>KROKOM</t>
        </is>
      </c>
      <c r="G867" t="n">
        <v>3</v>
      </c>
      <c r="H867" t="n">
        <v>0</v>
      </c>
      <c r="I867" t="n">
        <v>0</v>
      </c>
      <c r="J867" t="n">
        <v>0</v>
      </c>
      <c r="K867" t="n">
        <v>0</v>
      </c>
      <c r="L867" t="n">
        <v>0</v>
      </c>
      <c r="M867" t="n">
        <v>0</v>
      </c>
      <c r="N867" t="n">
        <v>0</v>
      </c>
      <c r="O867" t="n">
        <v>0</v>
      </c>
      <c r="P867" t="n">
        <v>0</v>
      </c>
      <c r="Q867" t="n">
        <v>0</v>
      </c>
      <c r="R867" s="2" t="inlineStr"/>
    </row>
    <row r="868" ht="15" customHeight="1">
      <c r="A868" t="inlineStr">
        <is>
          <t>A 25398-2025</t>
        </is>
      </c>
      <c r="B868" s="1" t="n">
        <v>45800.65177083333</v>
      </c>
      <c r="C868" s="1" t="n">
        <v>45935</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18583-2025</t>
        </is>
      </c>
      <c r="B869" s="1" t="n">
        <v>45763.46918981482</v>
      </c>
      <c r="C869" s="1" t="n">
        <v>45935</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25681-2025</t>
        </is>
      </c>
      <c r="B870" s="1" t="n">
        <v>45800</v>
      </c>
      <c r="C870" s="1" t="n">
        <v>45935</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25302-2025</t>
        </is>
      </c>
      <c r="B871" s="1" t="n">
        <v>45800.57129629629</v>
      </c>
      <c r="C871" s="1" t="n">
        <v>45935</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25312-2025</t>
        </is>
      </c>
      <c r="B872" s="1" t="n">
        <v>45800.57461805556</v>
      </c>
      <c r="C872" s="1" t="n">
        <v>45935</v>
      </c>
      <c r="D872" t="inlineStr">
        <is>
          <t>JÄMTLANDS LÄN</t>
        </is>
      </c>
      <c r="E872" t="inlineStr">
        <is>
          <t>KROKOM</t>
        </is>
      </c>
      <c r="G872" t="n">
        <v>3.2</v>
      </c>
      <c r="H872" t="n">
        <v>0</v>
      </c>
      <c r="I872" t="n">
        <v>0</v>
      </c>
      <c r="J872" t="n">
        <v>0</v>
      </c>
      <c r="K872" t="n">
        <v>0</v>
      </c>
      <c r="L872" t="n">
        <v>0</v>
      </c>
      <c r="M872" t="n">
        <v>0</v>
      </c>
      <c r="N872" t="n">
        <v>0</v>
      </c>
      <c r="O872" t="n">
        <v>0</v>
      </c>
      <c r="P872" t="n">
        <v>0</v>
      </c>
      <c r="Q872" t="n">
        <v>0</v>
      </c>
      <c r="R872" s="2" t="inlineStr"/>
    </row>
    <row r="873" ht="15" customHeight="1">
      <c r="A873" t="inlineStr">
        <is>
          <t>A 28191-2024</t>
        </is>
      </c>
      <c r="B873" s="1" t="n">
        <v>45477.32728009259</v>
      </c>
      <c r="C873" s="1" t="n">
        <v>45935</v>
      </c>
      <c r="D873" t="inlineStr">
        <is>
          <t>JÄMTLANDS LÄN</t>
        </is>
      </c>
      <c r="E873" t="inlineStr">
        <is>
          <t>KROKOM</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24441-2022</t>
        </is>
      </c>
      <c r="B874" s="1" t="n">
        <v>44726</v>
      </c>
      <c r="C874" s="1" t="n">
        <v>45935</v>
      </c>
      <c r="D874" t="inlineStr">
        <is>
          <t>JÄMTLANDS LÄN</t>
        </is>
      </c>
      <c r="E874" t="inlineStr">
        <is>
          <t>KROKOM</t>
        </is>
      </c>
      <c r="G874" t="n">
        <v>12.1</v>
      </c>
      <c r="H874" t="n">
        <v>0</v>
      </c>
      <c r="I874" t="n">
        <v>0</v>
      </c>
      <c r="J874" t="n">
        <v>0</v>
      </c>
      <c r="K874" t="n">
        <v>0</v>
      </c>
      <c r="L874" t="n">
        <v>0</v>
      </c>
      <c r="M874" t="n">
        <v>0</v>
      </c>
      <c r="N874" t="n">
        <v>0</v>
      </c>
      <c r="O874" t="n">
        <v>0</v>
      </c>
      <c r="P874" t="n">
        <v>0</v>
      </c>
      <c r="Q874" t="n">
        <v>0</v>
      </c>
      <c r="R874" s="2" t="inlineStr"/>
    </row>
    <row r="875" ht="15" customHeight="1">
      <c r="A875" t="inlineStr">
        <is>
          <t>A 25295-2025</t>
        </is>
      </c>
      <c r="B875" s="1" t="n">
        <v>45800.56810185185</v>
      </c>
      <c r="C875" s="1" t="n">
        <v>45935</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5173-2025</t>
        </is>
      </c>
      <c r="B876" s="1" t="n">
        <v>45691.61996527778</v>
      </c>
      <c r="C876" s="1" t="n">
        <v>45935</v>
      </c>
      <c r="D876" t="inlineStr">
        <is>
          <t>JÄMTLANDS LÄN</t>
        </is>
      </c>
      <c r="E876" t="inlineStr">
        <is>
          <t>KROKOM</t>
        </is>
      </c>
      <c r="F876" t="inlineStr">
        <is>
          <t>Kyrkan</t>
        </is>
      </c>
      <c r="G876" t="n">
        <v>6.6</v>
      </c>
      <c r="H876" t="n">
        <v>0</v>
      </c>
      <c r="I876" t="n">
        <v>0</v>
      </c>
      <c r="J876" t="n">
        <v>0</v>
      </c>
      <c r="K876" t="n">
        <v>0</v>
      </c>
      <c r="L876" t="n">
        <v>0</v>
      </c>
      <c r="M876" t="n">
        <v>0</v>
      </c>
      <c r="N876" t="n">
        <v>0</v>
      </c>
      <c r="O876" t="n">
        <v>0</v>
      </c>
      <c r="P876" t="n">
        <v>0</v>
      </c>
      <c r="Q876" t="n">
        <v>0</v>
      </c>
      <c r="R876" s="2" t="inlineStr"/>
    </row>
    <row r="877" ht="15" customHeight="1">
      <c r="A877" t="inlineStr">
        <is>
          <t>A 23512-2022</t>
        </is>
      </c>
      <c r="B877" s="1" t="n">
        <v>44721.39003472222</v>
      </c>
      <c r="C877" s="1" t="n">
        <v>45935</v>
      </c>
      <c r="D877" t="inlineStr">
        <is>
          <t>JÄMTLANDS LÄN</t>
        </is>
      </c>
      <c r="E877" t="inlineStr">
        <is>
          <t>KROKOM</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5409-2025</t>
        </is>
      </c>
      <c r="B878" s="1" t="n">
        <v>45692</v>
      </c>
      <c r="C878" s="1" t="n">
        <v>45935</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233-2023</t>
        </is>
      </c>
      <c r="B879" s="1" t="n">
        <v>44922</v>
      </c>
      <c r="C879" s="1" t="n">
        <v>45935</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10498-2025</t>
        </is>
      </c>
      <c r="B880" s="1" t="n">
        <v>45721</v>
      </c>
      <c r="C880" s="1" t="n">
        <v>45935</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50919-2024</t>
        </is>
      </c>
      <c r="B881" s="1" t="n">
        <v>45602</v>
      </c>
      <c r="C881" s="1" t="n">
        <v>45935</v>
      </c>
      <c r="D881" t="inlineStr">
        <is>
          <t>JÄMTLANDS LÄN</t>
        </is>
      </c>
      <c r="E881" t="inlineStr">
        <is>
          <t>KROKOM</t>
        </is>
      </c>
      <c r="G881" t="n">
        <v>33.7</v>
      </c>
      <c r="H881" t="n">
        <v>0</v>
      </c>
      <c r="I881" t="n">
        <v>0</v>
      </c>
      <c r="J881" t="n">
        <v>0</v>
      </c>
      <c r="K881" t="n">
        <v>0</v>
      </c>
      <c r="L881" t="n">
        <v>0</v>
      </c>
      <c r="M881" t="n">
        <v>0</v>
      </c>
      <c r="N881" t="n">
        <v>0</v>
      </c>
      <c r="O881" t="n">
        <v>0</v>
      </c>
      <c r="P881" t="n">
        <v>0</v>
      </c>
      <c r="Q881" t="n">
        <v>0</v>
      </c>
      <c r="R881" s="2" t="inlineStr"/>
    </row>
    <row r="882" ht="15" customHeight="1">
      <c r="A882" t="inlineStr">
        <is>
          <t>A 15422-2025</t>
        </is>
      </c>
      <c r="B882" s="1" t="n">
        <v>45746</v>
      </c>
      <c r="C882" s="1" t="n">
        <v>45935</v>
      </c>
      <c r="D882" t="inlineStr">
        <is>
          <t>JÄMTLANDS LÄN</t>
        </is>
      </c>
      <c r="E882" t="inlineStr">
        <is>
          <t>KROKOM</t>
        </is>
      </c>
      <c r="F882" t="inlineStr">
        <is>
          <t>SCA</t>
        </is>
      </c>
      <c r="G882" t="n">
        <v>12.9</v>
      </c>
      <c r="H882" t="n">
        <v>0</v>
      </c>
      <c r="I882" t="n">
        <v>0</v>
      </c>
      <c r="J882" t="n">
        <v>0</v>
      </c>
      <c r="K882" t="n">
        <v>0</v>
      </c>
      <c r="L882" t="n">
        <v>0</v>
      </c>
      <c r="M882" t="n">
        <v>0</v>
      </c>
      <c r="N882" t="n">
        <v>0</v>
      </c>
      <c r="O882" t="n">
        <v>0</v>
      </c>
      <c r="P882" t="n">
        <v>0</v>
      </c>
      <c r="Q882" t="n">
        <v>0</v>
      </c>
      <c r="R882" s="2" t="inlineStr"/>
    </row>
    <row r="883" ht="15" customHeight="1">
      <c r="A883" t="inlineStr">
        <is>
          <t>A 15451-2021</t>
        </is>
      </c>
      <c r="B883" s="1" t="n">
        <v>44285</v>
      </c>
      <c r="C883" s="1" t="n">
        <v>45935</v>
      </c>
      <c r="D883" t="inlineStr">
        <is>
          <t>JÄMTLANDS LÄN</t>
        </is>
      </c>
      <c r="E883" t="inlineStr">
        <is>
          <t>KROKOM</t>
        </is>
      </c>
      <c r="G883" t="n">
        <v>6.7</v>
      </c>
      <c r="H883" t="n">
        <v>0</v>
      </c>
      <c r="I883" t="n">
        <v>0</v>
      </c>
      <c r="J883" t="n">
        <v>0</v>
      </c>
      <c r="K883" t="n">
        <v>0</v>
      </c>
      <c r="L883" t="n">
        <v>0</v>
      </c>
      <c r="M883" t="n">
        <v>0</v>
      </c>
      <c r="N883" t="n">
        <v>0</v>
      </c>
      <c r="O883" t="n">
        <v>0</v>
      </c>
      <c r="P883" t="n">
        <v>0</v>
      </c>
      <c r="Q883" t="n">
        <v>0</v>
      </c>
      <c r="R883" s="2" t="inlineStr"/>
    </row>
    <row r="884" ht="15" customHeight="1">
      <c r="A884" t="inlineStr">
        <is>
          <t>A 16817-2024</t>
        </is>
      </c>
      <c r="B884" s="1" t="n">
        <v>45411.4666087963</v>
      </c>
      <c r="C884" s="1" t="n">
        <v>45935</v>
      </c>
      <c r="D884" t="inlineStr">
        <is>
          <t>JÄMTLANDS LÄN</t>
        </is>
      </c>
      <c r="E884" t="inlineStr">
        <is>
          <t>KROKOM</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64299-2021</t>
        </is>
      </c>
      <c r="B885" s="1" t="n">
        <v>44510.9491087963</v>
      </c>
      <c r="C885" s="1" t="n">
        <v>45935</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4608-2025</t>
        </is>
      </c>
      <c r="B886" s="1" t="n">
        <v>45687</v>
      </c>
      <c r="C886" s="1" t="n">
        <v>45935</v>
      </c>
      <c r="D886" t="inlineStr">
        <is>
          <t>JÄMTLANDS LÄN</t>
        </is>
      </c>
      <c r="E886" t="inlineStr">
        <is>
          <t>KROKOM</t>
        </is>
      </c>
      <c r="F886" t="inlineStr">
        <is>
          <t>SCA</t>
        </is>
      </c>
      <c r="G886" t="n">
        <v>16.6</v>
      </c>
      <c r="H886" t="n">
        <v>0</v>
      </c>
      <c r="I886" t="n">
        <v>0</v>
      </c>
      <c r="J886" t="n">
        <v>0</v>
      </c>
      <c r="K886" t="n">
        <v>0</v>
      </c>
      <c r="L886" t="n">
        <v>0</v>
      </c>
      <c r="M886" t="n">
        <v>0</v>
      </c>
      <c r="N886" t="n">
        <v>0</v>
      </c>
      <c r="O886" t="n">
        <v>0</v>
      </c>
      <c r="P886" t="n">
        <v>0</v>
      </c>
      <c r="Q886" t="n">
        <v>0</v>
      </c>
      <c r="R886" s="2" t="inlineStr"/>
    </row>
    <row r="887" ht="15" customHeight="1">
      <c r="A887" t="inlineStr">
        <is>
          <t>A 23507-2024</t>
        </is>
      </c>
      <c r="B887" s="1" t="n">
        <v>45453</v>
      </c>
      <c r="C887" s="1" t="n">
        <v>45935</v>
      </c>
      <c r="D887" t="inlineStr">
        <is>
          <t>JÄMTLANDS LÄN</t>
        </is>
      </c>
      <c r="E887" t="inlineStr">
        <is>
          <t>KROKOM</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52578-2021</t>
        </is>
      </c>
      <c r="B888" s="1" t="n">
        <v>44466.56642361111</v>
      </c>
      <c r="C888" s="1" t="n">
        <v>45935</v>
      </c>
      <c r="D888" t="inlineStr">
        <is>
          <t>JÄMTLANDS LÄN</t>
        </is>
      </c>
      <c r="E888" t="inlineStr">
        <is>
          <t>KROKOM</t>
        </is>
      </c>
      <c r="G888" t="n">
        <v>17.1</v>
      </c>
      <c r="H888" t="n">
        <v>0</v>
      </c>
      <c r="I888" t="n">
        <v>0</v>
      </c>
      <c r="J888" t="n">
        <v>0</v>
      </c>
      <c r="K888" t="n">
        <v>0</v>
      </c>
      <c r="L888" t="n">
        <v>0</v>
      </c>
      <c r="M888" t="n">
        <v>0</v>
      </c>
      <c r="N888" t="n">
        <v>0</v>
      </c>
      <c r="O888" t="n">
        <v>0</v>
      </c>
      <c r="P888" t="n">
        <v>0</v>
      </c>
      <c r="Q888" t="n">
        <v>0</v>
      </c>
      <c r="R888" s="2" t="inlineStr"/>
    </row>
    <row r="889" ht="15" customHeight="1">
      <c r="A889" t="inlineStr">
        <is>
          <t>A 6024-2025</t>
        </is>
      </c>
      <c r="B889" s="1" t="n">
        <v>45695.61160879629</v>
      </c>
      <c r="C889" s="1" t="n">
        <v>45935</v>
      </c>
      <c r="D889" t="inlineStr">
        <is>
          <t>JÄMTLANDS LÄN</t>
        </is>
      </c>
      <c r="E889" t="inlineStr">
        <is>
          <t>KROKOM</t>
        </is>
      </c>
      <c r="F889" t="inlineStr">
        <is>
          <t>Övriga Aktiebolag</t>
        </is>
      </c>
      <c r="G889" t="n">
        <v>3.1</v>
      </c>
      <c r="H889" t="n">
        <v>0</v>
      </c>
      <c r="I889" t="n">
        <v>0</v>
      </c>
      <c r="J889" t="n">
        <v>0</v>
      </c>
      <c r="K889" t="n">
        <v>0</v>
      </c>
      <c r="L889" t="n">
        <v>0</v>
      </c>
      <c r="M889" t="n">
        <v>0</v>
      </c>
      <c r="N889" t="n">
        <v>0</v>
      </c>
      <c r="O889" t="n">
        <v>0</v>
      </c>
      <c r="P889" t="n">
        <v>0</v>
      </c>
      <c r="Q889" t="n">
        <v>0</v>
      </c>
      <c r="R889" s="2" t="inlineStr"/>
    </row>
    <row r="890" ht="15" customHeight="1">
      <c r="A890" t="inlineStr">
        <is>
          <t>A 26272-2025</t>
        </is>
      </c>
      <c r="B890" s="1" t="n">
        <v>45805</v>
      </c>
      <c r="C890" s="1" t="n">
        <v>45935</v>
      </c>
      <c r="D890" t="inlineStr">
        <is>
          <t>JÄMTLANDS LÄN</t>
        </is>
      </c>
      <c r="E890" t="inlineStr">
        <is>
          <t>KROKOM</t>
        </is>
      </c>
      <c r="G890" t="n">
        <v>22.4</v>
      </c>
      <c r="H890" t="n">
        <v>0</v>
      </c>
      <c r="I890" t="n">
        <v>0</v>
      </c>
      <c r="J890" t="n">
        <v>0</v>
      </c>
      <c r="K890" t="n">
        <v>0</v>
      </c>
      <c r="L890" t="n">
        <v>0</v>
      </c>
      <c r="M890" t="n">
        <v>0</v>
      </c>
      <c r="N890" t="n">
        <v>0</v>
      </c>
      <c r="O890" t="n">
        <v>0</v>
      </c>
      <c r="P890" t="n">
        <v>0</v>
      </c>
      <c r="Q890" t="n">
        <v>0</v>
      </c>
      <c r="R890" s="2" t="inlineStr"/>
    </row>
    <row r="891" ht="15" customHeight="1">
      <c r="A891" t="inlineStr">
        <is>
          <t>A 55660-2023</t>
        </is>
      </c>
      <c r="B891" s="1" t="n">
        <v>45238</v>
      </c>
      <c r="C891" s="1" t="n">
        <v>45935</v>
      </c>
      <c r="D891" t="inlineStr">
        <is>
          <t>JÄMTLANDS LÄN</t>
        </is>
      </c>
      <c r="E891" t="inlineStr">
        <is>
          <t>KROKOM</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14233-2025</t>
        </is>
      </c>
      <c r="B892" s="1" t="n">
        <v>45740.60347222222</v>
      </c>
      <c r="C892" s="1" t="n">
        <v>45935</v>
      </c>
      <c r="D892" t="inlineStr">
        <is>
          <t>JÄMTLANDS LÄN</t>
        </is>
      </c>
      <c r="E892" t="inlineStr">
        <is>
          <t>KROKOM</t>
        </is>
      </c>
      <c r="F892" t="inlineStr">
        <is>
          <t>Övriga statliga verk och myndigheter</t>
        </is>
      </c>
      <c r="G892" t="n">
        <v>2.5</v>
      </c>
      <c r="H892" t="n">
        <v>0</v>
      </c>
      <c r="I892" t="n">
        <v>0</v>
      </c>
      <c r="J892" t="n">
        <v>0</v>
      </c>
      <c r="K892" t="n">
        <v>0</v>
      </c>
      <c r="L892" t="n">
        <v>0</v>
      </c>
      <c r="M892" t="n">
        <v>0</v>
      </c>
      <c r="N892" t="n">
        <v>0</v>
      </c>
      <c r="O892" t="n">
        <v>0</v>
      </c>
      <c r="P892" t="n">
        <v>0</v>
      </c>
      <c r="Q892" t="n">
        <v>0</v>
      </c>
      <c r="R892" s="2" t="inlineStr"/>
    </row>
    <row r="893" ht="15" customHeight="1">
      <c r="A893" t="inlineStr">
        <is>
          <t>A 35559-2024</t>
        </is>
      </c>
      <c r="B893" s="1" t="n">
        <v>45531.62141203704</v>
      </c>
      <c r="C893" s="1" t="n">
        <v>45935</v>
      </c>
      <c r="D893" t="inlineStr">
        <is>
          <t>JÄMTLANDS LÄN</t>
        </is>
      </c>
      <c r="E893" t="inlineStr">
        <is>
          <t>KROKOM</t>
        </is>
      </c>
      <c r="G893" t="n">
        <v>0.5</v>
      </c>
      <c r="H893" t="n">
        <v>0</v>
      </c>
      <c r="I893" t="n">
        <v>0</v>
      </c>
      <c r="J893" t="n">
        <v>0</v>
      </c>
      <c r="K893" t="n">
        <v>0</v>
      </c>
      <c r="L893" t="n">
        <v>0</v>
      </c>
      <c r="M893" t="n">
        <v>0</v>
      </c>
      <c r="N893" t="n">
        <v>0</v>
      </c>
      <c r="O893" t="n">
        <v>0</v>
      </c>
      <c r="P893" t="n">
        <v>0</v>
      </c>
      <c r="Q893" t="n">
        <v>0</v>
      </c>
      <c r="R893" s="2" t="inlineStr"/>
    </row>
    <row r="894" ht="15" customHeight="1">
      <c r="A894" t="inlineStr">
        <is>
          <t>A 26212-2025</t>
        </is>
      </c>
      <c r="B894" s="1" t="n">
        <v>45805.54185185185</v>
      </c>
      <c r="C894" s="1" t="n">
        <v>45935</v>
      </c>
      <c r="D894" t="inlineStr">
        <is>
          <t>JÄMTLANDS LÄN</t>
        </is>
      </c>
      <c r="E894" t="inlineStr">
        <is>
          <t>KROKOM</t>
        </is>
      </c>
      <c r="G894" t="n">
        <v>1.5</v>
      </c>
      <c r="H894" t="n">
        <v>0</v>
      </c>
      <c r="I894" t="n">
        <v>0</v>
      </c>
      <c r="J894" t="n">
        <v>0</v>
      </c>
      <c r="K894" t="n">
        <v>0</v>
      </c>
      <c r="L894" t="n">
        <v>0</v>
      </c>
      <c r="M894" t="n">
        <v>0</v>
      </c>
      <c r="N894" t="n">
        <v>0</v>
      </c>
      <c r="O894" t="n">
        <v>0</v>
      </c>
      <c r="P894" t="n">
        <v>0</v>
      </c>
      <c r="Q894" t="n">
        <v>0</v>
      </c>
      <c r="R894" s="2" t="inlineStr"/>
    </row>
    <row r="895" ht="15" customHeight="1">
      <c r="A895" t="inlineStr">
        <is>
          <t>A 26544-2025</t>
        </is>
      </c>
      <c r="B895" s="1" t="n">
        <v>45807.58930555556</v>
      </c>
      <c r="C895" s="1" t="n">
        <v>45935</v>
      </c>
      <c r="D895" t="inlineStr">
        <is>
          <t>JÄMTLANDS LÄN</t>
        </is>
      </c>
      <c r="E895" t="inlineStr">
        <is>
          <t>KROKOM</t>
        </is>
      </c>
      <c r="G895" t="n">
        <v>1.3</v>
      </c>
      <c r="H895" t="n">
        <v>0</v>
      </c>
      <c r="I895" t="n">
        <v>0</v>
      </c>
      <c r="J895" t="n">
        <v>0</v>
      </c>
      <c r="K895" t="n">
        <v>0</v>
      </c>
      <c r="L895" t="n">
        <v>0</v>
      </c>
      <c r="M895" t="n">
        <v>0</v>
      </c>
      <c r="N895" t="n">
        <v>0</v>
      </c>
      <c r="O895" t="n">
        <v>0</v>
      </c>
      <c r="P895" t="n">
        <v>0</v>
      </c>
      <c r="Q895" t="n">
        <v>0</v>
      </c>
      <c r="R895" s="2" t="inlineStr"/>
    </row>
    <row r="896" ht="15" customHeight="1">
      <c r="A896" t="inlineStr">
        <is>
          <t>A 16345-2025</t>
        </is>
      </c>
      <c r="B896" s="1" t="n">
        <v>45751.3734837963</v>
      </c>
      <c r="C896" s="1" t="n">
        <v>45935</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16481-2025</t>
        </is>
      </c>
      <c r="B897" s="1" t="n">
        <v>45751.57877314815</v>
      </c>
      <c r="C897" s="1" t="n">
        <v>45935</v>
      </c>
      <c r="D897" t="inlineStr">
        <is>
          <t>JÄMTLANDS LÄN</t>
        </is>
      </c>
      <c r="E897" t="inlineStr">
        <is>
          <t>KROKOM</t>
        </is>
      </c>
      <c r="G897" t="n">
        <v>8.4</v>
      </c>
      <c r="H897" t="n">
        <v>0</v>
      </c>
      <c r="I897" t="n">
        <v>0</v>
      </c>
      <c r="J897" t="n">
        <v>0</v>
      </c>
      <c r="K897" t="n">
        <v>0</v>
      </c>
      <c r="L897" t="n">
        <v>0</v>
      </c>
      <c r="M897" t="n">
        <v>0</v>
      </c>
      <c r="N897" t="n">
        <v>0</v>
      </c>
      <c r="O897" t="n">
        <v>0</v>
      </c>
      <c r="P897" t="n">
        <v>0</v>
      </c>
      <c r="Q897" t="n">
        <v>0</v>
      </c>
      <c r="R897" s="2" t="inlineStr"/>
    </row>
    <row r="898" ht="15" customHeight="1">
      <c r="A898" t="inlineStr">
        <is>
          <t>A 26527-2025</t>
        </is>
      </c>
      <c r="B898" s="1" t="n">
        <v>45807.56728009259</v>
      </c>
      <c r="C898" s="1" t="n">
        <v>45935</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61078-2023</t>
        </is>
      </c>
      <c r="B899" s="1" t="n">
        <v>45261</v>
      </c>
      <c r="C899" s="1" t="n">
        <v>45935</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12838-2025</t>
        </is>
      </c>
      <c r="B900" s="1" t="n">
        <v>45733</v>
      </c>
      <c r="C900" s="1" t="n">
        <v>45935</v>
      </c>
      <c r="D900" t="inlineStr">
        <is>
          <t>JÄMTLANDS LÄN</t>
        </is>
      </c>
      <c r="E900" t="inlineStr">
        <is>
          <t>KROKOM</t>
        </is>
      </c>
      <c r="G900" t="n">
        <v>59.3</v>
      </c>
      <c r="H900" t="n">
        <v>0</v>
      </c>
      <c r="I900" t="n">
        <v>0</v>
      </c>
      <c r="J900" t="n">
        <v>0</v>
      </c>
      <c r="K900" t="n">
        <v>0</v>
      </c>
      <c r="L900" t="n">
        <v>0</v>
      </c>
      <c r="M900" t="n">
        <v>0</v>
      </c>
      <c r="N900" t="n">
        <v>0</v>
      </c>
      <c r="O900" t="n">
        <v>0</v>
      </c>
      <c r="P900" t="n">
        <v>0</v>
      </c>
      <c r="Q900" t="n">
        <v>0</v>
      </c>
      <c r="R900" s="2" t="inlineStr"/>
    </row>
    <row r="901" ht="15" customHeight="1">
      <c r="A901" t="inlineStr">
        <is>
          <t>A 13722-2025</t>
        </is>
      </c>
      <c r="B901" s="1" t="n">
        <v>45737.36873842592</v>
      </c>
      <c r="C901" s="1" t="n">
        <v>45935</v>
      </c>
      <c r="D901" t="inlineStr">
        <is>
          <t>JÄMTLANDS LÄN</t>
        </is>
      </c>
      <c r="E901" t="inlineStr">
        <is>
          <t>KROKOM</t>
        </is>
      </c>
      <c r="G901" t="n">
        <v>1.6</v>
      </c>
      <c r="H901" t="n">
        <v>0</v>
      </c>
      <c r="I901" t="n">
        <v>0</v>
      </c>
      <c r="J901" t="n">
        <v>0</v>
      </c>
      <c r="K901" t="n">
        <v>0</v>
      </c>
      <c r="L901" t="n">
        <v>0</v>
      </c>
      <c r="M901" t="n">
        <v>0</v>
      </c>
      <c r="N901" t="n">
        <v>0</v>
      </c>
      <c r="O901" t="n">
        <v>0</v>
      </c>
      <c r="P901" t="n">
        <v>0</v>
      </c>
      <c r="Q901" t="n">
        <v>0</v>
      </c>
      <c r="R901" s="2" t="inlineStr"/>
    </row>
    <row r="902" ht="15" customHeight="1">
      <c r="A902" t="inlineStr">
        <is>
          <t>A 26619-2025</t>
        </is>
      </c>
      <c r="B902" s="1" t="n">
        <v>45810.31376157407</v>
      </c>
      <c r="C902" s="1" t="n">
        <v>45935</v>
      </c>
      <c r="D902" t="inlineStr">
        <is>
          <t>JÄMTLANDS LÄN</t>
        </is>
      </c>
      <c r="E902" t="inlineStr">
        <is>
          <t>KROKOM</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26621-2025</t>
        </is>
      </c>
      <c r="B903" s="1" t="n">
        <v>45810.32105324074</v>
      </c>
      <c r="C903" s="1" t="n">
        <v>45935</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5422-2021</t>
        </is>
      </c>
      <c r="B904" s="1" t="n">
        <v>44228</v>
      </c>
      <c r="C904" s="1" t="n">
        <v>45935</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27104-2025</t>
        </is>
      </c>
      <c r="B905" s="1" t="n">
        <v>45811.69912037037</v>
      </c>
      <c r="C905" s="1" t="n">
        <v>45935</v>
      </c>
      <c r="D905" t="inlineStr">
        <is>
          <t>JÄMTLANDS LÄN</t>
        </is>
      </c>
      <c r="E905" t="inlineStr">
        <is>
          <t>KROKOM</t>
        </is>
      </c>
      <c r="G905" t="n">
        <v>14.4</v>
      </c>
      <c r="H905" t="n">
        <v>0</v>
      </c>
      <c r="I905" t="n">
        <v>0</v>
      </c>
      <c r="J905" t="n">
        <v>0</v>
      </c>
      <c r="K905" t="n">
        <v>0</v>
      </c>
      <c r="L905" t="n">
        <v>0</v>
      </c>
      <c r="M905" t="n">
        <v>0</v>
      </c>
      <c r="N905" t="n">
        <v>0</v>
      </c>
      <c r="O905" t="n">
        <v>0</v>
      </c>
      <c r="P905" t="n">
        <v>0</v>
      </c>
      <c r="Q905" t="n">
        <v>0</v>
      </c>
      <c r="R905" s="2" t="inlineStr"/>
    </row>
    <row r="906" ht="15" customHeight="1">
      <c r="A906" t="inlineStr">
        <is>
          <t>A 10279-2025</t>
        </is>
      </c>
      <c r="B906" s="1" t="n">
        <v>45720.40268518519</v>
      </c>
      <c r="C906" s="1" t="n">
        <v>45935</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42816-2023</t>
        </is>
      </c>
      <c r="B907" s="1" t="n">
        <v>45182</v>
      </c>
      <c r="C907" s="1" t="n">
        <v>45935</v>
      </c>
      <c r="D907" t="inlineStr">
        <is>
          <t>JÄMTLANDS LÄN</t>
        </is>
      </c>
      <c r="E907" t="inlineStr">
        <is>
          <t>KROKOM</t>
        </is>
      </c>
      <c r="G907" t="n">
        <v>3.9</v>
      </c>
      <c r="H907" t="n">
        <v>0</v>
      </c>
      <c r="I907" t="n">
        <v>0</v>
      </c>
      <c r="J907" t="n">
        <v>0</v>
      </c>
      <c r="K907" t="n">
        <v>0</v>
      </c>
      <c r="L907" t="n">
        <v>0</v>
      </c>
      <c r="M907" t="n">
        <v>0</v>
      </c>
      <c r="N907" t="n">
        <v>0</v>
      </c>
      <c r="O907" t="n">
        <v>0</v>
      </c>
      <c r="P907" t="n">
        <v>0</v>
      </c>
      <c r="Q907" t="n">
        <v>0</v>
      </c>
      <c r="R907" s="2" t="inlineStr"/>
    </row>
    <row r="908" ht="15" customHeight="1">
      <c r="A908" t="inlineStr">
        <is>
          <t>A 31927-2023</t>
        </is>
      </c>
      <c r="B908" s="1" t="n">
        <v>45118.94061342593</v>
      </c>
      <c r="C908" s="1" t="n">
        <v>45935</v>
      </c>
      <c r="D908" t="inlineStr">
        <is>
          <t>JÄMTLANDS LÄN</t>
        </is>
      </c>
      <c r="E908" t="inlineStr">
        <is>
          <t>KROKOM</t>
        </is>
      </c>
      <c r="G908" t="n">
        <v>56.6</v>
      </c>
      <c r="H908" t="n">
        <v>0</v>
      </c>
      <c r="I908" t="n">
        <v>0</v>
      </c>
      <c r="J908" t="n">
        <v>0</v>
      </c>
      <c r="K908" t="n">
        <v>0</v>
      </c>
      <c r="L908" t="n">
        <v>0</v>
      </c>
      <c r="M908" t="n">
        <v>0</v>
      </c>
      <c r="N908" t="n">
        <v>0</v>
      </c>
      <c r="O908" t="n">
        <v>0</v>
      </c>
      <c r="P908" t="n">
        <v>0</v>
      </c>
      <c r="Q908" t="n">
        <v>0</v>
      </c>
      <c r="R908" s="2" t="inlineStr"/>
    </row>
    <row r="909" ht="15" customHeight="1">
      <c r="A909" t="inlineStr">
        <is>
          <t>A 27431-2024</t>
        </is>
      </c>
      <c r="B909" s="1" t="n">
        <v>45474.3981712963</v>
      </c>
      <c r="C909" s="1" t="n">
        <v>45935</v>
      </c>
      <c r="D909" t="inlineStr">
        <is>
          <t>JÄMTLANDS LÄN</t>
        </is>
      </c>
      <c r="E909" t="inlineStr">
        <is>
          <t>KROKOM</t>
        </is>
      </c>
      <c r="G909" t="n">
        <v>4.2</v>
      </c>
      <c r="H909" t="n">
        <v>0</v>
      </c>
      <c r="I909" t="n">
        <v>0</v>
      </c>
      <c r="J909" t="n">
        <v>0</v>
      </c>
      <c r="K909" t="n">
        <v>0</v>
      </c>
      <c r="L909" t="n">
        <v>0</v>
      </c>
      <c r="M909" t="n">
        <v>0</v>
      </c>
      <c r="N909" t="n">
        <v>0</v>
      </c>
      <c r="O909" t="n">
        <v>0</v>
      </c>
      <c r="P909" t="n">
        <v>0</v>
      </c>
      <c r="Q909" t="n">
        <v>0</v>
      </c>
      <c r="R909" s="2" t="inlineStr"/>
    </row>
    <row r="910" ht="15" customHeight="1">
      <c r="A910" t="inlineStr">
        <is>
          <t>A 27003-2025</t>
        </is>
      </c>
      <c r="B910" s="1" t="n">
        <v>45811.54760416667</v>
      </c>
      <c r="C910" s="1" t="n">
        <v>45935</v>
      </c>
      <c r="D910" t="inlineStr">
        <is>
          <t>JÄMTLANDS LÄN</t>
        </is>
      </c>
      <c r="E910" t="inlineStr">
        <is>
          <t>KROKOM</t>
        </is>
      </c>
      <c r="G910" t="n">
        <v>2.8</v>
      </c>
      <c r="H910" t="n">
        <v>0</v>
      </c>
      <c r="I910" t="n">
        <v>0</v>
      </c>
      <c r="J910" t="n">
        <v>0</v>
      </c>
      <c r="K910" t="n">
        <v>0</v>
      </c>
      <c r="L910" t="n">
        <v>0</v>
      </c>
      <c r="M910" t="n">
        <v>0</v>
      </c>
      <c r="N910" t="n">
        <v>0</v>
      </c>
      <c r="O910" t="n">
        <v>0</v>
      </c>
      <c r="P910" t="n">
        <v>0</v>
      </c>
      <c r="Q910" t="n">
        <v>0</v>
      </c>
      <c r="R910" s="2" t="inlineStr"/>
    </row>
    <row r="911" ht="15" customHeight="1">
      <c r="A911" t="inlineStr">
        <is>
          <t>A 22236-2025</t>
        </is>
      </c>
      <c r="B911" s="1" t="n">
        <v>45785.67431712963</v>
      </c>
      <c r="C911" s="1" t="n">
        <v>45935</v>
      </c>
      <c r="D911" t="inlineStr">
        <is>
          <t>JÄMTLANDS LÄN</t>
        </is>
      </c>
      <c r="E911" t="inlineStr">
        <is>
          <t>KROKOM</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8695-2025</t>
        </is>
      </c>
      <c r="B912" s="1" t="n">
        <v>45709</v>
      </c>
      <c r="C912" s="1" t="n">
        <v>45935</v>
      </c>
      <c r="D912" t="inlineStr">
        <is>
          <t>JÄMTLANDS LÄN</t>
        </is>
      </c>
      <c r="E912" t="inlineStr">
        <is>
          <t>KROKOM</t>
        </is>
      </c>
      <c r="G912" t="n">
        <v>21.4</v>
      </c>
      <c r="H912" t="n">
        <v>0</v>
      </c>
      <c r="I912" t="n">
        <v>0</v>
      </c>
      <c r="J912" t="n">
        <v>0</v>
      </c>
      <c r="K912" t="n">
        <v>0</v>
      </c>
      <c r="L912" t="n">
        <v>0</v>
      </c>
      <c r="M912" t="n">
        <v>0</v>
      </c>
      <c r="N912" t="n">
        <v>0</v>
      </c>
      <c r="O912" t="n">
        <v>0</v>
      </c>
      <c r="P912" t="n">
        <v>0</v>
      </c>
      <c r="Q912" t="n">
        <v>0</v>
      </c>
      <c r="R912" s="2" t="inlineStr"/>
    </row>
    <row r="913" ht="15" customHeight="1">
      <c r="A913" t="inlineStr">
        <is>
          <t>A 27522-2025</t>
        </is>
      </c>
      <c r="B913" s="1" t="n">
        <v>45813.44443287037</v>
      </c>
      <c r="C913" s="1" t="n">
        <v>45935</v>
      </c>
      <c r="D913" t="inlineStr">
        <is>
          <t>JÄMTLANDS LÄN</t>
        </is>
      </c>
      <c r="E913" t="inlineStr">
        <is>
          <t>KROKOM</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47850-2023</t>
        </is>
      </c>
      <c r="B914" s="1" t="n">
        <v>45204.40770833333</v>
      </c>
      <c r="C914" s="1" t="n">
        <v>45935</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27547-2025</t>
        </is>
      </c>
      <c r="B915" s="1" t="n">
        <v>45813.46969907408</v>
      </c>
      <c r="C915" s="1" t="n">
        <v>45935</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27703-2025</t>
        </is>
      </c>
      <c r="B916" s="1" t="n">
        <v>45813.68361111111</v>
      </c>
      <c r="C916" s="1" t="n">
        <v>45935</v>
      </c>
      <c r="D916" t="inlineStr">
        <is>
          <t>JÄMTLANDS LÄN</t>
        </is>
      </c>
      <c r="E916" t="inlineStr">
        <is>
          <t>KROKOM</t>
        </is>
      </c>
      <c r="G916" t="n">
        <v>7.1</v>
      </c>
      <c r="H916" t="n">
        <v>0</v>
      </c>
      <c r="I916" t="n">
        <v>0</v>
      </c>
      <c r="J916" t="n">
        <v>0</v>
      </c>
      <c r="K916" t="n">
        <v>0</v>
      </c>
      <c r="L916" t="n">
        <v>0</v>
      </c>
      <c r="M916" t="n">
        <v>0</v>
      </c>
      <c r="N916" t="n">
        <v>0</v>
      </c>
      <c r="O916" t="n">
        <v>0</v>
      </c>
      <c r="P916" t="n">
        <v>0</v>
      </c>
      <c r="Q916" t="n">
        <v>0</v>
      </c>
      <c r="R916" s="2" t="inlineStr"/>
    </row>
    <row r="917" ht="15" customHeight="1">
      <c r="A917" t="inlineStr">
        <is>
          <t>A 27153-2025</t>
        </is>
      </c>
      <c r="B917" s="1" t="n">
        <v>45812.32266203704</v>
      </c>
      <c r="C917" s="1" t="n">
        <v>45935</v>
      </c>
      <c r="D917" t="inlineStr">
        <is>
          <t>JÄMTLANDS LÄN</t>
        </is>
      </c>
      <c r="E917" t="inlineStr">
        <is>
          <t>KROKOM</t>
        </is>
      </c>
      <c r="G917" t="n">
        <v>15.8</v>
      </c>
      <c r="H917" t="n">
        <v>0</v>
      </c>
      <c r="I917" t="n">
        <v>0</v>
      </c>
      <c r="J917" t="n">
        <v>0</v>
      </c>
      <c r="K917" t="n">
        <v>0</v>
      </c>
      <c r="L917" t="n">
        <v>0</v>
      </c>
      <c r="M917" t="n">
        <v>0</v>
      </c>
      <c r="N917" t="n">
        <v>0</v>
      </c>
      <c r="O917" t="n">
        <v>0</v>
      </c>
      <c r="P917" t="n">
        <v>0</v>
      </c>
      <c r="Q917" t="n">
        <v>0</v>
      </c>
      <c r="R917" s="2" t="inlineStr"/>
    </row>
    <row r="918" ht="15" customHeight="1">
      <c r="A918" t="inlineStr">
        <is>
          <t>A 29238-2022</t>
        </is>
      </c>
      <c r="B918" s="1" t="n">
        <v>44750</v>
      </c>
      <c r="C918" s="1" t="n">
        <v>45935</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27833-2025</t>
        </is>
      </c>
      <c r="B919" s="1" t="n">
        <v>45814</v>
      </c>
      <c r="C919" s="1" t="n">
        <v>45935</v>
      </c>
      <c r="D919" t="inlineStr">
        <is>
          <t>JÄMTLANDS LÄN</t>
        </is>
      </c>
      <c r="E919" t="inlineStr">
        <is>
          <t>KROKOM</t>
        </is>
      </c>
      <c r="G919" t="n">
        <v>1.9</v>
      </c>
      <c r="H919" t="n">
        <v>0</v>
      </c>
      <c r="I919" t="n">
        <v>0</v>
      </c>
      <c r="J919" t="n">
        <v>0</v>
      </c>
      <c r="K919" t="n">
        <v>0</v>
      </c>
      <c r="L919" t="n">
        <v>0</v>
      </c>
      <c r="M919" t="n">
        <v>0</v>
      </c>
      <c r="N919" t="n">
        <v>0</v>
      </c>
      <c r="O919" t="n">
        <v>0</v>
      </c>
      <c r="P919" t="n">
        <v>0</v>
      </c>
      <c r="Q919" t="n">
        <v>0</v>
      </c>
      <c r="R919" s="2" t="inlineStr"/>
    </row>
    <row r="920" ht="15" customHeight="1">
      <c r="A920" t="inlineStr">
        <is>
          <t>A 59076-2022</t>
        </is>
      </c>
      <c r="B920" s="1" t="n">
        <v>44904</v>
      </c>
      <c r="C920" s="1" t="n">
        <v>45935</v>
      </c>
      <c r="D920" t="inlineStr">
        <is>
          <t>JÄMTLANDS LÄN</t>
        </is>
      </c>
      <c r="E920" t="inlineStr">
        <is>
          <t>KROKOM</t>
        </is>
      </c>
      <c r="G920" t="n">
        <v>3.4</v>
      </c>
      <c r="H920" t="n">
        <v>0</v>
      </c>
      <c r="I920" t="n">
        <v>0</v>
      </c>
      <c r="J920" t="n">
        <v>0</v>
      </c>
      <c r="K920" t="n">
        <v>0</v>
      </c>
      <c r="L920" t="n">
        <v>0</v>
      </c>
      <c r="M920" t="n">
        <v>0</v>
      </c>
      <c r="N920" t="n">
        <v>0</v>
      </c>
      <c r="O920" t="n">
        <v>0</v>
      </c>
      <c r="P920" t="n">
        <v>0</v>
      </c>
      <c r="Q920" t="n">
        <v>0</v>
      </c>
      <c r="R920" s="2" t="inlineStr"/>
    </row>
    <row r="921" ht="15" customHeight="1">
      <c r="A921" t="inlineStr">
        <is>
          <t>A 27851-2025</t>
        </is>
      </c>
      <c r="B921" s="1" t="n">
        <v>45814</v>
      </c>
      <c r="C921" s="1" t="n">
        <v>45935</v>
      </c>
      <c r="D921" t="inlineStr">
        <is>
          <t>JÄMTLANDS LÄN</t>
        </is>
      </c>
      <c r="E921" t="inlineStr">
        <is>
          <t>KROKOM</t>
        </is>
      </c>
      <c r="G921" t="n">
        <v>13.9</v>
      </c>
      <c r="H921" t="n">
        <v>0</v>
      </c>
      <c r="I921" t="n">
        <v>0</v>
      </c>
      <c r="J921" t="n">
        <v>0</v>
      </c>
      <c r="K921" t="n">
        <v>0</v>
      </c>
      <c r="L921" t="n">
        <v>0</v>
      </c>
      <c r="M921" t="n">
        <v>0</v>
      </c>
      <c r="N921" t="n">
        <v>0</v>
      </c>
      <c r="O921" t="n">
        <v>0</v>
      </c>
      <c r="P921" t="n">
        <v>0</v>
      </c>
      <c r="Q921" t="n">
        <v>0</v>
      </c>
      <c r="R921" s="2" t="inlineStr"/>
    </row>
    <row r="922" ht="15" customHeight="1">
      <c r="A922" t="inlineStr">
        <is>
          <t>A 5533-2025</t>
        </is>
      </c>
      <c r="B922" s="1" t="n">
        <v>45693</v>
      </c>
      <c r="C922" s="1" t="n">
        <v>45935</v>
      </c>
      <c r="D922" t="inlineStr">
        <is>
          <t>JÄMTLANDS LÄN</t>
        </is>
      </c>
      <c r="E922" t="inlineStr">
        <is>
          <t>KROKOM</t>
        </is>
      </c>
      <c r="G922" t="n">
        <v>109</v>
      </c>
      <c r="H922" t="n">
        <v>0</v>
      </c>
      <c r="I922" t="n">
        <v>0</v>
      </c>
      <c r="J922" t="n">
        <v>0</v>
      </c>
      <c r="K922" t="n">
        <v>0</v>
      </c>
      <c r="L922" t="n">
        <v>0</v>
      </c>
      <c r="M922" t="n">
        <v>0</v>
      </c>
      <c r="N922" t="n">
        <v>0</v>
      </c>
      <c r="O922" t="n">
        <v>0</v>
      </c>
      <c r="P922" t="n">
        <v>0</v>
      </c>
      <c r="Q922" t="n">
        <v>0</v>
      </c>
      <c r="R922" s="2" t="inlineStr"/>
    </row>
    <row r="923" ht="15" customHeight="1">
      <c r="A923" t="inlineStr">
        <is>
          <t>A 27973-2025</t>
        </is>
      </c>
      <c r="B923" s="1" t="n">
        <v>45817.56761574074</v>
      </c>
      <c r="C923" s="1" t="n">
        <v>45935</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27740-2025</t>
        </is>
      </c>
      <c r="B924" s="1" t="n">
        <v>45815.50844907408</v>
      </c>
      <c r="C924" s="1" t="n">
        <v>45935</v>
      </c>
      <c r="D924" t="inlineStr">
        <is>
          <t>JÄMTLANDS LÄN</t>
        </is>
      </c>
      <c r="E924" t="inlineStr">
        <is>
          <t>KROKOM</t>
        </is>
      </c>
      <c r="G924" t="n">
        <v>9.1</v>
      </c>
      <c r="H924" t="n">
        <v>0</v>
      </c>
      <c r="I924" t="n">
        <v>0</v>
      </c>
      <c r="J924" t="n">
        <v>0</v>
      </c>
      <c r="K924" t="n">
        <v>0</v>
      </c>
      <c r="L924" t="n">
        <v>0</v>
      </c>
      <c r="M924" t="n">
        <v>0</v>
      </c>
      <c r="N924" t="n">
        <v>0</v>
      </c>
      <c r="O924" t="n">
        <v>0</v>
      </c>
      <c r="P924" t="n">
        <v>0</v>
      </c>
      <c r="Q924" t="n">
        <v>0</v>
      </c>
      <c r="R924" s="2" t="inlineStr"/>
    </row>
    <row r="925" ht="15" customHeight="1">
      <c r="A925" t="inlineStr">
        <is>
          <t>A 7013-2025</t>
        </is>
      </c>
      <c r="B925" s="1" t="n">
        <v>45701.60901620371</v>
      </c>
      <c r="C925" s="1" t="n">
        <v>45935</v>
      </c>
      <c r="D925" t="inlineStr">
        <is>
          <t>JÄMTLANDS LÄN</t>
        </is>
      </c>
      <c r="E925" t="inlineStr">
        <is>
          <t>KROKOM</t>
        </is>
      </c>
      <c r="G925" t="n">
        <v>4.3</v>
      </c>
      <c r="H925" t="n">
        <v>0</v>
      </c>
      <c r="I925" t="n">
        <v>0</v>
      </c>
      <c r="J925" t="n">
        <v>0</v>
      </c>
      <c r="K925" t="n">
        <v>0</v>
      </c>
      <c r="L925" t="n">
        <v>0</v>
      </c>
      <c r="M925" t="n">
        <v>0</v>
      </c>
      <c r="N925" t="n">
        <v>0</v>
      </c>
      <c r="O925" t="n">
        <v>0</v>
      </c>
      <c r="P925" t="n">
        <v>0</v>
      </c>
      <c r="Q925" t="n">
        <v>0</v>
      </c>
      <c r="R925" s="2" t="inlineStr"/>
    </row>
    <row r="926" ht="15" customHeight="1">
      <c r="A926" t="inlineStr">
        <is>
          <t>A 62413-2023</t>
        </is>
      </c>
      <c r="B926" s="1" t="n">
        <v>45266</v>
      </c>
      <c r="C926" s="1" t="n">
        <v>45935</v>
      </c>
      <c r="D926" t="inlineStr">
        <is>
          <t>JÄMTLANDS LÄN</t>
        </is>
      </c>
      <c r="E926" t="inlineStr">
        <is>
          <t>KROKOM</t>
        </is>
      </c>
      <c r="G926" t="n">
        <v>12.8</v>
      </c>
      <c r="H926" t="n">
        <v>0</v>
      </c>
      <c r="I926" t="n">
        <v>0</v>
      </c>
      <c r="J926" t="n">
        <v>0</v>
      </c>
      <c r="K926" t="n">
        <v>0</v>
      </c>
      <c r="L926" t="n">
        <v>0</v>
      </c>
      <c r="M926" t="n">
        <v>0</v>
      </c>
      <c r="N926" t="n">
        <v>0</v>
      </c>
      <c r="O926" t="n">
        <v>0</v>
      </c>
      <c r="P926" t="n">
        <v>0</v>
      </c>
      <c r="Q926" t="n">
        <v>0</v>
      </c>
      <c r="R926" s="2" t="inlineStr"/>
    </row>
    <row r="927" ht="15" customHeight="1">
      <c r="A927" t="inlineStr">
        <is>
          <t>A 28130-2025</t>
        </is>
      </c>
      <c r="B927" s="1" t="n">
        <v>45818.3293287037</v>
      </c>
      <c r="C927" s="1" t="n">
        <v>45935</v>
      </c>
      <c r="D927" t="inlineStr">
        <is>
          <t>JÄMTLANDS LÄN</t>
        </is>
      </c>
      <c r="E927" t="inlineStr">
        <is>
          <t>KROKOM</t>
        </is>
      </c>
      <c r="F927" t="inlineStr">
        <is>
          <t>Kyrkan</t>
        </is>
      </c>
      <c r="G927" t="n">
        <v>10.2</v>
      </c>
      <c r="H927" t="n">
        <v>0</v>
      </c>
      <c r="I927" t="n">
        <v>0</v>
      </c>
      <c r="J927" t="n">
        <v>0</v>
      </c>
      <c r="K927" t="n">
        <v>0</v>
      </c>
      <c r="L927" t="n">
        <v>0</v>
      </c>
      <c r="M927" t="n">
        <v>0</v>
      </c>
      <c r="N927" t="n">
        <v>0</v>
      </c>
      <c r="O927" t="n">
        <v>0</v>
      </c>
      <c r="P927" t="n">
        <v>0</v>
      </c>
      <c r="Q927" t="n">
        <v>0</v>
      </c>
      <c r="R927" s="2" t="inlineStr"/>
    </row>
    <row r="928" ht="15" customHeight="1">
      <c r="A928" t="inlineStr">
        <is>
          <t>A 28132-2025</t>
        </is>
      </c>
      <c r="B928" s="1" t="n">
        <v>45818.33532407408</v>
      </c>
      <c r="C928" s="1" t="n">
        <v>45935</v>
      </c>
      <c r="D928" t="inlineStr">
        <is>
          <t>JÄMTLANDS LÄN</t>
        </is>
      </c>
      <c r="E928" t="inlineStr">
        <is>
          <t>KROKOM</t>
        </is>
      </c>
      <c r="F928" t="inlineStr">
        <is>
          <t>Kyrkan</t>
        </is>
      </c>
      <c r="G928" t="n">
        <v>4.5</v>
      </c>
      <c r="H928" t="n">
        <v>0</v>
      </c>
      <c r="I928" t="n">
        <v>0</v>
      </c>
      <c r="J928" t="n">
        <v>0</v>
      </c>
      <c r="K928" t="n">
        <v>0</v>
      </c>
      <c r="L928" t="n">
        <v>0</v>
      </c>
      <c r="M928" t="n">
        <v>0</v>
      </c>
      <c r="N928" t="n">
        <v>0</v>
      </c>
      <c r="O928" t="n">
        <v>0</v>
      </c>
      <c r="P928" t="n">
        <v>0</v>
      </c>
      <c r="Q928" t="n">
        <v>0</v>
      </c>
      <c r="R928" s="2" t="inlineStr"/>
    </row>
    <row r="929" ht="15" customHeight="1">
      <c r="A929" t="inlineStr">
        <is>
          <t>A 28147-2025</t>
        </is>
      </c>
      <c r="B929" s="1" t="n">
        <v>45818.34833333334</v>
      </c>
      <c r="C929" s="1" t="n">
        <v>45935</v>
      </c>
      <c r="D929" t="inlineStr">
        <is>
          <t>JÄMTLANDS LÄN</t>
        </is>
      </c>
      <c r="E929" t="inlineStr">
        <is>
          <t>KROKOM</t>
        </is>
      </c>
      <c r="F929" t="inlineStr">
        <is>
          <t>Kyrkan</t>
        </is>
      </c>
      <c r="G929" t="n">
        <v>10.8</v>
      </c>
      <c r="H929" t="n">
        <v>0</v>
      </c>
      <c r="I929" t="n">
        <v>0</v>
      </c>
      <c r="J929" t="n">
        <v>0</v>
      </c>
      <c r="K929" t="n">
        <v>0</v>
      </c>
      <c r="L929" t="n">
        <v>0</v>
      </c>
      <c r="M929" t="n">
        <v>0</v>
      </c>
      <c r="N929" t="n">
        <v>0</v>
      </c>
      <c r="O929" t="n">
        <v>0</v>
      </c>
      <c r="P929" t="n">
        <v>0</v>
      </c>
      <c r="Q929" t="n">
        <v>0</v>
      </c>
      <c r="R929" s="2" t="inlineStr"/>
    </row>
    <row r="930" ht="15" customHeight="1">
      <c r="A930" t="inlineStr">
        <is>
          <t>A 16349-2024</t>
        </is>
      </c>
      <c r="B930" s="1" t="n">
        <v>45407</v>
      </c>
      <c r="C930" s="1" t="n">
        <v>45935</v>
      </c>
      <c r="D930" t="inlineStr">
        <is>
          <t>JÄMTLANDS LÄN</t>
        </is>
      </c>
      <c r="E930" t="inlineStr">
        <is>
          <t>KROKOM</t>
        </is>
      </c>
      <c r="G930" t="n">
        <v>2</v>
      </c>
      <c r="H930" t="n">
        <v>0</v>
      </c>
      <c r="I930" t="n">
        <v>0</v>
      </c>
      <c r="J930" t="n">
        <v>0</v>
      </c>
      <c r="K930" t="n">
        <v>0</v>
      </c>
      <c r="L930" t="n">
        <v>0</v>
      </c>
      <c r="M930" t="n">
        <v>0</v>
      </c>
      <c r="N930" t="n">
        <v>0</v>
      </c>
      <c r="O930" t="n">
        <v>0</v>
      </c>
      <c r="P930" t="n">
        <v>0</v>
      </c>
      <c r="Q930" t="n">
        <v>0</v>
      </c>
      <c r="R930" s="2" t="inlineStr"/>
    </row>
    <row r="931" ht="15" customHeight="1">
      <c r="A931" t="inlineStr">
        <is>
          <t>A 48971-2024</t>
        </is>
      </c>
      <c r="B931" s="1" t="n">
        <v>45594.463125</v>
      </c>
      <c r="C931" s="1" t="n">
        <v>45935</v>
      </c>
      <c r="D931" t="inlineStr">
        <is>
          <t>JÄMTLANDS LÄN</t>
        </is>
      </c>
      <c r="E931" t="inlineStr">
        <is>
          <t>KROKOM</t>
        </is>
      </c>
      <c r="G931" t="n">
        <v>11.8</v>
      </c>
      <c r="H931" t="n">
        <v>0</v>
      </c>
      <c r="I931" t="n">
        <v>0</v>
      </c>
      <c r="J931" t="n">
        <v>0</v>
      </c>
      <c r="K931" t="n">
        <v>0</v>
      </c>
      <c r="L931" t="n">
        <v>0</v>
      </c>
      <c r="M931" t="n">
        <v>0</v>
      </c>
      <c r="N931" t="n">
        <v>0</v>
      </c>
      <c r="O931" t="n">
        <v>0</v>
      </c>
      <c r="P931" t="n">
        <v>0</v>
      </c>
      <c r="Q931" t="n">
        <v>0</v>
      </c>
      <c r="R931" s="2" t="inlineStr"/>
    </row>
    <row r="932" ht="15" customHeight="1">
      <c r="A932" t="inlineStr">
        <is>
          <t>A 28136-2025</t>
        </is>
      </c>
      <c r="B932" s="1" t="n">
        <v>45818.34473379629</v>
      </c>
      <c r="C932" s="1" t="n">
        <v>45935</v>
      </c>
      <c r="D932" t="inlineStr">
        <is>
          <t>JÄMTLANDS LÄN</t>
        </is>
      </c>
      <c r="E932" t="inlineStr">
        <is>
          <t>KROKOM</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28155-2025</t>
        </is>
      </c>
      <c r="B933" s="1" t="n">
        <v>45818.36246527778</v>
      </c>
      <c r="C933" s="1" t="n">
        <v>45935</v>
      </c>
      <c r="D933" t="inlineStr">
        <is>
          <t>JÄMTLANDS LÄN</t>
        </is>
      </c>
      <c r="E933" t="inlineStr">
        <is>
          <t>KROKOM</t>
        </is>
      </c>
      <c r="F933" t="inlineStr">
        <is>
          <t>Kyrkan</t>
        </is>
      </c>
      <c r="G933" t="n">
        <v>6.1</v>
      </c>
      <c r="H933" t="n">
        <v>0</v>
      </c>
      <c r="I933" t="n">
        <v>0</v>
      </c>
      <c r="J933" t="n">
        <v>0</v>
      </c>
      <c r="K933" t="n">
        <v>0</v>
      </c>
      <c r="L933" t="n">
        <v>0</v>
      </c>
      <c r="M933" t="n">
        <v>0</v>
      </c>
      <c r="N933" t="n">
        <v>0</v>
      </c>
      <c r="O933" t="n">
        <v>0</v>
      </c>
      <c r="P933" t="n">
        <v>0</v>
      </c>
      <c r="Q933" t="n">
        <v>0</v>
      </c>
      <c r="R933" s="2" t="inlineStr"/>
    </row>
    <row r="934" ht="15" customHeight="1">
      <c r="A934" t="inlineStr">
        <is>
          <t>A 28137-2025</t>
        </is>
      </c>
      <c r="B934" s="1" t="n">
        <v>45818.34474537037</v>
      </c>
      <c r="C934" s="1" t="n">
        <v>45935</v>
      </c>
      <c r="D934" t="inlineStr">
        <is>
          <t>JÄMTLANDS LÄN</t>
        </is>
      </c>
      <c r="E934" t="inlineStr">
        <is>
          <t>KROKOM</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28162-2025</t>
        </is>
      </c>
      <c r="B935" s="1" t="n">
        <v>45818.37056712963</v>
      </c>
      <c r="C935" s="1" t="n">
        <v>45935</v>
      </c>
      <c r="D935" t="inlineStr">
        <is>
          <t>JÄMTLANDS LÄN</t>
        </is>
      </c>
      <c r="E935" t="inlineStr">
        <is>
          <t>KROKOM</t>
        </is>
      </c>
      <c r="F935" t="inlineStr">
        <is>
          <t>Kyrkan</t>
        </is>
      </c>
      <c r="G935" t="n">
        <v>4</v>
      </c>
      <c r="H935" t="n">
        <v>0</v>
      </c>
      <c r="I935" t="n">
        <v>0</v>
      </c>
      <c r="J935" t="n">
        <v>0</v>
      </c>
      <c r="K935" t="n">
        <v>0</v>
      </c>
      <c r="L935" t="n">
        <v>0</v>
      </c>
      <c r="M935" t="n">
        <v>0</v>
      </c>
      <c r="N935" t="n">
        <v>0</v>
      </c>
      <c r="O935" t="n">
        <v>0</v>
      </c>
      <c r="P935" t="n">
        <v>0</v>
      </c>
      <c r="Q935" t="n">
        <v>0</v>
      </c>
      <c r="R935" s="2" t="inlineStr"/>
    </row>
    <row r="936" ht="15" customHeight="1">
      <c r="A936" t="inlineStr">
        <is>
          <t>A 28843-2025</t>
        </is>
      </c>
      <c r="B936" s="1" t="n">
        <v>45820</v>
      </c>
      <c r="C936" s="1" t="n">
        <v>45935</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28848-2025</t>
        </is>
      </c>
      <c r="B937" s="1" t="n">
        <v>45820</v>
      </c>
      <c r="C937" s="1" t="n">
        <v>45935</v>
      </c>
      <c r="D937" t="inlineStr">
        <is>
          <t>JÄMTLANDS LÄN</t>
        </is>
      </c>
      <c r="E937" t="inlineStr">
        <is>
          <t>KROKOM</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28729-2025</t>
        </is>
      </c>
      <c r="B938" s="1" t="n">
        <v>45820.36512731481</v>
      </c>
      <c r="C938" s="1" t="n">
        <v>45935</v>
      </c>
      <c r="D938" t="inlineStr">
        <is>
          <t>JÄMTLANDS LÄN</t>
        </is>
      </c>
      <c r="E938" t="inlineStr">
        <is>
          <t>KROKOM</t>
        </is>
      </c>
      <c r="G938" t="n">
        <v>3.6</v>
      </c>
      <c r="H938" t="n">
        <v>0</v>
      </c>
      <c r="I938" t="n">
        <v>0</v>
      </c>
      <c r="J938" t="n">
        <v>0</v>
      </c>
      <c r="K938" t="n">
        <v>0</v>
      </c>
      <c r="L938" t="n">
        <v>0</v>
      </c>
      <c r="M938" t="n">
        <v>0</v>
      </c>
      <c r="N938" t="n">
        <v>0</v>
      </c>
      <c r="O938" t="n">
        <v>0</v>
      </c>
      <c r="P938" t="n">
        <v>0</v>
      </c>
      <c r="Q938" t="n">
        <v>0</v>
      </c>
      <c r="R938" s="2" t="inlineStr"/>
    </row>
    <row r="939" ht="15" customHeight="1">
      <c r="A939" t="inlineStr">
        <is>
          <t>A 28752-2025</t>
        </is>
      </c>
      <c r="B939" s="1" t="n">
        <v>45820</v>
      </c>
      <c r="C939" s="1" t="n">
        <v>45935</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785-2024</t>
        </is>
      </c>
      <c r="B940" s="1" t="n">
        <v>45300</v>
      </c>
      <c r="C940" s="1" t="n">
        <v>45935</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28727-2025</t>
        </is>
      </c>
      <c r="B941" s="1" t="n">
        <v>45820.36498842593</v>
      </c>
      <c r="C941" s="1" t="n">
        <v>45935</v>
      </c>
      <c r="D941" t="inlineStr">
        <is>
          <t>JÄMTLANDS LÄN</t>
        </is>
      </c>
      <c r="E941" t="inlineStr">
        <is>
          <t>KROKOM</t>
        </is>
      </c>
      <c r="G941" t="n">
        <v>3.8</v>
      </c>
      <c r="H941" t="n">
        <v>0</v>
      </c>
      <c r="I941" t="n">
        <v>0</v>
      </c>
      <c r="J941" t="n">
        <v>0</v>
      </c>
      <c r="K941" t="n">
        <v>0</v>
      </c>
      <c r="L941" t="n">
        <v>0</v>
      </c>
      <c r="M941" t="n">
        <v>0</v>
      </c>
      <c r="N941" t="n">
        <v>0</v>
      </c>
      <c r="O941" t="n">
        <v>0</v>
      </c>
      <c r="P941" t="n">
        <v>0</v>
      </c>
      <c r="Q941" t="n">
        <v>0</v>
      </c>
      <c r="R941" s="2" t="inlineStr"/>
    </row>
    <row r="942" ht="15" customHeight="1">
      <c r="A942" t="inlineStr">
        <is>
          <t>A 28728-2025</t>
        </is>
      </c>
      <c r="B942" s="1" t="n">
        <v>45820.36506944444</v>
      </c>
      <c r="C942" s="1" t="n">
        <v>45935</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29001-2025</t>
        </is>
      </c>
      <c r="B943" s="1" t="n">
        <v>45821.39026620371</v>
      </c>
      <c r="C943" s="1" t="n">
        <v>45935</v>
      </c>
      <c r="D943" t="inlineStr">
        <is>
          <t>JÄMTLANDS LÄN</t>
        </is>
      </c>
      <c r="E943" t="inlineStr">
        <is>
          <t>KROKOM</t>
        </is>
      </c>
      <c r="G943" t="n">
        <v>1.5</v>
      </c>
      <c r="H943" t="n">
        <v>0</v>
      </c>
      <c r="I943" t="n">
        <v>0</v>
      </c>
      <c r="J943" t="n">
        <v>0</v>
      </c>
      <c r="K943" t="n">
        <v>0</v>
      </c>
      <c r="L943" t="n">
        <v>0</v>
      </c>
      <c r="M943" t="n">
        <v>0</v>
      </c>
      <c r="N943" t="n">
        <v>0</v>
      </c>
      <c r="O943" t="n">
        <v>0</v>
      </c>
      <c r="P943" t="n">
        <v>0</v>
      </c>
      <c r="Q943" t="n">
        <v>0</v>
      </c>
      <c r="R943" s="2" t="inlineStr"/>
    </row>
    <row r="944" ht="15" customHeight="1">
      <c r="A944" t="inlineStr">
        <is>
          <t>A 28789-2025</t>
        </is>
      </c>
      <c r="B944" s="1" t="n">
        <v>45820.47200231482</v>
      </c>
      <c r="C944" s="1" t="n">
        <v>45935</v>
      </c>
      <c r="D944" t="inlineStr">
        <is>
          <t>JÄMTLANDS LÄN</t>
        </is>
      </c>
      <c r="E944" t="inlineStr">
        <is>
          <t>KROKOM</t>
        </is>
      </c>
      <c r="F944" t="inlineStr">
        <is>
          <t>Kyrkan</t>
        </is>
      </c>
      <c r="G944" t="n">
        <v>28.4</v>
      </c>
      <c r="H944" t="n">
        <v>0</v>
      </c>
      <c r="I944" t="n">
        <v>0</v>
      </c>
      <c r="J944" t="n">
        <v>0</v>
      </c>
      <c r="K944" t="n">
        <v>0</v>
      </c>
      <c r="L944" t="n">
        <v>0</v>
      </c>
      <c r="M944" t="n">
        <v>0</v>
      </c>
      <c r="N944" t="n">
        <v>0</v>
      </c>
      <c r="O944" t="n">
        <v>0</v>
      </c>
      <c r="P944" t="n">
        <v>0</v>
      </c>
      <c r="Q944" t="n">
        <v>0</v>
      </c>
      <c r="R944" s="2" t="inlineStr"/>
    </row>
    <row r="945" ht="15" customHeight="1">
      <c r="A945" t="inlineStr">
        <is>
          <t>A 30065-2024</t>
        </is>
      </c>
      <c r="B945" s="1" t="n">
        <v>45488.94857638889</v>
      </c>
      <c r="C945" s="1" t="n">
        <v>45935</v>
      </c>
      <c r="D945" t="inlineStr">
        <is>
          <t>JÄMTLANDS LÄN</t>
        </is>
      </c>
      <c r="E945" t="inlineStr">
        <is>
          <t>KROKOM</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6208-2025</t>
        </is>
      </c>
      <c r="B946" s="1" t="n">
        <v>45698.4930787037</v>
      </c>
      <c r="C946" s="1" t="n">
        <v>45935</v>
      </c>
      <c r="D946" t="inlineStr">
        <is>
          <t>JÄMTLANDS LÄN</t>
        </is>
      </c>
      <c r="E946" t="inlineStr">
        <is>
          <t>KROKOM</t>
        </is>
      </c>
      <c r="G946" t="n">
        <v>7.6</v>
      </c>
      <c r="H946" t="n">
        <v>0</v>
      </c>
      <c r="I946" t="n">
        <v>0</v>
      </c>
      <c r="J946" t="n">
        <v>0</v>
      </c>
      <c r="K946" t="n">
        <v>0</v>
      </c>
      <c r="L946" t="n">
        <v>0</v>
      </c>
      <c r="M946" t="n">
        <v>0</v>
      </c>
      <c r="N946" t="n">
        <v>0</v>
      </c>
      <c r="O946" t="n">
        <v>0</v>
      </c>
      <c r="P946" t="n">
        <v>0</v>
      </c>
      <c r="Q946" t="n">
        <v>0</v>
      </c>
      <c r="R946" s="2" t="inlineStr"/>
    </row>
    <row r="947" ht="15" customHeight="1">
      <c r="A947" t="inlineStr">
        <is>
          <t>A 64764-2023</t>
        </is>
      </c>
      <c r="B947" s="1" t="n">
        <v>45282</v>
      </c>
      <c r="C947" s="1" t="n">
        <v>45935</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3231-2022</t>
        </is>
      </c>
      <c r="B948" s="1" t="n">
        <v>44582</v>
      </c>
      <c r="C948" s="1" t="n">
        <v>45935</v>
      </c>
      <c r="D948" t="inlineStr">
        <is>
          <t>JÄMTLANDS LÄN</t>
        </is>
      </c>
      <c r="E948" t="inlineStr">
        <is>
          <t>KROKOM</t>
        </is>
      </c>
      <c r="G948" t="n">
        <v>23</v>
      </c>
      <c r="H948" t="n">
        <v>0</v>
      </c>
      <c r="I948" t="n">
        <v>0</v>
      </c>
      <c r="J948" t="n">
        <v>0</v>
      </c>
      <c r="K948" t="n">
        <v>0</v>
      </c>
      <c r="L948" t="n">
        <v>0</v>
      </c>
      <c r="M948" t="n">
        <v>0</v>
      </c>
      <c r="N948" t="n">
        <v>0</v>
      </c>
      <c r="O948" t="n">
        <v>0</v>
      </c>
      <c r="P948" t="n">
        <v>0</v>
      </c>
      <c r="Q948" t="n">
        <v>0</v>
      </c>
      <c r="R948" s="2" t="inlineStr"/>
    </row>
    <row r="949" ht="15" customHeight="1">
      <c r="A949" t="inlineStr">
        <is>
          <t>A 35257-2023</t>
        </is>
      </c>
      <c r="B949" s="1" t="n">
        <v>45145.95255787037</v>
      </c>
      <c r="C949" s="1" t="n">
        <v>45935</v>
      </c>
      <c r="D949" t="inlineStr">
        <is>
          <t>JÄMTLANDS LÄN</t>
        </is>
      </c>
      <c r="E949" t="inlineStr">
        <is>
          <t>KROKOM</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46761-2022</t>
        </is>
      </c>
      <c r="B950" s="1" t="n">
        <v>44847</v>
      </c>
      <c r="C950" s="1" t="n">
        <v>45935</v>
      </c>
      <c r="D950" t="inlineStr">
        <is>
          <t>JÄMTLANDS LÄN</t>
        </is>
      </c>
      <c r="E950" t="inlineStr">
        <is>
          <t>KROKOM</t>
        </is>
      </c>
      <c r="G950" t="n">
        <v>0.2</v>
      </c>
      <c r="H950" t="n">
        <v>0</v>
      </c>
      <c r="I950" t="n">
        <v>0</v>
      </c>
      <c r="J950" t="n">
        <v>0</v>
      </c>
      <c r="K950" t="n">
        <v>0</v>
      </c>
      <c r="L950" t="n">
        <v>0</v>
      </c>
      <c r="M950" t="n">
        <v>0</v>
      </c>
      <c r="N950" t="n">
        <v>0</v>
      </c>
      <c r="O950" t="n">
        <v>0</v>
      </c>
      <c r="P950" t="n">
        <v>0</v>
      </c>
      <c r="Q950" t="n">
        <v>0</v>
      </c>
      <c r="R950" s="2" t="inlineStr"/>
    </row>
    <row r="951" ht="15" customHeight="1">
      <c r="A951" t="inlineStr">
        <is>
          <t>A 14170-2024</t>
        </is>
      </c>
      <c r="B951" s="1" t="n">
        <v>45392.95844907407</v>
      </c>
      <c r="C951" s="1" t="n">
        <v>45935</v>
      </c>
      <c r="D951" t="inlineStr">
        <is>
          <t>JÄMTLANDS LÄN</t>
        </is>
      </c>
      <c r="E951" t="inlineStr">
        <is>
          <t>KROKOM</t>
        </is>
      </c>
      <c r="G951" t="n">
        <v>4.9</v>
      </c>
      <c r="H951" t="n">
        <v>0</v>
      </c>
      <c r="I951" t="n">
        <v>0</v>
      </c>
      <c r="J951" t="n">
        <v>0</v>
      </c>
      <c r="K951" t="n">
        <v>0</v>
      </c>
      <c r="L951" t="n">
        <v>0</v>
      </c>
      <c r="M951" t="n">
        <v>0</v>
      </c>
      <c r="N951" t="n">
        <v>0</v>
      </c>
      <c r="O951" t="n">
        <v>0</v>
      </c>
      <c r="P951" t="n">
        <v>0</v>
      </c>
      <c r="Q951" t="n">
        <v>0</v>
      </c>
      <c r="R951" s="2" t="inlineStr"/>
    </row>
    <row r="952" ht="15" customHeight="1">
      <c r="A952" t="inlineStr">
        <is>
          <t>A 14171-2024</t>
        </is>
      </c>
      <c r="B952" s="1" t="n">
        <v>45392</v>
      </c>
      <c r="C952" s="1" t="n">
        <v>45935</v>
      </c>
      <c r="D952" t="inlineStr">
        <is>
          <t>JÄMTLANDS LÄN</t>
        </is>
      </c>
      <c r="E952" t="inlineStr">
        <is>
          <t>KROKOM</t>
        </is>
      </c>
      <c r="G952" t="n">
        <v>5.9</v>
      </c>
      <c r="H952" t="n">
        <v>0</v>
      </c>
      <c r="I952" t="n">
        <v>0</v>
      </c>
      <c r="J952" t="n">
        <v>0</v>
      </c>
      <c r="K952" t="n">
        <v>0</v>
      </c>
      <c r="L952" t="n">
        <v>0</v>
      </c>
      <c r="M952" t="n">
        <v>0</v>
      </c>
      <c r="N952" t="n">
        <v>0</v>
      </c>
      <c r="O952" t="n">
        <v>0</v>
      </c>
      <c r="P952" t="n">
        <v>0</v>
      </c>
      <c r="Q952" t="n">
        <v>0</v>
      </c>
      <c r="R952" s="2" t="inlineStr"/>
    </row>
    <row r="953" ht="15" customHeight="1">
      <c r="A953" t="inlineStr">
        <is>
          <t>A 62131-2024</t>
        </is>
      </c>
      <c r="B953" s="1" t="n">
        <v>45656</v>
      </c>
      <c r="C953" s="1" t="n">
        <v>45935</v>
      </c>
      <c r="D953" t="inlineStr">
        <is>
          <t>JÄMTLANDS LÄN</t>
        </is>
      </c>
      <c r="E953" t="inlineStr">
        <is>
          <t>KROKOM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29956-2025</t>
        </is>
      </c>
      <c r="B954" s="1" t="n">
        <v>45826.4705787037</v>
      </c>
      <c r="C954" s="1" t="n">
        <v>45935</v>
      </c>
      <c r="D954" t="inlineStr">
        <is>
          <t>JÄMTLANDS LÄN</t>
        </is>
      </c>
      <c r="E954" t="inlineStr">
        <is>
          <t>KROKOM</t>
        </is>
      </c>
      <c r="F954" t="inlineStr">
        <is>
          <t>SCA</t>
        </is>
      </c>
      <c r="G954" t="n">
        <v>16.1</v>
      </c>
      <c r="H954" t="n">
        <v>0</v>
      </c>
      <c r="I954" t="n">
        <v>0</v>
      </c>
      <c r="J954" t="n">
        <v>0</v>
      </c>
      <c r="K954" t="n">
        <v>0</v>
      </c>
      <c r="L954" t="n">
        <v>0</v>
      </c>
      <c r="M954" t="n">
        <v>0</v>
      </c>
      <c r="N954" t="n">
        <v>0</v>
      </c>
      <c r="O954" t="n">
        <v>0</v>
      </c>
      <c r="P954" t="n">
        <v>0</v>
      </c>
      <c r="Q954" t="n">
        <v>0</v>
      </c>
      <c r="R954" s="2" t="inlineStr"/>
    </row>
    <row r="955" ht="15" customHeight="1">
      <c r="A955" t="inlineStr">
        <is>
          <t>A 30175-2025</t>
        </is>
      </c>
      <c r="B955" s="1" t="n">
        <v>45827.34488425926</v>
      </c>
      <c r="C955" s="1" t="n">
        <v>45935</v>
      </c>
      <c r="D955" t="inlineStr">
        <is>
          <t>JÄMTLANDS LÄN</t>
        </is>
      </c>
      <c r="E955" t="inlineStr">
        <is>
          <t>KROKOM</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27596-2024</t>
        </is>
      </c>
      <c r="B956" s="1" t="n">
        <v>45474.69074074074</v>
      </c>
      <c r="C956" s="1" t="n">
        <v>45935</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36588-2025</t>
        </is>
      </c>
      <c r="B957" s="1" t="n">
        <v>45870</v>
      </c>
      <c r="C957" s="1" t="n">
        <v>45935</v>
      </c>
      <c r="D957" t="inlineStr">
        <is>
          <t>JÄMTLANDS LÄN</t>
        </is>
      </c>
      <c r="E957" t="inlineStr">
        <is>
          <t>KROKOM</t>
        </is>
      </c>
      <c r="G957" t="n">
        <v>2</v>
      </c>
      <c r="H957" t="n">
        <v>0</v>
      </c>
      <c r="I957" t="n">
        <v>0</v>
      </c>
      <c r="J957" t="n">
        <v>0</v>
      </c>
      <c r="K957" t="n">
        <v>0</v>
      </c>
      <c r="L957" t="n">
        <v>0</v>
      </c>
      <c r="M957" t="n">
        <v>0</v>
      </c>
      <c r="N957" t="n">
        <v>0</v>
      </c>
      <c r="O957" t="n">
        <v>0</v>
      </c>
      <c r="P957" t="n">
        <v>0</v>
      </c>
      <c r="Q957" t="n">
        <v>0</v>
      </c>
      <c r="R957" s="2" t="inlineStr"/>
    </row>
    <row r="958" ht="15" customHeight="1">
      <c r="A958" t="inlineStr">
        <is>
          <t>A 50433-2024</t>
        </is>
      </c>
      <c r="B958" s="1" t="n">
        <v>45601</v>
      </c>
      <c r="C958" s="1" t="n">
        <v>45935</v>
      </c>
      <c r="D958" t="inlineStr">
        <is>
          <t>JÄMTLANDS LÄN</t>
        </is>
      </c>
      <c r="E958" t="inlineStr">
        <is>
          <t>KROKOM</t>
        </is>
      </c>
      <c r="G958" t="n">
        <v>25</v>
      </c>
      <c r="H958" t="n">
        <v>0</v>
      </c>
      <c r="I958" t="n">
        <v>0</v>
      </c>
      <c r="J958" t="n">
        <v>0</v>
      </c>
      <c r="K958" t="n">
        <v>0</v>
      </c>
      <c r="L958" t="n">
        <v>0</v>
      </c>
      <c r="M958" t="n">
        <v>0</v>
      </c>
      <c r="N958" t="n">
        <v>0</v>
      </c>
      <c r="O958" t="n">
        <v>0</v>
      </c>
      <c r="P958" t="n">
        <v>0</v>
      </c>
      <c r="Q958" t="n">
        <v>0</v>
      </c>
      <c r="R958" s="2" t="inlineStr"/>
    </row>
    <row r="959" ht="15" customHeight="1">
      <c r="A959" t="inlineStr">
        <is>
          <t>A 54491-2022</t>
        </is>
      </c>
      <c r="B959" s="1" t="n">
        <v>44880</v>
      </c>
      <c r="C959" s="1" t="n">
        <v>45935</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30890-2025</t>
        </is>
      </c>
      <c r="B960" s="1" t="n">
        <v>45832.34630787037</v>
      </c>
      <c r="C960" s="1" t="n">
        <v>45935</v>
      </c>
      <c r="D960" t="inlineStr">
        <is>
          <t>JÄMTLANDS LÄN</t>
        </is>
      </c>
      <c r="E960" t="inlineStr">
        <is>
          <t>KROKOM</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31027-2025</t>
        </is>
      </c>
      <c r="B961" s="1" t="n">
        <v>45832.53225694445</v>
      </c>
      <c r="C961" s="1" t="n">
        <v>45935</v>
      </c>
      <c r="D961" t="inlineStr">
        <is>
          <t>JÄMTLANDS LÄN</t>
        </is>
      </c>
      <c r="E961" t="inlineStr">
        <is>
          <t>KROKOM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31026-2025</t>
        </is>
      </c>
      <c r="B962" s="1" t="n">
        <v>45832</v>
      </c>
      <c r="C962" s="1" t="n">
        <v>45935</v>
      </c>
      <c r="D962" t="inlineStr">
        <is>
          <t>JÄMTLANDS LÄN</t>
        </is>
      </c>
      <c r="E962" t="inlineStr">
        <is>
          <t>KROKOM</t>
        </is>
      </c>
      <c r="G962" t="n">
        <v>2.2</v>
      </c>
      <c r="H962" t="n">
        <v>0</v>
      </c>
      <c r="I962" t="n">
        <v>0</v>
      </c>
      <c r="J962" t="n">
        <v>0</v>
      </c>
      <c r="K962" t="n">
        <v>0</v>
      </c>
      <c r="L962" t="n">
        <v>0</v>
      </c>
      <c r="M962" t="n">
        <v>0</v>
      </c>
      <c r="N962" t="n">
        <v>0</v>
      </c>
      <c r="O962" t="n">
        <v>0</v>
      </c>
      <c r="P962" t="n">
        <v>0</v>
      </c>
      <c r="Q962" t="n">
        <v>0</v>
      </c>
      <c r="R962" s="2" t="inlineStr"/>
    </row>
    <row r="963" ht="15" customHeight="1">
      <c r="A963" t="inlineStr">
        <is>
          <t>A 31277-2025</t>
        </is>
      </c>
      <c r="B963" s="1" t="n">
        <v>45833.34490740741</v>
      </c>
      <c r="C963" s="1" t="n">
        <v>45935</v>
      </c>
      <c r="D963" t="inlineStr">
        <is>
          <t>JÄMTLANDS LÄN</t>
        </is>
      </c>
      <c r="E963" t="inlineStr">
        <is>
          <t>KROKOM</t>
        </is>
      </c>
      <c r="F963" t="inlineStr">
        <is>
          <t>SCA</t>
        </is>
      </c>
      <c r="G963" t="n">
        <v>9</v>
      </c>
      <c r="H963" t="n">
        <v>0</v>
      </c>
      <c r="I963" t="n">
        <v>0</v>
      </c>
      <c r="J963" t="n">
        <v>0</v>
      </c>
      <c r="K963" t="n">
        <v>0</v>
      </c>
      <c r="L963" t="n">
        <v>0</v>
      </c>
      <c r="M963" t="n">
        <v>0</v>
      </c>
      <c r="N963" t="n">
        <v>0</v>
      </c>
      <c r="O963" t="n">
        <v>0</v>
      </c>
      <c r="P963" t="n">
        <v>0</v>
      </c>
      <c r="Q963" t="n">
        <v>0</v>
      </c>
      <c r="R963" s="2" t="inlineStr"/>
    </row>
    <row r="964" ht="15" customHeight="1">
      <c r="A964" t="inlineStr">
        <is>
          <t>A 56538-2023</t>
        </is>
      </c>
      <c r="B964" s="1" t="n">
        <v>45238</v>
      </c>
      <c r="C964" s="1" t="n">
        <v>45935</v>
      </c>
      <c r="D964" t="inlineStr">
        <is>
          <t>JÄMTLANDS LÄN</t>
        </is>
      </c>
      <c r="E964" t="inlineStr">
        <is>
          <t>KROKOM</t>
        </is>
      </c>
      <c r="G964" t="n">
        <v>17.7</v>
      </c>
      <c r="H964" t="n">
        <v>0</v>
      </c>
      <c r="I964" t="n">
        <v>0</v>
      </c>
      <c r="J964" t="n">
        <v>0</v>
      </c>
      <c r="K964" t="n">
        <v>0</v>
      </c>
      <c r="L964" t="n">
        <v>0</v>
      </c>
      <c r="M964" t="n">
        <v>0</v>
      </c>
      <c r="N964" t="n">
        <v>0</v>
      </c>
      <c r="O964" t="n">
        <v>0</v>
      </c>
      <c r="P964" t="n">
        <v>0</v>
      </c>
      <c r="Q964" t="n">
        <v>0</v>
      </c>
      <c r="R964" s="2" t="inlineStr"/>
    </row>
    <row r="965" ht="15" customHeight="1">
      <c r="A965" t="inlineStr">
        <is>
          <t>A 31290-2025</t>
        </is>
      </c>
      <c r="B965" s="1" t="n">
        <v>45833.36050925926</v>
      </c>
      <c r="C965" s="1" t="n">
        <v>45935</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31291-2025</t>
        </is>
      </c>
      <c r="B966" s="1" t="n">
        <v>45833.36083333333</v>
      </c>
      <c r="C966" s="1" t="n">
        <v>45935</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36491-2021</t>
        </is>
      </c>
      <c r="B967" s="1" t="n">
        <v>44390</v>
      </c>
      <c r="C967" s="1" t="n">
        <v>45935</v>
      </c>
      <c r="D967" t="inlineStr">
        <is>
          <t>JÄMTLANDS LÄN</t>
        </is>
      </c>
      <c r="E967" t="inlineStr">
        <is>
          <t>KROKOM</t>
        </is>
      </c>
      <c r="G967" t="n">
        <v>5.4</v>
      </c>
      <c r="H967" t="n">
        <v>0</v>
      </c>
      <c r="I967" t="n">
        <v>0</v>
      </c>
      <c r="J967" t="n">
        <v>0</v>
      </c>
      <c r="K967" t="n">
        <v>0</v>
      </c>
      <c r="L967" t="n">
        <v>0</v>
      </c>
      <c r="M967" t="n">
        <v>0</v>
      </c>
      <c r="N967" t="n">
        <v>0</v>
      </c>
      <c r="O967" t="n">
        <v>0</v>
      </c>
      <c r="P967" t="n">
        <v>0</v>
      </c>
      <c r="Q967" t="n">
        <v>0</v>
      </c>
      <c r="R967" s="2" t="inlineStr"/>
    </row>
    <row r="968" ht="15" customHeight="1">
      <c r="A968" t="inlineStr">
        <is>
          <t>A 31032-2025</t>
        </is>
      </c>
      <c r="B968" s="1" t="n">
        <v>45832.53935185185</v>
      </c>
      <c r="C968" s="1" t="n">
        <v>45935</v>
      </c>
      <c r="D968" t="inlineStr">
        <is>
          <t>JÄMTLANDS LÄN</t>
        </is>
      </c>
      <c r="E968" t="inlineStr">
        <is>
          <t>KROKOM</t>
        </is>
      </c>
      <c r="F968" t="inlineStr">
        <is>
          <t>Övriga Aktiebolag</t>
        </is>
      </c>
      <c r="G968" t="n">
        <v>1.6</v>
      </c>
      <c r="H968" t="n">
        <v>0</v>
      </c>
      <c r="I968" t="n">
        <v>0</v>
      </c>
      <c r="J968" t="n">
        <v>0</v>
      </c>
      <c r="K968" t="n">
        <v>0</v>
      </c>
      <c r="L968" t="n">
        <v>0</v>
      </c>
      <c r="M968" t="n">
        <v>0</v>
      </c>
      <c r="N968" t="n">
        <v>0</v>
      </c>
      <c r="O968" t="n">
        <v>0</v>
      </c>
      <c r="P968" t="n">
        <v>0</v>
      </c>
      <c r="Q968" t="n">
        <v>0</v>
      </c>
      <c r="R968" s="2" t="inlineStr"/>
    </row>
    <row r="969" ht="15" customHeight="1">
      <c r="A969" t="inlineStr">
        <is>
          <t>A 31292-2025</t>
        </is>
      </c>
      <c r="B969" s="1" t="n">
        <v>45833.36111111111</v>
      </c>
      <c r="C969" s="1" t="n">
        <v>45935</v>
      </c>
      <c r="D969" t="inlineStr">
        <is>
          <t>JÄMTLANDS LÄN</t>
        </is>
      </c>
      <c r="E969" t="inlineStr">
        <is>
          <t>KROKOM</t>
        </is>
      </c>
      <c r="G969" t="n">
        <v>3.3</v>
      </c>
      <c r="H969" t="n">
        <v>0</v>
      </c>
      <c r="I969" t="n">
        <v>0</v>
      </c>
      <c r="J969" t="n">
        <v>0</v>
      </c>
      <c r="K969" t="n">
        <v>0</v>
      </c>
      <c r="L969" t="n">
        <v>0</v>
      </c>
      <c r="M969" t="n">
        <v>0</v>
      </c>
      <c r="N969" t="n">
        <v>0</v>
      </c>
      <c r="O969" t="n">
        <v>0</v>
      </c>
      <c r="P969" t="n">
        <v>0</v>
      </c>
      <c r="Q969" t="n">
        <v>0</v>
      </c>
      <c r="R969" s="2" t="inlineStr"/>
    </row>
    <row r="970" ht="15" customHeight="1">
      <c r="A970" t="inlineStr">
        <is>
          <t>A 31852-2025</t>
        </is>
      </c>
      <c r="B970" s="1" t="n">
        <v>45834.61517361111</v>
      </c>
      <c r="C970" s="1" t="n">
        <v>45935</v>
      </c>
      <c r="D970" t="inlineStr">
        <is>
          <t>JÄMTLANDS LÄN</t>
        </is>
      </c>
      <c r="E970" t="inlineStr">
        <is>
          <t>KROKOM</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32038-2025</t>
        </is>
      </c>
      <c r="B971" s="1" t="n">
        <v>45835.42712962963</v>
      </c>
      <c r="C971" s="1" t="n">
        <v>45935</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31654-2025</t>
        </is>
      </c>
      <c r="B972" s="1" t="n">
        <v>45834.34726851852</v>
      </c>
      <c r="C972" s="1" t="n">
        <v>45935</v>
      </c>
      <c r="D972" t="inlineStr">
        <is>
          <t>JÄMTLANDS LÄN</t>
        </is>
      </c>
      <c r="E972" t="inlineStr">
        <is>
          <t>KROKOM</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34289-2021</t>
        </is>
      </c>
      <c r="B973" s="1" t="n">
        <v>44379.59675925926</v>
      </c>
      <c r="C973" s="1" t="n">
        <v>45935</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29524-2024</t>
        </is>
      </c>
      <c r="B974" s="1" t="n">
        <v>45484</v>
      </c>
      <c r="C974" s="1" t="n">
        <v>45935</v>
      </c>
      <c r="D974" t="inlineStr">
        <is>
          <t>JÄMTLANDS LÄN</t>
        </is>
      </c>
      <c r="E974" t="inlineStr">
        <is>
          <t>KROKOM</t>
        </is>
      </c>
      <c r="F974" t="inlineStr">
        <is>
          <t>Övriga Aktiebolag</t>
        </is>
      </c>
      <c r="G974" t="n">
        <v>10.6</v>
      </c>
      <c r="H974" t="n">
        <v>0</v>
      </c>
      <c r="I974" t="n">
        <v>0</v>
      </c>
      <c r="J974" t="n">
        <v>0</v>
      </c>
      <c r="K974" t="n">
        <v>0</v>
      </c>
      <c r="L974" t="n">
        <v>0</v>
      </c>
      <c r="M974" t="n">
        <v>0</v>
      </c>
      <c r="N974" t="n">
        <v>0</v>
      </c>
      <c r="O974" t="n">
        <v>0</v>
      </c>
      <c r="P974" t="n">
        <v>0</v>
      </c>
      <c r="Q974" t="n">
        <v>0</v>
      </c>
      <c r="R974" s="2" t="inlineStr"/>
    </row>
    <row r="975" ht="15" customHeight="1">
      <c r="A975" t="inlineStr">
        <is>
          <t>A 37465-2025</t>
        </is>
      </c>
      <c r="B975" s="1" t="n">
        <v>45877.57403935185</v>
      </c>
      <c r="C975" s="1" t="n">
        <v>45935</v>
      </c>
      <c r="D975" t="inlineStr">
        <is>
          <t>JÄMTLANDS LÄN</t>
        </is>
      </c>
      <c r="E975" t="inlineStr">
        <is>
          <t>KROKOM</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32896-2025</t>
        </is>
      </c>
      <c r="B976" s="1" t="n">
        <v>45839.61541666667</v>
      </c>
      <c r="C976" s="1" t="n">
        <v>45935</v>
      </c>
      <c r="D976" t="inlineStr">
        <is>
          <t>JÄMTLANDS LÄN</t>
        </is>
      </c>
      <c r="E976" t="inlineStr">
        <is>
          <t>KROKOM</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32899-2025</t>
        </is>
      </c>
      <c r="B977" s="1" t="n">
        <v>45839.61594907408</v>
      </c>
      <c r="C977" s="1" t="n">
        <v>45935</v>
      </c>
      <c r="D977" t="inlineStr">
        <is>
          <t>JÄMTLANDS LÄN</t>
        </is>
      </c>
      <c r="E977" t="inlineStr">
        <is>
          <t>KROKOM</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10133-2025</t>
        </is>
      </c>
      <c r="B978" s="1" t="n">
        <v>45719</v>
      </c>
      <c r="C978" s="1" t="n">
        <v>45935</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32966-2025</t>
        </is>
      </c>
      <c r="B979" s="1" t="n">
        <v>45839.72320601852</v>
      </c>
      <c r="C979" s="1" t="n">
        <v>45935</v>
      </c>
      <c r="D979" t="inlineStr">
        <is>
          <t>JÄMTLANDS LÄN</t>
        </is>
      </c>
      <c r="E979" t="inlineStr">
        <is>
          <t>KROKOM</t>
        </is>
      </c>
      <c r="G979" t="n">
        <v>2.7</v>
      </c>
      <c r="H979" t="n">
        <v>0</v>
      </c>
      <c r="I979" t="n">
        <v>0</v>
      </c>
      <c r="J979" t="n">
        <v>0</v>
      </c>
      <c r="K979" t="n">
        <v>0</v>
      </c>
      <c r="L979" t="n">
        <v>0</v>
      </c>
      <c r="M979" t="n">
        <v>0</v>
      </c>
      <c r="N979" t="n">
        <v>0</v>
      </c>
      <c r="O979" t="n">
        <v>0</v>
      </c>
      <c r="P979" t="n">
        <v>0</v>
      </c>
      <c r="Q979" t="n">
        <v>0</v>
      </c>
      <c r="R979" s="2" t="inlineStr"/>
    </row>
    <row r="980" ht="15" customHeight="1">
      <c r="A980" t="inlineStr">
        <is>
          <t>A 32318-2025</t>
        </is>
      </c>
      <c r="B980" s="1" t="n">
        <v>45836.34413194445</v>
      </c>
      <c r="C980" s="1" t="n">
        <v>45935</v>
      </c>
      <c r="D980" t="inlineStr">
        <is>
          <t>JÄMTLANDS LÄN</t>
        </is>
      </c>
      <c r="E980" t="inlineStr">
        <is>
          <t>KROKOM</t>
        </is>
      </c>
      <c r="F980" t="inlineStr">
        <is>
          <t>SCA</t>
        </is>
      </c>
      <c r="G980" t="n">
        <v>13.8</v>
      </c>
      <c r="H980" t="n">
        <v>0</v>
      </c>
      <c r="I980" t="n">
        <v>0</v>
      </c>
      <c r="J980" t="n">
        <v>0</v>
      </c>
      <c r="K980" t="n">
        <v>0</v>
      </c>
      <c r="L980" t="n">
        <v>0</v>
      </c>
      <c r="M980" t="n">
        <v>0</v>
      </c>
      <c r="N980" t="n">
        <v>0</v>
      </c>
      <c r="O980" t="n">
        <v>0</v>
      </c>
      <c r="P980" t="n">
        <v>0</v>
      </c>
      <c r="Q980" t="n">
        <v>0</v>
      </c>
      <c r="R980" s="2" t="inlineStr"/>
    </row>
    <row r="981" ht="15" customHeight="1">
      <c r="A981" t="inlineStr">
        <is>
          <t>A 32898-2025</t>
        </is>
      </c>
      <c r="B981" s="1" t="n">
        <v>45839.61582175926</v>
      </c>
      <c r="C981" s="1" t="n">
        <v>45935</v>
      </c>
      <c r="D981" t="inlineStr">
        <is>
          <t>JÄMTLANDS LÄN</t>
        </is>
      </c>
      <c r="E981" t="inlineStr">
        <is>
          <t>KROKOM</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3329-2025</t>
        </is>
      </c>
      <c r="B982" s="1" t="n">
        <v>45679.70027777777</v>
      </c>
      <c r="C982" s="1" t="n">
        <v>45935</v>
      </c>
      <c r="D982" t="inlineStr">
        <is>
          <t>JÄMTLANDS LÄN</t>
        </is>
      </c>
      <c r="E982" t="inlineStr">
        <is>
          <t>KROKOM</t>
        </is>
      </c>
      <c r="G982" t="n">
        <v>4.8</v>
      </c>
      <c r="H982" t="n">
        <v>0</v>
      </c>
      <c r="I982" t="n">
        <v>0</v>
      </c>
      <c r="J982" t="n">
        <v>0</v>
      </c>
      <c r="K982" t="n">
        <v>0</v>
      </c>
      <c r="L982" t="n">
        <v>0</v>
      </c>
      <c r="M982" t="n">
        <v>0</v>
      </c>
      <c r="N982" t="n">
        <v>0</v>
      </c>
      <c r="O982" t="n">
        <v>0</v>
      </c>
      <c r="P982" t="n">
        <v>0</v>
      </c>
      <c r="Q982" t="n">
        <v>0</v>
      </c>
      <c r="R982" s="2" t="inlineStr"/>
    </row>
    <row r="983" ht="15" customHeight="1">
      <c r="A983" t="inlineStr">
        <is>
          <t>A 32897-2025</t>
        </is>
      </c>
      <c r="B983" s="1" t="n">
        <v>45839.61563657408</v>
      </c>
      <c r="C983" s="1" t="n">
        <v>45935</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7952-2023</t>
        </is>
      </c>
      <c r="B984" s="1" t="n">
        <v>44970</v>
      </c>
      <c r="C984" s="1" t="n">
        <v>45935</v>
      </c>
      <c r="D984" t="inlineStr">
        <is>
          <t>JÄMTLANDS LÄN</t>
        </is>
      </c>
      <c r="E984" t="inlineStr">
        <is>
          <t>KROKOM</t>
        </is>
      </c>
      <c r="G984" t="n">
        <v>4.8</v>
      </c>
      <c r="H984" t="n">
        <v>0</v>
      </c>
      <c r="I984" t="n">
        <v>0</v>
      </c>
      <c r="J984" t="n">
        <v>0</v>
      </c>
      <c r="K984" t="n">
        <v>0</v>
      </c>
      <c r="L984" t="n">
        <v>0</v>
      </c>
      <c r="M984" t="n">
        <v>0</v>
      </c>
      <c r="N984" t="n">
        <v>0</v>
      </c>
      <c r="O984" t="n">
        <v>0</v>
      </c>
      <c r="P984" t="n">
        <v>0</v>
      </c>
      <c r="Q984" t="n">
        <v>0</v>
      </c>
      <c r="R984" s="2" t="inlineStr"/>
    </row>
    <row r="985" ht="15" customHeight="1">
      <c r="A985" t="inlineStr">
        <is>
          <t>A 33451-2025</t>
        </is>
      </c>
      <c r="B985" s="1" t="n">
        <v>45841.46925925926</v>
      </c>
      <c r="C985" s="1" t="n">
        <v>45935</v>
      </c>
      <c r="D985" t="inlineStr">
        <is>
          <t>JÄMTLANDS LÄN</t>
        </is>
      </c>
      <c r="E985" t="inlineStr">
        <is>
          <t>KROKOM</t>
        </is>
      </c>
      <c r="F985" t="inlineStr">
        <is>
          <t>SCA</t>
        </is>
      </c>
      <c r="G985" t="n">
        <v>17.5</v>
      </c>
      <c r="H985" t="n">
        <v>0</v>
      </c>
      <c r="I985" t="n">
        <v>0</v>
      </c>
      <c r="J985" t="n">
        <v>0</v>
      </c>
      <c r="K985" t="n">
        <v>0</v>
      </c>
      <c r="L985" t="n">
        <v>0</v>
      </c>
      <c r="M985" t="n">
        <v>0</v>
      </c>
      <c r="N985" t="n">
        <v>0</v>
      </c>
      <c r="O985" t="n">
        <v>0</v>
      </c>
      <c r="P985" t="n">
        <v>0</v>
      </c>
      <c r="Q985" t="n">
        <v>0</v>
      </c>
      <c r="R985" s="2" t="inlineStr"/>
    </row>
    <row r="986" ht="15" customHeight="1">
      <c r="A986" t="inlineStr">
        <is>
          <t>A 10632-2025</t>
        </is>
      </c>
      <c r="B986" s="1" t="n">
        <v>45721</v>
      </c>
      <c r="C986" s="1" t="n">
        <v>45935</v>
      </c>
      <c r="D986" t="inlineStr">
        <is>
          <t>JÄMTLANDS LÄN</t>
        </is>
      </c>
      <c r="E986" t="inlineStr">
        <is>
          <t>KROKOM</t>
        </is>
      </c>
      <c r="G986" t="n">
        <v>3.2</v>
      </c>
      <c r="H986" t="n">
        <v>0</v>
      </c>
      <c r="I986" t="n">
        <v>0</v>
      </c>
      <c r="J986" t="n">
        <v>0</v>
      </c>
      <c r="K986" t="n">
        <v>0</v>
      </c>
      <c r="L986" t="n">
        <v>0</v>
      </c>
      <c r="M986" t="n">
        <v>0</v>
      </c>
      <c r="N986" t="n">
        <v>0</v>
      </c>
      <c r="O986" t="n">
        <v>0</v>
      </c>
      <c r="P986" t="n">
        <v>0</v>
      </c>
      <c r="Q986" t="n">
        <v>0</v>
      </c>
      <c r="R986" s="2" t="inlineStr"/>
    </row>
    <row r="987" ht="15" customHeight="1">
      <c r="A987" t="inlineStr">
        <is>
          <t>A 33418-2025</t>
        </is>
      </c>
      <c r="B987" s="1" t="n">
        <v>45841.43987268519</v>
      </c>
      <c r="C987" s="1" t="n">
        <v>45935</v>
      </c>
      <c r="D987" t="inlineStr">
        <is>
          <t>JÄMTLANDS LÄN</t>
        </is>
      </c>
      <c r="E987" t="inlineStr">
        <is>
          <t>KROKOM</t>
        </is>
      </c>
      <c r="G987" t="n">
        <v>3.9</v>
      </c>
      <c r="H987" t="n">
        <v>0</v>
      </c>
      <c r="I987" t="n">
        <v>0</v>
      </c>
      <c r="J987" t="n">
        <v>0</v>
      </c>
      <c r="K987" t="n">
        <v>0</v>
      </c>
      <c r="L987" t="n">
        <v>0</v>
      </c>
      <c r="M987" t="n">
        <v>0</v>
      </c>
      <c r="N987" t="n">
        <v>0</v>
      </c>
      <c r="O987" t="n">
        <v>0</v>
      </c>
      <c r="P987" t="n">
        <v>0</v>
      </c>
      <c r="Q987" t="n">
        <v>0</v>
      </c>
      <c r="R987" s="2" t="inlineStr"/>
    </row>
    <row r="988" ht="15" customHeight="1">
      <c r="A988" t="inlineStr">
        <is>
          <t>A 33677-2025</t>
        </is>
      </c>
      <c r="B988" s="1" t="n">
        <v>45841.67834490741</v>
      </c>
      <c r="C988" s="1" t="n">
        <v>45935</v>
      </c>
      <c r="D988" t="inlineStr">
        <is>
          <t>JÄMTLANDS LÄN</t>
        </is>
      </c>
      <c r="E988" t="inlineStr">
        <is>
          <t>KROKOM</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45935</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8369-2023</t>
        </is>
      </c>
      <c r="B990" s="1" t="n">
        <v>44971</v>
      </c>
      <c r="C990" s="1" t="n">
        <v>45935</v>
      </c>
      <c r="D990" t="inlineStr">
        <is>
          <t>JÄMTLANDS LÄN</t>
        </is>
      </c>
      <c r="E990" t="inlineStr">
        <is>
          <t>KROKOM</t>
        </is>
      </c>
      <c r="G990" t="n">
        <v>47.2</v>
      </c>
      <c r="H990" t="n">
        <v>0</v>
      </c>
      <c r="I990" t="n">
        <v>0</v>
      </c>
      <c r="J990" t="n">
        <v>0</v>
      </c>
      <c r="K990" t="n">
        <v>0</v>
      </c>
      <c r="L990" t="n">
        <v>0</v>
      </c>
      <c r="M990" t="n">
        <v>0</v>
      </c>
      <c r="N990" t="n">
        <v>0</v>
      </c>
      <c r="O990" t="n">
        <v>0</v>
      </c>
      <c r="P990" t="n">
        <v>0</v>
      </c>
      <c r="Q990" t="n">
        <v>0</v>
      </c>
      <c r="R990" s="2" t="inlineStr"/>
    </row>
    <row r="991" ht="15" customHeight="1">
      <c r="A991" t="inlineStr">
        <is>
          <t>A 33925-2025</t>
        </is>
      </c>
      <c r="B991" s="1" t="n">
        <v>45842</v>
      </c>
      <c r="C991" s="1" t="n">
        <v>45935</v>
      </c>
      <c r="D991" t="inlineStr">
        <is>
          <t>JÄMTLANDS LÄN</t>
        </is>
      </c>
      <c r="E991" t="inlineStr">
        <is>
          <t>KROKOM</t>
        </is>
      </c>
      <c r="G991" t="n">
        <v>1.2</v>
      </c>
      <c r="H991" t="n">
        <v>0</v>
      </c>
      <c r="I991" t="n">
        <v>0</v>
      </c>
      <c r="J991" t="n">
        <v>0</v>
      </c>
      <c r="K991" t="n">
        <v>0</v>
      </c>
      <c r="L991" t="n">
        <v>0</v>
      </c>
      <c r="M991" t="n">
        <v>0</v>
      </c>
      <c r="N991" t="n">
        <v>0</v>
      </c>
      <c r="O991" t="n">
        <v>0</v>
      </c>
      <c r="P991" t="n">
        <v>0</v>
      </c>
      <c r="Q991" t="n">
        <v>0</v>
      </c>
      <c r="R991" s="2" t="inlineStr"/>
    </row>
    <row r="992" ht="15" customHeight="1">
      <c r="A992" t="inlineStr">
        <is>
          <t>A 33915-2025</t>
        </is>
      </c>
      <c r="B992" s="1" t="n">
        <v>45842.6099537037</v>
      </c>
      <c r="C992" s="1" t="n">
        <v>45935</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33945-2025</t>
        </is>
      </c>
      <c r="B993" s="1" t="n">
        <v>45842</v>
      </c>
      <c r="C993" s="1" t="n">
        <v>45935</v>
      </c>
      <c r="D993" t="inlineStr">
        <is>
          <t>JÄMTLANDS LÄN</t>
        </is>
      </c>
      <c r="E993" t="inlineStr">
        <is>
          <t>KROKOM</t>
        </is>
      </c>
      <c r="G993" t="n">
        <v>7</v>
      </c>
      <c r="H993" t="n">
        <v>0</v>
      </c>
      <c r="I993" t="n">
        <v>0</v>
      </c>
      <c r="J993" t="n">
        <v>0</v>
      </c>
      <c r="K993" t="n">
        <v>0</v>
      </c>
      <c r="L993" t="n">
        <v>0</v>
      </c>
      <c r="M993" t="n">
        <v>0</v>
      </c>
      <c r="N993" t="n">
        <v>0</v>
      </c>
      <c r="O993" t="n">
        <v>0</v>
      </c>
      <c r="P993" t="n">
        <v>0</v>
      </c>
      <c r="Q993" t="n">
        <v>0</v>
      </c>
      <c r="R993" s="2" t="inlineStr"/>
    </row>
    <row r="994" ht="15" customHeight="1">
      <c r="A994" t="inlineStr">
        <is>
          <t>A 58347-2022</t>
        </is>
      </c>
      <c r="B994" s="1" t="n">
        <v>44901.59349537037</v>
      </c>
      <c r="C994" s="1" t="n">
        <v>45935</v>
      </c>
      <c r="D994" t="inlineStr">
        <is>
          <t>JÄMTLANDS LÄN</t>
        </is>
      </c>
      <c r="E994" t="inlineStr">
        <is>
          <t>KROKOM</t>
        </is>
      </c>
      <c r="F994" t="inlineStr">
        <is>
          <t>Övriga Aktiebolag</t>
        </is>
      </c>
      <c r="G994" t="n">
        <v>5.6</v>
      </c>
      <c r="H994" t="n">
        <v>0</v>
      </c>
      <c r="I994" t="n">
        <v>0</v>
      </c>
      <c r="J994" t="n">
        <v>0</v>
      </c>
      <c r="K994" t="n">
        <v>0</v>
      </c>
      <c r="L994" t="n">
        <v>0</v>
      </c>
      <c r="M994" t="n">
        <v>0</v>
      </c>
      <c r="N994" t="n">
        <v>0</v>
      </c>
      <c r="O994" t="n">
        <v>0</v>
      </c>
      <c r="P994" t="n">
        <v>0</v>
      </c>
      <c r="Q994" t="n">
        <v>0</v>
      </c>
      <c r="R994" s="2" t="inlineStr"/>
    </row>
    <row r="995" ht="15" customHeight="1">
      <c r="A995" t="inlineStr">
        <is>
          <t>A 33777-2025</t>
        </is>
      </c>
      <c r="B995" s="1" t="n">
        <v>45842.39587962963</v>
      </c>
      <c r="C995" s="1" t="n">
        <v>45935</v>
      </c>
      <c r="D995" t="inlineStr">
        <is>
          <t>JÄMTLANDS LÄN</t>
        </is>
      </c>
      <c r="E995" t="inlineStr">
        <is>
          <t>KROKOM</t>
        </is>
      </c>
      <c r="F995" t="inlineStr">
        <is>
          <t>Övriga Aktiebolag</t>
        </is>
      </c>
      <c r="G995" t="n">
        <v>0.3</v>
      </c>
      <c r="H995" t="n">
        <v>0</v>
      </c>
      <c r="I995" t="n">
        <v>0</v>
      </c>
      <c r="J995" t="n">
        <v>0</v>
      </c>
      <c r="K995" t="n">
        <v>0</v>
      </c>
      <c r="L995" t="n">
        <v>0</v>
      </c>
      <c r="M995" t="n">
        <v>0</v>
      </c>
      <c r="N995" t="n">
        <v>0</v>
      </c>
      <c r="O995" t="n">
        <v>0</v>
      </c>
      <c r="P995" t="n">
        <v>0</v>
      </c>
      <c r="Q995" t="n">
        <v>0</v>
      </c>
      <c r="R995" s="2" t="inlineStr"/>
    </row>
    <row r="996" ht="15" customHeight="1">
      <c r="A996" t="inlineStr">
        <is>
          <t>A 6145-2025</t>
        </is>
      </c>
      <c r="B996" s="1" t="n">
        <v>45698.39486111111</v>
      </c>
      <c r="C996" s="1" t="n">
        <v>45935</v>
      </c>
      <c r="D996" t="inlineStr">
        <is>
          <t>JÄMTLANDS LÄN</t>
        </is>
      </c>
      <c r="E996" t="inlineStr">
        <is>
          <t>KROKOM</t>
        </is>
      </c>
      <c r="G996" t="n">
        <v>3.8</v>
      </c>
      <c r="H996" t="n">
        <v>0</v>
      </c>
      <c r="I996" t="n">
        <v>0</v>
      </c>
      <c r="J996" t="n">
        <v>0</v>
      </c>
      <c r="K996" t="n">
        <v>0</v>
      </c>
      <c r="L996" t="n">
        <v>0</v>
      </c>
      <c r="M996" t="n">
        <v>0</v>
      </c>
      <c r="N996" t="n">
        <v>0</v>
      </c>
      <c r="O996" t="n">
        <v>0</v>
      </c>
      <c r="P996" t="n">
        <v>0</v>
      </c>
      <c r="Q996" t="n">
        <v>0</v>
      </c>
      <c r="R996" s="2" t="inlineStr"/>
    </row>
    <row r="997" ht="15" customHeight="1">
      <c r="A997" t="inlineStr">
        <is>
          <t>A 5935-2025</t>
        </is>
      </c>
      <c r="B997" s="1" t="n">
        <v>45695.45013888889</v>
      </c>
      <c r="C997" s="1" t="n">
        <v>45935</v>
      </c>
      <c r="D997" t="inlineStr">
        <is>
          <t>JÄMTLANDS LÄN</t>
        </is>
      </c>
      <c r="E997" t="inlineStr">
        <is>
          <t>KROKOM</t>
        </is>
      </c>
      <c r="F997" t="inlineStr">
        <is>
          <t>Övriga Aktiebolag</t>
        </is>
      </c>
      <c r="G997" t="n">
        <v>15</v>
      </c>
      <c r="H997" t="n">
        <v>0</v>
      </c>
      <c r="I997" t="n">
        <v>0</v>
      </c>
      <c r="J997" t="n">
        <v>0</v>
      </c>
      <c r="K997" t="n">
        <v>0</v>
      </c>
      <c r="L997" t="n">
        <v>0</v>
      </c>
      <c r="M997" t="n">
        <v>0</v>
      </c>
      <c r="N997" t="n">
        <v>0</v>
      </c>
      <c r="O997" t="n">
        <v>0</v>
      </c>
      <c r="P997" t="n">
        <v>0</v>
      </c>
      <c r="Q997" t="n">
        <v>0</v>
      </c>
      <c r="R997" s="2" t="inlineStr"/>
    </row>
    <row r="998" ht="15" customHeight="1">
      <c r="A998" t="inlineStr">
        <is>
          <t>A 33779-2025</t>
        </is>
      </c>
      <c r="B998" s="1" t="n">
        <v>45842.40013888889</v>
      </c>
      <c r="C998" s="1" t="n">
        <v>45935</v>
      </c>
      <c r="D998" t="inlineStr">
        <is>
          <t>JÄMTLANDS LÄN</t>
        </is>
      </c>
      <c r="E998" t="inlineStr">
        <is>
          <t>KROKOM</t>
        </is>
      </c>
      <c r="F998" t="inlineStr">
        <is>
          <t>Övriga Aktiebolag</t>
        </is>
      </c>
      <c r="G998" t="n">
        <v>0.3</v>
      </c>
      <c r="H998" t="n">
        <v>0</v>
      </c>
      <c r="I998" t="n">
        <v>0</v>
      </c>
      <c r="J998" t="n">
        <v>0</v>
      </c>
      <c r="K998" t="n">
        <v>0</v>
      </c>
      <c r="L998" t="n">
        <v>0</v>
      </c>
      <c r="M998" t="n">
        <v>0</v>
      </c>
      <c r="N998" t="n">
        <v>0</v>
      </c>
      <c r="O998" t="n">
        <v>0</v>
      </c>
      <c r="P998" t="n">
        <v>0</v>
      </c>
      <c r="Q998" t="n">
        <v>0</v>
      </c>
      <c r="R998" s="2" t="inlineStr"/>
    </row>
    <row r="999" ht="15" customHeight="1">
      <c r="A999" t="inlineStr">
        <is>
          <t>A 25775-2024</t>
        </is>
      </c>
      <c r="B999" s="1" t="n">
        <v>45466.62116898148</v>
      </c>
      <c r="C999" s="1" t="n">
        <v>45935</v>
      </c>
      <c r="D999" t="inlineStr">
        <is>
          <t>JÄMTLANDS LÄN</t>
        </is>
      </c>
      <c r="E999" t="inlineStr">
        <is>
          <t>KROKOM</t>
        </is>
      </c>
      <c r="G999" t="n">
        <v>1.7</v>
      </c>
      <c r="H999" t="n">
        <v>0</v>
      </c>
      <c r="I999" t="n">
        <v>0</v>
      </c>
      <c r="J999" t="n">
        <v>0</v>
      </c>
      <c r="K999" t="n">
        <v>0</v>
      </c>
      <c r="L999" t="n">
        <v>0</v>
      </c>
      <c r="M999" t="n">
        <v>0</v>
      </c>
      <c r="N999" t="n">
        <v>0</v>
      </c>
      <c r="O999" t="n">
        <v>0</v>
      </c>
      <c r="P999" t="n">
        <v>0</v>
      </c>
      <c r="Q999" t="n">
        <v>0</v>
      </c>
      <c r="R999" s="2" t="inlineStr"/>
    </row>
    <row r="1000" ht="15" customHeight="1">
      <c r="A1000" t="inlineStr">
        <is>
          <t>A 53825-2024</t>
        </is>
      </c>
      <c r="B1000" s="1" t="n">
        <v>45615.61121527778</v>
      </c>
      <c r="C1000" s="1" t="n">
        <v>45935</v>
      </c>
      <c r="D1000" t="inlineStr">
        <is>
          <t>JÄMTLANDS LÄN</t>
        </is>
      </c>
      <c r="E1000" t="inlineStr">
        <is>
          <t>KROKOM</t>
        </is>
      </c>
      <c r="F1000" t="inlineStr">
        <is>
          <t>Övriga Aktiebolag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57514-2023</t>
        </is>
      </c>
      <c r="B1001" s="1" t="n">
        <v>45246</v>
      </c>
      <c r="C1001" s="1" t="n">
        <v>45935</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16064-2024</t>
        </is>
      </c>
      <c r="B1002" s="1" t="n">
        <v>45406.05033564815</v>
      </c>
      <c r="C1002" s="1" t="n">
        <v>45935</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27000-2021</t>
        </is>
      </c>
      <c r="B1003" s="1" t="n">
        <v>44349</v>
      </c>
      <c r="C1003" s="1" t="n">
        <v>45935</v>
      </c>
      <c r="D1003" t="inlineStr">
        <is>
          <t>JÄMTLANDS LÄN</t>
        </is>
      </c>
      <c r="E1003" t="inlineStr">
        <is>
          <t>KROKOM</t>
        </is>
      </c>
      <c r="F1003" t="inlineStr">
        <is>
          <t>Allmännings- och besparingsskogar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52213-2024</t>
        </is>
      </c>
      <c r="B1004" s="1" t="n">
        <v>45607</v>
      </c>
      <c r="C1004" s="1" t="n">
        <v>45935</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61230-2021</t>
        </is>
      </c>
      <c r="B1005" s="1" t="n">
        <v>44498</v>
      </c>
      <c r="C1005" s="1" t="n">
        <v>45935</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48417-2022</t>
        </is>
      </c>
      <c r="B1006" s="1" t="n">
        <v>44858</v>
      </c>
      <c r="C1006" s="1" t="n">
        <v>45935</v>
      </c>
      <c r="D1006" t="inlineStr">
        <is>
          <t>JÄMTLANDS LÄN</t>
        </is>
      </c>
      <c r="E1006" t="inlineStr">
        <is>
          <t>KROKOM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58482-2024</t>
        </is>
      </c>
      <c r="B1007" s="1" t="n">
        <v>45635</v>
      </c>
      <c r="C1007" s="1" t="n">
        <v>45935</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52666-2024</t>
        </is>
      </c>
      <c r="B1008" s="1" t="n">
        <v>45610.36561342593</v>
      </c>
      <c r="C1008" s="1" t="n">
        <v>45935</v>
      </c>
      <c r="D1008" t="inlineStr">
        <is>
          <t>JÄMTLANDS LÄN</t>
        </is>
      </c>
      <c r="E1008" t="inlineStr">
        <is>
          <t>KROKOM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31601-2023</t>
        </is>
      </c>
      <c r="B1009" s="1" t="n">
        <v>45117</v>
      </c>
      <c r="C1009" s="1" t="n">
        <v>45935</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50302-2022</t>
        </is>
      </c>
      <c r="B1010" s="1" t="n">
        <v>44865</v>
      </c>
      <c r="C1010" s="1" t="n">
        <v>45935</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39753-2024</t>
        </is>
      </c>
      <c r="B1011" s="1" t="n">
        <v>45552.67611111111</v>
      </c>
      <c r="C1011" s="1" t="n">
        <v>45935</v>
      </c>
      <c r="D1011" t="inlineStr">
        <is>
          <t>JÄMTLANDS LÄN</t>
        </is>
      </c>
      <c r="E1011" t="inlineStr">
        <is>
          <t>KROKOM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34535-2025</t>
        </is>
      </c>
      <c r="B1012" s="1" t="n">
        <v>45847.51106481482</v>
      </c>
      <c r="C1012" s="1" t="n">
        <v>45935</v>
      </c>
      <c r="D1012" t="inlineStr">
        <is>
          <t>JÄMTLANDS LÄN</t>
        </is>
      </c>
      <c r="E1012" t="inlineStr">
        <is>
          <t>KROKOM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7072-2025</t>
        </is>
      </c>
      <c r="B1013" s="1" t="n">
        <v>45701</v>
      </c>
      <c r="C1013" s="1" t="n">
        <v>45935</v>
      </c>
      <c r="D1013" t="inlineStr">
        <is>
          <t>JÄMTLANDS LÄN</t>
        </is>
      </c>
      <c r="E1013" t="inlineStr">
        <is>
          <t>KROKOM</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34608-2025</t>
        </is>
      </c>
      <c r="B1014" s="1" t="n">
        <v>45847.65717592592</v>
      </c>
      <c r="C1014" s="1" t="n">
        <v>45935</v>
      </c>
      <c r="D1014" t="inlineStr">
        <is>
          <t>JÄMTLANDS LÄN</t>
        </is>
      </c>
      <c r="E1014" t="inlineStr">
        <is>
          <t>KROKOM</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34516-2025</t>
        </is>
      </c>
      <c r="B1015" s="1" t="n">
        <v>45847.46462962963</v>
      </c>
      <c r="C1015" s="1" t="n">
        <v>45935</v>
      </c>
      <c r="D1015" t="inlineStr">
        <is>
          <t>JÄMTLANDS LÄN</t>
        </is>
      </c>
      <c r="E1015" t="inlineStr">
        <is>
          <t>KROKOM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27178-2022</t>
        </is>
      </c>
      <c r="B1016" s="1" t="n">
        <v>44741</v>
      </c>
      <c r="C1016" s="1" t="n">
        <v>45935</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34737-2025</t>
        </is>
      </c>
      <c r="B1017" s="1" t="n">
        <v>45848.60371527778</v>
      </c>
      <c r="C1017" s="1" t="n">
        <v>45935</v>
      </c>
      <c r="D1017" t="inlineStr">
        <is>
          <t>JÄMTLANDS LÄN</t>
        </is>
      </c>
      <c r="E1017" t="inlineStr">
        <is>
          <t>KROKOM</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34701-2025</t>
        </is>
      </c>
      <c r="B1018" s="1" t="n">
        <v>45848.48070601852</v>
      </c>
      <c r="C1018" s="1" t="n">
        <v>45935</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34872-2025</t>
        </is>
      </c>
      <c r="B1019" s="1" t="n">
        <v>45849.4525462963</v>
      </c>
      <c r="C1019" s="1" t="n">
        <v>45935</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18556-2025</t>
        </is>
      </c>
      <c r="B1020" s="1" t="n">
        <v>45763.44112268519</v>
      </c>
      <c r="C1020" s="1" t="n">
        <v>45935</v>
      </c>
      <c r="D1020" t="inlineStr">
        <is>
          <t>JÄMTLANDS LÄN</t>
        </is>
      </c>
      <c r="E1020" t="inlineStr">
        <is>
          <t>KROKOM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53827-2024</t>
        </is>
      </c>
      <c r="B1021" s="1" t="n">
        <v>45615.61302083333</v>
      </c>
      <c r="C1021" s="1" t="n">
        <v>45935</v>
      </c>
      <c r="D1021" t="inlineStr">
        <is>
          <t>JÄMTLANDS LÄN</t>
        </is>
      </c>
      <c r="E1021" t="inlineStr">
        <is>
          <t>KROKOM</t>
        </is>
      </c>
      <c r="F1021" t="inlineStr">
        <is>
          <t>Övriga Aktiebolag</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71572-2021</t>
        </is>
      </c>
      <c r="B1022" s="1" t="n">
        <v>44540</v>
      </c>
      <c r="C1022" s="1" t="n">
        <v>45935</v>
      </c>
      <c r="D1022" t="inlineStr">
        <is>
          <t>JÄMTLANDS LÄN</t>
        </is>
      </c>
      <c r="E1022" t="inlineStr">
        <is>
          <t>KROKOM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30709-2024</t>
        </is>
      </c>
      <c r="B1023" s="1" t="n">
        <v>45496.41289351852</v>
      </c>
      <c r="C1023" s="1" t="n">
        <v>45935</v>
      </c>
      <c r="D1023" t="inlineStr">
        <is>
          <t>JÄMTLANDS LÄN</t>
        </is>
      </c>
      <c r="E1023" t="inlineStr">
        <is>
          <t>KROKOM</t>
        </is>
      </c>
      <c r="F1023" t="inlineStr">
        <is>
          <t>Övriga Aktiebolag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51939-2024</t>
        </is>
      </c>
      <c r="B1024" s="1" t="n">
        <v>45607.63211805555</v>
      </c>
      <c r="C1024" s="1" t="n">
        <v>45935</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34829-2025</t>
        </is>
      </c>
      <c r="B1025" s="1" t="n">
        <v>45849.3859837963</v>
      </c>
      <c r="C1025" s="1" t="n">
        <v>45935</v>
      </c>
      <c r="D1025" t="inlineStr">
        <is>
          <t>JÄMTLANDS LÄN</t>
        </is>
      </c>
      <c r="E1025" t="inlineStr">
        <is>
          <t>KROKOM</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35238-2025</t>
        </is>
      </c>
      <c r="B1026" s="1" t="n">
        <v>45853.6156712963</v>
      </c>
      <c r="C1026" s="1" t="n">
        <v>45935</v>
      </c>
      <c r="D1026" t="inlineStr">
        <is>
          <t>JÄMTLANDS LÄN</t>
        </is>
      </c>
      <c r="E1026" t="inlineStr">
        <is>
          <t>KROKOM</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27597-2024</t>
        </is>
      </c>
      <c r="B1027" s="1" t="n">
        <v>45474.69155092593</v>
      </c>
      <c r="C1027" s="1" t="n">
        <v>45935</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9043-2025</t>
        </is>
      </c>
      <c r="B1028" s="1" t="n">
        <v>45713</v>
      </c>
      <c r="C1028" s="1" t="n">
        <v>45935</v>
      </c>
      <c r="D1028" t="inlineStr">
        <is>
          <t>JÄMTLANDS LÄN</t>
        </is>
      </c>
      <c r="E1028" t="inlineStr">
        <is>
          <t>KROKOM</t>
        </is>
      </c>
      <c r="F1028" t="inlineStr">
        <is>
          <t>Övriga Aktiebolag</t>
        </is>
      </c>
      <c r="G1028" t="n">
        <v>43.6</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45935</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10581-2025</t>
        </is>
      </c>
      <c r="B1030" s="1" t="n">
        <v>45721.54896990741</v>
      </c>
      <c r="C1030" s="1" t="n">
        <v>45935</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40180-2025</t>
        </is>
      </c>
      <c r="B1031" s="1" t="n">
        <v>45894.63693287037</v>
      </c>
      <c r="C1031" s="1" t="n">
        <v>45935</v>
      </c>
      <c r="D1031" t="inlineStr">
        <is>
          <t>JÄMTLANDS LÄN</t>
        </is>
      </c>
      <c r="E1031" t="inlineStr">
        <is>
          <t>KROKOM</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40283-2025</t>
        </is>
      </c>
      <c r="B1032" s="1" t="n">
        <v>45895.36994212963</v>
      </c>
      <c r="C1032" s="1" t="n">
        <v>45935</v>
      </c>
      <c r="D1032" t="inlineStr">
        <is>
          <t>JÄMTLANDS LÄN</t>
        </is>
      </c>
      <c r="E1032" t="inlineStr">
        <is>
          <t>KROKOM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57459-2024</t>
        </is>
      </c>
      <c r="B1033" s="1" t="n">
        <v>45630</v>
      </c>
      <c r="C1033" s="1" t="n">
        <v>45935</v>
      </c>
      <c r="D1033" t="inlineStr">
        <is>
          <t>JÄMTLANDS LÄN</t>
        </is>
      </c>
      <c r="E1033" t="inlineStr">
        <is>
          <t>KROKOM</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45935</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35359-2025</t>
        </is>
      </c>
      <c r="B1035" s="1" t="n">
        <v>45854.66518518519</v>
      </c>
      <c r="C1035" s="1" t="n">
        <v>45935</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35354-2025</t>
        </is>
      </c>
      <c r="B1036" s="1" t="n">
        <v>45854.65378472222</v>
      </c>
      <c r="C1036" s="1" t="n">
        <v>45935</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40507-2025</t>
        </is>
      </c>
      <c r="B1037" s="1" t="n">
        <v>45896.34443287037</v>
      </c>
      <c r="C1037" s="1" t="n">
        <v>45935</v>
      </c>
      <c r="D1037" t="inlineStr">
        <is>
          <t>JÄMTLANDS LÄN</t>
        </is>
      </c>
      <c r="E1037" t="inlineStr">
        <is>
          <t>KROKOM</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40822-2025</t>
        </is>
      </c>
      <c r="B1038" s="1" t="n">
        <v>45897.49424768519</v>
      </c>
      <c r="C1038" s="1" t="n">
        <v>45935</v>
      </c>
      <c r="D1038" t="inlineStr">
        <is>
          <t>JÄMTLANDS LÄN</t>
        </is>
      </c>
      <c r="E1038" t="inlineStr">
        <is>
          <t>KROKOM</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6524-2025</t>
        </is>
      </c>
      <c r="B1039" s="1" t="n">
        <v>45699.66576388889</v>
      </c>
      <c r="C1039" s="1" t="n">
        <v>45935</v>
      </c>
      <c r="D1039" t="inlineStr">
        <is>
          <t>JÄMTLANDS LÄN</t>
        </is>
      </c>
      <c r="E1039" t="inlineStr">
        <is>
          <t>KROKOM</t>
        </is>
      </c>
      <c r="F1039" t="inlineStr">
        <is>
          <t>Övriga Aktiebolag</t>
        </is>
      </c>
      <c r="G1039" t="n">
        <v>51.6</v>
      </c>
      <c r="H1039" t="n">
        <v>0</v>
      </c>
      <c r="I1039" t="n">
        <v>0</v>
      </c>
      <c r="J1039" t="n">
        <v>0</v>
      </c>
      <c r="K1039" t="n">
        <v>0</v>
      </c>
      <c r="L1039" t="n">
        <v>0</v>
      </c>
      <c r="M1039" t="n">
        <v>0</v>
      </c>
      <c r="N1039" t="n">
        <v>0</v>
      </c>
      <c r="O1039" t="n">
        <v>0</v>
      </c>
      <c r="P1039" t="n">
        <v>0</v>
      </c>
      <c r="Q1039" t="n">
        <v>0</v>
      </c>
      <c r="R1039" s="2" t="inlineStr"/>
    </row>
    <row r="1040" ht="15" customHeight="1">
      <c r="A1040" t="inlineStr">
        <is>
          <t>A 6590-2025</t>
        </is>
      </c>
      <c r="B1040" s="1" t="n">
        <v>45700.30092592593</v>
      </c>
      <c r="C1040" s="1" t="n">
        <v>45935</v>
      </c>
      <c r="D1040" t="inlineStr">
        <is>
          <t>JÄMTLANDS LÄN</t>
        </is>
      </c>
      <c r="E1040" t="inlineStr">
        <is>
          <t>KROKOM</t>
        </is>
      </c>
      <c r="F1040" t="inlineStr">
        <is>
          <t>Övriga Aktiebolag</t>
        </is>
      </c>
      <c r="G1040" t="n">
        <v>51.6</v>
      </c>
      <c r="H1040" t="n">
        <v>0</v>
      </c>
      <c r="I1040" t="n">
        <v>0</v>
      </c>
      <c r="J1040" t="n">
        <v>0</v>
      </c>
      <c r="K1040" t="n">
        <v>0</v>
      </c>
      <c r="L1040" t="n">
        <v>0</v>
      </c>
      <c r="M1040" t="n">
        <v>0</v>
      </c>
      <c r="N1040" t="n">
        <v>0</v>
      </c>
      <c r="O1040" t="n">
        <v>0</v>
      </c>
      <c r="P1040" t="n">
        <v>0</v>
      </c>
      <c r="Q1040" t="n">
        <v>0</v>
      </c>
      <c r="R1040" s="2" t="inlineStr"/>
    </row>
    <row r="1041" ht="15" customHeight="1">
      <c r="A1041" t="inlineStr">
        <is>
          <t>A 53541-2024</t>
        </is>
      </c>
      <c r="B1041" s="1" t="n">
        <v>45614.63606481482</v>
      </c>
      <c r="C1041" s="1" t="n">
        <v>45935</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53544-2024</t>
        </is>
      </c>
      <c r="B1042" s="1" t="n">
        <v>45614.63701388889</v>
      </c>
      <c r="C1042" s="1" t="n">
        <v>45935</v>
      </c>
      <c r="D1042" t="inlineStr">
        <is>
          <t>JÄMTLANDS LÄN</t>
        </is>
      </c>
      <c r="E1042" t="inlineStr">
        <is>
          <t>KROKOM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20953-2023</t>
        </is>
      </c>
      <c r="B1043" s="1" t="n">
        <v>45056</v>
      </c>
      <c r="C1043" s="1" t="n">
        <v>45935</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23665-2024</t>
        </is>
      </c>
      <c r="B1044" s="1" t="n">
        <v>45454.57899305555</v>
      </c>
      <c r="C1044" s="1" t="n">
        <v>45935</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40796-2025</t>
        </is>
      </c>
      <c r="B1045" s="1" t="n">
        <v>45897.44951388889</v>
      </c>
      <c r="C1045" s="1" t="n">
        <v>45935</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35460-2025</t>
        </is>
      </c>
      <c r="B1046" s="1" t="n">
        <v>45855.61193287037</v>
      </c>
      <c r="C1046" s="1" t="n">
        <v>45935</v>
      </c>
      <c r="D1046" t="inlineStr">
        <is>
          <t>JÄMTLANDS LÄN</t>
        </is>
      </c>
      <c r="E1046" t="inlineStr">
        <is>
          <t>KROKOM</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40806-2025</t>
        </is>
      </c>
      <c r="B1047" s="1" t="n">
        <v>45897.46832175926</v>
      </c>
      <c r="C1047" s="1" t="n">
        <v>45935</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30979-2024</t>
        </is>
      </c>
      <c r="B1048" s="1" t="n">
        <v>45499.48672453704</v>
      </c>
      <c r="C1048" s="1" t="n">
        <v>45935</v>
      </c>
      <c r="D1048" t="inlineStr">
        <is>
          <t>JÄMTLANDS LÄN</t>
        </is>
      </c>
      <c r="E1048" t="inlineStr">
        <is>
          <t>KROKOM</t>
        </is>
      </c>
      <c r="G1048" t="n">
        <v>18.2</v>
      </c>
      <c r="H1048" t="n">
        <v>0</v>
      </c>
      <c r="I1048" t="n">
        <v>0</v>
      </c>
      <c r="J1048" t="n">
        <v>0</v>
      </c>
      <c r="K1048" t="n">
        <v>0</v>
      </c>
      <c r="L1048" t="n">
        <v>0</v>
      </c>
      <c r="M1048" t="n">
        <v>0</v>
      </c>
      <c r="N1048" t="n">
        <v>0</v>
      </c>
      <c r="O1048" t="n">
        <v>0</v>
      </c>
      <c r="P1048" t="n">
        <v>0</v>
      </c>
      <c r="Q1048" t="n">
        <v>0</v>
      </c>
      <c r="R1048" s="2" t="inlineStr"/>
    </row>
    <row r="1049" ht="15" customHeight="1">
      <c r="A1049" t="inlineStr">
        <is>
          <t>A 55914-2023</t>
        </is>
      </c>
      <c r="B1049" s="1" t="n">
        <v>45239.9681712963</v>
      </c>
      <c r="C1049" s="1" t="n">
        <v>45935</v>
      </c>
      <c r="D1049" t="inlineStr">
        <is>
          <t>JÄMTLANDS LÄN</t>
        </is>
      </c>
      <c r="E1049" t="inlineStr">
        <is>
          <t>KROKOM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45935</v>
      </c>
      <c r="D1050" t="inlineStr">
        <is>
          <t>JÄMTLANDS LÄN</t>
        </is>
      </c>
      <c r="E1050" t="inlineStr">
        <is>
          <t>KROKOM</t>
        </is>
      </c>
      <c r="F1050" t="inlineStr">
        <is>
          <t>Övriga Aktiebolag</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2051-2025</t>
        </is>
      </c>
      <c r="B1051" s="1" t="n">
        <v>45672.53806712963</v>
      </c>
      <c r="C1051" s="1" t="n">
        <v>45935</v>
      </c>
      <c r="D1051" t="inlineStr">
        <is>
          <t>JÄMTLANDS LÄN</t>
        </is>
      </c>
      <c r="E1051" t="inlineStr">
        <is>
          <t>KROKOM</t>
        </is>
      </c>
      <c r="F1051" t="inlineStr">
        <is>
          <t>Kyrkan</t>
        </is>
      </c>
      <c r="G1051" t="n">
        <v>87.90000000000001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47723-2024</t>
        </is>
      </c>
      <c r="B1052" s="1" t="n">
        <v>45588</v>
      </c>
      <c r="C1052" s="1" t="n">
        <v>45935</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11056-2025</t>
        </is>
      </c>
      <c r="B1053" s="1" t="n">
        <v>45723.50841435185</v>
      </c>
      <c r="C1053" s="1" t="n">
        <v>45935</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8868-2025</t>
        </is>
      </c>
      <c r="B1054" s="1" t="n">
        <v>45713.36836805556</v>
      </c>
      <c r="C1054" s="1" t="n">
        <v>45935</v>
      </c>
      <c r="D1054" t="inlineStr">
        <is>
          <t>JÄMTLANDS LÄN</t>
        </is>
      </c>
      <c r="E1054" t="inlineStr">
        <is>
          <t>KROKOM</t>
        </is>
      </c>
      <c r="F1054" t="inlineStr">
        <is>
          <t>Övriga Aktiebolag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23139-2021</t>
        </is>
      </c>
      <c r="B1055" s="1" t="n">
        <v>44331</v>
      </c>
      <c r="C1055" s="1" t="n">
        <v>45935</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45935</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41425-2025</t>
        </is>
      </c>
      <c r="B1057" s="1" t="n">
        <v>45901.38590277778</v>
      </c>
      <c r="C1057" s="1" t="n">
        <v>45935</v>
      </c>
      <c r="D1057" t="inlineStr">
        <is>
          <t>JÄMTLANDS LÄN</t>
        </is>
      </c>
      <c r="E1057" t="inlineStr">
        <is>
          <t>KROKOM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41290-2025</t>
        </is>
      </c>
      <c r="B1058" s="1" t="n">
        <v>45898.64267361111</v>
      </c>
      <c r="C1058" s="1" t="n">
        <v>45935</v>
      </c>
      <c r="D1058" t="inlineStr">
        <is>
          <t>JÄMTLANDS LÄN</t>
        </is>
      </c>
      <c r="E1058" t="inlineStr">
        <is>
          <t>KROKOM</t>
        </is>
      </c>
      <c r="G1058" t="n">
        <v>17.1</v>
      </c>
      <c r="H1058" t="n">
        <v>0</v>
      </c>
      <c r="I1058" t="n">
        <v>0</v>
      </c>
      <c r="J1058" t="n">
        <v>0</v>
      </c>
      <c r="K1058" t="n">
        <v>0</v>
      </c>
      <c r="L1058" t="n">
        <v>0</v>
      </c>
      <c r="M1058" t="n">
        <v>0</v>
      </c>
      <c r="N1058" t="n">
        <v>0</v>
      </c>
      <c r="O1058" t="n">
        <v>0</v>
      </c>
      <c r="P1058" t="n">
        <v>0</v>
      </c>
      <c r="Q1058" t="n">
        <v>0</v>
      </c>
      <c r="R1058" s="2" t="inlineStr"/>
    </row>
    <row r="1059" ht="15" customHeight="1">
      <c r="A1059" t="inlineStr">
        <is>
          <t>A 58052-2022</t>
        </is>
      </c>
      <c r="B1059" s="1" t="n">
        <v>44893</v>
      </c>
      <c r="C1059" s="1" t="n">
        <v>45935</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23539-2024</t>
        </is>
      </c>
      <c r="B1060" s="1" t="n">
        <v>45453.95237268518</v>
      </c>
      <c r="C1060" s="1" t="n">
        <v>45935</v>
      </c>
      <c r="D1060" t="inlineStr">
        <is>
          <t>JÄMTLANDS LÄN</t>
        </is>
      </c>
      <c r="E1060" t="inlineStr">
        <is>
          <t>KROKOM</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21663-2025</t>
        </is>
      </c>
      <c r="B1061" s="1" t="n">
        <v>45783</v>
      </c>
      <c r="C1061" s="1" t="n">
        <v>45935</v>
      </c>
      <c r="D1061" t="inlineStr">
        <is>
          <t>JÄMTLANDS LÄN</t>
        </is>
      </c>
      <c r="E1061" t="inlineStr">
        <is>
          <t>KROKOM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35864-2025</t>
        </is>
      </c>
      <c r="B1062" s="1" t="n">
        <v>45861.6841087963</v>
      </c>
      <c r="C1062" s="1" t="n">
        <v>45935</v>
      </c>
      <c r="D1062" t="inlineStr">
        <is>
          <t>JÄMTLANDS LÄN</t>
        </is>
      </c>
      <c r="E1062" t="inlineStr">
        <is>
          <t>KROKOM</t>
        </is>
      </c>
      <c r="F1062" t="inlineStr">
        <is>
          <t>Övriga Aktiebolag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35778-2025</t>
        </is>
      </c>
      <c r="B1063" s="1" t="n">
        <v>45860</v>
      </c>
      <c r="C1063" s="1" t="n">
        <v>45935</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30728-2022</t>
        </is>
      </c>
      <c r="B1064" s="1" t="n">
        <v>44764</v>
      </c>
      <c r="C1064" s="1" t="n">
        <v>45935</v>
      </c>
      <c r="D1064" t="inlineStr">
        <is>
          <t>JÄMTLANDS LÄN</t>
        </is>
      </c>
      <c r="E1064" t="inlineStr">
        <is>
          <t>KROKOM</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30729-2022</t>
        </is>
      </c>
      <c r="B1065" s="1" t="n">
        <v>44764</v>
      </c>
      <c r="C1065" s="1" t="n">
        <v>45935</v>
      </c>
      <c r="D1065" t="inlineStr">
        <is>
          <t>JÄMTLANDS LÄN</t>
        </is>
      </c>
      <c r="E1065" t="inlineStr">
        <is>
          <t>KROKOM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36044-2025</t>
        </is>
      </c>
      <c r="B1066" s="1" t="n">
        <v>45863</v>
      </c>
      <c r="C1066" s="1" t="n">
        <v>45935</v>
      </c>
      <c r="D1066" t="inlineStr">
        <is>
          <t>JÄMTLANDS LÄN</t>
        </is>
      </c>
      <c r="E1066" t="inlineStr">
        <is>
          <t>KROKOM</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42231-2025</t>
        </is>
      </c>
      <c r="B1067" s="1" t="n">
        <v>45904.55565972222</v>
      </c>
      <c r="C1067" s="1" t="n">
        <v>45935</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42427-2025</t>
        </is>
      </c>
      <c r="B1068" s="1" t="n">
        <v>45905.4174537037</v>
      </c>
      <c r="C1068" s="1" t="n">
        <v>45935</v>
      </c>
      <c r="D1068" t="inlineStr">
        <is>
          <t>JÄMTLANDS LÄN</t>
        </is>
      </c>
      <c r="E1068" t="inlineStr">
        <is>
          <t>KROKOM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53807-2024</t>
        </is>
      </c>
      <c r="B1069" s="1" t="n">
        <v>45615.59521990741</v>
      </c>
      <c r="C1069" s="1" t="n">
        <v>45935</v>
      </c>
      <c r="D1069" t="inlineStr">
        <is>
          <t>JÄMTLANDS LÄN</t>
        </is>
      </c>
      <c r="E1069" t="inlineStr">
        <is>
          <t>KROKOM</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43426-2022</t>
        </is>
      </c>
      <c r="B1070" s="1" t="n">
        <v>44834.95019675926</v>
      </c>
      <c r="C1070" s="1" t="n">
        <v>45935</v>
      </c>
      <c r="D1070" t="inlineStr">
        <is>
          <t>JÄMTLANDS LÄN</t>
        </is>
      </c>
      <c r="E1070" t="inlineStr">
        <is>
          <t>KROKOM</t>
        </is>
      </c>
      <c r="F1070" t="inlineStr">
        <is>
          <t>SCA</t>
        </is>
      </c>
      <c r="G1070" t="n">
        <v>34.4</v>
      </c>
      <c r="H1070" t="n">
        <v>0</v>
      </c>
      <c r="I1070" t="n">
        <v>0</v>
      </c>
      <c r="J1070" t="n">
        <v>0</v>
      </c>
      <c r="K1070" t="n">
        <v>0</v>
      </c>
      <c r="L1070" t="n">
        <v>0</v>
      </c>
      <c r="M1070" t="n">
        <v>0</v>
      </c>
      <c r="N1070" t="n">
        <v>0</v>
      </c>
      <c r="O1070" t="n">
        <v>0</v>
      </c>
      <c r="P1070" t="n">
        <v>0</v>
      </c>
      <c r="Q1070" t="n">
        <v>0</v>
      </c>
      <c r="R1070" s="2" t="inlineStr"/>
    </row>
    <row r="1071" ht="15" customHeight="1">
      <c r="A1071" t="inlineStr">
        <is>
          <t>A 35875-2025</t>
        </is>
      </c>
      <c r="B1071" s="1" t="n">
        <v>45862.34668981482</v>
      </c>
      <c r="C1071" s="1" t="n">
        <v>45935</v>
      </c>
      <c r="D1071" t="inlineStr">
        <is>
          <t>JÄMTLANDS LÄN</t>
        </is>
      </c>
      <c r="E1071" t="inlineStr">
        <is>
          <t>KROKOM</t>
        </is>
      </c>
      <c r="F1071" t="inlineStr">
        <is>
          <t>Övriga Aktiebolag</t>
        </is>
      </c>
      <c r="G1071" t="n">
        <v>14.9</v>
      </c>
      <c r="H1071" t="n">
        <v>0</v>
      </c>
      <c r="I1071" t="n">
        <v>0</v>
      </c>
      <c r="J1071" t="n">
        <v>0</v>
      </c>
      <c r="K1071" t="n">
        <v>0</v>
      </c>
      <c r="L1071" t="n">
        <v>0</v>
      </c>
      <c r="M1071" t="n">
        <v>0</v>
      </c>
      <c r="N1071" t="n">
        <v>0</v>
      </c>
      <c r="O1071" t="n">
        <v>0</v>
      </c>
      <c r="P1071" t="n">
        <v>0</v>
      </c>
      <c r="Q1071" t="n">
        <v>0</v>
      </c>
      <c r="R1071" s="2" t="inlineStr"/>
    </row>
    <row r="1072" ht="15" customHeight="1">
      <c r="A1072" t="inlineStr">
        <is>
          <t>A 35985-2025</t>
        </is>
      </c>
      <c r="B1072" s="1" t="n">
        <v>45863.45778935185</v>
      </c>
      <c r="C1072" s="1" t="n">
        <v>45935</v>
      </c>
      <c r="D1072" t="inlineStr">
        <is>
          <t>JÄMTLANDS LÄN</t>
        </is>
      </c>
      <c r="E1072" t="inlineStr">
        <is>
          <t>KROKOM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22890-2024</t>
        </is>
      </c>
      <c r="B1073" s="1" t="n">
        <v>45448.67574074074</v>
      </c>
      <c r="C1073" s="1" t="n">
        <v>45935</v>
      </c>
      <c r="D1073" t="inlineStr">
        <is>
          <t>JÄMTLANDS LÄN</t>
        </is>
      </c>
      <c r="E1073" t="inlineStr">
        <is>
          <t>KROKOM</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42445-2025</t>
        </is>
      </c>
      <c r="B1074" s="1" t="n">
        <v>45905.4375</v>
      </c>
      <c r="C1074" s="1" t="n">
        <v>45935</v>
      </c>
      <c r="D1074" t="inlineStr">
        <is>
          <t>JÄMTLANDS LÄN</t>
        </is>
      </c>
      <c r="E1074" t="inlineStr">
        <is>
          <t>KROKOM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5907-2025</t>
        </is>
      </c>
      <c r="B1075" s="1" t="n">
        <v>45695.4046875</v>
      </c>
      <c r="C1075" s="1" t="n">
        <v>45935</v>
      </c>
      <c r="D1075" t="inlineStr">
        <is>
          <t>JÄMTLANDS LÄN</t>
        </is>
      </c>
      <c r="E1075" t="inlineStr">
        <is>
          <t>KROKOM</t>
        </is>
      </c>
      <c r="F1075" t="inlineStr">
        <is>
          <t>Övriga Aktiebolag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7763-2024</t>
        </is>
      </c>
      <c r="B1076" s="1" t="n">
        <v>45348</v>
      </c>
      <c r="C1076" s="1" t="n">
        <v>45935</v>
      </c>
      <c r="D1076" t="inlineStr">
        <is>
          <t>JÄMTLANDS LÄN</t>
        </is>
      </c>
      <c r="E1076" t="inlineStr">
        <is>
          <t>KROKOM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42235-2025</t>
        </is>
      </c>
      <c r="B1077" s="1" t="n">
        <v>45904.56144675926</v>
      </c>
      <c r="C1077" s="1" t="n">
        <v>45935</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47060-2024</t>
        </is>
      </c>
      <c r="B1078" s="1" t="n">
        <v>45586.46927083333</v>
      </c>
      <c r="C1078" s="1" t="n">
        <v>45935</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21617-2025</t>
        </is>
      </c>
      <c r="B1079" s="1" t="n">
        <v>45783</v>
      </c>
      <c r="C1079" s="1" t="n">
        <v>45935</v>
      </c>
      <c r="D1079" t="inlineStr">
        <is>
          <t>JÄMTLANDS LÄN</t>
        </is>
      </c>
      <c r="E1079" t="inlineStr">
        <is>
          <t>KROKOM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6711-2025</t>
        </is>
      </c>
      <c r="B1080" s="1" t="n">
        <v>45700.56194444445</v>
      </c>
      <c r="C1080" s="1" t="n">
        <v>45935</v>
      </c>
      <c r="D1080" t="inlineStr">
        <is>
          <t>JÄMTLANDS LÄN</t>
        </is>
      </c>
      <c r="E1080" t="inlineStr">
        <is>
          <t>KROKOM</t>
        </is>
      </c>
      <c r="F1080" t="inlineStr">
        <is>
          <t>Övriga Aktiebolag</t>
        </is>
      </c>
      <c r="G1080" t="n">
        <v>37.6</v>
      </c>
      <c r="H1080" t="n">
        <v>0</v>
      </c>
      <c r="I1080" t="n">
        <v>0</v>
      </c>
      <c r="J1080" t="n">
        <v>0</v>
      </c>
      <c r="K1080" t="n">
        <v>0</v>
      </c>
      <c r="L1080" t="n">
        <v>0</v>
      </c>
      <c r="M1080" t="n">
        <v>0</v>
      </c>
      <c r="N1080" t="n">
        <v>0</v>
      </c>
      <c r="O1080" t="n">
        <v>0</v>
      </c>
      <c r="P1080" t="n">
        <v>0</v>
      </c>
      <c r="Q1080" t="n">
        <v>0</v>
      </c>
      <c r="R1080" s="2" t="inlineStr"/>
    </row>
    <row r="1081" ht="15" customHeight="1">
      <c r="A1081" t="inlineStr">
        <is>
          <t>A 42804-2025</t>
        </is>
      </c>
      <c r="B1081" s="1" t="n">
        <v>45908</v>
      </c>
      <c r="C1081" s="1" t="n">
        <v>45935</v>
      </c>
      <c r="D1081" t="inlineStr">
        <is>
          <t>JÄMTLANDS LÄN</t>
        </is>
      </c>
      <c r="E1081" t="inlineStr">
        <is>
          <t>KROKOM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44519-2024</t>
        </is>
      </c>
      <c r="B1082" s="1" t="n">
        <v>45574.43403935185</v>
      </c>
      <c r="C1082" s="1" t="n">
        <v>45935</v>
      </c>
      <c r="D1082" t="inlineStr">
        <is>
          <t>JÄMTLANDS LÄN</t>
        </is>
      </c>
      <c r="E1082" t="inlineStr">
        <is>
          <t>KROKOM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36182-2025</t>
        </is>
      </c>
      <c r="B1083" s="1" t="n">
        <v>45867.41707175926</v>
      </c>
      <c r="C1083" s="1" t="n">
        <v>45935</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36209-2025</t>
        </is>
      </c>
      <c r="B1084" s="1" t="n">
        <v>45867.46560185185</v>
      </c>
      <c r="C1084" s="1" t="n">
        <v>45935</v>
      </c>
      <c r="D1084" t="inlineStr">
        <is>
          <t>JÄMTLANDS LÄN</t>
        </is>
      </c>
      <c r="E1084" t="inlineStr">
        <is>
          <t>KROKOM</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28137-2023</t>
        </is>
      </c>
      <c r="B1085" s="1" t="n">
        <v>45096</v>
      </c>
      <c r="C1085" s="1" t="n">
        <v>45935</v>
      </c>
      <c r="D1085" t="inlineStr">
        <is>
          <t>JÄMTLANDS LÄN</t>
        </is>
      </c>
      <c r="E1085" t="inlineStr">
        <is>
          <t>KROKOM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41497-2024</t>
        </is>
      </c>
      <c r="B1086" s="1" t="n">
        <v>45560.45841435185</v>
      </c>
      <c r="C1086" s="1" t="n">
        <v>45935</v>
      </c>
      <c r="D1086" t="inlineStr">
        <is>
          <t>JÄMTLANDS LÄN</t>
        </is>
      </c>
      <c r="E1086" t="inlineStr">
        <is>
          <t>KROKOM</t>
        </is>
      </c>
      <c r="F1086" t="inlineStr">
        <is>
          <t>Övriga Aktiebolag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36429-2025</t>
        </is>
      </c>
      <c r="B1087" s="1" t="n">
        <v>45869.34439814815</v>
      </c>
      <c r="C1087" s="1" t="n">
        <v>45935</v>
      </c>
      <c r="D1087" t="inlineStr">
        <is>
          <t>JÄMTLANDS LÄN</t>
        </is>
      </c>
      <c r="E1087" t="inlineStr">
        <is>
          <t>KROKOM</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43368-2025</t>
        </is>
      </c>
      <c r="B1088" s="1" t="n">
        <v>45911.34840277778</v>
      </c>
      <c r="C1088" s="1" t="n">
        <v>45935</v>
      </c>
      <c r="D1088" t="inlineStr">
        <is>
          <t>JÄMTLANDS LÄN</t>
        </is>
      </c>
      <c r="E1088" t="inlineStr">
        <is>
          <t>KROKOM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14293-2025</t>
        </is>
      </c>
      <c r="B1089" s="1" t="n">
        <v>45740</v>
      </c>
      <c r="C1089" s="1" t="n">
        <v>45935</v>
      </c>
      <c r="D1089" t="inlineStr">
        <is>
          <t>JÄMTLANDS LÄN</t>
        </is>
      </c>
      <c r="E1089" t="inlineStr">
        <is>
          <t>KROKOM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57726-2020</t>
        </is>
      </c>
      <c r="B1090" s="1" t="n">
        <v>44140</v>
      </c>
      <c r="C1090" s="1" t="n">
        <v>45935</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c r="A1091" t="inlineStr">
        <is>
          <t>A 12188-2024</t>
        </is>
      </c>
      <c r="B1091" s="1" t="n">
        <v>45377</v>
      </c>
      <c r="C1091" s="1" t="n">
        <v>45935</v>
      </c>
      <c r="D1091" t="inlineStr">
        <is>
          <t>JÄMTLANDS LÄN</t>
        </is>
      </c>
      <c r="E1091" t="inlineStr">
        <is>
          <t>KROKOM</t>
        </is>
      </c>
      <c r="G1091" t="n">
        <v>7.9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2025-10-05T12:39:29Z</dcterms:created>
  <dcterms:modified xmlns:dcterms="http://purl.org/dc/terms/" xmlns:xsi="http://www.w3.org/2001/XMLSchema-instance" xsi:type="dcterms:W3CDTF">2025-10-05T12:39:30Z</dcterms:modified>
</cp:coreProperties>
</file>