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45917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45917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45917</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45917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45917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45917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45917</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45917</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45917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45917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45917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45917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45917</v>
      </c>
      <c r="D14" t="inlineStr">
        <is>
          <t>JÄMTLANDS LÄN</t>
        </is>
      </c>
      <c r="E14" t="inlineStr">
        <is>
          <t>KROKOM</t>
        </is>
      </c>
      <c r="G14" t="n">
        <v>22.8</v>
      </c>
      <c r="H14" t="n">
        <v>2</v>
      </c>
      <c r="I14" t="n">
        <v>2</v>
      </c>
      <c r="J14" t="n">
        <v>17</v>
      </c>
      <c r="K14" t="n">
        <v>3</v>
      </c>
      <c r="L14" t="n">
        <v>0</v>
      </c>
      <c r="M14" t="n">
        <v>0</v>
      </c>
      <c r="N14" t="n">
        <v>0</v>
      </c>
      <c r="O14" t="n">
        <v>20</v>
      </c>
      <c r="P14" t="n">
        <v>3</v>
      </c>
      <c r="Q14" t="n">
        <v>22</v>
      </c>
      <c r="R14"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45917</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45917</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45917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45917</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45917</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45917</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52647-2023</t>
        </is>
      </c>
      <c r="B21" s="1" t="n">
        <v>45219</v>
      </c>
      <c r="C21" s="1" t="n">
        <v>45917</v>
      </c>
      <c r="D21" t="inlineStr">
        <is>
          <t>JÄMTLANDS LÄN</t>
        </is>
      </c>
      <c r="E21" t="inlineStr">
        <is>
          <t>KROKOM</t>
        </is>
      </c>
      <c r="G21" t="n">
        <v>32.7</v>
      </c>
      <c r="H21" t="n">
        <v>2</v>
      </c>
      <c r="I21" t="n">
        <v>1</v>
      </c>
      <c r="J21" t="n">
        <v>12</v>
      </c>
      <c r="K21" t="n">
        <v>4</v>
      </c>
      <c r="L21" t="n">
        <v>0</v>
      </c>
      <c r="M21" t="n">
        <v>0</v>
      </c>
      <c r="N21" t="n">
        <v>0</v>
      </c>
      <c r="O21" t="n">
        <v>16</v>
      </c>
      <c r="P21" t="n">
        <v>4</v>
      </c>
      <c r="Q21" t="n">
        <v>17</v>
      </c>
      <c r="R21" s="2" t="inlineStr">
        <is>
          <t>Blackticka
Doftticka
Rynkskinn
Ulltickeporing
Brunpudrad nållav
Doftskinn
Granticka
Liten svartspik
Lunglav
Rosenticka
Rödbrun blekspik
Stiftgelélav
Tretåig hackspett
Ullticka
Violmussling
Vitgrynig nållav
Gulnål</t>
        </is>
      </c>
      <c r="S21">
        <f>HYPERLINK("https://klasma.github.io/Logging_2309/artfynd/A 52647-2023 artfynd.xlsx", "A 52647-2023")</f>
        <v/>
      </c>
      <c r="T21">
        <f>HYPERLINK("https://klasma.github.io/Logging_2309/kartor/A 52647-2023 karta.png", "A 52647-2023")</f>
        <v/>
      </c>
      <c r="V21">
        <f>HYPERLINK("https://klasma.github.io/Logging_2309/klagomål/A 52647-2023 FSC-klagomål.docx", "A 52647-2023")</f>
        <v/>
      </c>
      <c r="W21">
        <f>HYPERLINK("https://klasma.github.io/Logging_2309/klagomålsmail/A 52647-2023 FSC-klagomål mail.docx", "A 52647-2023")</f>
        <v/>
      </c>
      <c r="X21">
        <f>HYPERLINK("https://klasma.github.io/Logging_2309/tillsyn/A 52647-2023 tillsynsbegäran.docx", "A 52647-2023")</f>
        <v/>
      </c>
      <c r="Y21">
        <f>HYPERLINK("https://klasma.github.io/Logging_2309/tillsynsmail/A 52647-2023 tillsynsbegäran mail.docx", "A 52647-2023")</f>
        <v/>
      </c>
      <c r="Z21">
        <f>HYPERLINK("https://klasma.github.io/Logging_2309/fåglar/A 52647-2023 prioriterade fågelarter.docx", "A 52647-2023")</f>
        <v/>
      </c>
    </row>
    <row r="22" ht="15" customHeight="1">
      <c r="A22" t="inlineStr">
        <is>
          <t>A 30145-2021</t>
        </is>
      </c>
      <c r="B22" s="1" t="n">
        <v>44363</v>
      </c>
      <c r="C22" s="1" t="n">
        <v>45917</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45917</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45917</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45917</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45917</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394-2025</t>
        </is>
      </c>
      <c r="B27" s="1" t="n">
        <v>45663</v>
      </c>
      <c r="C27" s="1" t="n">
        <v>45917</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39937-2024</t>
        </is>
      </c>
      <c r="B28" s="1" t="n">
        <v>45553</v>
      </c>
      <c r="C28" s="1" t="n">
        <v>45917</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45917</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22902-2025</t>
        </is>
      </c>
      <c r="B30" s="1" t="n">
        <v>45790</v>
      </c>
      <c r="C30" s="1" t="n">
        <v>45917</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60873-2024</t>
        </is>
      </c>
      <c r="B31" s="1" t="n">
        <v>45644</v>
      </c>
      <c r="C31" s="1" t="n">
        <v>45917</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45917</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45917</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18561-2021</t>
        </is>
      </c>
      <c r="B34" s="1" t="n">
        <v>44306.52587962963</v>
      </c>
      <c r="C34" s="1" t="n">
        <v>45917</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45917</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45917</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22078-2021</t>
        </is>
      </c>
      <c r="B37" s="1" t="n">
        <v>44323</v>
      </c>
      <c r="C37" s="1" t="n">
        <v>45917</v>
      </c>
      <c r="D37" t="inlineStr">
        <is>
          <t>JÄMTLANDS LÄN</t>
        </is>
      </c>
      <c r="E37" t="inlineStr">
        <is>
          <t>KROKOM</t>
        </is>
      </c>
      <c r="G37" t="n">
        <v>5.9</v>
      </c>
      <c r="H37" t="n">
        <v>2</v>
      </c>
      <c r="I37" t="n">
        <v>5</v>
      </c>
      <c r="J37" t="n">
        <v>6</v>
      </c>
      <c r="K37" t="n">
        <v>1</v>
      </c>
      <c r="L37" t="n">
        <v>0</v>
      </c>
      <c r="M37" t="n">
        <v>0</v>
      </c>
      <c r="N37" t="n">
        <v>0</v>
      </c>
      <c r="O37" t="n">
        <v>7</v>
      </c>
      <c r="P37" t="n">
        <v>1</v>
      </c>
      <c r="Q37" t="n">
        <v>13</v>
      </c>
      <c r="R37" s="2" t="inlineStr">
        <is>
          <t>Rynkskinn
Garnlav
Granticka
Kavernularia
Mjölig dropplav
Tretåig hackspett
Ullticka
Mörk husmossa
Skogshakmossa
Svavelriska
Vedticka
Ögonpyrola
Fläcknycklar</t>
        </is>
      </c>
      <c r="S37">
        <f>HYPERLINK("https://klasma.github.io/Logging_2309/artfynd/A 22078-2021 artfynd.xlsx", "A 22078-2021")</f>
        <v/>
      </c>
      <c r="T37">
        <f>HYPERLINK("https://klasma.github.io/Logging_2309/kartor/A 22078-2021 karta.png", "A 22078-2021")</f>
        <v/>
      </c>
      <c r="V37">
        <f>HYPERLINK("https://klasma.github.io/Logging_2309/klagomål/A 22078-2021 FSC-klagomål.docx", "A 22078-2021")</f>
        <v/>
      </c>
      <c r="W37">
        <f>HYPERLINK("https://klasma.github.io/Logging_2309/klagomålsmail/A 22078-2021 FSC-klagomål mail.docx", "A 22078-2021")</f>
        <v/>
      </c>
      <c r="X37">
        <f>HYPERLINK("https://klasma.github.io/Logging_2309/tillsyn/A 22078-2021 tillsynsbegäran.docx", "A 22078-2021")</f>
        <v/>
      </c>
      <c r="Y37">
        <f>HYPERLINK("https://klasma.github.io/Logging_2309/tillsynsmail/A 22078-2021 tillsynsbegäran mail.docx", "A 22078-2021")</f>
        <v/>
      </c>
      <c r="Z37">
        <f>HYPERLINK("https://klasma.github.io/Logging_2309/fåglar/A 22078-2021 prioriterade fågelarter.docx", "A 22078-2021")</f>
        <v/>
      </c>
    </row>
    <row r="38" ht="15" customHeight="1">
      <c r="A38" t="inlineStr">
        <is>
          <t>A 22204-2021</t>
        </is>
      </c>
      <c r="B38" s="1" t="n">
        <v>44326</v>
      </c>
      <c r="C38" s="1" t="n">
        <v>45917</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27736-2024</t>
        </is>
      </c>
      <c r="B39" s="1" t="n">
        <v>45475</v>
      </c>
      <c r="C39" s="1" t="n">
        <v>45917</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23499-2025</t>
        </is>
      </c>
      <c r="B40" s="1" t="n">
        <v>45792</v>
      </c>
      <c r="C40" s="1" t="n">
        <v>45917</v>
      </c>
      <c r="D40" t="inlineStr">
        <is>
          <t>JÄMTLANDS LÄN</t>
        </is>
      </c>
      <c r="E40" t="inlineStr">
        <is>
          <t>KROKOM</t>
        </is>
      </c>
      <c r="G40" t="n">
        <v>4.6</v>
      </c>
      <c r="H40" t="n">
        <v>3</v>
      </c>
      <c r="I40" t="n">
        <v>10</v>
      </c>
      <c r="J40" t="n">
        <v>1</v>
      </c>
      <c r="K40" t="n">
        <v>1</v>
      </c>
      <c r="L40" t="n">
        <v>0</v>
      </c>
      <c r="M40" t="n">
        <v>0</v>
      </c>
      <c r="N40" t="n">
        <v>0</v>
      </c>
      <c r="O40" t="n">
        <v>2</v>
      </c>
      <c r="P40" t="n">
        <v>1</v>
      </c>
      <c r="Q40" t="n">
        <v>13</v>
      </c>
      <c r="R40" s="2" t="inlineStr">
        <is>
          <t>Frösöstarr
Kalkbräken
Brandmusseron
Finbräken
Skogsknipprot
Svart trolldruva
Svavelriska
Tibast
Trådfräken
Tvåblad
Underviol
Ögonpyrola
Blåsippa</t>
        </is>
      </c>
      <c r="S40">
        <f>HYPERLINK("https://klasma.github.io/Logging_2309/artfynd/A 23499-2025 artfynd.xlsx", "A 23499-2025")</f>
        <v/>
      </c>
      <c r="T40">
        <f>HYPERLINK("https://klasma.github.io/Logging_2309/kartor/A 23499-2025 karta.png", "A 23499-2025")</f>
        <v/>
      </c>
      <c r="V40">
        <f>HYPERLINK("https://klasma.github.io/Logging_2309/klagomål/A 23499-2025 FSC-klagomål.docx", "A 23499-2025")</f>
        <v/>
      </c>
      <c r="W40">
        <f>HYPERLINK("https://klasma.github.io/Logging_2309/klagomålsmail/A 23499-2025 FSC-klagomål mail.docx", "A 23499-2025")</f>
        <v/>
      </c>
      <c r="X40">
        <f>HYPERLINK("https://klasma.github.io/Logging_2309/tillsyn/A 23499-2025 tillsynsbegäran.docx", "A 23499-2025")</f>
        <v/>
      </c>
      <c r="Y40">
        <f>HYPERLINK("https://klasma.github.io/Logging_2309/tillsynsmail/A 23499-2025 tillsynsbegäran mail.docx", "A 23499-2025")</f>
        <v/>
      </c>
    </row>
    <row r="41" ht="15" customHeight="1">
      <c r="A41" t="inlineStr">
        <is>
          <t>A 32142-2022</t>
        </is>
      </c>
      <c r="B41" s="1" t="n">
        <v>44780</v>
      </c>
      <c r="C41" s="1" t="n">
        <v>45917</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45917</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45917</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39503-2024</t>
        </is>
      </c>
      <c r="B44" s="1" t="n">
        <v>45551</v>
      </c>
      <c r="C44" s="1" t="n">
        <v>45917</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61388-2024</t>
        </is>
      </c>
      <c r="B45" s="1" t="n">
        <v>45646</v>
      </c>
      <c r="C45" s="1" t="n">
        <v>45917</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61434-2024</t>
        </is>
      </c>
      <c r="B46" s="1" t="n">
        <v>45646</v>
      </c>
      <c r="C46" s="1" t="n">
        <v>45917</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55352-2021</t>
        </is>
      </c>
      <c r="B47" s="1" t="n">
        <v>44475</v>
      </c>
      <c r="C47" s="1" t="n">
        <v>45917</v>
      </c>
      <c r="D47" t="inlineStr">
        <is>
          <t>JÄMTLANDS LÄN</t>
        </is>
      </c>
      <c r="E47" t="inlineStr">
        <is>
          <t>KROKOM</t>
        </is>
      </c>
      <c r="G47" t="n">
        <v>1.5</v>
      </c>
      <c r="H47" t="n">
        <v>3</v>
      </c>
      <c r="I47" t="n">
        <v>1</v>
      </c>
      <c r="J47" t="n">
        <v>8</v>
      </c>
      <c r="K47" t="n">
        <v>2</v>
      </c>
      <c r="L47" t="n">
        <v>0</v>
      </c>
      <c r="M47" t="n">
        <v>0</v>
      </c>
      <c r="N47" t="n">
        <v>0</v>
      </c>
      <c r="O47" t="n">
        <v>10</v>
      </c>
      <c r="P47" t="n">
        <v>2</v>
      </c>
      <c r="Q47" t="n">
        <v>11</v>
      </c>
      <c r="R47" s="2" t="inlineStr">
        <is>
          <t>Grantickeporing
Knärot
Garnlav
Granticka
Gränsticka
Spillkråka
Tretåig hackspett
Ullticka
Vitgrynig nållav
Äggvaxskivling
Korallblylav</t>
        </is>
      </c>
      <c r="S47">
        <f>HYPERLINK("https://klasma.github.io/Logging_2309/artfynd/A 55352-2021 artfynd.xlsx", "A 55352-2021")</f>
        <v/>
      </c>
      <c r="T47">
        <f>HYPERLINK("https://klasma.github.io/Logging_2309/kartor/A 55352-2021 karta.png", "A 55352-2021")</f>
        <v/>
      </c>
      <c r="U47">
        <f>HYPERLINK("https://klasma.github.io/Logging_2309/knärot/A 55352-2021 karta knärot.png", "A 55352-2021")</f>
        <v/>
      </c>
      <c r="V47">
        <f>HYPERLINK("https://klasma.github.io/Logging_2309/klagomål/A 55352-2021 FSC-klagomål.docx", "A 55352-2021")</f>
        <v/>
      </c>
      <c r="W47">
        <f>HYPERLINK("https://klasma.github.io/Logging_2309/klagomålsmail/A 55352-2021 FSC-klagomål mail.docx", "A 55352-2021")</f>
        <v/>
      </c>
      <c r="X47">
        <f>HYPERLINK("https://klasma.github.io/Logging_2309/tillsyn/A 55352-2021 tillsynsbegäran.docx", "A 55352-2021")</f>
        <v/>
      </c>
      <c r="Y47">
        <f>HYPERLINK("https://klasma.github.io/Logging_2309/tillsynsmail/A 55352-2021 tillsynsbegäran mail.docx", "A 55352-2021")</f>
        <v/>
      </c>
      <c r="Z47">
        <f>HYPERLINK("https://klasma.github.io/Logging_2309/fåglar/A 55352-2021 prioriterade fågelarter.docx", "A 55352-2021")</f>
        <v/>
      </c>
    </row>
    <row r="48" ht="15" customHeight="1">
      <c r="A48" t="inlineStr">
        <is>
          <t>A 5877-2021</t>
        </is>
      </c>
      <c r="B48" s="1" t="n">
        <v>44231</v>
      </c>
      <c r="C48" s="1" t="n">
        <v>45917</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36309-2024</t>
        </is>
      </c>
      <c r="B49" s="1" t="n">
        <v>45534</v>
      </c>
      <c r="C49" s="1" t="n">
        <v>45917</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32351-2024</t>
        </is>
      </c>
      <c r="B50" s="1" t="n">
        <v>45512</v>
      </c>
      <c r="C50" s="1" t="n">
        <v>45917</v>
      </c>
      <c r="D50" t="inlineStr">
        <is>
          <t>JÄMTLANDS LÄN</t>
        </is>
      </c>
      <c r="E50" t="inlineStr">
        <is>
          <t>KROKOM</t>
        </is>
      </c>
      <c r="F50" t="inlineStr">
        <is>
          <t>Övriga Aktiebolag</t>
        </is>
      </c>
      <c r="G50" t="n">
        <v>8</v>
      </c>
      <c r="H50" t="n">
        <v>3</v>
      </c>
      <c r="I50" t="n">
        <v>0</v>
      </c>
      <c r="J50" t="n">
        <v>8</v>
      </c>
      <c r="K50" t="n">
        <v>1</v>
      </c>
      <c r="L50" t="n">
        <v>0</v>
      </c>
      <c r="M50" t="n">
        <v>0</v>
      </c>
      <c r="N50" t="n">
        <v>0</v>
      </c>
      <c r="O50" t="n">
        <v>9</v>
      </c>
      <c r="P50" t="n">
        <v>1</v>
      </c>
      <c r="Q50" t="n">
        <v>10</v>
      </c>
      <c r="R50" s="2" t="inlineStr">
        <is>
          <t>Ulltickeporing
Doftskinn
Granticka
Harticka
Lunglav
Talltita
Tretåig hackspett
Ullticka
Äggvaxskivling
Tjäder</t>
        </is>
      </c>
      <c r="S50">
        <f>HYPERLINK("https://klasma.github.io/Logging_2309/artfynd/A 32351-2024 artfynd.xlsx", "A 32351-2024")</f>
        <v/>
      </c>
      <c r="T50">
        <f>HYPERLINK("https://klasma.github.io/Logging_2309/kartor/A 32351-2024 karta.png", "A 32351-2024")</f>
        <v/>
      </c>
      <c r="V50">
        <f>HYPERLINK("https://klasma.github.io/Logging_2309/klagomål/A 32351-2024 FSC-klagomål.docx", "A 32351-2024")</f>
        <v/>
      </c>
      <c r="W50">
        <f>HYPERLINK("https://klasma.github.io/Logging_2309/klagomålsmail/A 32351-2024 FSC-klagomål mail.docx", "A 32351-2024")</f>
        <v/>
      </c>
      <c r="X50">
        <f>HYPERLINK("https://klasma.github.io/Logging_2309/tillsyn/A 32351-2024 tillsynsbegäran.docx", "A 32351-2024")</f>
        <v/>
      </c>
      <c r="Y50">
        <f>HYPERLINK("https://klasma.github.io/Logging_2309/tillsynsmail/A 32351-2024 tillsynsbegäran mail.docx", "A 32351-2024")</f>
        <v/>
      </c>
      <c r="Z50">
        <f>HYPERLINK("https://klasma.github.io/Logging_2309/fåglar/A 32351-2024 prioriterade fågelarter.docx", "A 32351-2024")</f>
        <v/>
      </c>
    </row>
    <row r="51" ht="15" customHeight="1">
      <c r="A51" t="inlineStr">
        <is>
          <t>A 34678-2022</t>
        </is>
      </c>
      <c r="B51" s="1" t="n">
        <v>44795</v>
      </c>
      <c r="C51" s="1" t="n">
        <v>45917</v>
      </c>
      <c r="D51" t="inlineStr">
        <is>
          <t>JÄMTLANDS LÄN</t>
        </is>
      </c>
      <c r="E51" t="inlineStr">
        <is>
          <t>KROKOM</t>
        </is>
      </c>
      <c r="F51" t="inlineStr">
        <is>
          <t>Övriga Aktiebolag</t>
        </is>
      </c>
      <c r="G51" t="n">
        <v>16.9</v>
      </c>
      <c r="H51" t="n">
        <v>1</v>
      </c>
      <c r="I51" t="n">
        <v>2</v>
      </c>
      <c r="J51" t="n">
        <v>6</v>
      </c>
      <c r="K51" t="n">
        <v>2</v>
      </c>
      <c r="L51" t="n">
        <v>0</v>
      </c>
      <c r="M51" t="n">
        <v>0</v>
      </c>
      <c r="N51" t="n">
        <v>0</v>
      </c>
      <c r="O51" t="n">
        <v>8</v>
      </c>
      <c r="P51" t="n">
        <v>2</v>
      </c>
      <c r="Q51" t="n">
        <v>10</v>
      </c>
      <c r="R51" s="2" t="inlineStr">
        <is>
          <t>Goliatmusseron
Ulltickeporing
Blå taggsvamp
Doftskinn
Grantaggsvamp
Nordlig nållav
Skrovlig taggsvamp
Stjärntagging
Grönpyrola
Plattlummer</t>
        </is>
      </c>
      <c r="S51">
        <f>HYPERLINK("https://klasma.github.io/Logging_2309/artfynd/A 34678-2022 artfynd.xlsx", "A 34678-2022")</f>
        <v/>
      </c>
      <c r="T51">
        <f>HYPERLINK("https://klasma.github.io/Logging_2309/kartor/A 34678-2022 karta.png", "A 34678-2022")</f>
        <v/>
      </c>
      <c r="V51">
        <f>HYPERLINK("https://klasma.github.io/Logging_2309/klagomål/A 34678-2022 FSC-klagomål.docx", "A 34678-2022")</f>
        <v/>
      </c>
      <c r="W51">
        <f>HYPERLINK("https://klasma.github.io/Logging_2309/klagomålsmail/A 34678-2022 FSC-klagomål mail.docx", "A 34678-2022")</f>
        <v/>
      </c>
      <c r="X51">
        <f>HYPERLINK("https://klasma.github.io/Logging_2309/tillsyn/A 34678-2022 tillsynsbegäran.docx", "A 34678-2022")</f>
        <v/>
      </c>
      <c r="Y51">
        <f>HYPERLINK("https://klasma.github.io/Logging_2309/tillsynsmail/A 34678-2022 tillsynsbegäran mail.docx", "A 34678-2022")</f>
        <v/>
      </c>
    </row>
    <row r="52" ht="15" customHeight="1">
      <c r="A52" t="inlineStr">
        <is>
          <t>A 18460-2023</t>
        </is>
      </c>
      <c r="B52" s="1" t="n">
        <v>45041</v>
      </c>
      <c r="C52" s="1" t="n">
        <v>45917</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10051-2025</t>
        </is>
      </c>
      <c r="B53" s="1" t="n">
        <v>45719.52238425926</v>
      </c>
      <c r="C53" s="1" t="n">
        <v>45917</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45917</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45917</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35063-2024</t>
        </is>
      </c>
      <c r="B56" s="1" t="n">
        <v>45527</v>
      </c>
      <c r="C56" s="1" t="n">
        <v>45917</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52574-2020</t>
        </is>
      </c>
      <c r="B57" s="1" t="n">
        <v>44118</v>
      </c>
      <c r="C57" s="1" t="n">
        <v>45917</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52633-2023</t>
        </is>
      </c>
      <c r="B58" s="1" t="n">
        <v>45219</v>
      </c>
      <c r="C58" s="1" t="n">
        <v>45917</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45917</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60372-2024</t>
        </is>
      </c>
      <c r="B60" s="1" t="n">
        <v>45643</v>
      </c>
      <c r="C60" s="1" t="n">
        <v>45917</v>
      </c>
      <c r="D60" t="inlineStr">
        <is>
          <t>JÄMTLANDS LÄN</t>
        </is>
      </c>
      <c r="E60" t="inlineStr">
        <is>
          <t>KROKOM</t>
        </is>
      </c>
      <c r="G60" t="n">
        <v>9.300000000000001</v>
      </c>
      <c r="H60" t="n">
        <v>3</v>
      </c>
      <c r="I60" t="n">
        <v>2</v>
      </c>
      <c r="J60" t="n">
        <v>7</v>
      </c>
      <c r="K60" t="n">
        <v>0</v>
      </c>
      <c r="L60" t="n">
        <v>0</v>
      </c>
      <c r="M60" t="n">
        <v>0</v>
      </c>
      <c r="N60" t="n">
        <v>0</v>
      </c>
      <c r="O60" t="n">
        <v>7</v>
      </c>
      <c r="P60" t="n">
        <v>0</v>
      </c>
      <c r="Q60" t="n">
        <v>9</v>
      </c>
      <c r="R60" s="2" t="inlineStr">
        <is>
          <t>Garnlav
Granticka
Lunglav
Skrovellav
Spillkråka
Talltita
Tretåig hackspett
Luddlav
Skinnlav</t>
        </is>
      </c>
      <c r="S60">
        <f>HYPERLINK("https://klasma.github.io/Logging_2309/artfynd/A 60372-2024 artfynd.xlsx", "A 60372-2024")</f>
        <v/>
      </c>
      <c r="T60">
        <f>HYPERLINK("https://klasma.github.io/Logging_2309/kartor/A 60372-2024 karta.png", "A 60372-2024")</f>
        <v/>
      </c>
      <c r="V60">
        <f>HYPERLINK("https://klasma.github.io/Logging_2309/klagomål/A 60372-2024 FSC-klagomål.docx", "A 60372-2024")</f>
        <v/>
      </c>
      <c r="W60">
        <f>HYPERLINK("https://klasma.github.io/Logging_2309/klagomålsmail/A 60372-2024 FSC-klagomål mail.docx", "A 60372-2024")</f>
        <v/>
      </c>
      <c r="X60">
        <f>HYPERLINK("https://klasma.github.io/Logging_2309/tillsyn/A 60372-2024 tillsynsbegäran.docx", "A 60372-2024")</f>
        <v/>
      </c>
      <c r="Y60">
        <f>HYPERLINK("https://klasma.github.io/Logging_2309/tillsynsmail/A 60372-2024 tillsynsbegäran mail.docx", "A 60372-2024")</f>
        <v/>
      </c>
      <c r="Z60">
        <f>HYPERLINK("https://klasma.github.io/Logging_2309/fåglar/A 60372-2024 prioriterade fågelarter.docx", "A 60372-2024")</f>
        <v/>
      </c>
    </row>
    <row r="61" ht="15" customHeight="1">
      <c r="A61" t="inlineStr">
        <is>
          <t>A 61749-2021</t>
        </is>
      </c>
      <c r="B61" s="1" t="n">
        <v>44498</v>
      </c>
      <c r="C61" s="1" t="n">
        <v>45917</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46038-2024</t>
        </is>
      </c>
      <c r="B62" s="1" t="n">
        <v>45580</v>
      </c>
      <c r="C62" s="1" t="n">
        <v>45917</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73840-2021</t>
        </is>
      </c>
      <c r="B63" s="1" t="n">
        <v>44552</v>
      </c>
      <c r="C63" s="1" t="n">
        <v>45917</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19014-2021</t>
        </is>
      </c>
      <c r="B64" s="1" t="n">
        <v>44308</v>
      </c>
      <c r="C64" s="1" t="n">
        <v>45917</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45917</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45917</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44344-2025</t>
        </is>
      </c>
      <c r="B67" s="1" t="n">
        <v>45916.43416666667</v>
      </c>
      <c r="C67" s="1" t="n">
        <v>45917</v>
      </c>
      <c r="D67" t="inlineStr">
        <is>
          <t>JÄMTLANDS LÄN</t>
        </is>
      </c>
      <c r="E67" t="inlineStr">
        <is>
          <t>KROKOM</t>
        </is>
      </c>
      <c r="G67" t="n">
        <v>13.6</v>
      </c>
      <c r="H67" t="n">
        <v>5</v>
      </c>
      <c r="I67" t="n">
        <v>0</v>
      </c>
      <c r="J67" t="n">
        <v>7</v>
      </c>
      <c r="K67" t="n">
        <v>0</v>
      </c>
      <c r="L67" t="n">
        <v>0</v>
      </c>
      <c r="M67" t="n">
        <v>0</v>
      </c>
      <c r="N67" t="n">
        <v>0</v>
      </c>
      <c r="O67" t="n">
        <v>7</v>
      </c>
      <c r="P67" t="n">
        <v>0</v>
      </c>
      <c r="Q67" t="n">
        <v>8</v>
      </c>
      <c r="R67" s="2" t="inlineStr">
        <is>
          <t>Garnlav
Granticka
Järpe
Spillkråka
Talltita
Tretåig hackspett
Ullticka
Brudsporre</t>
        </is>
      </c>
      <c r="S67">
        <f>HYPERLINK("https://klasma.github.io/Logging_2309/artfynd/A 44344-2025 artfynd.xlsx", "A 44344-2025")</f>
        <v/>
      </c>
      <c r="T67">
        <f>HYPERLINK("https://klasma.github.io/Logging_2309/kartor/A 44344-2025 karta.png", "A 44344-2025")</f>
        <v/>
      </c>
      <c r="V67">
        <f>HYPERLINK("https://klasma.github.io/Logging_2309/klagomål/A 44344-2025 FSC-klagomål.docx", "A 44344-2025")</f>
        <v/>
      </c>
      <c r="W67">
        <f>HYPERLINK("https://klasma.github.io/Logging_2309/klagomålsmail/A 44344-2025 FSC-klagomål mail.docx", "A 44344-2025")</f>
        <v/>
      </c>
      <c r="X67">
        <f>HYPERLINK("https://klasma.github.io/Logging_2309/tillsyn/A 44344-2025 tillsynsbegäran.docx", "A 44344-2025")</f>
        <v/>
      </c>
      <c r="Y67">
        <f>HYPERLINK("https://klasma.github.io/Logging_2309/tillsynsmail/A 44344-2025 tillsynsbegäran mail.docx", "A 44344-2025")</f>
        <v/>
      </c>
      <c r="Z67">
        <f>HYPERLINK("https://klasma.github.io/Logging_2309/fåglar/A 44344-2025 prioriterade fågelarter.docx", "A 44344-2025")</f>
        <v/>
      </c>
    </row>
    <row r="68" ht="15" customHeight="1">
      <c r="A68" t="inlineStr">
        <is>
          <t>A 43541-2023</t>
        </is>
      </c>
      <c r="B68" s="1" t="n">
        <v>45181</v>
      </c>
      <c r="C68" s="1" t="n">
        <v>45917</v>
      </c>
      <c r="D68" t="inlineStr">
        <is>
          <t>JÄMTLANDS LÄN</t>
        </is>
      </c>
      <c r="E68" t="inlineStr">
        <is>
          <t>KROKOM</t>
        </is>
      </c>
      <c r="G68" t="n">
        <v>14.3</v>
      </c>
      <c r="H68" t="n">
        <v>1</v>
      </c>
      <c r="I68" t="n">
        <v>3</v>
      </c>
      <c r="J68" t="n">
        <v>5</v>
      </c>
      <c r="K68" t="n">
        <v>0</v>
      </c>
      <c r="L68" t="n">
        <v>0</v>
      </c>
      <c r="M68" t="n">
        <v>0</v>
      </c>
      <c r="N68" t="n">
        <v>0</v>
      </c>
      <c r="O68" t="n">
        <v>5</v>
      </c>
      <c r="P68" t="n">
        <v>0</v>
      </c>
      <c r="Q68" t="n">
        <v>8</v>
      </c>
      <c r="R68" s="2" t="inlineStr">
        <is>
          <t>Doftskinn
Garnlav
Granticka
Harticka
Tretåig hackspett
Gytterlav
Stuplav
Trådticka</t>
        </is>
      </c>
      <c r="S68">
        <f>HYPERLINK("https://klasma.github.io/Logging_2309/artfynd/A 43541-2023 artfynd.xlsx", "A 43541-2023")</f>
        <v/>
      </c>
      <c r="T68">
        <f>HYPERLINK("https://klasma.github.io/Logging_2309/kartor/A 43541-2023 karta.png", "A 43541-2023")</f>
        <v/>
      </c>
      <c r="V68">
        <f>HYPERLINK("https://klasma.github.io/Logging_2309/klagomål/A 43541-2023 FSC-klagomål.docx", "A 43541-2023")</f>
        <v/>
      </c>
      <c r="W68">
        <f>HYPERLINK("https://klasma.github.io/Logging_2309/klagomålsmail/A 43541-2023 FSC-klagomål mail.docx", "A 43541-2023")</f>
        <v/>
      </c>
      <c r="X68">
        <f>HYPERLINK("https://klasma.github.io/Logging_2309/tillsyn/A 43541-2023 tillsynsbegäran.docx", "A 43541-2023")</f>
        <v/>
      </c>
      <c r="Y68">
        <f>HYPERLINK("https://klasma.github.io/Logging_2309/tillsynsmail/A 43541-2023 tillsynsbegäran mail.docx", "A 43541-2023")</f>
        <v/>
      </c>
      <c r="Z68">
        <f>HYPERLINK("https://klasma.github.io/Logging_2309/fåglar/A 43541-2023 prioriterade fågelarter.docx", "A 43541-2023")</f>
        <v/>
      </c>
    </row>
    <row r="69" ht="15" customHeight="1">
      <c r="A69" t="inlineStr">
        <is>
          <t>A 40206-2023</t>
        </is>
      </c>
      <c r="B69" s="1" t="n">
        <v>45169</v>
      </c>
      <c r="C69" s="1" t="n">
        <v>45917</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20169-2022</t>
        </is>
      </c>
      <c r="B70" s="1" t="n">
        <v>44698</v>
      </c>
      <c r="C70" s="1" t="n">
        <v>45917</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45917</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45917</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62118-2023</t>
        </is>
      </c>
      <c r="B73" s="1" t="n">
        <v>45267</v>
      </c>
      <c r="C73" s="1" t="n">
        <v>45917</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36373-2023</t>
        </is>
      </c>
      <c r="B74" s="1" t="n">
        <v>45149</v>
      </c>
      <c r="C74" s="1" t="n">
        <v>45917</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54140-2024</t>
        </is>
      </c>
      <c r="B75" s="1" t="n">
        <v>45616</v>
      </c>
      <c r="C75" s="1" t="n">
        <v>45917</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35884-2025</t>
        </is>
      </c>
      <c r="B76" s="1" t="n">
        <v>45862.42901620371</v>
      </c>
      <c r="C76" s="1" t="n">
        <v>45917</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27771-2024</t>
        </is>
      </c>
      <c r="B77" s="1" t="n">
        <v>45475</v>
      </c>
      <c r="C77" s="1" t="n">
        <v>45917</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61448-2021</t>
        </is>
      </c>
      <c r="B78" s="1" t="n">
        <v>44500</v>
      </c>
      <c r="C78" s="1" t="n">
        <v>45917</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3134-2024</t>
        </is>
      </c>
      <c r="B79" s="1" t="n">
        <v>45316</v>
      </c>
      <c r="C79" s="1" t="n">
        <v>45917</v>
      </c>
      <c r="D79" t="inlineStr">
        <is>
          <t>JÄMTLANDS LÄN</t>
        </is>
      </c>
      <c r="E79" t="inlineStr">
        <is>
          <t>KROKOM</t>
        </is>
      </c>
      <c r="G79" t="n">
        <v>11.2</v>
      </c>
      <c r="H79" t="n">
        <v>2</v>
      </c>
      <c r="I79" t="n">
        <v>1</v>
      </c>
      <c r="J79" t="n">
        <v>5</v>
      </c>
      <c r="K79" t="n">
        <v>1</v>
      </c>
      <c r="L79" t="n">
        <v>0</v>
      </c>
      <c r="M79" t="n">
        <v>0</v>
      </c>
      <c r="N79" t="n">
        <v>0</v>
      </c>
      <c r="O79" t="n">
        <v>6</v>
      </c>
      <c r="P79" t="n">
        <v>1</v>
      </c>
      <c r="Q79" t="n">
        <v>7</v>
      </c>
      <c r="R79" s="2" t="inlineStr">
        <is>
          <t>Sprickporing
Garnlav
Granticka
Månlåsbräken
Spillkråka
Tretåig hackspett
Vedticka</t>
        </is>
      </c>
      <c r="S79">
        <f>HYPERLINK("https://klasma.github.io/Logging_2309/artfynd/A 3134-2024 artfynd.xlsx", "A 3134-2024")</f>
        <v/>
      </c>
      <c r="T79">
        <f>HYPERLINK("https://klasma.github.io/Logging_2309/kartor/A 3134-2024 karta.png", "A 3134-2024")</f>
        <v/>
      </c>
      <c r="V79">
        <f>HYPERLINK("https://klasma.github.io/Logging_2309/klagomål/A 3134-2024 FSC-klagomål.docx", "A 3134-2024")</f>
        <v/>
      </c>
      <c r="W79">
        <f>HYPERLINK("https://klasma.github.io/Logging_2309/klagomålsmail/A 3134-2024 FSC-klagomål mail.docx", "A 3134-2024")</f>
        <v/>
      </c>
      <c r="X79">
        <f>HYPERLINK("https://klasma.github.io/Logging_2309/tillsyn/A 3134-2024 tillsynsbegäran.docx", "A 3134-2024")</f>
        <v/>
      </c>
      <c r="Y79">
        <f>HYPERLINK("https://klasma.github.io/Logging_2309/tillsynsmail/A 3134-2024 tillsynsbegäran mail.docx", "A 3134-2024")</f>
        <v/>
      </c>
      <c r="Z79">
        <f>HYPERLINK("https://klasma.github.io/Logging_2309/fåglar/A 3134-2024 prioriterade fågelarter.docx", "A 3134-2024")</f>
        <v/>
      </c>
    </row>
    <row r="80" ht="15" customHeight="1">
      <c r="A80" t="inlineStr">
        <is>
          <t>A 12925-2021</t>
        </is>
      </c>
      <c r="B80" s="1" t="n">
        <v>44271</v>
      </c>
      <c r="C80" s="1" t="n">
        <v>45917</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11786-2021</t>
        </is>
      </c>
      <c r="B81" s="1" t="n">
        <v>44265</v>
      </c>
      <c r="C81" s="1" t="n">
        <v>45917</v>
      </c>
      <c r="D81" t="inlineStr">
        <is>
          <t>JÄMTLANDS LÄN</t>
        </is>
      </c>
      <c r="E81" t="inlineStr">
        <is>
          <t>KROKOM</t>
        </is>
      </c>
      <c r="G81" t="n">
        <v>6.1</v>
      </c>
      <c r="H81" t="n">
        <v>2</v>
      </c>
      <c r="I81" t="n">
        <v>1</v>
      </c>
      <c r="J81" t="n">
        <v>4</v>
      </c>
      <c r="K81" t="n">
        <v>1</v>
      </c>
      <c r="L81" t="n">
        <v>0</v>
      </c>
      <c r="M81" t="n">
        <v>0</v>
      </c>
      <c r="N81" t="n">
        <v>0</v>
      </c>
      <c r="O81" t="n">
        <v>5</v>
      </c>
      <c r="P81" t="n">
        <v>1</v>
      </c>
      <c r="Q81" t="n">
        <v>6</v>
      </c>
      <c r="R81" s="2" t="inlineStr">
        <is>
          <t>Sprickporing
Garnlav
Granticka
Spillkråka
Tretåig hackspett
Vedticka</t>
        </is>
      </c>
      <c r="S81">
        <f>HYPERLINK("https://klasma.github.io/Logging_2309/artfynd/A 11786-2021 artfynd.xlsx", "A 11786-2021")</f>
        <v/>
      </c>
      <c r="T81">
        <f>HYPERLINK("https://klasma.github.io/Logging_2309/kartor/A 11786-2021 karta.png", "A 11786-2021")</f>
        <v/>
      </c>
      <c r="V81">
        <f>HYPERLINK("https://klasma.github.io/Logging_2309/klagomål/A 11786-2021 FSC-klagomål.docx", "A 11786-2021")</f>
        <v/>
      </c>
      <c r="W81">
        <f>HYPERLINK("https://klasma.github.io/Logging_2309/klagomålsmail/A 11786-2021 FSC-klagomål mail.docx", "A 11786-2021")</f>
        <v/>
      </c>
      <c r="X81">
        <f>HYPERLINK("https://klasma.github.io/Logging_2309/tillsyn/A 11786-2021 tillsynsbegäran.docx", "A 11786-2021")</f>
        <v/>
      </c>
      <c r="Y81">
        <f>HYPERLINK("https://klasma.github.io/Logging_2309/tillsynsmail/A 11786-2021 tillsynsbegäran mail.docx", "A 11786-2021")</f>
        <v/>
      </c>
      <c r="Z81">
        <f>HYPERLINK("https://klasma.github.io/Logging_2309/fåglar/A 11786-2021 prioriterade fågelarter.docx", "A 11786-2021")</f>
        <v/>
      </c>
    </row>
    <row r="82" ht="15" customHeight="1">
      <c r="A82" t="inlineStr">
        <is>
          <t>A 70205-2021</t>
        </is>
      </c>
      <c r="B82" s="1" t="n">
        <v>44534</v>
      </c>
      <c r="C82" s="1" t="n">
        <v>45917</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60004-2021</t>
        </is>
      </c>
      <c r="B83" s="1" t="n">
        <v>44494</v>
      </c>
      <c r="C83" s="1" t="n">
        <v>45917</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22511-2021</t>
        </is>
      </c>
      <c r="B84" s="1" t="n">
        <v>44326</v>
      </c>
      <c r="C84" s="1" t="n">
        <v>45917</v>
      </c>
      <c r="D84" t="inlineStr">
        <is>
          <t>JÄMTLANDS LÄN</t>
        </is>
      </c>
      <c r="E84" t="inlineStr">
        <is>
          <t>KROKOM</t>
        </is>
      </c>
      <c r="G84" t="n">
        <v>6.9</v>
      </c>
      <c r="H84" t="n">
        <v>1</v>
      </c>
      <c r="I84" t="n">
        <v>0</v>
      </c>
      <c r="J84" t="n">
        <v>6</v>
      </c>
      <c r="K84" t="n">
        <v>0</v>
      </c>
      <c r="L84" t="n">
        <v>0</v>
      </c>
      <c r="M84" t="n">
        <v>0</v>
      </c>
      <c r="N84" t="n">
        <v>0</v>
      </c>
      <c r="O84" t="n">
        <v>6</v>
      </c>
      <c r="P84" t="n">
        <v>0</v>
      </c>
      <c r="Q84" t="n">
        <v>6</v>
      </c>
      <c r="R84" s="2" t="inlineStr">
        <is>
          <t>Doftskinn
Garnlav
Granticka
Harticka
Tretåig hackspett
Ullticka</t>
        </is>
      </c>
      <c r="S84">
        <f>HYPERLINK("https://klasma.github.io/Logging_2309/artfynd/A 22511-2021 artfynd.xlsx", "A 22511-2021")</f>
        <v/>
      </c>
      <c r="T84">
        <f>HYPERLINK("https://klasma.github.io/Logging_2309/kartor/A 22511-2021 karta.png", "A 22511-2021")</f>
        <v/>
      </c>
      <c r="V84">
        <f>HYPERLINK("https://klasma.github.io/Logging_2309/klagomål/A 22511-2021 FSC-klagomål.docx", "A 22511-2021")</f>
        <v/>
      </c>
      <c r="W84">
        <f>HYPERLINK("https://klasma.github.io/Logging_2309/klagomålsmail/A 22511-2021 FSC-klagomål mail.docx", "A 22511-2021")</f>
        <v/>
      </c>
      <c r="X84">
        <f>HYPERLINK("https://klasma.github.io/Logging_2309/tillsyn/A 22511-2021 tillsynsbegäran.docx", "A 22511-2021")</f>
        <v/>
      </c>
      <c r="Y84">
        <f>HYPERLINK("https://klasma.github.io/Logging_2309/tillsynsmail/A 22511-2021 tillsynsbegäran mail.docx", "A 22511-2021")</f>
        <v/>
      </c>
      <c r="Z84">
        <f>HYPERLINK("https://klasma.github.io/Logging_2309/fåglar/A 22511-2021 prioriterade fågelarter.docx", "A 22511-2021")</f>
        <v/>
      </c>
    </row>
    <row r="85" ht="15" customHeight="1">
      <c r="A85" t="inlineStr">
        <is>
          <t>A 11097-2024</t>
        </is>
      </c>
      <c r="B85" s="1" t="n">
        <v>45370</v>
      </c>
      <c r="C85" s="1" t="n">
        <v>45917</v>
      </c>
      <c r="D85" t="inlineStr">
        <is>
          <t>JÄMTLANDS LÄN</t>
        </is>
      </c>
      <c r="E85" t="inlineStr">
        <is>
          <t>KROKOM</t>
        </is>
      </c>
      <c r="G85" t="n">
        <v>12.3</v>
      </c>
      <c r="H85" t="n">
        <v>1</v>
      </c>
      <c r="I85" t="n">
        <v>0</v>
      </c>
      <c r="J85" t="n">
        <v>6</v>
      </c>
      <c r="K85" t="n">
        <v>0</v>
      </c>
      <c r="L85" t="n">
        <v>0</v>
      </c>
      <c r="M85" t="n">
        <v>0</v>
      </c>
      <c r="N85" t="n">
        <v>0</v>
      </c>
      <c r="O85" t="n">
        <v>6</v>
      </c>
      <c r="P85" t="n">
        <v>0</v>
      </c>
      <c r="Q85" t="n">
        <v>6</v>
      </c>
      <c r="R85" s="2" t="inlineStr">
        <is>
          <t>Granticka
Lunglav
Rosenticka
Skrovellav
Tretåig hackspett
Ullticka</t>
        </is>
      </c>
      <c r="S85">
        <f>HYPERLINK("https://klasma.github.io/Logging_2309/artfynd/A 11097-2024 artfynd.xlsx", "A 11097-2024")</f>
        <v/>
      </c>
      <c r="T85">
        <f>HYPERLINK("https://klasma.github.io/Logging_2309/kartor/A 11097-2024 karta.png", "A 11097-2024")</f>
        <v/>
      </c>
      <c r="V85">
        <f>HYPERLINK("https://klasma.github.io/Logging_2309/klagomål/A 11097-2024 FSC-klagomål.docx", "A 11097-2024")</f>
        <v/>
      </c>
      <c r="W85">
        <f>HYPERLINK("https://klasma.github.io/Logging_2309/klagomålsmail/A 11097-2024 FSC-klagomål mail.docx", "A 11097-2024")</f>
        <v/>
      </c>
      <c r="X85">
        <f>HYPERLINK("https://klasma.github.io/Logging_2309/tillsyn/A 11097-2024 tillsynsbegäran.docx", "A 11097-2024")</f>
        <v/>
      </c>
      <c r="Y85">
        <f>HYPERLINK("https://klasma.github.io/Logging_2309/tillsynsmail/A 11097-2024 tillsynsbegäran mail.docx", "A 11097-2024")</f>
        <v/>
      </c>
      <c r="Z85">
        <f>HYPERLINK("https://klasma.github.io/Logging_2309/fåglar/A 11097-2024 prioriterade fågelarter.docx", "A 11097-2024")</f>
        <v/>
      </c>
    </row>
    <row r="86" ht="15" customHeight="1">
      <c r="A86" t="inlineStr">
        <is>
          <t>A 58951-2023</t>
        </is>
      </c>
      <c r="B86" s="1" t="n">
        <v>45252</v>
      </c>
      <c r="C86" s="1" t="n">
        <v>45917</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56194-2021</t>
        </is>
      </c>
      <c r="B87" s="1" t="n">
        <v>44477</v>
      </c>
      <c r="C87" s="1" t="n">
        <v>45917</v>
      </c>
      <c r="D87" t="inlineStr">
        <is>
          <t>JÄMTLANDS LÄN</t>
        </is>
      </c>
      <c r="E87" t="inlineStr">
        <is>
          <t>KROKOM</t>
        </is>
      </c>
      <c r="F87" t="inlineStr">
        <is>
          <t>Övriga Aktiebolag</t>
        </is>
      </c>
      <c r="G87" t="n">
        <v>25.1</v>
      </c>
      <c r="H87" t="n">
        <v>0</v>
      </c>
      <c r="I87" t="n">
        <v>5</v>
      </c>
      <c r="J87" t="n">
        <v>1</v>
      </c>
      <c r="K87" t="n">
        <v>0</v>
      </c>
      <c r="L87" t="n">
        <v>0</v>
      </c>
      <c r="M87" t="n">
        <v>0</v>
      </c>
      <c r="N87" t="n">
        <v>0</v>
      </c>
      <c r="O87" t="n">
        <v>1</v>
      </c>
      <c r="P87" t="n">
        <v>0</v>
      </c>
      <c r="Q87" t="n">
        <v>6</v>
      </c>
      <c r="R87" s="2" t="inlineStr">
        <is>
          <t>Lunglav
Granriska
Kambräken
Korallblylav
Luddlav
Västlig hakmossa</t>
        </is>
      </c>
      <c r="S87">
        <f>HYPERLINK("https://klasma.github.io/Logging_2309/artfynd/A 56194-2021 artfynd.xlsx", "A 56194-2021")</f>
        <v/>
      </c>
      <c r="T87">
        <f>HYPERLINK("https://klasma.github.io/Logging_2309/kartor/A 56194-2021 karta.png", "A 56194-2021")</f>
        <v/>
      </c>
      <c r="V87">
        <f>HYPERLINK("https://klasma.github.io/Logging_2309/klagomål/A 56194-2021 FSC-klagomål.docx", "A 56194-2021")</f>
        <v/>
      </c>
      <c r="W87">
        <f>HYPERLINK("https://klasma.github.io/Logging_2309/klagomålsmail/A 56194-2021 FSC-klagomål mail.docx", "A 56194-2021")</f>
        <v/>
      </c>
      <c r="X87">
        <f>HYPERLINK("https://klasma.github.io/Logging_2309/tillsyn/A 56194-2021 tillsynsbegäran.docx", "A 56194-2021")</f>
        <v/>
      </c>
      <c r="Y87">
        <f>HYPERLINK("https://klasma.github.io/Logging_2309/tillsynsmail/A 56194-2021 tillsynsbegäran mail.docx", "A 56194-2021")</f>
        <v/>
      </c>
    </row>
    <row r="88" ht="15" customHeight="1">
      <c r="A88" t="inlineStr">
        <is>
          <t>A 16978-2025</t>
        </is>
      </c>
      <c r="B88" s="1" t="n">
        <v>45755.47527777778</v>
      </c>
      <c r="C88" s="1" t="n">
        <v>45917</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46118-2024</t>
        </is>
      </c>
      <c r="B89" s="1" t="n">
        <v>45581</v>
      </c>
      <c r="C89" s="1" t="n">
        <v>45917</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35158-2022</t>
        </is>
      </c>
      <c r="B90" s="1" t="n">
        <v>44797</v>
      </c>
      <c r="C90" s="1" t="n">
        <v>45917</v>
      </c>
      <c r="D90" t="inlineStr">
        <is>
          <t>JÄMTLANDS LÄN</t>
        </is>
      </c>
      <c r="E90" t="inlineStr">
        <is>
          <t>KROKOM</t>
        </is>
      </c>
      <c r="G90" t="n">
        <v>17.5</v>
      </c>
      <c r="H90" t="n">
        <v>1</v>
      </c>
      <c r="I90" t="n">
        <v>2</v>
      </c>
      <c r="J90" t="n">
        <v>4</v>
      </c>
      <c r="K90" t="n">
        <v>0</v>
      </c>
      <c r="L90" t="n">
        <v>0</v>
      </c>
      <c r="M90" t="n">
        <v>0</v>
      </c>
      <c r="N90" t="n">
        <v>0</v>
      </c>
      <c r="O90" t="n">
        <v>4</v>
      </c>
      <c r="P90" t="n">
        <v>0</v>
      </c>
      <c r="Q90" t="n">
        <v>6</v>
      </c>
      <c r="R90" s="2" t="inlineStr">
        <is>
          <t>Lunglav
Skrovellav
Ullticka
Vitgrynig nållav
Grönkulla
Vedticka</t>
        </is>
      </c>
      <c r="S90">
        <f>HYPERLINK("https://klasma.github.io/Logging_2309/artfynd/A 35158-2022 artfynd.xlsx", "A 35158-2022")</f>
        <v/>
      </c>
      <c r="T90">
        <f>HYPERLINK("https://klasma.github.io/Logging_2309/kartor/A 35158-2022 karta.png", "A 35158-2022")</f>
        <v/>
      </c>
      <c r="V90">
        <f>HYPERLINK("https://klasma.github.io/Logging_2309/klagomål/A 35158-2022 FSC-klagomål.docx", "A 35158-2022")</f>
        <v/>
      </c>
      <c r="W90">
        <f>HYPERLINK("https://klasma.github.io/Logging_2309/klagomålsmail/A 35158-2022 FSC-klagomål mail.docx", "A 35158-2022")</f>
        <v/>
      </c>
      <c r="X90">
        <f>HYPERLINK("https://klasma.github.io/Logging_2309/tillsyn/A 35158-2022 tillsynsbegäran.docx", "A 35158-2022")</f>
        <v/>
      </c>
      <c r="Y90">
        <f>HYPERLINK("https://klasma.github.io/Logging_2309/tillsynsmail/A 35158-2022 tillsynsbegäran mail.docx", "A 35158-2022")</f>
        <v/>
      </c>
    </row>
    <row r="91" ht="15" customHeight="1">
      <c r="A91" t="inlineStr">
        <is>
          <t>A 27490-2024</t>
        </is>
      </c>
      <c r="B91" s="1" t="n">
        <v>45474</v>
      </c>
      <c r="C91" s="1" t="n">
        <v>45917</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35883-2025</t>
        </is>
      </c>
      <c r="B92" s="1" t="n">
        <v>45862.4257175926</v>
      </c>
      <c r="C92" s="1" t="n">
        <v>45917</v>
      </c>
      <c r="D92" t="inlineStr">
        <is>
          <t>JÄMTLANDS LÄN</t>
        </is>
      </c>
      <c r="E92" t="inlineStr">
        <is>
          <t>KROKOM</t>
        </is>
      </c>
      <c r="G92" t="n">
        <v>5</v>
      </c>
      <c r="H92" t="n">
        <v>2</v>
      </c>
      <c r="I92" t="n">
        <v>1</v>
      </c>
      <c r="J92" t="n">
        <v>4</v>
      </c>
      <c r="K92" t="n">
        <v>0</v>
      </c>
      <c r="L92" t="n">
        <v>0</v>
      </c>
      <c r="M92" t="n">
        <v>0</v>
      </c>
      <c r="N92" t="n">
        <v>0</v>
      </c>
      <c r="O92" t="n">
        <v>4</v>
      </c>
      <c r="P92" t="n">
        <v>0</v>
      </c>
      <c r="Q92" t="n">
        <v>6</v>
      </c>
      <c r="R92" s="2" t="inlineStr">
        <is>
          <t>Garnlav
Harticka
Talltita
Ullticka
Trådticka
Blåsippa</t>
        </is>
      </c>
      <c r="S92">
        <f>HYPERLINK("https://klasma.github.io/Logging_2309/artfynd/A 35883-2025 artfynd.xlsx", "A 35883-2025")</f>
        <v/>
      </c>
      <c r="T92">
        <f>HYPERLINK("https://klasma.github.io/Logging_2309/kartor/A 35883-2025 karta.png", "A 35883-2025")</f>
        <v/>
      </c>
      <c r="V92">
        <f>HYPERLINK("https://klasma.github.io/Logging_2309/klagomål/A 35883-2025 FSC-klagomål.docx", "A 35883-2025")</f>
        <v/>
      </c>
      <c r="W92">
        <f>HYPERLINK("https://klasma.github.io/Logging_2309/klagomålsmail/A 35883-2025 FSC-klagomål mail.docx", "A 35883-2025")</f>
        <v/>
      </c>
      <c r="X92">
        <f>HYPERLINK("https://klasma.github.io/Logging_2309/tillsyn/A 35883-2025 tillsynsbegäran.docx", "A 35883-2025")</f>
        <v/>
      </c>
      <c r="Y92">
        <f>HYPERLINK("https://klasma.github.io/Logging_2309/tillsynsmail/A 35883-2025 tillsynsbegäran mail.docx", "A 35883-2025")</f>
        <v/>
      </c>
      <c r="Z92">
        <f>HYPERLINK("https://klasma.github.io/Logging_2309/fåglar/A 35883-2025 prioriterade fågelarter.docx", "A 35883-2025")</f>
        <v/>
      </c>
    </row>
    <row r="93" ht="15" customHeight="1">
      <c r="A93" t="inlineStr">
        <is>
          <t>A 30921-2025</t>
        </is>
      </c>
      <c r="B93" s="1" t="n">
        <v>45832.38581018519</v>
      </c>
      <c r="C93" s="1" t="n">
        <v>45917</v>
      </c>
      <c r="D93" t="inlineStr">
        <is>
          <t>JÄMTLANDS LÄN</t>
        </is>
      </c>
      <c r="E93" t="inlineStr">
        <is>
          <t>KROKOM</t>
        </is>
      </c>
      <c r="G93" t="n">
        <v>8.1</v>
      </c>
      <c r="H93" t="n">
        <v>2</v>
      </c>
      <c r="I93" t="n">
        <v>0</v>
      </c>
      <c r="J93" t="n">
        <v>6</v>
      </c>
      <c r="K93" t="n">
        <v>0</v>
      </c>
      <c r="L93" t="n">
        <v>0</v>
      </c>
      <c r="M93" t="n">
        <v>0</v>
      </c>
      <c r="N93" t="n">
        <v>0</v>
      </c>
      <c r="O93" t="n">
        <v>6</v>
      </c>
      <c r="P93" t="n">
        <v>0</v>
      </c>
      <c r="Q93" t="n">
        <v>6</v>
      </c>
      <c r="R93" s="2" t="inlineStr">
        <is>
          <t>Doftskinn
Granticka
Gränsticka
Spillkråka
Tretåig hackspett
Ullticka</t>
        </is>
      </c>
      <c r="S93">
        <f>HYPERLINK("https://klasma.github.io/Logging_2309/artfynd/A 30921-2025 artfynd.xlsx", "A 30921-2025")</f>
        <v/>
      </c>
      <c r="T93">
        <f>HYPERLINK("https://klasma.github.io/Logging_2309/kartor/A 30921-2025 karta.png", "A 30921-2025")</f>
        <v/>
      </c>
      <c r="V93">
        <f>HYPERLINK("https://klasma.github.io/Logging_2309/klagomål/A 30921-2025 FSC-klagomål.docx", "A 30921-2025")</f>
        <v/>
      </c>
      <c r="W93">
        <f>HYPERLINK("https://klasma.github.io/Logging_2309/klagomålsmail/A 30921-2025 FSC-klagomål mail.docx", "A 30921-2025")</f>
        <v/>
      </c>
      <c r="X93">
        <f>HYPERLINK("https://klasma.github.io/Logging_2309/tillsyn/A 30921-2025 tillsynsbegäran.docx", "A 30921-2025")</f>
        <v/>
      </c>
      <c r="Y93">
        <f>HYPERLINK("https://klasma.github.io/Logging_2309/tillsynsmail/A 30921-2025 tillsynsbegäran mail.docx", "A 30921-2025")</f>
        <v/>
      </c>
      <c r="Z93">
        <f>HYPERLINK("https://klasma.github.io/Logging_2309/fåglar/A 30921-2025 prioriterade fågelarter.docx", "A 30921-2025")</f>
        <v/>
      </c>
    </row>
    <row r="94" ht="15" customHeight="1">
      <c r="A94" t="inlineStr">
        <is>
          <t>A 35885-2025</t>
        </is>
      </c>
      <c r="B94" s="1" t="n">
        <v>45862.43403935185</v>
      </c>
      <c r="C94" s="1" t="n">
        <v>45917</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42385-2023</t>
        </is>
      </c>
      <c r="B95" s="1" t="n">
        <v>45180</v>
      </c>
      <c r="C95" s="1" t="n">
        <v>45917</v>
      </c>
      <c r="D95" t="inlineStr">
        <is>
          <t>JÄMTLANDS LÄN</t>
        </is>
      </c>
      <c r="E95" t="inlineStr">
        <is>
          <t>KROKOM</t>
        </is>
      </c>
      <c r="F95" t="inlineStr">
        <is>
          <t>Övriga Aktiebolag</t>
        </is>
      </c>
      <c r="G95" t="n">
        <v>7.7</v>
      </c>
      <c r="H95" t="n">
        <v>1</v>
      </c>
      <c r="I95" t="n">
        <v>0</v>
      </c>
      <c r="J95" t="n">
        <v>4</v>
      </c>
      <c r="K95" t="n">
        <v>2</v>
      </c>
      <c r="L95" t="n">
        <v>0</v>
      </c>
      <c r="M95" t="n">
        <v>0</v>
      </c>
      <c r="N95" t="n">
        <v>0</v>
      </c>
      <c r="O95" t="n">
        <v>6</v>
      </c>
      <c r="P95" t="n">
        <v>2</v>
      </c>
      <c r="Q95" t="n">
        <v>6</v>
      </c>
      <c r="R95" s="2" t="inlineStr">
        <is>
          <t>Fjällfotad musseron
Goliatmusseron
Grantaggsvamp
Skrovlig taggsvamp
Tallriska
Tretåig hackspett</t>
        </is>
      </c>
      <c r="S95">
        <f>HYPERLINK("https://klasma.github.io/Logging_2309/artfynd/A 42385-2023 artfynd.xlsx", "A 42385-2023")</f>
        <v/>
      </c>
      <c r="T95">
        <f>HYPERLINK("https://klasma.github.io/Logging_2309/kartor/A 42385-2023 karta.png", "A 42385-2023")</f>
        <v/>
      </c>
      <c r="V95">
        <f>HYPERLINK("https://klasma.github.io/Logging_2309/klagomål/A 42385-2023 FSC-klagomål.docx", "A 42385-2023")</f>
        <v/>
      </c>
      <c r="W95">
        <f>HYPERLINK("https://klasma.github.io/Logging_2309/klagomålsmail/A 42385-2023 FSC-klagomål mail.docx", "A 42385-2023")</f>
        <v/>
      </c>
      <c r="X95">
        <f>HYPERLINK("https://klasma.github.io/Logging_2309/tillsyn/A 42385-2023 tillsynsbegäran.docx", "A 42385-2023")</f>
        <v/>
      </c>
      <c r="Y95">
        <f>HYPERLINK("https://klasma.github.io/Logging_2309/tillsynsmail/A 42385-2023 tillsynsbegäran mail.docx", "A 42385-2023")</f>
        <v/>
      </c>
      <c r="Z95">
        <f>HYPERLINK("https://klasma.github.io/Logging_2309/fåglar/A 42385-2023 prioriterade fågelarter.docx", "A 42385-2023")</f>
        <v/>
      </c>
    </row>
    <row r="96" ht="15" customHeight="1">
      <c r="A96" t="inlineStr">
        <is>
          <t>A 43190-2022</t>
        </is>
      </c>
      <c r="B96" s="1" t="n">
        <v>44834</v>
      </c>
      <c r="C96" s="1" t="n">
        <v>45917</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68491-2020</t>
        </is>
      </c>
      <c r="B97" s="1" t="n">
        <v>44183</v>
      </c>
      <c r="C97" s="1" t="n">
        <v>45917</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45917</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32658-2025</t>
        </is>
      </c>
      <c r="B99" s="1" t="n">
        <v>45838.67858796296</v>
      </c>
      <c r="C99" s="1" t="n">
        <v>45917</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59039-2022</t>
        </is>
      </c>
      <c r="B100" s="1" t="n">
        <v>44903</v>
      </c>
      <c r="C100" s="1" t="n">
        <v>45917</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39118-2025</t>
        </is>
      </c>
      <c r="B101" s="1" t="n">
        <v>45888.55305555555</v>
      </c>
      <c r="C101" s="1" t="n">
        <v>45917</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45917</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72538-2021</t>
        </is>
      </c>
      <c r="B103" s="1" t="n">
        <v>44546</v>
      </c>
      <c r="C103" s="1" t="n">
        <v>45917</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39487-2024</t>
        </is>
      </c>
      <c r="B104" s="1" t="n">
        <v>45551</v>
      </c>
      <c r="C104" s="1" t="n">
        <v>45917</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53815-2024</t>
        </is>
      </c>
      <c r="B105" s="1" t="n">
        <v>45615</v>
      </c>
      <c r="C105" s="1" t="n">
        <v>45917</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36995-2025</t>
        </is>
      </c>
      <c r="B106" s="1" t="n">
        <v>45874.67765046296</v>
      </c>
      <c r="C106" s="1" t="n">
        <v>45917</v>
      </c>
      <c r="D106" t="inlineStr">
        <is>
          <t>JÄMTLANDS LÄN</t>
        </is>
      </c>
      <c r="E106" t="inlineStr">
        <is>
          <t>KROKOM</t>
        </is>
      </c>
      <c r="F106" t="inlineStr">
        <is>
          <t>SCA</t>
        </is>
      </c>
      <c r="G106" t="n">
        <v>8.1</v>
      </c>
      <c r="H106" t="n">
        <v>1</v>
      </c>
      <c r="I106" t="n">
        <v>0</v>
      </c>
      <c r="J106" t="n">
        <v>5</v>
      </c>
      <c r="K106" t="n">
        <v>0</v>
      </c>
      <c r="L106" t="n">
        <v>0</v>
      </c>
      <c r="M106" t="n">
        <v>0</v>
      </c>
      <c r="N106" t="n">
        <v>0</v>
      </c>
      <c r="O106" t="n">
        <v>5</v>
      </c>
      <c r="P106" t="n">
        <v>0</v>
      </c>
      <c r="Q106" t="n">
        <v>5</v>
      </c>
      <c r="R106" s="2" t="inlineStr">
        <is>
          <t>Dvärgbägarlav
Garnlav
Nordtagging
Skrovellav
Tretåig hackspett</t>
        </is>
      </c>
      <c r="S106">
        <f>HYPERLINK("https://klasma.github.io/Logging_2309/artfynd/A 36995-2025 artfynd.xlsx", "A 36995-2025")</f>
        <v/>
      </c>
      <c r="T106">
        <f>HYPERLINK("https://klasma.github.io/Logging_2309/kartor/A 36995-2025 karta.png", "A 36995-2025")</f>
        <v/>
      </c>
      <c r="V106">
        <f>HYPERLINK("https://klasma.github.io/Logging_2309/klagomål/A 36995-2025 FSC-klagomål.docx", "A 36995-2025")</f>
        <v/>
      </c>
      <c r="W106">
        <f>HYPERLINK("https://klasma.github.io/Logging_2309/klagomålsmail/A 36995-2025 FSC-klagomål mail.docx", "A 36995-2025")</f>
        <v/>
      </c>
      <c r="X106">
        <f>HYPERLINK("https://klasma.github.io/Logging_2309/tillsyn/A 36995-2025 tillsynsbegäran.docx", "A 36995-2025")</f>
        <v/>
      </c>
      <c r="Y106">
        <f>HYPERLINK("https://klasma.github.io/Logging_2309/tillsynsmail/A 36995-2025 tillsynsbegäran mail.docx", "A 36995-2025")</f>
        <v/>
      </c>
      <c r="Z106">
        <f>HYPERLINK("https://klasma.github.io/Logging_2309/fåglar/A 36995-2025 prioriterade fågelarter.docx", "A 36995-2025")</f>
        <v/>
      </c>
    </row>
    <row r="107" ht="15" customHeight="1">
      <c r="A107" t="inlineStr">
        <is>
          <t>A 11319-2025</t>
        </is>
      </c>
      <c r="B107" s="1" t="n">
        <v>45726.46192129629</v>
      </c>
      <c r="C107" s="1" t="n">
        <v>45917</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48914-2021</t>
        </is>
      </c>
      <c r="B108" s="1" t="n">
        <v>44452</v>
      </c>
      <c r="C108" s="1" t="n">
        <v>45917</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25286-2023</t>
        </is>
      </c>
      <c r="B109" s="1" t="n">
        <v>45079</v>
      </c>
      <c r="C109" s="1" t="n">
        <v>45917</v>
      </c>
      <c r="D109" t="inlineStr">
        <is>
          <t>JÄMTLANDS LÄN</t>
        </is>
      </c>
      <c r="E109" t="inlineStr">
        <is>
          <t>KROKOM</t>
        </is>
      </c>
      <c r="G109" t="n">
        <v>11.4</v>
      </c>
      <c r="H109" t="n">
        <v>1</v>
      </c>
      <c r="I109" t="n">
        <v>2</v>
      </c>
      <c r="J109" t="n">
        <v>3</v>
      </c>
      <c r="K109" t="n">
        <v>0</v>
      </c>
      <c r="L109" t="n">
        <v>0</v>
      </c>
      <c r="M109" t="n">
        <v>0</v>
      </c>
      <c r="N109" t="n">
        <v>0</v>
      </c>
      <c r="O109" t="n">
        <v>3</v>
      </c>
      <c r="P109" t="n">
        <v>0</v>
      </c>
      <c r="Q109" t="n">
        <v>5</v>
      </c>
      <c r="R109" s="2" t="inlineStr">
        <is>
          <t>Garnlav
Gränsticka
Spillkråka
Blodticka
Trådticka</t>
        </is>
      </c>
      <c r="S109">
        <f>HYPERLINK("https://klasma.github.io/Logging_2309/artfynd/A 25286-2023 artfynd.xlsx", "A 25286-2023")</f>
        <v/>
      </c>
      <c r="T109">
        <f>HYPERLINK("https://klasma.github.io/Logging_2309/kartor/A 25286-2023 karta.png", "A 25286-2023")</f>
        <v/>
      </c>
      <c r="V109">
        <f>HYPERLINK("https://klasma.github.io/Logging_2309/klagomål/A 25286-2023 FSC-klagomål.docx", "A 25286-2023")</f>
        <v/>
      </c>
      <c r="W109">
        <f>HYPERLINK("https://klasma.github.io/Logging_2309/klagomålsmail/A 25286-2023 FSC-klagomål mail.docx", "A 25286-2023")</f>
        <v/>
      </c>
      <c r="X109">
        <f>HYPERLINK("https://klasma.github.io/Logging_2309/tillsyn/A 25286-2023 tillsynsbegäran.docx", "A 25286-2023")</f>
        <v/>
      </c>
      <c r="Y109">
        <f>HYPERLINK("https://klasma.github.io/Logging_2309/tillsynsmail/A 25286-2023 tillsynsbegäran mail.docx", "A 25286-2023")</f>
        <v/>
      </c>
      <c r="Z109">
        <f>HYPERLINK("https://klasma.github.io/Logging_2309/fåglar/A 25286-2023 prioriterade fågelarter.docx", "A 25286-2023")</f>
        <v/>
      </c>
    </row>
    <row r="110" ht="15" customHeight="1">
      <c r="A110" t="inlineStr">
        <is>
          <t>A 71570-2021</t>
        </is>
      </c>
      <c r="B110" s="1" t="n">
        <v>44540</v>
      </c>
      <c r="C110" s="1" t="n">
        <v>45917</v>
      </c>
      <c r="D110" t="inlineStr">
        <is>
          <t>JÄMTLANDS LÄN</t>
        </is>
      </c>
      <c r="E110" t="inlineStr">
        <is>
          <t>KROKOM</t>
        </is>
      </c>
      <c r="G110" t="n">
        <v>0.6</v>
      </c>
      <c r="H110" t="n">
        <v>0</v>
      </c>
      <c r="I110" t="n">
        <v>3</v>
      </c>
      <c r="J110" t="n">
        <v>1</v>
      </c>
      <c r="K110" t="n">
        <v>1</v>
      </c>
      <c r="L110" t="n">
        <v>0</v>
      </c>
      <c r="M110" t="n">
        <v>0</v>
      </c>
      <c r="N110" t="n">
        <v>0</v>
      </c>
      <c r="O110" t="n">
        <v>2</v>
      </c>
      <c r="P110" t="n">
        <v>1</v>
      </c>
      <c r="Q110" t="n">
        <v>5</v>
      </c>
      <c r="R110" s="2" t="inlineStr">
        <is>
          <t>Läderdoftande fingersvamp
Gultoppig fingersvamp
Droppklibbskivling
Fjällig taggsvamp s.str.
Ögonpyrola</t>
        </is>
      </c>
      <c r="S110">
        <f>HYPERLINK("https://klasma.github.io/Logging_2309/artfynd/A 71570-2021 artfynd.xlsx", "A 71570-2021")</f>
        <v/>
      </c>
      <c r="T110">
        <f>HYPERLINK("https://klasma.github.io/Logging_2309/kartor/A 71570-2021 karta.png", "A 71570-2021")</f>
        <v/>
      </c>
      <c r="V110">
        <f>HYPERLINK("https://klasma.github.io/Logging_2309/klagomål/A 71570-2021 FSC-klagomål.docx", "A 71570-2021")</f>
        <v/>
      </c>
      <c r="W110">
        <f>HYPERLINK("https://klasma.github.io/Logging_2309/klagomålsmail/A 71570-2021 FSC-klagomål mail.docx", "A 71570-2021")</f>
        <v/>
      </c>
      <c r="X110">
        <f>HYPERLINK("https://klasma.github.io/Logging_2309/tillsyn/A 71570-2021 tillsynsbegäran.docx", "A 71570-2021")</f>
        <v/>
      </c>
      <c r="Y110">
        <f>HYPERLINK("https://klasma.github.io/Logging_2309/tillsynsmail/A 71570-2021 tillsynsbegäran mail.docx", "A 71570-2021")</f>
        <v/>
      </c>
    </row>
    <row r="111" ht="15" customHeight="1">
      <c r="A111" t="inlineStr">
        <is>
          <t>A 74005-2021</t>
        </is>
      </c>
      <c r="B111" s="1" t="n">
        <v>44557</v>
      </c>
      <c r="C111" s="1" t="n">
        <v>45917</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59619-2020</t>
        </is>
      </c>
      <c r="B112" s="1" t="n">
        <v>44150</v>
      </c>
      <c r="C112" s="1" t="n">
        <v>45917</v>
      </c>
      <c r="D112" t="inlineStr">
        <is>
          <t>JÄMTLANDS LÄN</t>
        </is>
      </c>
      <c r="E112" t="inlineStr">
        <is>
          <t>KROKOM</t>
        </is>
      </c>
      <c r="G112" t="n">
        <v>11.3</v>
      </c>
      <c r="H112" t="n">
        <v>1</v>
      </c>
      <c r="I112" t="n">
        <v>0</v>
      </c>
      <c r="J112" t="n">
        <v>5</v>
      </c>
      <c r="K112" t="n">
        <v>0</v>
      </c>
      <c r="L112" t="n">
        <v>0</v>
      </c>
      <c r="M112" t="n">
        <v>0</v>
      </c>
      <c r="N112" t="n">
        <v>0</v>
      </c>
      <c r="O112" t="n">
        <v>5</v>
      </c>
      <c r="P112" t="n">
        <v>0</v>
      </c>
      <c r="Q112" t="n">
        <v>5</v>
      </c>
      <c r="R112" s="2" t="inlineStr">
        <is>
          <t>Brunpudrad nållav
Granticka
Liten svartspik
Tretåig hackspett
Vitgrynig nållav</t>
        </is>
      </c>
      <c r="S112">
        <f>HYPERLINK("https://klasma.github.io/Logging_2309/artfynd/A 59619-2020 artfynd.xlsx", "A 59619-2020")</f>
        <v/>
      </c>
      <c r="T112">
        <f>HYPERLINK("https://klasma.github.io/Logging_2309/kartor/A 59619-2020 karta.png", "A 59619-2020")</f>
        <v/>
      </c>
      <c r="V112">
        <f>HYPERLINK("https://klasma.github.io/Logging_2309/klagomål/A 59619-2020 FSC-klagomål.docx", "A 59619-2020")</f>
        <v/>
      </c>
      <c r="W112">
        <f>HYPERLINK("https://klasma.github.io/Logging_2309/klagomålsmail/A 59619-2020 FSC-klagomål mail.docx", "A 59619-2020")</f>
        <v/>
      </c>
      <c r="X112">
        <f>HYPERLINK("https://klasma.github.io/Logging_2309/tillsyn/A 59619-2020 tillsynsbegäran.docx", "A 59619-2020")</f>
        <v/>
      </c>
      <c r="Y112">
        <f>HYPERLINK("https://klasma.github.io/Logging_2309/tillsynsmail/A 59619-2020 tillsynsbegäran mail.docx", "A 59619-2020")</f>
        <v/>
      </c>
      <c r="Z112">
        <f>HYPERLINK("https://klasma.github.io/Logging_2309/fåglar/A 59619-2020 prioriterade fågelarter.docx", "A 59619-2020")</f>
        <v/>
      </c>
    </row>
    <row r="113" ht="15" customHeight="1">
      <c r="A113" t="inlineStr">
        <is>
          <t>A 63787-2020</t>
        </is>
      </c>
      <c r="B113" s="1" t="n">
        <v>44162</v>
      </c>
      <c r="C113" s="1" t="n">
        <v>45917</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45917</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45917</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45917</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45917</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49178-2024</t>
        </is>
      </c>
      <c r="B118" s="1" t="n">
        <v>45595</v>
      </c>
      <c r="C118" s="1" t="n">
        <v>45917</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6682-2023</t>
        </is>
      </c>
      <c r="B119" s="1" t="n">
        <v>44966</v>
      </c>
      <c r="C119" s="1" t="n">
        <v>45917</v>
      </c>
      <c r="D119" t="inlineStr">
        <is>
          <t>JÄMTLANDS LÄN</t>
        </is>
      </c>
      <c r="E119" t="inlineStr">
        <is>
          <t>KROKOM</t>
        </is>
      </c>
      <c r="G119" t="n">
        <v>22.8</v>
      </c>
      <c r="H119" t="n">
        <v>1</v>
      </c>
      <c r="I119" t="n">
        <v>0</v>
      </c>
      <c r="J119" t="n">
        <v>4</v>
      </c>
      <c r="K119" t="n">
        <v>0</v>
      </c>
      <c r="L119" t="n">
        <v>0</v>
      </c>
      <c r="M119" t="n">
        <v>0</v>
      </c>
      <c r="N119" t="n">
        <v>0</v>
      </c>
      <c r="O119" t="n">
        <v>4</v>
      </c>
      <c r="P119" t="n">
        <v>0</v>
      </c>
      <c r="Q119" t="n">
        <v>4</v>
      </c>
      <c r="R119" s="2" t="inlineStr">
        <is>
          <t>Garnlav
Granticka
Lunglav
Tretåig hackspett</t>
        </is>
      </c>
      <c r="S119">
        <f>HYPERLINK("https://klasma.github.io/Logging_2309/artfynd/A 6682-2023 artfynd.xlsx", "A 6682-2023")</f>
        <v/>
      </c>
      <c r="T119">
        <f>HYPERLINK("https://klasma.github.io/Logging_2309/kartor/A 6682-2023 karta.png", "A 6682-2023")</f>
        <v/>
      </c>
      <c r="V119">
        <f>HYPERLINK("https://klasma.github.io/Logging_2309/klagomål/A 6682-2023 FSC-klagomål.docx", "A 6682-2023")</f>
        <v/>
      </c>
      <c r="W119">
        <f>HYPERLINK("https://klasma.github.io/Logging_2309/klagomålsmail/A 6682-2023 FSC-klagomål mail.docx", "A 6682-2023")</f>
        <v/>
      </c>
      <c r="X119">
        <f>HYPERLINK("https://klasma.github.io/Logging_2309/tillsyn/A 6682-2023 tillsynsbegäran.docx", "A 6682-2023")</f>
        <v/>
      </c>
      <c r="Y119">
        <f>HYPERLINK("https://klasma.github.io/Logging_2309/tillsynsmail/A 6682-2023 tillsynsbegäran mail.docx", "A 6682-2023")</f>
        <v/>
      </c>
      <c r="Z119">
        <f>HYPERLINK("https://klasma.github.io/Logging_2309/fåglar/A 6682-2023 prioriterade fågelarter.docx", "A 6682-2023")</f>
        <v/>
      </c>
    </row>
    <row r="120" ht="15" customHeight="1">
      <c r="A120" t="inlineStr">
        <is>
          <t>A 18940-2025</t>
        </is>
      </c>
      <c r="B120" s="1" t="n">
        <v>45764</v>
      </c>
      <c r="C120" s="1" t="n">
        <v>45917</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35023-2024</t>
        </is>
      </c>
      <c r="B121" s="1" t="n">
        <v>45527</v>
      </c>
      <c r="C121" s="1" t="n">
        <v>45917</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60566-2022</t>
        </is>
      </c>
      <c r="B122" s="1" t="n">
        <v>44904</v>
      </c>
      <c r="C122" s="1" t="n">
        <v>45917</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34855-2025</t>
        </is>
      </c>
      <c r="B123" s="1" t="n">
        <v>45849.42818287037</v>
      </c>
      <c r="C123" s="1" t="n">
        <v>45917</v>
      </c>
      <c r="D123" t="inlineStr">
        <is>
          <t>JÄMTLANDS LÄN</t>
        </is>
      </c>
      <c r="E123" t="inlineStr">
        <is>
          <t>KROKOM</t>
        </is>
      </c>
      <c r="F123" t="inlineStr">
        <is>
          <t>SCA</t>
        </is>
      </c>
      <c r="G123" t="n">
        <v>5.7</v>
      </c>
      <c r="H123" t="n">
        <v>0</v>
      </c>
      <c r="I123" t="n">
        <v>0</v>
      </c>
      <c r="J123" t="n">
        <v>4</v>
      </c>
      <c r="K123" t="n">
        <v>0</v>
      </c>
      <c r="L123" t="n">
        <v>0</v>
      </c>
      <c r="M123" t="n">
        <v>0</v>
      </c>
      <c r="N123" t="n">
        <v>0</v>
      </c>
      <c r="O123" t="n">
        <v>4</v>
      </c>
      <c r="P123" t="n">
        <v>0</v>
      </c>
      <c r="Q123" t="n">
        <v>4</v>
      </c>
      <c r="R123" s="2" t="inlineStr">
        <is>
          <t>Kolflarnlav
Skrovellav
Vedflamlav
Vedskivlav</t>
        </is>
      </c>
      <c r="S123">
        <f>HYPERLINK("https://klasma.github.io/Logging_2309/artfynd/A 34855-2025 artfynd.xlsx", "A 34855-2025")</f>
        <v/>
      </c>
      <c r="T123">
        <f>HYPERLINK("https://klasma.github.io/Logging_2309/kartor/A 34855-2025 karta.png", "A 34855-2025")</f>
        <v/>
      </c>
      <c r="V123">
        <f>HYPERLINK("https://klasma.github.io/Logging_2309/klagomål/A 34855-2025 FSC-klagomål.docx", "A 34855-2025")</f>
        <v/>
      </c>
      <c r="W123">
        <f>HYPERLINK("https://klasma.github.io/Logging_2309/klagomålsmail/A 34855-2025 FSC-klagomål mail.docx", "A 34855-2025")</f>
        <v/>
      </c>
      <c r="X123">
        <f>HYPERLINK("https://klasma.github.io/Logging_2309/tillsyn/A 34855-2025 tillsynsbegäran.docx", "A 34855-2025")</f>
        <v/>
      </c>
      <c r="Y123">
        <f>HYPERLINK("https://klasma.github.io/Logging_2309/tillsynsmail/A 34855-2025 tillsynsbegäran mail.docx", "A 34855-2025")</f>
        <v/>
      </c>
    </row>
    <row r="124" ht="15" customHeight="1">
      <c r="A124" t="inlineStr">
        <is>
          <t>A 65901-2020</t>
        </is>
      </c>
      <c r="B124" s="1" t="n">
        <v>44174</v>
      </c>
      <c r="C124" s="1" t="n">
        <v>45917</v>
      </c>
      <c r="D124" t="inlineStr">
        <is>
          <t>JÄMTLANDS LÄN</t>
        </is>
      </c>
      <c r="E124" t="inlineStr">
        <is>
          <t>KROKOM</t>
        </is>
      </c>
      <c r="G124" t="n">
        <v>9.699999999999999</v>
      </c>
      <c r="H124" t="n">
        <v>0</v>
      </c>
      <c r="I124" t="n">
        <v>4</v>
      </c>
      <c r="J124" t="n">
        <v>0</v>
      </c>
      <c r="K124" t="n">
        <v>0</v>
      </c>
      <c r="L124" t="n">
        <v>0</v>
      </c>
      <c r="M124" t="n">
        <v>0</v>
      </c>
      <c r="N124" t="n">
        <v>0</v>
      </c>
      <c r="O124" t="n">
        <v>0</v>
      </c>
      <c r="P124" t="n">
        <v>0</v>
      </c>
      <c r="Q124" t="n">
        <v>4</v>
      </c>
      <c r="R124" s="2" t="inlineStr">
        <is>
          <t>Barrfagerspindling
Diskvaxskivling
Kryddspindling
Tibast</t>
        </is>
      </c>
      <c r="S124">
        <f>HYPERLINK("https://klasma.github.io/Logging_2309/artfynd/A 65901-2020 artfynd.xlsx", "A 65901-2020")</f>
        <v/>
      </c>
      <c r="T124">
        <f>HYPERLINK("https://klasma.github.io/Logging_2309/kartor/A 65901-2020 karta.png", "A 65901-2020")</f>
        <v/>
      </c>
      <c r="V124">
        <f>HYPERLINK("https://klasma.github.io/Logging_2309/klagomål/A 65901-2020 FSC-klagomål.docx", "A 65901-2020")</f>
        <v/>
      </c>
      <c r="W124">
        <f>HYPERLINK("https://klasma.github.io/Logging_2309/klagomålsmail/A 65901-2020 FSC-klagomål mail.docx", "A 65901-2020")</f>
        <v/>
      </c>
      <c r="X124">
        <f>HYPERLINK("https://klasma.github.io/Logging_2309/tillsyn/A 65901-2020 tillsynsbegäran.docx", "A 65901-2020")</f>
        <v/>
      </c>
      <c r="Y124">
        <f>HYPERLINK("https://klasma.github.io/Logging_2309/tillsynsmail/A 65901-2020 tillsynsbegäran mail.docx", "A 65901-2020")</f>
        <v/>
      </c>
    </row>
    <row r="125" ht="15" customHeight="1">
      <c r="A125" t="inlineStr">
        <is>
          <t>A 55224-2024</t>
        </is>
      </c>
      <c r="B125" s="1" t="n">
        <v>45621</v>
      </c>
      <c r="C125" s="1" t="n">
        <v>45917</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53363-2022</t>
        </is>
      </c>
      <c r="B126" s="1" t="n">
        <v>44879</v>
      </c>
      <c r="C126" s="1" t="n">
        <v>45917</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13383-2025</t>
        </is>
      </c>
      <c r="B127" s="1" t="n">
        <v>45735</v>
      </c>
      <c r="C127" s="1" t="n">
        <v>45917</v>
      </c>
      <c r="D127" t="inlineStr">
        <is>
          <t>JÄMTLANDS LÄN</t>
        </is>
      </c>
      <c r="E127" t="inlineStr">
        <is>
          <t>KROKOM</t>
        </is>
      </c>
      <c r="G127" t="n">
        <v>9.699999999999999</v>
      </c>
      <c r="H127" t="n">
        <v>0</v>
      </c>
      <c r="I127" t="n">
        <v>0</v>
      </c>
      <c r="J127" t="n">
        <v>4</v>
      </c>
      <c r="K127" t="n">
        <v>0</v>
      </c>
      <c r="L127" t="n">
        <v>0</v>
      </c>
      <c r="M127" t="n">
        <v>0</v>
      </c>
      <c r="N127" t="n">
        <v>0</v>
      </c>
      <c r="O127" t="n">
        <v>4</v>
      </c>
      <c r="P127" t="n">
        <v>0</v>
      </c>
      <c r="Q127" t="n">
        <v>4</v>
      </c>
      <c r="R127" s="2" t="inlineStr">
        <is>
          <t>Doftskinn
Granticka
Lunglav
Ullticka</t>
        </is>
      </c>
      <c r="S127">
        <f>HYPERLINK("https://klasma.github.io/Logging_2309/artfynd/A 13383-2025 artfynd.xlsx", "A 13383-2025")</f>
        <v/>
      </c>
      <c r="T127">
        <f>HYPERLINK("https://klasma.github.io/Logging_2309/kartor/A 13383-2025 karta.png", "A 13383-2025")</f>
        <v/>
      </c>
      <c r="V127">
        <f>HYPERLINK("https://klasma.github.io/Logging_2309/klagomål/A 13383-2025 FSC-klagomål.docx", "A 13383-2025")</f>
        <v/>
      </c>
      <c r="W127">
        <f>HYPERLINK("https://klasma.github.io/Logging_2309/klagomålsmail/A 13383-2025 FSC-klagomål mail.docx", "A 13383-2025")</f>
        <v/>
      </c>
      <c r="X127">
        <f>HYPERLINK("https://klasma.github.io/Logging_2309/tillsyn/A 13383-2025 tillsynsbegäran.docx", "A 13383-2025")</f>
        <v/>
      </c>
      <c r="Y127">
        <f>HYPERLINK("https://klasma.github.io/Logging_2309/tillsynsmail/A 13383-2025 tillsynsbegäran mail.docx", "A 13383-2025")</f>
        <v/>
      </c>
    </row>
    <row r="128" ht="15" customHeight="1">
      <c r="A128" t="inlineStr">
        <is>
          <t>A 58205-2024</t>
        </is>
      </c>
      <c r="B128" s="1" t="n">
        <v>45632</v>
      </c>
      <c r="C128" s="1" t="n">
        <v>45917</v>
      </c>
      <c r="D128" t="inlineStr">
        <is>
          <t>JÄMTLANDS LÄN</t>
        </is>
      </c>
      <c r="E128" t="inlineStr">
        <is>
          <t>KROKOM</t>
        </is>
      </c>
      <c r="G128" t="n">
        <v>14</v>
      </c>
      <c r="H128" t="n">
        <v>0</v>
      </c>
      <c r="I128" t="n">
        <v>1</v>
      </c>
      <c r="J128" t="n">
        <v>3</v>
      </c>
      <c r="K128" t="n">
        <v>0</v>
      </c>
      <c r="L128" t="n">
        <v>0</v>
      </c>
      <c r="M128" t="n">
        <v>0</v>
      </c>
      <c r="N128" t="n">
        <v>0</v>
      </c>
      <c r="O128" t="n">
        <v>3</v>
      </c>
      <c r="P128" t="n">
        <v>0</v>
      </c>
      <c r="Q128" t="n">
        <v>4</v>
      </c>
      <c r="R128" s="2" t="inlineStr">
        <is>
          <t>Lunglav
Skrovellav
Ullticka
Vedticka</t>
        </is>
      </c>
      <c r="S128">
        <f>HYPERLINK("https://klasma.github.io/Logging_2309/artfynd/A 58205-2024 artfynd.xlsx", "A 58205-2024")</f>
        <v/>
      </c>
      <c r="T128">
        <f>HYPERLINK("https://klasma.github.io/Logging_2309/kartor/A 58205-2024 karta.png", "A 58205-2024")</f>
        <v/>
      </c>
      <c r="V128">
        <f>HYPERLINK("https://klasma.github.io/Logging_2309/klagomål/A 58205-2024 FSC-klagomål.docx", "A 58205-2024")</f>
        <v/>
      </c>
      <c r="W128">
        <f>HYPERLINK("https://klasma.github.io/Logging_2309/klagomålsmail/A 58205-2024 FSC-klagomål mail.docx", "A 58205-2024")</f>
        <v/>
      </c>
      <c r="X128">
        <f>HYPERLINK("https://klasma.github.io/Logging_2309/tillsyn/A 58205-2024 tillsynsbegäran.docx", "A 58205-2024")</f>
        <v/>
      </c>
      <c r="Y128">
        <f>HYPERLINK("https://klasma.github.io/Logging_2309/tillsynsmail/A 58205-2024 tillsynsbegäran mail.docx", "A 58205-2024")</f>
        <v/>
      </c>
    </row>
    <row r="129" ht="15" customHeight="1">
      <c r="A129" t="inlineStr">
        <is>
          <t>A 2256-2024</t>
        </is>
      </c>
      <c r="B129" s="1" t="n">
        <v>45310</v>
      </c>
      <c r="C129" s="1" t="n">
        <v>45917</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54427-2024</t>
        </is>
      </c>
      <c r="B130" s="1" t="n">
        <v>45617</v>
      </c>
      <c r="C130" s="1" t="n">
        <v>45917</v>
      </c>
      <c r="D130" t="inlineStr">
        <is>
          <t>JÄMTLANDS LÄN</t>
        </is>
      </c>
      <c r="E130" t="inlineStr">
        <is>
          <t>KROKOM</t>
        </is>
      </c>
      <c r="G130" t="n">
        <v>22.2</v>
      </c>
      <c r="H130" t="n">
        <v>2</v>
      </c>
      <c r="I130" t="n">
        <v>0</v>
      </c>
      <c r="J130" t="n">
        <v>3</v>
      </c>
      <c r="K130" t="n">
        <v>0</v>
      </c>
      <c r="L130" t="n">
        <v>0</v>
      </c>
      <c r="M130" t="n">
        <v>0</v>
      </c>
      <c r="N130" t="n">
        <v>0</v>
      </c>
      <c r="O130" t="n">
        <v>3</v>
      </c>
      <c r="P130" t="n">
        <v>0</v>
      </c>
      <c r="Q130" t="n">
        <v>4</v>
      </c>
      <c r="R130" s="2" t="inlineStr">
        <is>
          <t>Garnlav
Granticka
Tretåig hackspett
Lavskrika</t>
        </is>
      </c>
      <c r="S130">
        <f>HYPERLINK("https://klasma.github.io/Logging_2309/artfynd/A 54427-2024 artfynd.xlsx", "A 54427-2024")</f>
        <v/>
      </c>
      <c r="T130">
        <f>HYPERLINK("https://klasma.github.io/Logging_2309/kartor/A 54427-2024 karta.png", "A 54427-2024")</f>
        <v/>
      </c>
      <c r="V130">
        <f>HYPERLINK("https://klasma.github.io/Logging_2309/klagomål/A 54427-2024 FSC-klagomål.docx", "A 54427-2024")</f>
        <v/>
      </c>
      <c r="W130">
        <f>HYPERLINK("https://klasma.github.io/Logging_2309/klagomålsmail/A 54427-2024 FSC-klagomål mail.docx", "A 54427-2024")</f>
        <v/>
      </c>
      <c r="X130">
        <f>HYPERLINK("https://klasma.github.io/Logging_2309/tillsyn/A 54427-2024 tillsynsbegäran.docx", "A 54427-2024")</f>
        <v/>
      </c>
      <c r="Y130">
        <f>HYPERLINK("https://klasma.github.io/Logging_2309/tillsynsmail/A 54427-2024 tillsynsbegäran mail.docx", "A 54427-2024")</f>
        <v/>
      </c>
      <c r="Z130">
        <f>HYPERLINK("https://klasma.github.io/Logging_2309/fåglar/A 54427-2024 prioriterade fågelarter.docx", "A 54427-2024")</f>
        <v/>
      </c>
    </row>
    <row r="131" ht="15" customHeight="1">
      <c r="A131" t="inlineStr">
        <is>
          <t>A 56312-2024</t>
        </is>
      </c>
      <c r="B131" s="1" t="n">
        <v>45624</v>
      </c>
      <c r="C131" s="1" t="n">
        <v>45917</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40179-2023</t>
        </is>
      </c>
      <c r="B132" s="1" t="n">
        <v>45169</v>
      </c>
      <c r="C132" s="1" t="n">
        <v>45917</v>
      </c>
      <c r="D132" t="inlineStr">
        <is>
          <t>JÄMTLANDS LÄN</t>
        </is>
      </c>
      <c r="E132" t="inlineStr">
        <is>
          <t>KROKOM</t>
        </is>
      </c>
      <c r="F132" t="inlineStr">
        <is>
          <t>Övriga Aktiebolag</t>
        </is>
      </c>
      <c r="G132" t="n">
        <v>2.8</v>
      </c>
      <c r="H132" t="n">
        <v>1</v>
      </c>
      <c r="I132" t="n">
        <v>1</v>
      </c>
      <c r="J132" t="n">
        <v>3</v>
      </c>
      <c r="K132" t="n">
        <v>0</v>
      </c>
      <c r="L132" t="n">
        <v>0</v>
      </c>
      <c r="M132" t="n">
        <v>0</v>
      </c>
      <c r="N132" t="n">
        <v>0</v>
      </c>
      <c r="O132" t="n">
        <v>3</v>
      </c>
      <c r="P132" t="n">
        <v>0</v>
      </c>
      <c r="Q132" t="n">
        <v>4</v>
      </c>
      <c r="R132" s="2" t="inlineStr">
        <is>
          <t>Grantaggsvamp
Orange taggsvamp
Tretåig hackspett
Tallfingersvamp</t>
        </is>
      </c>
      <c r="S132">
        <f>HYPERLINK("https://klasma.github.io/Logging_2309/artfynd/A 40179-2023 artfynd.xlsx", "A 40179-2023")</f>
        <v/>
      </c>
      <c r="T132">
        <f>HYPERLINK("https://klasma.github.io/Logging_2309/kartor/A 40179-2023 karta.png", "A 40179-2023")</f>
        <v/>
      </c>
      <c r="V132">
        <f>HYPERLINK("https://klasma.github.io/Logging_2309/klagomål/A 40179-2023 FSC-klagomål.docx", "A 40179-2023")</f>
        <v/>
      </c>
      <c r="W132">
        <f>HYPERLINK("https://klasma.github.io/Logging_2309/klagomålsmail/A 40179-2023 FSC-klagomål mail.docx", "A 40179-2023")</f>
        <v/>
      </c>
      <c r="X132">
        <f>HYPERLINK("https://klasma.github.io/Logging_2309/tillsyn/A 40179-2023 tillsynsbegäran.docx", "A 40179-2023")</f>
        <v/>
      </c>
      <c r="Y132">
        <f>HYPERLINK("https://klasma.github.io/Logging_2309/tillsynsmail/A 40179-2023 tillsynsbegäran mail.docx", "A 40179-2023")</f>
        <v/>
      </c>
      <c r="Z132">
        <f>HYPERLINK("https://klasma.github.io/Logging_2309/fåglar/A 40179-2023 prioriterade fågelarter.docx", "A 40179-2023")</f>
        <v/>
      </c>
    </row>
    <row r="133" ht="15" customHeight="1">
      <c r="A133" t="inlineStr">
        <is>
          <t>A 71573-2021</t>
        </is>
      </c>
      <c r="B133" s="1" t="n">
        <v>44540</v>
      </c>
      <c r="C133" s="1" t="n">
        <v>45917</v>
      </c>
      <c r="D133" t="inlineStr">
        <is>
          <t>JÄMTLANDS LÄN</t>
        </is>
      </c>
      <c r="E133" t="inlineStr">
        <is>
          <t>KROKOM</t>
        </is>
      </c>
      <c r="G133" t="n">
        <v>1</v>
      </c>
      <c r="H133" t="n">
        <v>0</v>
      </c>
      <c r="I133" t="n">
        <v>2</v>
      </c>
      <c r="J133" t="n">
        <v>1</v>
      </c>
      <c r="K133" t="n">
        <v>0</v>
      </c>
      <c r="L133" t="n">
        <v>0</v>
      </c>
      <c r="M133" t="n">
        <v>0</v>
      </c>
      <c r="N133" t="n">
        <v>0</v>
      </c>
      <c r="O133" t="n">
        <v>1</v>
      </c>
      <c r="P133" t="n">
        <v>0</v>
      </c>
      <c r="Q133" t="n">
        <v>3</v>
      </c>
      <c r="R133" s="2" t="inlineStr">
        <is>
          <t>Doftskinn
Fjällig taggsvamp s.str.
Svavelriska</t>
        </is>
      </c>
      <c r="S133">
        <f>HYPERLINK("https://klasma.github.io/Logging_2309/artfynd/A 71573-2021 artfynd.xlsx", "A 71573-2021")</f>
        <v/>
      </c>
      <c r="T133">
        <f>HYPERLINK("https://klasma.github.io/Logging_2309/kartor/A 71573-2021 karta.png", "A 71573-2021")</f>
        <v/>
      </c>
      <c r="V133">
        <f>HYPERLINK("https://klasma.github.io/Logging_2309/klagomål/A 71573-2021 FSC-klagomål.docx", "A 71573-2021")</f>
        <v/>
      </c>
      <c r="W133">
        <f>HYPERLINK("https://klasma.github.io/Logging_2309/klagomålsmail/A 71573-2021 FSC-klagomål mail.docx", "A 71573-2021")</f>
        <v/>
      </c>
      <c r="X133">
        <f>HYPERLINK("https://klasma.github.io/Logging_2309/tillsyn/A 71573-2021 tillsynsbegäran.docx", "A 71573-2021")</f>
        <v/>
      </c>
      <c r="Y133">
        <f>HYPERLINK("https://klasma.github.io/Logging_2309/tillsynsmail/A 71573-2021 tillsynsbegäran mail.docx", "A 71573-2021")</f>
        <v/>
      </c>
    </row>
    <row r="134" ht="15" customHeight="1">
      <c r="A134" t="inlineStr">
        <is>
          <t>A 62731-2023</t>
        </is>
      </c>
      <c r="B134" s="1" t="n">
        <v>45271</v>
      </c>
      <c r="C134" s="1" t="n">
        <v>45917</v>
      </c>
      <c r="D134" t="inlineStr">
        <is>
          <t>JÄMTLANDS LÄN</t>
        </is>
      </c>
      <c r="E134" t="inlineStr">
        <is>
          <t>KROKOM</t>
        </is>
      </c>
      <c r="F134" t="inlineStr">
        <is>
          <t>Övriga Aktiebolag</t>
        </is>
      </c>
      <c r="G134" t="n">
        <v>12.1</v>
      </c>
      <c r="H134" t="n">
        <v>1</v>
      </c>
      <c r="I134" t="n">
        <v>0</v>
      </c>
      <c r="J134" t="n">
        <v>3</v>
      </c>
      <c r="K134" t="n">
        <v>0</v>
      </c>
      <c r="L134" t="n">
        <v>0</v>
      </c>
      <c r="M134" t="n">
        <v>0</v>
      </c>
      <c r="N134" t="n">
        <v>0</v>
      </c>
      <c r="O134" t="n">
        <v>3</v>
      </c>
      <c r="P134" t="n">
        <v>0</v>
      </c>
      <c r="Q134" t="n">
        <v>3</v>
      </c>
      <c r="R134" s="2" t="inlineStr">
        <is>
          <t>Granticka
Harticka
Tretåig hackspett</t>
        </is>
      </c>
      <c r="S134">
        <f>HYPERLINK("https://klasma.github.io/Logging_2309/artfynd/A 62731-2023 artfynd.xlsx", "A 62731-2023")</f>
        <v/>
      </c>
      <c r="T134">
        <f>HYPERLINK("https://klasma.github.io/Logging_2309/kartor/A 62731-2023 karta.png", "A 62731-2023")</f>
        <v/>
      </c>
      <c r="V134">
        <f>HYPERLINK("https://klasma.github.io/Logging_2309/klagomål/A 62731-2023 FSC-klagomål.docx", "A 62731-2023")</f>
        <v/>
      </c>
      <c r="W134">
        <f>HYPERLINK("https://klasma.github.io/Logging_2309/klagomålsmail/A 62731-2023 FSC-klagomål mail.docx", "A 62731-2023")</f>
        <v/>
      </c>
      <c r="X134">
        <f>HYPERLINK("https://klasma.github.io/Logging_2309/tillsyn/A 62731-2023 tillsynsbegäran.docx", "A 62731-2023")</f>
        <v/>
      </c>
      <c r="Y134">
        <f>HYPERLINK("https://klasma.github.io/Logging_2309/tillsynsmail/A 62731-2023 tillsynsbegäran mail.docx", "A 62731-2023")</f>
        <v/>
      </c>
      <c r="Z134">
        <f>HYPERLINK("https://klasma.github.io/Logging_2309/fåglar/A 62731-2023 prioriterade fågelarter.docx", "A 62731-2023")</f>
        <v/>
      </c>
    </row>
    <row r="135" ht="15" customHeight="1">
      <c r="A135" t="inlineStr">
        <is>
          <t>A 23439-2024</t>
        </is>
      </c>
      <c r="B135" s="1" t="n">
        <v>45453.63133101852</v>
      </c>
      <c r="C135" s="1" t="n">
        <v>45917</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29035-2025</t>
        </is>
      </c>
      <c r="B136" s="1" t="n">
        <v>45821.44299768518</v>
      </c>
      <c r="C136" s="1" t="n">
        <v>45917</v>
      </c>
      <c r="D136" t="inlineStr">
        <is>
          <t>JÄMTLANDS LÄN</t>
        </is>
      </c>
      <c r="E136" t="inlineStr">
        <is>
          <t>KROKOM</t>
        </is>
      </c>
      <c r="G136" t="n">
        <v>45.1</v>
      </c>
      <c r="H136" t="n">
        <v>1</v>
      </c>
      <c r="I136" t="n">
        <v>1</v>
      </c>
      <c r="J136" t="n">
        <v>1</v>
      </c>
      <c r="K136" t="n">
        <v>0</v>
      </c>
      <c r="L136" t="n">
        <v>0</v>
      </c>
      <c r="M136" t="n">
        <v>1</v>
      </c>
      <c r="N136" t="n">
        <v>0</v>
      </c>
      <c r="O136" t="n">
        <v>2</v>
      </c>
      <c r="P136" t="n">
        <v>1</v>
      </c>
      <c r="Q136" t="n">
        <v>3</v>
      </c>
      <c r="R136" s="2" t="inlineStr">
        <is>
          <t>Vedtrådmossa
Lunglav
Ögonpyrola</t>
        </is>
      </c>
      <c r="S136">
        <f>HYPERLINK("https://klasma.github.io/Logging_2309/artfynd/A 29035-2025 artfynd.xlsx", "A 29035-2025")</f>
        <v/>
      </c>
      <c r="T136">
        <f>HYPERLINK("https://klasma.github.io/Logging_2309/kartor/A 29035-2025 karta.png", "A 29035-2025")</f>
        <v/>
      </c>
      <c r="V136">
        <f>HYPERLINK("https://klasma.github.io/Logging_2309/klagomål/A 29035-2025 FSC-klagomål.docx", "A 29035-2025")</f>
        <v/>
      </c>
      <c r="W136">
        <f>HYPERLINK("https://klasma.github.io/Logging_2309/klagomålsmail/A 29035-2025 FSC-klagomål mail.docx", "A 29035-2025")</f>
        <v/>
      </c>
      <c r="X136">
        <f>HYPERLINK("https://klasma.github.io/Logging_2309/tillsyn/A 29035-2025 tillsynsbegäran.docx", "A 29035-2025")</f>
        <v/>
      </c>
      <c r="Y136">
        <f>HYPERLINK("https://klasma.github.io/Logging_2309/tillsynsmail/A 29035-2025 tillsynsbegäran mail.docx", "A 29035-2025")</f>
        <v/>
      </c>
    </row>
    <row r="137" ht="15" customHeight="1">
      <c r="A137" t="inlineStr">
        <is>
          <t>A 11439-2024</t>
        </is>
      </c>
      <c r="B137" s="1" t="n">
        <v>45372</v>
      </c>
      <c r="C137" s="1" t="n">
        <v>45917</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30068-2022</t>
        </is>
      </c>
      <c r="B138" s="1" t="n">
        <v>44757</v>
      </c>
      <c r="C138" s="1" t="n">
        <v>45917</v>
      </c>
      <c r="D138" t="inlineStr">
        <is>
          <t>JÄMTLANDS LÄN</t>
        </is>
      </c>
      <c r="E138" t="inlineStr">
        <is>
          <t>KROKOM</t>
        </is>
      </c>
      <c r="G138" t="n">
        <v>5</v>
      </c>
      <c r="H138" t="n">
        <v>1</v>
      </c>
      <c r="I138" t="n">
        <v>0</v>
      </c>
      <c r="J138" t="n">
        <v>3</v>
      </c>
      <c r="K138" t="n">
        <v>0</v>
      </c>
      <c r="L138" t="n">
        <v>0</v>
      </c>
      <c r="M138" t="n">
        <v>0</v>
      </c>
      <c r="N138" t="n">
        <v>0</v>
      </c>
      <c r="O138" t="n">
        <v>3</v>
      </c>
      <c r="P138" t="n">
        <v>0</v>
      </c>
      <c r="Q138" t="n">
        <v>3</v>
      </c>
      <c r="R138" s="2" t="inlineStr">
        <is>
          <t>Gränsticka
Tretåig hackspett
Ullticka</t>
        </is>
      </c>
      <c r="S138">
        <f>HYPERLINK("https://klasma.github.io/Logging_2309/artfynd/A 30068-2022 artfynd.xlsx", "A 30068-2022")</f>
        <v/>
      </c>
      <c r="T138">
        <f>HYPERLINK("https://klasma.github.io/Logging_2309/kartor/A 30068-2022 karta.png", "A 30068-2022")</f>
        <v/>
      </c>
      <c r="V138">
        <f>HYPERLINK("https://klasma.github.io/Logging_2309/klagomål/A 30068-2022 FSC-klagomål.docx", "A 30068-2022")</f>
        <v/>
      </c>
      <c r="W138">
        <f>HYPERLINK("https://klasma.github.io/Logging_2309/klagomålsmail/A 30068-2022 FSC-klagomål mail.docx", "A 30068-2022")</f>
        <v/>
      </c>
      <c r="X138">
        <f>HYPERLINK("https://klasma.github.io/Logging_2309/tillsyn/A 30068-2022 tillsynsbegäran.docx", "A 30068-2022")</f>
        <v/>
      </c>
      <c r="Y138">
        <f>HYPERLINK("https://klasma.github.io/Logging_2309/tillsynsmail/A 30068-2022 tillsynsbegäran mail.docx", "A 30068-2022")</f>
        <v/>
      </c>
      <c r="Z138">
        <f>HYPERLINK("https://klasma.github.io/Logging_2309/fåglar/A 30068-2022 prioriterade fågelarter.docx", "A 30068-2022")</f>
        <v/>
      </c>
    </row>
    <row r="139" ht="15" customHeight="1">
      <c r="A139" t="inlineStr">
        <is>
          <t>A 38966-2025</t>
        </is>
      </c>
      <c r="B139" s="1" t="n">
        <v>45887.6989699074</v>
      </c>
      <c r="C139" s="1" t="n">
        <v>45917</v>
      </c>
      <c r="D139" t="inlineStr">
        <is>
          <t>JÄMTLANDS LÄN</t>
        </is>
      </c>
      <c r="E139" t="inlineStr">
        <is>
          <t>KROKOM</t>
        </is>
      </c>
      <c r="G139" t="n">
        <v>8.199999999999999</v>
      </c>
      <c r="H139" t="n">
        <v>0</v>
      </c>
      <c r="I139" t="n">
        <v>3</v>
      </c>
      <c r="J139" t="n">
        <v>0</v>
      </c>
      <c r="K139" t="n">
        <v>0</v>
      </c>
      <c r="L139" t="n">
        <v>0</v>
      </c>
      <c r="M139" t="n">
        <v>0</v>
      </c>
      <c r="N139" t="n">
        <v>0</v>
      </c>
      <c r="O139" t="n">
        <v>0</v>
      </c>
      <c r="P139" t="n">
        <v>0</v>
      </c>
      <c r="Q139" t="n">
        <v>3</v>
      </c>
      <c r="R139" s="2" t="inlineStr">
        <is>
          <t>Luddlav
Skinnlav
Stuplav</t>
        </is>
      </c>
      <c r="S139">
        <f>HYPERLINK("https://klasma.github.io/Logging_2309/artfynd/A 38966-2025 artfynd.xlsx", "A 38966-2025")</f>
        <v/>
      </c>
      <c r="T139">
        <f>HYPERLINK("https://klasma.github.io/Logging_2309/kartor/A 38966-2025 karta.png", "A 38966-2025")</f>
        <v/>
      </c>
      <c r="V139">
        <f>HYPERLINK("https://klasma.github.io/Logging_2309/klagomål/A 38966-2025 FSC-klagomål.docx", "A 38966-2025")</f>
        <v/>
      </c>
      <c r="W139">
        <f>HYPERLINK("https://klasma.github.io/Logging_2309/klagomålsmail/A 38966-2025 FSC-klagomål mail.docx", "A 38966-2025")</f>
        <v/>
      </c>
      <c r="X139">
        <f>HYPERLINK("https://klasma.github.io/Logging_2309/tillsyn/A 38966-2025 tillsynsbegäran.docx", "A 38966-2025")</f>
        <v/>
      </c>
      <c r="Y139">
        <f>HYPERLINK("https://klasma.github.io/Logging_2309/tillsynsmail/A 38966-2025 tillsynsbegäran mail.docx", "A 38966-2025")</f>
        <v/>
      </c>
    </row>
    <row r="140" ht="15" customHeight="1">
      <c r="A140" t="inlineStr">
        <is>
          <t>A 34582-2024</t>
        </is>
      </c>
      <c r="B140" s="1" t="n">
        <v>45526</v>
      </c>
      <c r="C140" s="1" t="n">
        <v>45917</v>
      </c>
      <c r="D140" t="inlineStr">
        <is>
          <t>JÄMTLANDS LÄN</t>
        </is>
      </c>
      <c r="E140" t="inlineStr">
        <is>
          <t>KROKOM</t>
        </is>
      </c>
      <c r="G140" t="n">
        <v>8.1</v>
      </c>
      <c r="H140" t="n">
        <v>1</v>
      </c>
      <c r="I140" t="n">
        <v>0</v>
      </c>
      <c r="J140" t="n">
        <v>3</v>
      </c>
      <c r="K140" t="n">
        <v>0</v>
      </c>
      <c r="L140" t="n">
        <v>0</v>
      </c>
      <c r="M140" t="n">
        <v>0</v>
      </c>
      <c r="N140" t="n">
        <v>0</v>
      </c>
      <c r="O140" t="n">
        <v>3</v>
      </c>
      <c r="P140" t="n">
        <v>0</v>
      </c>
      <c r="Q140" t="n">
        <v>3</v>
      </c>
      <c r="R140" s="2" t="inlineStr">
        <is>
          <t>Granticka
Tretåig hackspett
Ullticka</t>
        </is>
      </c>
      <c r="S140">
        <f>HYPERLINK("https://klasma.github.io/Logging_2309/artfynd/A 34582-2024 artfynd.xlsx", "A 34582-2024")</f>
        <v/>
      </c>
      <c r="T140">
        <f>HYPERLINK("https://klasma.github.io/Logging_2309/kartor/A 34582-2024 karta.png", "A 34582-2024")</f>
        <v/>
      </c>
      <c r="V140">
        <f>HYPERLINK("https://klasma.github.io/Logging_2309/klagomål/A 34582-2024 FSC-klagomål.docx", "A 34582-2024")</f>
        <v/>
      </c>
      <c r="W140">
        <f>HYPERLINK("https://klasma.github.io/Logging_2309/klagomålsmail/A 34582-2024 FSC-klagomål mail.docx", "A 34582-2024")</f>
        <v/>
      </c>
      <c r="X140">
        <f>HYPERLINK("https://klasma.github.io/Logging_2309/tillsyn/A 34582-2024 tillsynsbegäran.docx", "A 34582-2024")</f>
        <v/>
      </c>
      <c r="Y140">
        <f>HYPERLINK("https://klasma.github.io/Logging_2309/tillsynsmail/A 34582-2024 tillsynsbegäran mail.docx", "A 34582-2024")</f>
        <v/>
      </c>
      <c r="Z140">
        <f>HYPERLINK("https://klasma.github.io/Logging_2309/fåglar/A 34582-2024 prioriterade fågelarter.docx", "A 34582-2024")</f>
        <v/>
      </c>
    </row>
    <row r="141" ht="15" customHeight="1">
      <c r="A141" t="inlineStr">
        <is>
          <t>A 58896-2024</t>
        </is>
      </c>
      <c r="B141" s="1" t="n">
        <v>45636</v>
      </c>
      <c r="C141" s="1" t="n">
        <v>45917</v>
      </c>
      <c r="D141" t="inlineStr">
        <is>
          <t>JÄMTLANDS LÄN</t>
        </is>
      </c>
      <c r="E141" t="inlineStr">
        <is>
          <t>KROKOM</t>
        </is>
      </c>
      <c r="G141" t="n">
        <v>3.3</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HYPERLINK("https://klasma.github.io/Logging_2309/artfynd/A 58896-2024 artfynd.xlsx", "A 58896-2024")</f>
        <v/>
      </c>
      <c r="T141">
        <f>HYPERLINK("https://klasma.github.io/Logging_2309/kartor/A 58896-2024 karta.png", "A 58896-2024")</f>
        <v/>
      </c>
      <c r="V141">
        <f>HYPERLINK("https://klasma.github.io/Logging_2309/klagomål/A 58896-2024 FSC-klagomål.docx", "A 58896-2024")</f>
        <v/>
      </c>
      <c r="W141">
        <f>HYPERLINK("https://klasma.github.io/Logging_2309/klagomålsmail/A 58896-2024 FSC-klagomål mail.docx", "A 58896-2024")</f>
        <v/>
      </c>
      <c r="X141">
        <f>HYPERLINK("https://klasma.github.io/Logging_2309/tillsyn/A 58896-2024 tillsynsbegäran.docx", "A 58896-2024")</f>
        <v/>
      </c>
      <c r="Y141">
        <f>HYPERLINK("https://klasma.github.io/Logging_2309/tillsynsmail/A 58896-2024 tillsynsbegäran mail.docx", "A 58896-2024")</f>
        <v/>
      </c>
      <c r="Z141">
        <f>HYPERLINK("https://klasma.github.io/Logging_2309/fåglar/A 58896-2024 prioriterade fågelarter.docx", "A 58896-2024")</f>
        <v/>
      </c>
    </row>
    <row r="142" ht="15" customHeight="1">
      <c r="A142" t="inlineStr">
        <is>
          <t>A 57468-2024</t>
        </is>
      </c>
      <c r="B142" s="1" t="n">
        <v>45630</v>
      </c>
      <c r="C142" s="1" t="n">
        <v>45917</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44869-2022</t>
        </is>
      </c>
      <c r="B143" s="1" t="n">
        <v>44841</v>
      </c>
      <c r="C143" s="1" t="n">
        <v>45917</v>
      </c>
      <c r="D143" t="inlineStr">
        <is>
          <t>JÄMTLANDS LÄN</t>
        </is>
      </c>
      <c r="E143" t="inlineStr">
        <is>
          <t>KROKOM</t>
        </is>
      </c>
      <c r="G143" t="n">
        <v>4.5</v>
      </c>
      <c r="H143" t="n">
        <v>1</v>
      </c>
      <c r="I143" t="n">
        <v>0</v>
      </c>
      <c r="J143" t="n">
        <v>1</v>
      </c>
      <c r="K143" t="n">
        <v>2</v>
      </c>
      <c r="L143" t="n">
        <v>0</v>
      </c>
      <c r="M143" t="n">
        <v>0</v>
      </c>
      <c r="N143" t="n">
        <v>0</v>
      </c>
      <c r="O143" t="n">
        <v>3</v>
      </c>
      <c r="P143" t="n">
        <v>2</v>
      </c>
      <c r="Q143" t="n">
        <v>3</v>
      </c>
      <c r="R143" s="2" t="inlineStr">
        <is>
          <t>Knärot
Ulltickeporing
Lunglav</t>
        </is>
      </c>
      <c r="S143">
        <f>HYPERLINK("https://klasma.github.io/Logging_2309/artfynd/A 44869-2022 artfynd.xlsx", "A 44869-2022")</f>
        <v/>
      </c>
      <c r="T143">
        <f>HYPERLINK("https://klasma.github.io/Logging_2309/kartor/A 44869-2022 karta.png", "A 44869-2022")</f>
        <v/>
      </c>
      <c r="U143">
        <f>HYPERLINK("https://klasma.github.io/Logging_2309/knärot/A 44869-2022 karta knärot.png", "A 44869-2022")</f>
        <v/>
      </c>
      <c r="V143">
        <f>HYPERLINK("https://klasma.github.io/Logging_2309/klagomål/A 44869-2022 FSC-klagomål.docx", "A 44869-2022")</f>
        <v/>
      </c>
      <c r="W143">
        <f>HYPERLINK("https://klasma.github.io/Logging_2309/klagomålsmail/A 44869-2022 FSC-klagomål mail.docx", "A 44869-2022")</f>
        <v/>
      </c>
      <c r="X143">
        <f>HYPERLINK("https://klasma.github.io/Logging_2309/tillsyn/A 44869-2022 tillsynsbegäran.docx", "A 44869-2022")</f>
        <v/>
      </c>
      <c r="Y143">
        <f>HYPERLINK("https://klasma.github.io/Logging_2309/tillsynsmail/A 44869-2022 tillsynsbegäran mail.docx", "A 44869-2022")</f>
        <v/>
      </c>
    </row>
    <row r="144" ht="15" customHeight="1">
      <c r="A144" t="inlineStr">
        <is>
          <t>A 54494-2023</t>
        </is>
      </c>
      <c r="B144" s="1" t="n">
        <v>45233</v>
      </c>
      <c r="C144" s="1" t="n">
        <v>45917</v>
      </c>
      <c r="D144" t="inlineStr">
        <is>
          <t>JÄMTLANDS LÄN</t>
        </is>
      </c>
      <c r="E144" t="inlineStr">
        <is>
          <t>KROKOM</t>
        </is>
      </c>
      <c r="G144" t="n">
        <v>6.2</v>
      </c>
      <c r="H144" t="n">
        <v>1</v>
      </c>
      <c r="I144" t="n">
        <v>2</v>
      </c>
      <c r="J144" t="n">
        <v>0</v>
      </c>
      <c r="K144" t="n">
        <v>0</v>
      </c>
      <c r="L144" t="n">
        <v>0</v>
      </c>
      <c r="M144" t="n">
        <v>0</v>
      </c>
      <c r="N144" t="n">
        <v>0</v>
      </c>
      <c r="O144" t="n">
        <v>0</v>
      </c>
      <c r="P144" t="n">
        <v>0</v>
      </c>
      <c r="Q144" t="n">
        <v>3</v>
      </c>
      <c r="R144" s="2" t="inlineStr">
        <is>
          <t>Finbräken
Tibast
Blåsippa</t>
        </is>
      </c>
      <c r="S144">
        <f>HYPERLINK("https://klasma.github.io/Logging_2309/artfynd/A 54494-2023 artfynd.xlsx", "A 54494-2023")</f>
        <v/>
      </c>
      <c r="T144">
        <f>HYPERLINK("https://klasma.github.io/Logging_2309/kartor/A 54494-2023 karta.png", "A 54494-2023")</f>
        <v/>
      </c>
      <c r="V144">
        <f>HYPERLINK("https://klasma.github.io/Logging_2309/klagomål/A 54494-2023 FSC-klagomål.docx", "A 54494-2023")</f>
        <v/>
      </c>
      <c r="W144">
        <f>HYPERLINK("https://klasma.github.io/Logging_2309/klagomålsmail/A 54494-2023 FSC-klagomål mail.docx", "A 54494-2023")</f>
        <v/>
      </c>
      <c r="X144">
        <f>HYPERLINK("https://klasma.github.io/Logging_2309/tillsyn/A 54494-2023 tillsynsbegäran.docx", "A 54494-2023")</f>
        <v/>
      </c>
      <c r="Y144">
        <f>HYPERLINK("https://klasma.github.io/Logging_2309/tillsynsmail/A 54494-2023 tillsynsbegäran mail.docx", "A 54494-2023")</f>
        <v/>
      </c>
    </row>
    <row r="145" ht="15" customHeight="1">
      <c r="A145" t="inlineStr">
        <is>
          <t>A 36009-2025</t>
        </is>
      </c>
      <c r="B145" s="1" t="n">
        <v>45863.58127314815</v>
      </c>
      <c r="C145" s="1" t="n">
        <v>45917</v>
      </c>
      <c r="D145" t="inlineStr">
        <is>
          <t>JÄMTLANDS LÄN</t>
        </is>
      </c>
      <c r="E145" t="inlineStr">
        <is>
          <t>KROKOM</t>
        </is>
      </c>
      <c r="F145" t="inlineStr">
        <is>
          <t>Övriga Aktiebolag</t>
        </is>
      </c>
      <c r="G145" t="n">
        <v>3.8</v>
      </c>
      <c r="H145" t="n">
        <v>1</v>
      </c>
      <c r="I145" t="n">
        <v>0</v>
      </c>
      <c r="J145" t="n">
        <v>3</v>
      </c>
      <c r="K145" t="n">
        <v>0</v>
      </c>
      <c r="L145" t="n">
        <v>0</v>
      </c>
      <c r="M145" t="n">
        <v>0</v>
      </c>
      <c r="N145" t="n">
        <v>0</v>
      </c>
      <c r="O145" t="n">
        <v>3</v>
      </c>
      <c r="P145" t="n">
        <v>0</v>
      </c>
      <c r="Q145" t="n">
        <v>3</v>
      </c>
      <c r="R145" s="2" t="inlineStr">
        <is>
          <t>Garnlav
Harticka
Tretåig hackspett</t>
        </is>
      </c>
      <c r="S145">
        <f>HYPERLINK("https://klasma.github.io/Logging_2309/artfynd/A 36009-2025 artfynd.xlsx", "A 36009-2025")</f>
        <v/>
      </c>
      <c r="T145">
        <f>HYPERLINK("https://klasma.github.io/Logging_2309/kartor/A 36009-2025 karta.png", "A 36009-2025")</f>
        <v/>
      </c>
      <c r="V145">
        <f>HYPERLINK("https://klasma.github.io/Logging_2309/klagomål/A 36009-2025 FSC-klagomål.docx", "A 36009-2025")</f>
        <v/>
      </c>
      <c r="W145">
        <f>HYPERLINK("https://klasma.github.io/Logging_2309/klagomålsmail/A 36009-2025 FSC-klagomål mail.docx", "A 36009-2025")</f>
        <v/>
      </c>
      <c r="X145">
        <f>HYPERLINK("https://klasma.github.io/Logging_2309/tillsyn/A 36009-2025 tillsynsbegäran.docx", "A 36009-2025")</f>
        <v/>
      </c>
      <c r="Y145">
        <f>HYPERLINK("https://klasma.github.io/Logging_2309/tillsynsmail/A 36009-2025 tillsynsbegäran mail.docx", "A 36009-2025")</f>
        <v/>
      </c>
      <c r="Z145">
        <f>HYPERLINK("https://klasma.github.io/Logging_2309/fåglar/A 36009-2025 prioriterade fågelarter.docx", "A 36009-2025")</f>
        <v/>
      </c>
    </row>
    <row r="146" ht="15" customHeight="1">
      <c r="A146" t="inlineStr">
        <is>
          <t>A 50431-2023</t>
        </is>
      </c>
      <c r="B146" s="1" t="n">
        <v>45216.67748842593</v>
      </c>
      <c r="C146" s="1" t="n">
        <v>45917</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51663-2022</t>
        </is>
      </c>
      <c r="B147" s="1" t="n">
        <v>44867</v>
      </c>
      <c r="C147" s="1" t="n">
        <v>45917</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30069-2022</t>
        </is>
      </c>
      <c r="B148" s="1" t="n">
        <v>44757</v>
      </c>
      <c r="C148" s="1" t="n">
        <v>45917</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52264-2022</t>
        </is>
      </c>
      <c r="B149" s="1" t="n">
        <v>44873</v>
      </c>
      <c r="C149" s="1" t="n">
        <v>45917</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2592-2024</t>
        </is>
      </c>
      <c r="B150" s="1" t="n">
        <v>45313</v>
      </c>
      <c r="C150" s="1" t="n">
        <v>45917</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5278-2025</t>
        </is>
      </c>
      <c r="B151" s="1" t="n">
        <v>45692</v>
      </c>
      <c r="C151" s="1" t="n">
        <v>45917</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62113-2024</t>
        </is>
      </c>
      <c r="B152" s="1" t="n">
        <v>45656.54600694445</v>
      </c>
      <c r="C152" s="1" t="n">
        <v>45917</v>
      </c>
      <c r="D152" t="inlineStr">
        <is>
          <t>JÄMTLANDS LÄN</t>
        </is>
      </c>
      <c r="E152" t="inlineStr">
        <is>
          <t>KROKOM</t>
        </is>
      </c>
      <c r="G152" t="n">
        <v>5.3</v>
      </c>
      <c r="H152" t="n">
        <v>1</v>
      </c>
      <c r="I152" t="n">
        <v>2</v>
      </c>
      <c r="J152" t="n">
        <v>0</v>
      </c>
      <c r="K152" t="n">
        <v>0</v>
      </c>
      <c r="L152" t="n">
        <v>0</v>
      </c>
      <c r="M152" t="n">
        <v>0</v>
      </c>
      <c r="N152" t="n">
        <v>0</v>
      </c>
      <c r="O152" t="n">
        <v>0</v>
      </c>
      <c r="P152" t="n">
        <v>0</v>
      </c>
      <c r="Q152" t="n">
        <v>3</v>
      </c>
      <c r="R152" s="2" t="inlineStr">
        <is>
          <t>Finbräken
Kransrams
Blåsippa</t>
        </is>
      </c>
      <c r="S152">
        <f>HYPERLINK("https://klasma.github.io/Logging_2309/artfynd/A 62113-2024 artfynd.xlsx", "A 62113-2024")</f>
        <v/>
      </c>
      <c r="T152">
        <f>HYPERLINK("https://klasma.github.io/Logging_2309/kartor/A 62113-2024 karta.png", "A 62113-2024")</f>
        <v/>
      </c>
      <c r="V152">
        <f>HYPERLINK("https://klasma.github.io/Logging_2309/klagomål/A 62113-2024 FSC-klagomål.docx", "A 62113-2024")</f>
        <v/>
      </c>
      <c r="W152">
        <f>HYPERLINK("https://klasma.github.io/Logging_2309/klagomålsmail/A 62113-2024 FSC-klagomål mail.docx", "A 62113-2024")</f>
        <v/>
      </c>
      <c r="X152">
        <f>HYPERLINK("https://klasma.github.io/Logging_2309/tillsyn/A 62113-2024 tillsynsbegäran.docx", "A 62113-2024")</f>
        <v/>
      </c>
      <c r="Y152">
        <f>HYPERLINK("https://klasma.github.io/Logging_2309/tillsynsmail/A 62113-2024 tillsynsbegäran mail.docx", "A 62113-2024")</f>
        <v/>
      </c>
    </row>
    <row r="153" ht="15" customHeight="1">
      <c r="A153" t="inlineStr">
        <is>
          <t>A 32148-2024</t>
        </is>
      </c>
      <c r="B153" s="1" t="n">
        <v>45511.55719907407</v>
      </c>
      <c r="C153" s="1" t="n">
        <v>45917</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50345-2023</t>
        </is>
      </c>
      <c r="B154" s="1" t="n">
        <v>45216</v>
      </c>
      <c r="C154" s="1" t="n">
        <v>45917</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28151-2021</t>
        </is>
      </c>
      <c r="B155" s="1" t="n">
        <v>44355</v>
      </c>
      <c r="C155" s="1" t="n">
        <v>45917</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45917</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67738-2021</t>
        </is>
      </c>
      <c r="B157" s="1" t="n">
        <v>44524</v>
      </c>
      <c r="C157" s="1" t="n">
        <v>45917</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20981-2021</t>
        </is>
      </c>
      <c r="B158" s="1" t="n">
        <v>44316</v>
      </c>
      <c r="C158" s="1" t="n">
        <v>45917</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45917</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30060-2022</t>
        </is>
      </c>
      <c r="B160" s="1" t="n">
        <v>44757</v>
      </c>
      <c r="C160" s="1" t="n">
        <v>45917</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62453-2023</t>
        </is>
      </c>
      <c r="B161" s="1" t="n">
        <v>45268</v>
      </c>
      <c r="C161" s="1" t="n">
        <v>45917</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33874-2021</t>
        </is>
      </c>
      <c r="B162" s="1" t="n">
        <v>44378</v>
      </c>
      <c r="C162" s="1" t="n">
        <v>45917</v>
      </c>
      <c r="D162" t="inlineStr">
        <is>
          <t>JÄMTLANDS LÄN</t>
        </is>
      </c>
      <c r="E162" t="inlineStr">
        <is>
          <t>KROKOM</t>
        </is>
      </c>
      <c r="G162" t="n">
        <v>5.9</v>
      </c>
      <c r="H162" t="n">
        <v>1</v>
      </c>
      <c r="I162" t="n">
        <v>2</v>
      </c>
      <c r="J162" t="n">
        <v>0</v>
      </c>
      <c r="K162" t="n">
        <v>0</v>
      </c>
      <c r="L162" t="n">
        <v>0</v>
      </c>
      <c r="M162" t="n">
        <v>0</v>
      </c>
      <c r="N162" t="n">
        <v>0</v>
      </c>
      <c r="O162" t="n">
        <v>0</v>
      </c>
      <c r="P162" t="n">
        <v>0</v>
      </c>
      <c r="Q162" t="n">
        <v>2</v>
      </c>
      <c r="R162" s="2" t="inlineStr">
        <is>
          <t>Kransrams
Tvåblad</t>
        </is>
      </c>
      <c r="S162">
        <f>HYPERLINK("https://klasma.github.io/Logging_2309/artfynd/A 33874-2021 artfynd.xlsx", "A 33874-2021")</f>
        <v/>
      </c>
      <c r="T162">
        <f>HYPERLINK("https://klasma.github.io/Logging_2309/kartor/A 33874-2021 karta.png", "A 33874-2021")</f>
        <v/>
      </c>
      <c r="V162">
        <f>HYPERLINK("https://klasma.github.io/Logging_2309/klagomål/A 33874-2021 FSC-klagomål.docx", "A 33874-2021")</f>
        <v/>
      </c>
      <c r="W162">
        <f>HYPERLINK("https://klasma.github.io/Logging_2309/klagomålsmail/A 33874-2021 FSC-klagomål mail.docx", "A 33874-2021")</f>
        <v/>
      </c>
      <c r="X162">
        <f>HYPERLINK("https://klasma.github.io/Logging_2309/tillsyn/A 33874-2021 tillsynsbegäran.docx", "A 33874-2021")</f>
        <v/>
      </c>
      <c r="Y162">
        <f>HYPERLINK("https://klasma.github.io/Logging_2309/tillsynsmail/A 33874-2021 tillsynsbegäran mail.docx", "A 33874-2021")</f>
        <v/>
      </c>
    </row>
    <row r="163" ht="15" customHeight="1">
      <c r="A163" t="inlineStr">
        <is>
          <t>A 71571-2021</t>
        </is>
      </c>
      <c r="B163" s="1" t="n">
        <v>44540</v>
      </c>
      <c r="C163" s="1" t="n">
        <v>45917</v>
      </c>
      <c r="D163" t="inlineStr">
        <is>
          <t>JÄMTLANDS LÄN</t>
        </is>
      </c>
      <c r="E163" t="inlineStr">
        <is>
          <t>KROKOM</t>
        </is>
      </c>
      <c r="G163" t="n">
        <v>0.7</v>
      </c>
      <c r="H163" t="n">
        <v>0</v>
      </c>
      <c r="I163" t="n">
        <v>1</v>
      </c>
      <c r="J163" t="n">
        <v>1</v>
      </c>
      <c r="K163" t="n">
        <v>0</v>
      </c>
      <c r="L163" t="n">
        <v>0</v>
      </c>
      <c r="M163" t="n">
        <v>0</v>
      </c>
      <c r="N163" t="n">
        <v>0</v>
      </c>
      <c r="O163" t="n">
        <v>1</v>
      </c>
      <c r="P163" t="n">
        <v>0</v>
      </c>
      <c r="Q163" t="n">
        <v>2</v>
      </c>
      <c r="R163" s="2" t="inlineStr">
        <is>
          <t>Skrovellav
Kryddspindling</t>
        </is>
      </c>
      <c r="S163">
        <f>HYPERLINK("https://klasma.github.io/Logging_2309/artfynd/A 71571-2021 artfynd.xlsx", "A 71571-2021")</f>
        <v/>
      </c>
      <c r="T163">
        <f>HYPERLINK("https://klasma.github.io/Logging_2309/kartor/A 71571-2021 karta.png", "A 71571-2021")</f>
        <v/>
      </c>
      <c r="V163">
        <f>HYPERLINK("https://klasma.github.io/Logging_2309/klagomål/A 71571-2021 FSC-klagomål.docx", "A 71571-2021")</f>
        <v/>
      </c>
      <c r="W163">
        <f>HYPERLINK("https://klasma.github.io/Logging_2309/klagomålsmail/A 71571-2021 FSC-klagomål mail.docx", "A 71571-2021")</f>
        <v/>
      </c>
      <c r="X163">
        <f>HYPERLINK("https://klasma.github.io/Logging_2309/tillsyn/A 71571-2021 tillsynsbegäran.docx", "A 71571-2021")</f>
        <v/>
      </c>
      <c r="Y163">
        <f>HYPERLINK("https://klasma.github.io/Logging_2309/tillsynsmail/A 71571-2021 tillsynsbegäran mail.docx", "A 71571-2021")</f>
        <v/>
      </c>
    </row>
    <row r="164" ht="15" customHeight="1">
      <c r="A164" t="inlineStr">
        <is>
          <t>A 37509-2025</t>
        </is>
      </c>
      <c r="B164" s="1" t="n">
        <v>45877.67787037037</v>
      </c>
      <c r="C164" s="1" t="n">
        <v>45917</v>
      </c>
      <c r="D164" t="inlineStr">
        <is>
          <t>JÄMTLANDS LÄN</t>
        </is>
      </c>
      <c r="E164" t="inlineStr">
        <is>
          <t>KROKOM</t>
        </is>
      </c>
      <c r="F164" t="inlineStr">
        <is>
          <t>SCA</t>
        </is>
      </c>
      <c r="G164" t="n">
        <v>13.6</v>
      </c>
      <c r="H164" t="n">
        <v>0</v>
      </c>
      <c r="I164" t="n">
        <v>0</v>
      </c>
      <c r="J164" t="n">
        <v>1</v>
      </c>
      <c r="K164" t="n">
        <v>1</v>
      </c>
      <c r="L164" t="n">
        <v>0</v>
      </c>
      <c r="M164" t="n">
        <v>0</v>
      </c>
      <c r="N164" t="n">
        <v>0</v>
      </c>
      <c r="O164" t="n">
        <v>2</v>
      </c>
      <c r="P164" t="n">
        <v>1</v>
      </c>
      <c r="Q164" t="n">
        <v>2</v>
      </c>
      <c r="R164" s="2" t="inlineStr">
        <is>
          <t>Gräddporing
Skrovellav</t>
        </is>
      </c>
      <c r="S164">
        <f>HYPERLINK("https://klasma.github.io/Logging_2309/artfynd/A 37509-2025 artfynd.xlsx", "A 37509-2025")</f>
        <v/>
      </c>
      <c r="T164">
        <f>HYPERLINK("https://klasma.github.io/Logging_2309/kartor/A 37509-2025 karta.png", "A 37509-2025")</f>
        <v/>
      </c>
      <c r="V164">
        <f>HYPERLINK("https://klasma.github.io/Logging_2309/klagomål/A 37509-2025 FSC-klagomål.docx", "A 37509-2025")</f>
        <v/>
      </c>
      <c r="W164">
        <f>HYPERLINK("https://klasma.github.io/Logging_2309/klagomålsmail/A 37509-2025 FSC-klagomål mail.docx", "A 37509-2025")</f>
        <v/>
      </c>
      <c r="X164">
        <f>HYPERLINK("https://klasma.github.io/Logging_2309/tillsyn/A 37509-2025 tillsynsbegäran.docx", "A 37509-2025")</f>
        <v/>
      </c>
      <c r="Y164">
        <f>HYPERLINK("https://klasma.github.io/Logging_2309/tillsynsmail/A 37509-2025 tillsynsbegäran mail.docx", "A 37509-2025")</f>
        <v/>
      </c>
    </row>
    <row r="165" ht="15" customHeight="1">
      <c r="A165" t="inlineStr">
        <is>
          <t>A 7575-2024</t>
        </is>
      </c>
      <c r="B165" s="1" t="n">
        <v>45348</v>
      </c>
      <c r="C165" s="1" t="n">
        <v>45917</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35891-2025</t>
        </is>
      </c>
      <c r="B166" s="1" t="n">
        <v>45862</v>
      </c>
      <c r="C166" s="1" t="n">
        <v>45917</v>
      </c>
      <c r="D166" t="inlineStr">
        <is>
          <t>JÄMTLANDS LÄN</t>
        </is>
      </c>
      <c r="E166" t="inlineStr">
        <is>
          <t>KROKOM</t>
        </is>
      </c>
      <c r="G166" t="n">
        <v>10.1</v>
      </c>
      <c r="H166" t="n">
        <v>0</v>
      </c>
      <c r="I166" t="n">
        <v>0</v>
      </c>
      <c r="J166" t="n">
        <v>2</v>
      </c>
      <c r="K166" t="n">
        <v>0</v>
      </c>
      <c r="L166" t="n">
        <v>0</v>
      </c>
      <c r="M166" t="n">
        <v>0</v>
      </c>
      <c r="N166" t="n">
        <v>0</v>
      </c>
      <c r="O166" t="n">
        <v>2</v>
      </c>
      <c r="P166" t="n">
        <v>0</v>
      </c>
      <c r="Q166" t="n">
        <v>2</v>
      </c>
      <c r="R166" s="2" t="inlineStr">
        <is>
          <t>Vaddporing
Vedskivlav</t>
        </is>
      </c>
      <c r="S166">
        <f>HYPERLINK("https://klasma.github.io/Logging_2309/artfynd/A 35891-2025 artfynd.xlsx", "A 35891-2025")</f>
        <v/>
      </c>
      <c r="T166">
        <f>HYPERLINK("https://klasma.github.io/Logging_2309/kartor/A 35891-2025 karta.png", "A 35891-2025")</f>
        <v/>
      </c>
      <c r="V166">
        <f>HYPERLINK("https://klasma.github.io/Logging_2309/klagomål/A 35891-2025 FSC-klagomål.docx", "A 35891-2025")</f>
        <v/>
      </c>
      <c r="W166">
        <f>HYPERLINK("https://klasma.github.io/Logging_2309/klagomålsmail/A 35891-2025 FSC-klagomål mail.docx", "A 35891-2025")</f>
        <v/>
      </c>
      <c r="X166">
        <f>HYPERLINK("https://klasma.github.io/Logging_2309/tillsyn/A 35891-2025 tillsynsbegäran.docx", "A 35891-2025")</f>
        <v/>
      </c>
      <c r="Y166">
        <f>HYPERLINK("https://klasma.github.io/Logging_2309/tillsynsmail/A 35891-2025 tillsynsbegäran mail.docx", "A 35891-2025")</f>
        <v/>
      </c>
    </row>
    <row r="167" ht="15" customHeight="1">
      <c r="A167" t="inlineStr">
        <is>
          <t>A 49386-2024</t>
        </is>
      </c>
      <c r="B167" s="1" t="n">
        <v>45595</v>
      </c>
      <c r="C167" s="1" t="n">
        <v>45917</v>
      </c>
      <c r="D167" t="inlineStr">
        <is>
          <t>JÄMTLANDS LÄN</t>
        </is>
      </c>
      <c r="E167" t="inlineStr">
        <is>
          <t>KROKOM</t>
        </is>
      </c>
      <c r="G167" t="n">
        <v>6.8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49386-2024 artfynd.xlsx", "A 49386-2024")</f>
        <v/>
      </c>
      <c r="T167">
        <f>HYPERLINK("https://klasma.github.io/Logging_2309/kartor/A 49386-2024 karta.png", "A 49386-2024")</f>
        <v/>
      </c>
      <c r="V167">
        <f>HYPERLINK("https://klasma.github.io/Logging_2309/klagomål/A 49386-2024 FSC-klagomål.docx", "A 49386-2024")</f>
        <v/>
      </c>
      <c r="W167">
        <f>HYPERLINK("https://klasma.github.io/Logging_2309/klagomålsmail/A 49386-2024 FSC-klagomål mail.docx", "A 49386-2024")</f>
        <v/>
      </c>
      <c r="X167">
        <f>HYPERLINK("https://klasma.github.io/Logging_2309/tillsyn/A 49386-2024 tillsynsbegäran.docx", "A 49386-2024")</f>
        <v/>
      </c>
      <c r="Y167">
        <f>HYPERLINK("https://klasma.github.io/Logging_2309/tillsynsmail/A 49386-2024 tillsynsbegäran mail.docx", "A 49386-2024")</f>
        <v/>
      </c>
      <c r="Z167">
        <f>HYPERLINK("https://klasma.github.io/Logging_2309/fåglar/A 49386-2024 prioriterade fågelarter.docx", "A 49386-2024")</f>
        <v/>
      </c>
    </row>
    <row r="168" ht="15" customHeight="1">
      <c r="A168" t="inlineStr">
        <is>
          <t>A 40508-2025</t>
        </is>
      </c>
      <c r="B168" s="1" t="n">
        <v>45896.34465277778</v>
      </c>
      <c r="C168" s="1" t="n">
        <v>45917</v>
      </c>
      <c r="D168" t="inlineStr">
        <is>
          <t>JÄMTLANDS LÄN</t>
        </is>
      </c>
      <c r="E168" t="inlineStr">
        <is>
          <t>KROKOM</t>
        </is>
      </c>
      <c r="F168" t="inlineStr">
        <is>
          <t>SCA</t>
        </is>
      </c>
      <c r="G168" t="n">
        <v>16.4</v>
      </c>
      <c r="H168" t="n">
        <v>0</v>
      </c>
      <c r="I168" t="n">
        <v>1</v>
      </c>
      <c r="J168" t="n">
        <v>1</v>
      </c>
      <c r="K168" t="n">
        <v>0</v>
      </c>
      <c r="L168" t="n">
        <v>0</v>
      </c>
      <c r="M168" t="n">
        <v>0</v>
      </c>
      <c r="N168" t="n">
        <v>0</v>
      </c>
      <c r="O168" t="n">
        <v>1</v>
      </c>
      <c r="P168" t="n">
        <v>0</v>
      </c>
      <c r="Q168" t="n">
        <v>2</v>
      </c>
      <c r="R168" s="2" t="inlineStr">
        <is>
          <t>Gammelgransskål
Stuplav</t>
        </is>
      </c>
      <c r="S168">
        <f>HYPERLINK("https://klasma.github.io/Logging_2309/artfynd/A 40508-2025 artfynd.xlsx", "A 40508-2025")</f>
        <v/>
      </c>
      <c r="T168">
        <f>HYPERLINK("https://klasma.github.io/Logging_2309/kartor/A 40508-2025 karta.png", "A 40508-2025")</f>
        <v/>
      </c>
      <c r="V168">
        <f>HYPERLINK("https://klasma.github.io/Logging_2309/klagomål/A 40508-2025 FSC-klagomål.docx", "A 40508-2025")</f>
        <v/>
      </c>
      <c r="W168">
        <f>HYPERLINK("https://klasma.github.io/Logging_2309/klagomålsmail/A 40508-2025 FSC-klagomål mail.docx", "A 40508-2025")</f>
        <v/>
      </c>
      <c r="X168">
        <f>HYPERLINK("https://klasma.github.io/Logging_2309/tillsyn/A 40508-2025 tillsynsbegäran.docx", "A 40508-2025")</f>
        <v/>
      </c>
      <c r="Y168">
        <f>HYPERLINK("https://klasma.github.io/Logging_2309/tillsynsmail/A 40508-2025 tillsynsbegäran mail.docx", "A 40508-2025")</f>
        <v/>
      </c>
    </row>
    <row r="169" ht="15" customHeight="1">
      <c r="A169" t="inlineStr">
        <is>
          <t>A 61692-2024</t>
        </is>
      </c>
      <c r="B169" s="1" t="n">
        <v>45647</v>
      </c>
      <c r="C169" s="1" t="n">
        <v>45917</v>
      </c>
      <c r="D169" t="inlineStr">
        <is>
          <t>JÄMTLANDS LÄN</t>
        </is>
      </c>
      <c r="E169" t="inlineStr">
        <is>
          <t>KROKOM</t>
        </is>
      </c>
      <c r="F169" t="inlineStr">
        <is>
          <t>SCA</t>
        </is>
      </c>
      <c r="G169" t="n">
        <v>6.7</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61692-2024 artfynd.xlsx", "A 61692-2024")</f>
        <v/>
      </c>
      <c r="T169">
        <f>HYPERLINK("https://klasma.github.io/Logging_2309/kartor/A 61692-2024 karta.png", "A 61692-2024")</f>
        <v/>
      </c>
      <c r="V169">
        <f>HYPERLINK("https://klasma.github.io/Logging_2309/klagomål/A 61692-2024 FSC-klagomål.docx", "A 61692-2024")</f>
        <v/>
      </c>
      <c r="W169">
        <f>HYPERLINK("https://klasma.github.io/Logging_2309/klagomålsmail/A 61692-2024 FSC-klagomål mail.docx", "A 61692-2024")</f>
        <v/>
      </c>
      <c r="X169">
        <f>HYPERLINK("https://klasma.github.io/Logging_2309/tillsyn/A 61692-2024 tillsynsbegäran.docx", "A 61692-2024")</f>
        <v/>
      </c>
      <c r="Y169">
        <f>HYPERLINK("https://klasma.github.io/Logging_2309/tillsynsmail/A 61692-2024 tillsynsbegäran mail.docx", "A 61692-2024")</f>
        <v/>
      </c>
      <c r="Z169">
        <f>HYPERLINK("https://klasma.github.io/Logging_2309/fåglar/A 61692-2024 prioriterade fågelarter.docx", "A 61692-2024")</f>
        <v/>
      </c>
    </row>
    <row r="170" ht="15" customHeight="1">
      <c r="A170" t="inlineStr">
        <is>
          <t>A 14589-2021</t>
        </is>
      </c>
      <c r="B170" s="1" t="n">
        <v>44279</v>
      </c>
      <c r="C170" s="1" t="n">
        <v>45917</v>
      </c>
      <c r="D170" t="inlineStr">
        <is>
          <t>JÄMTLANDS LÄN</t>
        </is>
      </c>
      <c r="E170" t="inlineStr">
        <is>
          <t>KROKOM</t>
        </is>
      </c>
      <c r="G170" t="n">
        <v>8.800000000000001</v>
      </c>
      <c r="H170" t="n">
        <v>2</v>
      </c>
      <c r="I170" t="n">
        <v>0</v>
      </c>
      <c r="J170" t="n">
        <v>1</v>
      </c>
      <c r="K170" t="n">
        <v>0</v>
      </c>
      <c r="L170" t="n">
        <v>0</v>
      </c>
      <c r="M170" t="n">
        <v>0</v>
      </c>
      <c r="N170" t="n">
        <v>0</v>
      </c>
      <c r="O170" t="n">
        <v>1</v>
      </c>
      <c r="P170" t="n">
        <v>0</v>
      </c>
      <c r="Q170" t="n">
        <v>2</v>
      </c>
      <c r="R170" s="2" t="inlineStr">
        <is>
          <t>Utter
Fläcknycklar</t>
        </is>
      </c>
      <c r="S170">
        <f>HYPERLINK("https://klasma.github.io/Logging_2309/artfynd/A 14589-2021 artfynd.xlsx", "A 14589-2021")</f>
        <v/>
      </c>
      <c r="T170">
        <f>HYPERLINK("https://klasma.github.io/Logging_2309/kartor/A 14589-2021 karta.png", "A 14589-2021")</f>
        <v/>
      </c>
      <c r="V170">
        <f>HYPERLINK("https://klasma.github.io/Logging_2309/klagomål/A 14589-2021 FSC-klagomål.docx", "A 14589-2021")</f>
        <v/>
      </c>
      <c r="W170">
        <f>HYPERLINK("https://klasma.github.io/Logging_2309/klagomålsmail/A 14589-2021 FSC-klagomål mail.docx", "A 14589-2021")</f>
        <v/>
      </c>
      <c r="X170">
        <f>HYPERLINK("https://klasma.github.io/Logging_2309/tillsyn/A 14589-2021 tillsynsbegäran.docx", "A 14589-2021")</f>
        <v/>
      </c>
      <c r="Y170">
        <f>HYPERLINK("https://klasma.github.io/Logging_2309/tillsynsmail/A 14589-2021 tillsynsbegäran mail.docx", "A 14589-2021")</f>
        <v/>
      </c>
    </row>
    <row r="171" ht="15" customHeight="1">
      <c r="A171" t="inlineStr">
        <is>
          <t>A 36011-2025</t>
        </is>
      </c>
      <c r="B171" s="1" t="n">
        <v>45863.59111111111</v>
      </c>
      <c r="C171" s="1" t="n">
        <v>45917</v>
      </c>
      <c r="D171" t="inlineStr">
        <is>
          <t>JÄMTLANDS LÄN</t>
        </is>
      </c>
      <c r="E171" t="inlineStr">
        <is>
          <t>KROKOM</t>
        </is>
      </c>
      <c r="F171" t="inlineStr">
        <is>
          <t>Övriga Aktiebolag</t>
        </is>
      </c>
      <c r="G171" t="n">
        <v>12.2</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HYPERLINK("https://klasma.github.io/Logging_2309/artfynd/A 36011-2025 artfynd.xlsx", "A 36011-2025")</f>
        <v/>
      </c>
      <c r="T171">
        <f>HYPERLINK("https://klasma.github.io/Logging_2309/kartor/A 36011-2025 karta.png", "A 36011-2025")</f>
        <v/>
      </c>
      <c r="V171">
        <f>HYPERLINK("https://klasma.github.io/Logging_2309/klagomål/A 36011-2025 FSC-klagomål.docx", "A 36011-2025")</f>
        <v/>
      </c>
      <c r="W171">
        <f>HYPERLINK("https://klasma.github.io/Logging_2309/klagomålsmail/A 36011-2025 FSC-klagomål mail.docx", "A 36011-2025")</f>
        <v/>
      </c>
      <c r="X171">
        <f>HYPERLINK("https://klasma.github.io/Logging_2309/tillsyn/A 36011-2025 tillsynsbegäran.docx", "A 36011-2025")</f>
        <v/>
      </c>
      <c r="Y171">
        <f>HYPERLINK("https://klasma.github.io/Logging_2309/tillsynsmail/A 36011-2025 tillsynsbegäran mail.docx", "A 36011-2025")</f>
        <v/>
      </c>
      <c r="Z171">
        <f>HYPERLINK("https://klasma.github.io/Logging_2309/fåglar/A 36011-2025 prioriterade fågelarter.docx", "A 36011-2025")</f>
        <v/>
      </c>
    </row>
    <row r="172" ht="15" customHeight="1">
      <c r="A172" t="inlineStr">
        <is>
          <t>A 60419-2024</t>
        </is>
      </c>
      <c r="B172" s="1" t="n">
        <v>45643.53393518519</v>
      </c>
      <c r="C172" s="1" t="n">
        <v>45917</v>
      </c>
      <c r="D172" t="inlineStr">
        <is>
          <t>JÄMTLANDS LÄN</t>
        </is>
      </c>
      <c r="E172" t="inlineStr">
        <is>
          <t>KROKOM</t>
        </is>
      </c>
      <c r="G172" t="n">
        <v>7.9</v>
      </c>
      <c r="H172" t="n">
        <v>1</v>
      </c>
      <c r="I172" t="n">
        <v>2</v>
      </c>
      <c r="J172" t="n">
        <v>0</v>
      </c>
      <c r="K172" t="n">
        <v>0</v>
      </c>
      <c r="L172" t="n">
        <v>0</v>
      </c>
      <c r="M172" t="n">
        <v>0</v>
      </c>
      <c r="N172" t="n">
        <v>0</v>
      </c>
      <c r="O172" t="n">
        <v>0</v>
      </c>
      <c r="P172" t="n">
        <v>0</v>
      </c>
      <c r="Q172" t="n">
        <v>2</v>
      </c>
      <c r="R172" s="2" t="inlineStr">
        <is>
          <t>Grönkulla
Kransrams</t>
        </is>
      </c>
      <c r="S172">
        <f>HYPERLINK("https://klasma.github.io/Logging_2309/artfynd/A 60419-2024 artfynd.xlsx", "A 60419-2024")</f>
        <v/>
      </c>
      <c r="T172">
        <f>HYPERLINK("https://klasma.github.io/Logging_2309/kartor/A 60419-2024 karta.png", "A 60419-2024")</f>
        <v/>
      </c>
      <c r="V172">
        <f>HYPERLINK("https://klasma.github.io/Logging_2309/klagomål/A 60419-2024 FSC-klagomål.docx", "A 60419-2024")</f>
        <v/>
      </c>
      <c r="W172">
        <f>HYPERLINK("https://klasma.github.io/Logging_2309/klagomålsmail/A 60419-2024 FSC-klagomål mail.docx", "A 60419-2024")</f>
        <v/>
      </c>
      <c r="X172">
        <f>HYPERLINK("https://klasma.github.io/Logging_2309/tillsyn/A 60419-2024 tillsynsbegäran.docx", "A 60419-2024")</f>
        <v/>
      </c>
      <c r="Y172">
        <f>HYPERLINK("https://klasma.github.io/Logging_2309/tillsynsmail/A 60419-2024 tillsynsbegäran mail.docx", "A 60419-2024")</f>
        <v/>
      </c>
    </row>
    <row r="173" ht="15" customHeight="1">
      <c r="A173" t="inlineStr">
        <is>
          <t>A 36445-2025</t>
        </is>
      </c>
      <c r="B173" s="1" t="n">
        <v>45869</v>
      </c>
      <c r="C173" s="1" t="n">
        <v>45917</v>
      </c>
      <c r="D173" t="inlineStr">
        <is>
          <t>JÄMTLANDS LÄN</t>
        </is>
      </c>
      <c r="E173" t="inlineStr">
        <is>
          <t>KROKOM</t>
        </is>
      </c>
      <c r="F173" t="inlineStr">
        <is>
          <t>SCA</t>
        </is>
      </c>
      <c r="G173" t="n">
        <v>12.8</v>
      </c>
      <c r="H173" t="n">
        <v>0</v>
      </c>
      <c r="I173" t="n">
        <v>0</v>
      </c>
      <c r="J173" t="n">
        <v>2</v>
      </c>
      <c r="K173" t="n">
        <v>0</v>
      </c>
      <c r="L173" t="n">
        <v>0</v>
      </c>
      <c r="M173" t="n">
        <v>0</v>
      </c>
      <c r="N173" t="n">
        <v>0</v>
      </c>
      <c r="O173" t="n">
        <v>2</v>
      </c>
      <c r="P173" t="n">
        <v>0</v>
      </c>
      <c r="Q173" t="n">
        <v>2</v>
      </c>
      <c r="R173" s="2" t="inlineStr">
        <is>
          <t>Ullticka
Vitgrynig nållav</t>
        </is>
      </c>
      <c r="S173">
        <f>HYPERLINK("https://klasma.github.io/Logging_2309/artfynd/A 36445-2025 artfynd.xlsx", "A 36445-2025")</f>
        <v/>
      </c>
      <c r="T173">
        <f>HYPERLINK("https://klasma.github.io/Logging_2309/kartor/A 36445-2025 karta.png", "A 36445-2025")</f>
        <v/>
      </c>
      <c r="V173">
        <f>HYPERLINK("https://klasma.github.io/Logging_2309/klagomål/A 36445-2025 FSC-klagomål.docx", "A 36445-2025")</f>
        <v/>
      </c>
      <c r="W173">
        <f>HYPERLINK("https://klasma.github.io/Logging_2309/klagomålsmail/A 36445-2025 FSC-klagomål mail.docx", "A 36445-2025")</f>
        <v/>
      </c>
      <c r="X173">
        <f>HYPERLINK("https://klasma.github.io/Logging_2309/tillsyn/A 36445-2025 tillsynsbegäran.docx", "A 36445-2025")</f>
        <v/>
      </c>
      <c r="Y173">
        <f>HYPERLINK("https://klasma.github.io/Logging_2309/tillsynsmail/A 36445-2025 tillsynsbegäran mail.docx", "A 36445-2025")</f>
        <v/>
      </c>
    </row>
    <row r="174" ht="15" customHeight="1">
      <c r="A174" t="inlineStr">
        <is>
          <t>A 62125-2024</t>
        </is>
      </c>
      <c r="B174" s="1" t="n">
        <v>45656.59703703703</v>
      </c>
      <c r="C174" s="1" t="n">
        <v>45917</v>
      </c>
      <c r="D174" t="inlineStr">
        <is>
          <t>JÄMTLANDS LÄN</t>
        </is>
      </c>
      <c r="E174" t="inlineStr">
        <is>
          <t>KROKOM</t>
        </is>
      </c>
      <c r="F174" t="inlineStr">
        <is>
          <t>Övriga Aktiebolag</t>
        </is>
      </c>
      <c r="G174" t="n">
        <v>15.9</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62125-2024 artfynd.xlsx", "A 62125-2024")</f>
        <v/>
      </c>
      <c r="T174">
        <f>HYPERLINK("https://klasma.github.io/Logging_2309/kartor/A 62125-2024 karta.png", "A 62125-2024")</f>
        <v/>
      </c>
      <c r="V174">
        <f>HYPERLINK("https://klasma.github.io/Logging_2309/klagomål/A 62125-2024 FSC-klagomål.docx", "A 62125-2024")</f>
        <v/>
      </c>
      <c r="W174">
        <f>HYPERLINK("https://klasma.github.io/Logging_2309/klagomålsmail/A 62125-2024 FSC-klagomål mail.docx", "A 62125-2024")</f>
        <v/>
      </c>
      <c r="X174">
        <f>HYPERLINK("https://klasma.github.io/Logging_2309/tillsyn/A 62125-2024 tillsynsbegäran.docx", "A 62125-2024")</f>
        <v/>
      </c>
      <c r="Y174">
        <f>HYPERLINK("https://klasma.github.io/Logging_2309/tillsynsmail/A 62125-2024 tillsynsbegäran mail.docx", "A 62125-2024")</f>
        <v/>
      </c>
      <c r="Z174">
        <f>HYPERLINK("https://klasma.github.io/Logging_2309/fåglar/A 62125-2024 prioriterade fågelarter.docx", "A 62125-2024")</f>
        <v/>
      </c>
    </row>
    <row r="175" ht="15" customHeight="1">
      <c r="A175" t="inlineStr">
        <is>
          <t>A 54189-2022</t>
        </is>
      </c>
      <c r="B175" s="1" t="n">
        <v>44879</v>
      </c>
      <c r="C175" s="1" t="n">
        <v>45917</v>
      </c>
      <c r="D175" t="inlineStr">
        <is>
          <t>JÄMTLANDS LÄN</t>
        </is>
      </c>
      <c r="E175" t="inlineStr">
        <is>
          <t>KROKOM</t>
        </is>
      </c>
      <c r="G175" t="n">
        <v>24.1</v>
      </c>
      <c r="H175" t="n">
        <v>0</v>
      </c>
      <c r="I175" t="n">
        <v>0</v>
      </c>
      <c r="J175" t="n">
        <v>1</v>
      </c>
      <c r="K175" t="n">
        <v>1</v>
      </c>
      <c r="L175" t="n">
        <v>0</v>
      </c>
      <c r="M175" t="n">
        <v>0</v>
      </c>
      <c r="N175" t="n">
        <v>0</v>
      </c>
      <c r="O175" t="n">
        <v>2</v>
      </c>
      <c r="P175" t="n">
        <v>1</v>
      </c>
      <c r="Q175" t="n">
        <v>2</v>
      </c>
      <c r="R175" s="2" t="inlineStr">
        <is>
          <t>Ulltickeporing
Ullticka</t>
        </is>
      </c>
      <c r="S175">
        <f>HYPERLINK("https://klasma.github.io/Logging_2309/artfynd/A 54189-2022 artfynd.xlsx", "A 54189-2022")</f>
        <v/>
      </c>
      <c r="T175">
        <f>HYPERLINK("https://klasma.github.io/Logging_2309/kartor/A 54189-2022 karta.png", "A 54189-2022")</f>
        <v/>
      </c>
      <c r="V175">
        <f>HYPERLINK("https://klasma.github.io/Logging_2309/klagomål/A 54189-2022 FSC-klagomål.docx", "A 54189-2022")</f>
        <v/>
      </c>
      <c r="W175">
        <f>HYPERLINK("https://klasma.github.io/Logging_2309/klagomålsmail/A 54189-2022 FSC-klagomål mail.docx", "A 54189-2022")</f>
        <v/>
      </c>
      <c r="X175">
        <f>HYPERLINK("https://klasma.github.io/Logging_2309/tillsyn/A 54189-2022 tillsynsbegäran.docx", "A 54189-2022")</f>
        <v/>
      </c>
      <c r="Y175">
        <f>HYPERLINK("https://klasma.github.io/Logging_2309/tillsynsmail/A 54189-2022 tillsynsbegäran mail.docx", "A 54189-2022")</f>
        <v/>
      </c>
    </row>
    <row r="176" ht="15" customHeight="1">
      <c r="A176" t="inlineStr">
        <is>
          <t>A 52021-2023</t>
        </is>
      </c>
      <c r="B176" s="1" t="n">
        <v>45223</v>
      </c>
      <c r="C176" s="1" t="n">
        <v>45917</v>
      </c>
      <c r="D176" t="inlineStr">
        <is>
          <t>JÄMTLANDS LÄN</t>
        </is>
      </c>
      <c r="E176" t="inlineStr">
        <is>
          <t>KROKOM</t>
        </is>
      </c>
      <c r="F176" t="inlineStr">
        <is>
          <t>Övriga Aktiebolag</t>
        </is>
      </c>
      <c r="G176" t="n">
        <v>1.5</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52021-2023 artfynd.xlsx", "A 52021-2023")</f>
        <v/>
      </c>
      <c r="T176">
        <f>HYPERLINK("https://klasma.github.io/Logging_2309/kartor/A 52021-2023 karta.png", "A 52021-2023")</f>
        <v/>
      </c>
      <c r="V176">
        <f>HYPERLINK("https://klasma.github.io/Logging_2309/klagomål/A 52021-2023 FSC-klagomål.docx", "A 52021-2023")</f>
        <v/>
      </c>
      <c r="W176">
        <f>HYPERLINK("https://klasma.github.io/Logging_2309/klagomålsmail/A 52021-2023 FSC-klagomål mail.docx", "A 52021-2023")</f>
        <v/>
      </c>
      <c r="X176">
        <f>HYPERLINK("https://klasma.github.io/Logging_2309/tillsyn/A 52021-2023 tillsynsbegäran.docx", "A 52021-2023")</f>
        <v/>
      </c>
      <c r="Y176">
        <f>HYPERLINK("https://klasma.github.io/Logging_2309/tillsynsmail/A 52021-2023 tillsynsbegäran mail.docx", "A 52021-2023")</f>
        <v/>
      </c>
      <c r="Z176">
        <f>HYPERLINK("https://klasma.github.io/Logging_2309/fåglar/A 52021-2023 prioriterade fågelarter.docx", "A 52021-2023")</f>
        <v/>
      </c>
    </row>
    <row r="177" ht="15" customHeight="1">
      <c r="A177" t="inlineStr">
        <is>
          <t>A 11984-2024</t>
        </is>
      </c>
      <c r="B177" s="1" t="n">
        <v>45376</v>
      </c>
      <c r="C177" s="1" t="n">
        <v>45917</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23730-2025</t>
        </is>
      </c>
      <c r="B178" s="1" t="n">
        <v>45793.4189699074</v>
      </c>
      <c r="C178" s="1" t="n">
        <v>45917</v>
      </c>
      <c r="D178" t="inlineStr">
        <is>
          <t>JÄMTLANDS LÄN</t>
        </is>
      </c>
      <c r="E178" t="inlineStr">
        <is>
          <t>KROKOM</t>
        </is>
      </c>
      <c r="G178" t="n">
        <v>10.2</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23730-2025 artfynd.xlsx", "A 23730-2025")</f>
        <v/>
      </c>
      <c r="T178">
        <f>HYPERLINK("https://klasma.github.io/Logging_2309/kartor/A 23730-2025 karta.png", "A 23730-2025")</f>
        <v/>
      </c>
      <c r="V178">
        <f>HYPERLINK("https://klasma.github.io/Logging_2309/klagomål/A 23730-2025 FSC-klagomål.docx", "A 23730-2025")</f>
        <v/>
      </c>
      <c r="W178">
        <f>HYPERLINK("https://klasma.github.io/Logging_2309/klagomålsmail/A 23730-2025 FSC-klagomål mail.docx", "A 23730-2025")</f>
        <v/>
      </c>
      <c r="X178">
        <f>HYPERLINK("https://klasma.github.io/Logging_2309/tillsyn/A 23730-2025 tillsynsbegäran.docx", "A 23730-2025")</f>
        <v/>
      </c>
      <c r="Y178">
        <f>HYPERLINK("https://klasma.github.io/Logging_2309/tillsynsmail/A 23730-2025 tillsynsbegäran mail.docx", "A 23730-2025")</f>
        <v/>
      </c>
      <c r="Z178">
        <f>HYPERLINK("https://klasma.github.io/Logging_2309/fåglar/A 23730-2025 prioriterade fågelarter.docx", "A 23730-2025")</f>
        <v/>
      </c>
    </row>
    <row r="179" ht="15" customHeight="1">
      <c r="A179" t="inlineStr">
        <is>
          <t>A 25952-2025</t>
        </is>
      </c>
      <c r="B179" s="1" t="n">
        <v>45804.60005787037</v>
      </c>
      <c r="C179" s="1" t="n">
        <v>45917</v>
      </c>
      <c r="D179" t="inlineStr">
        <is>
          <t>JÄMTLANDS LÄN</t>
        </is>
      </c>
      <c r="E179" t="inlineStr">
        <is>
          <t>KROKOM</t>
        </is>
      </c>
      <c r="G179" t="n">
        <v>18.7</v>
      </c>
      <c r="H179" t="n">
        <v>0</v>
      </c>
      <c r="I179" t="n">
        <v>0</v>
      </c>
      <c r="J179" t="n">
        <v>2</v>
      </c>
      <c r="K179" t="n">
        <v>0</v>
      </c>
      <c r="L179" t="n">
        <v>0</v>
      </c>
      <c r="M179" t="n">
        <v>0</v>
      </c>
      <c r="N179" t="n">
        <v>0</v>
      </c>
      <c r="O179" t="n">
        <v>2</v>
      </c>
      <c r="P179" t="n">
        <v>0</v>
      </c>
      <c r="Q179" t="n">
        <v>2</v>
      </c>
      <c r="R179" s="2" t="inlineStr">
        <is>
          <t>Garnlav
Skrovellav</t>
        </is>
      </c>
      <c r="S179">
        <f>HYPERLINK("https://klasma.github.io/Logging_2309/artfynd/A 25952-2025 artfynd.xlsx", "A 25952-2025")</f>
        <v/>
      </c>
      <c r="T179">
        <f>HYPERLINK("https://klasma.github.io/Logging_2309/kartor/A 25952-2025 karta.png", "A 25952-2025")</f>
        <v/>
      </c>
      <c r="V179">
        <f>HYPERLINK("https://klasma.github.io/Logging_2309/klagomål/A 25952-2025 FSC-klagomål.docx", "A 25952-2025")</f>
        <v/>
      </c>
      <c r="W179">
        <f>HYPERLINK("https://klasma.github.io/Logging_2309/klagomålsmail/A 25952-2025 FSC-klagomål mail.docx", "A 25952-2025")</f>
        <v/>
      </c>
      <c r="X179">
        <f>HYPERLINK("https://klasma.github.io/Logging_2309/tillsyn/A 25952-2025 tillsynsbegäran.docx", "A 25952-2025")</f>
        <v/>
      </c>
      <c r="Y179">
        <f>HYPERLINK("https://klasma.github.io/Logging_2309/tillsynsmail/A 25952-2025 tillsynsbegäran mail.docx", "A 25952-2025")</f>
        <v/>
      </c>
    </row>
    <row r="180" ht="15" customHeight="1">
      <c r="A180" t="inlineStr">
        <is>
          <t>A 40236-2024</t>
        </is>
      </c>
      <c r="B180" s="1" t="n">
        <v>45554</v>
      </c>
      <c r="C180" s="1" t="n">
        <v>45917</v>
      </c>
      <c r="D180" t="inlineStr">
        <is>
          <t>JÄMTLANDS LÄN</t>
        </is>
      </c>
      <c r="E180" t="inlineStr">
        <is>
          <t>KROKOM</t>
        </is>
      </c>
      <c r="F180" t="inlineStr">
        <is>
          <t>Övriga Aktiebolag</t>
        </is>
      </c>
      <c r="G180" t="n">
        <v>6.2</v>
      </c>
      <c r="H180" t="n">
        <v>2</v>
      </c>
      <c r="I180" t="n">
        <v>0</v>
      </c>
      <c r="J180" t="n">
        <v>1</v>
      </c>
      <c r="K180" t="n">
        <v>1</v>
      </c>
      <c r="L180" t="n">
        <v>0</v>
      </c>
      <c r="M180" t="n">
        <v>0</v>
      </c>
      <c r="N180" t="n">
        <v>0</v>
      </c>
      <c r="O180" t="n">
        <v>2</v>
      </c>
      <c r="P180" t="n">
        <v>1</v>
      </c>
      <c r="Q180" t="n">
        <v>2</v>
      </c>
      <c r="R180" s="2" t="inlineStr">
        <is>
          <t>Knärot
Tretåig hackspett</t>
        </is>
      </c>
      <c r="S180">
        <f>HYPERLINK("https://klasma.github.io/Logging_2309/artfynd/A 40236-2024 artfynd.xlsx", "A 40236-2024")</f>
        <v/>
      </c>
      <c r="T180">
        <f>HYPERLINK("https://klasma.github.io/Logging_2309/kartor/A 40236-2024 karta.png", "A 40236-2024")</f>
        <v/>
      </c>
      <c r="U180">
        <f>HYPERLINK("https://klasma.github.io/Logging_2309/knärot/A 40236-2024 karta knärot.png", "A 40236-2024")</f>
        <v/>
      </c>
      <c r="V180">
        <f>HYPERLINK("https://klasma.github.io/Logging_2309/klagomål/A 40236-2024 FSC-klagomål.docx", "A 40236-2024")</f>
        <v/>
      </c>
      <c r="W180">
        <f>HYPERLINK("https://klasma.github.io/Logging_2309/klagomålsmail/A 40236-2024 FSC-klagomål mail.docx", "A 40236-2024")</f>
        <v/>
      </c>
      <c r="X180">
        <f>HYPERLINK("https://klasma.github.io/Logging_2309/tillsyn/A 40236-2024 tillsynsbegäran.docx", "A 40236-2024")</f>
        <v/>
      </c>
      <c r="Y180">
        <f>HYPERLINK("https://klasma.github.io/Logging_2309/tillsynsmail/A 40236-2024 tillsynsbegäran mail.docx", "A 40236-2024")</f>
        <v/>
      </c>
      <c r="Z180">
        <f>HYPERLINK("https://klasma.github.io/Logging_2309/fåglar/A 40236-2024 prioriterade fågelarter.docx", "A 40236-2024")</f>
        <v/>
      </c>
    </row>
    <row r="181" ht="15" customHeight="1">
      <c r="A181" t="inlineStr">
        <is>
          <t>A 1698-2021</t>
        </is>
      </c>
      <c r="B181" s="1" t="n">
        <v>44209</v>
      </c>
      <c r="C181" s="1" t="n">
        <v>45917</v>
      </c>
      <c r="D181" t="inlineStr">
        <is>
          <t>JÄMTLANDS LÄN</t>
        </is>
      </c>
      <c r="E181" t="inlineStr">
        <is>
          <t>KROKOM</t>
        </is>
      </c>
      <c r="G181" t="n">
        <v>21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1698-2021 artfynd.xlsx", "A 1698-2021")</f>
        <v/>
      </c>
      <c r="T181">
        <f>HYPERLINK("https://klasma.github.io/Logging_2309/kartor/A 1698-2021 karta.png", "A 1698-2021")</f>
        <v/>
      </c>
      <c r="V181">
        <f>HYPERLINK("https://klasma.github.io/Logging_2309/klagomål/A 1698-2021 FSC-klagomål.docx", "A 1698-2021")</f>
        <v/>
      </c>
      <c r="W181">
        <f>HYPERLINK("https://klasma.github.io/Logging_2309/klagomålsmail/A 1698-2021 FSC-klagomål mail.docx", "A 1698-2021")</f>
        <v/>
      </c>
      <c r="X181">
        <f>HYPERLINK("https://klasma.github.io/Logging_2309/tillsyn/A 1698-2021 tillsynsbegäran.docx", "A 1698-2021")</f>
        <v/>
      </c>
      <c r="Y181">
        <f>HYPERLINK("https://klasma.github.io/Logging_2309/tillsynsmail/A 1698-2021 tillsynsbegäran mail.docx", "A 1698-2021")</f>
        <v/>
      </c>
      <c r="Z181">
        <f>HYPERLINK("https://klasma.github.io/Logging_2309/fåglar/A 1698-2021 prioriterade fågelarter.docx", "A 1698-2021")</f>
        <v/>
      </c>
    </row>
    <row r="182" ht="15" customHeight="1">
      <c r="A182" t="inlineStr">
        <is>
          <t>A 18032-2022</t>
        </is>
      </c>
      <c r="B182" s="1" t="n">
        <v>44683</v>
      </c>
      <c r="C182" s="1" t="n">
        <v>45917</v>
      </c>
      <c r="D182" t="inlineStr">
        <is>
          <t>JÄMTLANDS LÄN</t>
        </is>
      </c>
      <c r="E182" t="inlineStr">
        <is>
          <t>KROKOM</t>
        </is>
      </c>
      <c r="G182" t="n">
        <v>15.8</v>
      </c>
      <c r="H182" t="n">
        <v>1</v>
      </c>
      <c r="I182" t="n">
        <v>0</v>
      </c>
      <c r="J182" t="n">
        <v>1</v>
      </c>
      <c r="K182" t="n">
        <v>0</v>
      </c>
      <c r="L182" t="n">
        <v>0</v>
      </c>
      <c r="M182" t="n">
        <v>0</v>
      </c>
      <c r="N182" t="n">
        <v>0</v>
      </c>
      <c r="O182" t="n">
        <v>1</v>
      </c>
      <c r="P182" t="n">
        <v>0</v>
      </c>
      <c r="Q182" t="n">
        <v>2</v>
      </c>
      <c r="R182" s="2" t="inlineStr">
        <is>
          <t>Brunklöver
Brudsporre</t>
        </is>
      </c>
      <c r="S182">
        <f>HYPERLINK("https://klasma.github.io/Logging_2309/artfynd/A 18032-2022 artfynd.xlsx", "A 18032-2022")</f>
        <v/>
      </c>
      <c r="T182">
        <f>HYPERLINK("https://klasma.github.io/Logging_2309/kartor/A 18032-2022 karta.png", "A 18032-2022")</f>
        <v/>
      </c>
      <c r="V182">
        <f>HYPERLINK("https://klasma.github.io/Logging_2309/klagomål/A 18032-2022 FSC-klagomål.docx", "A 18032-2022")</f>
        <v/>
      </c>
      <c r="W182">
        <f>HYPERLINK("https://klasma.github.io/Logging_2309/klagomålsmail/A 18032-2022 FSC-klagomål mail.docx", "A 18032-2022")</f>
        <v/>
      </c>
      <c r="X182">
        <f>HYPERLINK("https://klasma.github.io/Logging_2309/tillsyn/A 18032-2022 tillsynsbegäran.docx", "A 18032-2022")</f>
        <v/>
      </c>
      <c r="Y182">
        <f>HYPERLINK("https://klasma.github.io/Logging_2309/tillsynsmail/A 18032-2022 tillsynsbegäran mail.docx", "A 18032-2022")</f>
        <v/>
      </c>
    </row>
    <row r="183" ht="15" customHeight="1">
      <c r="A183" t="inlineStr">
        <is>
          <t>A 48863-2020</t>
        </is>
      </c>
      <c r="B183" s="1" t="n">
        <v>44099</v>
      </c>
      <c r="C183" s="1" t="n">
        <v>45917</v>
      </c>
      <c r="D183" t="inlineStr">
        <is>
          <t>JÄMTLANDS LÄN</t>
        </is>
      </c>
      <c r="E183" t="inlineStr">
        <is>
          <t>KROKOM</t>
        </is>
      </c>
      <c r="F183" t="inlineStr">
        <is>
          <t>SCA</t>
        </is>
      </c>
      <c r="G183" t="n">
        <v>7.2</v>
      </c>
      <c r="H183" t="n">
        <v>0</v>
      </c>
      <c r="I183" t="n">
        <v>0</v>
      </c>
      <c r="J183" t="n">
        <v>0</v>
      </c>
      <c r="K183" t="n">
        <v>1</v>
      </c>
      <c r="L183" t="n">
        <v>0</v>
      </c>
      <c r="M183" t="n">
        <v>0</v>
      </c>
      <c r="N183" t="n">
        <v>0</v>
      </c>
      <c r="O183" t="n">
        <v>1</v>
      </c>
      <c r="P183" t="n">
        <v>1</v>
      </c>
      <c r="Q183" t="n">
        <v>1</v>
      </c>
      <c r="R183" s="2" t="inlineStr">
        <is>
          <t>Fläckporing</t>
        </is>
      </c>
      <c r="S183">
        <f>HYPERLINK("https://klasma.github.io/Logging_2309/artfynd/A 48863-2020 artfynd.xlsx", "A 48863-2020")</f>
        <v/>
      </c>
      <c r="T183">
        <f>HYPERLINK("https://klasma.github.io/Logging_2309/kartor/A 48863-2020 karta.png", "A 48863-2020")</f>
        <v/>
      </c>
      <c r="V183">
        <f>HYPERLINK("https://klasma.github.io/Logging_2309/klagomål/A 48863-2020 FSC-klagomål.docx", "A 48863-2020")</f>
        <v/>
      </c>
      <c r="W183">
        <f>HYPERLINK("https://klasma.github.io/Logging_2309/klagomålsmail/A 48863-2020 FSC-klagomål mail.docx", "A 48863-2020")</f>
        <v/>
      </c>
      <c r="X183">
        <f>HYPERLINK("https://klasma.github.io/Logging_2309/tillsyn/A 48863-2020 tillsynsbegäran.docx", "A 48863-2020")</f>
        <v/>
      </c>
      <c r="Y183">
        <f>HYPERLINK("https://klasma.github.io/Logging_2309/tillsynsmail/A 48863-2020 tillsynsbegäran mail.docx", "A 48863-2020")</f>
        <v/>
      </c>
    </row>
    <row r="184" ht="15" customHeight="1">
      <c r="A184" t="inlineStr">
        <is>
          <t>A 61054-2020</t>
        </is>
      </c>
      <c r="B184" s="1" t="n">
        <v>44154</v>
      </c>
      <c r="C184" s="1" t="n">
        <v>45917</v>
      </c>
      <c r="D184" t="inlineStr">
        <is>
          <t>JÄMTLANDS LÄN</t>
        </is>
      </c>
      <c r="E184" t="inlineStr">
        <is>
          <t>KROKOM</t>
        </is>
      </c>
      <c r="F184" t="inlineStr">
        <is>
          <t>Övriga Aktiebolag</t>
        </is>
      </c>
      <c r="G184" t="n">
        <v>1.2</v>
      </c>
      <c r="H184" t="n">
        <v>1</v>
      </c>
      <c r="I184" t="n">
        <v>1</v>
      </c>
      <c r="J184" t="n">
        <v>0</v>
      </c>
      <c r="K184" t="n">
        <v>0</v>
      </c>
      <c r="L184" t="n">
        <v>0</v>
      </c>
      <c r="M184" t="n">
        <v>0</v>
      </c>
      <c r="N184" t="n">
        <v>0</v>
      </c>
      <c r="O184" t="n">
        <v>0</v>
      </c>
      <c r="P184" t="n">
        <v>0</v>
      </c>
      <c r="Q184" t="n">
        <v>1</v>
      </c>
      <c r="R184" s="2" t="inlineStr">
        <is>
          <t>Korallrot</t>
        </is>
      </c>
      <c r="S184">
        <f>HYPERLINK("https://klasma.github.io/Logging_2309/artfynd/A 61054-2020 artfynd.xlsx", "A 61054-2020")</f>
        <v/>
      </c>
      <c r="T184">
        <f>HYPERLINK("https://klasma.github.io/Logging_2309/kartor/A 61054-2020 karta.png", "A 61054-2020")</f>
        <v/>
      </c>
      <c r="V184">
        <f>HYPERLINK("https://klasma.github.io/Logging_2309/klagomål/A 61054-2020 FSC-klagomål.docx", "A 61054-2020")</f>
        <v/>
      </c>
      <c r="W184">
        <f>HYPERLINK("https://klasma.github.io/Logging_2309/klagomålsmail/A 61054-2020 FSC-klagomål mail.docx", "A 61054-2020")</f>
        <v/>
      </c>
      <c r="X184">
        <f>HYPERLINK("https://klasma.github.io/Logging_2309/tillsyn/A 61054-2020 tillsynsbegäran.docx", "A 61054-2020")</f>
        <v/>
      </c>
      <c r="Y184">
        <f>HYPERLINK("https://klasma.github.io/Logging_2309/tillsynsmail/A 61054-2020 tillsynsbegäran mail.docx", "A 61054-2020")</f>
        <v/>
      </c>
    </row>
    <row r="185" ht="15" customHeight="1">
      <c r="A185" t="inlineStr">
        <is>
          <t>A 64951-2021</t>
        </is>
      </c>
      <c r="B185" s="1" t="n">
        <v>44512</v>
      </c>
      <c r="C185" s="1" t="n">
        <v>45917</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45917</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45917</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45917</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1112-2021</t>
        </is>
      </c>
      <c r="B189" s="1" t="n">
        <v>44207</v>
      </c>
      <c r="C189" s="1" t="n">
        <v>45917</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35246-2022</t>
        </is>
      </c>
      <c r="B190" s="1" t="n">
        <v>44797</v>
      </c>
      <c r="C190" s="1" t="n">
        <v>45917</v>
      </c>
      <c r="D190" t="inlineStr">
        <is>
          <t>JÄMTLANDS LÄN</t>
        </is>
      </c>
      <c r="E190" t="inlineStr">
        <is>
          <t>KROKOM</t>
        </is>
      </c>
      <c r="G190" t="n">
        <v>29.4</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35246-2022 artfynd.xlsx", "A 35246-2022")</f>
        <v/>
      </c>
      <c r="T190">
        <f>HYPERLINK("https://klasma.github.io/Logging_2309/kartor/A 35246-2022 karta.png", "A 35246-2022")</f>
        <v/>
      </c>
      <c r="V190">
        <f>HYPERLINK("https://klasma.github.io/Logging_2309/klagomål/A 35246-2022 FSC-klagomål.docx", "A 35246-2022")</f>
        <v/>
      </c>
      <c r="W190">
        <f>HYPERLINK("https://klasma.github.io/Logging_2309/klagomålsmail/A 35246-2022 FSC-klagomål mail.docx", "A 35246-2022")</f>
        <v/>
      </c>
      <c r="X190">
        <f>HYPERLINK("https://klasma.github.io/Logging_2309/tillsyn/A 35246-2022 tillsynsbegäran.docx", "A 35246-2022")</f>
        <v/>
      </c>
      <c r="Y190">
        <f>HYPERLINK("https://klasma.github.io/Logging_2309/tillsynsmail/A 35246-2022 tillsynsbegäran mail.docx", "A 35246-2022")</f>
        <v/>
      </c>
      <c r="Z190">
        <f>HYPERLINK("https://klasma.github.io/Logging_2309/fåglar/A 35246-2022 prioriterade fågelarter.docx", "A 35246-2022")</f>
        <v/>
      </c>
    </row>
    <row r="191" ht="15" customHeight="1">
      <c r="A191" t="inlineStr">
        <is>
          <t>A 27579-2022</t>
        </is>
      </c>
      <c r="B191" s="1" t="n">
        <v>44742</v>
      </c>
      <c r="C191" s="1" t="n">
        <v>45917</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33347-2021</t>
        </is>
      </c>
      <c r="B192" s="1" t="n">
        <v>44377</v>
      </c>
      <c r="C192" s="1" t="n">
        <v>45917</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25041-2022</t>
        </is>
      </c>
      <c r="B193" s="1" t="n">
        <v>44728</v>
      </c>
      <c r="C193" s="1" t="n">
        <v>45917</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61240-2024</t>
        </is>
      </c>
      <c r="B194" s="1" t="n">
        <v>45645.67945601852</v>
      </c>
      <c r="C194" s="1" t="n">
        <v>45917</v>
      </c>
      <c r="D194" t="inlineStr">
        <is>
          <t>JÄMTLANDS LÄN</t>
        </is>
      </c>
      <c r="E194" t="inlineStr">
        <is>
          <t>KROKOM</t>
        </is>
      </c>
      <c r="G194" t="n">
        <v>5.7</v>
      </c>
      <c r="H194" t="n">
        <v>1</v>
      </c>
      <c r="I194" t="n">
        <v>0</v>
      </c>
      <c r="J194" t="n">
        <v>0</v>
      </c>
      <c r="K194" t="n">
        <v>0</v>
      </c>
      <c r="L194" t="n">
        <v>0</v>
      </c>
      <c r="M194" t="n">
        <v>0</v>
      </c>
      <c r="N194" t="n">
        <v>0</v>
      </c>
      <c r="O194" t="n">
        <v>0</v>
      </c>
      <c r="P194" t="n">
        <v>0</v>
      </c>
      <c r="Q194" t="n">
        <v>1</v>
      </c>
      <c r="R194" s="2" t="inlineStr">
        <is>
          <t>Pärluggla</t>
        </is>
      </c>
      <c r="S194">
        <f>HYPERLINK("https://klasma.github.io/Logging_2309/artfynd/A 61240-2024 artfynd.xlsx", "A 61240-2024")</f>
        <v/>
      </c>
      <c r="T194">
        <f>HYPERLINK("https://klasma.github.io/Logging_2309/kartor/A 61240-2024 karta.png", "A 61240-2024")</f>
        <v/>
      </c>
      <c r="V194">
        <f>HYPERLINK("https://klasma.github.io/Logging_2309/klagomål/A 61240-2024 FSC-klagomål.docx", "A 61240-2024")</f>
        <v/>
      </c>
      <c r="W194">
        <f>HYPERLINK("https://klasma.github.io/Logging_2309/klagomålsmail/A 61240-2024 FSC-klagomål mail.docx", "A 61240-2024")</f>
        <v/>
      </c>
      <c r="X194">
        <f>HYPERLINK("https://klasma.github.io/Logging_2309/tillsyn/A 61240-2024 tillsynsbegäran.docx", "A 61240-2024")</f>
        <v/>
      </c>
      <c r="Y194">
        <f>HYPERLINK("https://klasma.github.io/Logging_2309/tillsynsmail/A 61240-2024 tillsynsbegäran mail.docx", "A 61240-2024")</f>
        <v/>
      </c>
      <c r="Z194">
        <f>HYPERLINK("https://klasma.github.io/Logging_2309/fåglar/A 61240-2024 prioriterade fågelarter.docx", "A 61240-2024")</f>
        <v/>
      </c>
    </row>
    <row r="195" ht="15" customHeight="1">
      <c r="A195" t="inlineStr">
        <is>
          <t>A 11413-2022</t>
        </is>
      </c>
      <c r="B195" s="1" t="n">
        <v>44630</v>
      </c>
      <c r="C195" s="1" t="n">
        <v>45917</v>
      </c>
      <c r="D195" t="inlineStr">
        <is>
          <t>JÄMTLANDS LÄN</t>
        </is>
      </c>
      <c r="E195" t="inlineStr">
        <is>
          <t>KROKOM</t>
        </is>
      </c>
      <c r="G195" t="n">
        <v>0.7</v>
      </c>
      <c r="H195" t="n">
        <v>1</v>
      </c>
      <c r="I195" t="n">
        <v>0</v>
      </c>
      <c r="J195" t="n">
        <v>1</v>
      </c>
      <c r="K195" t="n">
        <v>0</v>
      </c>
      <c r="L195" t="n">
        <v>0</v>
      </c>
      <c r="M195" t="n">
        <v>0</v>
      </c>
      <c r="N195" t="n">
        <v>0</v>
      </c>
      <c r="O195" t="n">
        <v>1</v>
      </c>
      <c r="P195" t="n">
        <v>0</v>
      </c>
      <c r="Q195" t="n">
        <v>1</v>
      </c>
      <c r="R195" s="2" t="inlineStr">
        <is>
          <t>Talltita</t>
        </is>
      </c>
      <c r="S195">
        <f>HYPERLINK("https://klasma.github.io/Logging_2309/artfynd/A 11413-2022 artfynd.xlsx", "A 11413-2022")</f>
        <v/>
      </c>
      <c r="T195">
        <f>HYPERLINK("https://klasma.github.io/Logging_2309/kartor/A 11413-2022 karta.png", "A 11413-2022")</f>
        <v/>
      </c>
      <c r="V195">
        <f>HYPERLINK("https://klasma.github.io/Logging_2309/klagomål/A 11413-2022 FSC-klagomål.docx", "A 11413-2022")</f>
        <v/>
      </c>
      <c r="W195">
        <f>HYPERLINK("https://klasma.github.io/Logging_2309/klagomålsmail/A 11413-2022 FSC-klagomål mail.docx", "A 11413-2022")</f>
        <v/>
      </c>
      <c r="X195">
        <f>HYPERLINK("https://klasma.github.io/Logging_2309/tillsyn/A 11413-2022 tillsynsbegäran.docx", "A 11413-2022")</f>
        <v/>
      </c>
      <c r="Y195">
        <f>HYPERLINK("https://klasma.github.io/Logging_2309/tillsynsmail/A 11413-2022 tillsynsbegäran mail.docx", "A 11413-2022")</f>
        <v/>
      </c>
      <c r="Z195">
        <f>HYPERLINK("https://klasma.github.io/Logging_2309/fåglar/A 11413-2022 prioriterade fågelarter.docx", "A 11413-2022")</f>
        <v/>
      </c>
    </row>
    <row r="196" ht="15" customHeight="1">
      <c r="A196" t="inlineStr">
        <is>
          <t>A 36639-2023</t>
        </is>
      </c>
      <c r="B196" s="1" t="n">
        <v>45153</v>
      </c>
      <c r="C196" s="1" t="n">
        <v>45917</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28660-2025</t>
        </is>
      </c>
      <c r="B197" s="1" t="n">
        <v>45819.65796296296</v>
      </c>
      <c r="C197" s="1" t="n">
        <v>45917</v>
      </c>
      <c r="D197" t="inlineStr">
        <is>
          <t>JÄMTLANDS LÄN</t>
        </is>
      </c>
      <c r="E197" t="inlineStr">
        <is>
          <t>KROKOM</t>
        </is>
      </c>
      <c r="G197" t="n">
        <v>8.1</v>
      </c>
      <c r="H197" t="n">
        <v>1</v>
      </c>
      <c r="I197" t="n">
        <v>1</v>
      </c>
      <c r="J197" t="n">
        <v>0</v>
      </c>
      <c r="K197" t="n">
        <v>0</v>
      </c>
      <c r="L197" t="n">
        <v>0</v>
      </c>
      <c r="M197" t="n">
        <v>0</v>
      </c>
      <c r="N197" t="n">
        <v>0</v>
      </c>
      <c r="O197" t="n">
        <v>0</v>
      </c>
      <c r="P197" t="n">
        <v>0</v>
      </c>
      <c r="Q197" t="n">
        <v>1</v>
      </c>
      <c r="R197" s="2" t="inlineStr">
        <is>
          <t>Spindelblomster</t>
        </is>
      </c>
      <c r="S197">
        <f>HYPERLINK("https://klasma.github.io/Logging_2309/artfynd/A 28660-2025 artfynd.xlsx", "A 28660-2025")</f>
        <v/>
      </c>
      <c r="T197">
        <f>HYPERLINK("https://klasma.github.io/Logging_2309/kartor/A 28660-2025 karta.png", "A 28660-2025")</f>
        <v/>
      </c>
      <c r="V197">
        <f>HYPERLINK("https://klasma.github.io/Logging_2309/klagomål/A 28660-2025 FSC-klagomål.docx", "A 28660-2025")</f>
        <v/>
      </c>
      <c r="W197">
        <f>HYPERLINK("https://klasma.github.io/Logging_2309/klagomålsmail/A 28660-2025 FSC-klagomål mail.docx", "A 28660-2025")</f>
        <v/>
      </c>
      <c r="X197">
        <f>HYPERLINK("https://klasma.github.io/Logging_2309/tillsyn/A 28660-2025 tillsynsbegäran.docx", "A 28660-2025")</f>
        <v/>
      </c>
      <c r="Y197">
        <f>HYPERLINK("https://klasma.github.io/Logging_2309/tillsynsmail/A 28660-2025 tillsynsbegäran mail.docx", "A 28660-2025")</f>
        <v/>
      </c>
    </row>
    <row r="198" ht="15" customHeight="1">
      <c r="A198" t="inlineStr">
        <is>
          <t>A 29941-2025</t>
        </is>
      </c>
      <c r="B198" s="1" t="n">
        <v>45826.45174768518</v>
      </c>
      <c r="C198" s="1" t="n">
        <v>45917</v>
      </c>
      <c r="D198" t="inlineStr">
        <is>
          <t>JÄMTLANDS LÄN</t>
        </is>
      </c>
      <c r="E198" t="inlineStr">
        <is>
          <t>KROKOM</t>
        </is>
      </c>
      <c r="G198" t="n">
        <v>12.4</v>
      </c>
      <c r="H198" t="n">
        <v>0</v>
      </c>
      <c r="I198" t="n">
        <v>0</v>
      </c>
      <c r="J198" t="n">
        <v>0</v>
      </c>
      <c r="K198" t="n">
        <v>0</v>
      </c>
      <c r="L198" t="n">
        <v>1</v>
      </c>
      <c r="M198" t="n">
        <v>0</v>
      </c>
      <c r="N198" t="n">
        <v>0</v>
      </c>
      <c r="O198" t="n">
        <v>1</v>
      </c>
      <c r="P198" t="n">
        <v>1</v>
      </c>
      <c r="Q198" t="n">
        <v>1</v>
      </c>
      <c r="R198" s="2" t="inlineStr">
        <is>
          <t>Lilafotad fingersvamp</t>
        </is>
      </c>
      <c r="S198">
        <f>HYPERLINK("https://klasma.github.io/Logging_2309/artfynd/A 29941-2025 artfynd.xlsx", "A 29941-2025")</f>
        <v/>
      </c>
      <c r="T198">
        <f>HYPERLINK("https://klasma.github.io/Logging_2309/kartor/A 29941-2025 karta.png", "A 29941-2025")</f>
        <v/>
      </c>
      <c r="V198">
        <f>HYPERLINK("https://klasma.github.io/Logging_2309/klagomål/A 29941-2025 FSC-klagomål.docx", "A 29941-2025")</f>
        <v/>
      </c>
      <c r="W198">
        <f>HYPERLINK("https://klasma.github.io/Logging_2309/klagomålsmail/A 29941-2025 FSC-klagomål mail.docx", "A 29941-2025")</f>
        <v/>
      </c>
      <c r="X198">
        <f>HYPERLINK("https://klasma.github.io/Logging_2309/tillsyn/A 29941-2025 tillsynsbegäran.docx", "A 29941-2025")</f>
        <v/>
      </c>
      <c r="Y198">
        <f>HYPERLINK("https://klasma.github.io/Logging_2309/tillsynsmail/A 29941-2025 tillsynsbegäran mail.docx", "A 29941-2025")</f>
        <v/>
      </c>
    </row>
    <row r="199" ht="15" customHeight="1">
      <c r="A199" t="inlineStr">
        <is>
          <t>A 52486-2024</t>
        </is>
      </c>
      <c r="B199" s="1" t="n">
        <v>45609</v>
      </c>
      <c r="C199" s="1" t="n">
        <v>45917</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52486-2024 artfynd.xlsx", "A 52486-2024")</f>
        <v/>
      </c>
      <c r="T199">
        <f>HYPERLINK("https://klasma.github.io/Logging_2309/kartor/A 52486-2024 karta.png", "A 52486-2024")</f>
        <v/>
      </c>
      <c r="V199">
        <f>HYPERLINK("https://klasma.github.io/Logging_2309/klagomål/A 52486-2024 FSC-klagomål.docx", "A 52486-2024")</f>
        <v/>
      </c>
      <c r="W199">
        <f>HYPERLINK("https://klasma.github.io/Logging_2309/klagomålsmail/A 52486-2024 FSC-klagomål mail.docx", "A 52486-2024")</f>
        <v/>
      </c>
      <c r="X199">
        <f>HYPERLINK("https://klasma.github.io/Logging_2309/tillsyn/A 52486-2024 tillsynsbegäran.docx", "A 52486-2024")</f>
        <v/>
      </c>
      <c r="Y199">
        <f>HYPERLINK("https://klasma.github.io/Logging_2309/tillsynsmail/A 52486-2024 tillsynsbegäran mail.docx", "A 52486-2024")</f>
        <v/>
      </c>
      <c r="Z199">
        <f>HYPERLINK("https://klasma.github.io/Logging_2309/fåglar/A 52486-2024 prioriterade fågelarter.docx", "A 52486-2024")</f>
        <v/>
      </c>
    </row>
    <row r="200" ht="15" customHeight="1">
      <c r="A200" t="inlineStr">
        <is>
          <t>A 49175-2024</t>
        </is>
      </c>
      <c r="B200" s="1" t="n">
        <v>45595</v>
      </c>
      <c r="C200" s="1" t="n">
        <v>45917</v>
      </c>
      <c r="D200" t="inlineStr">
        <is>
          <t>JÄMTLANDS LÄN</t>
        </is>
      </c>
      <c r="E200" t="inlineStr">
        <is>
          <t>KROKOM</t>
        </is>
      </c>
      <c r="G200" t="n">
        <v>172.9</v>
      </c>
      <c r="H200" t="n">
        <v>0</v>
      </c>
      <c r="I200" t="n">
        <v>0</v>
      </c>
      <c r="J200" t="n">
        <v>1</v>
      </c>
      <c r="K200" t="n">
        <v>0</v>
      </c>
      <c r="L200" t="n">
        <v>0</v>
      </c>
      <c r="M200" t="n">
        <v>0</v>
      </c>
      <c r="N200" t="n">
        <v>0</v>
      </c>
      <c r="O200" t="n">
        <v>1</v>
      </c>
      <c r="P200" t="n">
        <v>0</v>
      </c>
      <c r="Q200" t="n">
        <v>1</v>
      </c>
      <c r="R200" s="2" t="inlineStr">
        <is>
          <t>Granticka</t>
        </is>
      </c>
      <c r="S200">
        <f>HYPERLINK("https://klasma.github.io/Logging_2309/artfynd/A 49175-2024 artfynd.xlsx", "A 49175-2024")</f>
        <v/>
      </c>
      <c r="T200">
        <f>HYPERLINK("https://klasma.github.io/Logging_2309/kartor/A 49175-2024 karta.png", "A 49175-2024")</f>
        <v/>
      </c>
      <c r="V200">
        <f>HYPERLINK("https://klasma.github.io/Logging_2309/klagomål/A 49175-2024 FSC-klagomål.docx", "A 49175-2024")</f>
        <v/>
      </c>
      <c r="W200">
        <f>HYPERLINK("https://klasma.github.io/Logging_2309/klagomålsmail/A 49175-2024 FSC-klagomål mail.docx", "A 49175-2024")</f>
        <v/>
      </c>
      <c r="X200">
        <f>HYPERLINK("https://klasma.github.io/Logging_2309/tillsyn/A 49175-2024 tillsynsbegäran.docx", "A 49175-2024")</f>
        <v/>
      </c>
      <c r="Y200">
        <f>HYPERLINK("https://klasma.github.io/Logging_2309/tillsynsmail/A 49175-2024 tillsynsbegäran mail.docx", "A 49175-2024")</f>
        <v/>
      </c>
    </row>
    <row r="201" ht="15" customHeight="1">
      <c r="A201" t="inlineStr">
        <is>
          <t>A 32656-2025</t>
        </is>
      </c>
      <c r="B201" s="1" t="n">
        <v>45838.67815972222</v>
      </c>
      <c r="C201" s="1" t="n">
        <v>45917</v>
      </c>
      <c r="D201" t="inlineStr">
        <is>
          <t>JÄMTLANDS LÄN</t>
        </is>
      </c>
      <c r="E201" t="inlineStr">
        <is>
          <t>KROKOM</t>
        </is>
      </c>
      <c r="F201" t="inlineStr">
        <is>
          <t>SCA</t>
        </is>
      </c>
      <c r="G201" t="n">
        <v>9.1</v>
      </c>
      <c r="H201" t="n">
        <v>0</v>
      </c>
      <c r="I201" t="n">
        <v>0</v>
      </c>
      <c r="J201" t="n">
        <v>1</v>
      </c>
      <c r="K201" t="n">
        <v>0</v>
      </c>
      <c r="L201" t="n">
        <v>0</v>
      </c>
      <c r="M201" t="n">
        <v>0</v>
      </c>
      <c r="N201" t="n">
        <v>0</v>
      </c>
      <c r="O201" t="n">
        <v>1</v>
      </c>
      <c r="P201" t="n">
        <v>0</v>
      </c>
      <c r="Q201" t="n">
        <v>1</v>
      </c>
      <c r="R201" s="2" t="inlineStr">
        <is>
          <t>Skrovellav</t>
        </is>
      </c>
      <c r="S201">
        <f>HYPERLINK("https://klasma.github.io/Logging_2309/artfynd/A 32656-2025 artfynd.xlsx", "A 32656-2025")</f>
        <v/>
      </c>
      <c r="T201">
        <f>HYPERLINK("https://klasma.github.io/Logging_2309/kartor/A 32656-2025 karta.png", "A 32656-2025")</f>
        <v/>
      </c>
      <c r="V201">
        <f>HYPERLINK("https://klasma.github.io/Logging_2309/klagomål/A 32656-2025 FSC-klagomål.docx", "A 32656-2025")</f>
        <v/>
      </c>
      <c r="W201">
        <f>HYPERLINK("https://klasma.github.io/Logging_2309/klagomålsmail/A 32656-2025 FSC-klagomål mail.docx", "A 32656-2025")</f>
        <v/>
      </c>
      <c r="X201">
        <f>HYPERLINK("https://klasma.github.io/Logging_2309/tillsyn/A 32656-2025 tillsynsbegäran.docx", "A 32656-2025")</f>
        <v/>
      </c>
      <c r="Y201">
        <f>HYPERLINK("https://klasma.github.io/Logging_2309/tillsynsmail/A 32656-2025 tillsynsbegäran mail.docx", "A 32656-2025")</f>
        <v/>
      </c>
    </row>
    <row r="202" ht="15" customHeight="1">
      <c r="A202" t="inlineStr">
        <is>
          <t>A 32465-2025</t>
        </is>
      </c>
      <c r="B202" s="1" t="n">
        <v>45838</v>
      </c>
      <c r="C202" s="1" t="n">
        <v>45917</v>
      </c>
      <c r="D202" t="inlineStr">
        <is>
          <t>JÄMTLANDS LÄN</t>
        </is>
      </c>
      <c r="E202" t="inlineStr">
        <is>
          <t>KROKOM</t>
        </is>
      </c>
      <c r="G202" t="n">
        <v>3.3</v>
      </c>
      <c r="H202" t="n">
        <v>1</v>
      </c>
      <c r="I202" t="n">
        <v>0</v>
      </c>
      <c r="J202" t="n">
        <v>0</v>
      </c>
      <c r="K202" t="n">
        <v>0</v>
      </c>
      <c r="L202" t="n">
        <v>0</v>
      </c>
      <c r="M202" t="n">
        <v>0</v>
      </c>
      <c r="N202" t="n">
        <v>0</v>
      </c>
      <c r="O202" t="n">
        <v>0</v>
      </c>
      <c r="P202" t="n">
        <v>0</v>
      </c>
      <c r="Q202" t="n">
        <v>1</v>
      </c>
      <c r="R202" s="2" t="inlineStr">
        <is>
          <t>Blåsippa</t>
        </is>
      </c>
      <c r="S202">
        <f>HYPERLINK("https://klasma.github.io/Logging_2309/artfynd/A 32465-2025 artfynd.xlsx", "A 32465-2025")</f>
        <v/>
      </c>
      <c r="T202">
        <f>HYPERLINK("https://klasma.github.io/Logging_2309/kartor/A 32465-2025 karta.png", "A 32465-2025")</f>
        <v/>
      </c>
      <c r="V202">
        <f>HYPERLINK("https://klasma.github.io/Logging_2309/klagomål/A 32465-2025 FSC-klagomål.docx", "A 32465-2025")</f>
        <v/>
      </c>
      <c r="W202">
        <f>HYPERLINK("https://klasma.github.io/Logging_2309/klagomålsmail/A 32465-2025 FSC-klagomål mail.docx", "A 32465-2025")</f>
        <v/>
      </c>
      <c r="X202">
        <f>HYPERLINK("https://klasma.github.io/Logging_2309/tillsyn/A 32465-2025 tillsynsbegäran.docx", "A 32465-2025")</f>
        <v/>
      </c>
      <c r="Y202">
        <f>HYPERLINK("https://klasma.github.io/Logging_2309/tillsynsmail/A 32465-2025 tillsynsbegäran mail.docx", "A 32465-2025")</f>
        <v/>
      </c>
    </row>
    <row r="203" ht="15" customHeight="1">
      <c r="A203" t="inlineStr">
        <is>
          <t>A 32888-2025</t>
        </is>
      </c>
      <c r="B203" s="1" t="n">
        <v>45839.60460648148</v>
      </c>
      <c r="C203" s="1" t="n">
        <v>45917</v>
      </c>
      <c r="D203" t="inlineStr">
        <is>
          <t>JÄMTLANDS LÄN</t>
        </is>
      </c>
      <c r="E203" t="inlineStr">
        <is>
          <t>KROKOM</t>
        </is>
      </c>
      <c r="G203" t="n">
        <v>6.3</v>
      </c>
      <c r="H203" t="n">
        <v>1</v>
      </c>
      <c r="I203" t="n">
        <v>0</v>
      </c>
      <c r="J203" t="n">
        <v>0</v>
      </c>
      <c r="K203" t="n">
        <v>0</v>
      </c>
      <c r="L203" t="n">
        <v>0</v>
      </c>
      <c r="M203" t="n">
        <v>0</v>
      </c>
      <c r="N203" t="n">
        <v>0</v>
      </c>
      <c r="O203" t="n">
        <v>0</v>
      </c>
      <c r="P203" t="n">
        <v>0</v>
      </c>
      <c r="Q203" t="n">
        <v>1</v>
      </c>
      <c r="R203" s="2" t="inlineStr">
        <is>
          <t>Revlummer</t>
        </is>
      </c>
      <c r="S203">
        <f>HYPERLINK("https://klasma.github.io/Logging_2309/artfynd/A 32888-2025 artfynd.xlsx", "A 32888-2025")</f>
        <v/>
      </c>
      <c r="T203">
        <f>HYPERLINK("https://klasma.github.io/Logging_2309/kartor/A 32888-2025 karta.png", "A 32888-2025")</f>
        <v/>
      </c>
      <c r="V203">
        <f>HYPERLINK("https://klasma.github.io/Logging_2309/klagomål/A 32888-2025 FSC-klagomål.docx", "A 32888-2025")</f>
        <v/>
      </c>
      <c r="W203">
        <f>HYPERLINK("https://klasma.github.io/Logging_2309/klagomålsmail/A 32888-2025 FSC-klagomål mail.docx", "A 32888-2025")</f>
        <v/>
      </c>
      <c r="X203">
        <f>HYPERLINK("https://klasma.github.io/Logging_2309/tillsyn/A 32888-2025 tillsynsbegäran.docx", "A 32888-2025")</f>
        <v/>
      </c>
      <c r="Y203">
        <f>HYPERLINK("https://klasma.github.io/Logging_2309/tillsynsmail/A 32888-2025 tillsynsbegäran mail.docx", "A 32888-2025")</f>
        <v/>
      </c>
    </row>
    <row r="204" ht="15" customHeight="1">
      <c r="A204" t="inlineStr">
        <is>
          <t>A 7208-2025</t>
        </is>
      </c>
      <c r="B204" s="1" t="n">
        <v>45702.47149305556</v>
      </c>
      <c r="C204" s="1" t="n">
        <v>45917</v>
      </c>
      <c r="D204" t="inlineStr">
        <is>
          <t>JÄMTLANDS LÄN</t>
        </is>
      </c>
      <c r="E204" t="inlineStr">
        <is>
          <t>KROKOM</t>
        </is>
      </c>
      <c r="F204" t="inlineStr">
        <is>
          <t>Övriga Aktiebolag</t>
        </is>
      </c>
      <c r="G204" t="n">
        <v>39.4</v>
      </c>
      <c r="H204" t="n">
        <v>0</v>
      </c>
      <c r="I204" t="n">
        <v>0</v>
      </c>
      <c r="J204" t="n">
        <v>1</v>
      </c>
      <c r="K204" t="n">
        <v>0</v>
      </c>
      <c r="L204" t="n">
        <v>0</v>
      </c>
      <c r="M204" t="n">
        <v>0</v>
      </c>
      <c r="N204" t="n">
        <v>0</v>
      </c>
      <c r="O204" t="n">
        <v>1</v>
      </c>
      <c r="P204" t="n">
        <v>0</v>
      </c>
      <c r="Q204" t="n">
        <v>1</v>
      </c>
      <c r="R204" s="2" t="inlineStr">
        <is>
          <t>Ullticka</t>
        </is>
      </c>
      <c r="S204">
        <f>HYPERLINK("https://klasma.github.io/Logging_2309/artfynd/A 7208-2025 artfynd.xlsx", "A 7208-2025")</f>
        <v/>
      </c>
      <c r="T204">
        <f>HYPERLINK("https://klasma.github.io/Logging_2309/kartor/A 7208-2025 karta.png", "A 7208-2025")</f>
        <v/>
      </c>
      <c r="V204">
        <f>HYPERLINK("https://klasma.github.io/Logging_2309/klagomål/A 7208-2025 FSC-klagomål.docx", "A 7208-2025")</f>
        <v/>
      </c>
      <c r="W204">
        <f>HYPERLINK("https://klasma.github.io/Logging_2309/klagomålsmail/A 7208-2025 FSC-klagomål mail.docx", "A 7208-2025")</f>
        <v/>
      </c>
      <c r="X204">
        <f>HYPERLINK("https://klasma.github.io/Logging_2309/tillsyn/A 7208-2025 tillsynsbegäran.docx", "A 7208-2025")</f>
        <v/>
      </c>
      <c r="Y204">
        <f>HYPERLINK("https://klasma.github.io/Logging_2309/tillsynsmail/A 7208-2025 tillsynsbegäran mail.docx", "A 7208-2025")</f>
        <v/>
      </c>
    </row>
    <row r="205" ht="15" customHeight="1">
      <c r="A205" t="inlineStr">
        <is>
          <t>A 806-2022</t>
        </is>
      </c>
      <c r="B205" s="1" t="n">
        <v>44568</v>
      </c>
      <c r="C205" s="1" t="n">
        <v>45917</v>
      </c>
      <c r="D205" t="inlineStr">
        <is>
          <t>JÄMTLANDS LÄN</t>
        </is>
      </c>
      <c r="E205" t="inlineStr">
        <is>
          <t>KROKOM</t>
        </is>
      </c>
      <c r="G205" t="n">
        <v>46.8</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806-2022 artfynd.xlsx", "A 806-2022")</f>
        <v/>
      </c>
      <c r="T205">
        <f>HYPERLINK("https://klasma.github.io/Logging_2309/kartor/A 806-2022 karta.png", "A 806-2022")</f>
        <v/>
      </c>
      <c r="V205">
        <f>HYPERLINK("https://klasma.github.io/Logging_2309/klagomål/A 806-2022 FSC-klagomål.docx", "A 806-2022")</f>
        <v/>
      </c>
      <c r="W205">
        <f>HYPERLINK("https://klasma.github.io/Logging_2309/klagomålsmail/A 806-2022 FSC-klagomål mail.docx", "A 806-2022")</f>
        <v/>
      </c>
      <c r="X205">
        <f>HYPERLINK("https://klasma.github.io/Logging_2309/tillsyn/A 806-2022 tillsynsbegäran.docx", "A 806-2022")</f>
        <v/>
      </c>
      <c r="Y205">
        <f>HYPERLINK("https://klasma.github.io/Logging_2309/tillsynsmail/A 806-2022 tillsynsbegäran mail.docx", "A 806-2022")</f>
        <v/>
      </c>
      <c r="Z205">
        <f>HYPERLINK("https://klasma.github.io/Logging_2309/fåglar/A 806-2022 prioriterade fågelarter.docx", "A 806-2022")</f>
        <v/>
      </c>
    </row>
    <row r="206" ht="15" customHeight="1">
      <c r="A206" t="inlineStr">
        <is>
          <t>A 33513-2025</t>
        </is>
      </c>
      <c r="B206" s="1" t="n">
        <v>45841.52454861111</v>
      </c>
      <c r="C206" s="1" t="n">
        <v>45917</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804-2022</t>
        </is>
      </c>
      <c r="B207" s="1" t="n">
        <v>44568</v>
      </c>
      <c r="C207" s="1" t="n">
        <v>45917</v>
      </c>
      <c r="D207" t="inlineStr">
        <is>
          <t>JÄMTLANDS LÄN</t>
        </is>
      </c>
      <c r="E207" t="inlineStr">
        <is>
          <t>KROKOM</t>
        </is>
      </c>
      <c r="G207" t="n">
        <v>20</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804-2022 artfynd.xlsx", "A 804-2022")</f>
        <v/>
      </c>
      <c r="T207">
        <f>HYPERLINK("https://klasma.github.io/Logging_2309/kartor/A 804-2022 karta.png", "A 804-2022")</f>
        <v/>
      </c>
      <c r="V207">
        <f>HYPERLINK("https://klasma.github.io/Logging_2309/klagomål/A 804-2022 FSC-klagomål.docx", "A 804-2022")</f>
        <v/>
      </c>
      <c r="W207">
        <f>HYPERLINK("https://klasma.github.io/Logging_2309/klagomålsmail/A 804-2022 FSC-klagomål mail.docx", "A 804-2022")</f>
        <v/>
      </c>
      <c r="X207">
        <f>HYPERLINK("https://klasma.github.io/Logging_2309/tillsyn/A 804-2022 tillsynsbegäran.docx", "A 804-2022")</f>
        <v/>
      </c>
      <c r="Y207">
        <f>HYPERLINK("https://klasma.github.io/Logging_2309/tillsynsmail/A 804-2022 tillsynsbegäran mail.docx", "A 804-2022")</f>
        <v/>
      </c>
      <c r="Z207">
        <f>HYPERLINK("https://klasma.github.io/Logging_2309/fåglar/A 804-2022 prioriterade fågelarter.docx", "A 804-2022")</f>
        <v/>
      </c>
    </row>
    <row r="208" ht="15" customHeight="1">
      <c r="A208" t="inlineStr">
        <is>
          <t>A 34534-2025</t>
        </is>
      </c>
      <c r="B208" s="1" t="n">
        <v>45847.51078703703</v>
      </c>
      <c r="C208" s="1" t="n">
        <v>45917</v>
      </c>
      <c r="D208" t="inlineStr">
        <is>
          <t>JÄMTLANDS LÄN</t>
        </is>
      </c>
      <c r="E208" t="inlineStr">
        <is>
          <t>KROKOM</t>
        </is>
      </c>
      <c r="F208" t="inlineStr">
        <is>
          <t>SCA</t>
        </is>
      </c>
      <c r="G208" t="n">
        <v>2.7</v>
      </c>
      <c r="H208" t="n">
        <v>0</v>
      </c>
      <c r="I208" t="n">
        <v>0</v>
      </c>
      <c r="J208" t="n">
        <v>1</v>
      </c>
      <c r="K208" t="n">
        <v>0</v>
      </c>
      <c r="L208" t="n">
        <v>0</v>
      </c>
      <c r="M208" t="n">
        <v>0</v>
      </c>
      <c r="N208" t="n">
        <v>0</v>
      </c>
      <c r="O208" t="n">
        <v>1</v>
      </c>
      <c r="P208" t="n">
        <v>0</v>
      </c>
      <c r="Q208" t="n">
        <v>1</v>
      </c>
      <c r="R208" s="2" t="inlineStr">
        <is>
          <t>Granticka</t>
        </is>
      </c>
      <c r="S208">
        <f>HYPERLINK("https://klasma.github.io/Logging_2309/artfynd/A 34534-2025 artfynd.xlsx", "A 34534-2025")</f>
        <v/>
      </c>
      <c r="T208">
        <f>HYPERLINK("https://klasma.github.io/Logging_2309/kartor/A 34534-2025 karta.png", "A 34534-2025")</f>
        <v/>
      </c>
      <c r="V208">
        <f>HYPERLINK("https://klasma.github.io/Logging_2309/klagomål/A 34534-2025 FSC-klagomål.docx", "A 34534-2025")</f>
        <v/>
      </c>
      <c r="W208">
        <f>HYPERLINK("https://klasma.github.io/Logging_2309/klagomålsmail/A 34534-2025 FSC-klagomål mail.docx", "A 34534-2025")</f>
        <v/>
      </c>
      <c r="X208">
        <f>HYPERLINK("https://klasma.github.io/Logging_2309/tillsyn/A 34534-2025 tillsynsbegäran.docx", "A 34534-2025")</f>
        <v/>
      </c>
      <c r="Y208">
        <f>HYPERLINK("https://klasma.github.io/Logging_2309/tillsynsmail/A 34534-2025 tillsynsbegäran mail.docx", "A 34534-2025")</f>
        <v/>
      </c>
    </row>
    <row r="209" ht="15" customHeight="1">
      <c r="A209" t="inlineStr">
        <is>
          <t>A 34520-2025</t>
        </is>
      </c>
      <c r="B209" s="1" t="n">
        <v>45847.46962962963</v>
      </c>
      <c r="C209" s="1" t="n">
        <v>45917</v>
      </c>
      <c r="D209" t="inlineStr">
        <is>
          <t>JÄMTLANDS LÄN</t>
        </is>
      </c>
      <c r="E209" t="inlineStr">
        <is>
          <t>KROKOM</t>
        </is>
      </c>
      <c r="G209" t="n">
        <v>17.5</v>
      </c>
      <c r="H209" t="n">
        <v>0</v>
      </c>
      <c r="I209" t="n">
        <v>0</v>
      </c>
      <c r="J209" t="n">
        <v>1</v>
      </c>
      <c r="K209" t="n">
        <v>0</v>
      </c>
      <c r="L209" t="n">
        <v>0</v>
      </c>
      <c r="M209" t="n">
        <v>0</v>
      </c>
      <c r="N209" t="n">
        <v>0</v>
      </c>
      <c r="O209" t="n">
        <v>1</v>
      </c>
      <c r="P209" t="n">
        <v>0</v>
      </c>
      <c r="Q209" t="n">
        <v>1</v>
      </c>
      <c r="R209" s="2" t="inlineStr">
        <is>
          <t>Luddfingersvamp</t>
        </is>
      </c>
      <c r="S209">
        <f>HYPERLINK("https://klasma.github.io/Logging_2309/artfynd/A 34520-2025 artfynd.xlsx", "A 34520-2025")</f>
        <v/>
      </c>
      <c r="T209">
        <f>HYPERLINK("https://klasma.github.io/Logging_2309/kartor/A 34520-2025 karta.png", "A 34520-2025")</f>
        <v/>
      </c>
      <c r="V209">
        <f>HYPERLINK("https://klasma.github.io/Logging_2309/klagomål/A 34520-2025 FSC-klagomål.docx", "A 34520-2025")</f>
        <v/>
      </c>
      <c r="W209">
        <f>HYPERLINK("https://klasma.github.io/Logging_2309/klagomålsmail/A 34520-2025 FSC-klagomål mail.docx", "A 34520-2025")</f>
        <v/>
      </c>
      <c r="X209">
        <f>HYPERLINK("https://klasma.github.io/Logging_2309/tillsyn/A 34520-2025 tillsynsbegäran.docx", "A 34520-2025")</f>
        <v/>
      </c>
      <c r="Y209">
        <f>HYPERLINK("https://klasma.github.io/Logging_2309/tillsynsmail/A 34520-2025 tillsynsbegäran mail.docx", "A 34520-2025")</f>
        <v/>
      </c>
    </row>
    <row r="210" ht="15" customHeight="1">
      <c r="A210" t="inlineStr">
        <is>
          <t>A 49387-2024</t>
        </is>
      </c>
      <c r="B210" s="1" t="n">
        <v>45595</v>
      </c>
      <c r="C210" s="1" t="n">
        <v>45917</v>
      </c>
      <c r="D210" t="inlineStr">
        <is>
          <t>JÄMTLANDS LÄN</t>
        </is>
      </c>
      <c r="E210" t="inlineStr">
        <is>
          <t>KROKOM</t>
        </is>
      </c>
      <c r="G210" t="n">
        <v>0.8</v>
      </c>
      <c r="H210" t="n">
        <v>0</v>
      </c>
      <c r="I210" t="n">
        <v>0</v>
      </c>
      <c r="J210" t="n">
        <v>1</v>
      </c>
      <c r="K210" t="n">
        <v>0</v>
      </c>
      <c r="L210" t="n">
        <v>0</v>
      </c>
      <c r="M210" t="n">
        <v>0</v>
      </c>
      <c r="N210" t="n">
        <v>0</v>
      </c>
      <c r="O210" t="n">
        <v>1</v>
      </c>
      <c r="P210" t="n">
        <v>0</v>
      </c>
      <c r="Q210" t="n">
        <v>1</v>
      </c>
      <c r="R210" s="2" t="inlineStr">
        <is>
          <t>Garnlav</t>
        </is>
      </c>
      <c r="S210">
        <f>HYPERLINK("https://klasma.github.io/Logging_2309/artfynd/A 49387-2024 artfynd.xlsx", "A 49387-2024")</f>
        <v/>
      </c>
      <c r="T210">
        <f>HYPERLINK("https://klasma.github.io/Logging_2309/kartor/A 49387-2024 karta.png", "A 49387-2024")</f>
        <v/>
      </c>
      <c r="V210">
        <f>HYPERLINK("https://klasma.github.io/Logging_2309/klagomål/A 49387-2024 FSC-klagomål.docx", "A 49387-2024")</f>
        <v/>
      </c>
      <c r="W210">
        <f>HYPERLINK("https://klasma.github.io/Logging_2309/klagomålsmail/A 49387-2024 FSC-klagomål mail.docx", "A 49387-2024")</f>
        <v/>
      </c>
      <c r="X210">
        <f>HYPERLINK("https://klasma.github.io/Logging_2309/tillsyn/A 49387-2024 tillsynsbegäran.docx", "A 49387-2024")</f>
        <v/>
      </c>
      <c r="Y210">
        <f>HYPERLINK("https://klasma.github.io/Logging_2309/tillsynsmail/A 49387-2024 tillsynsbegäran mail.docx", "A 49387-2024")</f>
        <v/>
      </c>
    </row>
    <row r="211" ht="15" customHeight="1">
      <c r="A211" t="inlineStr">
        <is>
          <t>A 49385-2024</t>
        </is>
      </c>
      <c r="B211" s="1" t="n">
        <v>45595</v>
      </c>
      <c r="C211" s="1" t="n">
        <v>45917</v>
      </c>
      <c r="D211" t="inlineStr">
        <is>
          <t>JÄMTLANDS LÄN</t>
        </is>
      </c>
      <c r="E211" t="inlineStr">
        <is>
          <t>KROKOM</t>
        </is>
      </c>
      <c r="G211" t="n">
        <v>10.5</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49385-2024 artfynd.xlsx", "A 49385-2024")</f>
        <v/>
      </c>
      <c r="T211">
        <f>HYPERLINK("https://klasma.github.io/Logging_2309/kartor/A 49385-2024 karta.png", "A 49385-2024")</f>
        <v/>
      </c>
      <c r="V211">
        <f>HYPERLINK("https://klasma.github.io/Logging_2309/klagomål/A 49385-2024 FSC-klagomål.docx", "A 49385-2024")</f>
        <v/>
      </c>
      <c r="W211">
        <f>HYPERLINK("https://klasma.github.io/Logging_2309/klagomålsmail/A 49385-2024 FSC-klagomål mail.docx", "A 49385-2024")</f>
        <v/>
      </c>
      <c r="X211">
        <f>HYPERLINK("https://klasma.github.io/Logging_2309/tillsyn/A 49385-2024 tillsynsbegäran.docx", "A 49385-2024")</f>
        <v/>
      </c>
      <c r="Y211">
        <f>HYPERLINK("https://klasma.github.io/Logging_2309/tillsynsmail/A 49385-2024 tillsynsbegäran mail.docx", "A 49385-2024")</f>
        <v/>
      </c>
      <c r="Z211">
        <f>HYPERLINK("https://klasma.github.io/Logging_2309/fåglar/A 49385-2024 prioriterade fågelarter.docx", "A 49385-2024")</f>
        <v/>
      </c>
    </row>
    <row r="212" ht="15" customHeight="1">
      <c r="A212" t="inlineStr">
        <is>
          <t>A 15430-2023</t>
        </is>
      </c>
      <c r="B212" s="1" t="n">
        <v>45020</v>
      </c>
      <c r="C212" s="1" t="n">
        <v>45917</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4331-2025</t>
        </is>
      </c>
      <c r="B213" s="1" t="n">
        <v>45685.78776620371</v>
      </c>
      <c r="C213" s="1" t="n">
        <v>45917</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27753-2023</t>
        </is>
      </c>
      <c r="B214" s="1" t="n">
        <v>45098</v>
      </c>
      <c r="C214" s="1" t="n">
        <v>45917</v>
      </c>
      <c r="D214" t="inlineStr">
        <is>
          <t>JÄMTLANDS LÄN</t>
        </is>
      </c>
      <c r="E214" t="inlineStr">
        <is>
          <t>KROKOM</t>
        </is>
      </c>
      <c r="F214" t="inlineStr">
        <is>
          <t>Övriga Aktiebolag</t>
        </is>
      </c>
      <c r="G214" t="n">
        <v>20.9</v>
      </c>
      <c r="H214" t="n">
        <v>0</v>
      </c>
      <c r="I214" t="n">
        <v>0</v>
      </c>
      <c r="J214" t="n">
        <v>1</v>
      </c>
      <c r="K214" t="n">
        <v>0</v>
      </c>
      <c r="L214" t="n">
        <v>0</v>
      </c>
      <c r="M214" t="n">
        <v>0</v>
      </c>
      <c r="N214" t="n">
        <v>0</v>
      </c>
      <c r="O214" t="n">
        <v>1</v>
      </c>
      <c r="P214" t="n">
        <v>0</v>
      </c>
      <c r="Q214" t="n">
        <v>1</v>
      </c>
      <c r="R214" s="2" t="inlineStr">
        <is>
          <t>Mörk kolflarnlav</t>
        </is>
      </c>
      <c r="S214">
        <f>HYPERLINK("https://klasma.github.io/Logging_2309/artfynd/A 27753-2023 artfynd.xlsx", "A 27753-2023")</f>
        <v/>
      </c>
      <c r="T214">
        <f>HYPERLINK("https://klasma.github.io/Logging_2309/kartor/A 27753-2023 karta.png", "A 27753-2023")</f>
        <v/>
      </c>
      <c r="V214">
        <f>HYPERLINK("https://klasma.github.io/Logging_2309/klagomål/A 27753-2023 FSC-klagomål.docx", "A 27753-2023")</f>
        <v/>
      </c>
      <c r="W214">
        <f>HYPERLINK("https://klasma.github.io/Logging_2309/klagomålsmail/A 27753-2023 FSC-klagomål mail.docx", "A 27753-2023")</f>
        <v/>
      </c>
      <c r="X214">
        <f>HYPERLINK("https://klasma.github.io/Logging_2309/tillsyn/A 27753-2023 tillsynsbegäran.docx", "A 27753-2023")</f>
        <v/>
      </c>
      <c r="Y214">
        <f>HYPERLINK("https://klasma.github.io/Logging_2309/tillsynsmail/A 27753-2023 tillsynsbegäran mail.docx", "A 27753-2023")</f>
        <v/>
      </c>
    </row>
    <row r="215" ht="15" customHeight="1">
      <c r="A215" t="inlineStr">
        <is>
          <t>A 13485-2025</t>
        </is>
      </c>
      <c r="B215" s="1" t="n">
        <v>45736.42743055556</v>
      </c>
      <c r="C215" s="1" t="n">
        <v>45917</v>
      </c>
      <c r="D215" t="inlineStr">
        <is>
          <t>JÄMTLANDS LÄN</t>
        </is>
      </c>
      <c r="E215" t="inlineStr">
        <is>
          <t>KROKOM</t>
        </is>
      </c>
      <c r="F215" t="inlineStr">
        <is>
          <t>SCA</t>
        </is>
      </c>
      <c r="G215" t="n">
        <v>4</v>
      </c>
      <c r="H215" t="n">
        <v>0</v>
      </c>
      <c r="I215" t="n">
        <v>0</v>
      </c>
      <c r="J215" t="n">
        <v>1</v>
      </c>
      <c r="K215" t="n">
        <v>0</v>
      </c>
      <c r="L215" t="n">
        <v>0</v>
      </c>
      <c r="M215" t="n">
        <v>0</v>
      </c>
      <c r="N215" t="n">
        <v>0</v>
      </c>
      <c r="O215" t="n">
        <v>1</v>
      </c>
      <c r="P215" t="n">
        <v>0</v>
      </c>
      <c r="Q215" t="n">
        <v>1</v>
      </c>
      <c r="R215" s="2" t="inlineStr">
        <is>
          <t>Brunklöver</t>
        </is>
      </c>
      <c r="S215">
        <f>HYPERLINK("https://klasma.github.io/Logging_2309/artfynd/A 13485-2025 artfynd.xlsx", "A 13485-2025")</f>
        <v/>
      </c>
      <c r="T215">
        <f>HYPERLINK("https://klasma.github.io/Logging_2309/kartor/A 13485-2025 karta.png", "A 13485-2025")</f>
        <v/>
      </c>
      <c r="V215">
        <f>HYPERLINK("https://klasma.github.io/Logging_2309/klagomål/A 13485-2025 FSC-klagomål.docx", "A 13485-2025")</f>
        <v/>
      </c>
      <c r="W215">
        <f>HYPERLINK("https://klasma.github.io/Logging_2309/klagomålsmail/A 13485-2025 FSC-klagomål mail.docx", "A 13485-2025")</f>
        <v/>
      </c>
      <c r="X215">
        <f>HYPERLINK("https://klasma.github.io/Logging_2309/tillsyn/A 13485-2025 tillsynsbegäran.docx", "A 13485-2025")</f>
        <v/>
      </c>
      <c r="Y215">
        <f>HYPERLINK("https://klasma.github.io/Logging_2309/tillsynsmail/A 13485-2025 tillsynsbegäran mail.docx", "A 13485-2025")</f>
        <v/>
      </c>
    </row>
    <row r="216" ht="15" customHeight="1">
      <c r="A216" t="inlineStr">
        <is>
          <t>A 52473-2024</t>
        </is>
      </c>
      <c r="B216" s="1" t="n">
        <v>45609</v>
      </c>
      <c r="C216" s="1" t="n">
        <v>45917</v>
      </c>
      <c r="D216" t="inlineStr">
        <is>
          <t>JÄMTLANDS LÄN</t>
        </is>
      </c>
      <c r="E216" t="inlineStr">
        <is>
          <t>KROKOM</t>
        </is>
      </c>
      <c r="G216" t="n">
        <v>38.5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52473-2024 artfynd.xlsx", "A 52473-2024")</f>
        <v/>
      </c>
      <c r="T216">
        <f>HYPERLINK("https://klasma.github.io/Logging_2309/kartor/A 52473-2024 karta.png", "A 52473-2024")</f>
        <v/>
      </c>
      <c r="V216">
        <f>HYPERLINK("https://klasma.github.io/Logging_2309/klagomål/A 52473-2024 FSC-klagomål.docx", "A 52473-2024")</f>
        <v/>
      </c>
      <c r="W216">
        <f>HYPERLINK("https://klasma.github.io/Logging_2309/klagomålsmail/A 52473-2024 FSC-klagomål mail.docx", "A 52473-2024")</f>
        <v/>
      </c>
      <c r="X216">
        <f>HYPERLINK("https://klasma.github.io/Logging_2309/tillsyn/A 52473-2024 tillsynsbegäran.docx", "A 52473-2024")</f>
        <v/>
      </c>
      <c r="Y216">
        <f>HYPERLINK("https://klasma.github.io/Logging_2309/tillsynsmail/A 52473-2024 tillsynsbegäran mail.docx", "A 52473-2024")</f>
        <v/>
      </c>
      <c r="Z216">
        <f>HYPERLINK("https://klasma.github.io/Logging_2309/fåglar/A 52473-2024 prioriterade fågelarter.docx", "A 52473-2024")</f>
        <v/>
      </c>
    </row>
    <row r="217" ht="15" customHeight="1">
      <c r="A217" t="inlineStr">
        <is>
          <t>A 5919-2025</t>
        </is>
      </c>
      <c r="B217" s="1" t="n">
        <v>45695.42197916667</v>
      </c>
      <c r="C217" s="1" t="n">
        <v>45917</v>
      </c>
      <c r="D217" t="inlineStr">
        <is>
          <t>JÄMTLANDS LÄN</t>
        </is>
      </c>
      <c r="E217" t="inlineStr">
        <is>
          <t>KROKOM</t>
        </is>
      </c>
      <c r="G217" t="n">
        <v>2.7</v>
      </c>
      <c r="H217" t="n">
        <v>0</v>
      </c>
      <c r="I217" t="n">
        <v>0</v>
      </c>
      <c r="J217" t="n">
        <v>1</v>
      </c>
      <c r="K217" t="n">
        <v>0</v>
      </c>
      <c r="L217" t="n">
        <v>0</v>
      </c>
      <c r="M217" t="n">
        <v>0</v>
      </c>
      <c r="N217" t="n">
        <v>0</v>
      </c>
      <c r="O217" t="n">
        <v>1</v>
      </c>
      <c r="P217" t="n">
        <v>0</v>
      </c>
      <c r="Q217" t="n">
        <v>1</v>
      </c>
      <c r="R217" s="2" t="inlineStr">
        <is>
          <t>Skogshare</t>
        </is>
      </c>
      <c r="S217">
        <f>HYPERLINK("https://klasma.github.io/Logging_2309/artfynd/A 5919-2025 artfynd.xlsx", "A 5919-2025")</f>
        <v/>
      </c>
      <c r="T217">
        <f>HYPERLINK("https://klasma.github.io/Logging_2309/kartor/A 5919-2025 karta.png", "A 5919-2025")</f>
        <v/>
      </c>
      <c r="V217">
        <f>HYPERLINK("https://klasma.github.io/Logging_2309/klagomål/A 5919-2025 FSC-klagomål.docx", "A 5919-2025")</f>
        <v/>
      </c>
      <c r="W217">
        <f>HYPERLINK("https://klasma.github.io/Logging_2309/klagomålsmail/A 5919-2025 FSC-klagomål mail.docx", "A 5919-2025")</f>
        <v/>
      </c>
      <c r="X217">
        <f>HYPERLINK("https://klasma.github.io/Logging_2309/tillsyn/A 5919-2025 tillsynsbegäran.docx", "A 5919-2025")</f>
        <v/>
      </c>
      <c r="Y217">
        <f>HYPERLINK("https://klasma.github.io/Logging_2309/tillsynsmail/A 5919-2025 tillsynsbegäran mail.docx", "A 5919-2025")</f>
        <v/>
      </c>
    </row>
    <row r="218" ht="15" customHeight="1">
      <c r="A218" t="inlineStr">
        <is>
          <t>A 4348-2025</t>
        </is>
      </c>
      <c r="B218" s="1" t="n">
        <v>45686.27208333334</v>
      </c>
      <c r="C218" s="1" t="n">
        <v>45917</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4348-2025 artfynd.xlsx", "A 4348-2025")</f>
        <v/>
      </c>
      <c r="T218">
        <f>HYPERLINK("https://klasma.github.io/Logging_2309/kartor/A 4348-2025 karta.png", "A 4348-2025")</f>
        <v/>
      </c>
      <c r="V218">
        <f>HYPERLINK("https://klasma.github.io/Logging_2309/klagomål/A 4348-2025 FSC-klagomål.docx", "A 4348-2025")</f>
        <v/>
      </c>
      <c r="W218">
        <f>HYPERLINK("https://klasma.github.io/Logging_2309/klagomålsmail/A 4348-2025 FSC-klagomål mail.docx", "A 4348-2025")</f>
        <v/>
      </c>
      <c r="X218">
        <f>HYPERLINK("https://klasma.github.io/Logging_2309/tillsyn/A 4348-2025 tillsynsbegäran.docx", "A 4348-2025")</f>
        <v/>
      </c>
      <c r="Y218">
        <f>HYPERLINK("https://klasma.github.io/Logging_2309/tillsynsmail/A 4348-2025 tillsynsbegäran mail.docx", "A 4348-2025")</f>
        <v/>
      </c>
    </row>
    <row r="219" ht="15" customHeight="1">
      <c r="A219" t="inlineStr">
        <is>
          <t>A 16125-2025</t>
        </is>
      </c>
      <c r="B219" s="1" t="n">
        <v>45750.42127314815</v>
      </c>
      <c r="C219" s="1" t="n">
        <v>45917</v>
      </c>
      <c r="D219" t="inlineStr">
        <is>
          <t>JÄMTLANDS LÄN</t>
        </is>
      </c>
      <c r="E219" t="inlineStr">
        <is>
          <t>KROKOM</t>
        </is>
      </c>
      <c r="G219" t="n">
        <v>1.5</v>
      </c>
      <c r="H219" t="n">
        <v>0</v>
      </c>
      <c r="I219" t="n">
        <v>0</v>
      </c>
      <c r="J219" t="n">
        <v>1</v>
      </c>
      <c r="K219" t="n">
        <v>0</v>
      </c>
      <c r="L219" t="n">
        <v>0</v>
      </c>
      <c r="M219" t="n">
        <v>0</v>
      </c>
      <c r="N219" t="n">
        <v>0</v>
      </c>
      <c r="O219" t="n">
        <v>1</v>
      </c>
      <c r="P219" t="n">
        <v>0</v>
      </c>
      <c r="Q219" t="n">
        <v>1</v>
      </c>
      <c r="R219" s="2" t="inlineStr">
        <is>
          <t>Månlåsbräken</t>
        </is>
      </c>
      <c r="S219">
        <f>HYPERLINK("https://klasma.github.io/Logging_2309/artfynd/A 16125-2025 artfynd.xlsx", "A 16125-2025")</f>
        <v/>
      </c>
      <c r="T219">
        <f>HYPERLINK("https://klasma.github.io/Logging_2309/kartor/A 16125-2025 karta.png", "A 16125-2025")</f>
        <v/>
      </c>
      <c r="V219">
        <f>HYPERLINK("https://klasma.github.io/Logging_2309/klagomål/A 16125-2025 FSC-klagomål.docx", "A 16125-2025")</f>
        <v/>
      </c>
      <c r="W219">
        <f>HYPERLINK("https://klasma.github.io/Logging_2309/klagomålsmail/A 16125-2025 FSC-klagomål mail.docx", "A 16125-2025")</f>
        <v/>
      </c>
      <c r="X219">
        <f>HYPERLINK("https://klasma.github.io/Logging_2309/tillsyn/A 16125-2025 tillsynsbegäran.docx", "A 16125-2025")</f>
        <v/>
      </c>
      <c r="Y219">
        <f>HYPERLINK("https://klasma.github.io/Logging_2309/tillsynsmail/A 16125-2025 tillsynsbegäran mail.docx", "A 16125-2025")</f>
        <v/>
      </c>
    </row>
    <row r="220" ht="15" customHeight="1">
      <c r="A220" t="inlineStr">
        <is>
          <t>A 71574-2021</t>
        </is>
      </c>
      <c r="B220" s="1" t="n">
        <v>44540</v>
      </c>
      <c r="C220" s="1" t="n">
        <v>45917</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16426-2024</t>
        </is>
      </c>
      <c r="B221" s="1" t="n">
        <v>45407</v>
      </c>
      <c r="C221" s="1" t="n">
        <v>45917</v>
      </c>
      <c r="D221" t="inlineStr">
        <is>
          <t>JÄMTLANDS LÄN</t>
        </is>
      </c>
      <c r="E221" t="inlineStr">
        <is>
          <t>KROKOM</t>
        </is>
      </c>
      <c r="G221" t="n">
        <v>1.3</v>
      </c>
      <c r="H221" t="n">
        <v>0</v>
      </c>
      <c r="I221" t="n">
        <v>0</v>
      </c>
      <c r="J221" t="n">
        <v>1</v>
      </c>
      <c r="K221" t="n">
        <v>0</v>
      </c>
      <c r="L221" t="n">
        <v>0</v>
      </c>
      <c r="M221" t="n">
        <v>0</v>
      </c>
      <c r="N221" t="n">
        <v>0</v>
      </c>
      <c r="O221" t="n">
        <v>1</v>
      </c>
      <c r="P221" t="n">
        <v>0</v>
      </c>
      <c r="Q221" t="n">
        <v>1</v>
      </c>
      <c r="R221" s="2" t="inlineStr">
        <is>
          <t>Slåtterfibbla</t>
        </is>
      </c>
      <c r="S221">
        <f>HYPERLINK("https://klasma.github.io/Logging_2309/artfynd/A 16426-2024 artfynd.xlsx", "A 16426-2024")</f>
        <v/>
      </c>
      <c r="T221">
        <f>HYPERLINK("https://klasma.github.io/Logging_2309/kartor/A 16426-2024 karta.png", "A 16426-2024")</f>
        <v/>
      </c>
      <c r="V221">
        <f>HYPERLINK("https://klasma.github.io/Logging_2309/klagomål/A 16426-2024 FSC-klagomål.docx", "A 16426-2024")</f>
        <v/>
      </c>
      <c r="W221">
        <f>HYPERLINK("https://klasma.github.io/Logging_2309/klagomålsmail/A 16426-2024 FSC-klagomål mail.docx", "A 16426-2024")</f>
        <v/>
      </c>
      <c r="X221">
        <f>HYPERLINK("https://klasma.github.io/Logging_2309/tillsyn/A 16426-2024 tillsynsbegäran.docx", "A 16426-2024")</f>
        <v/>
      </c>
      <c r="Y221">
        <f>HYPERLINK("https://klasma.github.io/Logging_2309/tillsynsmail/A 16426-2024 tillsynsbegäran mail.docx", "A 16426-2024")</f>
        <v/>
      </c>
    </row>
    <row r="222" ht="15" customHeight="1">
      <c r="A222" t="inlineStr">
        <is>
          <t>A 58805-2024</t>
        </is>
      </c>
      <c r="B222" s="1" t="n">
        <v>45635</v>
      </c>
      <c r="C222" s="1" t="n">
        <v>45917</v>
      </c>
      <c r="D222" t="inlineStr">
        <is>
          <t>JÄMTLANDS LÄN</t>
        </is>
      </c>
      <c r="E222" t="inlineStr">
        <is>
          <t>KROKOM</t>
        </is>
      </c>
      <c r="G222" t="n">
        <v>4.7</v>
      </c>
      <c r="H222" t="n">
        <v>1</v>
      </c>
      <c r="I222" t="n">
        <v>0</v>
      </c>
      <c r="J222" t="n">
        <v>0</v>
      </c>
      <c r="K222" t="n">
        <v>0</v>
      </c>
      <c r="L222" t="n">
        <v>0</v>
      </c>
      <c r="M222" t="n">
        <v>0</v>
      </c>
      <c r="N222" t="n">
        <v>0</v>
      </c>
      <c r="O222" t="n">
        <v>0</v>
      </c>
      <c r="P222" t="n">
        <v>0</v>
      </c>
      <c r="Q222" t="n">
        <v>1</v>
      </c>
      <c r="R222" s="2" t="inlineStr">
        <is>
          <t>Brudsporre</t>
        </is>
      </c>
      <c r="S222">
        <f>HYPERLINK("https://klasma.github.io/Logging_2309/artfynd/A 58805-2024 artfynd.xlsx", "A 58805-2024")</f>
        <v/>
      </c>
      <c r="T222">
        <f>HYPERLINK("https://klasma.github.io/Logging_2309/kartor/A 58805-2024 karta.png", "A 58805-2024")</f>
        <v/>
      </c>
      <c r="V222">
        <f>HYPERLINK("https://klasma.github.io/Logging_2309/klagomål/A 58805-2024 FSC-klagomål.docx", "A 58805-2024")</f>
        <v/>
      </c>
      <c r="W222">
        <f>HYPERLINK("https://klasma.github.io/Logging_2309/klagomålsmail/A 58805-2024 FSC-klagomål mail.docx", "A 58805-2024")</f>
        <v/>
      </c>
      <c r="X222">
        <f>HYPERLINK("https://klasma.github.io/Logging_2309/tillsyn/A 58805-2024 tillsynsbegäran.docx", "A 58805-2024")</f>
        <v/>
      </c>
      <c r="Y222">
        <f>HYPERLINK("https://klasma.github.io/Logging_2309/tillsynsmail/A 58805-2024 tillsynsbegäran mail.docx", "A 58805-2024")</f>
        <v/>
      </c>
    </row>
    <row r="223" ht="15" customHeight="1">
      <c r="A223" t="inlineStr">
        <is>
          <t>A 56628-2023</t>
        </is>
      </c>
      <c r="B223" s="1" t="n">
        <v>45243</v>
      </c>
      <c r="C223" s="1" t="n">
        <v>45917</v>
      </c>
      <c r="D223" t="inlineStr">
        <is>
          <t>JÄMTLANDS LÄN</t>
        </is>
      </c>
      <c r="E223" t="inlineStr">
        <is>
          <t>KROKOM</t>
        </is>
      </c>
      <c r="G223" t="n">
        <v>17.8</v>
      </c>
      <c r="H223" t="n">
        <v>1</v>
      </c>
      <c r="I223" t="n">
        <v>0</v>
      </c>
      <c r="J223" t="n">
        <v>0</v>
      </c>
      <c r="K223" t="n">
        <v>0</v>
      </c>
      <c r="L223" t="n">
        <v>0</v>
      </c>
      <c r="M223" t="n">
        <v>0</v>
      </c>
      <c r="N223" t="n">
        <v>0</v>
      </c>
      <c r="O223" t="n">
        <v>0</v>
      </c>
      <c r="P223" t="n">
        <v>0</v>
      </c>
      <c r="Q223" t="n">
        <v>1</v>
      </c>
      <c r="R223" s="2" t="inlineStr">
        <is>
          <t>Blåsippa</t>
        </is>
      </c>
      <c r="S223">
        <f>HYPERLINK("https://klasma.github.io/Logging_2309/artfynd/A 56628-2023 artfynd.xlsx", "A 56628-2023")</f>
        <v/>
      </c>
      <c r="T223">
        <f>HYPERLINK("https://klasma.github.io/Logging_2309/kartor/A 56628-2023 karta.png", "A 56628-2023")</f>
        <v/>
      </c>
      <c r="V223">
        <f>HYPERLINK("https://klasma.github.io/Logging_2309/klagomål/A 56628-2023 FSC-klagomål.docx", "A 56628-2023")</f>
        <v/>
      </c>
      <c r="W223">
        <f>HYPERLINK("https://klasma.github.io/Logging_2309/klagomålsmail/A 56628-2023 FSC-klagomål mail.docx", "A 56628-2023")</f>
        <v/>
      </c>
      <c r="X223">
        <f>HYPERLINK("https://klasma.github.io/Logging_2309/tillsyn/A 56628-2023 tillsynsbegäran.docx", "A 56628-2023")</f>
        <v/>
      </c>
      <c r="Y223">
        <f>HYPERLINK("https://klasma.github.io/Logging_2309/tillsynsmail/A 56628-2023 tillsynsbegäran mail.docx", "A 56628-2023")</f>
        <v/>
      </c>
    </row>
    <row r="224" ht="15" customHeight="1">
      <c r="A224" t="inlineStr">
        <is>
          <t>A 42258-2023</t>
        </is>
      </c>
      <c r="B224" s="1" t="n">
        <v>45180</v>
      </c>
      <c r="C224" s="1" t="n">
        <v>45917</v>
      </c>
      <c r="D224" t="inlineStr">
        <is>
          <t>JÄMTLANDS LÄN</t>
        </is>
      </c>
      <c r="E224" t="inlineStr">
        <is>
          <t>KROKOM</t>
        </is>
      </c>
      <c r="F224" t="inlineStr">
        <is>
          <t>Övriga Aktiebolag</t>
        </is>
      </c>
      <c r="G224" t="n">
        <v>0.2</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42258-2023 artfynd.xlsx", "A 42258-2023")</f>
        <v/>
      </c>
      <c r="T224">
        <f>HYPERLINK("https://klasma.github.io/Logging_2309/kartor/A 42258-2023 karta.png", "A 42258-2023")</f>
        <v/>
      </c>
      <c r="V224">
        <f>HYPERLINK("https://klasma.github.io/Logging_2309/klagomål/A 42258-2023 FSC-klagomål.docx", "A 42258-2023")</f>
        <v/>
      </c>
      <c r="W224">
        <f>HYPERLINK("https://klasma.github.io/Logging_2309/klagomålsmail/A 42258-2023 FSC-klagomål mail.docx", "A 42258-2023")</f>
        <v/>
      </c>
      <c r="X224">
        <f>HYPERLINK("https://klasma.github.io/Logging_2309/tillsyn/A 42258-2023 tillsynsbegäran.docx", "A 42258-2023")</f>
        <v/>
      </c>
      <c r="Y224">
        <f>HYPERLINK("https://klasma.github.io/Logging_2309/tillsynsmail/A 42258-2023 tillsynsbegäran mail.docx", "A 42258-2023")</f>
        <v/>
      </c>
      <c r="Z224">
        <f>HYPERLINK("https://klasma.github.io/Logging_2309/fåglar/A 42258-2023 prioriterade fågelarter.docx", "A 42258-2023")</f>
        <v/>
      </c>
    </row>
    <row r="225" ht="15" customHeight="1">
      <c r="A225" t="inlineStr">
        <is>
          <t>A 19282-2021</t>
        </is>
      </c>
      <c r="B225" s="1" t="n">
        <v>44308</v>
      </c>
      <c r="C225" s="1" t="n">
        <v>45917</v>
      </c>
      <c r="D225" t="inlineStr">
        <is>
          <t>JÄMTLANDS LÄN</t>
        </is>
      </c>
      <c r="E225" t="inlineStr">
        <is>
          <t>KROKOM</t>
        </is>
      </c>
      <c r="G225" t="n">
        <v>2</v>
      </c>
      <c r="H225" t="n">
        <v>0</v>
      </c>
      <c r="I225" t="n">
        <v>0</v>
      </c>
      <c r="J225" t="n">
        <v>1</v>
      </c>
      <c r="K225" t="n">
        <v>0</v>
      </c>
      <c r="L225" t="n">
        <v>0</v>
      </c>
      <c r="M225" t="n">
        <v>0</v>
      </c>
      <c r="N225" t="n">
        <v>0</v>
      </c>
      <c r="O225" t="n">
        <v>1</v>
      </c>
      <c r="P225" t="n">
        <v>0</v>
      </c>
      <c r="Q225" t="n">
        <v>1</v>
      </c>
      <c r="R225" s="2" t="inlineStr">
        <is>
          <t>Garnlav</t>
        </is>
      </c>
      <c r="S225">
        <f>HYPERLINK("https://klasma.github.io/Logging_2309/artfynd/A 19282-2021 artfynd.xlsx", "A 19282-2021")</f>
        <v/>
      </c>
      <c r="T225">
        <f>HYPERLINK("https://klasma.github.io/Logging_2309/kartor/A 19282-2021 karta.png", "A 19282-2021")</f>
        <v/>
      </c>
      <c r="V225">
        <f>HYPERLINK("https://klasma.github.io/Logging_2309/klagomål/A 19282-2021 FSC-klagomål.docx", "A 19282-2021")</f>
        <v/>
      </c>
      <c r="W225">
        <f>HYPERLINK("https://klasma.github.io/Logging_2309/klagomålsmail/A 19282-2021 FSC-klagomål mail.docx", "A 19282-2021")</f>
        <v/>
      </c>
      <c r="X225">
        <f>HYPERLINK("https://klasma.github.io/Logging_2309/tillsyn/A 19282-2021 tillsynsbegäran.docx", "A 19282-2021")</f>
        <v/>
      </c>
      <c r="Y225">
        <f>HYPERLINK("https://klasma.github.io/Logging_2309/tillsynsmail/A 19282-2021 tillsynsbegäran mail.docx", "A 19282-2021")</f>
        <v/>
      </c>
    </row>
    <row r="226" ht="15" customHeight="1">
      <c r="A226" t="inlineStr">
        <is>
          <t>A 26231-2024</t>
        </is>
      </c>
      <c r="B226" s="1" t="n">
        <v>45467</v>
      </c>
      <c r="C226" s="1" t="n">
        <v>45917</v>
      </c>
      <c r="D226" t="inlineStr">
        <is>
          <t>JÄMTLANDS LÄN</t>
        </is>
      </c>
      <c r="E226" t="inlineStr">
        <is>
          <t>KROKOM</t>
        </is>
      </c>
      <c r="G226" t="n">
        <v>14.6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26231-2024 artfynd.xlsx", "A 26231-2024")</f>
        <v/>
      </c>
      <c r="T226">
        <f>HYPERLINK("https://klasma.github.io/Logging_2309/kartor/A 26231-2024 karta.png", "A 26231-2024")</f>
        <v/>
      </c>
      <c r="V226">
        <f>HYPERLINK("https://klasma.github.io/Logging_2309/klagomål/A 26231-2024 FSC-klagomål.docx", "A 26231-2024")</f>
        <v/>
      </c>
      <c r="W226">
        <f>HYPERLINK("https://klasma.github.io/Logging_2309/klagomålsmail/A 26231-2024 FSC-klagomål mail.docx", "A 26231-2024")</f>
        <v/>
      </c>
      <c r="X226">
        <f>HYPERLINK("https://klasma.github.io/Logging_2309/tillsyn/A 26231-2024 tillsynsbegäran.docx", "A 26231-2024")</f>
        <v/>
      </c>
      <c r="Y226">
        <f>HYPERLINK("https://klasma.github.io/Logging_2309/tillsynsmail/A 26231-2024 tillsynsbegäran mail.docx", "A 26231-2024")</f>
        <v/>
      </c>
      <c r="Z226">
        <f>HYPERLINK("https://klasma.github.io/Logging_2309/fåglar/A 26231-2024 prioriterade fågelarter.docx", "A 26231-2024")</f>
        <v/>
      </c>
    </row>
    <row r="227" ht="15" customHeight="1">
      <c r="A227" t="inlineStr">
        <is>
          <t>A 32756-2023</t>
        </is>
      </c>
      <c r="B227" s="1" t="n">
        <v>45123</v>
      </c>
      <c r="C227" s="1" t="n">
        <v>45917</v>
      </c>
      <c r="D227" t="inlineStr">
        <is>
          <t>JÄMTLANDS LÄN</t>
        </is>
      </c>
      <c r="E227" t="inlineStr">
        <is>
          <t>KROKOM</t>
        </is>
      </c>
      <c r="F227" t="inlineStr">
        <is>
          <t>Övriga Aktiebolag</t>
        </is>
      </c>
      <c r="G227" t="n">
        <v>6.8</v>
      </c>
      <c r="H227" t="n">
        <v>0</v>
      </c>
      <c r="I227" t="n">
        <v>1</v>
      </c>
      <c r="J227" t="n">
        <v>0</v>
      </c>
      <c r="K227" t="n">
        <v>0</v>
      </c>
      <c r="L227" t="n">
        <v>0</v>
      </c>
      <c r="M227" t="n">
        <v>0</v>
      </c>
      <c r="N227" t="n">
        <v>0</v>
      </c>
      <c r="O227" t="n">
        <v>0</v>
      </c>
      <c r="P227" t="n">
        <v>0</v>
      </c>
      <c r="Q227" t="n">
        <v>1</v>
      </c>
      <c r="R227" s="2" t="inlineStr">
        <is>
          <t>Kransrams</t>
        </is>
      </c>
      <c r="S227">
        <f>HYPERLINK("https://klasma.github.io/Logging_2309/artfynd/A 32756-2023 artfynd.xlsx", "A 32756-2023")</f>
        <v/>
      </c>
      <c r="T227">
        <f>HYPERLINK("https://klasma.github.io/Logging_2309/kartor/A 32756-2023 karta.png", "A 32756-2023")</f>
        <v/>
      </c>
      <c r="V227">
        <f>HYPERLINK("https://klasma.github.io/Logging_2309/klagomål/A 32756-2023 FSC-klagomål.docx", "A 32756-2023")</f>
        <v/>
      </c>
      <c r="W227">
        <f>HYPERLINK("https://klasma.github.io/Logging_2309/klagomålsmail/A 32756-2023 FSC-klagomål mail.docx", "A 32756-2023")</f>
        <v/>
      </c>
      <c r="X227">
        <f>HYPERLINK("https://klasma.github.io/Logging_2309/tillsyn/A 32756-2023 tillsynsbegäran.docx", "A 32756-2023")</f>
        <v/>
      </c>
      <c r="Y227">
        <f>HYPERLINK("https://klasma.github.io/Logging_2309/tillsynsmail/A 32756-2023 tillsynsbegäran mail.docx", "A 32756-2023")</f>
        <v/>
      </c>
    </row>
    <row r="228" ht="15" customHeight="1">
      <c r="A228" t="inlineStr">
        <is>
          <t>A 7005-2022</t>
        </is>
      </c>
      <c r="B228" s="1" t="n">
        <v>44603</v>
      </c>
      <c r="C228" s="1" t="n">
        <v>45917</v>
      </c>
      <c r="D228" t="inlineStr">
        <is>
          <t>JÄMTLANDS LÄN</t>
        </is>
      </c>
      <c r="E228" t="inlineStr">
        <is>
          <t>KROKOM</t>
        </is>
      </c>
      <c r="G228" t="n">
        <v>46</v>
      </c>
      <c r="H228" t="n">
        <v>0</v>
      </c>
      <c r="I228" t="n">
        <v>1</v>
      </c>
      <c r="J228" t="n">
        <v>0</v>
      </c>
      <c r="K228" t="n">
        <v>0</v>
      </c>
      <c r="L228" t="n">
        <v>0</v>
      </c>
      <c r="M228" t="n">
        <v>0</v>
      </c>
      <c r="N228" t="n">
        <v>0</v>
      </c>
      <c r="O228" t="n">
        <v>0</v>
      </c>
      <c r="P228" t="n">
        <v>0</v>
      </c>
      <c r="Q228" t="n">
        <v>1</v>
      </c>
      <c r="R228" s="2" t="inlineStr">
        <is>
          <t>Stuplav</t>
        </is>
      </c>
      <c r="S228">
        <f>HYPERLINK("https://klasma.github.io/Logging_2309/artfynd/A 7005-2022 artfynd.xlsx", "A 7005-2022")</f>
        <v/>
      </c>
      <c r="T228">
        <f>HYPERLINK("https://klasma.github.io/Logging_2309/kartor/A 7005-2022 karta.png", "A 7005-2022")</f>
        <v/>
      </c>
      <c r="V228">
        <f>HYPERLINK("https://klasma.github.io/Logging_2309/klagomål/A 7005-2022 FSC-klagomål.docx", "A 7005-2022")</f>
        <v/>
      </c>
      <c r="W228">
        <f>HYPERLINK("https://klasma.github.io/Logging_2309/klagomålsmail/A 7005-2022 FSC-klagomål mail.docx", "A 7005-2022")</f>
        <v/>
      </c>
      <c r="X228">
        <f>HYPERLINK("https://klasma.github.io/Logging_2309/tillsyn/A 7005-2022 tillsynsbegäran.docx", "A 7005-2022")</f>
        <v/>
      </c>
      <c r="Y228">
        <f>HYPERLINK("https://klasma.github.io/Logging_2309/tillsynsmail/A 7005-2022 tillsynsbegäran mail.docx", "A 7005-2022")</f>
        <v/>
      </c>
    </row>
    <row r="229" ht="15" customHeight="1">
      <c r="A229" t="inlineStr">
        <is>
          <t>A 55387-2024</t>
        </is>
      </c>
      <c r="B229" s="1" t="n">
        <v>45622</v>
      </c>
      <c r="C229" s="1" t="n">
        <v>45917</v>
      </c>
      <c r="D229" t="inlineStr">
        <is>
          <t>JÄMTLANDS LÄN</t>
        </is>
      </c>
      <c r="E229" t="inlineStr">
        <is>
          <t>KROKOM</t>
        </is>
      </c>
      <c r="G229" t="n">
        <v>8.6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55387-2024 artfynd.xlsx", "A 55387-2024")</f>
        <v/>
      </c>
      <c r="T229">
        <f>HYPERLINK("https://klasma.github.io/Logging_2309/kartor/A 55387-2024 karta.png", "A 55387-2024")</f>
        <v/>
      </c>
      <c r="V229">
        <f>HYPERLINK("https://klasma.github.io/Logging_2309/klagomål/A 55387-2024 FSC-klagomål.docx", "A 55387-2024")</f>
        <v/>
      </c>
      <c r="W229">
        <f>HYPERLINK("https://klasma.github.io/Logging_2309/klagomålsmail/A 55387-2024 FSC-klagomål mail.docx", "A 55387-2024")</f>
        <v/>
      </c>
      <c r="X229">
        <f>HYPERLINK("https://klasma.github.io/Logging_2309/tillsyn/A 55387-2024 tillsynsbegäran.docx", "A 55387-2024")</f>
        <v/>
      </c>
      <c r="Y229">
        <f>HYPERLINK("https://klasma.github.io/Logging_2309/tillsynsmail/A 55387-2024 tillsynsbegäran mail.docx", "A 55387-2024")</f>
        <v/>
      </c>
      <c r="Z229">
        <f>HYPERLINK("https://klasma.github.io/Logging_2309/fåglar/A 55387-2024 prioriterade fågelarter.docx", "A 55387-2024")</f>
        <v/>
      </c>
    </row>
    <row r="230" ht="15" customHeight="1">
      <c r="A230" t="inlineStr">
        <is>
          <t>A 49388-2024</t>
        </is>
      </c>
      <c r="B230" s="1" t="n">
        <v>45595</v>
      </c>
      <c r="C230" s="1" t="n">
        <v>45917</v>
      </c>
      <c r="D230" t="inlineStr">
        <is>
          <t>JÄMTLANDS LÄN</t>
        </is>
      </c>
      <c r="E230" t="inlineStr">
        <is>
          <t>KROKOM</t>
        </is>
      </c>
      <c r="G230" t="n">
        <v>7.4</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49388-2024 artfynd.xlsx", "A 49388-2024")</f>
        <v/>
      </c>
      <c r="T230">
        <f>HYPERLINK("https://klasma.github.io/Logging_2309/kartor/A 49388-2024 karta.png", "A 49388-2024")</f>
        <v/>
      </c>
      <c r="V230">
        <f>HYPERLINK("https://klasma.github.io/Logging_2309/klagomål/A 49388-2024 FSC-klagomål.docx", "A 49388-2024")</f>
        <v/>
      </c>
      <c r="W230">
        <f>HYPERLINK("https://klasma.github.io/Logging_2309/klagomålsmail/A 49388-2024 FSC-klagomål mail.docx", "A 49388-2024")</f>
        <v/>
      </c>
      <c r="X230">
        <f>HYPERLINK("https://klasma.github.io/Logging_2309/tillsyn/A 49388-2024 tillsynsbegäran.docx", "A 49388-2024")</f>
        <v/>
      </c>
      <c r="Y230">
        <f>HYPERLINK("https://klasma.github.io/Logging_2309/tillsynsmail/A 49388-2024 tillsynsbegäran mail.docx", "A 49388-2024")</f>
        <v/>
      </c>
      <c r="Z230">
        <f>HYPERLINK("https://klasma.github.io/Logging_2309/fåglar/A 49388-2024 prioriterade fågelarter.docx", "A 49388-2024")</f>
        <v/>
      </c>
    </row>
    <row r="231" ht="15" customHeight="1">
      <c r="A231" t="inlineStr">
        <is>
          <t>A 25285-2023</t>
        </is>
      </c>
      <c r="B231" s="1" t="n">
        <v>45079</v>
      </c>
      <c r="C231" s="1" t="n">
        <v>45917</v>
      </c>
      <c r="D231" t="inlineStr">
        <is>
          <t>JÄMTLANDS LÄN</t>
        </is>
      </c>
      <c r="E231" t="inlineStr">
        <is>
          <t>KROKOM</t>
        </is>
      </c>
      <c r="G231" t="n">
        <v>14.9</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25285-2023 artfynd.xlsx", "A 25285-2023")</f>
        <v/>
      </c>
      <c r="T231">
        <f>HYPERLINK("https://klasma.github.io/Logging_2309/kartor/A 25285-2023 karta.png", "A 25285-2023")</f>
        <v/>
      </c>
      <c r="V231">
        <f>HYPERLINK("https://klasma.github.io/Logging_2309/klagomål/A 25285-2023 FSC-klagomål.docx", "A 25285-2023")</f>
        <v/>
      </c>
      <c r="W231">
        <f>HYPERLINK("https://klasma.github.io/Logging_2309/klagomålsmail/A 25285-2023 FSC-klagomål mail.docx", "A 25285-2023")</f>
        <v/>
      </c>
      <c r="X231">
        <f>HYPERLINK("https://klasma.github.io/Logging_2309/tillsyn/A 25285-2023 tillsynsbegäran.docx", "A 25285-2023")</f>
        <v/>
      </c>
      <c r="Y231">
        <f>HYPERLINK("https://klasma.github.io/Logging_2309/tillsynsmail/A 25285-2023 tillsynsbegäran mail.docx", "A 25285-2023")</f>
        <v/>
      </c>
      <c r="Z231">
        <f>HYPERLINK("https://klasma.github.io/Logging_2309/fåglar/A 25285-2023 prioriterade fågelarter.docx", "A 25285-2023")</f>
        <v/>
      </c>
    </row>
    <row r="232" ht="15" customHeight="1">
      <c r="A232" t="inlineStr">
        <is>
          <t>A 62936-2023</t>
        </is>
      </c>
      <c r="B232" s="1" t="n">
        <v>45271</v>
      </c>
      <c r="C232" s="1" t="n">
        <v>45917</v>
      </c>
      <c r="D232" t="inlineStr">
        <is>
          <t>JÄMTLANDS LÄN</t>
        </is>
      </c>
      <c r="E232" t="inlineStr">
        <is>
          <t>KROKOM</t>
        </is>
      </c>
      <c r="G232" t="n">
        <v>33.9</v>
      </c>
      <c r="H232" t="n">
        <v>0</v>
      </c>
      <c r="I232" t="n">
        <v>1</v>
      </c>
      <c r="J232" t="n">
        <v>0</v>
      </c>
      <c r="K232" t="n">
        <v>0</v>
      </c>
      <c r="L232" t="n">
        <v>0</v>
      </c>
      <c r="M232" t="n">
        <v>0</v>
      </c>
      <c r="N232" t="n">
        <v>0</v>
      </c>
      <c r="O232" t="n">
        <v>0</v>
      </c>
      <c r="P232" t="n">
        <v>0</v>
      </c>
      <c r="Q232" t="n">
        <v>1</v>
      </c>
      <c r="R232" s="2" t="inlineStr">
        <is>
          <t>Stuplav</t>
        </is>
      </c>
      <c r="S232">
        <f>HYPERLINK("https://klasma.github.io/Logging_2309/artfynd/A 62936-2023 artfynd.xlsx", "A 62936-2023")</f>
        <v/>
      </c>
      <c r="T232">
        <f>HYPERLINK("https://klasma.github.io/Logging_2309/kartor/A 62936-2023 karta.png", "A 62936-2023")</f>
        <v/>
      </c>
      <c r="V232">
        <f>HYPERLINK("https://klasma.github.io/Logging_2309/klagomål/A 62936-2023 FSC-klagomål.docx", "A 62936-2023")</f>
        <v/>
      </c>
      <c r="W232">
        <f>HYPERLINK("https://klasma.github.io/Logging_2309/klagomålsmail/A 62936-2023 FSC-klagomål mail.docx", "A 62936-2023")</f>
        <v/>
      </c>
      <c r="X232">
        <f>HYPERLINK("https://klasma.github.io/Logging_2309/tillsyn/A 62936-2023 tillsynsbegäran.docx", "A 62936-2023")</f>
        <v/>
      </c>
      <c r="Y232">
        <f>HYPERLINK("https://klasma.github.io/Logging_2309/tillsynsmail/A 62936-2023 tillsynsbegäran mail.docx", "A 62936-2023")</f>
        <v/>
      </c>
    </row>
    <row r="233" ht="15" customHeight="1">
      <c r="A233" t="inlineStr">
        <is>
          <t>A 25268-2025</t>
        </is>
      </c>
      <c r="B233" s="1" t="n">
        <v>45800</v>
      </c>
      <c r="C233" s="1" t="n">
        <v>45917</v>
      </c>
      <c r="D233" t="inlineStr">
        <is>
          <t>JÄMTLANDS LÄN</t>
        </is>
      </c>
      <c r="E233" t="inlineStr">
        <is>
          <t>KROKOM</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25268-2025 artfynd.xlsx", "A 25268-2025")</f>
        <v/>
      </c>
      <c r="T233">
        <f>HYPERLINK("https://klasma.github.io/Logging_2309/kartor/A 25268-2025 karta.png", "A 25268-2025")</f>
        <v/>
      </c>
      <c r="V233">
        <f>HYPERLINK("https://klasma.github.io/Logging_2309/klagomål/A 25268-2025 FSC-klagomål.docx", "A 25268-2025")</f>
        <v/>
      </c>
      <c r="W233">
        <f>HYPERLINK("https://klasma.github.io/Logging_2309/klagomålsmail/A 25268-2025 FSC-klagomål mail.docx", "A 25268-2025")</f>
        <v/>
      </c>
      <c r="X233">
        <f>HYPERLINK("https://klasma.github.io/Logging_2309/tillsyn/A 25268-2025 tillsynsbegäran.docx", "A 25268-2025")</f>
        <v/>
      </c>
      <c r="Y233">
        <f>HYPERLINK("https://klasma.github.io/Logging_2309/tillsynsmail/A 25268-2025 tillsynsbegäran mail.docx", "A 25268-2025")</f>
        <v/>
      </c>
      <c r="Z233">
        <f>HYPERLINK("https://klasma.github.io/Logging_2309/fåglar/A 25268-2025 prioriterade fågelarter.docx", "A 25268-2025")</f>
        <v/>
      </c>
    </row>
    <row r="234" ht="15" customHeight="1">
      <c r="A234" t="inlineStr">
        <is>
          <t>A 814-2022</t>
        </is>
      </c>
      <c r="B234" s="1" t="n">
        <v>44568</v>
      </c>
      <c r="C234" s="1" t="n">
        <v>45917</v>
      </c>
      <c r="D234" t="inlineStr">
        <is>
          <t>JÄMTLANDS LÄN</t>
        </is>
      </c>
      <c r="E234" t="inlineStr">
        <is>
          <t>KROKOM</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814-2022 artfynd.xlsx", "A 814-2022")</f>
        <v/>
      </c>
      <c r="T234">
        <f>HYPERLINK("https://klasma.github.io/Logging_2309/kartor/A 814-2022 karta.png", "A 814-2022")</f>
        <v/>
      </c>
      <c r="V234">
        <f>HYPERLINK("https://klasma.github.io/Logging_2309/klagomål/A 814-2022 FSC-klagomål.docx", "A 814-2022")</f>
        <v/>
      </c>
      <c r="W234">
        <f>HYPERLINK("https://klasma.github.io/Logging_2309/klagomålsmail/A 814-2022 FSC-klagomål mail.docx", "A 814-2022")</f>
        <v/>
      </c>
      <c r="X234">
        <f>HYPERLINK("https://klasma.github.io/Logging_2309/tillsyn/A 814-2022 tillsynsbegäran.docx", "A 814-2022")</f>
        <v/>
      </c>
      <c r="Y234">
        <f>HYPERLINK("https://klasma.github.io/Logging_2309/tillsynsmail/A 814-2022 tillsynsbegäran mail.docx", "A 814-2022")</f>
        <v/>
      </c>
      <c r="Z234">
        <f>HYPERLINK("https://klasma.github.io/Logging_2309/fåglar/A 814-2022 prioriterade fågelarter.docx", "A 814-2022")</f>
        <v/>
      </c>
    </row>
    <row r="235" ht="15" customHeight="1">
      <c r="A235" t="inlineStr">
        <is>
          <t>A 6705-2025</t>
        </is>
      </c>
      <c r="B235" s="1" t="n">
        <v>45700</v>
      </c>
      <c r="C235" s="1" t="n">
        <v>45917</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19984-2021</t>
        </is>
      </c>
      <c r="B236" s="1" t="n">
        <v>44313</v>
      </c>
      <c r="C236" s="1" t="n">
        <v>45917</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45917</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45917</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45917</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45917</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45917</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45917</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45917</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45917</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45917</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45917</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45917</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45917</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45917</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45917</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45917</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45917</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45917</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45917</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45917</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45917</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45917</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45917</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45917</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56168-2020</t>
        </is>
      </c>
      <c r="B260" s="1" t="n">
        <v>44133</v>
      </c>
      <c r="C260" s="1" t="n">
        <v>45917</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11530-2021</t>
        </is>
      </c>
      <c r="B261" s="1" t="n">
        <v>44263</v>
      </c>
      <c r="C261" s="1" t="n">
        <v>45917</v>
      </c>
      <c r="D261" t="inlineStr">
        <is>
          <t>JÄMTLANDS LÄN</t>
        </is>
      </c>
      <c r="E261" t="inlineStr">
        <is>
          <t>KROKOM</t>
        </is>
      </c>
      <c r="G261" t="n">
        <v>9</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45917</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45917</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45917</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45917</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45917</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45917</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22629-2022</t>
        </is>
      </c>
      <c r="B268" s="1" t="n">
        <v>44714.438125</v>
      </c>
      <c r="C268" s="1" t="n">
        <v>45917</v>
      </c>
      <c r="D268" t="inlineStr">
        <is>
          <t>JÄMTLANDS LÄN</t>
        </is>
      </c>
      <c r="E268" t="inlineStr">
        <is>
          <t>KROKOM</t>
        </is>
      </c>
      <c r="G268" t="n">
        <v>17.1</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45917</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58378-2020</t>
        </is>
      </c>
      <c r="B270" s="1" t="n">
        <v>44141</v>
      </c>
      <c r="C270" s="1" t="n">
        <v>45917</v>
      </c>
      <c r="D270" t="inlineStr">
        <is>
          <t>JÄMTLANDS LÄN</t>
        </is>
      </c>
      <c r="E270" t="inlineStr">
        <is>
          <t>KROKOM</t>
        </is>
      </c>
      <c r="G270" t="n">
        <v>14.4</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45917</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45917</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45917</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69949-2021</t>
        </is>
      </c>
      <c r="B274" s="1" t="n">
        <v>44533</v>
      </c>
      <c r="C274" s="1" t="n">
        <v>45917</v>
      </c>
      <c r="D274" t="inlineStr">
        <is>
          <t>JÄMTLANDS LÄN</t>
        </is>
      </c>
      <c r="E274" t="inlineStr">
        <is>
          <t>KROKOM</t>
        </is>
      </c>
      <c r="G274" t="n">
        <v>15.8</v>
      </c>
      <c r="H274" t="n">
        <v>0</v>
      </c>
      <c r="I274" t="n">
        <v>0</v>
      </c>
      <c r="J274" t="n">
        <v>0</v>
      </c>
      <c r="K274" t="n">
        <v>0</v>
      </c>
      <c r="L274" t="n">
        <v>0</v>
      </c>
      <c r="M274" t="n">
        <v>0</v>
      </c>
      <c r="N274" t="n">
        <v>0</v>
      </c>
      <c r="O274" t="n">
        <v>0</v>
      </c>
      <c r="P274" t="n">
        <v>0</v>
      </c>
      <c r="Q274" t="n">
        <v>0</v>
      </c>
      <c r="R274" s="2" t="inlineStr"/>
    </row>
    <row r="275" ht="15" customHeight="1">
      <c r="A275" t="inlineStr">
        <is>
          <t>A 28804-2022</t>
        </is>
      </c>
      <c r="B275" s="1" t="n">
        <v>44749</v>
      </c>
      <c r="C275" s="1" t="n">
        <v>45917</v>
      </c>
      <c r="D275" t="inlineStr">
        <is>
          <t>JÄMTLANDS LÄN</t>
        </is>
      </c>
      <c r="E275" t="inlineStr">
        <is>
          <t>KROKOM</t>
        </is>
      </c>
      <c r="G275" t="n">
        <v>0.8</v>
      </c>
      <c r="H275" t="n">
        <v>0</v>
      </c>
      <c r="I275" t="n">
        <v>0</v>
      </c>
      <c r="J275" t="n">
        <v>0</v>
      </c>
      <c r="K275" t="n">
        <v>0</v>
      </c>
      <c r="L275" t="n">
        <v>0</v>
      </c>
      <c r="M275" t="n">
        <v>0</v>
      </c>
      <c r="N275" t="n">
        <v>0</v>
      </c>
      <c r="O275" t="n">
        <v>0</v>
      </c>
      <c r="P275" t="n">
        <v>0</v>
      </c>
      <c r="Q275" t="n">
        <v>0</v>
      </c>
      <c r="R275" s="2" t="inlineStr"/>
    </row>
    <row r="276" ht="15" customHeight="1">
      <c r="A276" t="inlineStr">
        <is>
          <t>A 54582-2020</t>
        </is>
      </c>
      <c r="B276" s="1" t="n">
        <v>44126.94510416667</v>
      </c>
      <c r="C276" s="1" t="n">
        <v>45917</v>
      </c>
      <c r="D276" t="inlineStr">
        <is>
          <t>JÄMTLANDS LÄN</t>
        </is>
      </c>
      <c r="E276" t="inlineStr">
        <is>
          <t>KROKOM</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42360-2022</t>
        </is>
      </c>
      <c r="B277" s="1" t="n">
        <v>44831.37650462963</v>
      </c>
      <c r="C277" s="1" t="n">
        <v>45917</v>
      </c>
      <c r="D277" t="inlineStr">
        <is>
          <t>JÄMTLANDS LÄN</t>
        </is>
      </c>
      <c r="E277" t="inlineStr">
        <is>
          <t>KROKOM</t>
        </is>
      </c>
      <c r="F277" t="inlineStr">
        <is>
          <t>Övriga Aktiebolag</t>
        </is>
      </c>
      <c r="G277" t="n">
        <v>3.9</v>
      </c>
      <c r="H277" t="n">
        <v>0</v>
      </c>
      <c r="I277" t="n">
        <v>0</v>
      </c>
      <c r="J277" t="n">
        <v>0</v>
      </c>
      <c r="K277" t="n">
        <v>0</v>
      </c>
      <c r="L277" t="n">
        <v>0</v>
      </c>
      <c r="M277" t="n">
        <v>0</v>
      </c>
      <c r="N277" t="n">
        <v>0</v>
      </c>
      <c r="O277" t="n">
        <v>0</v>
      </c>
      <c r="P277" t="n">
        <v>0</v>
      </c>
      <c r="Q277" t="n">
        <v>0</v>
      </c>
      <c r="R277" s="2" t="inlineStr"/>
    </row>
    <row r="278" ht="15" customHeight="1">
      <c r="A278" t="inlineStr">
        <is>
          <t>A 327-2021</t>
        </is>
      </c>
      <c r="B278" s="1" t="n">
        <v>44200</v>
      </c>
      <c r="C278" s="1" t="n">
        <v>45917</v>
      </c>
      <c r="D278" t="inlineStr">
        <is>
          <t>JÄMTLANDS LÄN</t>
        </is>
      </c>
      <c r="E278" t="inlineStr">
        <is>
          <t>KROKOM</t>
        </is>
      </c>
      <c r="G278" t="n">
        <v>0.2</v>
      </c>
      <c r="H278" t="n">
        <v>0</v>
      </c>
      <c r="I278" t="n">
        <v>0</v>
      </c>
      <c r="J278" t="n">
        <v>0</v>
      </c>
      <c r="K278" t="n">
        <v>0</v>
      </c>
      <c r="L278" t="n">
        <v>0</v>
      </c>
      <c r="M278" t="n">
        <v>0</v>
      </c>
      <c r="N278" t="n">
        <v>0</v>
      </c>
      <c r="O278" t="n">
        <v>0</v>
      </c>
      <c r="P278" t="n">
        <v>0</v>
      </c>
      <c r="Q278" t="n">
        <v>0</v>
      </c>
      <c r="R278" s="2" t="inlineStr"/>
    </row>
    <row r="279" ht="15" customHeight="1">
      <c r="A279" t="inlineStr">
        <is>
          <t>A 65787-2020</t>
        </is>
      </c>
      <c r="B279" s="1" t="n">
        <v>44172</v>
      </c>
      <c r="C279" s="1" t="n">
        <v>45917</v>
      </c>
      <c r="D279" t="inlineStr">
        <is>
          <t>JÄMTLANDS LÄN</t>
        </is>
      </c>
      <c r="E279" t="inlineStr">
        <is>
          <t>KROKOM</t>
        </is>
      </c>
      <c r="G279" t="n">
        <v>5.8</v>
      </c>
      <c r="H279" t="n">
        <v>0</v>
      </c>
      <c r="I279" t="n">
        <v>0</v>
      </c>
      <c r="J279" t="n">
        <v>0</v>
      </c>
      <c r="K279" t="n">
        <v>0</v>
      </c>
      <c r="L279" t="n">
        <v>0</v>
      </c>
      <c r="M279" t="n">
        <v>0</v>
      </c>
      <c r="N279" t="n">
        <v>0</v>
      </c>
      <c r="O279" t="n">
        <v>0</v>
      </c>
      <c r="P279" t="n">
        <v>0</v>
      </c>
      <c r="Q279" t="n">
        <v>0</v>
      </c>
      <c r="R279" s="2" t="inlineStr"/>
    </row>
    <row r="280" ht="15" customHeight="1">
      <c r="A280" t="inlineStr">
        <is>
          <t>A 64953-2021</t>
        </is>
      </c>
      <c r="B280" s="1" t="n">
        <v>44512.94539351852</v>
      </c>
      <c r="C280" s="1" t="n">
        <v>45917</v>
      </c>
      <c r="D280" t="inlineStr">
        <is>
          <t>JÄMTLANDS LÄN</t>
        </is>
      </c>
      <c r="E280" t="inlineStr">
        <is>
          <t>KROKOM</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31467-2021</t>
        </is>
      </c>
      <c r="B281" s="1" t="n">
        <v>44369.41452546296</v>
      </c>
      <c r="C281" s="1" t="n">
        <v>45917</v>
      </c>
      <c r="D281" t="inlineStr">
        <is>
          <t>JÄMTLANDS LÄN</t>
        </is>
      </c>
      <c r="E281" t="inlineStr">
        <is>
          <t>KROKOM</t>
        </is>
      </c>
      <c r="G281" t="n">
        <v>24.7</v>
      </c>
      <c r="H281" t="n">
        <v>0</v>
      </c>
      <c r="I281" t="n">
        <v>0</v>
      </c>
      <c r="J281" t="n">
        <v>0</v>
      </c>
      <c r="K281" t="n">
        <v>0</v>
      </c>
      <c r="L281" t="n">
        <v>0</v>
      </c>
      <c r="M281" t="n">
        <v>0</v>
      </c>
      <c r="N281" t="n">
        <v>0</v>
      </c>
      <c r="O281" t="n">
        <v>0</v>
      </c>
      <c r="P281" t="n">
        <v>0</v>
      </c>
      <c r="Q281" t="n">
        <v>0</v>
      </c>
      <c r="R281" s="2" t="inlineStr"/>
    </row>
    <row r="282" ht="15" customHeight="1">
      <c r="A282" t="inlineStr">
        <is>
          <t>A 12884-2021</t>
        </is>
      </c>
      <c r="B282" s="1" t="n">
        <v>44271.43831018519</v>
      </c>
      <c r="C282" s="1" t="n">
        <v>45917</v>
      </c>
      <c r="D282" t="inlineStr">
        <is>
          <t>JÄMTLANDS LÄN</t>
        </is>
      </c>
      <c r="E282" t="inlineStr">
        <is>
          <t>KROKOM</t>
        </is>
      </c>
      <c r="G282" t="n">
        <v>5.5</v>
      </c>
      <c r="H282" t="n">
        <v>0</v>
      </c>
      <c r="I282" t="n">
        <v>0</v>
      </c>
      <c r="J282" t="n">
        <v>0</v>
      </c>
      <c r="K282" t="n">
        <v>0</v>
      </c>
      <c r="L282" t="n">
        <v>0</v>
      </c>
      <c r="M282" t="n">
        <v>0</v>
      </c>
      <c r="N282" t="n">
        <v>0</v>
      </c>
      <c r="O282" t="n">
        <v>0</v>
      </c>
      <c r="P282" t="n">
        <v>0</v>
      </c>
      <c r="Q282" t="n">
        <v>0</v>
      </c>
      <c r="R282" s="2" t="inlineStr"/>
    </row>
    <row r="283" ht="15" customHeight="1">
      <c r="A283" t="inlineStr">
        <is>
          <t>A 20405-2021</t>
        </is>
      </c>
      <c r="B283" s="1" t="n">
        <v>44312</v>
      </c>
      <c r="C283" s="1" t="n">
        <v>45917</v>
      </c>
      <c r="D283" t="inlineStr">
        <is>
          <t>JÄMTLANDS LÄN</t>
        </is>
      </c>
      <c r="E283" t="inlineStr">
        <is>
          <t>KROKOM</t>
        </is>
      </c>
      <c r="G283" t="n">
        <v>7.1</v>
      </c>
      <c r="H283" t="n">
        <v>0</v>
      </c>
      <c r="I283" t="n">
        <v>0</v>
      </c>
      <c r="J283" t="n">
        <v>0</v>
      </c>
      <c r="K283" t="n">
        <v>0</v>
      </c>
      <c r="L283" t="n">
        <v>0</v>
      </c>
      <c r="M283" t="n">
        <v>0</v>
      </c>
      <c r="N283" t="n">
        <v>0</v>
      </c>
      <c r="O283" t="n">
        <v>0</v>
      </c>
      <c r="P283" t="n">
        <v>0</v>
      </c>
      <c r="Q283" t="n">
        <v>0</v>
      </c>
      <c r="R283" s="2" t="inlineStr"/>
    </row>
    <row r="284" ht="15" customHeight="1">
      <c r="A284" t="inlineStr">
        <is>
          <t>A 18544-2021</t>
        </is>
      </c>
      <c r="B284" s="1" t="n">
        <v>44306</v>
      </c>
      <c r="C284" s="1" t="n">
        <v>45917</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62206-2021</t>
        </is>
      </c>
      <c r="B285" s="1" t="n">
        <v>44502.94153935185</v>
      </c>
      <c r="C285" s="1" t="n">
        <v>45917</v>
      </c>
      <c r="D285" t="inlineStr">
        <is>
          <t>JÄMTLANDS LÄN</t>
        </is>
      </c>
      <c r="E285" t="inlineStr">
        <is>
          <t>KROKOM</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33395-2022</t>
        </is>
      </c>
      <c r="B286" s="1" t="n">
        <v>44788</v>
      </c>
      <c r="C286" s="1" t="n">
        <v>45917</v>
      </c>
      <c r="D286" t="inlineStr">
        <is>
          <t>JÄMTLANDS LÄN</t>
        </is>
      </c>
      <c r="E286" t="inlineStr">
        <is>
          <t>KROKOM</t>
        </is>
      </c>
      <c r="F286" t="inlineStr">
        <is>
          <t>Övriga Aktiebolag</t>
        </is>
      </c>
      <c r="G286" t="n">
        <v>6.2</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45917</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915-2021</t>
        </is>
      </c>
      <c r="B288" s="1" t="n">
        <v>44207</v>
      </c>
      <c r="C288" s="1" t="n">
        <v>45917</v>
      </c>
      <c r="D288" t="inlineStr">
        <is>
          <t>JÄMTLANDS LÄN</t>
        </is>
      </c>
      <c r="E288" t="inlineStr">
        <is>
          <t>KROKOM</t>
        </is>
      </c>
      <c r="F288" t="inlineStr">
        <is>
          <t>Övriga Aktiebolag</t>
        </is>
      </c>
      <c r="G288" t="n">
        <v>107.9</v>
      </c>
      <c r="H288" t="n">
        <v>0</v>
      </c>
      <c r="I288" t="n">
        <v>0</v>
      </c>
      <c r="J288" t="n">
        <v>0</v>
      </c>
      <c r="K288" t="n">
        <v>0</v>
      </c>
      <c r="L288" t="n">
        <v>0</v>
      </c>
      <c r="M288" t="n">
        <v>0</v>
      </c>
      <c r="N288" t="n">
        <v>0</v>
      </c>
      <c r="O288" t="n">
        <v>0</v>
      </c>
      <c r="P288" t="n">
        <v>0</v>
      </c>
      <c r="Q288" t="n">
        <v>0</v>
      </c>
      <c r="R288" s="2" t="inlineStr"/>
    </row>
    <row r="289" ht="15" customHeight="1">
      <c r="A289" t="inlineStr">
        <is>
          <t>A 46825-2022</t>
        </is>
      </c>
      <c r="B289" s="1" t="n">
        <v>44851.57131944445</v>
      </c>
      <c r="C289" s="1" t="n">
        <v>45917</v>
      </c>
      <c r="D289" t="inlineStr">
        <is>
          <t>JÄMTLANDS LÄN</t>
        </is>
      </c>
      <c r="E289" t="inlineStr">
        <is>
          <t>KROKOM</t>
        </is>
      </c>
      <c r="F289" t="inlineStr">
        <is>
          <t>Övriga Aktiebolag</t>
        </is>
      </c>
      <c r="G289" t="n">
        <v>0.6</v>
      </c>
      <c r="H289" t="n">
        <v>0</v>
      </c>
      <c r="I289" t="n">
        <v>0</v>
      </c>
      <c r="J289" t="n">
        <v>0</v>
      </c>
      <c r="K289" t="n">
        <v>0</v>
      </c>
      <c r="L289" t="n">
        <v>0</v>
      </c>
      <c r="M289" t="n">
        <v>0</v>
      </c>
      <c r="N289" t="n">
        <v>0</v>
      </c>
      <c r="O289" t="n">
        <v>0</v>
      </c>
      <c r="P289" t="n">
        <v>0</v>
      </c>
      <c r="Q289" t="n">
        <v>0</v>
      </c>
      <c r="R289" s="2" t="inlineStr"/>
    </row>
    <row r="290" ht="15" customHeight="1">
      <c r="A290" t="inlineStr">
        <is>
          <t>A 1718-2021</t>
        </is>
      </c>
      <c r="B290" s="1" t="n">
        <v>44209</v>
      </c>
      <c r="C290" s="1" t="n">
        <v>45917</v>
      </c>
      <c r="D290" t="inlineStr">
        <is>
          <t>JÄMTLANDS LÄN</t>
        </is>
      </c>
      <c r="E290" t="inlineStr">
        <is>
          <t>KROKOM</t>
        </is>
      </c>
      <c r="G290" t="n">
        <v>8</v>
      </c>
      <c r="H290" t="n">
        <v>0</v>
      </c>
      <c r="I290" t="n">
        <v>0</v>
      </c>
      <c r="J290" t="n">
        <v>0</v>
      </c>
      <c r="K290" t="n">
        <v>0</v>
      </c>
      <c r="L290" t="n">
        <v>0</v>
      </c>
      <c r="M290" t="n">
        <v>0</v>
      </c>
      <c r="N290" t="n">
        <v>0</v>
      </c>
      <c r="O290" t="n">
        <v>0</v>
      </c>
      <c r="P290" t="n">
        <v>0</v>
      </c>
      <c r="Q290" t="n">
        <v>0</v>
      </c>
      <c r="R290" s="2" t="inlineStr"/>
    </row>
    <row r="291" ht="15" customHeight="1">
      <c r="A291" t="inlineStr">
        <is>
          <t>A 1753-2021</t>
        </is>
      </c>
      <c r="B291" s="1" t="n">
        <v>44209</v>
      </c>
      <c r="C291" s="1" t="n">
        <v>45917</v>
      </c>
      <c r="D291" t="inlineStr">
        <is>
          <t>JÄMTLANDS LÄN</t>
        </is>
      </c>
      <c r="E291" t="inlineStr">
        <is>
          <t>KROKOM</t>
        </is>
      </c>
      <c r="G291" t="n">
        <v>17.2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45917</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54497-2021</t>
        </is>
      </c>
      <c r="B293" s="1" t="n">
        <v>44473</v>
      </c>
      <c r="C293" s="1" t="n">
        <v>45917</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49697-2020</t>
        </is>
      </c>
      <c r="B294" s="1" t="n">
        <v>44106</v>
      </c>
      <c r="C294" s="1" t="n">
        <v>45917</v>
      </c>
      <c r="D294" t="inlineStr">
        <is>
          <t>JÄMTLANDS LÄN</t>
        </is>
      </c>
      <c r="E294" t="inlineStr">
        <is>
          <t>KROKOM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52557-2021</t>
        </is>
      </c>
      <c r="B295" s="1" t="n">
        <v>44466.53040509259</v>
      </c>
      <c r="C295" s="1" t="n">
        <v>45917</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17726-2021</t>
        </is>
      </c>
      <c r="B296" s="1" t="n">
        <v>44300</v>
      </c>
      <c r="C296" s="1" t="n">
        <v>45917</v>
      </c>
      <c r="D296" t="inlineStr">
        <is>
          <t>JÄMTLANDS LÄN</t>
        </is>
      </c>
      <c r="E296" t="inlineStr">
        <is>
          <t>KROKOM</t>
        </is>
      </c>
      <c r="G296" t="n">
        <v>30.7</v>
      </c>
      <c r="H296" t="n">
        <v>0</v>
      </c>
      <c r="I296" t="n">
        <v>0</v>
      </c>
      <c r="J296" t="n">
        <v>0</v>
      </c>
      <c r="K296" t="n">
        <v>0</v>
      </c>
      <c r="L296" t="n">
        <v>0</v>
      </c>
      <c r="M296" t="n">
        <v>0</v>
      </c>
      <c r="N296" t="n">
        <v>0</v>
      </c>
      <c r="O296" t="n">
        <v>0</v>
      </c>
      <c r="P296" t="n">
        <v>0</v>
      </c>
      <c r="Q296" t="n">
        <v>0</v>
      </c>
      <c r="R296" s="2" t="inlineStr"/>
    </row>
    <row r="297" ht="15" customHeight="1">
      <c r="A297" t="inlineStr">
        <is>
          <t>A 71246-2021</t>
        </is>
      </c>
      <c r="B297" s="1" t="n">
        <v>44539</v>
      </c>
      <c r="C297" s="1" t="n">
        <v>45917</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60348-2021</t>
        </is>
      </c>
      <c r="B298" s="1" t="n">
        <v>44495</v>
      </c>
      <c r="C298" s="1" t="n">
        <v>45917</v>
      </c>
      <c r="D298" t="inlineStr">
        <is>
          <t>JÄMTLANDS LÄN</t>
        </is>
      </c>
      <c r="E298" t="inlineStr">
        <is>
          <t>KROKOM</t>
        </is>
      </c>
      <c r="G298" t="n">
        <v>11.2</v>
      </c>
      <c r="H298" t="n">
        <v>0</v>
      </c>
      <c r="I298" t="n">
        <v>0</v>
      </c>
      <c r="J298" t="n">
        <v>0</v>
      </c>
      <c r="K298" t="n">
        <v>0</v>
      </c>
      <c r="L298" t="n">
        <v>0</v>
      </c>
      <c r="M298" t="n">
        <v>0</v>
      </c>
      <c r="N298" t="n">
        <v>0</v>
      </c>
      <c r="O298" t="n">
        <v>0</v>
      </c>
      <c r="P298" t="n">
        <v>0</v>
      </c>
      <c r="Q298" t="n">
        <v>0</v>
      </c>
      <c r="R298" s="2" t="inlineStr"/>
    </row>
    <row r="299" ht="15" customHeight="1">
      <c r="A299" t="inlineStr">
        <is>
          <t>A 60351-2021</t>
        </is>
      </c>
      <c r="B299" s="1" t="n">
        <v>44495</v>
      </c>
      <c r="C299" s="1" t="n">
        <v>45917</v>
      </c>
      <c r="D299" t="inlineStr">
        <is>
          <t>JÄMTLANDS LÄN</t>
        </is>
      </c>
      <c r="E299" t="inlineStr">
        <is>
          <t>KROKOM</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13989-2021</t>
        </is>
      </c>
      <c r="B300" s="1" t="n">
        <v>44277.59521990741</v>
      </c>
      <c r="C300" s="1" t="n">
        <v>45917</v>
      </c>
      <c r="D300" t="inlineStr">
        <is>
          <t>JÄMTLANDS LÄN</t>
        </is>
      </c>
      <c r="E300" t="inlineStr">
        <is>
          <t>KROKOM</t>
        </is>
      </c>
      <c r="G300" t="n">
        <v>2.2</v>
      </c>
      <c r="H300" t="n">
        <v>0</v>
      </c>
      <c r="I300" t="n">
        <v>0</v>
      </c>
      <c r="J300" t="n">
        <v>0</v>
      </c>
      <c r="K300" t="n">
        <v>0</v>
      </c>
      <c r="L300" t="n">
        <v>0</v>
      </c>
      <c r="M300" t="n">
        <v>0</v>
      </c>
      <c r="N300" t="n">
        <v>0</v>
      </c>
      <c r="O300" t="n">
        <v>0</v>
      </c>
      <c r="P300" t="n">
        <v>0</v>
      </c>
      <c r="Q300" t="n">
        <v>0</v>
      </c>
      <c r="R300" s="2" t="inlineStr"/>
    </row>
    <row r="301" ht="15" customHeight="1">
      <c r="A301" t="inlineStr">
        <is>
          <t>A 64966-2021</t>
        </is>
      </c>
      <c r="B301" s="1" t="n">
        <v>44512</v>
      </c>
      <c r="C301" s="1" t="n">
        <v>45917</v>
      </c>
      <c r="D301" t="inlineStr">
        <is>
          <t>JÄMTLANDS LÄN</t>
        </is>
      </c>
      <c r="E301" t="inlineStr">
        <is>
          <t>KROKOM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65783-2020</t>
        </is>
      </c>
      <c r="B302" s="1" t="n">
        <v>44172</v>
      </c>
      <c r="C302" s="1" t="n">
        <v>45917</v>
      </c>
      <c r="D302" t="inlineStr">
        <is>
          <t>JÄMTLANDS LÄN</t>
        </is>
      </c>
      <c r="E302" t="inlineStr">
        <is>
          <t>KROKOM</t>
        </is>
      </c>
      <c r="G302" t="n">
        <v>3.8</v>
      </c>
      <c r="H302" t="n">
        <v>0</v>
      </c>
      <c r="I302" t="n">
        <v>0</v>
      </c>
      <c r="J302" t="n">
        <v>0</v>
      </c>
      <c r="K302" t="n">
        <v>0</v>
      </c>
      <c r="L302" t="n">
        <v>0</v>
      </c>
      <c r="M302" t="n">
        <v>0</v>
      </c>
      <c r="N302" t="n">
        <v>0</v>
      </c>
      <c r="O302" t="n">
        <v>0</v>
      </c>
      <c r="P302" t="n">
        <v>0</v>
      </c>
      <c r="Q302" t="n">
        <v>0</v>
      </c>
      <c r="R302" s="2" t="inlineStr"/>
    </row>
    <row r="303" ht="15" customHeight="1">
      <c r="A303" t="inlineStr">
        <is>
          <t>A 24677-2021</t>
        </is>
      </c>
      <c r="B303" s="1" t="n">
        <v>44337</v>
      </c>
      <c r="C303" s="1" t="n">
        <v>45917</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2451-2021</t>
        </is>
      </c>
      <c r="B304" s="1" t="n">
        <v>44214</v>
      </c>
      <c r="C304" s="1" t="n">
        <v>45917</v>
      </c>
      <c r="D304" t="inlineStr">
        <is>
          <t>JÄMTLANDS LÄN</t>
        </is>
      </c>
      <c r="E304" t="inlineStr">
        <is>
          <t>KROKOM</t>
        </is>
      </c>
      <c r="G304" t="n">
        <v>29.5</v>
      </c>
      <c r="H304" t="n">
        <v>0</v>
      </c>
      <c r="I304" t="n">
        <v>0</v>
      </c>
      <c r="J304" t="n">
        <v>0</v>
      </c>
      <c r="K304" t="n">
        <v>0</v>
      </c>
      <c r="L304" t="n">
        <v>0</v>
      </c>
      <c r="M304" t="n">
        <v>0</v>
      </c>
      <c r="N304" t="n">
        <v>0</v>
      </c>
      <c r="O304" t="n">
        <v>0</v>
      </c>
      <c r="P304" t="n">
        <v>0</v>
      </c>
      <c r="Q304" t="n">
        <v>0</v>
      </c>
      <c r="R304" s="2" t="inlineStr"/>
    </row>
    <row r="305" ht="15" customHeight="1">
      <c r="A305" t="inlineStr">
        <is>
          <t>A 62205-2021</t>
        </is>
      </c>
      <c r="B305" s="1" t="n">
        <v>44502.94140046297</v>
      </c>
      <c r="C305" s="1" t="n">
        <v>45917</v>
      </c>
      <c r="D305" t="inlineStr">
        <is>
          <t>JÄMTLANDS LÄN</t>
        </is>
      </c>
      <c r="E305" t="inlineStr">
        <is>
          <t>KROKOM</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19455-2022</t>
        </is>
      </c>
      <c r="B306" s="1" t="n">
        <v>44693.41668981482</v>
      </c>
      <c r="C306" s="1" t="n">
        <v>45917</v>
      </c>
      <c r="D306" t="inlineStr">
        <is>
          <t>JÄMTLANDS LÄN</t>
        </is>
      </c>
      <c r="E306" t="inlineStr">
        <is>
          <t>KROKOM</t>
        </is>
      </c>
      <c r="G306" t="n">
        <v>7</v>
      </c>
      <c r="H306" t="n">
        <v>0</v>
      </c>
      <c r="I306" t="n">
        <v>0</v>
      </c>
      <c r="J306" t="n">
        <v>0</v>
      </c>
      <c r="K306" t="n">
        <v>0</v>
      </c>
      <c r="L306" t="n">
        <v>0</v>
      </c>
      <c r="M306" t="n">
        <v>0</v>
      </c>
      <c r="N306" t="n">
        <v>0</v>
      </c>
      <c r="O306" t="n">
        <v>0</v>
      </c>
      <c r="P306" t="n">
        <v>0</v>
      </c>
      <c r="Q306" t="n">
        <v>0</v>
      </c>
      <c r="R306" s="2" t="inlineStr"/>
    </row>
    <row r="307" ht="15" customHeight="1">
      <c r="A307" t="inlineStr">
        <is>
          <t>A 54526-2021</t>
        </is>
      </c>
      <c r="B307" s="1" t="n">
        <v>44473.53681712963</v>
      </c>
      <c r="C307" s="1" t="n">
        <v>45917</v>
      </c>
      <c r="D307" t="inlineStr">
        <is>
          <t>JÄMTLANDS LÄN</t>
        </is>
      </c>
      <c r="E307" t="inlineStr">
        <is>
          <t>KROKOM</t>
        </is>
      </c>
      <c r="G307" t="n">
        <v>1.4</v>
      </c>
      <c r="H307" t="n">
        <v>0</v>
      </c>
      <c r="I307" t="n">
        <v>0</v>
      </c>
      <c r="J307" t="n">
        <v>0</v>
      </c>
      <c r="K307" t="n">
        <v>0</v>
      </c>
      <c r="L307" t="n">
        <v>0</v>
      </c>
      <c r="M307" t="n">
        <v>0</v>
      </c>
      <c r="N307" t="n">
        <v>0</v>
      </c>
      <c r="O307" t="n">
        <v>0</v>
      </c>
      <c r="P307" t="n">
        <v>0</v>
      </c>
      <c r="Q307" t="n">
        <v>0</v>
      </c>
      <c r="R307" s="2" t="inlineStr"/>
    </row>
    <row r="308" ht="15" customHeight="1">
      <c r="A308" t="inlineStr">
        <is>
          <t>A 50887-2021</t>
        </is>
      </c>
      <c r="B308" s="1" t="n">
        <v>44459</v>
      </c>
      <c r="C308" s="1" t="n">
        <v>45917</v>
      </c>
      <c r="D308" t="inlineStr">
        <is>
          <t>JÄMTLANDS LÄN</t>
        </is>
      </c>
      <c r="E308" t="inlineStr">
        <is>
          <t>KROKOM</t>
        </is>
      </c>
      <c r="G308" t="n">
        <v>4.5</v>
      </c>
      <c r="H308" t="n">
        <v>0</v>
      </c>
      <c r="I308" t="n">
        <v>0</v>
      </c>
      <c r="J308" t="n">
        <v>0</v>
      </c>
      <c r="K308" t="n">
        <v>0</v>
      </c>
      <c r="L308" t="n">
        <v>0</v>
      </c>
      <c r="M308" t="n">
        <v>0</v>
      </c>
      <c r="N308" t="n">
        <v>0</v>
      </c>
      <c r="O308" t="n">
        <v>0</v>
      </c>
      <c r="P308" t="n">
        <v>0</v>
      </c>
      <c r="Q308" t="n">
        <v>0</v>
      </c>
      <c r="R308" s="2" t="inlineStr"/>
    </row>
    <row r="309" ht="15" customHeight="1">
      <c r="A309" t="inlineStr">
        <is>
          <t>A 40866-2022</t>
        </is>
      </c>
      <c r="B309" s="1" t="n">
        <v>44820</v>
      </c>
      <c r="C309" s="1" t="n">
        <v>45917</v>
      </c>
      <c r="D309" t="inlineStr">
        <is>
          <t>JÄMTLANDS LÄN</t>
        </is>
      </c>
      <c r="E309" t="inlineStr">
        <is>
          <t>KROKOM</t>
        </is>
      </c>
      <c r="G309" t="n">
        <v>4.3</v>
      </c>
      <c r="H309" t="n">
        <v>0</v>
      </c>
      <c r="I309" t="n">
        <v>0</v>
      </c>
      <c r="J309" t="n">
        <v>0</v>
      </c>
      <c r="K309" t="n">
        <v>0</v>
      </c>
      <c r="L309" t="n">
        <v>0</v>
      </c>
      <c r="M309" t="n">
        <v>0</v>
      </c>
      <c r="N309" t="n">
        <v>0</v>
      </c>
      <c r="O309" t="n">
        <v>0</v>
      </c>
      <c r="P309" t="n">
        <v>0</v>
      </c>
      <c r="Q309" t="n">
        <v>0</v>
      </c>
      <c r="R309" s="2" t="inlineStr"/>
    </row>
    <row r="310" ht="15" customHeight="1">
      <c r="A310" t="inlineStr">
        <is>
          <t>A 67488-2021</t>
        </is>
      </c>
      <c r="B310" s="1" t="n">
        <v>44524</v>
      </c>
      <c r="C310" s="1" t="n">
        <v>45917</v>
      </c>
      <c r="D310" t="inlineStr">
        <is>
          <t>JÄMTLANDS LÄN</t>
        </is>
      </c>
      <c r="E310" t="inlineStr">
        <is>
          <t>KROKOM</t>
        </is>
      </c>
      <c r="G310" t="n">
        <v>0.5</v>
      </c>
      <c r="H310" t="n">
        <v>0</v>
      </c>
      <c r="I310" t="n">
        <v>0</v>
      </c>
      <c r="J310" t="n">
        <v>0</v>
      </c>
      <c r="K310" t="n">
        <v>0</v>
      </c>
      <c r="L310" t="n">
        <v>0</v>
      </c>
      <c r="M310" t="n">
        <v>0</v>
      </c>
      <c r="N310" t="n">
        <v>0</v>
      </c>
      <c r="O310" t="n">
        <v>0</v>
      </c>
      <c r="P310" t="n">
        <v>0</v>
      </c>
      <c r="Q310" t="n">
        <v>0</v>
      </c>
      <c r="R310" s="2" t="inlineStr"/>
    </row>
    <row r="311" ht="15" customHeight="1">
      <c r="A311" t="inlineStr">
        <is>
          <t>A 53501-2020</t>
        </is>
      </c>
      <c r="B311" s="1" t="n">
        <v>44123</v>
      </c>
      <c r="C311" s="1" t="n">
        <v>45917</v>
      </c>
      <c r="D311" t="inlineStr">
        <is>
          <t>JÄMTLANDS LÄN</t>
        </is>
      </c>
      <c r="E311" t="inlineStr">
        <is>
          <t>KROKOM</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8569-2022</t>
        </is>
      </c>
      <c r="B312" s="1" t="n">
        <v>44610</v>
      </c>
      <c r="C312" s="1" t="n">
        <v>45917</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51717-2020</t>
        </is>
      </c>
      <c r="B313" s="1" t="n">
        <v>44113</v>
      </c>
      <c r="C313" s="1" t="n">
        <v>45917</v>
      </c>
      <c r="D313" t="inlineStr">
        <is>
          <t>JÄMTLANDS LÄN</t>
        </is>
      </c>
      <c r="E313" t="inlineStr">
        <is>
          <t>KROKOM</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20074-2022</t>
        </is>
      </c>
      <c r="B314" s="1" t="n">
        <v>44697.94231481481</v>
      </c>
      <c r="C314" s="1" t="n">
        <v>45917</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24436-2021</t>
        </is>
      </c>
      <c r="B315" s="1" t="n">
        <v>44337</v>
      </c>
      <c r="C315" s="1" t="n">
        <v>45917</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53241-2020</t>
        </is>
      </c>
      <c r="B316" s="1" t="n">
        <v>44123</v>
      </c>
      <c r="C316" s="1" t="n">
        <v>45917</v>
      </c>
      <c r="D316" t="inlineStr">
        <is>
          <t>JÄMTLANDS LÄN</t>
        </is>
      </c>
      <c r="E316" t="inlineStr">
        <is>
          <t>KROKOM</t>
        </is>
      </c>
      <c r="G316" t="n">
        <v>1.3</v>
      </c>
      <c r="H316" t="n">
        <v>0</v>
      </c>
      <c r="I316" t="n">
        <v>0</v>
      </c>
      <c r="J316" t="n">
        <v>0</v>
      </c>
      <c r="K316" t="n">
        <v>0</v>
      </c>
      <c r="L316" t="n">
        <v>0</v>
      </c>
      <c r="M316" t="n">
        <v>0</v>
      </c>
      <c r="N316" t="n">
        <v>0</v>
      </c>
      <c r="O316" t="n">
        <v>0</v>
      </c>
      <c r="P316" t="n">
        <v>0</v>
      </c>
      <c r="Q316" t="n">
        <v>0</v>
      </c>
      <c r="R316" s="2" t="inlineStr"/>
    </row>
    <row r="317" ht="15" customHeight="1">
      <c r="A317" t="inlineStr">
        <is>
          <t>A 54516-2021</t>
        </is>
      </c>
      <c r="B317" s="1" t="n">
        <v>44473.53013888889</v>
      </c>
      <c r="C317" s="1" t="n">
        <v>45917</v>
      </c>
      <c r="D317" t="inlineStr">
        <is>
          <t>JÄMTLANDS LÄN</t>
        </is>
      </c>
      <c r="E317" t="inlineStr">
        <is>
          <t>KROKOM</t>
        </is>
      </c>
      <c r="G317" t="n">
        <v>1.6</v>
      </c>
      <c r="H317" t="n">
        <v>0</v>
      </c>
      <c r="I317" t="n">
        <v>0</v>
      </c>
      <c r="J317" t="n">
        <v>0</v>
      </c>
      <c r="K317" t="n">
        <v>0</v>
      </c>
      <c r="L317" t="n">
        <v>0</v>
      </c>
      <c r="M317" t="n">
        <v>0</v>
      </c>
      <c r="N317" t="n">
        <v>0</v>
      </c>
      <c r="O317" t="n">
        <v>0</v>
      </c>
      <c r="P317" t="n">
        <v>0</v>
      </c>
      <c r="Q317" t="n">
        <v>0</v>
      </c>
      <c r="R317" s="2" t="inlineStr"/>
    </row>
    <row r="318" ht="15" customHeight="1">
      <c r="A318" t="inlineStr">
        <is>
          <t>A 50476-2021</t>
        </is>
      </c>
      <c r="B318" s="1" t="n">
        <v>44459</v>
      </c>
      <c r="C318" s="1" t="n">
        <v>45917</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53500-2020</t>
        </is>
      </c>
      <c r="B319" s="1" t="n">
        <v>44123</v>
      </c>
      <c r="C319" s="1" t="n">
        <v>45917</v>
      </c>
      <c r="D319" t="inlineStr">
        <is>
          <t>JÄMTLANDS LÄN</t>
        </is>
      </c>
      <c r="E319" t="inlineStr">
        <is>
          <t>KROKOM</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45917</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52801-2022</t>
        </is>
      </c>
      <c r="B321" s="1" t="n">
        <v>44875.41104166667</v>
      </c>
      <c r="C321" s="1" t="n">
        <v>45917</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66683-2021</t>
        </is>
      </c>
      <c r="B322" s="1" t="n">
        <v>44519.63436342592</v>
      </c>
      <c r="C322" s="1" t="n">
        <v>45917</v>
      </c>
      <c r="D322" t="inlineStr">
        <is>
          <t>JÄMTLANDS LÄN</t>
        </is>
      </c>
      <c r="E322" t="inlineStr">
        <is>
          <t>KROKOM</t>
        </is>
      </c>
      <c r="G322" t="n">
        <v>5.4</v>
      </c>
      <c r="H322" t="n">
        <v>0</v>
      </c>
      <c r="I322" t="n">
        <v>0</v>
      </c>
      <c r="J322" t="n">
        <v>0</v>
      </c>
      <c r="K322" t="n">
        <v>0</v>
      </c>
      <c r="L322" t="n">
        <v>0</v>
      </c>
      <c r="M322" t="n">
        <v>0</v>
      </c>
      <c r="N322" t="n">
        <v>0</v>
      </c>
      <c r="O322" t="n">
        <v>0</v>
      </c>
      <c r="P322" t="n">
        <v>0</v>
      </c>
      <c r="Q322" t="n">
        <v>0</v>
      </c>
      <c r="R322" s="2" t="inlineStr"/>
    </row>
    <row r="323" ht="15" customHeight="1">
      <c r="A323" t="inlineStr">
        <is>
          <t>A 65433-2020</t>
        </is>
      </c>
      <c r="B323" s="1" t="n">
        <v>44169</v>
      </c>
      <c r="C323" s="1" t="n">
        <v>45917</v>
      </c>
      <c r="D323" t="inlineStr">
        <is>
          <t>JÄMTLANDS LÄN</t>
        </is>
      </c>
      <c r="E323" t="inlineStr">
        <is>
          <t>KROKOM</t>
        </is>
      </c>
      <c r="G323" t="n">
        <v>0.3</v>
      </c>
      <c r="H323" t="n">
        <v>0</v>
      </c>
      <c r="I323" t="n">
        <v>0</v>
      </c>
      <c r="J323" t="n">
        <v>0</v>
      </c>
      <c r="K323" t="n">
        <v>0</v>
      </c>
      <c r="L323" t="n">
        <v>0</v>
      </c>
      <c r="M323" t="n">
        <v>0</v>
      </c>
      <c r="N323" t="n">
        <v>0</v>
      </c>
      <c r="O323" t="n">
        <v>0</v>
      </c>
      <c r="P323" t="n">
        <v>0</v>
      </c>
      <c r="Q323" t="n">
        <v>0</v>
      </c>
      <c r="R323" s="2" t="inlineStr"/>
    </row>
    <row r="324" ht="15" customHeight="1">
      <c r="A324" t="inlineStr">
        <is>
          <t>A 21301-2022</t>
        </is>
      </c>
      <c r="B324" s="1" t="n">
        <v>44705</v>
      </c>
      <c r="C324" s="1" t="n">
        <v>45917</v>
      </c>
      <c r="D324" t="inlineStr">
        <is>
          <t>JÄMTLANDS LÄN</t>
        </is>
      </c>
      <c r="E324" t="inlineStr">
        <is>
          <t>KROKOM</t>
        </is>
      </c>
      <c r="G324" t="n">
        <v>2.5</v>
      </c>
      <c r="H324" t="n">
        <v>0</v>
      </c>
      <c r="I324" t="n">
        <v>0</v>
      </c>
      <c r="J324" t="n">
        <v>0</v>
      </c>
      <c r="K324" t="n">
        <v>0</v>
      </c>
      <c r="L324" t="n">
        <v>0</v>
      </c>
      <c r="M324" t="n">
        <v>0</v>
      </c>
      <c r="N324" t="n">
        <v>0</v>
      </c>
      <c r="O324" t="n">
        <v>0</v>
      </c>
      <c r="P324" t="n">
        <v>0</v>
      </c>
      <c r="Q324" t="n">
        <v>0</v>
      </c>
      <c r="R324" s="2" t="inlineStr"/>
    </row>
    <row r="325" ht="15" customHeight="1">
      <c r="A325" t="inlineStr">
        <is>
          <t>A 24612-2022</t>
        </is>
      </c>
      <c r="B325" s="1" t="n">
        <v>44727</v>
      </c>
      <c r="C325" s="1" t="n">
        <v>45917</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18731-2021</t>
        </is>
      </c>
      <c r="B326" s="1" t="n">
        <v>44307.42378472222</v>
      </c>
      <c r="C326" s="1" t="n">
        <v>45917</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53191-2021</t>
        </is>
      </c>
      <c r="B327" s="1" t="n">
        <v>44468</v>
      </c>
      <c r="C327" s="1" t="n">
        <v>45917</v>
      </c>
      <c r="D327" t="inlineStr">
        <is>
          <t>JÄMTLANDS LÄN</t>
        </is>
      </c>
      <c r="E327" t="inlineStr">
        <is>
          <t>KROKOM</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2356-2021</t>
        </is>
      </c>
      <c r="B328" s="1" t="n">
        <v>44214</v>
      </c>
      <c r="C328" s="1" t="n">
        <v>45917</v>
      </c>
      <c r="D328" t="inlineStr">
        <is>
          <t>JÄMTLANDS LÄN</t>
        </is>
      </c>
      <c r="E328" t="inlineStr">
        <is>
          <t>KROKOM</t>
        </is>
      </c>
      <c r="G328" t="n">
        <v>22.6</v>
      </c>
      <c r="H328" t="n">
        <v>0</v>
      </c>
      <c r="I328" t="n">
        <v>0</v>
      </c>
      <c r="J328" t="n">
        <v>0</v>
      </c>
      <c r="K328" t="n">
        <v>0</v>
      </c>
      <c r="L328" t="n">
        <v>0</v>
      </c>
      <c r="M328" t="n">
        <v>0</v>
      </c>
      <c r="N328" t="n">
        <v>0</v>
      </c>
      <c r="O328" t="n">
        <v>0</v>
      </c>
      <c r="P328" t="n">
        <v>0</v>
      </c>
      <c r="Q328" t="n">
        <v>0</v>
      </c>
      <c r="R328" s="2" t="inlineStr"/>
    </row>
    <row r="329" ht="15" customHeight="1">
      <c r="A329" t="inlineStr">
        <is>
          <t>A 54037-2021</t>
        </is>
      </c>
      <c r="B329" s="1" t="n">
        <v>44470</v>
      </c>
      <c r="C329" s="1" t="n">
        <v>45917</v>
      </c>
      <c r="D329" t="inlineStr">
        <is>
          <t>JÄMTLANDS LÄN</t>
        </is>
      </c>
      <c r="E329" t="inlineStr">
        <is>
          <t>KROKOM</t>
        </is>
      </c>
      <c r="G329" t="n">
        <v>6.3</v>
      </c>
      <c r="H329" t="n">
        <v>0</v>
      </c>
      <c r="I329" t="n">
        <v>0</v>
      </c>
      <c r="J329" t="n">
        <v>0</v>
      </c>
      <c r="K329" t="n">
        <v>0</v>
      </c>
      <c r="L329" t="n">
        <v>0</v>
      </c>
      <c r="M329" t="n">
        <v>0</v>
      </c>
      <c r="N329" t="n">
        <v>0</v>
      </c>
      <c r="O329" t="n">
        <v>0</v>
      </c>
      <c r="P329" t="n">
        <v>0</v>
      </c>
      <c r="Q329" t="n">
        <v>0</v>
      </c>
      <c r="R329" s="2" t="inlineStr"/>
    </row>
    <row r="330" ht="15" customHeight="1">
      <c r="A330" t="inlineStr">
        <is>
          <t>A 14598-2021</t>
        </is>
      </c>
      <c r="B330" s="1" t="n">
        <v>44279</v>
      </c>
      <c r="C330" s="1" t="n">
        <v>45917</v>
      </c>
      <c r="D330" t="inlineStr">
        <is>
          <t>JÄMTLANDS LÄN</t>
        </is>
      </c>
      <c r="E330" t="inlineStr">
        <is>
          <t>KROKOM</t>
        </is>
      </c>
      <c r="G330" t="n">
        <v>25.4</v>
      </c>
      <c r="H330" t="n">
        <v>0</v>
      </c>
      <c r="I330" t="n">
        <v>0</v>
      </c>
      <c r="J330" t="n">
        <v>0</v>
      </c>
      <c r="K330" t="n">
        <v>0</v>
      </c>
      <c r="L330" t="n">
        <v>0</v>
      </c>
      <c r="M330" t="n">
        <v>0</v>
      </c>
      <c r="N330" t="n">
        <v>0</v>
      </c>
      <c r="O330" t="n">
        <v>0</v>
      </c>
      <c r="P330" t="n">
        <v>0</v>
      </c>
      <c r="Q330" t="n">
        <v>0</v>
      </c>
      <c r="R330" s="2" t="inlineStr"/>
    </row>
    <row r="331" ht="15" customHeight="1">
      <c r="A331" t="inlineStr">
        <is>
          <t>A 15425-2021</t>
        </is>
      </c>
      <c r="B331" s="1" t="n">
        <v>44284</v>
      </c>
      <c r="C331" s="1" t="n">
        <v>45917</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16247-2025</t>
        </is>
      </c>
      <c r="B332" s="1" t="n">
        <v>45749</v>
      </c>
      <c r="C332" s="1" t="n">
        <v>45917</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45917</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45917</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17090-2024</t>
        </is>
      </c>
      <c r="B335" s="1" t="n">
        <v>45412.51260416667</v>
      </c>
      <c r="C335" s="1" t="n">
        <v>45917</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9156-2025</t>
        </is>
      </c>
      <c r="B336" s="1" t="n">
        <v>45714.34859953704</v>
      </c>
      <c r="C336" s="1" t="n">
        <v>45917</v>
      </c>
      <c r="D336" t="inlineStr">
        <is>
          <t>JÄMTLANDS LÄN</t>
        </is>
      </c>
      <c r="E336" t="inlineStr">
        <is>
          <t>KROKOM</t>
        </is>
      </c>
      <c r="F336" t="inlineStr">
        <is>
          <t>Övriga Aktiebolag</t>
        </is>
      </c>
      <c r="G336" t="n">
        <v>26.7</v>
      </c>
      <c r="H336" t="n">
        <v>0</v>
      </c>
      <c r="I336" t="n">
        <v>0</v>
      </c>
      <c r="J336" t="n">
        <v>0</v>
      </c>
      <c r="K336" t="n">
        <v>0</v>
      </c>
      <c r="L336" t="n">
        <v>0</v>
      </c>
      <c r="M336" t="n">
        <v>0</v>
      </c>
      <c r="N336" t="n">
        <v>0</v>
      </c>
      <c r="O336" t="n">
        <v>0</v>
      </c>
      <c r="P336" t="n">
        <v>0</v>
      </c>
      <c r="Q336" t="n">
        <v>0</v>
      </c>
      <c r="R336" s="2" t="inlineStr"/>
      <c r="U336">
        <f>HYPERLINK("https://klasma.github.io/Logging_2309/knärot/A 9156-2025 karta knärot.png", "A 9156-2025")</f>
        <v/>
      </c>
      <c r="V336">
        <f>HYPERLINK("https://klasma.github.io/Logging_2309/klagomål/A 9156-2025 FSC-klagomål.docx", "A 9156-2025")</f>
        <v/>
      </c>
      <c r="W336">
        <f>HYPERLINK("https://klasma.github.io/Logging_2309/klagomålsmail/A 9156-2025 FSC-klagomål mail.docx", "A 9156-2025")</f>
        <v/>
      </c>
      <c r="X336">
        <f>HYPERLINK("https://klasma.github.io/Logging_2309/tillsyn/A 9156-2025 tillsynsbegäran.docx", "A 9156-2025")</f>
        <v/>
      </c>
      <c r="Y336">
        <f>HYPERLINK("https://klasma.github.io/Logging_2309/tillsynsmail/A 9156-2025 tillsynsbegäran mail.docx", "A 9156-2025")</f>
        <v/>
      </c>
    </row>
    <row r="337" ht="15" customHeight="1">
      <c r="A337" t="inlineStr">
        <is>
          <t>A 9948-2025</t>
        </is>
      </c>
      <c r="B337" s="1" t="n">
        <v>45719.32584490741</v>
      </c>
      <c r="C337" s="1" t="n">
        <v>45917</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11092-2024</t>
        </is>
      </c>
      <c r="B338" s="1" t="n">
        <v>45370.94969907407</v>
      </c>
      <c r="C338" s="1" t="n">
        <v>45917</v>
      </c>
      <c r="D338" t="inlineStr">
        <is>
          <t>JÄMTLANDS LÄN</t>
        </is>
      </c>
      <c r="E338" t="inlineStr">
        <is>
          <t>KROKOM</t>
        </is>
      </c>
      <c r="F338" t="inlineStr">
        <is>
          <t>SCA</t>
        </is>
      </c>
      <c r="G338" t="n">
        <v>27.2</v>
      </c>
      <c r="H338" t="n">
        <v>0</v>
      </c>
      <c r="I338" t="n">
        <v>0</v>
      </c>
      <c r="J338" t="n">
        <v>0</v>
      </c>
      <c r="K338" t="n">
        <v>0</v>
      </c>
      <c r="L338" t="n">
        <v>0</v>
      </c>
      <c r="M338" t="n">
        <v>0</v>
      </c>
      <c r="N338" t="n">
        <v>0</v>
      </c>
      <c r="O338" t="n">
        <v>0</v>
      </c>
      <c r="P338" t="n">
        <v>0</v>
      </c>
      <c r="Q338" t="n">
        <v>0</v>
      </c>
      <c r="R338" s="2" t="inlineStr"/>
    </row>
    <row r="339" ht="15" customHeight="1">
      <c r="A339" t="inlineStr">
        <is>
          <t>A 47606-2023</t>
        </is>
      </c>
      <c r="B339" s="1" t="n">
        <v>45203.46523148148</v>
      </c>
      <c r="C339" s="1" t="n">
        <v>45917</v>
      </c>
      <c r="D339" t="inlineStr">
        <is>
          <t>JÄMTLANDS LÄN</t>
        </is>
      </c>
      <c r="E339" t="inlineStr">
        <is>
          <t>KROKOM</t>
        </is>
      </c>
      <c r="G339" t="n">
        <v>5.5</v>
      </c>
      <c r="H339" t="n">
        <v>0</v>
      </c>
      <c r="I339" t="n">
        <v>0</v>
      </c>
      <c r="J339" t="n">
        <v>0</v>
      </c>
      <c r="K339" t="n">
        <v>0</v>
      </c>
      <c r="L339" t="n">
        <v>0</v>
      </c>
      <c r="M339" t="n">
        <v>0</v>
      </c>
      <c r="N339" t="n">
        <v>0</v>
      </c>
      <c r="O339" t="n">
        <v>0</v>
      </c>
      <c r="P339" t="n">
        <v>0</v>
      </c>
      <c r="Q339" t="n">
        <v>0</v>
      </c>
      <c r="R339" s="2" t="inlineStr"/>
    </row>
    <row r="340" ht="15" customHeight="1">
      <c r="A340" t="inlineStr">
        <is>
          <t>A 1756-2021</t>
        </is>
      </c>
      <c r="B340" s="1" t="n">
        <v>44209</v>
      </c>
      <c r="C340" s="1" t="n">
        <v>45917</v>
      </c>
      <c r="D340" t="inlineStr">
        <is>
          <t>JÄMTLANDS LÄN</t>
        </is>
      </c>
      <c r="E340" t="inlineStr">
        <is>
          <t>KROKOM</t>
        </is>
      </c>
      <c r="G340" t="n">
        <v>7.4</v>
      </c>
      <c r="H340" t="n">
        <v>0</v>
      </c>
      <c r="I340" t="n">
        <v>0</v>
      </c>
      <c r="J340" t="n">
        <v>0</v>
      </c>
      <c r="K340" t="n">
        <v>0</v>
      </c>
      <c r="L340" t="n">
        <v>0</v>
      </c>
      <c r="M340" t="n">
        <v>0</v>
      </c>
      <c r="N340" t="n">
        <v>0</v>
      </c>
      <c r="O340" t="n">
        <v>0</v>
      </c>
      <c r="P340" t="n">
        <v>0</v>
      </c>
      <c r="Q340" t="n">
        <v>0</v>
      </c>
      <c r="R340" s="2" t="inlineStr"/>
    </row>
    <row r="341" ht="15" customHeight="1">
      <c r="A341" t="inlineStr">
        <is>
          <t>A 44374-2021</t>
        </is>
      </c>
      <c r="B341" s="1" t="n">
        <v>44447</v>
      </c>
      <c r="C341" s="1" t="n">
        <v>45917</v>
      </c>
      <c r="D341" t="inlineStr">
        <is>
          <t>JÄMTLANDS LÄN</t>
        </is>
      </c>
      <c r="E341" t="inlineStr">
        <is>
          <t>KROKOM</t>
        </is>
      </c>
      <c r="G341" t="n">
        <v>7.8</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45698.39486111111</v>
      </c>
      <c r="C342" s="1" t="n">
        <v>45917</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52626-2020</t>
        </is>
      </c>
      <c r="B343" s="1" t="n">
        <v>44118.98730324074</v>
      </c>
      <c r="C343" s="1" t="n">
        <v>45917</v>
      </c>
      <c r="D343" t="inlineStr">
        <is>
          <t>JÄMTLANDS LÄN</t>
        </is>
      </c>
      <c r="E343" t="inlineStr">
        <is>
          <t>KROKOM</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54039-2021</t>
        </is>
      </c>
      <c r="B344" s="1" t="n">
        <v>44470.39989583333</v>
      </c>
      <c r="C344" s="1" t="n">
        <v>45917</v>
      </c>
      <c r="D344" t="inlineStr">
        <is>
          <t>JÄMTLANDS LÄN</t>
        </is>
      </c>
      <c r="E344" t="inlineStr">
        <is>
          <t>KROKOM</t>
        </is>
      </c>
      <c r="G344" t="n">
        <v>9.9</v>
      </c>
      <c r="H344" t="n">
        <v>0</v>
      </c>
      <c r="I344" t="n">
        <v>0</v>
      </c>
      <c r="J344" t="n">
        <v>0</v>
      </c>
      <c r="K344" t="n">
        <v>0</v>
      </c>
      <c r="L344" t="n">
        <v>0</v>
      </c>
      <c r="M344" t="n">
        <v>0</v>
      </c>
      <c r="N344" t="n">
        <v>0</v>
      </c>
      <c r="O344" t="n">
        <v>0</v>
      </c>
      <c r="P344" t="n">
        <v>0</v>
      </c>
      <c r="Q344" t="n">
        <v>0</v>
      </c>
      <c r="R344" s="2" t="inlineStr"/>
    </row>
    <row r="345" ht="15" customHeight="1">
      <c r="A345" t="inlineStr">
        <is>
          <t>A 9750-2024</t>
        </is>
      </c>
      <c r="B345" s="1" t="n">
        <v>45362</v>
      </c>
      <c r="C345" s="1" t="n">
        <v>45917</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45917</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46506-2022</t>
        </is>
      </c>
      <c r="B347" s="1" t="n">
        <v>44848</v>
      </c>
      <c r="C347" s="1" t="n">
        <v>45917</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57375-2020</t>
        </is>
      </c>
      <c r="B348" s="1" t="n">
        <v>44139</v>
      </c>
      <c r="C348" s="1" t="n">
        <v>45917</v>
      </c>
      <c r="D348" t="inlineStr">
        <is>
          <t>JÄMTLANDS LÄN</t>
        </is>
      </c>
      <c r="E348" t="inlineStr">
        <is>
          <t>KROKOM</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41197-2022</t>
        </is>
      </c>
      <c r="B349" s="1" t="n">
        <v>44825</v>
      </c>
      <c r="C349" s="1" t="n">
        <v>45917</v>
      </c>
      <c r="D349" t="inlineStr">
        <is>
          <t>JÄMTLANDS LÄN</t>
        </is>
      </c>
      <c r="E349" t="inlineStr">
        <is>
          <t>KROKOM</t>
        </is>
      </c>
      <c r="G349" t="n">
        <v>0.6</v>
      </c>
      <c r="H349" t="n">
        <v>0</v>
      </c>
      <c r="I349" t="n">
        <v>0</v>
      </c>
      <c r="J349" t="n">
        <v>0</v>
      </c>
      <c r="K349" t="n">
        <v>0</v>
      </c>
      <c r="L349" t="n">
        <v>0</v>
      </c>
      <c r="M349" t="n">
        <v>0</v>
      </c>
      <c r="N349" t="n">
        <v>0</v>
      </c>
      <c r="O349" t="n">
        <v>0</v>
      </c>
      <c r="P349" t="n">
        <v>0</v>
      </c>
      <c r="Q349" t="n">
        <v>0</v>
      </c>
      <c r="R349" s="2" t="inlineStr"/>
    </row>
    <row r="350" ht="15" customHeight="1">
      <c r="A350" t="inlineStr">
        <is>
          <t>A 37641-2021</t>
        </is>
      </c>
      <c r="B350" s="1" t="n">
        <v>44400.37204861111</v>
      </c>
      <c r="C350" s="1" t="n">
        <v>45917</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54152-2021</t>
        </is>
      </c>
      <c r="B351" s="1" t="n">
        <v>44470</v>
      </c>
      <c r="C351" s="1" t="n">
        <v>45917</v>
      </c>
      <c r="D351" t="inlineStr">
        <is>
          <t>JÄMTLANDS LÄN</t>
        </is>
      </c>
      <c r="E351" t="inlineStr">
        <is>
          <t>KROKOM</t>
        </is>
      </c>
      <c r="G351" t="n">
        <v>0.5</v>
      </c>
      <c r="H351" t="n">
        <v>0</v>
      </c>
      <c r="I351" t="n">
        <v>0</v>
      </c>
      <c r="J351" t="n">
        <v>0</v>
      </c>
      <c r="K351" t="n">
        <v>0</v>
      </c>
      <c r="L351" t="n">
        <v>0</v>
      </c>
      <c r="M351" t="n">
        <v>0</v>
      </c>
      <c r="N351" t="n">
        <v>0</v>
      </c>
      <c r="O351" t="n">
        <v>0</v>
      </c>
      <c r="P351" t="n">
        <v>0</v>
      </c>
      <c r="Q351" t="n">
        <v>0</v>
      </c>
      <c r="R351" s="2" t="inlineStr"/>
    </row>
    <row r="352" ht="15" customHeight="1">
      <c r="A352" t="inlineStr">
        <is>
          <t>A 61091-2020</t>
        </is>
      </c>
      <c r="B352" s="1" t="n">
        <v>44153</v>
      </c>
      <c r="C352" s="1" t="n">
        <v>45917</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11059-2024</t>
        </is>
      </c>
      <c r="B353" s="1" t="n">
        <v>45370</v>
      </c>
      <c r="C353" s="1" t="n">
        <v>45917</v>
      </c>
      <c r="D353" t="inlineStr">
        <is>
          <t>JÄMTLANDS LÄN</t>
        </is>
      </c>
      <c r="E353" t="inlineStr">
        <is>
          <t>KROKOM</t>
        </is>
      </c>
      <c r="G353" t="n">
        <v>1.5</v>
      </c>
      <c r="H353" t="n">
        <v>0</v>
      </c>
      <c r="I353" t="n">
        <v>0</v>
      </c>
      <c r="J353" t="n">
        <v>0</v>
      </c>
      <c r="K353" t="n">
        <v>0</v>
      </c>
      <c r="L353" t="n">
        <v>0</v>
      </c>
      <c r="M353" t="n">
        <v>0</v>
      </c>
      <c r="N353" t="n">
        <v>0</v>
      </c>
      <c r="O353" t="n">
        <v>0</v>
      </c>
      <c r="P353" t="n">
        <v>0</v>
      </c>
      <c r="Q353" t="n">
        <v>0</v>
      </c>
      <c r="R353" s="2" t="inlineStr"/>
    </row>
    <row r="354" ht="15" customHeight="1">
      <c r="A354" t="inlineStr">
        <is>
          <t>A 58677-2023</t>
        </is>
      </c>
      <c r="B354" s="1" t="n">
        <v>45251.65152777778</v>
      </c>
      <c r="C354" s="1" t="n">
        <v>45917</v>
      </c>
      <c r="D354" t="inlineStr">
        <is>
          <t>JÄMTLANDS LÄN</t>
        </is>
      </c>
      <c r="E354" t="inlineStr">
        <is>
          <t>KROKOM</t>
        </is>
      </c>
      <c r="G354" t="n">
        <v>3.6</v>
      </c>
      <c r="H354" t="n">
        <v>0</v>
      </c>
      <c r="I354" t="n">
        <v>0</v>
      </c>
      <c r="J354" t="n">
        <v>0</v>
      </c>
      <c r="K354" t="n">
        <v>0</v>
      </c>
      <c r="L354" t="n">
        <v>0</v>
      </c>
      <c r="M354" t="n">
        <v>0</v>
      </c>
      <c r="N354" t="n">
        <v>0</v>
      </c>
      <c r="O354" t="n">
        <v>0</v>
      </c>
      <c r="P354" t="n">
        <v>0</v>
      </c>
      <c r="Q354" t="n">
        <v>0</v>
      </c>
      <c r="R354" s="2" t="inlineStr"/>
    </row>
    <row r="355" ht="15" customHeight="1">
      <c r="A355" t="inlineStr">
        <is>
          <t>A 43932-2024</t>
        </is>
      </c>
      <c r="B355" s="1" t="n">
        <v>45572.45601851852</v>
      </c>
      <c r="C355" s="1" t="n">
        <v>45917</v>
      </c>
      <c r="D355" t="inlineStr">
        <is>
          <t>JÄMTLANDS LÄN</t>
        </is>
      </c>
      <c r="E355" t="inlineStr">
        <is>
          <t>KROKOM</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22611-2022</t>
        </is>
      </c>
      <c r="B356" s="1" t="n">
        <v>44714</v>
      </c>
      <c r="C356" s="1" t="n">
        <v>45917</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36122-2022</t>
        </is>
      </c>
      <c r="B357" s="1" t="n">
        <v>44803</v>
      </c>
      <c r="C357" s="1" t="n">
        <v>45917</v>
      </c>
      <c r="D357" t="inlineStr">
        <is>
          <t>JÄMTLANDS LÄN</t>
        </is>
      </c>
      <c r="E357" t="inlineStr">
        <is>
          <t>KROKOM</t>
        </is>
      </c>
      <c r="G357" t="n">
        <v>5.7</v>
      </c>
      <c r="H357" t="n">
        <v>0</v>
      </c>
      <c r="I357" t="n">
        <v>0</v>
      </c>
      <c r="J357" t="n">
        <v>0</v>
      </c>
      <c r="K357" t="n">
        <v>0</v>
      </c>
      <c r="L357" t="n">
        <v>0</v>
      </c>
      <c r="M357" t="n">
        <v>0</v>
      </c>
      <c r="N357" t="n">
        <v>0</v>
      </c>
      <c r="O357" t="n">
        <v>0</v>
      </c>
      <c r="P357" t="n">
        <v>0</v>
      </c>
      <c r="Q357" t="n">
        <v>0</v>
      </c>
      <c r="R357" s="2" t="inlineStr"/>
    </row>
    <row r="358" ht="15" customHeight="1">
      <c r="A358" t="inlineStr">
        <is>
          <t>A 33333-2021</t>
        </is>
      </c>
      <c r="B358" s="1" t="n">
        <v>44377</v>
      </c>
      <c r="C358" s="1" t="n">
        <v>45917</v>
      </c>
      <c r="D358" t="inlineStr">
        <is>
          <t>JÄMTLANDS LÄN</t>
        </is>
      </c>
      <c r="E358" t="inlineStr">
        <is>
          <t>KROKOM</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9027-2025</t>
        </is>
      </c>
      <c r="B359" s="1" t="n">
        <v>45713.60719907407</v>
      </c>
      <c r="C359" s="1" t="n">
        <v>45917</v>
      </c>
      <c r="D359" t="inlineStr">
        <is>
          <t>JÄMTLANDS LÄN</t>
        </is>
      </c>
      <c r="E359" t="inlineStr">
        <is>
          <t>KROKOM</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6900-2024</t>
        </is>
      </c>
      <c r="B360" s="1" t="n">
        <v>45342</v>
      </c>
      <c r="C360" s="1" t="n">
        <v>45917</v>
      </c>
      <c r="D360" t="inlineStr">
        <is>
          <t>JÄMTLANDS LÄN</t>
        </is>
      </c>
      <c r="E360" t="inlineStr">
        <is>
          <t>KROKOM</t>
        </is>
      </c>
      <c r="F360" t="inlineStr">
        <is>
          <t>SCA</t>
        </is>
      </c>
      <c r="G360" t="n">
        <v>64.59999999999999</v>
      </c>
      <c r="H360" t="n">
        <v>0</v>
      </c>
      <c r="I360" t="n">
        <v>0</v>
      </c>
      <c r="J360" t="n">
        <v>0</v>
      </c>
      <c r="K360" t="n">
        <v>0</v>
      </c>
      <c r="L360" t="n">
        <v>0</v>
      </c>
      <c r="M360" t="n">
        <v>0</v>
      </c>
      <c r="N360" t="n">
        <v>0</v>
      </c>
      <c r="O360" t="n">
        <v>0</v>
      </c>
      <c r="P360" t="n">
        <v>0</v>
      </c>
      <c r="Q360" t="n">
        <v>0</v>
      </c>
      <c r="R360" s="2" t="inlineStr"/>
    </row>
    <row r="361" ht="15" customHeight="1">
      <c r="A361" t="inlineStr">
        <is>
          <t>A 59718-2020</t>
        </is>
      </c>
      <c r="B361" s="1" t="n">
        <v>44151</v>
      </c>
      <c r="C361" s="1" t="n">
        <v>45917</v>
      </c>
      <c r="D361" t="inlineStr">
        <is>
          <t>JÄMTLANDS LÄN</t>
        </is>
      </c>
      <c r="E361" t="inlineStr">
        <is>
          <t>KROKOM</t>
        </is>
      </c>
      <c r="G361" t="n">
        <v>3.7</v>
      </c>
      <c r="H361" t="n">
        <v>0</v>
      </c>
      <c r="I361" t="n">
        <v>0</v>
      </c>
      <c r="J361" t="n">
        <v>0</v>
      </c>
      <c r="K361" t="n">
        <v>0</v>
      </c>
      <c r="L361" t="n">
        <v>0</v>
      </c>
      <c r="M361" t="n">
        <v>0</v>
      </c>
      <c r="N361" t="n">
        <v>0</v>
      </c>
      <c r="O361" t="n">
        <v>0</v>
      </c>
      <c r="P361" t="n">
        <v>0</v>
      </c>
      <c r="Q361" t="n">
        <v>0</v>
      </c>
      <c r="R361" s="2" t="inlineStr"/>
    </row>
    <row r="362" ht="15" customHeight="1">
      <c r="A362" t="inlineStr">
        <is>
          <t>A 48334-2022</t>
        </is>
      </c>
      <c r="B362" s="1" t="n">
        <v>44858</v>
      </c>
      <c r="C362" s="1" t="n">
        <v>45917</v>
      </c>
      <c r="D362" t="inlineStr">
        <is>
          <t>JÄMTLANDS LÄN</t>
        </is>
      </c>
      <c r="E362" t="inlineStr">
        <is>
          <t>KROKOM</t>
        </is>
      </c>
      <c r="G362" t="n">
        <v>1.4</v>
      </c>
      <c r="H362" t="n">
        <v>0</v>
      </c>
      <c r="I362" t="n">
        <v>0</v>
      </c>
      <c r="J362" t="n">
        <v>0</v>
      </c>
      <c r="K362" t="n">
        <v>0</v>
      </c>
      <c r="L362" t="n">
        <v>0</v>
      </c>
      <c r="M362" t="n">
        <v>0</v>
      </c>
      <c r="N362" t="n">
        <v>0</v>
      </c>
      <c r="O362" t="n">
        <v>0</v>
      </c>
      <c r="P362" t="n">
        <v>0</v>
      </c>
      <c r="Q362" t="n">
        <v>0</v>
      </c>
      <c r="R362" s="2" t="inlineStr"/>
    </row>
    <row r="363" ht="15" customHeight="1">
      <c r="A363" t="inlineStr">
        <is>
          <t>A 6627-2025</t>
        </is>
      </c>
      <c r="B363" s="1" t="n">
        <v>45700.37127314815</v>
      </c>
      <c r="C363" s="1" t="n">
        <v>45917</v>
      </c>
      <c r="D363" t="inlineStr">
        <is>
          <t>JÄMTLANDS LÄN</t>
        </is>
      </c>
      <c r="E363" t="inlineStr">
        <is>
          <t>KROKOM</t>
        </is>
      </c>
      <c r="G363" t="n">
        <v>1.6</v>
      </c>
      <c r="H363" t="n">
        <v>0</v>
      </c>
      <c r="I363" t="n">
        <v>0</v>
      </c>
      <c r="J363" t="n">
        <v>0</v>
      </c>
      <c r="K363" t="n">
        <v>0</v>
      </c>
      <c r="L363" t="n">
        <v>0</v>
      </c>
      <c r="M363" t="n">
        <v>0</v>
      </c>
      <c r="N363" t="n">
        <v>0</v>
      </c>
      <c r="O363" t="n">
        <v>0</v>
      </c>
      <c r="P363" t="n">
        <v>0</v>
      </c>
      <c r="Q363" t="n">
        <v>0</v>
      </c>
      <c r="R363" s="2" t="inlineStr"/>
    </row>
    <row r="364" ht="15" customHeight="1">
      <c r="A364" t="inlineStr">
        <is>
          <t>A 6629-2025</t>
        </is>
      </c>
      <c r="B364" s="1" t="n">
        <v>45700.37481481482</v>
      </c>
      <c r="C364" s="1" t="n">
        <v>45917</v>
      </c>
      <c r="D364" t="inlineStr">
        <is>
          <t>JÄMTLANDS LÄN</t>
        </is>
      </c>
      <c r="E364" t="inlineStr">
        <is>
          <t>KROKOM</t>
        </is>
      </c>
      <c r="F364" t="inlineStr">
        <is>
          <t>Övriga Aktiebolag</t>
        </is>
      </c>
      <c r="G364" t="n">
        <v>24.8</v>
      </c>
      <c r="H364" t="n">
        <v>0</v>
      </c>
      <c r="I364" t="n">
        <v>0</v>
      </c>
      <c r="J364" t="n">
        <v>0</v>
      </c>
      <c r="K364" t="n">
        <v>0</v>
      </c>
      <c r="L364" t="n">
        <v>0</v>
      </c>
      <c r="M364" t="n">
        <v>0</v>
      </c>
      <c r="N364" t="n">
        <v>0</v>
      </c>
      <c r="O364" t="n">
        <v>0</v>
      </c>
      <c r="P364" t="n">
        <v>0</v>
      </c>
      <c r="Q364" t="n">
        <v>0</v>
      </c>
      <c r="R364" s="2" t="inlineStr"/>
    </row>
    <row r="365" ht="15" customHeight="1">
      <c r="A365" t="inlineStr">
        <is>
          <t>A 13249-2024</t>
        </is>
      </c>
      <c r="B365" s="1" t="n">
        <v>45386</v>
      </c>
      <c r="C365" s="1" t="n">
        <v>45917</v>
      </c>
      <c r="D365" t="inlineStr">
        <is>
          <t>JÄMTLANDS LÄN</t>
        </is>
      </c>
      <c r="E365" t="inlineStr">
        <is>
          <t>KROKOM</t>
        </is>
      </c>
      <c r="G365" t="n">
        <v>2.4</v>
      </c>
      <c r="H365" t="n">
        <v>0</v>
      </c>
      <c r="I365" t="n">
        <v>0</v>
      </c>
      <c r="J365" t="n">
        <v>0</v>
      </c>
      <c r="K365" t="n">
        <v>0</v>
      </c>
      <c r="L365" t="n">
        <v>0</v>
      </c>
      <c r="M365" t="n">
        <v>0</v>
      </c>
      <c r="N365" t="n">
        <v>0</v>
      </c>
      <c r="O365" t="n">
        <v>0</v>
      </c>
      <c r="P365" t="n">
        <v>0</v>
      </c>
      <c r="Q365" t="n">
        <v>0</v>
      </c>
      <c r="R365" s="2" t="inlineStr"/>
    </row>
    <row r="366" ht="15" customHeight="1">
      <c r="A366" t="inlineStr">
        <is>
          <t>A 25031-2022</t>
        </is>
      </c>
      <c r="B366" s="1" t="n">
        <v>44728.94420138889</v>
      </c>
      <c r="C366" s="1" t="n">
        <v>45917</v>
      </c>
      <c r="D366" t="inlineStr">
        <is>
          <t>JÄMTLANDS LÄN</t>
        </is>
      </c>
      <c r="E366" t="inlineStr">
        <is>
          <t>KROKOM</t>
        </is>
      </c>
      <c r="F366" t="inlineStr">
        <is>
          <t>SCA</t>
        </is>
      </c>
      <c r="G366" t="n">
        <v>5.3</v>
      </c>
      <c r="H366" t="n">
        <v>0</v>
      </c>
      <c r="I366" t="n">
        <v>0</v>
      </c>
      <c r="J366" t="n">
        <v>0</v>
      </c>
      <c r="K366" t="n">
        <v>0</v>
      </c>
      <c r="L366" t="n">
        <v>0</v>
      </c>
      <c r="M366" t="n">
        <v>0</v>
      </c>
      <c r="N366" t="n">
        <v>0</v>
      </c>
      <c r="O366" t="n">
        <v>0</v>
      </c>
      <c r="P366" t="n">
        <v>0</v>
      </c>
      <c r="Q366" t="n">
        <v>0</v>
      </c>
      <c r="R366" s="2" t="inlineStr"/>
    </row>
    <row r="367" ht="15" customHeight="1">
      <c r="A367" t="inlineStr">
        <is>
          <t>A 9755-2024</t>
        </is>
      </c>
      <c r="B367" s="1" t="n">
        <v>45362</v>
      </c>
      <c r="C367" s="1" t="n">
        <v>45917</v>
      </c>
      <c r="D367" t="inlineStr">
        <is>
          <t>JÄMTLANDS LÄN</t>
        </is>
      </c>
      <c r="E367" t="inlineStr">
        <is>
          <t>KROKOM</t>
        </is>
      </c>
      <c r="G367" t="n">
        <v>2.4</v>
      </c>
      <c r="H367" t="n">
        <v>0</v>
      </c>
      <c r="I367" t="n">
        <v>0</v>
      </c>
      <c r="J367" t="n">
        <v>0</v>
      </c>
      <c r="K367" t="n">
        <v>0</v>
      </c>
      <c r="L367" t="n">
        <v>0</v>
      </c>
      <c r="M367" t="n">
        <v>0</v>
      </c>
      <c r="N367" t="n">
        <v>0</v>
      </c>
      <c r="O367" t="n">
        <v>0</v>
      </c>
      <c r="P367" t="n">
        <v>0</v>
      </c>
      <c r="Q367" t="n">
        <v>0</v>
      </c>
      <c r="R367" s="2" t="inlineStr"/>
    </row>
    <row r="368" ht="15" customHeight="1">
      <c r="A368" t="inlineStr">
        <is>
          <t>A 17298-2024</t>
        </is>
      </c>
      <c r="B368" s="1" t="n">
        <v>45414.486875</v>
      </c>
      <c r="C368" s="1" t="n">
        <v>45917</v>
      </c>
      <c r="D368" t="inlineStr">
        <is>
          <t>JÄMTLANDS LÄN</t>
        </is>
      </c>
      <c r="E368" t="inlineStr">
        <is>
          <t>KROKOM</t>
        </is>
      </c>
      <c r="G368" t="n">
        <v>0.7</v>
      </c>
      <c r="H368" t="n">
        <v>0</v>
      </c>
      <c r="I368" t="n">
        <v>0</v>
      </c>
      <c r="J368" t="n">
        <v>0</v>
      </c>
      <c r="K368" t="n">
        <v>0</v>
      </c>
      <c r="L368" t="n">
        <v>0</v>
      </c>
      <c r="M368" t="n">
        <v>0</v>
      </c>
      <c r="N368" t="n">
        <v>0</v>
      </c>
      <c r="O368" t="n">
        <v>0</v>
      </c>
      <c r="P368" t="n">
        <v>0</v>
      </c>
      <c r="Q368" t="n">
        <v>0</v>
      </c>
      <c r="R368" s="2" t="inlineStr"/>
    </row>
    <row r="369" ht="15" customHeight="1">
      <c r="A369" t="inlineStr">
        <is>
          <t>A 39696-2024</t>
        </is>
      </c>
      <c r="B369" s="1" t="n">
        <v>45552.57210648148</v>
      </c>
      <c r="C369" s="1" t="n">
        <v>45917</v>
      </c>
      <c r="D369" t="inlineStr">
        <is>
          <t>JÄMTLANDS LÄN</t>
        </is>
      </c>
      <c r="E369" t="inlineStr">
        <is>
          <t>KROKOM</t>
        </is>
      </c>
      <c r="G369" t="n">
        <v>5.3</v>
      </c>
      <c r="H369" t="n">
        <v>0</v>
      </c>
      <c r="I369" t="n">
        <v>0</v>
      </c>
      <c r="J369" t="n">
        <v>0</v>
      </c>
      <c r="K369" t="n">
        <v>0</v>
      </c>
      <c r="L369" t="n">
        <v>0</v>
      </c>
      <c r="M369" t="n">
        <v>0</v>
      </c>
      <c r="N369" t="n">
        <v>0</v>
      </c>
      <c r="O369" t="n">
        <v>0</v>
      </c>
      <c r="P369" t="n">
        <v>0</v>
      </c>
      <c r="Q369" t="n">
        <v>0</v>
      </c>
      <c r="R369" s="2" t="inlineStr"/>
    </row>
    <row r="370" ht="15" customHeight="1">
      <c r="A370" t="inlineStr">
        <is>
          <t>A 45827-2023</t>
        </is>
      </c>
      <c r="B370" s="1" t="n">
        <v>45195</v>
      </c>
      <c r="C370" s="1" t="n">
        <v>45917</v>
      </c>
      <c r="D370" t="inlineStr">
        <is>
          <t>JÄMTLANDS LÄN</t>
        </is>
      </c>
      <c r="E370" t="inlineStr">
        <is>
          <t>KROKOM</t>
        </is>
      </c>
      <c r="G370" t="n">
        <v>1.6</v>
      </c>
      <c r="H370" t="n">
        <v>0</v>
      </c>
      <c r="I370" t="n">
        <v>0</v>
      </c>
      <c r="J370" t="n">
        <v>0</v>
      </c>
      <c r="K370" t="n">
        <v>0</v>
      </c>
      <c r="L370" t="n">
        <v>0</v>
      </c>
      <c r="M370" t="n">
        <v>0</v>
      </c>
      <c r="N370" t="n">
        <v>0</v>
      </c>
      <c r="O370" t="n">
        <v>0</v>
      </c>
      <c r="P370" t="n">
        <v>0</v>
      </c>
      <c r="Q370" t="n">
        <v>0</v>
      </c>
      <c r="R370" s="2" t="inlineStr"/>
    </row>
    <row r="371" ht="15" customHeight="1">
      <c r="A371" t="inlineStr">
        <is>
          <t>A 34769-2021</t>
        </is>
      </c>
      <c r="B371" s="1" t="n">
        <v>44382.92065972222</v>
      </c>
      <c r="C371" s="1" t="n">
        <v>45917</v>
      </c>
      <c r="D371" t="inlineStr">
        <is>
          <t>JÄMTLANDS LÄN</t>
        </is>
      </c>
      <c r="E371" t="inlineStr">
        <is>
          <t>KROKOM</t>
        </is>
      </c>
      <c r="G371" t="n">
        <v>14.5</v>
      </c>
      <c r="H371" t="n">
        <v>0</v>
      </c>
      <c r="I371" t="n">
        <v>0</v>
      </c>
      <c r="J371" t="n">
        <v>0</v>
      </c>
      <c r="K371" t="n">
        <v>0</v>
      </c>
      <c r="L371" t="n">
        <v>0</v>
      </c>
      <c r="M371" t="n">
        <v>0</v>
      </c>
      <c r="N371" t="n">
        <v>0</v>
      </c>
      <c r="O371" t="n">
        <v>0</v>
      </c>
      <c r="P371" t="n">
        <v>0</v>
      </c>
      <c r="Q371" t="n">
        <v>0</v>
      </c>
      <c r="R371" s="2" t="inlineStr"/>
    </row>
    <row r="372" ht="15" customHeight="1">
      <c r="A372" t="inlineStr">
        <is>
          <t>A 68686-2021</t>
        </is>
      </c>
      <c r="B372" s="1" t="n">
        <v>44526</v>
      </c>
      <c r="C372" s="1" t="n">
        <v>45917</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46597-2020</t>
        </is>
      </c>
      <c r="B373" s="1" t="n">
        <v>44095</v>
      </c>
      <c r="C373" s="1" t="n">
        <v>45917</v>
      </c>
      <c r="D373" t="inlineStr">
        <is>
          <t>JÄMTLANDS LÄN</t>
        </is>
      </c>
      <c r="E373" t="inlineStr">
        <is>
          <t>KROKOM</t>
        </is>
      </c>
      <c r="G373" t="n">
        <v>1.6</v>
      </c>
      <c r="H373" t="n">
        <v>0</v>
      </c>
      <c r="I373" t="n">
        <v>0</v>
      </c>
      <c r="J373" t="n">
        <v>0</v>
      </c>
      <c r="K373" t="n">
        <v>0</v>
      </c>
      <c r="L373" t="n">
        <v>0</v>
      </c>
      <c r="M373" t="n">
        <v>0</v>
      </c>
      <c r="N373" t="n">
        <v>0</v>
      </c>
      <c r="O373" t="n">
        <v>0</v>
      </c>
      <c r="P373" t="n">
        <v>0</v>
      </c>
      <c r="Q373" t="n">
        <v>0</v>
      </c>
      <c r="R373" s="2" t="inlineStr"/>
    </row>
    <row r="374" ht="15" customHeight="1">
      <c r="A374" t="inlineStr">
        <is>
          <t>A 29146-2021</t>
        </is>
      </c>
      <c r="B374" s="1" t="n">
        <v>44358.63585648148</v>
      </c>
      <c r="C374" s="1" t="n">
        <v>45917</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2427-2021</t>
        </is>
      </c>
      <c r="B375" s="1" t="n">
        <v>44214</v>
      </c>
      <c r="C375" s="1" t="n">
        <v>45917</v>
      </c>
      <c r="D375" t="inlineStr">
        <is>
          <t>JÄMTLANDS LÄN</t>
        </is>
      </c>
      <c r="E375" t="inlineStr">
        <is>
          <t>KROKOM</t>
        </is>
      </c>
      <c r="G375" t="n">
        <v>20.5</v>
      </c>
      <c r="H375" t="n">
        <v>0</v>
      </c>
      <c r="I375" t="n">
        <v>0</v>
      </c>
      <c r="J375" t="n">
        <v>0</v>
      </c>
      <c r="K375" t="n">
        <v>0</v>
      </c>
      <c r="L375" t="n">
        <v>0</v>
      </c>
      <c r="M375" t="n">
        <v>0</v>
      </c>
      <c r="N375" t="n">
        <v>0</v>
      </c>
      <c r="O375" t="n">
        <v>0</v>
      </c>
      <c r="P375" t="n">
        <v>0</v>
      </c>
      <c r="Q375" t="n">
        <v>0</v>
      </c>
      <c r="R375" s="2" t="inlineStr"/>
    </row>
    <row r="376" ht="15" customHeight="1">
      <c r="A376" t="inlineStr">
        <is>
          <t>A 35559-2024</t>
        </is>
      </c>
      <c r="B376" s="1" t="n">
        <v>45531.62141203704</v>
      </c>
      <c r="C376" s="1" t="n">
        <v>45917</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16874-2024</t>
        </is>
      </c>
      <c r="B377" s="1" t="n">
        <v>45411</v>
      </c>
      <c r="C377" s="1" t="n">
        <v>45917</v>
      </c>
      <c r="D377" t="inlineStr">
        <is>
          <t>JÄMTLANDS LÄN</t>
        </is>
      </c>
      <c r="E377" t="inlineStr">
        <is>
          <t>KROKOM</t>
        </is>
      </c>
      <c r="F377" t="inlineStr">
        <is>
          <t>Övriga Aktiebolag</t>
        </is>
      </c>
      <c r="G377" t="n">
        <v>1.1</v>
      </c>
      <c r="H377" t="n">
        <v>0</v>
      </c>
      <c r="I377" t="n">
        <v>0</v>
      </c>
      <c r="J377" t="n">
        <v>0</v>
      </c>
      <c r="K377" t="n">
        <v>0</v>
      </c>
      <c r="L377" t="n">
        <v>0</v>
      </c>
      <c r="M377" t="n">
        <v>0</v>
      </c>
      <c r="N377" t="n">
        <v>0</v>
      </c>
      <c r="O377" t="n">
        <v>0</v>
      </c>
      <c r="P377" t="n">
        <v>0</v>
      </c>
      <c r="Q377" t="n">
        <v>0</v>
      </c>
      <c r="R377" s="2" t="inlineStr"/>
    </row>
    <row r="378" ht="15" customHeight="1">
      <c r="A378" t="inlineStr">
        <is>
          <t>A 15432-2025</t>
        </is>
      </c>
      <c r="B378" s="1" t="n">
        <v>45747.47025462963</v>
      </c>
      <c r="C378" s="1" t="n">
        <v>45917</v>
      </c>
      <c r="D378" t="inlineStr">
        <is>
          <t>JÄMTLANDS LÄN</t>
        </is>
      </c>
      <c r="E378" t="inlineStr">
        <is>
          <t>KROKOM</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42210-2022</t>
        </is>
      </c>
      <c r="B379" s="1" t="n">
        <v>44830</v>
      </c>
      <c r="C379" s="1" t="n">
        <v>45917</v>
      </c>
      <c r="D379" t="inlineStr">
        <is>
          <t>JÄMTLANDS LÄN</t>
        </is>
      </c>
      <c r="E379" t="inlineStr">
        <is>
          <t>KROKOM</t>
        </is>
      </c>
      <c r="F379" t="inlineStr">
        <is>
          <t>Övriga Aktiebolag</t>
        </is>
      </c>
      <c r="G379" t="n">
        <v>11.6</v>
      </c>
      <c r="H379" t="n">
        <v>0</v>
      </c>
      <c r="I379" t="n">
        <v>0</v>
      </c>
      <c r="J379" t="n">
        <v>0</v>
      </c>
      <c r="K379" t="n">
        <v>0</v>
      </c>
      <c r="L379" t="n">
        <v>0</v>
      </c>
      <c r="M379" t="n">
        <v>0</v>
      </c>
      <c r="N379" t="n">
        <v>0</v>
      </c>
      <c r="O379" t="n">
        <v>0</v>
      </c>
      <c r="P379" t="n">
        <v>0</v>
      </c>
      <c r="Q379" t="n">
        <v>0</v>
      </c>
      <c r="R379" s="2" t="inlineStr"/>
    </row>
    <row r="380" ht="15" customHeight="1">
      <c r="A380" t="inlineStr">
        <is>
          <t>A 32244-2024</t>
        </is>
      </c>
      <c r="B380" s="1" t="n">
        <v>45511.95109953704</v>
      </c>
      <c r="C380" s="1" t="n">
        <v>45917</v>
      </c>
      <c r="D380" t="inlineStr">
        <is>
          <t>JÄMTLANDS LÄN</t>
        </is>
      </c>
      <c r="E380" t="inlineStr">
        <is>
          <t>KROKOM</t>
        </is>
      </c>
      <c r="G380" t="n">
        <v>3.1</v>
      </c>
      <c r="H380" t="n">
        <v>0</v>
      </c>
      <c r="I380" t="n">
        <v>0</v>
      </c>
      <c r="J380" t="n">
        <v>0</v>
      </c>
      <c r="K380" t="n">
        <v>0</v>
      </c>
      <c r="L380" t="n">
        <v>0</v>
      </c>
      <c r="M380" t="n">
        <v>0</v>
      </c>
      <c r="N380" t="n">
        <v>0</v>
      </c>
      <c r="O380" t="n">
        <v>0</v>
      </c>
      <c r="P380" t="n">
        <v>0</v>
      </c>
      <c r="Q380" t="n">
        <v>0</v>
      </c>
      <c r="R380" s="2" t="inlineStr"/>
    </row>
    <row r="381" ht="15" customHeight="1">
      <c r="A381" t="inlineStr">
        <is>
          <t>A 21000-2021</t>
        </is>
      </c>
      <c r="B381" s="1" t="n">
        <v>44316</v>
      </c>
      <c r="C381" s="1" t="n">
        <v>45917</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25715-2025</t>
        </is>
      </c>
      <c r="B382" s="1" t="n">
        <v>45803.69828703703</v>
      </c>
      <c r="C382" s="1" t="n">
        <v>45917</v>
      </c>
      <c r="D382" t="inlineStr">
        <is>
          <t>JÄMTLANDS LÄN</t>
        </is>
      </c>
      <c r="E382" t="inlineStr">
        <is>
          <t>KROKOM</t>
        </is>
      </c>
      <c r="G382" t="n">
        <v>8.9</v>
      </c>
      <c r="H382" t="n">
        <v>0</v>
      </c>
      <c r="I382" t="n">
        <v>0</v>
      </c>
      <c r="J382" t="n">
        <v>0</v>
      </c>
      <c r="K382" t="n">
        <v>0</v>
      </c>
      <c r="L382" t="n">
        <v>0</v>
      </c>
      <c r="M382" t="n">
        <v>0</v>
      </c>
      <c r="N382" t="n">
        <v>0</v>
      </c>
      <c r="O382" t="n">
        <v>0</v>
      </c>
      <c r="P382" t="n">
        <v>0</v>
      </c>
      <c r="Q382" t="n">
        <v>0</v>
      </c>
      <c r="R382" s="2" t="inlineStr"/>
    </row>
    <row r="383" ht="15" customHeight="1">
      <c r="A383" t="inlineStr">
        <is>
          <t>A 67730-2020</t>
        </is>
      </c>
      <c r="B383" s="1" t="n">
        <v>44179</v>
      </c>
      <c r="C383" s="1" t="n">
        <v>45917</v>
      </c>
      <c r="D383" t="inlineStr">
        <is>
          <t>JÄMTLANDS LÄN</t>
        </is>
      </c>
      <c r="E383" t="inlineStr">
        <is>
          <t>KROKOM</t>
        </is>
      </c>
      <c r="G383" t="n">
        <v>7.5</v>
      </c>
      <c r="H383" t="n">
        <v>0</v>
      </c>
      <c r="I383" t="n">
        <v>0</v>
      </c>
      <c r="J383" t="n">
        <v>0</v>
      </c>
      <c r="K383" t="n">
        <v>0</v>
      </c>
      <c r="L383" t="n">
        <v>0</v>
      </c>
      <c r="M383" t="n">
        <v>0</v>
      </c>
      <c r="N383" t="n">
        <v>0</v>
      </c>
      <c r="O383" t="n">
        <v>0</v>
      </c>
      <c r="P383" t="n">
        <v>0</v>
      </c>
      <c r="Q383" t="n">
        <v>0</v>
      </c>
      <c r="R383" s="2" t="inlineStr"/>
    </row>
    <row r="384" ht="15" customHeight="1">
      <c r="A384" t="inlineStr">
        <is>
          <t>A 10279-2025</t>
        </is>
      </c>
      <c r="B384" s="1" t="n">
        <v>45720.40268518519</v>
      </c>
      <c r="C384" s="1" t="n">
        <v>45917</v>
      </c>
      <c r="D384" t="inlineStr">
        <is>
          <t>JÄMTLANDS LÄN</t>
        </is>
      </c>
      <c r="E384" t="inlineStr">
        <is>
          <t>KROKOM</t>
        </is>
      </c>
      <c r="G384" t="n">
        <v>1.8</v>
      </c>
      <c r="H384" t="n">
        <v>0</v>
      </c>
      <c r="I384" t="n">
        <v>0</v>
      </c>
      <c r="J384" t="n">
        <v>0</v>
      </c>
      <c r="K384" t="n">
        <v>0</v>
      </c>
      <c r="L384" t="n">
        <v>0</v>
      </c>
      <c r="M384" t="n">
        <v>0</v>
      </c>
      <c r="N384" t="n">
        <v>0</v>
      </c>
      <c r="O384" t="n">
        <v>0</v>
      </c>
      <c r="P384" t="n">
        <v>0</v>
      </c>
      <c r="Q384" t="n">
        <v>0</v>
      </c>
      <c r="R384" s="2" t="inlineStr"/>
    </row>
    <row r="385" ht="15" customHeight="1">
      <c r="A385" t="inlineStr">
        <is>
          <t>A 52578-2021</t>
        </is>
      </c>
      <c r="B385" s="1" t="n">
        <v>44466.56642361111</v>
      </c>
      <c r="C385" s="1" t="n">
        <v>45917</v>
      </c>
      <c r="D385" t="inlineStr">
        <is>
          <t>JÄMTLANDS LÄN</t>
        </is>
      </c>
      <c r="E385" t="inlineStr">
        <is>
          <t>KROKOM</t>
        </is>
      </c>
      <c r="G385" t="n">
        <v>17.1</v>
      </c>
      <c r="H385" t="n">
        <v>0</v>
      </c>
      <c r="I385" t="n">
        <v>0</v>
      </c>
      <c r="J385" t="n">
        <v>0</v>
      </c>
      <c r="K385" t="n">
        <v>0</v>
      </c>
      <c r="L385" t="n">
        <v>0</v>
      </c>
      <c r="M385" t="n">
        <v>0</v>
      </c>
      <c r="N385" t="n">
        <v>0</v>
      </c>
      <c r="O385" t="n">
        <v>0</v>
      </c>
      <c r="P385" t="n">
        <v>0</v>
      </c>
      <c r="Q385" t="n">
        <v>0</v>
      </c>
      <c r="R385" s="2" t="inlineStr"/>
    </row>
    <row r="386" ht="15" customHeight="1">
      <c r="A386" t="inlineStr">
        <is>
          <t>A 61230-2021</t>
        </is>
      </c>
      <c r="B386" s="1" t="n">
        <v>44498</v>
      </c>
      <c r="C386" s="1" t="n">
        <v>45917</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59293-2023</t>
        </is>
      </c>
      <c r="B387" s="1" t="n">
        <v>45253</v>
      </c>
      <c r="C387" s="1" t="n">
        <v>45917</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4608-2025</t>
        </is>
      </c>
      <c r="B388" s="1" t="n">
        <v>45687</v>
      </c>
      <c r="C388" s="1" t="n">
        <v>45917</v>
      </c>
      <c r="D388" t="inlineStr">
        <is>
          <t>JÄMTLANDS LÄN</t>
        </is>
      </c>
      <c r="E388" t="inlineStr">
        <is>
          <t>KROKOM</t>
        </is>
      </c>
      <c r="F388" t="inlineStr">
        <is>
          <t>SCA</t>
        </is>
      </c>
      <c r="G388" t="n">
        <v>16.6</v>
      </c>
      <c r="H388" t="n">
        <v>0</v>
      </c>
      <c r="I388" t="n">
        <v>0</v>
      </c>
      <c r="J388" t="n">
        <v>0</v>
      </c>
      <c r="K388" t="n">
        <v>0</v>
      </c>
      <c r="L388" t="n">
        <v>0</v>
      </c>
      <c r="M388" t="n">
        <v>0</v>
      </c>
      <c r="N388" t="n">
        <v>0</v>
      </c>
      <c r="O388" t="n">
        <v>0</v>
      </c>
      <c r="P388" t="n">
        <v>0</v>
      </c>
      <c r="Q388" t="n">
        <v>0</v>
      </c>
      <c r="R388" s="2" t="inlineStr"/>
    </row>
    <row r="389" ht="15" customHeight="1">
      <c r="A389" t="inlineStr">
        <is>
          <t>A 61078-2023</t>
        </is>
      </c>
      <c r="B389" s="1" t="n">
        <v>45261</v>
      </c>
      <c r="C389" s="1" t="n">
        <v>45917</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10498-2025</t>
        </is>
      </c>
      <c r="B390" s="1" t="n">
        <v>45721</v>
      </c>
      <c r="C390" s="1" t="n">
        <v>45917</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58734-2024</t>
        </is>
      </c>
      <c r="B391" s="1" t="n">
        <v>45635.67949074074</v>
      </c>
      <c r="C391" s="1" t="n">
        <v>45917</v>
      </c>
      <c r="D391" t="inlineStr">
        <is>
          <t>JÄMTLANDS LÄN</t>
        </is>
      </c>
      <c r="E391" t="inlineStr">
        <is>
          <t>KROKOM</t>
        </is>
      </c>
      <c r="G391" t="n">
        <v>3.4</v>
      </c>
      <c r="H391" t="n">
        <v>0</v>
      </c>
      <c r="I391" t="n">
        <v>0</v>
      </c>
      <c r="J391" t="n">
        <v>0</v>
      </c>
      <c r="K391" t="n">
        <v>0</v>
      </c>
      <c r="L391" t="n">
        <v>0</v>
      </c>
      <c r="M391" t="n">
        <v>0</v>
      </c>
      <c r="N391" t="n">
        <v>0</v>
      </c>
      <c r="O391" t="n">
        <v>0</v>
      </c>
      <c r="P391" t="n">
        <v>0</v>
      </c>
      <c r="Q391" t="n">
        <v>0</v>
      </c>
      <c r="R391" s="2" t="inlineStr"/>
    </row>
    <row r="392" ht="15" customHeight="1">
      <c r="A392" t="inlineStr">
        <is>
          <t>A 52111-2024</t>
        </is>
      </c>
      <c r="B392" s="1" t="n">
        <v>45608.43930555556</v>
      </c>
      <c r="C392" s="1" t="n">
        <v>45917</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26212-2025</t>
        </is>
      </c>
      <c r="B393" s="1" t="n">
        <v>45805.54185185185</v>
      </c>
      <c r="C393" s="1" t="n">
        <v>45917</v>
      </c>
      <c r="D393" t="inlineStr">
        <is>
          <t>JÄMTLANDS LÄN</t>
        </is>
      </c>
      <c r="E393" t="inlineStr">
        <is>
          <t>KROKOM</t>
        </is>
      </c>
      <c r="G393" t="n">
        <v>1.5</v>
      </c>
      <c r="H393" t="n">
        <v>0</v>
      </c>
      <c r="I393" t="n">
        <v>0</v>
      </c>
      <c r="J393" t="n">
        <v>0</v>
      </c>
      <c r="K393" t="n">
        <v>0</v>
      </c>
      <c r="L393" t="n">
        <v>0</v>
      </c>
      <c r="M393" t="n">
        <v>0</v>
      </c>
      <c r="N393" t="n">
        <v>0</v>
      </c>
      <c r="O393" t="n">
        <v>0</v>
      </c>
      <c r="P393" t="n">
        <v>0</v>
      </c>
      <c r="Q393" t="n">
        <v>0</v>
      </c>
      <c r="R393" s="2" t="inlineStr"/>
    </row>
    <row r="394" ht="15" customHeight="1">
      <c r="A394" t="inlineStr">
        <is>
          <t>A 16345-2025</t>
        </is>
      </c>
      <c r="B394" s="1" t="n">
        <v>45751.3734837963</v>
      </c>
      <c r="C394" s="1" t="n">
        <v>45917</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16481-2025</t>
        </is>
      </c>
      <c r="B395" s="1" t="n">
        <v>45751.57877314815</v>
      </c>
      <c r="C395" s="1" t="n">
        <v>45917</v>
      </c>
      <c r="D395" t="inlineStr">
        <is>
          <t>JÄMTLANDS LÄN</t>
        </is>
      </c>
      <c r="E395" t="inlineStr">
        <is>
          <t>KROKOM</t>
        </is>
      </c>
      <c r="G395" t="n">
        <v>8.4</v>
      </c>
      <c r="H395" t="n">
        <v>0</v>
      </c>
      <c r="I395" t="n">
        <v>0</v>
      </c>
      <c r="J395" t="n">
        <v>0</v>
      </c>
      <c r="K395" t="n">
        <v>0</v>
      </c>
      <c r="L395" t="n">
        <v>0</v>
      </c>
      <c r="M395" t="n">
        <v>0</v>
      </c>
      <c r="N395" t="n">
        <v>0</v>
      </c>
      <c r="O395" t="n">
        <v>0</v>
      </c>
      <c r="P395" t="n">
        <v>0</v>
      </c>
      <c r="Q395" t="n">
        <v>0</v>
      </c>
      <c r="R395" s="2" t="inlineStr"/>
    </row>
    <row r="396" ht="15" customHeight="1">
      <c r="A396" t="inlineStr">
        <is>
          <t>A 12838-2025</t>
        </is>
      </c>
      <c r="B396" s="1" t="n">
        <v>45733</v>
      </c>
      <c r="C396" s="1" t="n">
        <v>45917</v>
      </c>
      <c r="D396" t="inlineStr">
        <is>
          <t>JÄMTLANDS LÄN</t>
        </is>
      </c>
      <c r="E396" t="inlineStr">
        <is>
          <t>KROKOM</t>
        </is>
      </c>
      <c r="G396" t="n">
        <v>59.3</v>
      </c>
      <c r="H396" t="n">
        <v>0</v>
      </c>
      <c r="I396" t="n">
        <v>0</v>
      </c>
      <c r="J396" t="n">
        <v>0</v>
      </c>
      <c r="K396" t="n">
        <v>0</v>
      </c>
      <c r="L396" t="n">
        <v>0</v>
      </c>
      <c r="M396" t="n">
        <v>0</v>
      </c>
      <c r="N396" t="n">
        <v>0</v>
      </c>
      <c r="O396" t="n">
        <v>0</v>
      </c>
      <c r="P396" t="n">
        <v>0</v>
      </c>
      <c r="Q396" t="n">
        <v>0</v>
      </c>
      <c r="R396" s="2" t="inlineStr"/>
    </row>
    <row r="397" ht="15" customHeight="1">
      <c r="A397" t="inlineStr">
        <is>
          <t>A 26272-2025</t>
        </is>
      </c>
      <c r="B397" s="1" t="n">
        <v>45805</v>
      </c>
      <c r="C397" s="1" t="n">
        <v>45917</v>
      </c>
      <c r="D397" t="inlineStr">
        <is>
          <t>JÄMTLANDS LÄN</t>
        </is>
      </c>
      <c r="E397" t="inlineStr">
        <is>
          <t>KROKOM</t>
        </is>
      </c>
      <c r="G397" t="n">
        <v>22.4</v>
      </c>
      <c r="H397" t="n">
        <v>0</v>
      </c>
      <c r="I397" t="n">
        <v>0</v>
      </c>
      <c r="J397" t="n">
        <v>0</v>
      </c>
      <c r="K397" t="n">
        <v>0</v>
      </c>
      <c r="L397" t="n">
        <v>0</v>
      </c>
      <c r="M397" t="n">
        <v>0</v>
      </c>
      <c r="N397" t="n">
        <v>0</v>
      </c>
      <c r="O397" t="n">
        <v>0</v>
      </c>
      <c r="P397" t="n">
        <v>0</v>
      </c>
      <c r="Q397" t="n">
        <v>0</v>
      </c>
      <c r="R397" s="2" t="inlineStr"/>
    </row>
    <row r="398" ht="15" customHeight="1">
      <c r="A398" t="inlineStr">
        <is>
          <t>A 5533-2025</t>
        </is>
      </c>
      <c r="B398" s="1" t="n">
        <v>45693</v>
      </c>
      <c r="C398" s="1" t="n">
        <v>45917</v>
      </c>
      <c r="D398" t="inlineStr">
        <is>
          <t>JÄMTLANDS LÄN</t>
        </is>
      </c>
      <c r="E398" t="inlineStr">
        <is>
          <t>KROKOM</t>
        </is>
      </c>
      <c r="G398" t="n">
        <v>109</v>
      </c>
      <c r="H398" t="n">
        <v>0</v>
      </c>
      <c r="I398" t="n">
        <v>0</v>
      </c>
      <c r="J398" t="n">
        <v>0</v>
      </c>
      <c r="K398" t="n">
        <v>0</v>
      </c>
      <c r="L398" t="n">
        <v>0</v>
      </c>
      <c r="M398" t="n">
        <v>0</v>
      </c>
      <c r="N398" t="n">
        <v>0</v>
      </c>
      <c r="O398" t="n">
        <v>0</v>
      </c>
      <c r="P398" t="n">
        <v>0</v>
      </c>
      <c r="Q398" t="n">
        <v>0</v>
      </c>
      <c r="R398" s="2" t="inlineStr"/>
    </row>
    <row r="399" ht="15" customHeight="1">
      <c r="A399" t="inlineStr">
        <is>
          <t>A 5409-2025</t>
        </is>
      </c>
      <c r="B399" s="1" t="n">
        <v>45692</v>
      </c>
      <c r="C399" s="1" t="n">
        <v>45917</v>
      </c>
      <c r="D399" t="inlineStr">
        <is>
          <t>JÄMTLANDS LÄN</t>
        </is>
      </c>
      <c r="E399" t="inlineStr">
        <is>
          <t>KROKOM</t>
        </is>
      </c>
      <c r="F399" t="inlineStr">
        <is>
          <t>SCA</t>
        </is>
      </c>
      <c r="G399" t="n">
        <v>7.8</v>
      </c>
      <c r="H399" t="n">
        <v>0</v>
      </c>
      <c r="I399" t="n">
        <v>0</v>
      </c>
      <c r="J399" t="n">
        <v>0</v>
      </c>
      <c r="K399" t="n">
        <v>0</v>
      </c>
      <c r="L399" t="n">
        <v>0</v>
      </c>
      <c r="M399" t="n">
        <v>0</v>
      </c>
      <c r="N399" t="n">
        <v>0</v>
      </c>
      <c r="O399" t="n">
        <v>0</v>
      </c>
      <c r="P399" t="n">
        <v>0</v>
      </c>
      <c r="Q399" t="n">
        <v>0</v>
      </c>
      <c r="R399" s="2" t="inlineStr"/>
    </row>
    <row r="400" ht="15" customHeight="1">
      <c r="A400" t="inlineStr">
        <is>
          <t>A 6024-2025</t>
        </is>
      </c>
      <c r="B400" s="1" t="n">
        <v>45695.61160879629</v>
      </c>
      <c r="C400" s="1" t="n">
        <v>45917</v>
      </c>
      <c r="D400" t="inlineStr">
        <is>
          <t>JÄMTLANDS LÄN</t>
        </is>
      </c>
      <c r="E400" t="inlineStr">
        <is>
          <t>KROKOM</t>
        </is>
      </c>
      <c r="F400" t="inlineStr">
        <is>
          <t>Övriga Aktiebolag</t>
        </is>
      </c>
      <c r="G400" t="n">
        <v>3.1</v>
      </c>
      <c r="H400" t="n">
        <v>0</v>
      </c>
      <c r="I400" t="n">
        <v>0</v>
      </c>
      <c r="J400" t="n">
        <v>0</v>
      </c>
      <c r="K400" t="n">
        <v>0</v>
      </c>
      <c r="L400" t="n">
        <v>0</v>
      </c>
      <c r="M400" t="n">
        <v>0</v>
      </c>
      <c r="N400" t="n">
        <v>0</v>
      </c>
      <c r="O400" t="n">
        <v>0</v>
      </c>
      <c r="P400" t="n">
        <v>0</v>
      </c>
      <c r="Q400" t="n">
        <v>0</v>
      </c>
      <c r="R400" s="2" t="inlineStr"/>
    </row>
    <row r="401" ht="15" customHeight="1">
      <c r="A401" t="inlineStr">
        <is>
          <t>A 50919-2024</t>
        </is>
      </c>
      <c r="B401" s="1" t="n">
        <v>45602</v>
      </c>
      <c r="C401" s="1" t="n">
        <v>45917</v>
      </c>
      <c r="D401" t="inlineStr">
        <is>
          <t>JÄMTLANDS LÄN</t>
        </is>
      </c>
      <c r="E401" t="inlineStr">
        <is>
          <t>KROKOM</t>
        </is>
      </c>
      <c r="G401" t="n">
        <v>33.7</v>
      </c>
      <c r="H401" t="n">
        <v>0</v>
      </c>
      <c r="I401" t="n">
        <v>0</v>
      </c>
      <c r="J401" t="n">
        <v>0</v>
      </c>
      <c r="K401" t="n">
        <v>0</v>
      </c>
      <c r="L401" t="n">
        <v>0</v>
      </c>
      <c r="M401" t="n">
        <v>0</v>
      </c>
      <c r="N401" t="n">
        <v>0</v>
      </c>
      <c r="O401" t="n">
        <v>0</v>
      </c>
      <c r="P401" t="n">
        <v>0</v>
      </c>
      <c r="Q401" t="n">
        <v>0</v>
      </c>
      <c r="R401" s="2" t="inlineStr"/>
    </row>
    <row r="402" ht="15" customHeight="1">
      <c r="A402" t="inlineStr">
        <is>
          <t>A 40364-2023</t>
        </is>
      </c>
      <c r="B402" s="1" t="n">
        <v>45168</v>
      </c>
      <c r="C402" s="1" t="n">
        <v>45917</v>
      </c>
      <c r="D402" t="inlineStr">
        <is>
          <t>JÄMTLANDS LÄN</t>
        </is>
      </c>
      <c r="E402" t="inlineStr">
        <is>
          <t>KROKOM</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34278-2022</t>
        </is>
      </c>
      <c r="B403" s="1" t="n">
        <v>44792.27644675926</v>
      </c>
      <c r="C403" s="1" t="n">
        <v>45917</v>
      </c>
      <c r="D403" t="inlineStr">
        <is>
          <t>JÄMTLANDS LÄN</t>
        </is>
      </c>
      <c r="E403" t="inlineStr">
        <is>
          <t>KROKOM</t>
        </is>
      </c>
      <c r="G403" t="n">
        <v>19.5</v>
      </c>
      <c r="H403" t="n">
        <v>0</v>
      </c>
      <c r="I403" t="n">
        <v>0</v>
      </c>
      <c r="J403" t="n">
        <v>0</v>
      </c>
      <c r="K403" t="n">
        <v>0</v>
      </c>
      <c r="L403" t="n">
        <v>0</v>
      </c>
      <c r="M403" t="n">
        <v>0</v>
      </c>
      <c r="N403" t="n">
        <v>0</v>
      </c>
      <c r="O403" t="n">
        <v>0</v>
      </c>
      <c r="P403" t="n">
        <v>0</v>
      </c>
      <c r="Q403" t="n">
        <v>0</v>
      </c>
      <c r="R403" s="2" t="inlineStr"/>
    </row>
    <row r="404" ht="15" customHeight="1">
      <c r="A404" t="inlineStr">
        <is>
          <t>A 29238-2022</t>
        </is>
      </c>
      <c r="B404" s="1" t="n">
        <v>44750</v>
      </c>
      <c r="C404" s="1" t="n">
        <v>45917</v>
      </c>
      <c r="D404" t="inlineStr">
        <is>
          <t>JÄMTLANDS LÄN</t>
        </is>
      </c>
      <c r="E404" t="inlineStr">
        <is>
          <t>KROKOM</t>
        </is>
      </c>
      <c r="G404" t="n">
        <v>1.5</v>
      </c>
      <c r="H404" t="n">
        <v>0</v>
      </c>
      <c r="I404" t="n">
        <v>0</v>
      </c>
      <c r="J404" t="n">
        <v>0</v>
      </c>
      <c r="K404" t="n">
        <v>0</v>
      </c>
      <c r="L404" t="n">
        <v>0</v>
      </c>
      <c r="M404" t="n">
        <v>0</v>
      </c>
      <c r="N404" t="n">
        <v>0</v>
      </c>
      <c r="O404" t="n">
        <v>0</v>
      </c>
      <c r="P404" t="n">
        <v>0</v>
      </c>
      <c r="Q404" t="n">
        <v>0</v>
      </c>
      <c r="R404" s="2" t="inlineStr"/>
    </row>
    <row r="405" ht="15" customHeight="1">
      <c r="A405" t="inlineStr">
        <is>
          <t>A 23512-2022</t>
        </is>
      </c>
      <c r="B405" s="1" t="n">
        <v>44721.39003472222</v>
      </c>
      <c r="C405" s="1" t="n">
        <v>45917</v>
      </c>
      <c r="D405" t="inlineStr">
        <is>
          <t>JÄMTLANDS LÄN</t>
        </is>
      </c>
      <c r="E405" t="inlineStr">
        <is>
          <t>KROKOM</t>
        </is>
      </c>
      <c r="F405" t="inlineStr">
        <is>
          <t>Övriga Aktiebolag</t>
        </is>
      </c>
      <c r="G405" t="n">
        <v>4.8</v>
      </c>
      <c r="H405" t="n">
        <v>0</v>
      </c>
      <c r="I405" t="n">
        <v>0</v>
      </c>
      <c r="J405" t="n">
        <v>0</v>
      </c>
      <c r="K405" t="n">
        <v>0</v>
      </c>
      <c r="L405" t="n">
        <v>0</v>
      </c>
      <c r="M405" t="n">
        <v>0</v>
      </c>
      <c r="N405" t="n">
        <v>0</v>
      </c>
      <c r="O405" t="n">
        <v>0</v>
      </c>
      <c r="P405" t="n">
        <v>0</v>
      </c>
      <c r="Q405" t="n">
        <v>0</v>
      </c>
      <c r="R405" s="2" t="inlineStr"/>
    </row>
    <row r="406" ht="15" customHeight="1">
      <c r="A406" t="inlineStr">
        <is>
          <t>A 53765-2022</t>
        </is>
      </c>
      <c r="B406" s="1" t="n">
        <v>44875</v>
      </c>
      <c r="C406" s="1" t="n">
        <v>45917</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24441-2022</t>
        </is>
      </c>
      <c r="B407" s="1" t="n">
        <v>44726</v>
      </c>
      <c r="C407" s="1" t="n">
        <v>45917</v>
      </c>
      <c r="D407" t="inlineStr">
        <is>
          <t>JÄMTLANDS LÄN</t>
        </is>
      </c>
      <c r="E407" t="inlineStr">
        <is>
          <t>KROKOM</t>
        </is>
      </c>
      <c r="G407" t="n">
        <v>12.1</v>
      </c>
      <c r="H407" t="n">
        <v>0</v>
      </c>
      <c r="I407" t="n">
        <v>0</v>
      </c>
      <c r="J407" t="n">
        <v>0</v>
      </c>
      <c r="K407" t="n">
        <v>0</v>
      </c>
      <c r="L407" t="n">
        <v>0</v>
      </c>
      <c r="M407" t="n">
        <v>0</v>
      </c>
      <c r="N407" t="n">
        <v>0</v>
      </c>
      <c r="O407" t="n">
        <v>0</v>
      </c>
      <c r="P407" t="n">
        <v>0</v>
      </c>
      <c r="Q407" t="n">
        <v>0</v>
      </c>
      <c r="R407" s="2" t="inlineStr"/>
    </row>
    <row r="408" ht="15" customHeight="1">
      <c r="A408" t="inlineStr">
        <is>
          <t>A 26544-2025</t>
        </is>
      </c>
      <c r="B408" s="1" t="n">
        <v>45807.58930555556</v>
      </c>
      <c r="C408" s="1" t="n">
        <v>45917</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43426-2022</t>
        </is>
      </c>
      <c r="B409" s="1" t="n">
        <v>44834.95019675926</v>
      </c>
      <c r="C409" s="1" t="n">
        <v>45917</v>
      </c>
      <c r="D409" t="inlineStr">
        <is>
          <t>JÄMTLANDS LÄN</t>
        </is>
      </c>
      <c r="E409" t="inlineStr">
        <is>
          <t>KROKOM</t>
        </is>
      </c>
      <c r="F409" t="inlineStr">
        <is>
          <t>SCA</t>
        </is>
      </c>
      <c r="G409" t="n">
        <v>34.4</v>
      </c>
      <c r="H409" t="n">
        <v>0</v>
      </c>
      <c r="I409" t="n">
        <v>0</v>
      </c>
      <c r="J409" t="n">
        <v>0</v>
      </c>
      <c r="K409" t="n">
        <v>0</v>
      </c>
      <c r="L409" t="n">
        <v>0</v>
      </c>
      <c r="M409" t="n">
        <v>0</v>
      </c>
      <c r="N409" t="n">
        <v>0</v>
      </c>
      <c r="O409" t="n">
        <v>0</v>
      </c>
      <c r="P409" t="n">
        <v>0</v>
      </c>
      <c r="Q409" t="n">
        <v>0</v>
      </c>
      <c r="R409" s="2" t="inlineStr"/>
    </row>
    <row r="410" ht="15" customHeight="1">
      <c r="A410" t="inlineStr">
        <is>
          <t>A 28191-2024</t>
        </is>
      </c>
      <c r="B410" s="1" t="n">
        <v>45477.32728009259</v>
      </c>
      <c r="C410" s="1" t="n">
        <v>45917</v>
      </c>
      <c r="D410" t="inlineStr">
        <is>
          <t>JÄMTLANDS LÄN</t>
        </is>
      </c>
      <c r="E410" t="inlineStr">
        <is>
          <t>KROKOM</t>
        </is>
      </c>
      <c r="F410" t="inlineStr">
        <is>
          <t>Övriga Aktiebolag</t>
        </is>
      </c>
      <c r="G410" t="n">
        <v>0.3</v>
      </c>
      <c r="H410" t="n">
        <v>0</v>
      </c>
      <c r="I410" t="n">
        <v>0</v>
      </c>
      <c r="J410" t="n">
        <v>0</v>
      </c>
      <c r="K410" t="n">
        <v>0</v>
      </c>
      <c r="L410" t="n">
        <v>0</v>
      </c>
      <c r="M410" t="n">
        <v>0</v>
      </c>
      <c r="N410" t="n">
        <v>0</v>
      </c>
      <c r="O410" t="n">
        <v>0</v>
      </c>
      <c r="P410" t="n">
        <v>0</v>
      </c>
      <c r="Q410" t="n">
        <v>0</v>
      </c>
      <c r="R410" s="2" t="inlineStr"/>
    </row>
    <row r="411" ht="15" customHeight="1">
      <c r="A411" t="inlineStr">
        <is>
          <t>A 26621-2025</t>
        </is>
      </c>
      <c r="B411" s="1" t="n">
        <v>45810.32105324074</v>
      </c>
      <c r="C411" s="1" t="n">
        <v>45917</v>
      </c>
      <c r="D411" t="inlineStr">
        <is>
          <t>JÄMTLANDS LÄN</t>
        </is>
      </c>
      <c r="E411" t="inlineStr">
        <is>
          <t>KROKOM</t>
        </is>
      </c>
      <c r="G411" t="n">
        <v>0.8</v>
      </c>
      <c r="H411" t="n">
        <v>0</v>
      </c>
      <c r="I411" t="n">
        <v>0</v>
      </c>
      <c r="J411" t="n">
        <v>0</v>
      </c>
      <c r="K411" t="n">
        <v>0</v>
      </c>
      <c r="L411" t="n">
        <v>0</v>
      </c>
      <c r="M411" t="n">
        <v>0</v>
      </c>
      <c r="N411" t="n">
        <v>0</v>
      </c>
      <c r="O411" t="n">
        <v>0</v>
      </c>
      <c r="P411" t="n">
        <v>0</v>
      </c>
      <c r="Q411" t="n">
        <v>0</v>
      </c>
      <c r="R411" s="2" t="inlineStr"/>
    </row>
    <row r="412" ht="15" customHeight="1">
      <c r="A412" t="inlineStr">
        <is>
          <t>A 24387-2023</t>
        </is>
      </c>
      <c r="B412" s="1" t="n">
        <v>45082</v>
      </c>
      <c r="C412" s="1" t="n">
        <v>45917</v>
      </c>
      <c r="D412" t="inlineStr">
        <is>
          <t>JÄMTLANDS LÄN</t>
        </is>
      </c>
      <c r="E412" t="inlineStr">
        <is>
          <t>KROKOM</t>
        </is>
      </c>
      <c r="F412" t="inlineStr">
        <is>
          <t>Kyrkan</t>
        </is>
      </c>
      <c r="G412" t="n">
        <v>21.2</v>
      </c>
      <c r="H412" t="n">
        <v>0</v>
      </c>
      <c r="I412" t="n">
        <v>0</v>
      </c>
      <c r="J412" t="n">
        <v>0</v>
      </c>
      <c r="K412" t="n">
        <v>0</v>
      </c>
      <c r="L412" t="n">
        <v>0</v>
      </c>
      <c r="M412" t="n">
        <v>0</v>
      </c>
      <c r="N412" t="n">
        <v>0</v>
      </c>
      <c r="O412" t="n">
        <v>0</v>
      </c>
      <c r="P412" t="n">
        <v>0</v>
      </c>
      <c r="Q412" t="n">
        <v>0</v>
      </c>
      <c r="R412" s="2" t="inlineStr"/>
    </row>
    <row r="413" ht="15" customHeight="1">
      <c r="A413" t="inlineStr">
        <is>
          <t>A 10533-2025</t>
        </is>
      </c>
      <c r="B413" s="1" t="n">
        <v>45721.45563657407</v>
      </c>
      <c r="C413" s="1" t="n">
        <v>45917</v>
      </c>
      <c r="D413" t="inlineStr">
        <is>
          <t>JÄMTLANDS LÄN</t>
        </is>
      </c>
      <c r="E413" t="inlineStr">
        <is>
          <t>KROKOM</t>
        </is>
      </c>
      <c r="F413" t="inlineStr">
        <is>
          <t>SCA</t>
        </is>
      </c>
      <c r="G413" t="n">
        <v>64.90000000000001</v>
      </c>
      <c r="H413" t="n">
        <v>0</v>
      </c>
      <c r="I413" t="n">
        <v>0</v>
      </c>
      <c r="J413" t="n">
        <v>0</v>
      </c>
      <c r="K413" t="n">
        <v>0</v>
      </c>
      <c r="L413" t="n">
        <v>0</v>
      </c>
      <c r="M413" t="n">
        <v>0</v>
      </c>
      <c r="N413" t="n">
        <v>0</v>
      </c>
      <c r="O413" t="n">
        <v>0</v>
      </c>
      <c r="P413" t="n">
        <v>0</v>
      </c>
      <c r="Q413" t="n">
        <v>0</v>
      </c>
      <c r="R413" s="2" t="inlineStr"/>
    </row>
    <row r="414" ht="15" customHeight="1">
      <c r="A414" t="inlineStr">
        <is>
          <t>A 30065-2024</t>
        </is>
      </c>
      <c r="B414" s="1" t="n">
        <v>45488.94857638889</v>
      </c>
      <c r="C414" s="1" t="n">
        <v>45917</v>
      </c>
      <c r="D414" t="inlineStr">
        <is>
          <t>JÄMTLANDS LÄN</t>
        </is>
      </c>
      <c r="E414" t="inlineStr">
        <is>
          <t>KROKOM</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48769-2022</t>
        </is>
      </c>
      <c r="B415" s="1" t="n">
        <v>44855</v>
      </c>
      <c r="C415" s="1" t="n">
        <v>45917</v>
      </c>
      <c r="D415" t="inlineStr">
        <is>
          <t>JÄMTLANDS LÄN</t>
        </is>
      </c>
      <c r="E415" t="inlineStr">
        <is>
          <t>KROKOM</t>
        </is>
      </c>
      <c r="G415" t="n">
        <v>7.5</v>
      </c>
      <c r="H415" t="n">
        <v>0</v>
      </c>
      <c r="I415" t="n">
        <v>0</v>
      </c>
      <c r="J415" t="n">
        <v>0</v>
      </c>
      <c r="K415" t="n">
        <v>0</v>
      </c>
      <c r="L415" t="n">
        <v>0</v>
      </c>
      <c r="M415" t="n">
        <v>0</v>
      </c>
      <c r="N415" t="n">
        <v>0</v>
      </c>
      <c r="O415" t="n">
        <v>0</v>
      </c>
      <c r="P415" t="n">
        <v>0</v>
      </c>
      <c r="Q415" t="n">
        <v>0</v>
      </c>
      <c r="R415" s="2" t="inlineStr"/>
    </row>
    <row r="416" ht="15" customHeight="1">
      <c r="A416" t="inlineStr">
        <is>
          <t>A 48777-2022</t>
        </is>
      </c>
      <c r="B416" s="1" t="n">
        <v>44855</v>
      </c>
      <c r="C416" s="1" t="n">
        <v>45917</v>
      </c>
      <c r="D416" t="inlineStr">
        <is>
          <t>JÄMTLANDS LÄN</t>
        </is>
      </c>
      <c r="E416" t="inlineStr">
        <is>
          <t>KROKOM</t>
        </is>
      </c>
      <c r="G416" t="n">
        <v>5.3</v>
      </c>
      <c r="H416" t="n">
        <v>0</v>
      </c>
      <c r="I416" t="n">
        <v>0</v>
      </c>
      <c r="J416" t="n">
        <v>0</v>
      </c>
      <c r="K416" t="n">
        <v>0</v>
      </c>
      <c r="L416" t="n">
        <v>0</v>
      </c>
      <c r="M416" t="n">
        <v>0</v>
      </c>
      <c r="N416" t="n">
        <v>0</v>
      </c>
      <c r="O416" t="n">
        <v>0</v>
      </c>
      <c r="P416" t="n">
        <v>0</v>
      </c>
      <c r="Q416" t="n">
        <v>0</v>
      </c>
      <c r="R416" s="2" t="inlineStr"/>
    </row>
    <row r="417" ht="15" customHeight="1">
      <c r="A417" t="inlineStr">
        <is>
          <t>A 54491-2022</t>
        </is>
      </c>
      <c r="B417" s="1" t="n">
        <v>44880</v>
      </c>
      <c r="C417" s="1" t="n">
        <v>45917</v>
      </c>
      <c r="D417" t="inlineStr">
        <is>
          <t>JÄMTLANDS LÄN</t>
        </is>
      </c>
      <c r="E417" t="inlineStr">
        <is>
          <t>KROKOM</t>
        </is>
      </c>
      <c r="G417" t="n">
        <v>0.2</v>
      </c>
      <c r="H417" t="n">
        <v>0</v>
      </c>
      <c r="I417" t="n">
        <v>0</v>
      </c>
      <c r="J417" t="n">
        <v>0</v>
      </c>
      <c r="K417" t="n">
        <v>0</v>
      </c>
      <c r="L417" t="n">
        <v>0</v>
      </c>
      <c r="M417" t="n">
        <v>0</v>
      </c>
      <c r="N417" t="n">
        <v>0</v>
      </c>
      <c r="O417" t="n">
        <v>0</v>
      </c>
      <c r="P417" t="n">
        <v>0</v>
      </c>
      <c r="Q417" t="n">
        <v>0</v>
      </c>
      <c r="R417" s="2" t="inlineStr"/>
    </row>
    <row r="418" ht="15" customHeight="1">
      <c r="A418" t="inlineStr">
        <is>
          <t>A 26527-2025</t>
        </is>
      </c>
      <c r="B418" s="1" t="n">
        <v>45807.56728009259</v>
      </c>
      <c r="C418" s="1" t="n">
        <v>45917</v>
      </c>
      <c r="D418" t="inlineStr">
        <is>
          <t>JÄMTLANDS LÄN</t>
        </is>
      </c>
      <c r="E418" t="inlineStr">
        <is>
          <t>KROKOM</t>
        </is>
      </c>
      <c r="G418" t="n">
        <v>13.3</v>
      </c>
      <c r="H418" t="n">
        <v>0</v>
      </c>
      <c r="I418" t="n">
        <v>0</v>
      </c>
      <c r="J418" t="n">
        <v>0</v>
      </c>
      <c r="K418" t="n">
        <v>0</v>
      </c>
      <c r="L418" t="n">
        <v>0</v>
      </c>
      <c r="M418" t="n">
        <v>0</v>
      </c>
      <c r="N418" t="n">
        <v>0</v>
      </c>
      <c r="O418" t="n">
        <v>0</v>
      </c>
      <c r="P418" t="n">
        <v>0</v>
      </c>
      <c r="Q418" t="n">
        <v>0</v>
      </c>
      <c r="R418" s="2" t="inlineStr"/>
    </row>
    <row r="419" ht="15" customHeight="1">
      <c r="A419" t="inlineStr">
        <is>
          <t>A 31927-2023</t>
        </is>
      </c>
      <c r="B419" s="1" t="n">
        <v>45118.94061342593</v>
      </c>
      <c r="C419" s="1" t="n">
        <v>45917</v>
      </c>
      <c r="D419" t="inlineStr">
        <is>
          <t>JÄMTLANDS LÄN</t>
        </is>
      </c>
      <c r="E419" t="inlineStr">
        <is>
          <t>KROKOM</t>
        </is>
      </c>
      <c r="G419" t="n">
        <v>56.6</v>
      </c>
      <c r="H419" t="n">
        <v>0</v>
      </c>
      <c r="I419" t="n">
        <v>0</v>
      </c>
      <c r="J419" t="n">
        <v>0</v>
      </c>
      <c r="K419" t="n">
        <v>0</v>
      </c>
      <c r="L419" t="n">
        <v>0</v>
      </c>
      <c r="M419" t="n">
        <v>0</v>
      </c>
      <c r="N419" t="n">
        <v>0</v>
      </c>
      <c r="O419" t="n">
        <v>0</v>
      </c>
      <c r="P419" t="n">
        <v>0</v>
      </c>
      <c r="Q419" t="n">
        <v>0</v>
      </c>
      <c r="R419" s="2" t="inlineStr"/>
    </row>
    <row r="420" ht="15" customHeight="1">
      <c r="A420" t="inlineStr">
        <is>
          <t>A 27729-2024</t>
        </is>
      </c>
      <c r="B420" s="1" t="n">
        <v>45475</v>
      </c>
      <c r="C420" s="1" t="n">
        <v>45917</v>
      </c>
      <c r="D420" t="inlineStr">
        <is>
          <t>JÄMTLANDS LÄN</t>
        </is>
      </c>
      <c r="E420" t="inlineStr">
        <is>
          <t>KROKOM</t>
        </is>
      </c>
      <c r="G420" t="n">
        <v>1.5</v>
      </c>
      <c r="H420" t="n">
        <v>0</v>
      </c>
      <c r="I420" t="n">
        <v>0</v>
      </c>
      <c r="J420" t="n">
        <v>0</v>
      </c>
      <c r="K420" t="n">
        <v>0</v>
      </c>
      <c r="L420" t="n">
        <v>0</v>
      </c>
      <c r="M420" t="n">
        <v>0</v>
      </c>
      <c r="N420" t="n">
        <v>0</v>
      </c>
      <c r="O420" t="n">
        <v>0</v>
      </c>
      <c r="P420" t="n">
        <v>0</v>
      </c>
      <c r="Q420" t="n">
        <v>0</v>
      </c>
      <c r="R420" s="2" t="inlineStr"/>
    </row>
    <row r="421" ht="15" customHeight="1">
      <c r="A421" t="inlineStr">
        <is>
          <t>A 14293-2025</t>
        </is>
      </c>
      <c r="B421" s="1" t="n">
        <v>45740</v>
      </c>
      <c r="C421" s="1" t="n">
        <v>45917</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27431-2024</t>
        </is>
      </c>
      <c r="B422" s="1" t="n">
        <v>45474.3981712963</v>
      </c>
      <c r="C422" s="1" t="n">
        <v>45917</v>
      </c>
      <c r="D422" t="inlineStr">
        <is>
          <t>JÄMTLANDS LÄN</t>
        </is>
      </c>
      <c r="E422" t="inlineStr">
        <is>
          <t>KROKOM</t>
        </is>
      </c>
      <c r="G422" t="n">
        <v>4.2</v>
      </c>
      <c r="H422" t="n">
        <v>0</v>
      </c>
      <c r="I422" t="n">
        <v>0</v>
      </c>
      <c r="J422" t="n">
        <v>0</v>
      </c>
      <c r="K422" t="n">
        <v>0</v>
      </c>
      <c r="L422" t="n">
        <v>0</v>
      </c>
      <c r="M422" t="n">
        <v>0</v>
      </c>
      <c r="N422" t="n">
        <v>0</v>
      </c>
      <c r="O422" t="n">
        <v>0</v>
      </c>
      <c r="P422" t="n">
        <v>0</v>
      </c>
      <c r="Q422" t="n">
        <v>0</v>
      </c>
      <c r="R422" s="2" t="inlineStr"/>
    </row>
    <row r="423" ht="15" customHeight="1">
      <c r="A423" t="inlineStr">
        <is>
          <t>A 27178-2022</t>
        </is>
      </c>
      <c r="B423" s="1" t="n">
        <v>44741</v>
      </c>
      <c r="C423" s="1" t="n">
        <v>45917</v>
      </c>
      <c r="D423" t="inlineStr">
        <is>
          <t>JÄMTLANDS LÄN</t>
        </is>
      </c>
      <c r="E423" t="inlineStr">
        <is>
          <t>KROKOM</t>
        </is>
      </c>
      <c r="G423" t="n">
        <v>1.5</v>
      </c>
      <c r="H423" t="n">
        <v>0</v>
      </c>
      <c r="I423" t="n">
        <v>0</v>
      </c>
      <c r="J423" t="n">
        <v>0</v>
      </c>
      <c r="K423" t="n">
        <v>0</v>
      </c>
      <c r="L423" t="n">
        <v>0</v>
      </c>
      <c r="M423" t="n">
        <v>0</v>
      </c>
      <c r="N423" t="n">
        <v>0</v>
      </c>
      <c r="O423" t="n">
        <v>0</v>
      </c>
      <c r="P423" t="n">
        <v>0</v>
      </c>
      <c r="Q423" t="n">
        <v>0</v>
      </c>
      <c r="R423" s="2" t="inlineStr"/>
    </row>
    <row r="424" ht="15" customHeight="1">
      <c r="A424" t="inlineStr">
        <is>
          <t>A 13722-2025</t>
        </is>
      </c>
      <c r="B424" s="1" t="n">
        <v>45737.36873842592</v>
      </c>
      <c r="C424" s="1" t="n">
        <v>45917</v>
      </c>
      <c r="D424" t="inlineStr">
        <is>
          <t>JÄMTLANDS LÄN</t>
        </is>
      </c>
      <c r="E424" t="inlineStr">
        <is>
          <t>KROKOM</t>
        </is>
      </c>
      <c r="G424" t="n">
        <v>1.6</v>
      </c>
      <c r="H424" t="n">
        <v>0</v>
      </c>
      <c r="I424" t="n">
        <v>0</v>
      </c>
      <c r="J424" t="n">
        <v>0</v>
      </c>
      <c r="K424" t="n">
        <v>0</v>
      </c>
      <c r="L424" t="n">
        <v>0</v>
      </c>
      <c r="M424" t="n">
        <v>0</v>
      </c>
      <c r="N424" t="n">
        <v>0</v>
      </c>
      <c r="O424" t="n">
        <v>0</v>
      </c>
      <c r="P424" t="n">
        <v>0</v>
      </c>
      <c r="Q424" t="n">
        <v>0</v>
      </c>
      <c r="R424" s="2" t="inlineStr"/>
    </row>
    <row r="425" ht="15" customHeight="1">
      <c r="A425" t="inlineStr">
        <is>
          <t>A 53402-2022</t>
        </is>
      </c>
      <c r="B425" s="1" t="n">
        <v>44874</v>
      </c>
      <c r="C425" s="1" t="n">
        <v>45917</v>
      </c>
      <c r="D425" t="inlineStr">
        <is>
          <t>JÄMTLANDS LÄN</t>
        </is>
      </c>
      <c r="E425" t="inlineStr">
        <is>
          <t>KROKOM</t>
        </is>
      </c>
      <c r="G425" t="n">
        <v>36.7</v>
      </c>
      <c r="H425" t="n">
        <v>0</v>
      </c>
      <c r="I425" t="n">
        <v>0</v>
      </c>
      <c r="J425" t="n">
        <v>0</v>
      </c>
      <c r="K425" t="n">
        <v>0</v>
      </c>
      <c r="L425" t="n">
        <v>0</v>
      </c>
      <c r="M425" t="n">
        <v>0</v>
      </c>
      <c r="N425" t="n">
        <v>0</v>
      </c>
      <c r="O425" t="n">
        <v>0</v>
      </c>
      <c r="P425" t="n">
        <v>0</v>
      </c>
      <c r="Q425" t="n">
        <v>0</v>
      </c>
      <c r="R425" s="2" t="inlineStr"/>
    </row>
    <row r="426" ht="15" customHeight="1">
      <c r="A426" t="inlineStr">
        <is>
          <t>A 16129-2025</t>
        </is>
      </c>
      <c r="B426" s="1" t="n">
        <v>45750.42650462963</v>
      </c>
      <c r="C426" s="1" t="n">
        <v>45917</v>
      </c>
      <c r="D426" t="inlineStr">
        <is>
          <t>JÄMTLANDS LÄN</t>
        </is>
      </c>
      <c r="E426" t="inlineStr">
        <is>
          <t>KROKOM</t>
        </is>
      </c>
      <c r="G426" t="n">
        <v>3</v>
      </c>
      <c r="H426" t="n">
        <v>0</v>
      </c>
      <c r="I426" t="n">
        <v>0</v>
      </c>
      <c r="J426" t="n">
        <v>0</v>
      </c>
      <c r="K426" t="n">
        <v>0</v>
      </c>
      <c r="L426" t="n">
        <v>0</v>
      </c>
      <c r="M426" t="n">
        <v>0</v>
      </c>
      <c r="N426" t="n">
        <v>0</v>
      </c>
      <c r="O426" t="n">
        <v>0</v>
      </c>
      <c r="P426" t="n">
        <v>0</v>
      </c>
      <c r="Q426" t="n">
        <v>0</v>
      </c>
      <c r="R426" s="2" t="inlineStr"/>
    </row>
    <row r="427" ht="15" customHeight="1">
      <c r="A427" t="inlineStr">
        <is>
          <t>A 27003-2025</t>
        </is>
      </c>
      <c r="B427" s="1" t="n">
        <v>45811.54760416667</v>
      </c>
      <c r="C427" s="1" t="n">
        <v>45917</v>
      </c>
      <c r="D427" t="inlineStr">
        <is>
          <t>JÄMTLANDS LÄN</t>
        </is>
      </c>
      <c r="E427" t="inlineStr">
        <is>
          <t>KROKOM</t>
        </is>
      </c>
      <c r="G427" t="n">
        <v>2.8</v>
      </c>
      <c r="H427" t="n">
        <v>0</v>
      </c>
      <c r="I427" t="n">
        <v>0</v>
      </c>
      <c r="J427" t="n">
        <v>0</v>
      </c>
      <c r="K427" t="n">
        <v>0</v>
      </c>
      <c r="L427" t="n">
        <v>0</v>
      </c>
      <c r="M427" t="n">
        <v>0</v>
      </c>
      <c r="N427" t="n">
        <v>0</v>
      </c>
      <c r="O427" t="n">
        <v>0</v>
      </c>
      <c r="P427" t="n">
        <v>0</v>
      </c>
      <c r="Q427" t="n">
        <v>0</v>
      </c>
      <c r="R427" s="2" t="inlineStr"/>
    </row>
    <row r="428" ht="15" customHeight="1">
      <c r="A428" t="inlineStr">
        <is>
          <t>A 6214-2022</t>
        </is>
      </c>
      <c r="B428" s="1" t="n">
        <v>44600.37212962963</v>
      </c>
      <c r="C428" s="1" t="n">
        <v>45917</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24402-2022</t>
        </is>
      </c>
      <c r="B429" s="1" t="n">
        <v>44726</v>
      </c>
      <c r="C429" s="1" t="n">
        <v>45917</v>
      </c>
      <c r="D429" t="inlineStr">
        <is>
          <t>JÄMTLANDS LÄN</t>
        </is>
      </c>
      <c r="E429" t="inlineStr">
        <is>
          <t>KROKOM</t>
        </is>
      </c>
      <c r="G429" t="n">
        <v>13.3</v>
      </c>
      <c r="H429" t="n">
        <v>0</v>
      </c>
      <c r="I429" t="n">
        <v>0</v>
      </c>
      <c r="J429" t="n">
        <v>0</v>
      </c>
      <c r="K429" t="n">
        <v>0</v>
      </c>
      <c r="L429" t="n">
        <v>0</v>
      </c>
      <c r="M429" t="n">
        <v>0</v>
      </c>
      <c r="N429" t="n">
        <v>0</v>
      </c>
      <c r="O429" t="n">
        <v>0</v>
      </c>
      <c r="P429" t="n">
        <v>0</v>
      </c>
      <c r="Q429" t="n">
        <v>0</v>
      </c>
      <c r="R429" s="2" t="inlineStr"/>
    </row>
    <row r="430" ht="15" customHeight="1">
      <c r="A430" t="inlineStr">
        <is>
          <t>A 26619-2025</t>
        </is>
      </c>
      <c r="B430" s="1" t="n">
        <v>45810.31376157407</v>
      </c>
      <c r="C430" s="1" t="n">
        <v>45917</v>
      </c>
      <c r="D430" t="inlineStr">
        <is>
          <t>JÄMTLANDS LÄN</t>
        </is>
      </c>
      <c r="E430" t="inlineStr">
        <is>
          <t>KROKOM</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773-2024</t>
        </is>
      </c>
      <c r="B431" s="1" t="n">
        <v>45300</v>
      </c>
      <c r="C431" s="1" t="n">
        <v>45917</v>
      </c>
      <c r="D431" t="inlineStr">
        <is>
          <t>JÄMTLANDS LÄN</t>
        </is>
      </c>
      <c r="E431" t="inlineStr">
        <is>
          <t>KROKOM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27153-2025</t>
        </is>
      </c>
      <c r="B432" s="1" t="n">
        <v>45812.32266203704</v>
      </c>
      <c r="C432" s="1" t="n">
        <v>45917</v>
      </c>
      <c r="D432" t="inlineStr">
        <is>
          <t>JÄMTLANDS LÄN</t>
        </is>
      </c>
      <c r="E432" t="inlineStr">
        <is>
          <t>KROKOM</t>
        </is>
      </c>
      <c r="G432" t="n">
        <v>15.8</v>
      </c>
      <c r="H432" t="n">
        <v>0</v>
      </c>
      <c r="I432" t="n">
        <v>0</v>
      </c>
      <c r="J432" t="n">
        <v>0</v>
      </c>
      <c r="K432" t="n">
        <v>0</v>
      </c>
      <c r="L432" t="n">
        <v>0</v>
      </c>
      <c r="M432" t="n">
        <v>0</v>
      </c>
      <c r="N432" t="n">
        <v>0</v>
      </c>
      <c r="O432" t="n">
        <v>0</v>
      </c>
      <c r="P432" t="n">
        <v>0</v>
      </c>
      <c r="Q432" t="n">
        <v>0</v>
      </c>
      <c r="R432" s="2" t="inlineStr"/>
    </row>
    <row r="433" ht="15" customHeight="1">
      <c r="A433" t="inlineStr">
        <is>
          <t>A 8880-2025</t>
        </is>
      </c>
      <c r="B433" s="1" t="n">
        <v>45713.38028935185</v>
      </c>
      <c r="C433" s="1" t="n">
        <v>45917</v>
      </c>
      <c r="D433" t="inlineStr">
        <is>
          <t>JÄMTLANDS LÄN</t>
        </is>
      </c>
      <c r="E433" t="inlineStr">
        <is>
          <t>KROKOM</t>
        </is>
      </c>
      <c r="F433" t="inlineStr">
        <is>
          <t>Övriga Aktiebolag</t>
        </is>
      </c>
      <c r="G433" t="n">
        <v>5.1</v>
      </c>
      <c r="H433" t="n">
        <v>0</v>
      </c>
      <c r="I433" t="n">
        <v>0</v>
      </c>
      <c r="J433" t="n">
        <v>0</v>
      </c>
      <c r="K433" t="n">
        <v>0</v>
      </c>
      <c r="L433" t="n">
        <v>0</v>
      </c>
      <c r="M433" t="n">
        <v>0</v>
      </c>
      <c r="N433" t="n">
        <v>0</v>
      </c>
      <c r="O433" t="n">
        <v>0</v>
      </c>
      <c r="P433" t="n">
        <v>0</v>
      </c>
      <c r="Q433" t="n">
        <v>0</v>
      </c>
      <c r="R433" s="2" t="inlineStr"/>
    </row>
    <row r="434" ht="15" customHeight="1">
      <c r="A434" t="inlineStr">
        <is>
          <t>A 6804-2025</t>
        </is>
      </c>
      <c r="B434" s="1" t="n">
        <v>45700.6833912037</v>
      </c>
      <c r="C434" s="1" t="n">
        <v>45917</v>
      </c>
      <c r="D434" t="inlineStr">
        <is>
          <t>JÄMTLANDS LÄN</t>
        </is>
      </c>
      <c r="E434" t="inlineStr">
        <is>
          <t>KROKOM</t>
        </is>
      </c>
      <c r="G434" t="n">
        <v>2.2</v>
      </c>
      <c r="H434" t="n">
        <v>0</v>
      </c>
      <c r="I434" t="n">
        <v>0</v>
      </c>
      <c r="J434" t="n">
        <v>0</v>
      </c>
      <c r="K434" t="n">
        <v>0</v>
      </c>
      <c r="L434" t="n">
        <v>0</v>
      </c>
      <c r="M434" t="n">
        <v>0</v>
      </c>
      <c r="N434" t="n">
        <v>0</v>
      </c>
      <c r="O434" t="n">
        <v>0</v>
      </c>
      <c r="P434" t="n">
        <v>0</v>
      </c>
      <c r="Q434" t="n">
        <v>0</v>
      </c>
      <c r="R434" s="2" t="inlineStr"/>
    </row>
    <row r="435" ht="15" customHeight="1">
      <c r="A435" t="inlineStr">
        <is>
          <t>A 15231-2025</t>
        </is>
      </c>
      <c r="B435" s="1" t="n">
        <v>45744.59894675926</v>
      </c>
      <c r="C435" s="1" t="n">
        <v>45917</v>
      </c>
      <c r="D435" t="inlineStr">
        <is>
          <t>JÄMTLANDS LÄN</t>
        </is>
      </c>
      <c r="E435" t="inlineStr">
        <is>
          <t>KROKOM</t>
        </is>
      </c>
      <c r="F435" t="inlineStr">
        <is>
          <t>Övriga Aktiebolag</t>
        </is>
      </c>
      <c r="G435" t="n">
        <v>11.8</v>
      </c>
      <c r="H435" t="n">
        <v>0</v>
      </c>
      <c r="I435" t="n">
        <v>0</v>
      </c>
      <c r="J435" t="n">
        <v>0</v>
      </c>
      <c r="K435" t="n">
        <v>0</v>
      </c>
      <c r="L435" t="n">
        <v>0</v>
      </c>
      <c r="M435" t="n">
        <v>0</v>
      </c>
      <c r="N435" t="n">
        <v>0</v>
      </c>
      <c r="O435" t="n">
        <v>0</v>
      </c>
      <c r="P435" t="n">
        <v>0</v>
      </c>
      <c r="Q435" t="n">
        <v>0</v>
      </c>
      <c r="R435" s="2" t="inlineStr"/>
    </row>
    <row r="436" ht="15" customHeight="1">
      <c r="A436" t="inlineStr">
        <is>
          <t>A 64174-2023</t>
        </is>
      </c>
      <c r="B436" s="1" t="n">
        <v>45279</v>
      </c>
      <c r="C436" s="1" t="n">
        <v>45917</v>
      </c>
      <c r="D436" t="inlineStr">
        <is>
          <t>JÄMTLANDS LÄN</t>
        </is>
      </c>
      <c r="E436" t="inlineStr">
        <is>
          <t>KROKOM</t>
        </is>
      </c>
      <c r="G436" t="n">
        <v>1.9</v>
      </c>
      <c r="H436" t="n">
        <v>0</v>
      </c>
      <c r="I436" t="n">
        <v>0</v>
      </c>
      <c r="J436" t="n">
        <v>0</v>
      </c>
      <c r="K436" t="n">
        <v>0</v>
      </c>
      <c r="L436" t="n">
        <v>0</v>
      </c>
      <c r="M436" t="n">
        <v>0</v>
      </c>
      <c r="N436" t="n">
        <v>0</v>
      </c>
      <c r="O436" t="n">
        <v>0</v>
      </c>
      <c r="P436" t="n">
        <v>0</v>
      </c>
      <c r="Q436" t="n">
        <v>0</v>
      </c>
      <c r="R436" s="2" t="inlineStr"/>
    </row>
    <row r="437" ht="15" customHeight="1">
      <c r="A437" t="inlineStr">
        <is>
          <t>A 27104-2025</t>
        </is>
      </c>
      <c r="B437" s="1" t="n">
        <v>45811.69912037037</v>
      </c>
      <c r="C437" s="1" t="n">
        <v>45917</v>
      </c>
      <c r="D437" t="inlineStr">
        <is>
          <t>JÄMTLANDS LÄN</t>
        </is>
      </c>
      <c r="E437" t="inlineStr">
        <is>
          <t>KROKOM</t>
        </is>
      </c>
      <c r="G437" t="n">
        <v>14.4</v>
      </c>
      <c r="H437" t="n">
        <v>0</v>
      </c>
      <c r="I437" t="n">
        <v>0</v>
      </c>
      <c r="J437" t="n">
        <v>0</v>
      </c>
      <c r="K437" t="n">
        <v>0</v>
      </c>
      <c r="L437" t="n">
        <v>0</v>
      </c>
      <c r="M437" t="n">
        <v>0</v>
      </c>
      <c r="N437" t="n">
        <v>0</v>
      </c>
      <c r="O437" t="n">
        <v>0</v>
      </c>
      <c r="P437" t="n">
        <v>0</v>
      </c>
      <c r="Q437" t="n">
        <v>0</v>
      </c>
      <c r="R437" s="2" t="inlineStr"/>
    </row>
    <row r="438" ht="15" customHeight="1">
      <c r="A438" t="inlineStr">
        <is>
          <t>A 55660-2023</t>
        </is>
      </c>
      <c r="B438" s="1" t="n">
        <v>45238</v>
      </c>
      <c r="C438" s="1" t="n">
        <v>45917</v>
      </c>
      <c r="D438" t="inlineStr">
        <is>
          <t>JÄMTLANDS LÄN</t>
        </is>
      </c>
      <c r="E438" t="inlineStr">
        <is>
          <t>KROKOM</t>
        </is>
      </c>
      <c r="F438" t="inlineStr">
        <is>
          <t>SCA</t>
        </is>
      </c>
      <c r="G438" t="n">
        <v>7.7</v>
      </c>
      <c r="H438" t="n">
        <v>0</v>
      </c>
      <c r="I438" t="n">
        <v>0</v>
      </c>
      <c r="J438" t="n">
        <v>0</v>
      </c>
      <c r="K438" t="n">
        <v>0</v>
      </c>
      <c r="L438" t="n">
        <v>0</v>
      </c>
      <c r="M438" t="n">
        <v>0</v>
      </c>
      <c r="N438" t="n">
        <v>0</v>
      </c>
      <c r="O438" t="n">
        <v>0</v>
      </c>
      <c r="P438" t="n">
        <v>0</v>
      </c>
      <c r="Q438" t="n">
        <v>0</v>
      </c>
      <c r="R438" s="2" t="inlineStr"/>
    </row>
    <row r="439" ht="15" customHeight="1">
      <c r="A439" t="inlineStr">
        <is>
          <t>A 58347-2022</t>
        </is>
      </c>
      <c r="B439" s="1" t="n">
        <v>44901.59349537037</v>
      </c>
      <c r="C439" s="1" t="n">
        <v>45917</v>
      </c>
      <c r="D439" t="inlineStr">
        <is>
          <t>JÄMTLANDS LÄN</t>
        </is>
      </c>
      <c r="E439" t="inlineStr">
        <is>
          <t>KROKOM</t>
        </is>
      </c>
      <c r="F439" t="inlineStr">
        <is>
          <t>Övriga Aktiebolag</t>
        </is>
      </c>
      <c r="G439" t="n">
        <v>5.6</v>
      </c>
      <c r="H439" t="n">
        <v>0</v>
      </c>
      <c r="I439" t="n">
        <v>0</v>
      </c>
      <c r="J439" t="n">
        <v>0</v>
      </c>
      <c r="K439" t="n">
        <v>0</v>
      </c>
      <c r="L439" t="n">
        <v>0</v>
      </c>
      <c r="M439" t="n">
        <v>0</v>
      </c>
      <c r="N439" t="n">
        <v>0</v>
      </c>
      <c r="O439" t="n">
        <v>0</v>
      </c>
      <c r="P439" t="n">
        <v>0</v>
      </c>
      <c r="Q439" t="n">
        <v>0</v>
      </c>
      <c r="R439" s="2" t="inlineStr"/>
    </row>
    <row r="440" ht="15" customHeight="1">
      <c r="A440" t="inlineStr">
        <is>
          <t>A 27522-2025</t>
        </is>
      </c>
      <c r="B440" s="1" t="n">
        <v>45813.44443287037</v>
      </c>
      <c r="C440" s="1" t="n">
        <v>45917</v>
      </c>
      <c r="D440" t="inlineStr">
        <is>
          <t>JÄMTLANDS LÄN</t>
        </is>
      </c>
      <c r="E440" t="inlineStr">
        <is>
          <t>KROKOM</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40271-2024</t>
        </is>
      </c>
      <c r="B441" s="1" t="n">
        <v>45554</v>
      </c>
      <c r="C441" s="1" t="n">
        <v>45917</v>
      </c>
      <c r="D441" t="inlineStr">
        <is>
          <t>JÄMTLANDS LÄN</t>
        </is>
      </c>
      <c r="E441" t="inlineStr">
        <is>
          <t>KROKOM</t>
        </is>
      </c>
      <c r="F441" t="inlineStr">
        <is>
          <t>Övriga Aktiebolag</t>
        </is>
      </c>
      <c r="G441" t="n">
        <v>3</v>
      </c>
      <c r="H441" t="n">
        <v>0</v>
      </c>
      <c r="I441" t="n">
        <v>0</v>
      </c>
      <c r="J441" t="n">
        <v>0</v>
      </c>
      <c r="K441" t="n">
        <v>0</v>
      </c>
      <c r="L441" t="n">
        <v>0</v>
      </c>
      <c r="M441" t="n">
        <v>0</v>
      </c>
      <c r="N441" t="n">
        <v>0</v>
      </c>
      <c r="O441" t="n">
        <v>0</v>
      </c>
      <c r="P441" t="n">
        <v>0</v>
      </c>
      <c r="Q441" t="n">
        <v>0</v>
      </c>
      <c r="R441" s="2" t="inlineStr"/>
    </row>
    <row r="442" ht="15" customHeight="1">
      <c r="A442" t="inlineStr">
        <is>
          <t>A 27547-2025</t>
        </is>
      </c>
      <c r="B442" s="1" t="n">
        <v>45813.46969907408</v>
      </c>
      <c r="C442" s="1" t="n">
        <v>45917</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27833-2025</t>
        </is>
      </c>
      <c r="B443" s="1" t="n">
        <v>45814</v>
      </c>
      <c r="C443" s="1" t="n">
        <v>45917</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27851-2025</t>
        </is>
      </c>
      <c r="B444" s="1" t="n">
        <v>45814</v>
      </c>
      <c r="C444" s="1" t="n">
        <v>45917</v>
      </c>
      <c r="D444" t="inlineStr">
        <is>
          <t>JÄMTLANDS LÄN</t>
        </is>
      </c>
      <c r="E444" t="inlineStr">
        <is>
          <t>KROKOM</t>
        </is>
      </c>
      <c r="G444" t="n">
        <v>13.9</v>
      </c>
      <c r="H444" t="n">
        <v>0</v>
      </c>
      <c r="I444" t="n">
        <v>0</v>
      </c>
      <c r="J444" t="n">
        <v>0</v>
      </c>
      <c r="K444" t="n">
        <v>0</v>
      </c>
      <c r="L444" t="n">
        <v>0</v>
      </c>
      <c r="M444" t="n">
        <v>0</v>
      </c>
      <c r="N444" t="n">
        <v>0</v>
      </c>
      <c r="O444" t="n">
        <v>0</v>
      </c>
      <c r="P444" t="n">
        <v>0</v>
      </c>
      <c r="Q444" t="n">
        <v>0</v>
      </c>
      <c r="R444" s="2" t="inlineStr"/>
    </row>
    <row r="445" ht="15" customHeight="1">
      <c r="A445" t="inlineStr">
        <is>
          <t>A 59973-2023</t>
        </is>
      </c>
      <c r="B445" s="1" t="n">
        <v>45257</v>
      </c>
      <c r="C445" s="1" t="n">
        <v>45917</v>
      </c>
      <c r="D445" t="inlineStr">
        <is>
          <t>JÄMTLANDS LÄN</t>
        </is>
      </c>
      <c r="E445" t="inlineStr">
        <is>
          <t>KROKOM</t>
        </is>
      </c>
      <c r="G445" t="n">
        <v>2.1</v>
      </c>
      <c r="H445" t="n">
        <v>0</v>
      </c>
      <c r="I445" t="n">
        <v>0</v>
      </c>
      <c r="J445" t="n">
        <v>0</v>
      </c>
      <c r="K445" t="n">
        <v>0</v>
      </c>
      <c r="L445" t="n">
        <v>0</v>
      </c>
      <c r="M445" t="n">
        <v>0</v>
      </c>
      <c r="N445" t="n">
        <v>0</v>
      </c>
      <c r="O445" t="n">
        <v>0</v>
      </c>
      <c r="P445" t="n">
        <v>0</v>
      </c>
      <c r="Q445" t="n">
        <v>0</v>
      </c>
      <c r="R445" s="2" t="inlineStr"/>
    </row>
    <row r="446" ht="15" customHeight="1">
      <c r="A446" t="inlineStr">
        <is>
          <t>A 27224-2024</t>
        </is>
      </c>
      <c r="B446" s="1" t="n">
        <v>45471.63390046296</v>
      </c>
      <c r="C446" s="1" t="n">
        <v>45917</v>
      </c>
      <c r="D446" t="inlineStr">
        <is>
          <t>JÄMTLANDS LÄN</t>
        </is>
      </c>
      <c r="E446" t="inlineStr">
        <is>
          <t>KROKOM</t>
        </is>
      </c>
      <c r="G446" t="n">
        <v>5.4</v>
      </c>
      <c r="H446" t="n">
        <v>0</v>
      </c>
      <c r="I446" t="n">
        <v>0</v>
      </c>
      <c r="J446" t="n">
        <v>0</v>
      </c>
      <c r="K446" t="n">
        <v>0</v>
      </c>
      <c r="L446" t="n">
        <v>0</v>
      </c>
      <c r="M446" t="n">
        <v>0</v>
      </c>
      <c r="N446" t="n">
        <v>0</v>
      </c>
      <c r="O446" t="n">
        <v>0</v>
      </c>
      <c r="P446" t="n">
        <v>0</v>
      </c>
      <c r="Q446" t="n">
        <v>0</v>
      </c>
      <c r="R446" s="2" t="inlineStr"/>
    </row>
    <row r="447" ht="15" customHeight="1">
      <c r="A447" t="inlineStr">
        <is>
          <t>A 27703-2025</t>
        </is>
      </c>
      <c r="B447" s="1" t="n">
        <v>45813.68361111111</v>
      </c>
      <c r="C447" s="1" t="n">
        <v>45917</v>
      </c>
      <c r="D447" t="inlineStr">
        <is>
          <t>JÄMTLANDS LÄN</t>
        </is>
      </c>
      <c r="E447" t="inlineStr">
        <is>
          <t>KROKOM</t>
        </is>
      </c>
      <c r="G447" t="n">
        <v>7.1</v>
      </c>
      <c r="H447" t="n">
        <v>0</v>
      </c>
      <c r="I447" t="n">
        <v>0</v>
      </c>
      <c r="J447" t="n">
        <v>0</v>
      </c>
      <c r="K447" t="n">
        <v>0</v>
      </c>
      <c r="L447" t="n">
        <v>0</v>
      </c>
      <c r="M447" t="n">
        <v>0</v>
      </c>
      <c r="N447" t="n">
        <v>0</v>
      </c>
      <c r="O447" t="n">
        <v>0</v>
      </c>
      <c r="P447" t="n">
        <v>0</v>
      </c>
      <c r="Q447" t="n">
        <v>0</v>
      </c>
      <c r="R447" s="2" t="inlineStr"/>
    </row>
    <row r="448" ht="15" customHeight="1">
      <c r="A448" t="inlineStr">
        <is>
          <t>A 22236-2025</t>
        </is>
      </c>
      <c r="B448" s="1" t="n">
        <v>45785.67431712963</v>
      </c>
      <c r="C448" s="1" t="n">
        <v>45917</v>
      </c>
      <c r="D448" t="inlineStr">
        <is>
          <t>JÄMTLANDS LÄN</t>
        </is>
      </c>
      <c r="E448" t="inlineStr">
        <is>
          <t>KROKOM</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8695-2025</t>
        </is>
      </c>
      <c r="B449" s="1" t="n">
        <v>45709</v>
      </c>
      <c r="C449" s="1" t="n">
        <v>45917</v>
      </c>
      <c r="D449" t="inlineStr">
        <is>
          <t>JÄMTLANDS LÄN</t>
        </is>
      </c>
      <c r="E449" t="inlineStr">
        <is>
          <t>KROKOM</t>
        </is>
      </c>
      <c r="G449" t="n">
        <v>21.4</v>
      </c>
      <c r="H449" t="n">
        <v>0</v>
      </c>
      <c r="I449" t="n">
        <v>0</v>
      </c>
      <c r="J449" t="n">
        <v>0</v>
      </c>
      <c r="K449" t="n">
        <v>0</v>
      </c>
      <c r="L449" t="n">
        <v>0</v>
      </c>
      <c r="M449" t="n">
        <v>0</v>
      </c>
      <c r="N449" t="n">
        <v>0</v>
      </c>
      <c r="O449" t="n">
        <v>0</v>
      </c>
      <c r="P449" t="n">
        <v>0</v>
      </c>
      <c r="Q449" t="n">
        <v>0</v>
      </c>
      <c r="R449" s="2" t="inlineStr"/>
    </row>
    <row r="450" ht="15" customHeight="1">
      <c r="A450" t="inlineStr">
        <is>
          <t>A 57856-2023</t>
        </is>
      </c>
      <c r="B450" s="1" t="n">
        <v>45247</v>
      </c>
      <c r="C450" s="1" t="n">
        <v>45917</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55914-2023</t>
        </is>
      </c>
      <c r="B451" s="1" t="n">
        <v>45239.9681712963</v>
      </c>
      <c r="C451" s="1" t="n">
        <v>45917</v>
      </c>
      <c r="D451" t="inlineStr">
        <is>
          <t>JÄMTLANDS LÄN</t>
        </is>
      </c>
      <c r="E451" t="inlineStr">
        <is>
          <t>KROKOM</t>
        </is>
      </c>
      <c r="G451" t="n">
        <v>0.6</v>
      </c>
      <c r="H451" t="n">
        <v>0</v>
      </c>
      <c r="I451" t="n">
        <v>0</v>
      </c>
      <c r="J451" t="n">
        <v>0</v>
      </c>
      <c r="K451" t="n">
        <v>0</v>
      </c>
      <c r="L451" t="n">
        <v>0</v>
      </c>
      <c r="M451" t="n">
        <v>0</v>
      </c>
      <c r="N451" t="n">
        <v>0</v>
      </c>
      <c r="O451" t="n">
        <v>0</v>
      </c>
      <c r="P451" t="n">
        <v>0</v>
      </c>
      <c r="Q451" t="n">
        <v>0</v>
      </c>
      <c r="R451" s="2" t="inlineStr"/>
    </row>
    <row r="452" ht="15" customHeight="1">
      <c r="A452" t="inlineStr">
        <is>
          <t>A 9022-2025</t>
        </is>
      </c>
      <c r="B452" s="1" t="n">
        <v>45713.59623842593</v>
      </c>
      <c r="C452" s="1" t="n">
        <v>45917</v>
      </c>
      <c r="D452" t="inlineStr">
        <is>
          <t>JÄMTLANDS LÄN</t>
        </is>
      </c>
      <c r="E452" t="inlineStr">
        <is>
          <t>KROKOM</t>
        </is>
      </c>
      <c r="F452" t="inlineStr">
        <is>
          <t>Övriga Aktiebolag</t>
        </is>
      </c>
      <c r="G452" t="n">
        <v>29.9</v>
      </c>
      <c r="H452" t="n">
        <v>0</v>
      </c>
      <c r="I452" t="n">
        <v>0</v>
      </c>
      <c r="J452" t="n">
        <v>0</v>
      </c>
      <c r="K452" t="n">
        <v>0</v>
      </c>
      <c r="L452" t="n">
        <v>0</v>
      </c>
      <c r="M452" t="n">
        <v>0</v>
      </c>
      <c r="N452" t="n">
        <v>0</v>
      </c>
      <c r="O452" t="n">
        <v>0</v>
      </c>
      <c r="P452" t="n">
        <v>0</v>
      </c>
      <c r="Q452" t="n">
        <v>0</v>
      </c>
      <c r="R452" s="2" t="inlineStr"/>
    </row>
    <row r="453" ht="15" customHeight="1">
      <c r="A453" t="inlineStr">
        <is>
          <t>A 28155-2025</t>
        </is>
      </c>
      <c r="B453" s="1" t="n">
        <v>45818.36246527778</v>
      </c>
      <c r="C453" s="1" t="n">
        <v>45917</v>
      </c>
      <c r="D453" t="inlineStr">
        <is>
          <t>JÄMTLANDS LÄN</t>
        </is>
      </c>
      <c r="E453" t="inlineStr">
        <is>
          <t>KROKOM</t>
        </is>
      </c>
      <c r="F453" t="inlineStr">
        <is>
          <t>Kyrkan</t>
        </is>
      </c>
      <c r="G453" t="n">
        <v>6.1</v>
      </c>
      <c r="H453" t="n">
        <v>0</v>
      </c>
      <c r="I453" t="n">
        <v>0</v>
      </c>
      <c r="J453" t="n">
        <v>0</v>
      </c>
      <c r="K453" t="n">
        <v>0</v>
      </c>
      <c r="L453" t="n">
        <v>0</v>
      </c>
      <c r="M453" t="n">
        <v>0</v>
      </c>
      <c r="N453" t="n">
        <v>0</v>
      </c>
      <c r="O453" t="n">
        <v>0</v>
      </c>
      <c r="P453" t="n">
        <v>0</v>
      </c>
      <c r="Q453" t="n">
        <v>0</v>
      </c>
      <c r="R453" s="2" t="inlineStr"/>
    </row>
    <row r="454" ht="15" customHeight="1">
      <c r="A454" t="inlineStr">
        <is>
          <t>A 28130-2025</t>
        </is>
      </c>
      <c r="B454" s="1" t="n">
        <v>45818.3293287037</v>
      </c>
      <c r="C454" s="1" t="n">
        <v>45917</v>
      </c>
      <c r="D454" t="inlineStr">
        <is>
          <t>JÄMTLANDS LÄN</t>
        </is>
      </c>
      <c r="E454" t="inlineStr">
        <is>
          <t>KROKOM</t>
        </is>
      </c>
      <c r="F454" t="inlineStr">
        <is>
          <t>Kyrkan</t>
        </is>
      </c>
      <c r="G454" t="n">
        <v>10.2</v>
      </c>
      <c r="H454" t="n">
        <v>0</v>
      </c>
      <c r="I454" t="n">
        <v>0</v>
      </c>
      <c r="J454" t="n">
        <v>0</v>
      </c>
      <c r="K454" t="n">
        <v>0</v>
      </c>
      <c r="L454" t="n">
        <v>0</v>
      </c>
      <c r="M454" t="n">
        <v>0</v>
      </c>
      <c r="N454" t="n">
        <v>0</v>
      </c>
      <c r="O454" t="n">
        <v>0</v>
      </c>
      <c r="P454" t="n">
        <v>0</v>
      </c>
      <c r="Q454" t="n">
        <v>0</v>
      </c>
      <c r="R454" s="2" t="inlineStr"/>
    </row>
    <row r="455" ht="15" customHeight="1">
      <c r="A455" t="inlineStr">
        <is>
          <t>A 27597-2024</t>
        </is>
      </c>
      <c r="B455" s="1" t="n">
        <v>45474.69155092593</v>
      </c>
      <c r="C455" s="1" t="n">
        <v>45917</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36079-2021</t>
        </is>
      </c>
      <c r="B456" s="1" t="n">
        <v>44389</v>
      </c>
      <c r="C456" s="1" t="n">
        <v>45917</v>
      </c>
      <c r="D456" t="inlineStr">
        <is>
          <t>JÄMTLANDS LÄN</t>
        </is>
      </c>
      <c r="E456" t="inlineStr">
        <is>
          <t>KROKOM</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30160-2022</t>
        </is>
      </c>
      <c r="B457" s="1" t="n">
        <v>44757</v>
      </c>
      <c r="C457" s="1" t="n">
        <v>45917</v>
      </c>
      <c r="D457" t="inlineStr">
        <is>
          <t>JÄMTLANDS LÄN</t>
        </is>
      </c>
      <c r="E457" t="inlineStr">
        <is>
          <t>KROKOM</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56361-2023</t>
        </is>
      </c>
      <c r="B458" s="1" t="n">
        <v>45243.37567129629</v>
      </c>
      <c r="C458" s="1" t="n">
        <v>45917</v>
      </c>
      <c r="D458" t="inlineStr">
        <is>
          <t>JÄMTLANDS LÄN</t>
        </is>
      </c>
      <c r="E458" t="inlineStr">
        <is>
          <t>KROKOM</t>
        </is>
      </c>
      <c r="G458" t="n">
        <v>3.1</v>
      </c>
      <c r="H458" t="n">
        <v>0</v>
      </c>
      <c r="I458" t="n">
        <v>0</v>
      </c>
      <c r="J458" t="n">
        <v>0</v>
      </c>
      <c r="K458" t="n">
        <v>0</v>
      </c>
      <c r="L458" t="n">
        <v>0</v>
      </c>
      <c r="M458" t="n">
        <v>0</v>
      </c>
      <c r="N458" t="n">
        <v>0</v>
      </c>
      <c r="O458" t="n">
        <v>0</v>
      </c>
      <c r="P458" t="n">
        <v>0</v>
      </c>
      <c r="Q458" t="n">
        <v>0</v>
      </c>
      <c r="R458" s="2" t="inlineStr"/>
    </row>
    <row r="459" ht="15" customHeight="1">
      <c r="A459" t="inlineStr">
        <is>
          <t>A 27973-2025</t>
        </is>
      </c>
      <c r="B459" s="1" t="n">
        <v>45817.56761574074</v>
      </c>
      <c r="C459" s="1" t="n">
        <v>45917</v>
      </c>
      <c r="D459" t="inlineStr">
        <is>
          <t>JÄMTLANDS LÄN</t>
        </is>
      </c>
      <c r="E459" t="inlineStr">
        <is>
          <t>KROKOM</t>
        </is>
      </c>
      <c r="G459" t="n">
        <v>1.4</v>
      </c>
      <c r="H459" t="n">
        <v>0</v>
      </c>
      <c r="I459" t="n">
        <v>0</v>
      </c>
      <c r="J459" t="n">
        <v>0</v>
      </c>
      <c r="K459" t="n">
        <v>0</v>
      </c>
      <c r="L459" t="n">
        <v>0</v>
      </c>
      <c r="M459" t="n">
        <v>0</v>
      </c>
      <c r="N459" t="n">
        <v>0</v>
      </c>
      <c r="O459" t="n">
        <v>0</v>
      </c>
      <c r="P459" t="n">
        <v>0</v>
      </c>
      <c r="Q459" t="n">
        <v>0</v>
      </c>
      <c r="R459" s="2" t="inlineStr"/>
    </row>
    <row r="460" ht="15" customHeight="1">
      <c r="A460" t="inlineStr">
        <is>
          <t>A 14827-2024</t>
        </is>
      </c>
      <c r="B460" s="1" t="n">
        <v>45398</v>
      </c>
      <c r="C460" s="1" t="n">
        <v>45917</v>
      </c>
      <c r="D460" t="inlineStr">
        <is>
          <t>JÄMTLANDS LÄN</t>
        </is>
      </c>
      <c r="E460" t="inlineStr">
        <is>
          <t>KROKOM</t>
        </is>
      </c>
      <c r="G460" t="n">
        <v>10</v>
      </c>
      <c r="H460" t="n">
        <v>0</v>
      </c>
      <c r="I460" t="n">
        <v>0</v>
      </c>
      <c r="J460" t="n">
        <v>0</v>
      </c>
      <c r="K460" t="n">
        <v>0</v>
      </c>
      <c r="L460" t="n">
        <v>0</v>
      </c>
      <c r="M460" t="n">
        <v>0</v>
      </c>
      <c r="N460" t="n">
        <v>0</v>
      </c>
      <c r="O460" t="n">
        <v>0</v>
      </c>
      <c r="P460" t="n">
        <v>0</v>
      </c>
      <c r="Q460" t="n">
        <v>0</v>
      </c>
      <c r="R460" s="2" t="inlineStr"/>
    </row>
    <row r="461" ht="15" customHeight="1">
      <c r="A461" t="inlineStr">
        <is>
          <t>A 1852-2025</t>
        </is>
      </c>
      <c r="B461" s="1" t="n">
        <v>45671.59114583334</v>
      </c>
      <c r="C461" s="1" t="n">
        <v>45917</v>
      </c>
      <c r="D461" t="inlineStr">
        <is>
          <t>JÄMTLANDS LÄN</t>
        </is>
      </c>
      <c r="E461" t="inlineStr">
        <is>
          <t>KROKOM</t>
        </is>
      </c>
      <c r="G461" t="n">
        <v>6.8</v>
      </c>
      <c r="H461" t="n">
        <v>0</v>
      </c>
      <c r="I461" t="n">
        <v>0</v>
      </c>
      <c r="J461" t="n">
        <v>0</v>
      </c>
      <c r="K461" t="n">
        <v>0</v>
      </c>
      <c r="L461" t="n">
        <v>0</v>
      </c>
      <c r="M461" t="n">
        <v>0</v>
      </c>
      <c r="N461" t="n">
        <v>0</v>
      </c>
      <c r="O461" t="n">
        <v>0</v>
      </c>
      <c r="P461" t="n">
        <v>0</v>
      </c>
      <c r="Q461" t="n">
        <v>0</v>
      </c>
      <c r="R461" s="2" t="inlineStr"/>
    </row>
    <row r="462" ht="15" customHeight="1">
      <c r="A462" t="inlineStr">
        <is>
          <t>A 29896-2021</t>
        </is>
      </c>
      <c r="B462" s="1" t="n">
        <v>44362</v>
      </c>
      <c r="C462" s="1" t="n">
        <v>45917</v>
      </c>
      <c r="D462" t="inlineStr">
        <is>
          <t>JÄMTLANDS LÄN</t>
        </is>
      </c>
      <c r="E462" t="inlineStr">
        <is>
          <t>KROKOM</t>
        </is>
      </c>
      <c r="G462" t="n">
        <v>0.6</v>
      </c>
      <c r="H462" t="n">
        <v>0</v>
      </c>
      <c r="I462" t="n">
        <v>0</v>
      </c>
      <c r="J462" t="n">
        <v>0</v>
      </c>
      <c r="K462" t="n">
        <v>0</v>
      </c>
      <c r="L462" t="n">
        <v>0</v>
      </c>
      <c r="M462" t="n">
        <v>0</v>
      </c>
      <c r="N462" t="n">
        <v>0</v>
      </c>
      <c r="O462" t="n">
        <v>0</v>
      </c>
      <c r="P462" t="n">
        <v>0</v>
      </c>
      <c r="Q462" t="n">
        <v>0</v>
      </c>
      <c r="R462" s="2" t="inlineStr"/>
    </row>
    <row r="463" ht="15" customHeight="1">
      <c r="A463" t="inlineStr">
        <is>
          <t>A 36929-2024</t>
        </is>
      </c>
      <c r="B463" s="1" t="n">
        <v>45538.68200231482</v>
      </c>
      <c r="C463" s="1" t="n">
        <v>45917</v>
      </c>
      <c r="D463" t="inlineStr">
        <is>
          <t>JÄMTLANDS LÄN</t>
        </is>
      </c>
      <c r="E463" t="inlineStr">
        <is>
          <t>KROKOM</t>
        </is>
      </c>
      <c r="G463" t="n">
        <v>1.1</v>
      </c>
      <c r="H463" t="n">
        <v>0</v>
      </c>
      <c r="I463" t="n">
        <v>0</v>
      </c>
      <c r="J463" t="n">
        <v>0</v>
      </c>
      <c r="K463" t="n">
        <v>0</v>
      </c>
      <c r="L463" t="n">
        <v>0</v>
      </c>
      <c r="M463" t="n">
        <v>0</v>
      </c>
      <c r="N463" t="n">
        <v>0</v>
      </c>
      <c r="O463" t="n">
        <v>0</v>
      </c>
      <c r="P463" t="n">
        <v>0</v>
      </c>
      <c r="Q463" t="n">
        <v>0</v>
      </c>
      <c r="R463" s="2" t="inlineStr"/>
    </row>
    <row r="464" ht="15" customHeight="1">
      <c r="A464" t="inlineStr">
        <is>
          <t>A 24333-2024</t>
        </is>
      </c>
      <c r="B464" s="1" t="n">
        <v>45457.55922453704</v>
      </c>
      <c r="C464" s="1" t="n">
        <v>45917</v>
      </c>
      <c r="D464" t="inlineStr">
        <is>
          <t>JÄMTLANDS LÄN</t>
        </is>
      </c>
      <c r="E464" t="inlineStr">
        <is>
          <t>KROKOM</t>
        </is>
      </c>
      <c r="F464" t="inlineStr">
        <is>
          <t>Övriga Aktiebolag</t>
        </is>
      </c>
      <c r="G464" t="n">
        <v>1.8</v>
      </c>
      <c r="H464" t="n">
        <v>0</v>
      </c>
      <c r="I464" t="n">
        <v>0</v>
      </c>
      <c r="J464" t="n">
        <v>0</v>
      </c>
      <c r="K464" t="n">
        <v>0</v>
      </c>
      <c r="L464" t="n">
        <v>0</v>
      </c>
      <c r="M464" t="n">
        <v>0</v>
      </c>
      <c r="N464" t="n">
        <v>0</v>
      </c>
      <c r="O464" t="n">
        <v>0</v>
      </c>
      <c r="P464" t="n">
        <v>0</v>
      </c>
      <c r="Q464" t="n">
        <v>0</v>
      </c>
      <c r="R464" s="2" t="inlineStr"/>
    </row>
    <row r="465" ht="15" customHeight="1">
      <c r="A465" t="inlineStr">
        <is>
          <t>A 61615-2023</t>
        </is>
      </c>
      <c r="B465" s="1" t="n">
        <v>45265.52887731481</v>
      </c>
      <c r="C465" s="1" t="n">
        <v>45917</v>
      </c>
      <c r="D465" t="inlineStr">
        <is>
          <t>JÄMTLANDS LÄN</t>
        </is>
      </c>
      <c r="E465" t="inlineStr">
        <is>
          <t>KROKOM</t>
        </is>
      </c>
      <c r="G465" t="n">
        <v>3.9</v>
      </c>
      <c r="H465" t="n">
        <v>0</v>
      </c>
      <c r="I465" t="n">
        <v>0</v>
      </c>
      <c r="J465" t="n">
        <v>0</v>
      </c>
      <c r="K465" t="n">
        <v>0</v>
      </c>
      <c r="L465" t="n">
        <v>0</v>
      </c>
      <c r="M465" t="n">
        <v>0</v>
      </c>
      <c r="N465" t="n">
        <v>0</v>
      </c>
      <c r="O465" t="n">
        <v>0</v>
      </c>
      <c r="P465" t="n">
        <v>0</v>
      </c>
      <c r="Q465" t="n">
        <v>0</v>
      </c>
      <c r="R465" s="2" t="inlineStr"/>
    </row>
    <row r="466" ht="15" customHeight="1">
      <c r="A466" t="inlineStr">
        <is>
          <t>A 15638-2025</t>
        </is>
      </c>
      <c r="B466" s="1" t="n">
        <v>45748.3822337963</v>
      </c>
      <c r="C466" s="1" t="n">
        <v>45917</v>
      </c>
      <c r="D466" t="inlineStr">
        <is>
          <t>JÄMTLANDS LÄN</t>
        </is>
      </c>
      <c r="E466" t="inlineStr">
        <is>
          <t>KROKOM</t>
        </is>
      </c>
      <c r="F466" t="inlineStr">
        <is>
          <t>Kyrkan</t>
        </is>
      </c>
      <c r="G466" t="n">
        <v>5.9</v>
      </c>
      <c r="H466" t="n">
        <v>0</v>
      </c>
      <c r="I466" t="n">
        <v>0</v>
      </c>
      <c r="J466" t="n">
        <v>0</v>
      </c>
      <c r="K466" t="n">
        <v>0</v>
      </c>
      <c r="L466" t="n">
        <v>0</v>
      </c>
      <c r="M466" t="n">
        <v>0</v>
      </c>
      <c r="N466" t="n">
        <v>0</v>
      </c>
      <c r="O466" t="n">
        <v>0</v>
      </c>
      <c r="P466" t="n">
        <v>0</v>
      </c>
      <c r="Q466" t="n">
        <v>0</v>
      </c>
      <c r="R466" s="2" t="inlineStr"/>
    </row>
    <row r="467" ht="15" customHeight="1">
      <c r="A467" t="inlineStr">
        <is>
          <t>A 23665-2024</t>
        </is>
      </c>
      <c r="B467" s="1" t="n">
        <v>45454.57899305555</v>
      </c>
      <c r="C467" s="1" t="n">
        <v>45917</v>
      </c>
      <c r="D467" t="inlineStr">
        <is>
          <t>JÄMTLANDS LÄN</t>
        </is>
      </c>
      <c r="E467" t="inlineStr">
        <is>
          <t>KROKOM</t>
        </is>
      </c>
      <c r="G467" t="n">
        <v>1.1</v>
      </c>
      <c r="H467" t="n">
        <v>0</v>
      </c>
      <c r="I467" t="n">
        <v>0</v>
      </c>
      <c r="J467" t="n">
        <v>0</v>
      </c>
      <c r="K467" t="n">
        <v>0</v>
      </c>
      <c r="L467" t="n">
        <v>0</v>
      </c>
      <c r="M467" t="n">
        <v>0</v>
      </c>
      <c r="N467" t="n">
        <v>0</v>
      </c>
      <c r="O467" t="n">
        <v>0</v>
      </c>
      <c r="P467" t="n">
        <v>0</v>
      </c>
      <c r="Q467" t="n">
        <v>0</v>
      </c>
      <c r="R467" s="2" t="inlineStr"/>
    </row>
    <row r="468" ht="15" customHeight="1">
      <c r="A468" t="inlineStr">
        <is>
          <t>A 58355-2023</t>
        </is>
      </c>
      <c r="B468" s="1" t="n">
        <v>45250</v>
      </c>
      <c r="C468" s="1" t="n">
        <v>45917</v>
      </c>
      <c r="D468" t="inlineStr">
        <is>
          <t>JÄMTLANDS LÄN</t>
        </is>
      </c>
      <c r="E468" t="inlineStr">
        <is>
          <t>KROKOM</t>
        </is>
      </c>
      <c r="F468" t="inlineStr">
        <is>
          <t>Övriga Aktiebolag</t>
        </is>
      </c>
      <c r="G468" t="n">
        <v>6.6</v>
      </c>
      <c r="H468" t="n">
        <v>0</v>
      </c>
      <c r="I468" t="n">
        <v>0</v>
      </c>
      <c r="J468" t="n">
        <v>0</v>
      </c>
      <c r="K468" t="n">
        <v>0</v>
      </c>
      <c r="L468" t="n">
        <v>0</v>
      </c>
      <c r="M468" t="n">
        <v>0</v>
      </c>
      <c r="N468" t="n">
        <v>0</v>
      </c>
      <c r="O468" t="n">
        <v>0</v>
      </c>
      <c r="P468" t="n">
        <v>0</v>
      </c>
      <c r="Q468" t="n">
        <v>0</v>
      </c>
      <c r="R468" s="2" t="inlineStr"/>
    </row>
    <row r="469" ht="15" customHeight="1">
      <c r="A469" t="inlineStr">
        <is>
          <t>A 27740-2025</t>
        </is>
      </c>
      <c r="B469" s="1" t="n">
        <v>45815.50844907408</v>
      </c>
      <c r="C469" s="1" t="n">
        <v>45917</v>
      </c>
      <c r="D469" t="inlineStr">
        <is>
          <t>JÄMTLANDS LÄN</t>
        </is>
      </c>
      <c r="E469" t="inlineStr">
        <is>
          <t>KROKOM</t>
        </is>
      </c>
      <c r="G469" t="n">
        <v>9.1</v>
      </c>
      <c r="H469" t="n">
        <v>0</v>
      </c>
      <c r="I469" t="n">
        <v>0</v>
      </c>
      <c r="J469" t="n">
        <v>0</v>
      </c>
      <c r="K469" t="n">
        <v>0</v>
      </c>
      <c r="L469" t="n">
        <v>0</v>
      </c>
      <c r="M469" t="n">
        <v>0</v>
      </c>
      <c r="N469" t="n">
        <v>0</v>
      </c>
      <c r="O469" t="n">
        <v>0</v>
      </c>
      <c r="P469" t="n">
        <v>0</v>
      </c>
      <c r="Q469" t="n">
        <v>0</v>
      </c>
      <c r="R469" s="2" t="inlineStr"/>
    </row>
    <row r="470" ht="15" customHeight="1">
      <c r="A470" t="inlineStr">
        <is>
          <t>A 24234-2024</t>
        </is>
      </c>
      <c r="B470" s="1" t="n">
        <v>45457.35388888889</v>
      </c>
      <c r="C470" s="1" t="n">
        <v>45917</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52911-2023</t>
        </is>
      </c>
      <c r="B471" s="1" t="n">
        <v>45226</v>
      </c>
      <c r="C471" s="1" t="n">
        <v>45917</v>
      </c>
      <c r="D471" t="inlineStr">
        <is>
          <t>JÄMTLANDS LÄN</t>
        </is>
      </c>
      <c r="E471" t="inlineStr">
        <is>
          <t>KROKOM</t>
        </is>
      </c>
      <c r="G471" t="n">
        <v>0.4</v>
      </c>
      <c r="H471" t="n">
        <v>0</v>
      </c>
      <c r="I471" t="n">
        <v>0</v>
      </c>
      <c r="J471" t="n">
        <v>0</v>
      </c>
      <c r="K471" t="n">
        <v>0</v>
      </c>
      <c r="L471" t="n">
        <v>0</v>
      </c>
      <c r="M471" t="n">
        <v>0</v>
      </c>
      <c r="N471" t="n">
        <v>0</v>
      </c>
      <c r="O471" t="n">
        <v>0</v>
      </c>
      <c r="P471" t="n">
        <v>0</v>
      </c>
      <c r="Q471" t="n">
        <v>0</v>
      </c>
      <c r="R471" s="2" t="inlineStr"/>
    </row>
    <row r="472" ht="15" customHeight="1">
      <c r="A472" t="inlineStr">
        <is>
          <t>A 16817-2024</t>
        </is>
      </c>
      <c r="B472" s="1" t="n">
        <v>45411.4666087963</v>
      </c>
      <c r="C472" s="1" t="n">
        <v>45917</v>
      </c>
      <c r="D472" t="inlineStr">
        <is>
          <t>JÄMTLANDS LÄN</t>
        </is>
      </c>
      <c r="E472" t="inlineStr">
        <is>
          <t>KROKOM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4741-2022</t>
        </is>
      </c>
      <c r="B473" s="1" t="n">
        <v>44592</v>
      </c>
      <c r="C473" s="1" t="n">
        <v>45917</v>
      </c>
      <c r="D473" t="inlineStr">
        <is>
          <t>JÄMTLANDS LÄN</t>
        </is>
      </c>
      <c r="E473" t="inlineStr">
        <is>
          <t>KROKOM</t>
        </is>
      </c>
      <c r="G473" t="n">
        <v>54.2</v>
      </c>
      <c r="H473" t="n">
        <v>0</v>
      </c>
      <c r="I473" t="n">
        <v>0</v>
      </c>
      <c r="J473" t="n">
        <v>0</v>
      </c>
      <c r="K473" t="n">
        <v>0</v>
      </c>
      <c r="L473" t="n">
        <v>0</v>
      </c>
      <c r="M473" t="n">
        <v>0</v>
      </c>
      <c r="N473" t="n">
        <v>0</v>
      </c>
      <c r="O473" t="n">
        <v>0</v>
      </c>
      <c r="P473" t="n">
        <v>0</v>
      </c>
      <c r="Q473" t="n">
        <v>0</v>
      </c>
      <c r="R473" s="2" t="inlineStr"/>
    </row>
    <row r="474" ht="15" customHeight="1">
      <c r="A474" t="inlineStr">
        <is>
          <t>A 28137-2025</t>
        </is>
      </c>
      <c r="B474" s="1" t="n">
        <v>45818.34474537037</v>
      </c>
      <c r="C474" s="1" t="n">
        <v>45917</v>
      </c>
      <c r="D474" t="inlineStr">
        <is>
          <t>JÄMTLANDS LÄN</t>
        </is>
      </c>
      <c r="E474" t="inlineStr">
        <is>
          <t>KROKOM</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28136-2025</t>
        </is>
      </c>
      <c r="B475" s="1" t="n">
        <v>45818.34473379629</v>
      </c>
      <c r="C475" s="1" t="n">
        <v>45917</v>
      </c>
      <c r="D475" t="inlineStr">
        <is>
          <t>JÄMTLANDS LÄN</t>
        </is>
      </c>
      <c r="E475" t="inlineStr">
        <is>
          <t>KROKOM</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14032-2024</t>
        </is>
      </c>
      <c r="B476" s="1" t="n">
        <v>45392</v>
      </c>
      <c r="C476" s="1" t="n">
        <v>45917</v>
      </c>
      <c r="D476" t="inlineStr">
        <is>
          <t>JÄMTLANDS LÄN</t>
        </is>
      </c>
      <c r="E476" t="inlineStr">
        <is>
          <t>KROKOM</t>
        </is>
      </c>
      <c r="F476" t="inlineStr">
        <is>
          <t>Kyrkan</t>
        </is>
      </c>
      <c r="G476" t="n">
        <v>1.1</v>
      </c>
      <c r="H476" t="n">
        <v>0</v>
      </c>
      <c r="I476" t="n">
        <v>0</v>
      </c>
      <c r="J476" t="n">
        <v>0</v>
      </c>
      <c r="K476" t="n">
        <v>0</v>
      </c>
      <c r="L476" t="n">
        <v>0</v>
      </c>
      <c r="M476" t="n">
        <v>0</v>
      </c>
      <c r="N476" t="n">
        <v>0</v>
      </c>
      <c r="O476" t="n">
        <v>0</v>
      </c>
      <c r="P476" t="n">
        <v>0</v>
      </c>
      <c r="Q476" t="n">
        <v>0</v>
      </c>
      <c r="R476" s="2" t="inlineStr"/>
    </row>
    <row r="477" ht="15" customHeight="1">
      <c r="A477" t="inlineStr">
        <is>
          <t>A 21990-2022</t>
        </is>
      </c>
      <c r="B477" s="1" t="n">
        <v>44711</v>
      </c>
      <c r="C477" s="1" t="n">
        <v>45917</v>
      </c>
      <c r="D477" t="inlineStr">
        <is>
          <t>JÄMTLANDS LÄN</t>
        </is>
      </c>
      <c r="E477" t="inlineStr">
        <is>
          <t>KROKOM</t>
        </is>
      </c>
      <c r="F477" t="inlineStr">
        <is>
          <t>Övriga Aktiebolag</t>
        </is>
      </c>
      <c r="G477" t="n">
        <v>26.3</v>
      </c>
      <c r="H477" t="n">
        <v>0</v>
      </c>
      <c r="I477" t="n">
        <v>0</v>
      </c>
      <c r="J477" t="n">
        <v>0</v>
      </c>
      <c r="K477" t="n">
        <v>0</v>
      </c>
      <c r="L477" t="n">
        <v>0</v>
      </c>
      <c r="M477" t="n">
        <v>0</v>
      </c>
      <c r="N477" t="n">
        <v>0</v>
      </c>
      <c r="O477" t="n">
        <v>0</v>
      </c>
      <c r="P477" t="n">
        <v>0</v>
      </c>
      <c r="Q477" t="n">
        <v>0</v>
      </c>
      <c r="R477" s="2" t="inlineStr"/>
    </row>
    <row r="478" ht="15" customHeight="1">
      <c r="A478" t="inlineStr">
        <is>
          <t>A 28132-2025</t>
        </is>
      </c>
      <c r="B478" s="1" t="n">
        <v>45818.33532407408</v>
      </c>
      <c r="C478" s="1" t="n">
        <v>45917</v>
      </c>
      <c r="D478" t="inlineStr">
        <is>
          <t>JÄMTLANDS LÄN</t>
        </is>
      </c>
      <c r="E478" t="inlineStr">
        <is>
          <t>KROKOM</t>
        </is>
      </c>
      <c r="F478" t="inlineStr">
        <is>
          <t>Kyrkan</t>
        </is>
      </c>
      <c r="G478" t="n">
        <v>4.5</v>
      </c>
      <c r="H478" t="n">
        <v>0</v>
      </c>
      <c r="I478" t="n">
        <v>0</v>
      </c>
      <c r="J478" t="n">
        <v>0</v>
      </c>
      <c r="K478" t="n">
        <v>0</v>
      </c>
      <c r="L478" t="n">
        <v>0</v>
      </c>
      <c r="M478" t="n">
        <v>0</v>
      </c>
      <c r="N478" t="n">
        <v>0</v>
      </c>
      <c r="O478" t="n">
        <v>0</v>
      </c>
      <c r="P478" t="n">
        <v>0</v>
      </c>
      <c r="Q478" t="n">
        <v>0</v>
      </c>
      <c r="R478" s="2" t="inlineStr"/>
    </row>
    <row r="479" ht="15" customHeight="1">
      <c r="A479" t="inlineStr">
        <is>
          <t>A 28147-2025</t>
        </is>
      </c>
      <c r="B479" s="1" t="n">
        <v>45818.34833333334</v>
      </c>
      <c r="C479" s="1" t="n">
        <v>45917</v>
      </c>
      <c r="D479" t="inlineStr">
        <is>
          <t>JÄMTLANDS LÄN</t>
        </is>
      </c>
      <c r="E479" t="inlineStr">
        <is>
          <t>KROKOM</t>
        </is>
      </c>
      <c r="F479" t="inlineStr">
        <is>
          <t>Kyrkan</t>
        </is>
      </c>
      <c r="G479" t="n">
        <v>10.8</v>
      </c>
      <c r="H479" t="n">
        <v>0</v>
      </c>
      <c r="I479" t="n">
        <v>0</v>
      </c>
      <c r="J479" t="n">
        <v>0</v>
      </c>
      <c r="K479" t="n">
        <v>0</v>
      </c>
      <c r="L479" t="n">
        <v>0</v>
      </c>
      <c r="M479" t="n">
        <v>0</v>
      </c>
      <c r="N479" t="n">
        <v>0</v>
      </c>
      <c r="O479" t="n">
        <v>0</v>
      </c>
      <c r="P479" t="n">
        <v>0</v>
      </c>
      <c r="Q479" t="n">
        <v>0</v>
      </c>
      <c r="R479" s="2" t="inlineStr"/>
    </row>
    <row r="480" ht="15" customHeight="1">
      <c r="A480" t="inlineStr">
        <is>
          <t>A 28162-2025</t>
        </is>
      </c>
      <c r="B480" s="1" t="n">
        <v>45818.37056712963</v>
      </c>
      <c r="C480" s="1" t="n">
        <v>45917</v>
      </c>
      <c r="D480" t="inlineStr">
        <is>
          <t>JÄMTLANDS LÄN</t>
        </is>
      </c>
      <c r="E480" t="inlineStr">
        <is>
          <t>KROKOM</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58052-2022</t>
        </is>
      </c>
      <c r="B481" s="1" t="n">
        <v>44893</v>
      </c>
      <c r="C481" s="1" t="n">
        <v>45917</v>
      </c>
      <c r="D481" t="inlineStr">
        <is>
          <t>JÄMTLANDS LÄN</t>
        </is>
      </c>
      <c r="E481" t="inlineStr">
        <is>
          <t>KROKOM</t>
        </is>
      </c>
      <c r="G481" t="n">
        <v>0.6</v>
      </c>
      <c r="H481" t="n">
        <v>0</v>
      </c>
      <c r="I481" t="n">
        <v>0</v>
      </c>
      <c r="J481" t="n">
        <v>0</v>
      </c>
      <c r="K481" t="n">
        <v>0</v>
      </c>
      <c r="L481" t="n">
        <v>0</v>
      </c>
      <c r="M481" t="n">
        <v>0</v>
      </c>
      <c r="N481" t="n">
        <v>0</v>
      </c>
      <c r="O481" t="n">
        <v>0</v>
      </c>
      <c r="P481" t="n">
        <v>0</v>
      </c>
      <c r="Q481" t="n">
        <v>0</v>
      </c>
      <c r="R481" s="2" t="inlineStr"/>
    </row>
    <row r="482" ht="15" customHeight="1">
      <c r="A482" t="inlineStr">
        <is>
          <t>A 17417-2024</t>
        </is>
      </c>
      <c r="B482" s="1" t="n">
        <v>45414.96341435185</v>
      </c>
      <c r="C482" s="1" t="n">
        <v>45917</v>
      </c>
      <c r="D482" t="inlineStr">
        <is>
          <t>JÄMTLANDS LÄN</t>
        </is>
      </c>
      <c r="E482" t="inlineStr">
        <is>
          <t>KROKOM</t>
        </is>
      </c>
      <c r="G482" t="n">
        <v>1.7</v>
      </c>
      <c r="H482" t="n">
        <v>0</v>
      </c>
      <c r="I482" t="n">
        <v>0</v>
      </c>
      <c r="J482" t="n">
        <v>0</v>
      </c>
      <c r="K482" t="n">
        <v>0</v>
      </c>
      <c r="L482" t="n">
        <v>0</v>
      </c>
      <c r="M482" t="n">
        <v>0</v>
      </c>
      <c r="N482" t="n">
        <v>0</v>
      </c>
      <c r="O482" t="n">
        <v>0</v>
      </c>
      <c r="P482" t="n">
        <v>0</v>
      </c>
      <c r="Q482" t="n">
        <v>0</v>
      </c>
      <c r="R482" s="2" t="inlineStr"/>
    </row>
    <row r="483" ht="15" customHeight="1">
      <c r="A483" t="inlineStr">
        <is>
          <t>A 16064-2024</t>
        </is>
      </c>
      <c r="B483" s="1" t="n">
        <v>45406.05033564815</v>
      </c>
      <c r="C483" s="1" t="n">
        <v>45917</v>
      </c>
      <c r="D483" t="inlineStr">
        <is>
          <t>JÄMTLANDS LÄN</t>
        </is>
      </c>
      <c r="E483" t="inlineStr">
        <is>
          <t>KROKOM</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28843-2025</t>
        </is>
      </c>
      <c r="B484" s="1" t="n">
        <v>45820</v>
      </c>
      <c r="C484" s="1" t="n">
        <v>45917</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10842-2024</t>
        </is>
      </c>
      <c r="B485" s="1" t="n">
        <v>45369</v>
      </c>
      <c r="C485" s="1" t="n">
        <v>45917</v>
      </c>
      <c r="D485" t="inlineStr">
        <is>
          <t>JÄMTLANDS LÄN</t>
        </is>
      </c>
      <c r="E485" t="inlineStr">
        <is>
          <t>KROKOM</t>
        </is>
      </c>
      <c r="G485" t="n">
        <v>1.2</v>
      </c>
      <c r="H485" t="n">
        <v>0</v>
      </c>
      <c r="I485" t="n">
        <v>0</v>
      </c>
      <c r="J485" t="n">
        <v>0</v>
      </c>
      <c r="K485" t="n">
        <v>0</v>
      </c>
      <c r="L485" t="n">
        <v>0</v>
      </c>
      <c r="M485" t="n">
        <v>0</v>
      </c>
      <c r="N485" t="n">
        <v>0</v>
      </c>
      <c r="O485" t="n">
        <v>0</v>
      </c>
      <c r="P485" t="n">
        <v>0</v>
      </c>
      <c r="Q485" t="n">
        <v>0</v>
      </c>
      <c r="R485" s="2" t="inlineStr"/>
    </row>
    <row r="486" ht="15" customHeight="1">
      <c r="A486" t="inlineStr">
        <is>
          <t>A 63532-2023</t>
        </is>
      </c>
      <c r="B486" s="1" t="n">
        <v>45274</v>
      </c>
      <c r="C486" s="1" t="n">
        <v>45917</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28752-2025</t>
        </is>
      </c>
      <c r="B487" s="1" t="n">
        <v>45820</v>
      </c>
      <c r="C487" s="1" t="n">
        <v>45917</v>
      </c>
      <c r="D487" t="inlineStr">
        <is>
          <t>JÄMTLANDS LÄN</t>
        </is>
      </c>
      <c r="E487" t="inlineStr">
        <is>
          <t>KROKOM</t>
        </is>
      </c>
      <c r="G487" t="n">
        <v>0.5</v>
      </c>
      <c r="H487" t="n">
        <v>0</v>
      </c>
      <c r="I487" t="n">
        <v>0</v>
      </c>
      <c r="J487" t="n">
        <v>0</v>
      </c>
      <c r="K487" t="n">
        <v>0</v>
      </c>
      <c r="L487" t="n">
        <v>0</v>
      </c>
      <c r="M487" t="n">
        <v>0</v>
      </c>
      <c r="N487" t="n">
        <v>0</v>
      </c>
      <c r="O487" t="n">
        <v>0</v>
      </c>
      <c r="P487" t="n">
        <v>0</v>
      </c>
      <c r="Q487" t="n">
        <v>0</v>
      </c>
      <c r="R487" s="2" t="inlineStr"/>
    </row>
    <row r="488" ht="15" customHeight="1">
      <c r="A488" t="inlineStr">
        <is>
          <t>A 59076-2022</t>
        </is>
      </c>
      <c r="B488" s="1" t="n">
        <v>44904</v>
      </c>
      <c r="C488" s="1" t="n">
        <v>45917</v>
      </c>
      <c r="D488" t="inlineStr">
        <is>
          <t>JÄMTLANDS LÄN</t>
        </is>
      </c>
      <c r="E488" t="inlineStr">
        <is>
          <t>KROKOM</t>
        </is>
      </c>
      <c r="G488" t="n">
        <v>3.4</v>
      </c>
      <c r="H488" t="n">
        <v>0</v>
      </c>
      <c r="I488" t="n">
        <v>0</v>
      </c>
      <c r="J488" t="n">
        <v>0</v>
      </c>
      <c r="K488" t="n">
        <v>0</v>
      </c>
      <c r="L488" t="n">
        <v>0</v>
      </c>
      <c r="M488" t="n">
        <v>0</v>
      </c>
      <c r="N488" t="n">
        <v>0</v>
      </c>
      <c r="O488" t="n">
        <v>0</v>
      </c>
      <c r="P488" t="n">
        <v>0</v>
      </c>
      <c r="Q488" t="n">
        <v>0</v>
      </c>
      <c r="R488" s="2" t="inlineStr"/>
    </row>
    <row r="489" ht="15" customHeight="1">
      <c r="A489" t="inlineStr">
        <is>
          <t>A 28729-2025</t>
        </is>
      </c>
      <c r="B489" s="1" t="n">
        <v>45820.36512731481</v>
      </c>
      <c r="C489" s="1" t="n">
        <v>45917</v>
      </c>
      <c r="D489" t="inlineStr">
        <is>
          <t>JÄMTLANDS LÄN</t>
        </is>
      </c>
      <c r="E489" t="inlineStr">
        <is>
          <t>KROKOM</t>
        </is>
      </c>
      <c r="G489" t="n">
        <v>3.6</v>
      </c>
      <c r="H489" t="n">
        <v>0</v>
      </c>
      <c r="I489" t="n">
        <v>0</v>
      </c>
      <c r="J489" t="n">
        <v>0</v>
      </c>
      <c r="K489" t="n">
        <v>0</v>
      </c>
      <c r="L489" t="n">
        <v>0</v>
      </c>
      <c r="M489" t="n">
        <v>0</v>
      </c>
      <c r="N489" t="n">
        <v>0</v>
      </c>
      <c r="O489" t="n">
        <v>0</v>
      </c>
      <c r="P489" t="n">
        <v>0</v>
      </c>
      <c r="Q489" t="n">
        <v>0</v>
      </c>
      <c r="R489" s="2" t="inlineStr"/>
    </row>
    <row r="490" ht="15" customHeight="1">
      <c r="A490" t="inlineStr">
        <is>
          <t>A 28789-2025</t>
        </is>
      </c>
      <c r="B490" s="1" t="n">
        <v>45820.47200231482</v>
      </c>
      <c r="C490" s="1" t="n">
        <v>45917</v>
      </c>
      <c r="D490" t="inlineStr">
        <is>
          <t>JÄMTLANDS LÄN</t>
        </is>
      </c>
      <c r="E490" t="inlineStr">
        <is>
          <t>KROKOM</t>
        </is>
      </c>
      <c r="F490" t="inlineStr">
        <is>
          <t>Kyrkan</t>
        </is>
      </c>
      <c r="G490" t="n">
        <v>28.4</v>
      </c>
      <c r="H490" t="n">
        <v>0</v>
      </c>
      <c r="I490" t="n">
        <v>0</v>
      </c>
      <c r="J490" t="n">
        <v>0</v>
      </c>
      <c r="K490" t="n">
        <v>0</v>
      </c>
      <c r="L490" t="n">
        <v>0</v>
      </c>
      <c r="M490" t="n">
        <v>0</v>
      </c>
      <c r="N490" t="n">
        <v>0</v>
      </c>
      <c r="O490" t="n">
        <v>0</v>
      </c>
      <c r="P490" t="n">
        <v>0</v>
      </c>
      <c r="Q490" t="n">
        <v>0</v>
      </c>
      <c r="R490" s="2" t="inlineStr"/>
    </row>
    <row r="491" ht="15" customHeight="1">
      <c r="A491" t="inlineStr">
        <is>
          <t>A 28137-2023</t>
        </is>
      </c>
      <c r="B491" s="1" t="n">
        <v>45096</v>
      </c>
      <c r="C491" s="1" t="n">
        <v>45917</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45869-2024</t>
        </is>
      </c>
      <c r="B492" s="1" t="n">
        <v>45580.36991898148</v>
      </c>
      <c r="C492" s="1" t="n">
        <v>45917</v>
      </c>
      <c r="D492" t="inlineStr">
        <is>
          <t>JÄMTLANDS LÄN</t>
        </is>
      </c>
      <c r="E492" t="inlineStr">
        <is>
          <t>KROKOM</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69120-2020</t>
        </is>
      </c>
      <c r="B493" s="1" t="n">
        <v>44188</v>
      </c>
      <c r="C493" s="1" t="n">
        <v>45917</v>
      </c>
      <c r="D493" t="inlineStr">
        <is>
          <t>JÄMTLANDS LÄN</t>
        </is>
      </c>
      <c r="E493" t="inlineStr">
        <is>
          <t>KROKOM</t>
        </is>
      </c>
      <c r="G493" t="n">
        <v>4.1</v>
      </c>
      <c r="H493" t="n">
        <v>0</v>
      </c>
      <c r="I493" t="n">
        <v>0</v>
      </c>
      <c r="J493" t="n">
        <v>0</v>
      </c>
      <c r="K493" t="n">
        <v>0</v>
      </c>
      <c r="L493" t="n">
        <v>0</v>
      </c>
      <c r="M493" t="n">
        <v>0</v>
      </c>
      <c r="N493" t="n">
        <v>0</v>
      </c>
      <c r="O493" t="n">
        <v>0</v>
      </c>
      <c r="P493" t="n">
        <v>0</v>
      </c>
      <c r="Q493" t="n">
        <v>0</v>
      </c>
      <c r="R493" s="2" t="inlineStr"/>
    </row>
    <row r="494" ht="15" customHeight="1">
      <c r="A494" t="inlineStr">
        <is>
          <t>A 32676-2023</t>
        </is>
      </c>
      <c r="B494" s="1" t="n">
        <v>45121</v>
      </c>
      <c r="C494" s="1" t="n">
        <v>45917</v>
      </c>
      <c r="D494" t="inlineStr">
        <is>
          <t>JÄMTLANDS LÄN</t>
        </is>
      </c>
      <c r="E494" t="inlineStr">
        <is>
          <t>KROKOM</t>
        </is>
      </c>
      <c r="F494" t="inlineStr">
        <is>
          <t>Övriga Aktiebolag</t>
        </is>
      </c>
      <c r="G494" t="n">
        <v>7.1</v>
      </c>
      <c r="H494" t="n">
        <v>0</v>
      </c>
      <c r="I494" t="n">
        <v>0</v>
      </c>
      <c r="J494" t="n">
        <v>0</v>
      </c>
      <c r="K494" t="n">
        <v>0</v>
      </c>
      <c r="L494" t="n">
        <v>0</v>
      </c>
      <c r="M494" t="n">
        <v>0</v>
      </c>
      <c r="N494" t="n">
        <v>0</v>
      </c>
      <c r="O494" t="n">
        <v>0</v>
      </c>
      <c r="P494" t="n">
        <v>0</v>
      </c>
      <c r="Q494" t="n">
        <v>0</v>
      </c>
      <c r="R494" s="2" t="inlineStr"/>
    </row>
    <row r="495" ht="15" customHeight="1">
      <c r="A495" t="inlineStr">
        <is>
          <t>A 28848-2025</t>
        </is>
      </c>
      <c r="B495" s="1" t="n">
        <v>45820</v>
      </c>
      <c r="C495" s="1" t="n">
        <v>45917</v>
      </c>
      <c r="D495" t="inlineStr">
        <is>
          <t>JÄMTLANDS LÄN</t>
        </is>
      </c>
      <c r="E495" t="inlineStr">
        <is>
          <t>KROKOM</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27596-2024</t>
        </is>
      </c>
      <c r="B496" s="1" t="n">
        <v>45474.69074074074</v>
      </c>
      <c r="C496" s="1" t="n">
        <v>45917</v>
      </c>
      <c r="D496" t="inlineStr">
        <is>
          <t>JÄMTLANDS LÄN</t>
        </is>
      </c>
      <c r="E496" t="inlineStr">
        <is>
          <t>KROKOM</t>
        </is>
      </c>
      <c r="G496" t="n">
        <v>0.5</v>
      </c>
      <c r="H496" t="n">
        <v>0</v>
      </c>
      <c r="I496" t="n">
        <v>0</v>
      </c>
      <c r="J496" t="n">
        <v>0</v>
      </c>
      <c r="K496" t="n">
        <v>0</v>
      </c>
      <c r="L496" t="n">
        <v>0</v>
      </c>
      <c r="M496" t="n">
        <v>0</v>
      </c>
      <c r="N496" t="n">
        <v>0</v>
      </c>
      <c r="O496" t="n">
        <v>0</v>
      </c>
      <c r="P496" t="n">
        <v>0</v>
      </c>
      <c r="Q496" t="n">
        <v>0</v>
      </c>
      <c r="R496" s="2" t="inlineStr"/>
    </row>
    <row r="497" ht="15" customHeight="1">
      <c r="A497" t="inlineStr">
        <is>
          <t>A 28727-2025</t>
        </is>
      </c>
      <c r="B497" s="1" t="n">
        <v>45820.36498842593</v>
      </c>
      <c r="C497" s="1" t="n">
        <v>45917</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28728-2025</t>
        </is>
      </c>
      <c r="B498" s="1" t="n">
        <v>45820.36506944444</v>
      </c>
      <c r="C498" s="1" t="n">
        <v>45917</v>
      </c>
      <c r="D498" t="inlineStr">
        <is>
          <t>JÄMTLANDS LÄN</t>
        </is>
      </c>
      <c r="E498" t="inlineStr">
        <is>
          <t>KROKOM</t>
        </is>
      </c>
      <c r="G498" t="n">
        <v>1.4</v>
      </c>
      <c r="H498" t="n">
        <v>0</v>
      </c>
      <c r="I498" t="n">
        <v>0</v>
      </c>
      <c r="J498" t="n">
        <v>0</v>
      </c>
      <c r="K498" t="n">
        <v>0</v>
      </c>
      <c r="L498" t="n">
        <v>0</v>
      </c>
      <c r="M498" t="n">
        <v>0</v>
      </c>
      <c r="N498" t="n">
        <v>0</v>
      </c>
      <c r="O498" t="n">
        <v>0</v>
      </c>
      <c r="P498" t="n">
        <v>0</v>
      </c>
      <c r="Q498" t="n">
        <v>0</v>
      </c>
      <c r="R498" s="2" t="inlineStr"/>
    </row>
    <row r="499" ht="15" customHeight="1">
      <c r="A499" t="inlineStr">
        <is>
          <t>A 29001-2025</t>
        </is>
      </c>
      <c r="B499" s="1" t="n">
        <v>45821.39026620371</v>
      </c>
      <c r="C499" s="1" t="n">
        <v>45917</v>
      </c>
      <c r="D499" t="inlineStr">
        <is>
          <t>JÄMTLANDS LÄN</t>
        </is>
      </c>
      <c r="E499" t="inlineStr">
        <is>
          <t>KROKOM</t>
        </is>
      </c>
      <c r="G499" t="n">
        <v>1.5</v>
      </c>
      <c r="H499" t="n">
        <v>0</v>
      </c>
      <c r="I499" t="n">
        <v>0</v>
      </c>
      <c r="J499" t="n">
        <v>0</v>
      </c>
      <c r="K499" t="n">
        <v>0</v>
      </c>
      <c r="L499" t="n">
        <v>0</v>
      </c>
      <c r="M499" t="n">
        <v>0</v>
      </c>
      <c r="N499" t="n">
        <v>0</v>
      </c>
      <c r="O499" t="n">
        <v>0</v>
      </c>
      <c r="P499" t="n">
        <v>0</v>
      </c>
      <c r="Q499" t="n">
        <v>0</v>
      </c>
      <c r="R499" s="2" t="inlineStr"/>
    </row>
    <row r="500" ht="15" customHeight="1">
      <c r="A500" t="inlineStr">
        <is>
          <t>A 47587-2023</t>
        </is>
      </c>
      <c r="B500" s="1" t="n">
        <v>45203.44248842593</v>
      </c>
      <c r="C500" s="1" t="n">
        <v>45917</v>
      </c>
      <c r="D500" t="inlineStr">
        <is>
          <t>JÄMTLANDS LÄN</t>
        </is>
      </c>
      <c r="E500" t="inlineStr">
        <is>
          <t>KROKOM</t>
        </is>
      </c>
      <c r="G500" t="n">
        <v>5.1</v>
      </c>
      <c r="H500" t="n">
        <v>0</v>
      </c>
      <c r="I500" t="n">
        <v>0</v>
      </c>
      <c r="J500" t="n">
        <v>0</v>
      </c>
      <c r="K500" t="n">
        <v>0</v>
      </c>
      <c r="L500" t="n">
        <v>0</v>
      </c>
      <c r="M500" t="n">
        <v>0</v>
      </c>
      <c r="N500" t="n">
        <v>0</v>
      </c>
      <c r="O500" t="n">
        <v>0</v>
      </c>
      <c r="P500" t="n">
        <v>0</v>
      </c>
      <c r="Q500" t="n">
        <v>0</v>
      </c>
      <c r="R500" s="2" t="inlineStr"/>
    </row>
    <row r="501" ht="15" customHeight="1">
      <c r="A501" t="inlineStr">
        <is>
          <t>A 30709-2024</t>
        </is>
      </c>
      <c r="B501" s="1" t="n">
        <v>45496.41289351852</v>
      </c>
      <c r="C501" s="1" t="n">
        <v>45917</v>
      </c>
      <c r="D501" t="inlineStr">
        <is>
          <t>JÄMTLANDS LÄN</t>
        </is>
      </c>
      <c r="E501" t="inlineStr">
        <is>
          <t>KROKOM</t>
        </is>
      </c>
      <c r="F501" t="inlineStr">
        <is>
          <t>Övriga Aktiebolag</t>
        </is>
      </c>
      <c r="G501" t="n">
        <v>1.6</v>
      </c>
      <c r="H501" t="n">
        <v>0</v>
      </c>
      <c r="I501" t="n">
        <v>0</v>
      </c>
      <c r="J501" t="n">
        <v>0</v>
      </c>
      <c r="K501" t="n">
        <v>0</v>
      </c>
      <c r="L501" t="n">
        <v>0</v>
      </c>
      <c r="M501" t="n">
        <v>0</v>
      </c>
      <c r="N501" t="n">
        <v>0</v>
      </c>
      <c r="O501" t="n">
        <v>0</v>
      </c>
      <c r="P501" t="n">
        <v>0</v>
      </c>
      <c r="Q501" t="n">
        <v>0</v>
      </c>
      <c r="R501" s="2" t="inlineStr"/>
    </row>
    <row r="502" ht="15" customHeight="1">
      <c r="A502" t="inlineStr">
        <is>
          <t>A 54817-2024</t>
        </is>
      </c>
      <c r="B502" s="1" t="n">
        <v>45618.53126157408</v>
      </c>
      <c r="C502" s="1" t="n">
        <v>45917</v>
      </c>
      <c r="D502" t="inlineStr">
        <is>
          <t>JÄMTLANDS LÄN</t>
        </is>
      </c>
      <c r="E502" t="inlineStr">
        <is>
          <t>KROKOM</t>
        </is>
      </c>
      <c r="G502" t="n">
        <v>8.4</v>
      </c>
      <c r="H502" t="n">
        <v>0</v>
      </c>
      <c r="I502" t="n">
        <v>0</v>
      </c>
      <c r="J502" t="n">
        <v>0</v>
      </c>
      <c r="K502" t="n">
        <v>0</v>
      </c>
      <c r="L502" t="n">
        <v>0</v>
      </c>
      <c r="M502" t="n">
        <v>0</v>
      </c>
      <c r="N502" t="n">
        <v>0</v>
      </c>
      <c r="O502" t="n">
        <v>0</v>
      </c>
      <c r="P502" t="n">
        <v>0</v>
      </c>
      <c r="Q502" t="n">
        <v>0</v>
      </c>
      <c r="R502" s="2" t="inlineStr"/>
    </row>
    <row r="503" ht="15" customHeight="1">
      <c r="A503" t="inlineStr">
        <is>
          <t>A 54823-2024</t>
        </is>
      </c>
      <c r="B503" s="1" t="n">
        <v>45618.53633101852</v>
      </c>
      <c r="C503" s="1" t="n">
        <v>45917</v>
      </c>
      <c r="D503" t="inlineStr">
        <is>
          <t>JÄMTLANDS LÄN</t>
        </is>
      </c>
      <c r="E503" t="inlineStr">
        <is>
          <t>KROKOM</t>
        </is>
      </c>
      <c r="G503" t="n">
        <v>4</v>
      </c>
      <c r="H503" t="n">
        <v>0</v>
      </c>
      <c r="I503" t="n">
        <v>0</v>
      </c>
      <c r="J503" t="n">
        <v>0</v>
      </c>
      <c r="K503" t="n">
        <v>0</v>
      </c>
      <c r="L503" t="n">
        <v>0</v>
      </c>
      <c r="M503" t="n">
        <v>0</v>
      </c>
      <c r="N503" t="n">
        <v>0</v>
      </c>
      <c r="O503" t="n">
        <v>0</v>
      </c>
      <c r="P503" t="n">
        <v>0</v>
      </c>
      <c r="Q503" t="n">
        <v>0</v>
      </c>
      <c r="R503" s="2" t="inlineStr"/>
    </row>
    <row r="504" ht="15" customHeight="1">
      <c r="A504" t="inlineStr">
        <is>
          <t>A 50417-2024</t>
        </is>
      </c>
      <c r="B504" s="1" t="n">
        <v>45601.38071759259</v>
      </c>
      <c r="C504" s="1" t="n">
        <v>45917</v>
      </c>
      <c r="D504" t="inlineStr">
        <is>
          <t>JÄMTLANDS LÄN</t>
        </is>
      </c>
      <c r="E504" t="inlineStr">
        <is>
          <t>KROKOM</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39127-2023</t>
        </is>
      </c>
      <c r="B505" s="1" t="n">
        <v>45165.70483796296</v>
      </c>
      <c r="C505" s="1" t="n">
        <v>45917</v>
      </c>
      <c r="D505" t="inlineStr">
        <is>
          <t>JÄMTLANDS LÄN</t>
        </is>
      </c>
      <c r="E505" t="inlineStr">
        <is>
          <t>KROKOM</t>
        </is>
      </c>
      <c r="G505" t="n">
        <v>0.7</v>
      </c>
      <c r="H505" t="n">
        <v>0</v>
      </c>
      <c r="I505" t="n">
        <v>0</v>
      </c>
      <c r="J505" t="n">
        <v>0</v>
      </c>
      <c r="K505" t="n">
        <v>0</v>
      </c>
      <c r="L505" t="n">
        <v>0</v>
      </c>
      <c r="M505" t="n">
        <v>0</v>
      </c>
      <c r="N505" t="n">
        <v>0</v>
      </c>
      <c r="O505" t="n">
        <v>0</v>
      </c>
      <c r="P505" t="n">
        <v>0</v>
      </c>
      <c r="Q505" t="n">
        <v>0</v>
      </c>
      <c r="R505" s="2" t="inlineStr"/>
    </row>
    <row r="506" ht="15" customHeight="1">
      <c r="A506" t="inlineStr">
        <is>
          <t>A 40213-2024</t>
        </is>
      </c>
      <c r="B506" s="1" t="n">
        <v>45554.59447916667</v>
      </c>
      <c r="C506" s="1" t="n">
        <v>45917</v>
      </c>
      <c r="D506" t="inlineStr">
        <is>
          <t>JÄMTLANDS LÄN</t>
        </is>
      </c>
      <c r="E506" t="inlineStr">
        <is>
          <t>KROKOM</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39368-2024</t>
        </is>
      </c>
      <c r="B507" s="1" t="n">
        <v>45551.47325231481</v>
      </c>
      <c r="C507" s="1" t="n">
        <v>45917</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6590-2025</t>
        </is>
      </c>
      <c r="B508" s="1" t="n">
        <v>45700.30092592593</v>
      </c>
      <c r="C508" s="1" t="n">
        <v>45917</v>
      </c>
      <c r="D508" t="inlineStr">
        <is>
          <t>JÄMTLANDS LÄN</t>
        </is>
      </c>
      <c r="E508" t="inlineStr">
        <is>
          <t>KROKOM</t>
        </is>
      </c>
      <c r="F508" t="inlineStr">
        <is>
          <t>Övriga Aktiebolag</t>
        </is>
      </c>
      <c r="G508" t="n">
        <v>51.6</v>
      </c>
      <c r="H508" t="n">
        <v>0</v>
      </c>
      <c r="I508" t="n">
        <v>0</v>
      </c>
      <c r="J508" t="n">
        <v>0</v>
      </c>
      <c r="K508" t="n">
        <v>0</v>
      </c>
      <c r="L508" t="n">
        <v>0</v>
      </c>
      <c r="M508" t="n">
        <v>0</v>
      </c>
      <c r="N508" t="n">
        <v>0</v>
      </c>
      <c r="O508" t="n">
        <v>0</v>
      </c>
      <c r="P508" t="n">
        <v>0</v>
      </c>
      <c r="Q508" t="n">
        <v>0</v>
      </c>
      <c r="R508" s="2" t="inlineStr"/>
    </row>
    <row r="509" ht="15" customHeight="1">
      <c r="A509" t="inlineStr">
        <is>
          <t>A 30383-2024</t>
        </is>
      </c>
      <c r="B509" s="1" t="n">
        <v>45491.44971064815</v>
      </c>
      <c r="C509" s="1" t="n">
        <v>45917</v>
      </c>
      <c r="D509" t="inlineStr">
        <is>
          <t>JÄMTLANDS LÄN</t>
        </is>
      </c>
      <c r="E509" t="inlineStr">
        <is>
          <t>KROKOM</t>
        </is>
      </c>
      <c r="G509" t="n">
        <v>22.9</v>
      </c>
      <c r="H509" t="n">
        <v>0</v>
      </c>
      <c r="I509" t="n">
        <v>0</v>
      </c>
      <c r="J509" t="n">
        <v>0</v>
      </c>
      <c r="K509" t="n">
        <v>0</v>
      </c>
      <c r="L509" t="n">
        <v>0</v>
      </c>
      <c r="M509" t="n">
        <v>0</v>
      </c>
      <c r="N509" t="n">
        <v>0</v>
      </c>
      <c r="O509" t="n">
        <v>0</v>
      </c>
      <c r="P509" t="n">
        <v>0</v>
      </c>
      <c r="Q509" t="n">
        <v>0</v>
      </c>
      <c r="R509" s="2" t="inlineStr"/>
    </row>
    <row r="510" ht="15" customHeight="1">
      <c r="A510" t="inlineStr">
        <is>
          <t>A 22890-2024</t>
        </is>
      </c>
      <c r="B510" s="1" t="n">
        <v>45448.67574074074</v>
      </c>
      <c r="C510" s="1" t="n">
        <v>45917</v>
      </c>
      <c r="D510" t="inlineStr">
        <is>
          <t>JÄMTLANDS LÄN</t>
        </is>
      </c>
      <c r="E510" t="inlineStr">
        <is>
          <t>KROKOM</t>
        </is>
      </c>
      <c r="F510" t="inlineStr">
        <is>
          <t>Övriga Aktiebolag</t>
        </is>
      </c>
      <c r="G510" t="n">
        <v>3</v>
      </c>
      <c r="H510" t="n">
        <v>0</v>
      </c>
      <c r="I510" t="n">
        <v>0</v>
      </c>
      <c r="J510" t="n">
        <v>0</v>
      </c>
      <c r="K510" t="n">
        <v>0</v>
      </c>
      <c r="L510" t="n">
        <v>0</v>
      </c>
      <c r="M510" t="n">
        <v>0</v>
      </c>
      <c r="N510" t="n">
        <v>0</v>
      </c>
      <c r="O510" t="n">
        <v>0</v>
      </c>
      <c r="P510" t="n">
        <v>0</v>
      </c>
      <c r="Q510" t="n">
        <v>0</v>
      </c>
      <c r="R510" s="2" t="inlineStr"/>
    </row>
    <row r="511" ht="15" customHeight="1">
      <c r="A511" t="inlineStr">
        <is>
          <t>A 29956-2025</t>
        </is>
      </c>
      <c r="B511" s="1" t="n">
        <v>45826.4705787037</v>
      </c>
      <c r="C511" s="1" t="n">
        <v>45917</v>
      </c>
      <c r="D511" t="inlineStr">
        <is>
          <t>JÄMTLANDS LÄN</t>
        </is>
      </c>
      <c r="E511" t="inlineStr">
        <is>
          <t>KROKOM</t>
        </is>
      </c>
      <c r="F511" t="inlineStr">
        <is>
          <t>SCA</t>
        </is>
      </c>
      <c r="G511" t="n">
        <v>16.1</v>
      </c>
      <c r="H511" t="n">
        <v>0</v>
      </c>
      <c r="I511" t="n">
        <v>0</v>
      </c>
      <c r="J511" t="n">
        <v>0</v>
      </c>
      <c r="K511" t="n">
        <v>0</v>
      </c>
      <c r="L511" t="n">
        <v>0</v>
      </c>
      <c r="M511" t="n">
        <v>0</v>
      </c>
      <c r="N511" t="n">
        <v>0</v>
      </c>
      <c r="O511" t="n">
        <v>0</v>
      </c>
      <c r="P511" t="n">
        <v>0</v>
      </c>
      <c r="Q511" t="n">
        <v>0</v>
      </c>
      <c r="R511" s="2" t="inlineStr"/>
    </row>
    <row r="512" ht="15" customHeight="1">
      <c r="A512" t="inlineStr">
        <is>
          <t>A 39230-2024</t>
        </is>
      </c>
      <c r="B512" s="1" t="n">
        <v>45550.66542824074</v>
      </c>
      <c r="C512" s="1" t="n">
        <v>45917</v>
      </c>
      <c r="D512" t="inlineStr">
        <is>
          <t>JÄMTLANDS LÄN</t>
        </is>
      </c>
      <c r="E512" t="inlineStr">
        <is>
          <t>KROKOM</t>
        </is>
      </c>
      <c r="G512" t="n">
        <v>7.9</v>
      </c>
      <c r="H512" t="n">
        <v>0</v>
      </c>
      <c r="I512" t="n">
        <v>0</v>
      </c>
      <c r="J512" t="n">
        <v>0</v>
      </c>
      <c r="K512" t="n">
        <v>0</v>
      </c>
      <c r="L512" t="n">
        <v>0</v>
      </c>
      <c r="M512" t="n">
        <v>0</v>
      </c>
      <c r="N512" t="n">
        <v>0</v>
      </c>
      <c r="O512" t="n">
        <v>0</v>
      </c>
      <c r="P512" t="n">
        <v>0</v>
      </c>
      <c r="Q512" t="n">
        <v>0</v>
      </c>
      <c r="R512" s="2" t="inlineStr"/>
    </row>
    <row r="513" ht="15" customHeight="1">
      <c r="A513" t="inlineStr">
        <is>
          <t>A 2410-2021</t>
        </is>
      </c>
      <c r="B513" s="1" t="n">
        <v>44214</v>
      </c>
      <c r="C513" s="1" t="n">
        <v>45917</v>
      </c>
      <c r="D513" t="inlineStr">
        <is>
          <t>JÄMTLANDS LÄN</t>
        </is>
      </c>
      <c r="E513" t="inlineStr">
        <is>
          <t>KROKOM</t>
        </is>
      </c>
      <c r="G513" t="n">
        <v>32.7</v>
      </c>
      <c r="H513" t="n">
        <v>0</v>
      </c>
      <c r="I513" t="n">
        <v>0</v>
      </c>
      <c r="J513" t="n">
        <v>0</v>
      </c>
      <c r="K513" t="n">
        <v>0</v>
      </c>
      <c r="L513" t="n">
        <v>0</v>
      </c>
      <c r="M513" t="n">
        <v>0</v>
      </c>
      <c r="N513" t="n">
        <v>0</v>
      </c>
      <c r="O513" t="n">
        <v>0</v>
      </c>
      <c r="P513" t="n">
        <v>0</v>
      </c>
      <c r="Q513" t="n">
        <v>0</v>
      </c>
      <c r="R513" s="2" t="inlineStr"/>
    </row>
    <row r="514" ht="15" customHeight="1">
      <c r="A514" t="inlineStr">
        <is>
          <t>A 61732-2021</t>
        </is>
      </c>
      <c r="B514" s="1" t="n">
        <v>44498</v>
      </c>
      <c r="C514" s="1" t="n">
        <v>45917</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41972-2024</t>
        </is>
      </c>
      <c r="B515" s="1" t="n">
        <v>45561.61515046296</v>
      </c>
      <c r="C515" s="1" t="n">
        <v>45917</v>
      </c>
      <c r="D515" t="inlineStr">
        <is>
          <t>JÄMTLANDS LÄN</t>
        </is>
      </c>
      <c r="E515" t="inlineStr">
        <is>
          <t>KROKOM</t>
        </is>
      </c>
      <c r="G515" t="n">
        <v>1.2</v>
      </c>
      <c r="H515" t="n">
        <v>0</v>
      </c>
      <c r="I515" t="n">
        <v>0</v>
      </c>
      <c r="J515" t="n">
        <v>0</v>
      </c>
      <c r="K515" t="n">
        <v>0</v>
      </c>
      <c r="L515" t="n">
        <v>0</v>
      </c>
      <c r="M515" t="n">
        <v>0</v>
      </c>
      <c r="N515" t="n">
        <v>0</v>
      </c>
      <c r="O515" t="n">
        <v>0</v>
      </c>
      <c r="P515" t="n">
        <v>0</v>
      </c>
      <c r="Q515" t="n">
        <v>0</v>
      </c>
      <c r="R515" s="2" t="inlineStr"/>
    </row>
    <row r="516" ht="15" customHeight="1">
      <c r="A516" t="inlineStr">
        <is>
          <t>A 1877-2023</t>
        </is>
      </c>
      <c r="B516" s="1" t="n">
        <v>44938.93989583333</v>
      </c>
      <c r="C516" s="1" t="n">
        <v>45917</v>
      </c>
      <c r="D516" t="inlineStr">
        <is>
          <t>JÄMTLANDS LÄN</t>
        </is>
      </c>
      <c r="E516" t="inlineStr">
        <is>
          <t>KROKOM</t>
        </is>
      </c>
      <c r="G516" t="n">
        <v>11.1</v>
      </c>
      <c r="H516" t="n">
        <v>0</v>
      </c>
      <c r="I516" t="n">
        <v>0</v>
      </c>
      <c r="J516" t="n">
        <v>0</v>
      </c>
      <c r="K516" t="n">
        <v>0</v>
      </c>
      <c r="L516" t="n">
        <v>0</v>
      </c>
      <c r="M516" t="n">
        <v>0</v>
      </c>
      <c r="N516" t="n">
        <v>0</v>
      </c>
      <c r="O516" t="n">
        <v>0</v>
      </c>
      <c r="P516" t="n">
        <v>0</v>
      </c>
      <c r="Q516" t="n">
        <v>0</v>
      </c>
      <c r="R516" s="2" t="inlineStr"/>
    </row>
    <row r="517" ht="15" customHeight="1">
      <c r="A517" t="inlineStr">
        <is>
          <t>A 46753-2022</t>
        </is>
      </c>
      <c r="B517" s="1" t="n">
        <v>44847</v>
      </c>
      <c r="C517" s="1" t="n">
        <v>45917</v>
      </c>
      <c r="D517" t="inlineStr">
        <is>
          <t>JÄMTLANDS LÄN</t>
        </is>
      </c>
      <c r="E517" t="inlineStr">
        <is>
          <t>KROKOM</t>
        </is>
      </c>
      <c r="G517" t="n">
        <v>0.5</v>
      </c>
      <c r="H517" t="n">
        <v>0</v>
      </c>
      <c r="I517" t="n">
        <v>0</v>
      </c>
      <c r="J517" t="n">
        <v>0</v>
      </c>
      <c r="K517" t="n">
        <v>0</v>
      </c>
      <c r="L517" t="n">
        <v>0</v>
      </c>
      <c r="M517" t="n">
        <v>0</v>
      </c>
      <c r="N517" t="n">
        <v>0</v>
      </c>
      <c r="O517" t="n">
        <v>0</v>
      </c>
      <c r="P517" t="n">
        <v>0</v>
      </c>
      <c r="Q517" t="n">
        <v>0</v>
      </c>
      <c r="R517" s="2" t="inlineStr"/>
    </row>
    <row r="518" ht="15" customHeight="1">
      <c r="A518" t="inlineStr">
        <is>
          <t>A 46761-2022</t>
        </is>
      </c>
      <c r="B518" s="1" t="n">
        <v>44847</v>
      </c>
      <c r="C518" s="1" t="n">
        <v>45917</v>
      </c>
      <c r="D518" t="inlineStr">
        <is>
          <t>JÄMTLANDS LÄN</t>
        </is>
      </c>
      <c r="E518" t="inlineStr">
        <is>
          <t>KROKOM</t>
        </is>
      </c>
      <c r="G518" t="n">
        <v>0.2</v>
      </c>
      <c r="H518" t="n">
        <v>0</v>
      </c>
      <c r="I518" t="n">
        <v>0</v>
      </c>
      <c r="J518" t="n">
        <v>0</v>
      </c>
      <c r="K518" t="n">
        <v>0</v>
      </c>
      <c r="L518" t="n">
        <v>0</v>
      </c>
      <c r="M518" t="n">
        <v>0</v>
      </c>
      <c r="N518" t="n">
        <v>0</v>
      </c>
      <c r="O518" t="n">
        <v>0</v>
      </c>
      <c r="P518" t="n">
        <v>0</v>
      </c>
      <c r="Q518" t="n">
        <v>0</v>
      </c>
      <c r="R518" s="2" t="inlineStr"/>
    </row>
    <row r="519" ht="15" customHeight="1">
      <c r="A519" t="inlineStr">
        <is>
          <t>A 48417-2022</t>
        </is>
      </c>
      <c r="B519" s="1" t="n">
        <v>44858</v>
      </c>
      <c r="C519" s="1" t="n">
        <v>45917</v>
      </c>
      <c r="D519" t="inlineStr">
        <is>
          <t>JÄMTLANDS LÄN</t>
        </is>
      </c>
      <c r="E519" t="inlineStr">
        <is>
          <t>KROKOM</t>
        </is>
      </c>
      <c r="G519" t="n">
        <v>2.7</v>
      </c>
      <c r="H519" t="n">
        <v>0</v>
      </c>
      <c r="I519" t="n">
        <v>0</v>
      </c>
      <c r="J519" t="n">
        <v>0</v>
      </c>
      <c r="K519" t="n">
        <v>0</v>
      </c>
      <c r="L519" t="n">
        <v>0</v>
      </c>
      <c r="M519" t="n">
        <v>0</v>
      </c>
      <c r="N519" t="n">
        <v>0</v>
      </c>
      <c r="O519" t="n">
        <v>0</v>
      </c>
      <c r="P519" t="n">
        <v>0</v>
      </c>
      <c r="Q519" t="n">
        <v>0</v>
      </c>
      <c r="R519" s="2" t="inlineStr"/>
    </row>
    <row r="520" ht="15" customHeight="1">
      <c r="A520" t="inlineStr">
        <is>
          <t>A 6711-2025</t>
        </is>
      </c>
      <c r="B520" s="1" t="n">
        <v>45700.56194444445</v>
      </c>
      <c r="C520" s="1" t="n">
        <v>45917</v>
      </c>
      <c r="D520" t="inlineStr">
        <is>
          <t>JÄMTLANDS LÄN</t>
        </is>
      </c>
      <c r="E520" t="inlineStr">
        <is>
          <t>KROKOM</t>
        </is>
      </c>
      <c r="F520" t="inlineStr">
        <is>
          <t>Övriga Aktiebolag</t>
        </is>
      </c>
      <c r="G520" t="n">
        <v>37.6</v>
      </c>
      <c r="H520" t="n">
        <v>0</v>
      </c>
      <c r="I520" t="n">
        <v>0</v>
      </c>
      <c r="J520" t="n">
        <v>0</v>
      </c>
      <c r="K520" t="n">
        <v>0</v>
      </c>
      <c r="L520" t="n">
        <v>0</v>
      </c>
      <c r="M520" t="n">
        <v>0</v>
      </c>
      <c r="N520" t="n">
        <v>0</v>
      </c>
      <c r="O520" t="n">
        <v>0</v>
      </c>
      <c r="P520" t="n">
        <v>0</v>
      </c>
      <c r="Q520" t="n">
        <v>0</v>
      </c>
      <c r="R520" s="2" t="inlineStr"/>
    </row>
    <row r="521" ht="15" customHeight="1">
      <c r="A521" t="inlineStr">
        <is>
          <t>A 16199-2025</t>
        </is>
      </c>
      <c r="B521" s="1" t="n">
        <v>45750.60577546297</v>
      </c>
      <c r="C521" s="1" t="n">
        <v>45917</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63960-2023</t>
        </is>
      </c>
      <c r="B522" s="1" t="n">
        <v>45278.65582175926</v>
      </c>
      <c r="C522" s="1" t="n">
        <v>45917</v>
      </c>
      <c r="D522" t="inlineStr">
        <is>
          <t>JÄMTLANDS LÄN</t>
        </is>
      </c>
      <c r="E522" t="inlineStr">
        <is>
          <t>KROKOM</t>
        </is>
      </c>
      <c r="G522" t="n">
        <v>0.7</v>
      </c>
      <c r="H522" t="n">
        <v>0</v>
      </c>
      <c r="I522" t="n">
        <v>0</v>
      </c>
      <c r="J522" t="n">
        <v>0</v>
      </c>
      <c r="K522" t="n">
        <v>0</v>
      </c>
      <c r="L522" t="n">
        <v>0</v>
      </c>
      <c r="M522" t="n">
        <v>0</v>
      </c>
      <c r="N522" t="n">
        <v>0</v>
      </c>
      <c r="O522" t="n">
        <v>0</v>
      </c>
      <c r="P522" t="n">
        <v>0</v>
      </c>
      <c r="Q522" t="n">
        <v>0</v>
      </c>
      <c r="R522" s="2" t="inlineStr"/>
    </row>
    <row r="523" ht="15" customHeight="1">
      <c r="A523" t="inlineStr">
        <is>
          <t>A 36588-2025</t>
        </is>
      </c>
      <c r="B523" s="1" t="n">
        <v>45870</v>
      </c>
      <c r="C523" s="1" t="n">
        <v>45917</v>
      </c>
      <c r="D523" t="inlineStr">
        <is>
          <t>JÄMTLANDS LÄN</t>
        </is>
      </c>
      <c r="E523" t="inlineStr">
        <is>
          <t>KROKOM</t>
        </is>
      </c>
      <c r="G523" t="n">
        <v>2</v>
      </c>
      <c r="H523" t="n">
        <v>0</v>
      </c>
      <c r="I523" t="n">
        <v>0</v>
      </c>
      <c r="J523" t="n">
        <v>0</v>
      </c>
      <c r="K523" t="n">
        <v>0</v>
      </c>
      <c r="L523" t="n">
        <v>0</v>
      </c>
      <c r="M523" t="n">
        <v>0</v>
      </c>
      <c r="N523" t="n">
        <v>0</v>
      </c>
      <c r="O523" t="n">
        <v>0</v>
      </c>
      <c r="P523" t="n">
        <v>0</v>
      </c>
      <c r="Q523" t="n">
        <v>0</v>
      </c>
      <c r="R523" s="2" t="inlineStr"/>
    </row>
    <row r="524" ht="15" customHeight="1">
      <c r="A524" t="inlineStr">
        <is>
          <t>A 44156-2024</t>
        </is>
      </c>
      <c r="B524" s="1" t="n">
        <v>45572</v>
      </c>
      <c r="C524" s="1" t="n">
        <v>45917</v>
      </c>
      <c r="D524" t="inlineStr">
        <is>
          <t>JÄMTLANDS LÄN</t>
        </is>
      </c>
      <c r="E524" t="inlineStr">
        <is>
          <t>KROKOM</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26228-2024</t>
        </is>
      </c>
      <c r="B525" s="1" t="n">
        <v>45467</v>
      </c>
      <c r="C525" s="1" t="n">
        <v>45917</v>
      </c>
      <c r="D525" t="inlineStr">
        <is>
          <t>JÄMTLANDS LÄN</t>
        </is>
      </c>
      <c r="E525" t="inlineStr">
        <is>
          <t>KROKOM</t>
        </is>
      </c>
      <c r="G525" t="n">
        <v>12</v>
      </c>
      <c r="H525" t="n">
        <v>0</v>
      </c>
      <c r="I525" t="n">
        <v>0</v>
      </c>
      <c r="J525" t="n">
        <v>0</v>
      </c>
      <c r="K525" t="n">
        <v>0</v>
      </c>
      <c r="L525" t="n">
        <v>0</v>
      </c>
      <c r="M525" t="n">
        <v>0</v>
      </c>
      <c r="N525" t="n">
        <v>0</v>
      </c>
      <c r="O525" t="n">
        <v>0</v>
      </c>
      <c r="P525" t="n">
        <v>0</v>
      </c>
      <c r="Q525" t="n">
        <v>0</v>
      </c>
      <c r="R525" s="2" t="inlineStr"/>
    </row>
    <row r="526" ht="15" customHeight="1">
      <c r="A526" t="inlineStr">
        <is>
          <t>A 30175-2025</t>
        </is>
      </c>
      <c r="B526" s="1" t="n">
        <v>45827.34488425926</v>
      </c>
      <c r="C526" s="1" t="n">
        <v>45917</v>
      </c>
      <c r="D526" t="inlineStr">
        <is>
          <t>JÄMTLANDS LÄN</t>
        </is>
      </c>
      <c r="E526" t="inlineStr">
        <is>
          <t>KROKOM</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42369-2023</t>
        </is>
      </c>
      <c r="B527" s="1" t="n">
        <v>45180</v>
      </c>
      <c r="C527" s="1" t="n">
        <v>45917</v>
      </c>
      <c r="D527" t="inlineStr">
        <is>
          <t>JÄMTLANDS LÄN</t>
        </is>
      </c>
      <c r="E527" t="inlineStr">
        <is>
          <t>KROKOM</t>
        </is>
      </c>
      <c r="F527" t="inlineStr">
        <is>
          <t>Övriga Aktiebolag</t>
        </is>
      </c>
      <c r="G527" t="n">
        <v>0.2</v>
      </c>
      <c r="H527" t="n">
        <v>0</v>
      </c>
      <c r="I527" t="n">
        <v>0</v>
      </c>
      <c r="J527" t="n">
        <v>0</v>
      </c>
      <c r="K527" t="n">
        <v>0</v>
      </c>
      <c r="L527" t="n">
        <v>0</v>
      </c>
      <c r="M527" t="n">
        <v>0</v>
      </c>
      <c r="N527" t="n">
        <v>0</v>
      </c>
      <c r="O527" t="n">
        <v>0</v>
      </c>
      <c r="P527" t="n">
        <v>0</v>
      </c>
      <c r="Q527" t="n">
        <v>0</v>
      </c>
      <c r="R527" s="2" t="inlineStr"/>
    </row>
    <row r="528" ht="15" customHeight="1">
      <c r="A528" t="inlineStr">
        <is>
          <t>A 18556-2025</t>
        </is>
      </c>
      <c r="B528" s="1" t="n">
        <v>45763.44112268519</v>
      </c>
      <c r="C528" s="1" t="n">
        <v>45917</v>
      </c>
      <c r="D528" t="inlineStr">
        <is>
          <t>JÄMTLANDS LÄN</t>
        </is>
      </c>
      <c r="E528" t="inlineStr">
        <is>
          <t>KROKOM</t>
        </is>
      </c>
      <c r="G528" t="n">
        <v>7.8</v>
      </c>
      <c r="H528" t="n">
        <v>0</v>
      </c>
      <c r="I528" t="n">
        <v>0</v>
      </c>
      <c r="J528" t="n">
        <v>0</v>
      </c>
      <c r="K528" t="n">
        <v>0</v>
      </c>
      <c r="L528" t="n">
        <v>0</v>
      </c>
      <c r="M528" t="n">
        <v>0</v>
      </c>
      <c r="N528" t="n">
        <v>0</v>
      </c>
      <c r="O528" t="n">
        <v>0</v>
      </c>
      <c r="P528" t="n">
        <v>0</v>
      </c>
      <c r="Q528" t="n">
        <v>0</v>
      </c>
      <c r="R528" s="2" t="inlineStr"/>
    </row>
    <row r="529" ht="15" customHeight="1">
      <c r="A529" t="inlineStr">
        <is>
          <t>A 4575-2025</t>
        </is>
      </c>
      <c r="B529" s="1" t="n">
        <v>45687.48931712963</v>
      </c>
      <c r="C529" s="1" t="n">
        <v>45917</v>
      </c>
      <c r="D529" t="inlineStr">
        <is>
          <t>JÄMTLANDS LÄN</t>
        </is>
      </c>
      <c r="E529" t="inlineStr">
        <is>
          <t>KROKOM</t>
        </is>
      </c>
      <c r="G529" t="n">
        <v>0.7</v>
      </c>
      <c r="H529" t="n">
        <v>0</v>
      </c>
      <c r="I529" t="n">
        <v>0</v>
      </c>
      <c r="J529" t="n">
        <v>0</v>
      </c>
      <c r="K529" t="n">
        <v>0</v>
      </c>
      <c r="L529" t="n">
        <v>0</v>
      </c>
      <c r="M529" t="n">
        <v>0</v>
      </c>
      <c r="N529" t="n">
        <v>0</v>
      </c>
      <c r="O529" t="n">
        <v>0</v>
      </c>
      <c r="P529" t="n">
        <v>0</v>
      </c>
      <c r="Q529" t="n">
        <v>0</v>
      </c>
      <c r="R529" s="2" t="inlineStr"/>
    </row>
    <row r="530" ht="15" customHeight="1">
      <c r="A530" t="inlineStr">
        <is>
          <t>A 42774-2024</t>
        </is>
      </c>
      <c r="B530" s="1" t="n">
        <v>45566.51501157408</v>
      </c>
      <c r="C530" s="1" t="n">
        <v>45917</v>
      </c>
      <c r="D530" t="inlineStr">
        <is>
          <t>JÄMTLANDS LÄN</t>
        </is>
      </c>
      <c r="E530" t="inlineStr">
        <is>
          <t>KROKOM</t>
        </is>
      </c>
      <c r="G530" t="n">
        <v>32</v>
      </c>
      <c r="H530" t="n">
        <v>0</v>
      </c>
      <c r="I530" t="n">
        <v>0</v>
      </c>
      <c r="J530" t="n">
        <v>0</v>
      </c>
      <c r="K530" t="n">
        <v>0</v>
      </c>
      <c r="L530" t="n">
        <v>0</v>
      </c>
      <c r="M530" t="n">
        <v>0</v>
      </c>
      <c r="N530" t="n">
        <v>0</v>
      </c>
      <c r="O530" t="n">
        <v>0</v>
      </c>
      <c r="P530" t="n">
        <v>0</v>
      </c>
      <c r="Q530" t="n">
        <v>0</v>
      </c>
      <c r="R530" s="2" t="inlineStr"/>
    </row>
    <row r="531" ht="15" customHeight="1">
      <c r="A531" t="inlineStr">
        <is>
          <t>A 31550-2023</t>
        </is>
      </c>
      <c r="B531" s="1" t="n">
        <v>45117</v>
      </c>
      <c r="C531" s="1" t="n">
        <v>45917</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16225-2025</t>
        </is>
      </c>
      <c r="B532" s="1" t="n">
        <v>45750.6447800926</v>
      </c>
      <c r="C532" s="1" t="n">
        <v>45917</v>
      </c>
      <c r="D532" t="inlineStr">
        <is>
          <t>JÄMTLANDS LÄN</t>
        </is>
      </c>
      <c r="E532" t="inlineStr">
        <is>
          <t>KROKOM</t>
        </is>
      </c>
      <c r="F532" t="inlineStr">
        <is>
          <t>Övriga Aktiebolag</t>
        </is>
      </c>
      <c r="G532" t="n">
        <v>11.5</v>
      </c>
      <c r="H532" t="n">
        <v>0</v>
      </c>
      <c r="I532" t="n">
        <v>0</v>
      </c>
      <c r="J532" t="n">
        <v>0</v>
      </c>
      <c r="K532" t="n">
        <v>0</v>
      </c>
      <c r="L532" t="n">
        <v>0</v>
      </c>
      <c r="M532" t="n">
        <v>0</v>
      </c>
      <c r="N532" t="n">
        <v>0</v>
      </c>
      <c r="O532" t="n">
        <v>0</v>
      </c>
      <c r="P532" t="n">
        <v>0</v>
      </c>
      <c r="Q532" t="n">
        <v>0</v>
      </c>
      <c r="R532" s="2" t="inlineStr"/>
    </row>
    <row r="533" ht="15" customHeight="1">
      <c r="A533" t="inlineStr">
        <is>
          <t>A 17510-2025</t>
        </is>
      </c>
      <c r="B533" s="1" t="n">
        <v>45757.56491898148</v>
      </c>
      <c r="C533" s="1" t="n">
        <v>45917</v>
      </c>
      <c r="D533" t="inlineStr">
        <is>
          <t>JÄMTLANDS LÄN</t>
        </is>
      </c>
      <c r="E533" t="inlineStr">
        <is>
          <t>KROKOM</t>
        </is>
      </c>
      <c r="G533" t="n">
        <v>3.1</v>
      </c>
      <c r="H533" t="n">
        <v>0</v>
      </c>
      <c r="I533" t="n">
        <v>0</v>
      </c>
      <c r="J533" t="n">
        <v>0</v>
      </c>
      <c r="K533" t="n">
        <v>0</v>
      </c>
      <c r="L533" t="n">
        <v>0</v>
      </c>
      <c r="M533" t="n">
        <v>0</v>
      </c>
      <c r="N533" t="n">
        <v>0</v>
      </c>
      <c r="O533" t="n">
        <v>0</v>
      </c>
      <c r="P533" t="n">
        <v>0</v>
      </c>
      <c r="Q533" t="n">
        <v>0</v>
      </c>
      <c r="R533" s="2" t="inlineStr"/>
    </row>
    <row r="534" ht="15" customHeight="1">
      <c r="A534" t="inlineStr">
        <is>
          <t>A 1287-2021</t>
        </is>
      </c>
      <c r="B534" s="1" t="n">
        <v>44207</v>
      </c>
      <c r="C534" s="1" t="n">
        <v>45917</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19635-2024</t>
        </is>
      </c>
      <c r="B535" s="1" t="n">
        <v>45432.36971064815</v>
      </c>
      <c r="C535" s="1" t="n">
        <v>45917</v>
      </c>
      <c r="D535" t="inlineStr">
        <is>
          <t>JÄMTLANDS LÄN</t>
        </is>
      </c>
      <c r="E535" t="inlineStr">
        <is>
          <t>KROKOM</t>
        </is>
      </c>
      <c r="G535" t="n">
        <v>14.5</v>
      </c>
      <c r="H535" t="n">
        <v>0</v>
      </c>
      <c r="I535" t="n">
        <v>0</v>
      </c>
      <c r="J535" t="n">
        <v>0</v>
      </c>
      <c r="K535" t="n">
        <v>0</v>
      </c>
      <c r="L535" t="n">
        <v>0</v>
      </c>
      <c r="M535" t="n">
        <v>0</v>
      </c>
      <c r="N535" t="n">
        <v>0</v>
      </c>
      <c r="O535" t="n">
        <v>0</v>
      </c>
      <c r="P535" t="n">
        <v>0</v>
      </c>
      <c r="Q535" t="n">
        <v>0</v>
      </c>
      <c r="R535" s="2" t="inlineStr"/>
    </row>
    <row r="536" ht="15" customHeight="1">
      <c r="A536" t="inlineStr">
        <is>
          <t>A 22411-2024</t>
        </is>
      </c>
      <c r="B536" s="1" t="n">
        <v>45446.68733796296</v>
      </c>
      <c r="C536" s="1" t="n">
        <v>45917</v>
      </c>
      <c r="D536" t="inlineStr">
        <is>
          <t>JÄMTLANDS LÄN</t>
        </is>
      </c>
      <c r="E536" t="inlineStr">
        <is>
          <t>KROKOM</t>
        </is>
      </c>
      <c r="F536" t="inlineStr">
        <is>
          <t>Övriga Aktiebolag</t>
        </is>
      </c>
      <c r="G536" t="n">
        <v>18</v>
      </c>
      <c r="H536" t="n">
        <v>0</v>
      </c>
      <c r="I536" t="n">
        <v>0</v>
      </c>
      <c r="J536" t="n">
        <v>0</v>
      </c>
      <c r="K536" t="n">
        <v>0</v>
      </c>
      <c r="L536" t="n">
        <v>0</v>
      </c>
      <c r="M536" t="n">
        <v>0</v>
      </c>
      <c r="N536" t="n">
        <v>0</v>
      </c>
      <c r="O536" t="n">
        <v>0</v>
      </c>
      <c r="P536" t="n">
        <v>0</v>
      </c>
      <c r="Q536" t="n">
        <v>0</v>
      </c>
      <c r="R536" s="2" t="inlineStr"/>
    </row>
    <row r="537" ht="15" customHeight="1">
      <c r="A537" t="inlineStr">
        <is>
          <t>A 31026-2025</t>
        </is>
      </c>
      <c r="B537" s="1" t="n">
        <v>45832</v>
      </c>
      <c r="C537" s="1" t="n">
        <v>45917</v>
      </c>
      <c r="D537" t="inlineStr">
        <is>
          <t>JÄMTLANDS LÄN</t>
        </is>
      </c>
      <c r="E537" t="inlineStr">
        <is>
          <t>KROKOM</t>
        </is>
      </c>
      <c r="G537" t="n">
        <v>2.2</v>
      </c>
      <c r="H537" t="n">
        <v>0</v>
      </c>
      <c r="I537" t="n">
        <v>0</v>
      </c>
      <c r="J537" t="n">
        <v>0</v>
      </c>
      <c r="K537" t="n">
        <v>0</v>
      </c>
      <c r="L537" t="n">
        <v>0</v>
      </c>
      <c r="M537" t="n">
        <v>0</v>
      </c>
      <c r="N537" t="n">
        <v>0</v>
      </c>
      <c r="O537" t="n">
        <v>0</v>
      </c>
      <c r="P537" t="n">
        <v>0</v>
      </c>
      <c r="Q537" t="n">
        <v>0</v>
      </c>
      <c r="R537" s="2" t="inlineStr"/>
    </row>
    <row r="538" ht="15" customHeight="1">
      <c r="A538" t="inlineStr">
        <is>
          <t>A 15885-2023</t>
        </is>
      </c>
      <c r="B538" s="1" t="n">
        <v>45022</v>
      </c>
      <c r="C538" s="1" t="n">
        <v>45917</v>
      </c>
      <c r="D538" t="inlineStr">
        <is>
          <t>JÄMTLANDS LÄN</t>
        </is>
      </c>
      <c r="E538" t="inlineStr">
        <is>
          <t>KROKOM</t>
        </is>
      </c>
      <c r="G538" t="n">
        <v>2.3</v>
      </c>
      <c r="H538" t="n">
        <v>0</v>
      </c>
      <c r="I538" t="n">
        <v>0</v>
      </c>
      <c r="J538" t="n">
        <v>0</v>
      </c>
      <c r="K538" t="n">
        <v>0</v>
      </c>
      <c r="L538" t="n">
        <v>0</v>
      </c>
      <c r="M538" t="n">
        <v>0</v>
      </c>
      <c r="N538" t="n">
        <v>0</v>
      </c>
      <c r="O538" t="n">
        <v>0</v>
      </c>
      <c r="P538" t="n">
        <v>0</v>
      </c>
      <c r="Q538" t="n">
        <v>0</v>
      </c>
      <c r="R538" s="2" t="inlineStr"/>
    </row>
    <row r="539" ht="15" customHeight="1">
      <c r="A539" t="inlineStr">
        <is>
          <t>A 30890-2025</t>
        </is>
      </c>
      <c r="B539" s="1" t="n">
        <v>45832.34630787037</v>
      </c>
      <c r="C539" s="1" t="n">
        <v>45917</v>
      </c>
      <c r="D539" t="inlineStr">
        <is>
          <t>JÄMTLANDS LÄN</t>
        </is>
      </c>
      <c r="E539" t="inlineStr">
        <is>
          <t>KROKOM</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31032-2025</t>
        </is>
      </c>
      <c r="B540" s="1" t="n">
        <v>45832.53935185185</v>
      </c>
      <c r="C540" s="1" t="n">
        <v>45917</v>
      </c>
      <c r="D540" t="inlineStr">
        <is>
          <t>JÄMTLANDS LÄN</t>
        </is>
      </c>
      <c r="E540" t="inlineStr">
        <is>
          <t>KROKOM</t>
        </is>
      </c>
      <c r="F540" t="inlineStr">
        <is>
          <t>Övriga Aktiebolag</t>
        </is>
      </c>
      <c r="G540" t="n">
        <v>1.6</v>
      </c>
      <c r="H540" t="n">
        <v>0</v>
      </c>
      <c r="I540" t="n">
        <v>0</v>
      </c>
      <c r="J540" t="n">
        <v>0</v>
      </c>
      <c r="K540" t="n">
        <v>0</v>
      </c>
      <c r="L540" t="n">
        <v>0</v>
      </c>
      <c r="M540" t="n">
        <v>0</v>
      </c>
      <c r="N540" t="n">
        <v>0</v>
      </c>
      <c r="O540" t="n">
        <v>0</v>
      </c>
      <c r="P540" t="n">
        <v>0</v>
      </c>
      <c r="Q540" t="n">
        <v>0</v>
      </c>
      <c r="R540" s="2" t="inlineStr"/>
    </row>
    <row r="541" ht="15" customHeight="1">
      <c r="A541" t="inlineStr">
        <is>
          <t>A 31027-2025</t>
        </is>
      </c>
      <c r="B541" s="1" t="n">
        <v>45832.53225694445</v>
      </c>
      <c r="C541" s="1" t="n">
        <v>45917</v>
      </c>
      <c r="D541" t="inlineStr">
        <is>
          <t>JÄMTLANDS LÄN</t>
        </is>
      </c>
      <c r="E541" t="inlineStr">
        <is>
          <t>KROKOM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60102-2023</t>
        </is>
      </c>
      <c r="B542" s="1" t="n">
        <v>45257</v>
      </c>
      <c r="C542" s="1" t="n">
        <v>45917</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7763-2024</t>
        </is>
      </c>
      <c r="B543" s="1" t="n">
        <v>45348</v>
      </c>
      <c r="C543" s="1" t="n">
        <v>45917</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61675-2022</t>
        </is>
      </c>
      <c r="B544" s="1" t="n">
        <v>44911</v>
      </c>
      <c r="C544" s="1" t="n">
        <v>45917</v>
      </c>
      <c r="D544" t="inlineStr">
        <is>
          <t>JÄMTLANDS LÄN</t>
        </is>
      </c>
      <c r="E544" t="inlineStr">
        <is>
          <t>KROKOM</t>
        </is>
      </c>
      <c r="G544" t="n">
        <v>2.6</v>
      </c>
      <c r="H544" t="n">
        <v>0</v>
      </c>
      <c r="I544" t="n">
        <v>0</v>
      </c>
      <c r="J544" t="n">
        <v>0</v>
      </c>
      <c r="K544" t="n">
        <v>0</v>
      </c>
      <c r="L544" t="n">
        <v>0</v>
      </c>
      <c r="M544" t="n">
        <v>0</v>
      </c>
      <c r="N544" t="n">
        <v>0</v>
      </c>
      <c r="O544" t="n">
        <v>0</v>
      </c>
      <c r="P544" t="n">
        <v>0</v>
      </c>
      <c r="Q544" t="n">
        <v>0</v>
      </c>
      <c r="R544" s="2" t="inlineStr"/>
    </row>
    <row r="545" ht="15" customHeight="1">
      <c r="A545" t="inlineStr">
        <is>
          <t>A 50433-2024</t>
        </is>
      </c>
      <c r="B545" s="1" t="n">
        <v>45601</v>
      </c>
      <c r="C545" s="1" t="n">
        <v>45917</v>
      </c>
      <c r="D545" t="inlineStr">
        <is>
          <t>JÄMTLANDS LÄN</t>
        </is>
      </c>
      <c r="E545" t="inlineStr">
        <is>
          <t>KROKOM</t>
        </is>
      </c>
      <c r="G545" t="n">
        <v>25</v>
      </c>
      <c r="H545" t="n">
        <v>0</v>
      </c>
      <c r="I545" t="n">
        <v>0</v>
      </c>
      <c r="J545" t="n">
        <v>0</v>
      </c>
      <c r="K545" t="n">
        <v>0</v>
      </c>
      <c r="L545" t="n">
        <v>0</v>
      </c>
      <c r="M545" t="n">
        <v>0</v>
      </c>
      <c r="N545" t="n">
        <v>0</v>
      </c>
      <c r="O545" t="n">
        <v>0</v>
      </c>
      <c r="P545" t="n">
        <v>0</v>
      </c>
      <c r="Q545" t="n">
        <v>0</v>
      </c>
      <c r="R545" s="2" t="inlineStr"/>
    </row>
    <row r="546" ht="15" customHeight="1">
      <c r="A546" t="inlineStr">
        <is>
          <t>A 54160-2023</t>
        </is>
      </c>
      <c r="B546" s="1" t="n">
        <v>45232.46239583333</v>
      </c>
      <c r="C546" s="1" t="n">
        <v>45917</v>
      </c>
      <c r="D546" t="inlineStr">
        <is>
          <t>JÄMTLANDS LÄN</t>
        </is>
      </c>
      <c r="E546" t="inlineStr">
        <is>
          <t>KROKOM</t>
        </is>
      </c>
      <c r="G546" t="n">
        <v>3</v>
      </c>
      <c r="H546" t="n">
        <v>0</v>
      </c>
      <c r="I546" t="n">
        <v>0</v>
      </c>
      <c r="J546" t="n">
        <v>0</v>
      </c>
      <c r="K546" t="n">
        <v>0</v>
      </c>
      <c r="L546" t="n">
        <v>0</v>
      </c>
      <c r="M546" t="n">
        <v>0</v>
      </c>
      <c r="N546" t="n">
        <v>0</v>
      </c>
      <c r="O546" t="n">
        <v>0</v>
      </c>
      <c r="P546" t="n">
        <v>0</v>
      </c>
      <c r="Q546" t="n">
        <v>0</v>
      </c>
      <c r="R546" s="2" t="inlineStr"/>
    </row>
    <row r="547" ht="15" customHeight="1">
      <c r="A547" t="inlineStr">
        <is>
          <t>A 39753-2024</t>
        </is>
      </c>
      <c r="B547" s="1" t="n">
        <v>45552.67611111111</v>
      </c>
      <c r="C547" s="1" t="n">
        <v>45917</v>
      </c>
      <c r="D547" t="inlineStr">
        <is>
          <t>JÄMTLANDS LÄN</t>
        </is>
      </c>
      <c r="E547" t="inlineStr">
        <is>
          <t>KROKOM</t>
        </is>
      </c>
      <c r="G547" t="n">
        <v>1</v>
      </c>
      <c r="H547" t="n">
        <v>0</v>
      </c>
      <c r="I547" t="n">
        <v>0</v>
      </c>
      <c r="J547" t="n">
        <v>0</v>
      </c>
      <c r="K547" t="n">
        <v>0</v>
      </c>
      <c r="L547" t="n">
        <v>0</v>
      </c>
      <c r="M547" t="n">
        <v>0</v>
      </c>
      <c r="N547" t="n">
        <v>0</v>
      </c>
      <c r="O547" t="n">
        <v>0</v>
      </c>
      <c r="P547" t="n">
        <v>0</v>
      </c>
      <c r="Q547" t="n">
        <v>0</v>
      </c>
      <c r="R547" s="2" t="inlineStr"/>
    </row>
    <row r="548" ht="15" customHeight="1">
      <c r="A548" t="inlineStr">
        <is>
          <t>A 28067-2023</t>
        </is>
      </c>
      <c r="B548" s="1" t="n">
        <v>45099.37211805556</v>
      </c>
      <c r="C548" s="1" t="n">
        <v>45917</v>
      </c>
      <c r="D548" t="inlineStr">
        <is>
          <t>JÄMTLANDS LÄN</t>
        </is>
      </c>
      <c r="E548" t="inlineStr">
        <is>
          <t>KROKOM</t>
        </is>
      </c>
      <c r="G548" t="n">
        <v>2.8</v>
      </c>
      <c r="H548" t="n">
        <v>0</v>
      </c>
      <c r="I548" t="n">
        <v>0</v>
      </c>
      <c r="J548" t="n">
        <v>0</v>
      </c>
      <c r="K548" t="n">
        <v>0</v>
      </c>
      <c r="L548" t="n">
        <v>0</v>
      </c>
      <c r="M548" t="n">
        <v>0</v>
      </c>
      <c r="N548" t="n">
        <v>0</v>
      </c>
      <c r="O548" t="n">
        <v>0</v>
      </c>
      <c r="P548" t="n">
        <v>0</v>
      </c>
      <c r="Q548" t="n">
        <v>0</v>
      </c>
      <c r="R548" s="2" t="inlineStr"/>
    </row>
    <row r="549" ht="15" customHeight="1">
      <c r="A549" t="inlineStr">
        <is>
          <t>A 37111-2025</t>
        </is>
      </c>
      <c r="B549" s="1" t="n">
        <v>45875.51046296296</v>
      </c>
      <c r="C549" s="1" t="n">
        <v>45917</v>
      </c>
      <c r="D549" t="inlineStr">
        <is>
          <t>JÄMTLANDS LÄN</t>
        </is>
      </c>
      <c r="E549" t="inlineStr">
        <is>
          <t>KROKOM</t>
        </is>
      </c>
      <c r="G549" t="n">
        <v>8.1</v>
      </c>
      <c r="H549" t="n">
        <v>0</v>
      </c>
      <c r="I549" t="n">
        <v>0</v>
      </c>
      <c r="J549" t="n">
        <v>0</v>
      </c>
      <c r="K549" t="n">
        <v>0</v>
      </c>
      <c r="L549" t="n">
        <v>0</v>
      </c>
      <c r="M549" t="n">
        <v>0</v>
      </c>
      <c r="N549" t="n">
        <v>0</v>
      </c>
      <c r="O549" t="n">
        <v>0</v>
      </c>
      <c r="P549" t="n">
        <v>0</v>
      </c>
      <c r="Q549" t="n">
        <v>0</v>
      </c>
      <c r="R549" s="2" t="inlineStr"/>
    </row>
    <row r="550" ht="15" customHeight="1">
      <c r="A550" t="inlineStr">
        <is>
          <t>A 31277-2025</t>
        </is>
      </c>
      <c r="B550" s="1" t="n">
        <v>45833.34490740741</v>
      </c>
      <c r="C550" s="1" t="n">
        <v>45917</v>
      </c>
      <c r="D550" t="inlineStr">
        <is>
          <t>JÄMTLANDS LÄN</t>
        </is>
      </c>
      <c r="E550" t="inlineStr">
        <is>
          <t>KROKOM</t>
        </is>
      </c>
      <c r="F550" t="inlineStr">
        <is>
          <t>SCA</t>
        </is>
      </c>
      <c r="G550" t="n">
        <v>9</v>
      </c>
      <c r="H550" t="n">
        <v>0</v>
      </c>
      <c r="I550" t="n">
        <v>0</v>
      </c>
      <c r="J550" t="n">
        <v>0</v>
      </c>
      <c r="K550" t="n">
        <v>0</v>
      </c>
      <c r="L550" t="n">
        <v>0</v>
      </c>
      <c r="M550" t="n">
        <v>0</v>
      </c>
      <c r="N550" t="n">
        <v>0</v>
      </c>
      <c r="O550" t="n">
        <v>0</v>
      </c>
      <c r="P550" t="n">
        <v>0</v>
      </c>
      <c r="Q550" t="n">
        <v>0</v>
      </c>
      <c r="R550" s="2" t="inlineStr"/>
    </row>
    <row r="551" ht="15" customHeight="1">
      <c r="A551" t="inlineStr">
        <is>
          <t>A 31290-2025</t>
        </is>
      </c>
      <c r="B551" s="1" t="n">
        <v>45833.36050925926</v>
      </c>
      <c r="C551" s="1" t="n">
        <v>45917</v>
      </c>
      <c r="D551" t="inlineStr">
        <is>
          <t>JÄMTLANDS LÄN</t>
        </is>
      </c>
      <c r="E551" t="inlineStr">
        <is>
          <t>KROKOM</t>
        </is>
      </c>
      <c r="G551" t="n">
        <v>0.7</v>
      </c>
      <c r="H551" t="n">
        <v>0</v>
      </c>
      <c r="I551" t="n">
        <v>0</v>
      </c>
      <c r="J551" t="n">
        <v>0</v>
      </c>
      <c r="K551" t="n">
        <v>0</v>
      </c>
      <c r="L551" t="n">
        <v>0</v>
      </c>
      <c r="M551" t="n">
        <v>0</v>
      </c>
      <c r="N551" t="n">
        <v>0</v>
      </c>
      <c r="O551" t="n">
        <v>0</v>
      </c>
      <c r="P551" t="n">
        <v>0</v>
      </c>
      <c r="Q551" t="n">
        <v>0</v>
      </c>
      <c r="R551" s="2" t="inlineStr"/>
    </row>
    <row r="552" ht="15" customHeight="1">
      <c r="A552" t="inlineStr">
        <is>
          <t>A 31291-2025</t>
        </is>
      </c>
      <c r="B552" s="1" t="n">
        <v>45833.36083333333</v>
      </c>
      <c r="C552" s="1" t="n">
        <v>45917</v>
      </c>
      <c r="D552" t="inlineStr">
        <is>
          <t>JÄMTLANDS LÄN</t>
        </is>
      </c>
      <c r="E552" t="inlineStr">
        <is>
          <t>KROKOM</t>
        </is>
      </c>
      <c r="G552" t="n">
        <v>4.5</v>
      </c>
      <c r="H552" t="n">
        <v>0</v>
      </c>
      <c r="I552" t="n">
        <v>0</v>
      </c>
      <c r="J552" t="n">
        <v>0</v>
      </c>
      <c r="K552" t="n">
        <v>0</v>
      </c>
      <c r="L552" t="n">
        <v>0</v>
      </c>
      <c r="M552" t="n">
        <v>0</v>
      </c>
      <c r="N552" t="n">
        <v>0</v>
      </c>
      <c r="O552" t="n">
        <v>0</v>
      </c>
      <c r="P552" t="n">
        <v>0</v>
      </c>
      <c r="Q552" t="n">
        <v>0</v>
      </c>
      <c r="R552" s="2" t="inlineStr"/>
    </row>
    <row r="553" ht="15" customHeight="1">
      <c r="A553" t="inlineStr">
        <is>
          <t>A 31654-2025</t>
        </is>
      </c>
      <c r="B553" s="1" t="n">
        <v>45834.34726851852</v>
      </c>
      <c r="C553" s="1" t="n">
        <v>45917</v>
      </c>
      <c r="D553" t="inlineStr">
        <is>
          <t>JÄMTLANDS LÄN</t>
        </is>
      </c>
      <c r="E553" t="inlineStr">
        <is>
          <t>KROKOM</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55479-2022</t>
        </is>
      </c>
      <c r="B554" s="1" t="n">
        <v>44887</v>
      </c>
      <c r="C554" s="1" t="n">
        <v>45917</v>
      </c>
      <c r="D554" t="inlineStr">
        <is>
          <t>JÄMTLANDS LÄN</t>
        </is>
      </c>
      <c r="E554" t="inlineStr">
        <is>
          <t>KROKOM</t>
        </is>
      </c>
      <c r="F554" t="inlineStr">
        <is>
          <t>Övriga Aktiebolag</t>
        </is>
      </c>
      <c r="G554" t="n">
        <v>2.7</v>
      </c>
      <c r="H554" t="n">
        <v>0</v>
      </c>
      <c r="I554" t="n">
        <v>0</v>
      </c>
      <c r="J554" t="n">
        <v>0</v>
      </c>
      <c r="K554" t="n">
        <v>0</v>
      </c>
      <c r="L554" t="n">
        <v>0</v>
      </c>
      <c r="M554" t="n">
        <v>0</v>
      </c>
      <c r="N554" t="n">
        <v>0</v>
      </c>
      <c r="O554" t="n">
        <v>0</v>
      </c>
      <c r="P554" t="n">
        <v>0</v>
      </c>
      <c r="Q554" t="n">
        <v>0</v>
      </c>
      <c r="R554" s="2" t="inlineStr"/>
    </row>
    <row r="555" ht="15" customHeight="1">
      <c r="A555" t="inlineStr">
        <is>
          <t>A 42398-2024</t>
        </is>
      </c>
      <c r="B555" s="1" t="n">
        <v>45565.33152777778</v>
      </c>
      <c r="C555" s="1" t="n">
        <v>45917</v>
      </c>
      <c r="D555" t="inlineStr">
        <is>
          <t>JÄMTLANDS LÄN</t>
        </is>
      </c>
      <c r="E555" t="inlineStr">
        <is>
          <t>KROKOM</t>
        </is>
      </c>
      <c r="G555" t="n">
        <v>1.5</v>
      </c>
      <c r="H555" t="n">
        <v>0</v>
      </c>
      <c r="I555" t="n">
        <v>0</v>
      </c>
      <c r="J555" t="n">
        <v>0</v>
      </c>
      <c r="K555" t="n">
        <v>0</v>
      </c>
      <c r="L555" t="n">
        <v>0</v>
      </c>
      <c r="M555" t="n">
        <v>0</v>
      </c>
      <c r="N555" t="n">
        <v>0</v>
      </c>
      <c r="O555" t="n">
        <v>0</v>
      </c>
      <c r="P555" t="n">
        <v>0</v>
      </c>
      <c r="Q555" t="n">
        <v>0</v>
      </c>
      <c r="R555" s="2" t="inlineStr"/>
    </row>
    <row r="556" ht="15" customHeight="1">
      <c r="A556" t="inlineStr">
        <is>
          <t>A 11591-2022</t>
        </is>
      </c>
      <c r="B556" s="1" t="n">
        <v>44631</v>
      </c>
      <c r="C556" s="1" t="n">
        <v>45917</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31852-2025</t>
        </is>
      </c>
      <c r="B557" s="1" t="n">
        <v>45834.61517361111</v>
      </c>
      <c r="C557" s="1" t="n">
        <v>45917</v>
      </c>
      <c r="D557" t="inlineStr">
        <is>
          <t>JÄMTLANDS LÄN</t>
        </is>
      </c>
      <c r="E557" t="inlineStr">
        <is>
          <t>KROKOM</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34720-2023</t>
        </is>
      </c>
      <c r="B558" s="1" t="n">
        <v>45139</v>
      </c>
      <c r="C558" s="1" t="n">
        <v>45917</v>
      </c>
      <c r="D558" t="inlineStr">
        <is>
          <t>JÄMTLANDS LÄN</t>
        </is>
      </c>
      <c r="E558" t="inlineStr">
        <is>
          <t>KROKOM</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37349-2025</t>
        </is>
      </c>
      <c r="B559" s="1" t="n">
        <v>45876</v>
      </c>
      <c r="C559" s="1" t="n">
        <v>45917</v>
      </c>
      <c r="D559" t="inlineStr">
        <is>
          <t>JÄMTLANDS LÄN</t>
        </is>
      </c>
      <c r="E559" t="inlineStr">
        <is>
          <t>KROKOM</t>
        </is>
      </c>
      <c r="G559" t="n">
        <v>7.9</v>
      </c>
      <c r="H559" t="n">
        <v>0</v>
      </c>
      <c r="I559" t="n">
        <v>0</v>
      </c>
      <c r="J559" t="n">
        <v>0</v>
      </c>
      <c r="K559" t="n">
        <v>0</v>
      </c>
      <c r="L559" t="n">
        <v>0</v>
      </c>
      <c r="M559" t="n">
        <v>0</v>
      </c>
      <c r="N559" t="n">
        <v>0</v>
      </c>
      <c r="O559" t="n">
        <v>0</v>
      </c>
      <c r="P559" t="n">
        <v>0</v>
      </c>
      <c r="Q559" t="n">
        <v>0</v>
      </c>
      <c r="R559" s="2" t="inlineStr"/>
    </row>
    <row r="560" ht="15" customHeight="1">
      <c r="A560" t="inlineStr">
        <is>
          <t>A 37350-2025</t>
        </is>
      </c>
      <c r="B560" s="1" t="n">
        <v>45876</v>
      </c>
      <c r="C560" s="1" t="n">
        <v>45917</v>
      </c>
      <c r="D560" t="inlineStr">
        <is>
          <t>JÄMTLANDS LÄN</t>
        </is>
      </c>
      <c r="E560" t="inlineStr">
        <is>
          <t>KROKOM</t>
        </is>
      </c>
      <c r="G560" t="n">
        <v>29.9</v>
      </c>
      <c r="H560" t="n">
        <v>0</v>
      </c>
      <c r="I560" t="n">
        <v>0</v>
      </c>
      <c r="J560" t="n">
        <v>0</v>
      </c>
      <c r="K560" t="n">
        <v>0</v>
      </c>
      <c r="L560" t="n">
        <v>0</v>
      </c>
      <c r="M560" t="n">
        <v>0</v>
      </c>
      <c r="N560" t="n">
        <v>0</v>
      </c>
      <c r="O560" t="n">
        <v>0</v>
      </c>
      <c r="P560" t="n">
        <v>0</v>
      </c>
      <c r="Q560" t="n">
        <v>0</v>
      </c>
      <c r="R560" s="2" t="inlineStr"/>
    </row>
    <row r="561" ht="15" customHeight="1">
      <c r="A561" t="inlineStr">
        <is>
          <t>A 31292-2025</t>
        </is>
      </c>
      <c r="B561" s="1" t="n">
        <v>45833.36111111111</v>
      </c>
      <c r="C561" s="1" t="n">
        <v>45917</v>
      </c>
      <c r="D561" t="inlineStr">
        <is>
          <t>JÄMTLANDS LÄN</t>
        </is>
      </c>
      <c r="E561" t="inlineStr">
        <is>
          <t>KROKOM</t>
        </is>
      </c>
      <c r="G561" t="n">
        <v>3.3</v>
      </c>
      <c r="H561" t="n">
        <v>0</v>
      </c>
      <c r="I561" t="n">
        <v>0</v>
      </c>
      <c r="J561" t="n">
        <v>0</v>
      </c>
      <c r="K561" t="n">
        <v>0</v>
      </c>
      <c r="L561" t="n">
        <v>0</v>
      </c>
      <c r="M561" t="n">
        <v>0</v>
      </c>
      <c r="N561" t="n">
        <v>0</v>
      </c>
      <c r="O561" t="n">
        <v>0</v>
      </c>
      <c r="P561" t="n">
        <v>0</v>
      </c>
      <c r="Q561" t="n">
        <v>0</v>
      </c>
      <c r="R561" s="2" t="inlineStr"/>
    </row>
    <row r="562" ht="15" customHeight="1">
      <c r="A562" t="inlineStr">
        <is>
          <t>A 44154-2024</t>
        </is>
      </c>
      <c r="B562" s="1" t="n">
        <v>45572</v>
      </c>
      <c r="C562" s="1" t="n">
        <v>45917</v>
      </c>
      <c r="D562" t="inlineStr">
        <is>
          <t>JÄMTLANDS LÄN</t>
        </is>
      </c>
      <c r="E562" t="inlineStr">
        <is>
          <t>KROKOM</t>
        </is>
      </c>
      <c r="F562" t="inlineStr">
        <is>
          <t>SCA</t>
        </is>
      </c>
      <c r="G562" t="n">
        <v>28.9</v>
      </c>
      <c r="H562" t="n">
        <v>0</v>
      </c>
      <c r="I562" t="n">
        <v>0</v>
      </c>
      <c r="J562" t="n">
        <v>0</v>
      </c>
      <c r="K562" t="n">
        <v>0</v>
      </c>
      <c r="L562" t="n">
        <v>0</v>
      </c>
      <c r="M562" t="n">
        <v>0</v>
      </c>
      <c r="N562" t="n">
        <v>0</v>
      </c>
      <c r="O562" t="n">
        <v>0</v>
      </c>
      <c r="P562" t="n">
        <v>0</v>
      </c>
      <c r="Q562" t="n">
        <v>0</v>
      </c>
      <c r="R562" s="2" t="inlineStr"/>
    </row>
    <row r="563" ht="15" customHeight="1">
      <c r="A563" t="inlineStr">
        <is>
          <t>A 7962-2023</t>
        </is>
      </c>
      <c r="B563" s="1" t="n">
        <v>44970</v>
      </c>
      <c r="C563" s="1" t="n">
        <v>45917</v>
      </c>
      <c r="D563" t="inlineStr">
        <is>
          <t>JÄMTLANDS LÄN</t>
        </is>
      </c>
      <c r="E563" t="inlineStr">
        <is>
          <t>KROKOM</t>
        </is>
      </c>
      <c r="G563" t="n">
        <v>12.2</v>
      </c>
      <c r="H563" t="n">
        <v>0</v>
      </c>
      <c r="I563" t="n">
        <v>0</v>
      </c>
      <c r="J563" t="n">
        <v>0</v>
      </c>
      <c r="K563" t="n">
        <v>0</v>
      </c>
      <c r="L563" t="n">
        <v>0</v>
      </c>
      <c r="M563" t="n">
        <v>0</v>
      </c>
      <c r="N563" t="n">
        <v>0</v>
      </c>
      <c r="O563" t="n">
        <v>0</v>
      </c>
      <c r="P563" t="n">
        <v>0</v>
      </c>
      <c r="Q563" t="n">
        <v>0</v>
      </c>
      <c r="R563" s="2" t="inlineStr"/>
    </row>
    <row r="564" ht="15" customHeight="1">
      <c r="A564" t="inlineStr">
        <is>
          <t>A 20953-2023</t>
        </is>
      </c>
      <c r="B564" s="1" t="n">
        <v>45056</v>
      </c>
      <c r="C564" s="1" t="n">
        <v>45917</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20966-2023</t>
        </is>
      </c>
      <c r="B565" s="1" t="n">
        <v>45056</v>
      </c>
      <c r="C565" s="1" t="n">
        <v>45917</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5693-2022</t>
        </is>
      </c>
      <c r="B566" s="1" t="n">
        <v>44596</v>
      </c>
      <c r="C566" s="1" t="n">
        <v>45917</v>
      </c>
      <c r="D566" t="inlineStr">
        <is>
          <t>JÄMTLANDS LÄN</t>
        </is>
      </c>
      <c r="E566" t="inlineStr">
        <is>
          <t>KROKOM</t>
        </is>
      </c>
      <c r="G566" t="n">
        <v>40.8</v>
      </c>
      <c r="H566" t="n">
        <v>0</v>
      </c>
      <c r="I566" t="n">
        <v>0</v>
      </c>
      <c r="J566" t="n">
        <v>0</v>
      </c>
      <c r="K566" t="n">
        <v>0</v>
      </c>
      <c r="L566" t="n">
        <v>0</v>
      </c>
      <c r="M566" t="n">
        <v>0</v>
      </c>
      <c r="N566" t="n">
        <v>0</v>
      </c>
      <c r="O566" t="n">
        <v>0</v>
      </c>
      <c r="P566" t="n">
        <v>0</v>
      </c>
      <c r="Q566" t="n">
        <v>0</v>
      </c>
      <c r="R566" s="2" t="inlineStr"/>
    </row>
    <row r="567" ht="15" customHeight="1">
      <c r="A567" t="inlineStr">
        <is>
          <t>A 36272-2024</t>
        </is>
      </c>
      <c r="B567" s="1" t="n">
        <v>45534.57745370371</v>
      </c>
      <c r="C567" s="1" t="n">
        <v>45917</v>
      </c>
      <c r="D567" t="inlineStr">
        <is>
          <t>JÄMTLANDS LÄN</t>
        </is>
      </c>
      <c r="E567" t="inlineStr">
        <is>
          <t>KROKOM</t>
        </is>
      </c>
      <c r="F567" t="inlineStr">
        <is>
          <t>Övriga Aktiebolag</t>
        </is>
      </c>
      <c r="G567" t="n">
        <v>11.1</v>
      </c>
      <c r="H567" t="n">
        <v>0</v>
      </c>
      <c r="I567" t="n">
        <v>0</v>
      </c>
      <c r="J567" t="n">
        <v>0</v>
      </c>
      <c r="K567" t="n">
        <v>0</v>
      </c>
      <c r="L567" t="n">
        <v>0</v>
      </c>
      <c r="M567" t="n">
        <v>0</v>
      </c>
      <c r="N567" t="n">
        <v>0</v>
      </c>
      <c r="O567" t="n">
        <v>0</v>
      </c>
      <c r="P567" t="n">
        <v>0</v>
      </c>
      <c r="Q567" t="n">
        <v>0</v>
      </c>
      <c r="R567" s="2" t="inlineStr"/>
    </row>
    <row r="568" ht="15" customHeight="1">
      <c r="A568" t="inlineStr">
        <is>
          <t>A 72064-2021</t>
        </is>
      </c>
      <c r="B568" s="1" t="n">
        <v>44544.49326388889</v>
      </c>
      <c r="C568" s="1" t="n">
        <v>45917</v>
      </c>
      <c r="D568" t="inlineStr">
        <is>
          <t>JÄMTLANDS LÄN</t>
        </is>
      </c>
      <c r="E568" t="inlineStr">
        <is>
          <t>KROKOM</t>
        </is>
      </c>
      <c r="G568" t="n">
        <v>18.7</v>
      </c>
      <c r="H568" t="n">
        <v>0</v>
      </c>
      <c r="I568" t="n">
        <v>0</v>
      </c>
      <c r="J568" t="n">
        <v>0</v>
      </c>
      <c r="K568" t="n">
        <v>0</v>
      </c>
      <c r="L568" t="n">
        <v>0</v>
      </c>
      <c r="M568" t="n">
        <v>0</v>
      </c>
      <c r="N568" t="n">
        <v>0</v>
      </c>
      <c r="O568" t="n">
        <v>0</v>
      </c>
      <c r="P568" t="n">
        <v>0</v>
      </c>
      <c r="Q568" t="n">
        <v>0</v>
      </c>
      <c r="R568" s="2" t="inlineStr"/>
    </row>
    <row r="569" ht="15" customHeight="1">
      <c r="A569" t="inlineStr">
        <is>
          <t>A 37408-2025</t>
        </is>
      </c>
      <c r="B569" s="1" t="n">
        <v>45877.46555555556</v>
      </c>
      <c r="C569" s="1" t="n">
        <v>45917</v>
      </c>
      <c r="D569" t="inlineStr">
        <is>
          <t>JÄMTLANDS LÄN</t>
        </is>
      </c>
      <c r="E569" t="inlineStr">
        <is>
          <t>KROKOM</t>
        </is>
      </c>
      <c r="G569" t="n">
        <v>7.3</v>
      </c>
      <c r="H569" t="n">
        <v>0</v>
      </c>
      <c r="I569" t="n">
        <v>0</v>
      </c>
      <c r="J569" t="n">
        <v>0</v>
      </c>
      <c r="K569" t="n">
        <v>0</v>
      </c>
      <c r="L569" t="n">
        <v>0</v>
      </c>
      <c r="M569" t="n">
        <v>0</v>
      </c>
      <c r="N569" t="n">
        <v>0</v>
      </c>
      <c r="O569" t="n">
        <v>0</v>
      </c>
      <c r="P569" t="n">
        <v>0</v>
      </c>
      <c r="Q569" t="n">
        <v>0</v>
      </c>
      <c r="R569" s="2" t="inlineStr"/>
    </row>
    <row r="570" ht="15" customHeight="1">
      <c r="A570" t="inlineStr">
        <is>
          <t>A 37615-2025</t>
        </is>
      </c>
      <c r="B570" s="1" t="n">
        <v>45880</v>
      </c>
      <c r="C570" s="1" t="n">
        <v>45917</v>
      </c>
      <c r="D570" t="inlineStr">
        <is>
          <t>JÄMTLANDS LÄN</t>
        </is>
      </c>
      <c r="E570" t="inlineStr">
        <is>
          <t>KROKOM</t>
        </is>
      </c>
      <c r="G570" t="n">
        <v>33.6</v>
      </c>
      <c r="H570" t="n">
        <v>0</v>
      </c>
      <c r="I570" t="n">
        <v>0</v>
      </c>
      <c r="J570" t="n">
        <v>0</v>
      </c>
      <c r="K570" t="n">
        <v>0</v>
      </c>
      <c r="L570" t="n">
        <v>0</v>
      </c>
      <c r="M570" t="n">
        <v>0</v>
      </c>
      <c r="N570" t="n">
        <v>0</v>
      </c>
      <c r="O570" t="n">
        <v>0</v>
      </c>
      <c r="P570" t="n">
        <v>0</v>
      </c>
      <c r="Q570" t="n">
        <v>0</v>
      </c>
      <c r="R570" s="2" t="inlineStr"/>
    </row>
    <row r="571" ht="15" customHeight="1">
      <c r="A571" t="inlineStr">
        <is>
          <t>A 32038-2025</t>
        </is>
      </c>
      <c r="B571" s="1" t="n">
        <v>45835.42712962963</v>
      </c>
      <c r="C571" s="1" t="n">
        <v>45917</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34517-2024</t>
        </is>
      </c>
      <c r="B572" s="1" t="n">
        <v>45525</v>
      </c>
      <c r="C572" s="1" t="n">
        <v>45917</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68658-2020</t>
        </is>
      </c>
      <c r="B573" s="1" t="n">
        <v>44186</v>
      </c>
      <c r="C573" s="1" t="n">
        <v>45917</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32318-2025</t>
        </is>
      </c>
      <c r="B574" s="1" t="n">
        <v>45836.34413194445</v>
      </c>
      <c r="C574" s="1" t="n">
        <v>45917</v>
      </c>
      <c r="D574" t="inlineStr">
        <is>
          <t>JÄMTLANDS LÄN</t>
        </is>
      </c>
      <c r="E574" t="inlineStr">
        <is>
          <t>KROKOM</t>
        </is>
      </c>
      <c r="F574" t="inlineStr">
        <is>
          <t>SCA</t>
        </is>
      </c>
      <c r="G574" t="n">
        <v>13.8</v>
      </c>
      <c r="H574" t="n">
        <v>0</v>
      </c>
      <c r="I574" t="n">
        <v>0</v>
      </c>
      <c r="J574" t="n">
        <v>0</v>
      </c>
      <c r="K574" t="n">
        <v>0</v>
      </c>
      <c r="L574" t="n">
        <v>0</v>
      </c>
      <c r="M574" t="n">
        <v>0</v>
      </c>
      <c r="N574" t="n">
        <v>0</v>
      </c>
      <c r="O574" t="n">
        <v>0</v>
      </c>
      <c r="P574" t="n">
        <v>0</v>
      </c>
      <c r="Q574" t="n">
        <v>0</v>
      </c>
      <c r="R574" s="2" t="inlineStr"/>
    </row>
    <row r="575" ht="15" customHeight="1">
      <c r="A575" t="inlineStr">
        <is>
          <t>A 8011-2025</t>
        </is>
      </c>
      <c r="B575" s="1" t="n">
        <v>45707.55246527777</v>
      </c>
      <c r="C575" s="1" t="n">
        <v>45917</v>
      </c>
      <c r="D575" t="inlineStr">
        <is>
          <t>JÄMTLANDS LÄN</t>
        </is>
      </c>
      <c r="E575" t="inlineStr">
        <is>
          <t>KROKOM</t>
        </is>
      </c>
      <c r="F575" t="inlineStr">
        <is>
          <t>Övriga Aktiebolag</t>
        </is>
      </c>
      <c r="G575" t="n">
        <v>10.6</v>
      </c>
      <c r="H575" t="n">
        <v>0</v>
      </c>
      <c r="I575" t="n">
        <v>0</v>
      </c>
      <c r="J575" t="n">
        <v>0</v>
      </c>
      <c r="K575" t="n">
        <v>0</v>
      </c>
      <c r="L575" t="n">
        <v>0</v>
      </c>
      <c r="M575" t="n">
        <v>0</v>
      </c>
      <c r="N575" t="n">
        <v>0</v>
      </c>
      <c r="O575" t="n">
        <v>0</v>
      </c>
      <c r="P575" t="n">
        <v>0</v>
      </c>
      <c r="Q575" t="n">
        <v>0</v>
      </c>
      <c r="R575" s="2" t="inlineStr"/>
    </row>
    <row r="576" ht="15" customHeight="1">
      <c r="A576" t="inlineStr">
        <is>
          <t>A 10397-2025</t>
        </is>
      </c>
      <c r="B576" s="1" t="n">
        <v>45720.60774305555</v>
      </c>
      <c r="C576" s="1" t="n">
        <v>45917</v>
      </c>
      <c r="D576" t="inlineStr">
        <is>
          <t>JÄMTLANDS LÄN</t>
        </is>
      </c>
      <c r="E576" t="inlineStr">
        <is>
          <t>KROKOM</t>
        </is>
      </c>
      <c r="F576" t="inlineStr">
        <is>
          <t>Övriga Aktiebolag</t>
        </is>
      </c>
      <c r="G576" t="n">
        <v>32.9</v>
      </c>
      <c r="H576" t="n">
        <v>0</v>
      </c>
      <c r="I576" t="n">
        <v>0</v>
      </c>
      <c r="J576" t="n">
        <v>0</v>
      </c>
      <c r="K576" t="n">
        <v>0</v>
      </c>
      <c r="L576" t="n">
        <v>0</v>
      </c>
      <c r="M576" t="n">
        <v>0</v>
      </c>
      <c r="N576" t="n">
        <v>0</v>
      </c>
      <c r="O576" t="n">
        <v>0</v>
      </c>
      <c r="P576" t="n">
        <v>0</v>
      </c>
      <c r="Q576" t="n">
        <v>0</v>
      </c>
      <c r="R576" s="2" t="inlineStr"/>
    </row>
    <row r="577" ht="15" customHeight="1">
      <c r="A577" t="inlineStr">
        <is>
          <t>A 53827-2024</t>
        </is>
      </c>
      <c r="B577" s="1" t="n">
        <v>45615.61302083333</v>
      </c>
      <c r="C577" s="1" t="n">
        <v>45917</v>
      </c>
      <c r="D577" t="inlineStr">
        <is>
          <t>JÄMTLANDS LÄN</t>
        </is>
      </c>
      <c r="E577" t="inlineStr">
        <is>
          <t>KROKOM</t>
        </is>
      </c>
      <c r="F577" t="inlineStr">
        <is>
          <t>Övriga Aktiebolag</t>
        </is>
      </c>
      <c r="G577" t="n">
        <v>14.2</v>
      </c>
      <c r="H577" t="n">
        <v>0</v>
      </c>
      <c r="I577" t="n">
        <v>0</v>
      </c>
      <c r="J577" t="n">
        <v>0</v>
      </c>
      <c r="K577" t="n">
        <v>0</v>
      </c>
      <c r="L577" t="n">
        <v>0</v>
      </c>
      <c r="M577" t="n">
        <v>0</v>
      </c>
      <c r="N577" t="n">
        <v>0</v>
      </c>
      <c r="O577" t="n">
        <v>0</v>
      </c>
      <c r="P577" t="n">
        <v>0</v>
      </c>
      <c r="Q577" t="n">
        <v>0</v>
      </c>
      <c r="R577" s="2" t="inlineStr"/>
    </row>
    <row r="578" ht="15" customHeight="1">
      <c r="A578" t="inlineStr">
        <is>
          <t>A 37465-2025</t>
        </is>
      </c>
      <c r="B578" s="1" t="n">
        <v>45877.57403935185</v>
      </c>
      <c r="C578" s="1" t="n">
        <v>45917</v>
      </c>
      <c r="D578" t="inlineStr">
        <is>
          <t>JÄMTLANDS LÄN</t>
        </is>
      </c>
      <c r="E578" t="inlineStr">
        <is>
          <t>KROKOM</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25428-2022</t>
        </is>
      </c>
      <c r="B579" s="1" t="n">
        <v>44732</v>
      </c>
      <c r="C579" s="1" t="n">
        <v>45917</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50302-2022</t>
        </is>
      </c>
      <c r="B580" s="1" t="n">
        <v>44865</v>
      </c>
      <c r="C580" s="1" t="n">
        <v>45917</v>
      </c>
      <c r="D580" t="inlineStr">
        <is>
          <t>JÄMTLANDS LÄN</t>
        </is>
      </c>
      <c r="E580" t="inlineStr">
        <is>
          <t>KROKOM</t>
        </is>
      </c>
      <c r="G580" t="n">
        <v>3.4</v>
      </c>
      <c r="H580" t="n">
        <v>0</v>
      </c>
      <c r="I580" t="n">
        <v>0</v>
      </c>
      <c r="J580" t="n">
        <v>0</v>
      </c>
      <c r="K580" t="n">
        <v>0</v>
      </c>
      <c r="L580" t="n">
        <v>0</v>
      </c>
      <c r="M580" t="n">
        <v>0</v>
      </c>
      <c r="N580" t="n">
        <v>0</v>
      </c>
      <c r="O580" t="n">
        <v>0</v>
      </c>
      <c r="P580" t="n">
        <v>0</v>
      </c>
      <c r="Q580" t="n">
        <v>0</v>
      </c>
      <c r="R580" s="2" t="inlineStr"/>
    </row>
    <row r="581" ht="15" customHeight="1">
      <c r="A581" t="inlineStr">
        <is>
          <t>A 2236-2024</t>
        </is>
      </c>
      <c r="B581" s="1" t="n">
        <v>45309.94650462963</v>
      </c>
      <c r="C581" s="1" t="n">
        <v>45917</v>
      </c>
      <c r="D581" t="inlineStr">
        <is>
          <t>JÄMTLANDS LÄN</t>
        </is>
      </c>
      <c r="E581" t="inlineStr">
        <is>
          <t>KROKOM</t>
        </is>
      </c>
      <c r="G581" t="n">
        <v>2.6</v>
      </c>
      <c r="H581" t="n">
        <v>0</v>
      </c>
      <c r="I581" t="n">
        <v>0</v>
      </c>
      <c r="J581" t="n">
        <v>0</v>
      </c>
      <c r="K581" t="n">
        <v>0</v>
      </c>
      <c r="L581" t="n">
        <v>0</v>
      </c>
      <c r="M581" t="n">
        <v>0</v>
      </c>
      <c r="N581" t="n">
        <v>0</v>
      </c>
      <c r="O581" t="n">
        <v>0</v>
      </c>
      <c r="P581" t="n">
        <v>0</v>
      </c>
      <c r="Q581" t="n">
        <v>0</v>
      </c>
      <c r="R581" s="2" t="inlineStr"/>
    </row>
    <row r="582" ht="15" customHeight="1">
      <c r="A582" t="inlineStr">
        <is>
          <t>A 38024-2025</t>
        </is>
      </c>
      <c r="B582" s="1" t="n">
        <v>45882.34510416666</v>
      </c>
      <c r="C582" s="1" t="n">
        <v>45917</v>
      </c>
      <c r="D582" t="inlineStr">
        <is>
          <t>JÄMTLANDS LÄN</t>
        </is>
      </c>
      <c r="E582" t="inlineStr">
        <is>
          <t>KROKOM</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15663-2025</t>
        </is>
      </c>
      <c r="B583" s="1" t="n">
        <v>45748</v>
      </c>
      <c r="C583" s="1" t="n">
        <v>45917</v>
      </c>
      <c r="D583" t="inlineStr">
        <is>
          <t>JÄMTLANDS LÄN</t>
        </is>
      </c>
      <c r="E583" t="inlineStr">
        <is>
          <t>KROKOM</t>
        </is>
      </c>
      <c r="F583" t="inlineStr">
        <is>
          <t>Övriga Aktiebolag</t>
        </is>
      </c>
      <c r="G583" t="n">
        <v>11.5</v>
      </c>
      <c r="H583" t="n">
        <v>0</v>
      </c>
      <c r="I583" t="n">
        <v>0</v>
      </c>
      <c r="J583" t="n">
        <v>0</v>
      </c>
      <c r="K583" t="n">
        <v>0</v>
      </c>
      <c r="L583" t="n">
        <v>0</v>
      </c>
      <c r="M583" t="n">
        <v>0</v>
      </c>
      <c r="N583" t="n">
        <v>0</v>
      </c>
      <c r="O583" t="n">
        <v>0</v>
      </c>
      <c r="P583" t="n">
        <v>0</v>
      </c>
      <c r="Q583" t="n">
        <v>0</v>
      </c>
      <c r="R583" s="2" t="inlineStr"/>
    </row>
    <row r="584" ht="15" customHeight="1">
      <c r="A584" t="inlineStr">
        <is>
          <t>A 33045-2025</t>
        </is>
      </c>
      <c r="B584" s="1" t="n">
        <v>45840.40717592592</v>
      </c>
      <c r="C584" s="1" t="n">
        <v>45917</v>
      </c>
      <c r="D584" t="inlineStr">
        <is>
          <t>JÄMTLANDS LÄN</t>
        </is>
      </c>
      <c r="E584" t="inlineStr">
        <is>
          <t>KROKOM</t>
        </is>
      </c>
      <c r="F584" t="inlineStr">
        <is>
          <t>SCA</t>
        </is>
      </c>
      <c r="G584" t="n">
        <v>18.7</v>
      </c>
      <c r="H584" t="n">
        <v>0</v>
      </c>
      <c r="I584" t="n">
        <v>0</v>
      </c>
      <c r="J584" t="n">
        <v>0</v>
      </c>
      <c r="K584" t="n">
        <v>0</v>
      </c>
      <c r="L584" t="n">
        <v>0</v>
      </c>
      <c r="M584" t="n">
        <v>0</v>
      </c>
      <c r="N584" t="n">
        <v>0</v>
      </c>
      <c r="O584" t="n">
        <v>0</v>
      </c>
      <c r="P584" t="n">
        <v>0</v>
      </c>
      <c r="Q584" t="n">
        <v>0</v>
      </c>
      <c r="R584" s="2" t="inlineStr"/>
    </row>
    <row r="585" ht="15" customHeight="1">
      <c r="A585" t="inlineStr">
        <is>
          <t>A 5422-2021</t>
        </is>
      </c>
      <c r="B585" s="1" t="n">
        <v>44228</v>
      </c>
      <c r="C585" s="1" t="n">
        <v>45917</v>
      </c>
      <c r="D585" t="inlineStr">
        <is>
          <t>JÄMTLANDS LÄN</t>
        </is>
      </c>
      <c r="E585" t="inlineStr">
        <is>
          <t>KROKOM</t>
        </is>
      </c>
      <c r="G585" t="n">
        <v>11</v>
      </c>
      <c r="H585" t="n">
        <v>0</v>
      </c>
      <c r="I585" t="n">
        <v>0</v>
      </c>
      <c r="J585" t="n">
        <v>0</v>
      </c>
      <c r="K585" t="n">
        <v>0</v>
      </c>
      <c r="L585" t="n">
        <v>0</v>
      </c>
      <c r="M585" t="n">
        <v>0</v>
      </c>
      <c r="N585" t="n">
        <v>0</v>
      </c>
      <c r="O585" t="n">
        <v>0</v>
      </c>
      <c r="P585" t="n">
        <v>0</v>
      </c>
      <c r="Q585" t="n">
        <v>0</v>
      </c>
      <c r="R585" s="2" t="inlineStr"/>
    </row>
    <row r="586" ht="15" customHeight="1">
      <c r="A586" t="inlineStr">
        <is>
          <t>A 32896-2025</t>
        </is>
      </c>
      <c r="B586" s="1" t="n">
        <v>45839.61541666667</v>
      </c>
      <c r="C586" s="1" t="n">
        <v>45917</v>
      </c>
      <c r="D586" t="inlineStr">
        <is>
          <t>JÄMTLANDS LÄN</t>
        </is>
      </c>
      <c r="E586" t="inlineStr">
        <is>
          <t>KROKOM</t>
        </is>
      </c>
      <c r="F586" t="inlineStr">
        <is>
          <t>SCA</t>
        </is>
      </c>
      <c r="G586" t="n">
        <v>17.9</v>
      </c>
      <c r="H586" t="n">
        <v>0</v>
      </c>
      <c r="I586" t="n">
        <v>0</v>
      </c>
      <c r="J586" t="n">
        <v>0</v>
      </c>
      <c r="K586" t="n">
        <v>0</v>
      </c>
      <c r="L586" t="n">
        <v>0</v>
      </c>
      <c r="M586" t="n">
        <v>0</v>
      </c>
      <c r="N586" t="n">
        <v>0</v>
      </c>
      <c r="O586" t="n">
        <v>0</v>
      </c>
      <c r="P586" t="n">
        <v>0</v>
      </c>
      <c r="Q586" t="n">
        <v>0</v>
      </c>
      <c r="R586" s="2" t="inlineStr"/>
    </row>
    <row r="587" ht="15" customHeight="1">
      <c r="A587" t="inlineStr">
        <is>
          <t>A 32897-2025</t>
        </is>
      </c>
      <c r="B587" s="1" t="n">
        <v>45839.61563657408</v>
      </c>
      <c r="C587" s="1" t="n">
        <v>45917</v>
      </c>
      <c r="D587" t="inlineStr">
        <is>
          <t>JÄMTLANDS LÄN</t>
        </is>
      </c>
      <c r="E587" t="inlineStr">
        <is>
          <t>KROKOM</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37820-2025</t>
        </is>
      </c>
      <c r="B588" s="1" t="n">
        <v>45881.39909722222</v>
      </c>
      <c r="C588" s="1" t="n">
        <v>45917</v>
      </c>
      <c r="D588" t="inlineStr">
        <is>
          <t>JÄMTLANDS LÄN</t>
        </is>
      </c>
      <c r="E588" t="inlineStr">
        <is>
          <t>KROKOM</t>
        </is>
      </c>
      <c r="G588" t="n">
        <v>2.1</v>
      </c>
      <c r="H588" t="n">
        <v>0</v>
      </c>
      <c r="I588" t="n">
        <v>0</v>
      </c>
      <c r="J588" t="n">
        <v>0</v>
      </c>
      <c r="K588" t="n">
        <v>0</v>
      </c>
      <c r="L588" t="n">
        <v>0</v>
      </c>
      <c r="M588" t="n">
        <v>0</v>
      </c>
      <c r="N588" t="n">
        <v>0</v>
      </c>
      <c r="O588" t="n">
        <v>0</v>
      </c>
      <c r="P588" t="n">
        <v>0</v>
      </c>
      <c r="Q588" t="n">
        <v>0</v>
      </c>
      <c r="R588" s="2" t="inlineStr"/>
    </row>
    <row r="589" ht="15" customHeight="1">
      <c r="A589" t="inlineStr">
        <is>
          <t>A 10133-2025</t>
        </is>
      </c>
      <c r="B589" s="1" t="n">
        <v>45719</v>
      </c>
      <c r="C589" s="1" t="n">
        <v>45917</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38205-2025</t>
        </is>
      </c>
      <c r="B590" s="1" t="n">
        <v>45882.69851851852</v>
      </c>
      <c r="C590" s="1" t="n">
        <v>45917</v>
      </c>
      <c r="D590" t="inlineStr">
        <is>
          <t>JÄMTLANDS LÄN</t>
        </is>
      </c>
      <c r="E590" t="inlineStr">
        <is>
          <t>KROKOM</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18942-2025</t>
        </is>
      </c>
      <c r="B591" s="1" t="n">
        <v>45764</v>
      </c>
      <c r="C591" s="1" t="n">
        <v>45917</v>
      </c>
      <c r="D591" t="inlineStr">
        <is>
          <t>JÄMTLANDS LÄN</t>
        </is>
      </c>
      <c r="E591" t="inlineStr">
        <is>
          <t>KROKOM</t>
        </is>
      </c>
      <c r="G591" t="n">
        <v>8.9</v>
      </c>
      <c r="H591" t="n">
        <v>0</v>
      </c>
      <c r="I591" t="n">
        <v>0</v>
      </c>
      <c r="J591" t="n">
        <v>0</v>
      </c>
      <c r="K591" t="n">
        <v>0</v>
      </c>
      <c r="L591" t="n">
        <v>0</v>
      </c>
      <c r="M591" t="n">
        <v>0</v>
      </c>
      <c r="N591" t="n">
        <v>0</v>
      </c>
      <c r="O591" t="n">
        <v>0</v>
      </c>
      <c r="P591" t="n">
        <v>0</v>
      </c>
      <c r="Q591" t="n">
        <v>0</v>
      </c>
      <c r="R591" s="2" t="inlineStr"/>
    </row>
    <row r="592" ht="15" customHeight="1">
      <c r="A592" t="inlineStr">
        <is>
          <t>A 32966-2025</t>
        </is>
      </c>
      <c r="B592" s="1" t="n">
        <v>45839.72320601852</v>
      </c>
      <c r="C592" s="1" t="n">
        <v>45917</v>
      </c>
      <c r="D592" t="inlineStr">
        <is>
          <t>JÄMTLANDS LÄN</t>
        </is>
      </c>
      <c r="E592" t="inlineStr">
        <is>
          <t>KROKOM</t>
        </is>
      </c>
      <c r="G592" t="n">
        <v>2.7</v>
      </c>
      <c r="H592" t="n">
        <v>0</v>
      </c>
      <c r="I592" t="n">
        <v>0</v>
      </c>
      <c r="J592" t="n">
        <v>0</v>
      </c>
      <c r="K592" t="n">
        <v>0</v>
      </c>
      <c r="L592" t="n">
        <v>0</v>
      </c>
      <c r="M592" t="n">
        <v>0</v>
      </c>
      <c r="N592" t="n">
        <v>0</v>
      </c>
      <c r="O592" t="n">
        <v>0</v>
      </c>
      <c r="P592" t="n">
        <v>0</v>
      </c>
      <c r="Q592" t="n">
        <v>0</v>
      </c>
      <c r="R592" s="2" t="inlineStr"/>
    </row>
    <row r="593" ht="15" customHeight="1">
      <c r="A593" t="inlineStr">
        <is>
          <t>A 58415-2024</t>
        </is>
      </c>
      <c r="B593" s="1" t="n">
        <v>45634.7925</v>
      </c>
      <c r="C593" s="1" t="n">
        <v>45917</v>
      </c>
      <c r="D593" t="inlineStr">
        <is>
          <t>JÄMTLANDS LÄN</t>
        </is>
      </c>
      <c r="E593" t="inlineStr">
        <is>
          <t>KROKOM</t>
        </is>
      </c>
      <c r="G593" t="n">
        <v>2.1</v>
      </c>
      <c r="H593" t="n">
        <v>0</v>
      </c>
      <c r="I593" t="n">
        <v>0</v>
      </c>
      <c r="J593" t="n">
        <v>0</v>
      </c>
      <c r="K593" t="n">
        <v>0</v>
      </c>
      <c r="L593" t="n">
        <v>0</v>
      </c>
      <c r="M593" t="n">
        <v>0</v>
      </c>
      <c r="N593" t="n">
        <v>0</v>
      </c>
      <c r="O593" t="n">
        <v>0</v>
      </c>
      <c r="P593" t="n">
        <v>0</v>
      </c>
      <c r="Q593" t="n">
        <v>0</v>
      </c>
      <c r="R593" s="2" t="inlineStr"/>
    </row>
    <row r="594" ht="15" customHeight="1">
      <c r="A594" t="inlineStr">
        <is>
          <t>A 58416-2024</t>
        </is>
      </c>
      <c r="B594" s="1" t="n">
        <v>45634.79854166666</v>
      </c>
      <c r="C594" s="1" t="n">
        <v>45917</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52240-2024</t>
        </is>
      </c>
      <c r="B595" s="1" t="n">
        <v>45608.61923611111</v>
      </c>
      <c r="C595" s="1" t="n">
        <v>45917</v>
      </c>
      <c r="D595" t="inlineStr">
        <is>
          <t>JÄMTLANDS LÄN</t>
        </is>
      </c>
      <c r="E595" t="inlineStr">
        <is>
          <t>KROKOM</t>
        </is>
      </c>
      <c r="G595" t="n">
        <v>1.4</v>
      </c>
      <c r="H595" t="n">
        <v>0</v>
      </c>
      <c r="I595" t="n">
        <v>0</v>
      </c>
      <c r="J595" t="n">
        <v>0</v>
      </c>
      <c r="K595" t="n">
        <v>0</v>
      </c>
      <c r="L595" t="n">
        <v>0</v>
      </c>
      <c r="M595" t="n">
        <v>0</v>
      </c>
      <c r="N595" t="n">
        <v>0</v>
      </c>
      <c r="O595" t="n">
        <v>0</v>
      </c>
      <c r="P595" t="n">
        <v>0</v>
      </c>
      <c r="Q595" t="n">
        <v>0</v>
      </c>
      <c r="R595" s="2" t="inlineStr"/>
    </row>
    <row r="596" ht="15" customHeight="1">
      <c r="A596" t="inlineStr">
        <is>
          <t>A 32898-2025</t>
        </is>
      </c>
      <c r="B596" s="1" t="n">
        <v>45839.61582175926</v>
      </c>
      <c r="C596" s="1" t="n">
        <v>45917</v>
      </c>
      <c r="D596" t="inlineStr">
        <is>
          <t>JÄMTLANDS LÄN</t>
        </is>
      </c>
      <c r="E596" t="inlineStr">
        <is>
          <t>KROKOM</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32899-2025</t>
        </is>
      </c>
      <c r="B597" s="1" t="n">
        <v>45839.61594907408</v>
      </c>
      <c r="C597" s="1" t="n">
        <v>45917</v>
      </c>
      <c r="D597" t="inlineStr">
        <is>
          <t>JÄMTLANDS LÄN</t>
        </is>
      </c>
      <c r="E597" t="inlineStr">
        <is>
          <t>KROKOM</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52258-2022</t>
        </is>
      </c>
      <c r="B598" s="1" t="n">
        <v>44873</v>
      </c>
      <c r="C598" s="1" t="n">
        <v>45917</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7952-2023</t>
        </is>
      </c>
      <c r="B599" s="1" t="n">
        <v>44970</v>
      </c>
      <c r="C599" s="1" t="n">
        <v>45917</v>
      </c>
      <c r="D599" t="inlineStr">
        <is>
          <t>JÄMTLANDS LÄN</t>
        </is>
      </c>
      <c r="E599" t="inlineStr">
        <is>
          <t>KROKOM</t>
        </is>
      </c>
      <c r="G599" t="n">
        <v>4.8</v>
      </c>
      <c r="H599" t="n">
        <v>0</v>
      </c>
      <c r="I599" t="n">
        <v>0</v>
      </c>
      <c r="J599" t="n">
        <v>0</v>
      </c>
      <c r="K599" t="n">
        <v>0</v>
      </c>
      <c r="L599" t="n">
        <v>0</v>
      </c>
      <c r="M599" t="n">
        <v>0</v>
      </c>
      <c r="N599" t="n">
        <v>0</v>
      </c>
      <c r="O599" t="n">
        <v>0</v>
      </c>
      <c r="P599" t="n">
        <v>0</v>
      </c>
      <c r="Q599" t="n">
        <v>0</v>
      </c>
      <c r="R599" s="2" t="inlineStr"/>
    </row>
    <row r="600" ht="15" customHeight="1">
      <c r="A600" t="inlineStr">
        <is>
          <t>A 29524-2024</t>
        </is>
      </c>
      <c r="B600" s="1" t="n">
        <v>45484</v>
      </c>
      <c r="C600" s="1" t="n">
        <v>45917</v>
      </c>
      <c r="D600" t="inlineStr">
        <is>
          <t>JÄMTLANDS LÄN</t>
        </is>
      </c>
      <c r="E600" t="inlineStr">
        <is>
          <t>KROKOM</t>
        </is>
      </c>
      <c r="F600" t="inlineStr">
        <is>
          <t>Övriga Aktiebolag</t>
        </is>
      </c>
      <c r="G600" t="n">
        <v>10.6</v>
      </c>
      <c r="H600" t="n">
        <v>0</v>
      </c>
      <c r="I600" t="n">
        <v>0</v>
      </c>
      <c r="J600" t="n">
        <v>0</v>
      </c>
      <c r="K600" t="n">
        <v>0</v>
      </c>
      <c r="L600" t="n">
        <v>0</v>
      </c>
      <c r="M600" t="n">
        <v>0</v>
      </c>
      <c r="N600" t="n">
        <v>0</v>
      </c>
      <c r="O600" t="n">
        <v>0</v>
      </c>
      <c r="P600" t="n">
        <v>0</v>
      </c>
      <c r="Q600" t="n">
        <v>0</v>
      </c>
      <c r="R600" s="2" t="inlineStr"/>
    </row>
    <row r="601" ht="15" customHeight="1">
      <c r="A601" t="inlineStr">
        <is>
          <t>A 28210-2024</t>
        </is>
      </c>
      <c r="B601" s="1" t="n">
        <v>45477.35225694445</v>
      </c>
      <c r="C601" s="1" t="n">
        <v>45917</v>
      </c>
      <c r="D601" t="inlineStr">
        <is>
          <t>JÄMTLANDS LÄN</t>
        </is>
      </c>
      <c r="E601" t="inlineStr">
        <is>
          <t>KROKOM</t>
        </is>
      </c>
      <c r="F601" t="inlineStr">
        <is>
          <t>Övriga Aktiebolag</t>
        </is>
      </c>
      <c r="G601" t="n">
        <v>0.1</v>
      </c>
      <c r="H601" t="n">
        <v>0</v>
      </c>
      <c r="I601" t="n">
        <v>0</v>
      </c>
      <c r="J601" t="n">
        <v>0</v>
      </c>
      <c r="K601" t="n">
        <v>0</v>
      </c>
      <c r="L601" t="n">
        <v>0</v>
      </c>
      <c r="M601" t="n">
        <v>0</v>
      </c>
      <c r="N601" t="n">
        <v>0</v>
      </c>
      <c r="O601" t="n">
        <v>0</v>
      </c>
      <c r="P601" t="n">
        <v>0</v>
      </c>
      <c r="Q601" t="n">
        <v>0</v>
      </c>
      <c r="R601" s="2" t="inlineStr"/>
    </row>
    <row r="602" ht="15" customHeight="1">
      <c r="A602" t="inlineStr">
        <is>
          <t>A 7111-2024</t>
        </is>
      </c>
      <c r="B602" s="1" t="n">
        <v>45343.95162037037</v>
      </c>
      <c r="C602" s="1" t="n">
        <v>45917</v>
      </c>
      <c r="D602" t="inlineStr">
        <is>
          <t>JÄMTLANDS LÄN</t>
        </is>
      </c>
      <c r="E602" t="inlineStr">
        <is>
          <t>KROKOM</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37821-2025</t>
        </is>
      </c>
      <c r="B603" s="1" t="n">
        <v>45881.40521990741</v>
      </c>
      <c r="C603" s="1" t="n">
        <v>45917</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35720-2024</t>
        </is>
      </c>
      <c r="B604" s="1" t="n">
        <v>45532.48732638889</v>
      </c>
      <c r="C604" s="1" t="n">
        <v>45917</v>
      </c>
      <c r="D604" t="inlineStr">
        <is>
          <t>JÄMTLANDS LÄN</t>
        </is>
      </c>
      <c r="E604" t="inlineStr">
        <is>
          <t>KROKOM</t>
        </is>
      </c>
      <c r="G604" t="n">
        <v>3.2</v>
      </c>
      <c r="H604" t="n">
        <v>0</v>
      </c>
      <c r="I604" t="n">
        <v>0</v>
      </c>
      <c r="J604" t="n">
        <v>0</v>
      </c>
      <c r="K604" t="n">
        <v>0</v>
      </c>
      <c r="L604" t="n">
        <v>0</v>
      </c>
      <c r="M604" t="n">
        <v>0</v>
      </c>
      <c r="N604" t="n">
        <v>0</v>
      </c>
      <c r="O604" t="n">
        <v>0</v>
      </c>
      <c r="P604" t="n">
        <v>0</v>
      </c>
      <c r="Q604" t="n">
        <v>0</v>
      </c>
      <c r="R604" s="2" t="inlineStr"/>
    </row>
    <row r="605" ht="15" customHeight="1">
      <c r="A605" t="inlineStr">
        <is>
          <t>A 66880-2021</t>
        </is>
      </c>
      <c r="B605" s="1" t="n">
        <v>44522.46662037037</v>
      </c>
      <c r="C605" s="1" t="n">
        <v>45917</v>
      </c>
      <c r="D605" t="inlineStr">
        <is>
          <t>JÄMTLANDS LÄN</t>
        </is>
      </c>
      <c r="E605" t="inlineStr">
        <is>
          <t>KROKOM</t>
        </is>
      </c>
      <c r="G605" t="n">
        <v>2</v>
      </c>
      <c r="H605" t="n">
        <v>0</v>
      </c>
      <c r="I605" t="n">
        <v>0</v>
      </c>
      <c r="J605" t="n">
        <v>0</v>
      </c>
      <c r="K605" t="n">
        <v>0</v>
      </c>
      <c r="L605" t="n">
        <v>0</v>
      </c>
      <c r="M605" t="n">
        <v>0</v>
      </c>
      <c r="N605" t="n">
        <v>0</v>
      </c>
      <c r="O605" t="n">
        <v>0</v>
      </c>
      <c r="P605" t="n">
        <v>0</v>
      </c>
      <c r="Q605" t="n">
        <v>0</v>
      </c>
      <c r="R605" s="2" t="inlineStr"/>
    </row>
    <row r="606" ht="15" customHeight="1">
      <c r="A606" t="inlineStr">
        <is>
          <t>A 50129-2024</t>
        </is>
      </c>
      <c r="B606" s="1" t="n">
        <v>45600.433125</v>
      </c>
      <c r="C606" s="1" t="n">
        <v>45917</v>
      </c>
      <c r="D606" t="inlineStr">
        <is>
          <t>JÄMTLANDS LÄN</t>
        </is>
      </c>
      <c r="E606" t="inlineStr">
        <is>
          <t>KROKOM</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6991-2025</t>
        </is>
      </c>
      <c r="B607" s="1" t="n">
        <v>45701.57363425926</v>
      </c>
      <c r="C607" s="1" t="n">
        <v>45917</v>
      </c>
      <c r="D607" t="inlineStr">
        <is>
          <t>JÄMTLANDS LÄN</t>
        </is>
      </c>
      <c r="E607" t="inlineStr">
        <is>
          <t>KROKOM</t>
        </is>
      </c>
      <c r="G607" t="n">
        <v>4.9</v>
      </c>
      <c r="H607" t="n">
        <v>0</v>
      </c>
      <c r="I607" t="n">
        <v>0</v>
      </c>
      <c r="J607" t="n">
        <v>0</v>
      </c>
      <c r="K607" t="n">
        <v>0</v>
      </c>
      <c r="L607" t="n">
        <v>0</v>
      </c>
      <c r="M607" t="n">
        <v>0</v>
      </c>
      <c r="N607" t="n">
        <v>0</v>
      </c>
      <c r="O607" t="n">
        <v>0</v>
      </c>
      <c r="P607" t="n">
        <v>0</v>
      </c>
      <c r="Q607" t="n">
        <v>0</v>
      </c>
      <c r="R607" s="2" t="inlineStr"/>
    </row>
    <row r="608" ht="15" customHeight="1">
      <c r="A608" t="inlineStr">
        <is>
          <t>A 233-2023</t>
        </is>
      </c>
      <c r="B608" s="1" t="n">
        <v>44922</v>
      </c>
      <c r="C608" s="1" t="n">
        <v>45917</v>
      </c>
      <c r="D608" t="inlineStr">
        <is>
          <t>JÄMTLANDS LÄN</t>
        </is>
      </c>
      <c r="E608" t="inlineStr">
        <is>
          <t>KROKOM</t>
        </is>
      </c>
      <c r="G608" t="n">
        <v>0.6</v>
      </c>
      <c r="H608" t="n">
        <v>0</v>
      </c>
      <c r="I608" t="n">
        <v>0</v>
      </c>
      <c r="J608" t="n">
        <v>0</v>
      </c>
      <c r="K608" t="n">
        <v>0</v>
      </c>
      <c r="L608" t="n">
        <v>0</v>
      </c>
      <c r="M608" t="n">
        <v>0</v>
      </c>
      <c r="N608" t="n">
        <v>0</v>
      </c>
      <c r="O608" t="n">
        <v>0</v>
      </c>
      <c r="P608" t="n">
        <v>0</v>
      </c>
      <c r="Q608" t="n">
        <v>0</v>
      </c>
      <c r="R608" s="2" t="inlineStr"/>
    </row>
    <row r="609" ht="15" customHeight="1">
      <c r="A609" t="inlineStr">
        <is>
          <t>A 14170-2024</t>
        </is>
      </c>
      <c r="B609" s="1" t="n">
        <v>45392.95844907407</v>
      </c>
      <c r="C609" s="1" t="n">
        <v>45917</v>
      </c>
      <c r="D609" t="inlineStr">
        <is>
          <t>JÄMTLANDS LÄN</t>
        </is>
      </c>
      <c r="E609" t="inlineStr">
        <is>
          <t>KROKOM</t>
        </is>
      </c>
      <c r="G609" t="n">
        <v>4.9</v>
      </c>
      <c r="H609" t="n">
        <v>0</v>
      </c>
      <c r="I609" t="n">
        <v>0</v>
      </c>
      <c r="J609" t="n">
        <v>0</v>
      </c>
      <c r="K609" t="n">
        <v>0</v>
      </c>
      <c r="L609" t="n">
        <v>0</v>
      </c>
      <c r="M609" t="n">
        <v>0</v>
      </c>
      <c r="N609" t="n">
        <v>0</v>
      </c>
      <c r="O609" t="n">
        <v>0</v>
      </c>
      <c r="P609" t="n">
        <v>0</v>
      </c>
      <c r="Q609" t="n">
        <v>0</v>
      </c>
      <c r="R609" s="2" t="inlineStr"/>
    </row>
    <row r="610" ht="15" customHeight="1">
      <c r="A610" t="inlineStr">
        <is>
          <t>A 14171-2024</t>
        </is>
      </c>
      <c r="B610" s="1" t="n">
        <v>45392</v>
      </c>
      <c r="C610" s="1" t="n">
        <v>45917</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37886-2025</t>
        </is>
      </c>
      <c r="B611" s="1" t="n">
        <v>45881.51081018519</v>
      </c>
      <c r="C611" s="1" t="n">
        <v>45917</v>
      </c>
      <c r="D611" t="inlineStr">
        <is>
          <t>JÄMTLANDS LÄN</t>
        </is>
      </c>
      <c r="E611" t="inlineStr">
        <is>
          <t>KROKOM</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45917</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38416-2025</t>
        </is>
      </c>
      <c r="B613" s="1" t="n">
        <v>45883.61028935185</v>
      </c>
      <c r="C613" s="1" t="n">
        <v>45917</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52268-2022</t>
        </is>
      </c>
      <c r="B614" s="1" t="n">
        <v>44873</v>
      </c>
      <c r="C614" s="1" t="n">
        <v>45917</v>
      </c>
      <c r="D614" t="inlineStr">
        <is>
          <t>JÄMTLANDS LÄN</t>
        </is>
      </c>
      <c r="E614" t="inlineStr">
        <is>
          <t>KROKOM</t>
        </is>
      </c>
      <c r="G614" t="n">
        <v>0.7</v>
      </c>
      <c r="H614" t="n">
        <v>0</v>
      </c>
      <c r="I614" t="n">
        <v>0</v>
      </c>
      <c r="J614" t="n">
        <v>0</v>
      </c>
      <c r="K614" t="n">
        <v>0</v>
      </c>
      <c r="L614" t="n">
        <v>0</v>
      </c>
      <c r="M614" t="n">
        <v>0</v>
      </c>
      <c r="N614" t="n">
        <v>0</v>
      </c>
      <c r="O614" t="n">
        <v>0</v>
      </c>
      <c r="P614" t="n">
        <v>0</v>
      </c>
      <c r="Q614" t="n">
        <v>0</v>
      </c>
      <c r="R614" s="2" t="inlineStr"/>
      <c r="U614">
        <f>HYPERLINK("https://klasma.github.io/Logging_2309/knärot/A 52268-2022 karta knärot.png", "A 52268-2022")</f>
        <v/>
      </c>
      <c r="V614">
        <f>HYPERLINK("https://klasma.github.io/Logging_2309/klagomål/A 52268-2022 FSC-klagomål.docx", "A 52268-2022")</f>
        <v/>
      </c>
      <c r="W614">
        <f>HYPERLINK("https://klasma.github.io/Logging_2309/klagomålsmail/A 52268-2022 FSC-klagomål mail.docx", "A 52268-2022")</f>
        <v/>
      </c>
      <c r="X614">
        <f>HYPERLINK("https://klasma.github.io/Logging_2309/tillsyn/A 52268-2022 tillsynsbegäran.docx", "A 52268-2022")</f>
        <v/>
      </c>
      <c r="Y614">
        <f>HYPERLINK("https://klasma.github.io/Logging_2309/tillsynsmail/A 52268-2022 tillsynsbegäran mail.docx", "A 52268-2022")</f>
        <v/>
      </c>
    </row>
    <row r="615" ht="15" customHeight="1">
      <c r="A615" t="inlineStr">
        <is>
          <t>A 37530-2025</t>
        </is>
      </c>
      <c r="B615" s="1" t="n">
        <v>45878</v>
      </c>
      <c r="C615" s="1" t="n">
        <v>45917</v>
      </c>
      <c r="D615" t="inlineStr">
        <is>
          <t>JÄMTLANDS LÄN</t>
        </is>
      </c>
      <c r="E615" t="inlineStr">
        <is>
          <t>KROKOM</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33677-2025</t>
        </is>
      </c>
      <c r="B616" s="1" t="n">
        <v>45841.67834490741</v>
      </c>
      <c r="C616" s="1" t="n">
        <v>45917</v>
      </c>
      <c r="D616" t="inlineStr">
        <is>
          <t>JÄMTLANDS LÄN</t>
        </is>
      </c>
      <c r="E616" t="inlineStr">
        <is>
          <t>KROKOM</t>
        </is>
      </c>
      <c r="F616" t="inlineStr">
        <is>
          <t>SCA</t>
        </is>
      </c>
      <c r="G616" t="n">
        <v>13.7</v>
      </c>
      <c r="H616" t="n">
        <v>0</v>
      </c>
      <c r="I616" t="n">
        <v>0</v>
      </c>
      <c r="J616" t="n">
        <v>0</v>
      </c>
      <c r="K616" t="n">
        <v>0</v>
      </c>
      <c r="L616" t="n">
        <v>0</v>
      </c>
      <c r="M616" t="n">
        <v>0</v>
      </c>
      <c r="N616" t="n">
        <v>0</v>
      </c>
      <c r="O616" t="n">
        <v>0</v>
      </c>
      <c r="P616" t="n">
        <v>0</v>
      </c>
      <c r="Q616" t="n">
        <v>0</v>
      </c>
      <c r="R616" s="2" t="inlineStr"/>
    </row>
    <row r="617" ht="15" customHeight="1">
      <c r="A617" t="inlineStr">
        <is>
          <t>A 58313-2022</t>
        </is>
      </c>
      <c r="B617" s="1" t="n">
        <v>44901.54615740741</v>
      </c>
      <c r="C617" s="1" t="n">
        <v>45917</v>
      </c>
      <c r="D617" t="inlineStr">
        <is>
          <t>JÄMTLANDS LÄN</t>
        </is>
      </c>
      <c r="E617" t="inlineStr">
        <is>
          <t>KROKOM</t>
        </is>
      </c>
      <c r="F617" t="inlineStr">
        <is>
          <t>Övriga Aktiebolag</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33777-2025</t>
        </is>
      </c>
      <c r="B618" s="1" t="n">
        <v>45842.39587962963</v>
      </c>
      <c r="C618" s="1" t="n">
        <v>45917</v>
      </c>
      <c r="D618" t="inlineStr">
        <is>
          <t>JÄMTLANDS LÄN</t>
        </is>
      </c>
      <c r="E618" t="inlineStr">
        <is>
          <t>KROKOM</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33779-2025</t>
        </is>
      </c>
      <c r="B619" s="1" t="n">
        <v>45842.40013888889</v>
      </c>
      <c r="C619" s="1" t="n">
        <v>45917</v>
      </c>
      <c r="D619" t="inlineStr">
        <is>
          <t>JÄMTLANDS LÄN</t>
        </is>
      </c>
      <c r="E619" t="inlineStr">
        <is>
          <t>KROKOM</t>
        </is>
      </c>
      <c r="F619" t="inlineStr">
        <is>
          <t>Övriga Aktiebolag</t>
        </is>
      </c>
      <c r="G619" t="n">
        <v>0.3</v>
      </c>
      <c r="H619" t="n">
        <v>0</v>
      </c>
      <c r="I619" t="n">
        <v>0</v>
      </c>
      <c r="J619" t="n">
        <v>0</v>
      </c>
      <c r="K619" t="n">
        <v>0</v>
      </c>
      <c r="L619" t="n">
        <v>0</v>
      </c>
      <c r="M619" t="n">
        <v>0</v>
      </c>
      <c r="N619" t="n">
        <v>0</v>
      </c>
      <c r="O619" t="n">
        <v>0</v>
      </c>
      <c r="P619" t="n">
        <v>0</v>
      </c>
      <c r="Q619" t="n">
        <v>0</v>
      </c>
      <c r="R619" s="2" t="inlineStr"/>
    </row>
    <row r="620" ht="15" customHeight="1">
      <c r="A620" t="inlineStr">
        <is>
          <t>A 56596-2020</t>
        </is>
      </c>
      <c r="B620" s="1" t="n">
        <v>44133</v>
      </c>
      <c r="C620" s="1" t="n">
        <v>45917</v>
      </c>
      <c r="D620" t="inlineStr">
        <is>
          <t>JÄMTLANDS LÄN</t>
        </is>
      </c>
      <c r="E620" t="inlineStr">
        <is>
          <t>KROKOM</t>
        </is>
      </c>
      <c r="G620" t="n">
        <v>7.2</v>
      </c>
      <c r="H620" t="n">
        <v>0</v>
      </c>
      <c r="I620" t="n">
        <v>0</v>
      </c>
      <c r="J620" t="n">
        <v>0</v>
      </c>
      <c r="K620" t="n">
        <v>0</v>
      </c>
      <c r="L620" t="n">
        <v>0</v>
      </c>
      <c r="M620" t="n">
        <v>0</v>
      </c>
      <c r="N620" t="n">
        <v>0</v>
      </c>
      <c r="O620" t="n">
        <v>0</v>
      </c>
      <c r="P620" t="n">
        <v>0</v>
      </c>
      <c r="Q620" t="n">
        <v>0</v>
      </c>
      <c r="R620" s="2" t="inlineStr"/>
    </row>
    <row r="621" ht="15" customHeight="1">
      <c r="A621" t="inlineStr">
        <is>
          <t>A 15876-2025</t>
        </is>
      </c>
      <c r="B621" s="1" t="n">
        <v>45749.38379629629</v>
      </c>
      <c r="C621" s="1" t="n">
        <v>45917</v>
      </c>
      <c r="D621" t="inlineStr">
        <is>
          <t>JÄMTLANDS LÄN</t>
        </is>
      </c>
      <c r="E621" t="inlineStr">
        <is>
          <t>KROKOM</t>
        </is>
      </c>
      <c r="G621" t="n">
        <v>2.9</v>
      </c>
      <c r="H621" t="n">
        <v>0</v>
      </c>
      <c r="I621" t="n">
        <v>0</v>
      </c>
      <c r="J621" t="n">
        <v>0</v>
      </c>
      <c r="K621" t="n">
        <v>0</v>
      </c>
      <c r="L621" t="n">
        <v>0</v>
      </c>
      <c r="M621" t="n">
        <v>0</v>
      </c>
      <c r="N621" t="n">
        <v>0</v>
      </c>
      <c r="O621" t="n">
        <v>0</v>
      </c>
      <c r="P621" t="n">
        <v>0</v>
      </c>
      <c r="Q621" t="n">
        <v>0</v>
      </c>
      <c r="R621" s="2" t="inlineStr"/>
    </row>
    <row r="622" ht="15" customHeight="1">
      <c r="A622" t="inlineStr">
        <is>
          <t>A 46644-2022</t>
        </is>
      </c>
      <c r="B622" s="1" t="n">
        <v>44849.8044212963</v>
      </c>
      <c r="C622" s="1" t="n">
        <v>45917</v>
      </c>
      <c r="D622" t="inlineStr">
        <is>
          <t>JÄMTLANDS LÄN</t>
        </is>
      </c>
      <c r="E622" t="inlineStr">
        <is>
          <t>KROKOM</t>
        </is>
      </c>
      <c r="G622" t="n">
        <v>4.2</v>
      </c>
      <c r="H622" t="n">
        <v>0</v>
      </c>
      <c r="I622" t="n">
        <v>0</v>
      </c>
      <c r="J622" t="n">
        <v>0</v>
      </c>
      <c r="K622" t="n">
        <v>0</v>
      </c>
      <c r="L622" t="n">
        <v>0</v>
      </c>
      <c r="M622" t="n">
        <v>0</v>
      </c>
      <c r="N622" t="n">
        <v>0</v>
      </c>
      <c r="O622" t="n">
        <v>0</v>
      </c>
      <c r="P622" t="n">
        <v>0</v>
      </c>
      <c r="Q622" t="n">
        <v>0</v>
      </c>
      <c r="R622" s="2" t="inlineStr"/>
    </row>
    <row r="623" ht="15" customHeight="1">
      <c r="A623" t="inlineStr">
        <is>
          <t>A 41439-2024</t>
        </is>
      </c>
      <c r="B623" s="1" t="n">
        <v>45560.38056712963</v>
      </c>
      <c r="C623" s="1" t="n">
        <v>45917</v>
      </c>
      <c r="D623" t="inlineStr">
        <is>
          <t>JÄMTLANDS LÄN</t>
        </is>
      </c>
      <c r="E623" t="inlineStr">
        <is>
          <t>KROKOM</t>
        </is>
      </c>
      <c r="F623" t="inlineStr">
        <is>
          <t>Övriga Aktiebolag</t>
        </is>
      </c>
      <c r="G623" t="n">
        <v>9.1</v>
      </c>
      <c r="H623" t="n">
        <v>0</v>
      </c>
      <c r="I623" t="n">
        <v>0</v>
      </c>
      <c r="J623" t="n">
        <v>0</v>
      </c>
      <c r="K623" t="n">
        <v>0</v>
      </c>
      <c r="L623" t="n">
        <v>0</v>
      </c>
      <c r="M623" t="n">
        <v>0</v>
      </c>
      <c r="N623" t="n">
        <v>0</v>
      </c>
      <c r="O623" t="n">
        <v>0</v>
      </c>
      <c r="P623" t="n">
        <v>0</v>
      </c>
      <c r="Q623" t="n">
        <v>0</v>
      </c>
      <c r="R623" s="2" t="inlineStr"/>
    </row>
    <row r="624" ht="15" customHeight="1">
      <c r="A624" t="inlineStr">
        <is>
          <t>A 38253-2025</t>
        </is>
      </c>
      <c r="B624" s="1" t="n">
        <v>45883.37883101852</v>
      </c>
      <c r="C624" s="1" t="n">
        <v>45917</v>
      </c>
      <c r="D624" t="inlineStr">
        <is>
          <t>JÄMTLANDS LÄN</t>
        </is>
      </c>
      <c r="E624" t="inlineStr">
        <is>
          <t>KROKOM</t>
        </is>
      </c>
      <c r="G624" t="n">
        <v>5.8</v>
      </c>
      <c r="H624" t="n">
        <v>0</v>
      </c>
      <c r="I624" t="n">
        <v>0</v>
      </c>
      <c r="J624" t="n">
        <v>0</v>
      </c>
      <c r="K624" t="n">
        <v>0</v>
      </c>
      <c r="L624" t="n">
        <v>0</v>
      </c>
      <c r="M624" t="n">
        <v>0</v>
      </c>
      <c r="N624" t="n">
        <v>0</v>
      </c>
      <c r="O624" t="n">
        <v>0</v>
      </c>
      <c r="P624" t="n">
        <v>0</v>
      </c>
      <c r="Q624" t="n">
        <v>0</v>
      </c>
      <c r="R624" s="2" t="inlineStr"/>
    </row>
    <row r="625" ht="15" customHeight="1">
      <c r="A625" t="inlineStr">
        <is>
          <t>A 42816-2023</t>
        </is>
      </c>
      <c r="B625" s="1" t="n">
        <v>45182</v>
      </c>
      <c r="C625" s="1" t="n">
        <v>45917</v>
      </c>
      <c r="D625" t="inlineStr">
        <is>
          <t>JÄMTLANDS LÄN</t>
        </is>
      </c>
      <c r="E625" t="inlineStr">
        <is>
          <t>KROKOM</t>
        </is>
      </c>
      <c r="G625" t="n">
        <v>3.9</v>
      </c>
      <c r="H625" t="n">
        <v>0</v>
      </c>
      <c r="I625" t="n">
        <v>0</v>
      </c>
      <c r="J625" t="n">
        <v>0</v>
      </c>
      <c r="K625" t="n">
        <v>0</v>
      </c>
      <c r="L625" t="n">
        <v>0</v>
      </c>
      <c r="M625" t="n">
        <v>0</v>
      </c>
      <c r="N625" t="n">
        <v>0</v>
      </c>
      <c r="O625" t="n">
        <v>0</v>
      </c>
      <c r="P625" t="n">
        <v>0</v>
      </c>
      <c r="Q625" t="n">
        <v>0</v>
      </c>
      <c r="R625" s="2" t="inlineStr"/>
    </row>
    <row r="626" ht="15" customHeight="1">
      <c r="A626" t="inlineStr">
        <is>
          <t>A 53807-2024</t>
        </is>
      </c>
      <c r="B626" s="1" t="n">
        <v>45615.59521990741</v>
      </c>
      <c r="C626" s="1" t="n">
        <v>45917</v>
      </c>
      <c r="D626" t="inlineStr">
        <is>
          <t>JÄMTLANDS LÄN</t>
        </is>
      </c>
      <c r="E626" t="inlineStr">
        <is>
          <t>KROKOM</t>
        </is>
      </c>
      <c r="G626" t="n">
        <v>6.5</v>
      </c>
      <c r="H626" t="n">
        <v>0</v>
      </c>
      <c r="I626" t="n">
        <v>0</v>
      </c>
      <c r="J626" t="n">
        <v>0</v>
      </c>
      <c r="K626" t="n">
        <v>0</v>
      </c>
      <c r="L626" t="n">
        <v>0</v>
      </c>
      <c r="M626" t="n">
        <v>0</v>
      </c>
      <c r="N626" t="n">
        <v>0</v>
      </c>
      <c r="O626" t="n">
        <v>0</v>
      </c>
      <c r="P626" t="n">
        <v>0</v>
      </c>
      <c r="Q626" t="n">
        <v>0</v>
      </c>
      <c r="R626" s="2" t="inlineStr"/>
    </row>
    <row r="627" ht="15" customHeight="1">
      <c r="A627" t="inlineStr">
        <is>
          <t>A 33451-2025</t>
        </is>
      </c>
      <c r="B627" s="1" t="n">
        <v>45841.46925925926</v>
      </c>
      <c r="C627" s="1" t="n">
        <v>45917</v>
      </c>
      <c r="D627" t="inlineStr">
        <is>
          <t>JÄMTLANDS LÄN</t>
        </is>
      </c>
      <c r="E627" t="inlineStr">
        <is>
          <t>KROKOM</t>
        </is>
      </c>
      <c r="F627" t="inlineStr">
        <is>
          <t>SCA</t>
        </is>
      </c>
      <c r="G627" t="n">
        <v>17.5</v>
      </c>
      <c r="H627" t="n">
        <v>0</v>
      </c>
      <c r="I627" t="n">
        <v>0</v>
      </c>
      <c r="J627" t="n">
        <v>0</v>
      </c>
      <c r="K627" t="n">
        <v>0</v>
      </c>
      <c r="L627" t="n">
        <v>0</v>
      </c>
      <c r="M627" t="n">
        <v>0</v>
      </c>
      <c r="N627" t="n">
        <v>0</v>
      </c>
      <c r="O627" t="n">
        <v>0</v>
      </c>
      <c r="P627" t="n">
        <v>0</v>
      </c>
      <c r="Q627" t="n">
        <v>0</v>
      </c>
      <c r="R627" s="2" t="inlineStr"/>
    </row>
    <row r="628" ht="15" customHeight="1">
      <c r="A628" t="inlineStr">
        <is>
          <t>A 15528-2024</t>
        </is>
      </c>
      <c r="B628" s="1" t="n">
        <v>45401.59810185185</v>
      </c>
      <c r="C628" s="1" t="n">
        <v>45917</v>
      </c>
      <c r="D628" t="inlineStr">
        <is>
          <t>JÄMTLANDS LÄN</t>
        </is>
      </c>
      <c r="E628" t="inlineStr">
        <is>
          <t>KROKOM</t>
        </is>
      </c>
      <c r="G628" t="n">
        <v>2.9</v>
      </c>
      <c r="H628" t="n">
        <v>0</v>
      </c>
      <c r="I628" t="n">
        <v>0</v>
      </c>
      <c r="J628" t="n">
        <v>0</v>
      </c>
      <c r="K628" t="n">
        <v>0</v>
      </c>
      <c r="L628" t="n">
        <v>0</v>
      </c>
      <c r="M628" t="n">
        <v>0</v>
      </c>
      <c r="N628" t="n">
        <v>0</v>
      </c>
      <c r="O628" t="n">
        <v>0</v>
      </c>
      <c r="P628" t="n">
        <v>0</v>
      </c>
      <c r="Q628" t="n">
        <v>0</v>
      </c>
      <c r="R628" s="2" t="inlineStr"/>
    </row>
    <row r="629" ht="15" customHeight="1">
      <c r="A629" t="inlineStr">
        <is>
          <t>A 27075-2022</t>
        </is>
      </c>
      <c r="B629" s="1" t="n">
        <v>44741</v>
      </c>
      <c r="C629" s="1" t="n">
        <v>45917</v>
      </c>
      <c r="D629" t="inlineStr">
        <is>
          <t>JÄMTLANDS LÄN</t>
        </is>
      </c>
      <c r="E629" t="inlineStr">
        <is>
          <t>KROKOM</t>
        </is>
      </c>
      <c r="G629" t="n">
        <v>10.4</v>
      </c>
      <c r="H629" t="n">
        <v>0</v>
      </c>
      <c r="I629" t="n">
        <v>0</v>
      </c>
      <c r="J629" t="n">
        <v>0</v>
      </c>
      <c r="K629" t="n">
        <v>0</v>
      </c>
      <c r="L629" t="n">
        <v>0</v>
      </c>
      <c r="M629" t="n">
        <v>0</v>
      </c>
      <c r="N629" t="n">
        <v>0</v>
      </c>
      <c r="O629" t="n">
        <v>0</v>
      </c>
      <c r="P629" t="n">
        <v>0</v>
      </c>
      <c r="Q629" t="n">
        <v>0</v>
      </c>
      <c r="R629" s="2" t="inlineStr"/>
    </row>
    <row r="630" ht="15" customHeight="1">
      <c r="A630" t="inlineStr">
        <is>
          <t>A 33915-2025</t>
        </is>
      </c>
      <c r="B630" s="1" t="n">
        <v>45842.6099537037</v>
      </c>
      <c r="C630" s="1" t="n">
        <v>45917</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33418-2025</t>
        </is>
      </c>
      <c r="B631" s="1" t="n">
        <v>45841.43987268519</v>
      </c>
      <c r="C631" s="1" t="n">
        <v>45917</v>
      </c>
      <c r="D631" t="inlineStr">
        <is>
          <t>JÄMTLANDS LÄN</t>
        </is>
      </c>
      <c r="E631" t="inlineStr">
        <is>
          <t>KROKOM</t>
        </is>
      </c>
      <c r="G631" t="n">
        <v>3.9</v>
      </c>
      <c r="H631" t="n">
        <v>0</v>
      </c>
      <c r="I631" t="n">
        <v>0</v>
      </c>
      <c r="J631" t="n">
        <v>0</v>
      </c>
      <c r="K631" t="n">
        <v>0</v>
      </c>
      <c r="L631" t="n">
        <v>0</v>
      </c>
      <c r="M631" t="n">
        <v>0</v>
      </c>
      <c r="N631" t="n">
        <v>0</v>
      </c>
      <c r="O631" t="n">
        <v>0</v>
      </c>
      <c r="P631" t="n">
        <v>0</v>
      </c>
      <c r="Q631" t="n">
        <v>0</v>
      </c>
      <c r="R631" s="2" t="inlineStr"/>
    </row>
    <row r="632" ht="15" customHeight="1">
      <c r="A632" t="inlineStr">
        <is>
          <t>A 24559-2024</t>
        </is>
      </c>
      <c r="B632" s="1" t="n">
        <v>45460.44076388889</v>
      </c>
      <c r="C632" s="1" t="n">
        <v>45917</v>
      </c>
      <c r="D632" t="inlineStr">
        <is>
          <t>JÄMTLANDS LÄN</t>
        </is>
      </c>
      <c r="E632" t="inlineStr">
        <is>
          <t>KROKOM</t>
        </is>
      </c>
      <c r="G632" t="n">
        <v>0.9</v>
      </c>
      <c r="H632" t="n">
        <v>0</v>
      </c>
      <c r="I632" t="n">
        <v>0</v>
      </c>
      <c r="J632" t="n">
        <v>0</v>
      </c>
      <c r="K632" t="n">
        <v>0</v>
      </c>
      <c r="L632" t="n">
        <v>0</v>
      </c>
      <c r="M632" t="n">
        <v>0</v>
      </c>
      <c r="N632" t="n">
        <v>0</v>
      </c>
      <c r="O632" t="n">
        <v>0</v>
      </c>
      <c r="P632" t="n">
        <v>0</v>
      </c>
      <c r="Q632" t="n">
        <v>0</v>
      </c>
      <c r="R632" s="2" t="inlineStr"/>
    </row>
    <row r="633" ht="15" customHeight="1">
      <c r="A633" t="inlineStr">
        <is>
          <t>A 884-2021</t>
        </is>
      </c>
      <c r="B633" s="1" t="n">
        <v>44206</v>
      </c>
      <c r="C633" s="1" t="n">
        <v>45917</v>
      </c>
      <c r="D633" t="inlineStr">
        <is>
          <t>JÄMTLANDS LÄN</t>
        </is>
      </c>
      <c r="E633" t="inlineStr">
        <is>
          <t>KROKOM</t>
        </is>
      </c>
      <c r="G633" t="n">
        <v>0.2</v>
      </c>
      <c r="H633" t="n">
        <v>0</v>
      </c>
      <c r="I633" t="n">
        <v>0</v>
      </c>
      <c r="J633" t="n">
        <v>0</v>
      </c>
      <c r="K633" t="n">
        <v>0</v>
      </c>
      <c r="L633" t="n">
        <v>0</v>
      </c>
      <c r="M633" t="n">
        <v>0</v>
      </c>
      <c r="N633" t="n">
        <v>0</v>
      </c>
      <c r="O633" t="n">
        <v>0</v>
      </c>
      <c r="P633" t="n">
        <v>0</v>
      </c>
      <c r="Q633" t="n">
        <v>0</v>
      </c>
      <c r="R633" s="2" t="inlineStr"/>
    </row>
    <row r="634" ht="15" customHeight="1">
      <c r="A634" t="inlineStr">
        <is>
          <t>A 38789-2025</t>
        </is>
      </c>
      <c r="B634" s="1" t="n">
        <v>45887.44883101852</v>
      </c>
      <c r="C634" s="1" t="n">
        <v>45917</v>
      </c>
      <c r="D634" t="inlineStr">
        <is>
          <t>JÄMTLANDS LÄN</t>
        </is>
      </c>
      <c r="E634" t="inlineStr">
        <is>
          <t>KROKOM</t>
        </is>
      </c>
      <c r="G634" t="n">
        <v>3.7</v>
      </c>
      <c r="H634" t="n">
        <v>0</v>
      </c>
      <c r="I634" t="n">
        <v>0</v>
      </c>
      <c r="J634" t="n">
        <v>0</v>
      </c>
      <c r="K634" t="n">
        <v>0</v>
      </c>
      <c r="L634" t="n">
        <v>0</v>
      </c>
      <c r="M634" t="n">
        <v>0</v>
      </c>
      <c r="N634" t="n">
        <v>0</v>
      </c>
      <c r="O634" t="n">
        <v>0</v>
      </c>
      <c r="P634" t="n">
        <v>0</v>
      </c>
      <c r="Q634" t="n">
        <v>0</v>
      </c>
      <c r="R634" s="2" t="inlineStr"/>
    </row>
    <row r="635" ht="15" customHeight="1">
      <c r="A635" t="inlineStr">
        <is>
          <t>A 7908-2025</t>
        </is>
      </c>
      <c r="B635" s="1" t="n">
        <v>45707.33935185185</v>
      </c>
      <c r="C635" s="1" t="n">
        <v>45917</v>
      </c>
      <c r="D635" t="inlineStr">
        <is>
          <t>JÄMTLANDS LÄN</t>
        </is>
      </c>
      <c r="E635" t="inlineStr">
        <is>
          <t>KROKOM</t>
        </is>
      </c>
      <c r="F635" t="inlineStr">
        <is>
          <t>Övriga Aktiebolag</t>
        </is>
      </c>
      <c r="G635" t="n">
        <v>10.1</v>
      </c>
      <c r="H635" t="n">
        <v>0</v>
      </c>
      <c r="I635" t="n">
        <v>0</v>
      </c>
      <c r="J635" t="n">
        <v>0</v>
      </c>
      <c r="K635" t="n">
        <v>0</v>
      </c>
      <c r="L635" t="n">
        <v>0</v>
      </c>
      <c r="M635" t="n">
        <v>0</v>
      </c>
      <c r="N635" t="n">
        <v>0</v>
      </c>
      <c r="O635" t="n">
        <v>0</v>
      </c>
      <c r="P635" t="n">
        <v>0</v>
      </c>
      <c r="Q635" t="n">
        <v>0</v>
      </c>
      <c r="R635" s="2" t="inlineStr"/>
    </row>
    <row r="636" ht="15" customHeight="1">
      <c r="A636" t="inlineStr">
        <is>
          <t>A 20210-2025</t>
        </is>
      </c>
      <c r="B636" s="1" t="n">
        <v>45772.62052083333</v>
      </c>
      <c r="C636" s="1" t="n">
        <v>45917</v>
      </c>
      <c r="D636" t="inlineStr">
        <is>
          <t>JÄMTLANDS LÄN</t>
        </is>
      </c>
      <c r="E636" t="inlineStr">
        <is>
          <t>KROKOM</t>
        </is>
      </c>
      <c r="G636" t="n">
        <v>12.3</v>
      </c>
      <c r="H636" t="n">
        <v>0</v>
      </c>
      <c r="I636" t="n">
        <v>0</v>
      </c>
      <c r="J636" t="n">
        <v>0</v>
      </c>
      <c r="K636" t="n">
        <v>0</v>
      </c>
      <c r="L636" t="n">
        <v>0</v>
      </c>
      <c r="M636" t="n">
        <v>0</v>
      </c>
      <c r="N636" t="n">
        <v>0</v>
      </c>
      <c r="O636" t="n">
        <v>0</v>
      </c>
      <c r="P636" t="n">
        <v>0</v>
      </c>
      <c r="Q636" t="n">
        <v>0</v>
      </c>
      <c r="R636" s="2" t="inlineStr"/>
    </row>
    <row r="637" ht="15" customHeight="1">
      <c r="A637" t="inlineStr">
        <is>
          <t>A 38894-2025</t>
        </is>
      </c>
      <c r="B637" s="1" t="n">
        <v>45887.59064814815</v>
      </c>
      <c r="C637" s="1" t="n">
        <v>45917</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58563-2023</t>
        </is>
      </c>
      <c r="B638" s="1" t="n">
        <v>45246</v>
      </c>
      <c r="C638" s="1" t="n">
        <v>45917</v>
      </c>
      <c r="D638" t="inlineStr">
        <is>
          <t>JÄMTLANDS LÄN</t>
        </is>
      </c>
      <c r="E638" t="inlineStr">
        <is>
          <t>KROKOM</t>
        </is>
      </c>
      <c r="G638" t="n">
        <v>1.7</v>
      </c>
      <c r="H638" t="n">
        <v>0</v>
      </c>
      <c r="I638" t="n">
        <v>0</v>
      </c>
      <c r="J638" t="n">
        <v>0</v>
      </c>
      <c r="K638" t="n">
        <v>0</v>
      </c>
      <c r="L638" t="n">
        <v>0</v>
      </c>
      <c r="M638" t="n">
        <v>0</v>
      </c>
      <c r="N638" t="n">
        <v>0</v>
      </c>
      <c r="O638" t="n">
        <v>0</v>
      </c>
      <c r="P638" t="n">
        <v>0</v>
      </c>
      <c r="Q638" t="n">
        <v>0</v>
      </c>
      <c r="R638" s="2" t="inlineStr"/>
    </row>
    <row r="639" ht="15" customHeight="1">
      <c r="A639" t="inlineStr">
        <is>
          <t>A 33945-2025</t>
        </is>
      </c>
      <c r="B639" s="1" t="n">
        <v>45842</v>
      </c>
      <c r="C639" s="1" t="n">
        <v>45917</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33359-2022</t>
        </is>
      </c>
      <c r="B640" s="1" t="n">
        <v>44788</v>
      </c>
      <c r="C640" s="1" t="n">
        <v>45917</v>
      </c>
      <c r="D640" t="inlineStr">
        <is>
          <t>JÄMTLANDS LÄN</t>
        </is>
      </c>
      <c r="E640" t="inlineStr">
        <is>
          <t>KROKOM</t>
        </is>
      </c>
      <c r="G640" t="n">
        <v>1.1</v>
      </c>
      <c r="H640" t="n">
        <v>0</v>
      </c>
      <c r="I640" t="n">
        <v>0</v>
      </c>
      <c r="J640" t="n">
        <v>0</v>
      </c>
      <c r="K640" t="n">
        <v>0</v>
      </c>
      <c r="L640" t="n">
        <v>0</v>
      </c>
      <c r="M640" t="n">
        <v>0</v>
      </c>
      <c r="N640" t="n">
        <v>0</v>
      </c>
      <c r="O640" t="n">
        <v>0</v>
      </c>
      <c r="P640" t="n">
        <v>0</v>
      </c>
      <c r="Q640" t="n">
        <v>0</v>
      </c>
      <c r="R640" s="2" t="inlineStr"/>
    </row>
    <row r="641" ht="15" customHeight="1">
      <c r="A641" t="inlineStr">
        <is>
          <t>A 30728-2022</t>
        </is>
      </c>
      <c r="B641" s="1" t="n">
        <v>44764</v>
      </c>
      <c r="C641" s="1" t="n">
        <v>45917</v>
      </c>
      <c r="D641" t="inlineStr">
        <is>
          <t>JÄMTLANDS LÄN</t>
        </is>
      </c>
      <c r="E641" t="inlineStr">
        <is>
          <t>KROKOM</t>
        </is>
      </c>
      <c r="G641" t="n">
        <v>6.4</v>
      </c>
      <c r="H641" t="n">
        <v>0</v>
      </c>
      <c r="I641" t="n">
        <v>0</v>
      </c>
      <c r="J641" t="n">
        <v>0</v>
      </c>
      <c r="K641" t="n">
        <v>0</v>
      </c>
      <c r="L641" t="n">
        <v>0</v>
      </c>
      <c r="M641" t="n">
        <v>0</v>
      </c>
      <c r="N641" t="n">
        <v>0</v>
      </c>
      <c r="O641" t="n">
        <v>0</v>
      </c>
      <c r="P641" t="n">
        <v>0</v>
      </c>
      <c r="Q641" t="n">
        <v>0</v>
      </c>
      <c r="R641" s="2" t="inlineStr"/>
    </row>
    <row r="642" ht="15" customHeight="1">
      <c r="A642" t="inlineStr">
        <is>
          <t>A 30729-2022</t>
        </is>
      </c>
      <c r="B642" s="1" t="n">
        <v>44764</v>
      </c>
      <c r="C642" s="1" t="n">
        <v>45917</v>
      </c>
      <c r="D642" t="inlineStr">
        <is>
          <t>JÄMTLANDS LÄN</t>
        </is>
      </c>
      <c r="E642" t="inlineStr">
        <is>
          <t>KROKOM</t>
        </is>
      </c>
      <c r="G642" t="n">
        <v>2.5</v>
      </c>
      <c r="H642" t="n">
        <v>0</v>
      </c>
      <c r="I642" t="n">
        <v>0</v>
      </c>
      <c r="J642" t="n">
        <v>0</v>
      </c>
      <c r="K642" t="n">
        <v>0</v>
      </c>
      <c r="L642" t="n">
        <v>0</v>
      </c>
      <c r="M642" t="n">
        <v>0</v>
      </c>
      <c r="N642" t="n">
        <v>0</v>
      </c>
      <c r="O642" t="n">
        <v>0</v>
      </c>
      <c r="P642" t="n">
        <v>0</v>
      </c>
      <c r="Q642" t="n">
        <v>0</v>
      </c>
      <c r="R642" s="2" t="inlineStr"/>
    </row>
    <row r="643" ht="15" customHeight="1">
      <c r="A643" t="inlineStr">
        <is>
          <t>A 53771-2022</t>
        </is>
      </c>
      <c r="B643" s="1" t="n">
        <v>44875</v>
      </c>
      <c r="C643" s="1" t="n">
        <v>45917</v>
      </c>
      <c r="D643" t="inlineStr">
        <is>
          <t>JÄMTLANDS LÄN</t>
        </is>
      </c>
      <c r="E643" t="inlineStr">
        <is>
          <t>KROKOM</t>
        </is>
      </c>
      <c r="G643" t="n">
        <v>8.1</v>
      </c>
      <c r="H643" t="n">
        <v>0</v>
      </c>
      <c r="I643" t="n">
        <v>0</v>
      </c>
      <c r="J643" t="n">
        <v>0</v>
      </c>
      <c r="K643" t="n">
        <v>0</v>
      </c>
      <c r="L643" t="n">
        <v>0</v>
      </c>
      <c r="M643" t="n">
        <v>0</v>
      </c>
      <c r="N643" t="n">
        <v>0</v>
      </c>
      <c r="O643" t="n">
        <v>0</v>
      </c>
      <c r="P643" t="n">
        <v>0</v>
      </c>
      <c r="Q643" t="n">
        <v>0</v>
      </c>
      <c r="R643" s="2" t="inlineStr"/>
    </row>
    <row r="644" ht="15" customHeight="1">
      <c r="A644" t="inlineStr">
        <is>
          <t>A 7630-2023</t>
        </is>
      </c>
      <c r="B644" s="1" t="n">
        <v>44972.55690972223</v>
      </c>
      <c r="C644" s="1" t="n">
        <v>45917</v>
      </c>
      <c r="D644" t="inlineStr">
        <is>
          <t>JÄMTLANDS LÄN</t>
        </is>
      </c>
      <c r="E644" t="inlineStr">
        <is>
          <t>KROKOM</t>
        </is>
      </c>
      <c r="G644" t="n">
        <v>2.1</v>
      </c>
      <c r="H644" t="n">
        <v>0</v>
      </c>
      <c r="I644" t="n">
        <v>0</v>
      </c>
      <c r="J644" t="n">
        <v>0</v>
      </c>
      <c r="K644" t="n">
        <v>0</v>
      </c>
      <c r="L644" t="n">
        <v>0</v>
      </c>
      <c r="M644" t="n">
        <v>0</v>
      </c>
      <c r="N644" t="n">
        <v>0</v>
      </c>
      <c r="O644" t="n">
        <v>0</v>
      </c>
      <c r="P644" t="n">
        <v>0</v>
      </c>
      <c r="Q644" t="n">
        <v>0</v>
      </c>
      <c r="R644" s="2" t="inlineStr"/>
    </row>
    <row r="645" ht="15" customHeight="1">
      <c r="A645" t="inlineStr">
        <is>
          <t>A 38885-2025</t>
        </is>
      </c>
      <c r="B645" s="1" t="n">
        <v>45887.58372685185</v>
      </c>
      <c r="C645" s="1" t="n">
        <v>45917</v>
      </c>
      <c r="D645" t="inlineStr">
        <is>
          <t>JÄMTLANDS LÄN</t>
        </is>
      </c>
      <c r="E645" t="inlineStr">
        <is>
          <t>KROKOM</t>
        </is>
      </c>
      <c r="G645" t="n">
        <v>1</v>
      </c>
      <c r="H645" t="n">
        <v>0</v>
      </c>
      <c r="I645" t="n">
        <v>0</v>
      </c>
      <c r="J645" t="n">
        <v>0</v>
      </c>
      <c r="K645" t="n">
        <v>0</v>
      </c>
      <c r="L645" t="n">
        <v>0</v>
      </c>
      <c r="M645" t="n">
        <v>0</v>
      </c>
      <c r="N645" t="n">
        <v>0</v>
      </c>
      <c r="O645" t="n">
        <v>0</v>
      </c>
      <c r="P645" t="n">
        <v>0</v>
      </c>
      <c r="Q645" t="n">
        <v>0</v>
      </c>
      <c r="R645" s="2" t="inlineStr"/>
    </row>
    <row r="646" ht="15" customHeight="1">
      <c r="A646" t="inlineStr">
        <is>
          <t>A 39206-2025</t>
        </is>
      </c>
      <c r="B646" s="1" t="n">
        <v>45888.72766203704</v>
      </c>
      <c r="C646" s="1" t="n">
        <v>45917</v>
      </c>
      <c r="D646" t="inlineStr">
        <is>
          <t>JÄMTLANDS LÄN</t>
        </is>
      </c>
      <c r="E646" t="inlineStr">
        <is>
          <t>KROKOM</t>
        </is>
      </c>
      <c r="F646" t="inlineStr">
        <is>
          <t>Kyrkan</t>
        </is>
      </c>
      <c r="G646" t="n">
        <v>4.7</v>
      </c>
      <c r="H646" t="n">
        <v>0</v>
      </c>
      <c r="I646" t="n">
        <v>0</v>
      </c>
      <c r="J646" t="n">
        <v>0</v>
      </c>
      <c r="K646" t="n">
        <v>0</v>
      </c>
      <c r="L646" t="n">
        <v>0</v>
      </c>
      <c r="M646" t="n">
        <v>0</v>
      </c>
      <c r="N646" t="n">
        <v>0</v>
      </c>
      <c r="O646" t="n">
        <v>0</v>
      </c>
      <c r="P646" t="n">
        <v>0</v>
      </c>
      <c r="Q646" t="n">
        <v>0</v>
      </c>
      <c r="R646" s="2" t="inlineStr"/>
    </row>
    <row r="647" ht="15" customHeight="1">
      <c r="A647" t="inlineStr">
        <is>
          <t>A 2062-2021</t>
        </is>
      </c>
      <c r="B647" s="1" t="n">
        <v>44211</v>
      </c>
      <c r="C647" s="1" t="n">
        <v>45917</v>
      </c>
      <c r="D647" t="inlineStr">
        <is>
          <t>JÄMTLANDS LÄN</t>
        </is>
      </c>
      <c r="E647" t="inlineStr">
        <is>
          <t>KROKOM</t>
        </is>
      </c>
      <c r="G647" t="n">
        <v>1.4</v>
      </c>
      <c r="H647" t="n">
        <v>0</v>
      </c>
      <c r="I647" t="n">
        <v>0</v>
      </c>
      <c r="J647" t="n">
        <v>0</v>
      </c>
      <c r="K647" t="n">
        <v>0</v>
      </c>
      <c r="L647" t="n">
        <v>0</v>
      </c>
      <c r="M647" t="n">
        <v>0</v>
      </c>
      <c r="N647" t="n">
        <v>0</v>
      </c>
      <c r="O647" t="n">
        <v>0</v>
      </c>
      <c r="P647" t="n">
        <v>0</v>
      </c>
      <c r="Q647" t="n">
        <v>0</v>
      </c>
      <c r="R647" s="2" t="inlineStr"/>
    </row>
    <row r="648" ht="15" customHeight="1">
      <c r="A648" t="inlineStr">
        <is>
          <t>A 38850-2025</t>
        </is>
      </c>
      <c r="B648" s="1" t="n">
        <v>45887.55252314815</v>
      </c>
      <c r="C648" s="1" t="n">
        <v>45917</v>
      </c>
      <c r="D648" t="inlineStr">
        <is>
          <t>JÄMTLANDS LÄN</t>
        </is>
      </c>
      <c r="E648" t="inlineStr">
        <is>
          <t>KROKOM</t>
        </is>
      </c>
      <c r="F648" t="inlineStr">
        <is>
          <t>SCA</t>
        </is>
      </c>
      <c r="G648" t="n">
        <v>4.8</v>
      </c>
      <c r="H648" t="n">
        <v>0</v>
      </c>
      <c r="I648" t="n">
        <v>0</v>
      </c>
      <c r="J648" t="n">
        <v>0</v>
      </c>
      <c r="K648" t="n">
        <v>0</v>
      </c>
      <c r="L648" t="n">
        <v>0</v>
      </c>
      <c r="M648" t="n">
        <v>0</v>
      </c>
      <c r="N648" t="n">
        <v>0</v>
      </c>
      <c r="O648" t="n">
        <v>0</v>
      </c>
      <c r="P648" t="n">
        <v>0</v>
      </c>
      <c r="Q648" t="n">
        <v>0</v>
      </c>
      <c r="R648" s="2" t="inlineStr"/>
    </row>
    <row r="649" ht="15" customHeight="1">
      <c r="A649" t="inlineStr">
        <is>
          <t>A 6451-2022</t>
        </is>
      </c>
      <c r="B649" s="1" t="n">
        <v>44601.35342592592</v>
      </c>
      <c r="C649" s="1" t="n">
        <v>45917</v>
      </c>
      <c r="D649" t="inlineStr">
        <is>
          <t>JÄMTLANDS LÄN</t>
        </is>
      </c>
      <c r="E649" t="inlineStr">
        <is>
          <t>KROKOM</t>
        </is>
      </c>
      <c r="G649" t="n">
        <v>5.8</v>
      </c>
      <c r="H649" t="n">
        <v>0</v>
      </c>
      <c r="I649" t="n">
        <v>0</v>
      </c>
      <c r="J649" t="n">
        <v>0</v>
      </c>
      <c r="K649" t="n">
        <v>0</v>
      </c>
      <c r="L649" t="n">
        <v>0</v>
      </c>
      <c r="M649" t="n">
        <v>0</v>
      </c>
      <c r="N649" t="n">
        <v>0</v>
      </c>
      <c r="O649" t="n">
        <v>0</v>
      </c>
      <c r="P649" t="n">
        <v>0</v>
      </c>
      <c r="Q649" t="n">
        <v>0</v>
      </c>
      <c r="R649" s="2" t="inlineStr"/>
    </row>
    <row r="650" ht="15" customHeight="1">
      <c r="A650" t="inlineStr">
        <is>
          <t>A 26414-2024</t>
        </is>
      </c>
      <c r="B650" s="1" t="n">
        <v>45469</v>
      </c>
      <c r="C650" s="1" t="n">
        <v>45917</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33925-2025</t>
        </is>
      </c>
      <c r="B651" s="1" t="n">
        <v>45842</v>
      </c>
      <c r="C651" s="1" t="n">
        <v>45917</v>
      </c>
      <c r="D651" t="inlineStr">
        <is>
          <t>JÄMTLANDS LÄN</t>
        </is>
      </c>
      <c r="E651" t="inlineStr">
        <is>
          <t>KROKOM</t>
        </is>
      </c>
      <c r="G651" t="n">
        <v>1.2</v>
      </c>
      <c r="H651" t="n">
        <v>0</v>
      </c>
      <c r="I651" t="n">
        <v>0</v>
      </c>
      <c r="J651" t="n">
        <v>0</v>
      </c>
      <c r="K651" t="n">
        <v>0</v>
      </c>
      <c r="L651" t="n">
        <v>0</v>
      </c>
      <c r="M651" t="n">
        <v>0</v>
      </c>
      <c r="N651" t="n">
        <v>0</v>
      </c>
      <c r="O651" t="n">
        <v>0</v>
      </c>
      <c r="P651" t="n">
        <v>0</v>
      </c>
      <c r="Q651" t="n">
        <v>0</v>
      </c>
      <c r="R651" s="2" t="inlineStr"/>
    </row>
    <row r="652" ht="15" customHeight="1">
      <c r="A652" t="inlineStr">
        <is>
          <t>A 5935-2025</t>
        </is>
      </c>
      <c r="B652" s="1" t="n">
        <v>45695.45013888889</v>
      </c>
      <c r="C652" s="1" t="n">
        <v>45917</v>
      </c>
      <c r="D652" t="inlineStr">
        <is>
          <t>JÄMTLANDS LÄN</t>
        </is>
      </c>
      <c r="E652" t="inlineStr">
        <is>
          <t>KROKOM</t>
        </is>
      </c>
      <c r="F652" t="inlineStr">
        <is>
          <t>Övriga Aktiebolag</t>
        </is>
      </c>
      <c r="G652" t="n">
        <v>15</v>
      </c>
      <c r="H652" t="n">
        <v>0</v>
      </c>
      <c r="I652" t="n">
        <v>0</v>
      </c>
      <c r="J652" t="n">
        <v>0</v>
      </c>
      <c r="K652" t="n">
        <v>0</v>
      </c>
      <c r="L652" t="n">
        <v>0</v>
      </c>
      <c r="M652" t="n">
        <v>0</v>
      </c>
      <c r="N652" t="n">
        <v>0</v>
      </c>
      <c r="O652" t="n">
        <v>0</v>
      </c>
      <c r="P652" t="n">
        <v>0</v>
      </c>
      <c r="Q652" t="n">
        <v>0</v>
      </c>
      <c r="R652" s="2" t="inlineStr"/>
    </row>
    <row r="653" ht="15" customHeight="1">
      <c r="A653" t="inlineStr">
        <is>
          <t>A 39205-2025</t>
        </is>
      </c>
      <c r="B653" s="1" t="n">
        <v>45888.72445601852</v>
      </c>
      <c r="C653" s="1" t="n">
        <v>45917</v>
      </c>
      <c r="D653" t="inlineStr">
        <is>
          <t>JÄMTLANDS LÄN</t>
        </is>
      </c>
      <c r="E653" t="inlineStr">
        <is>
          <t>KROKOM</t>
        </is>
      </c>
      <c r="F653" t="inlineStr">
        <is>
          <t>Kyrkan</t>
        </is>
      </c>
      <c r="G653" t="n">
        <v>20.6</v>
      </c>
      <c r="H653" t="n">
        <v>0</v>
      </c>
      <c r="I653" t="n">
        <v>0</v>
      </c>
      <c r="J653" t="n">
        <v>0</v>
      </c>
      <c r="K653" t="n">
        <v>0</v>
      </c>
      <c r="L653" t="n">
        <v>0</v>
      </c>
      <c r="M653" t="n">
        <v>0</v>
      </c>
      <c r="N653" t="n">
        <v>0</v>
      </c>
      <c r="O653" t="n">
        <v>0</v>
      </c>
      <c r="P653" t="n">
        <v>0</v>
      </c>
      <c r="Q653" t="n">
        <v>0</v>
      </c>
      <c r="R653" s="2" t="inlineStr"/>
    </row>
    <row r="654" ht="15" customHeight="1">
      <c r="A654" t="inlineStr">
        <is>
          <t>A 37346-2025</t>
        </is>
      </c>
      <c r="B654" s="1" t="n">
        <v>45876</v>
      </c>
      <c r="C654" s="1" t="n">
        <v>45917</v>
      </c>
      <c r="D654" t="inlineStr">
        <is>
          <t>JÄMTLANDS LÄN</t>
        </is>
      </c>
      <c r="E654" t="inlineStr">
        <is>
          <t>KROKOM</t>
        </is>
      </c>
      <c r="G654" t="n">
        <v>5</v>
      </c>
      <c r="H654" t="n">
        <v>0</v>
      </c>
      <c r="I654" t="n">
        <v>0</v>
      </c>
      <c r="J654" t="n">
        <v>0</v>
      </c>
      <c r="K654" t="n">
        <v>0</v>
      </c>
      <c r="L654" t="n">
        <v>0</v>
      </c>
      <c r="M654" t="n">
        <v>0</v>
      </c>
      <c r="N654" t="n">
        <v>0</v>
      </c>
      <c r="O654" t="n">
        <v>0</v>
      </c>
      <c r="P654" t="n">
        <v>0</v>
      </c>
      <c r="Q654" t="n">
        <v>0</v>
      </c>
      <c r="R654" s="2" t="inlineStr"/>
    </row>
    <row r="655" ht="15" customHeight="1">
      <c r="A655" t="inlineStr">
        <is>
          <t>A 34701-2025</t>
        </is>
      </c>
      <c r="B655" s="1" t="n">
        <v>45848.48070601852</v>
      </c>
      <c r="C655" s="1" t="n">
        <v>45917</v>
      </c>
      <c r="D655" t="inlineStr">
        <is>
          <t>JÄMTLANDS LÄN</t>
        </is>
      </c>
      <c r="E655" t="inlineStr">
        <is>
          <t>KROKOM</t>
        </is>
      </c>
      <c r="G655" t="n">
        <v>0.5</v>
      </c>
      <c r="H655" t="n">
        <v>0</v>
      </c>
      <c r="I655" t="n">
        <v>0</v>
      </c>
      <c r="J655" t="n">
        <v>0</v>
      </c>
      <c r="K655" t="n">
        <v>0</v>
      </c>
      <c r="L655" t="n">
        <v>0</v>
      </c>
      <c r="M655" t="n">
        <v>0</v>
      </c>
      <c r="N655" t="n">
        <v>0</v>
      </c>
      <c r="O655" t="n">
        <v>0</v>
      </c>
      <c r="P655" t="n">
        <v>0</v>
      </c>
      <c r="Q655" t="n">
        <v>0</v>
      </c>
      <c r="R655" s="2" t="inlineStr"/>
    </row>
    <row r="656" ht="15" customHeight="1">
      <c r="A656" t="inlineStr">
        <is>
          <t>A 40394-2024</t>
        </is>
      </c>
      <c r="B656" s="1" t="n">
        <v>45555.43584490741</v>
      </c>
      <c r="C656" s="1" t="n">
        <v>45917</v>
      </c>
      <c r="D656" t="inlineStr">
        <is>
          <t>JÄMTLANDS LÄN</t>
        </is>
      </c>
      <c r="E656" t="inlineStr">
        <is>
          <t>KROKOM</t>
        </is>
      </c>
      <c r="G656" t="n">
        <v>4</v>
      </c>
      <c r="H656" t="n">
        <v>0</v>
      </c>
      <c r="I656" t="n">
        <v>0</v>
      </c>
      <c r="J656" t="n">
        <v>0</v>
      </c>
      <c r="K656" t="n">
        <v>0</v>
      </c>
      <c r="L656" t="n">
        <v>0</v>
      </c>
      <c r="M656" t="n">
        <v>0</v>
      </c>
      <c r="N656" t="n">
        <v>0</v>
      </c>
      <c r="O656" t="n">
        <v>0</v>
      </c>
      <c r="P656" t="n">
        <v>0</v>
      </c>
      <c r="Q656" t="n">
        <v>0</v>
      </c>
      <c r="R656" s="2" t="inlineStr"/>
    </row>
    <row r="657" ht="15" customHeight="1">
      <c r="A657" t="inlineStr">
        <is>
          <t>A 51910-2023</t>
        </is>
      </c>
      <c r="B657" s="1" t="n">
        <v>45216</v>
      </c>
      <c r="C657" s="1" t="n">
        <v>45917</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3257-2024</t>
        </is>
      </c>
      <c r="B658" s="1" t="n">
        <v>45316</v>
      </c>
      <c r="C658" s="1" t="n">
        <v>45917</v>
      </c>
      <c r="D658" t="inlineStr">
        <is>
          <t>JÄMTLANDS LÄN</t>
        </is>
      </c>
      <c r="E658" t="inlineStr">
        <is>
          <t>KROKOM</t>
        </is>
      </c>
      <c r="G658" t="n">
        <v>6.5</v>
      </c>
      <c r="H658" t="n">
        <v>0</v>
      </c>
      <c r="I658" t="n">
        <v>0</v>
      </c>
      <c r="J658" t="n">
        <v>0</v>
      </c>
      <c r="K658" t="n">
        <v>0</v>
      </c>
      <c r="L658" t="n">
        <v>0</v>
      </c>
      <c r="M658" t="n">
        <v>0</v>
      </c>
      <c r="N658" t="n">
        <v>0</v>
      </c>
      <c r="O658" t="n">
        <v>0</v>
      </c>
      <c r="P658" t="n">
        <v>0</v>
      </c>
      <c r="Q658" t="n">
        <v>0</v>
      </c>
      <c r="R658" s="2" t="inlineStr"/>
    </row>
    <row r="659" ht="15" customHeight="1">
      <c r="A659" t="inlineStr">
        <is>
          <t>A 34698-2025</t>
        </is>
      </c>
      <c r="B659" s="1" t="n">
        <v>45848</v>
      </c>
      <c r="C659" s="1" t="n">
        <v>45917</v>
      </c>
      <c r="D659" t="inlineStr">
        <is>
          <t>JÄMTLANDS LÄN</t>
        </is>
      </c>
      <c r="E659" t="inlineStr">
        <is>
          <t>KROKOM</t>
        </is>
      </c>
      <c r="G659" t="n">
        <v>7.9</v>
      </c>
      <c r="H659" t="n">
        <v>0</v>
      </c>
      <c r="I659" t="n">
        <v>0</v>
      </c>
      <c r="J659" t="n">
        <v>0</v>
      </c>
      <c r="K659" t="n">
        <v>0</v>
      </c>
      <c r="L659" t="n">
        <v>0</v>
      </c>
      <c r="M659" t="n">
        <v>0</v>
      </c>
      <c r="N659" t="n">
        <v>0</v>
      </c>
      <c r="O659" t="n">
        <v>0</v>
      </c>
      <c r="P659" t="n">
        <v>0</v>
      </c>
      <c r="Q659" t="n">
        <v>0</v>
      </c>
      <c r="R659" s="2" t="inlineStr"/>
    </row>
    <row r="660" ht="15" customHeight="1">
      <c r="A660" t="inlineStr">
        <is>
          <t>A 20174-2025</t>
        </is>
      </c>
      <c r="B660" s="1" t="n">
        <v>45772.58283564815</v>
      </c>
      <c r="C660" s="1" t="n">
        <v>45917</v>
      </c>
      <c r="D660" t="inlineStr">
        <is>
          <t>JÄMTLANDS LÄN</t>
        </is>
      </c>
      <c r="E660" t="inlineStr">
        <is>
          <t>KROKOM</t>
        </is>
      </c>
      <c r="G660" t="n">
        <v>47</v>
      </c>
      <c r="H660" t="n">
        <v>0</v>
      </c>
      <c r="I660" t="n">
        <v>0</v>
      </c>
      <c r="J660" t="n">
        <v>0</v>
      </c>
      <c r="K660" t="n">
        <v>0</v>
      </c>
      <c r="L660" t="n">
        <v>0</v>
      </c>
      <c r="M660" t="n">
        <v>0</v>
      </c>
      <c r="N660" t="n">
        <v>0</v>
      </c>
      <c r="O660" t="n">
        <v>0</v>
      </c>
      <c r="P660" t="n">
        <v>0</v>
      </c>
      <c r="Q660" t="n">
        <v>0</v>
      </c>
      <c r="R660" s="2" t="inlineStr"/>
    </row>
    <row r="661" ht="15" customHeight="1">
      <c r="A661" t="inlineStr">
        <is>
          <t>A 20181-2025</t>
        </is>
      </c>
      <c r="B661" s="1" t="n">
        <v>45772.59200231481</v>
      </c>
      <c r="C661" s="1" t="n">
        <v>45917</v>
      </c>
      <c r="D661" t="inlineStr">
        <is>
          <t>JÄMTLANDS LÄN</t>
        </is>
      </c>
      <c r="E661" t="inlineStr">
        <is>
          <t>KROKOM</t>
        </is>
      </c>
      <c r="G661" t="n">
        <v>2.1</v>
      </c>
      <c r="H661" t="n">
        <v>0</v>
      </c>
      <c r="I661" t="n">
        <v>0</v>
      </c>
      <c r="J661" t="n">
        <v>0</v>
      </c>
      <c r="K661" t="n">
        <v>0</v>
      </c>
      <c r="L661" t="n">
        <v>0</v>
      </c>
      <c r="M661" t="n">
        <v>0</v>
      </c>
      <c r="N661" t="n">
        <v>0</v>
      </c>
      <c r="O661" t="n">
        <v>0</v>
      </c>
      <c r="P661" t="n">
        <v>0</v>
      </c>
      <c r="Q661" t="n">
        <v>0</v>
      </c>
      <c r="R661" s="2" t="inlineStr"/>
    </row>
    <row r="662" ht="15" customHeight="1">
      <c r="A662" t="inlineStr">
        <is>
          <t>A 25421-2022</t>
        </is>
      </c>
      <c r="B662" s="1" t="n">
        <v>44732</v>
      </c>
      <c r="C662" s="1" t="n">
        <v>45917</v>
      </c>
      <c r="D662" t="inlineStr">
        <is>
          <t>JÄMTLANDS LÄN</t>
        </is>
      </c>
      <c r="E662" t="inlineStr">
        <is>
          <t>KROKOM</t>
        </is>
      </c>
      <c r="G662" t="n">
        <v>0.8</v>
      </c>
      <c r="H662" t="n">
        <v>0</v>
      </c>
      <c r="I662" t="n">
        <v>0</v>
      </c>
      <c r="J662" t="n">
        <v>0</v>
      </c>
      <c r="K662" t="n">
        <v>0</v>
      </c>
      <c r="L662" t="n">
        <v>0</v>
      </c>
      <c r="M662" t="n">
        <v>0</v>
      </c>
      <c r="N662" t="n">
        <v>0</v>
      </c>
      <c r="O662" t="n">
        <v>0</v>
      </c>
      <c r="P662" t="n">
        <v>0</v>
      </c>
      <c r="Q662" t="n">
        <v>0</v>
      </c>
      <c r="R662" s="2" t="inlineStr"/>
    </row>
    <row r="663" ht="15" customHeight="1">
      <c r="A663" t="inlineStr">
        <is>
          <t>A 34535-2025</t>
        </is>
      </c>
      <c r="B663" s="1" t="n">
        <v>45847.51106481482</v>
      </c>
      <c r="C663" s="1" t="n">
        <v>45917</v>
      </c>
      <c r="D663" t="inlineStr">
        <is>
          <t>JÄMTLANDS LÄN</t>
        </is>
      </c>
      <c r="E663" t="inlineStr">
        <is>
          <t>KROKOM</t>
        </is>
      </c>
      <c r="G663" t="n">
        <v>2</v>
      </c>
      <c r="H663" t="n">
        <v>0</v>
      </c>
      <c r="I663" t="n">
        <v>0</v>
      </c>
      <c r="J663" t="n">
        <v>0</v>
      </c>
      <c r="K663" t="n">
        <v>0</v>
      </c>
      <c r="L663" t="n">
        <v>0</v>
      </c>
      <c r="M663" t="n">
        <v>0</v>
      </c>
      <c r="N663" t="n">
        <v>0</v>
      </c>
      <c r="O663" t="n">
        <v>0</v>
      </c>
      <c r="P663" t="n">
        <v>0</v>
      </c>
      <c r="Q663" t="n">
        <v>0</v>
      </c>
      <c r="R663" s="2" t="inlineStr"/>
    </row>
    <row r="664" ht="15" customHeight="1">
      <c r="A664" t="inlineStr">
        <is>
          <t>A 34608-2025</t>
        </is>
      </c>
      <c r="B664" s="1" t="n">
        <v>45847.65717592592</v>
      </c>
      <c r="C664" s="1" t="n">
        <v>45917</v>
      </c>
      <c r="D664" t="inlineStr">
        <is>
          <t>JÄMTLANDS LÄN</t>
        </is>
      </c>
      <c r="E664" t="inlineStr">
        <is>
          <t>KROKOM</t>
        </is>
      </c>
      <c r="F664" t="inlineStr">
        <is>
          <t>SCA</t>
        </is>
      </c>
      <c r="G664" t="n">
        <v>7.6</v>
      </c>
      <c r="H664" t="n">
        <v>0</v>
      </c>
      <c r="I664" t="n">
        <v>0</v>
      </c>
      <c r="J664" t="n">
        <v>0</v>
      </c>
      <c r="K664" t="n">
        <v>0</v>
      </c>
      <c r="L664" t="n">
        <v>0</v>
      </c>
      <c r="M664" t="n">
        <v>0</v>
      </c>
      <c r="N664" t="n">
        <v>0</v>
      </c>
      <c r="O664" t="n">
        <v>0</v>
      </c>
      <c r="P664" t="n">
        <v>0</v>
      </c>
      <c r="Q664" t="n">
        <v>0</v>
      </c>
      <c r="R664" s="2" t="inlineStr"/>
    </row>
    <row r="665" ht="15" customHeight="1">
      <c r="A665" t="inlineStr">
        <is>
          <t>A 39271-2025</t>
        </is>
      </c>
      <c r="B665" s="1" t="n">
        <v>45889.38626157407</v>
      </c>
      <c r="C665" s="1" t="n">
        <v>45917</v>
      </c>
      <c r="D665" t="inlineStr">
        <is>
          <t>JÄMTLANDS LÄN</t>
        </is>
      </c>
      <c r="E665" t="inlineStr">
        <is>
          <t>KROKOM</t>
        </is>
      </c>
      <c r="F665" t="inlineStr">
        <is>
          <t>SCA</t>
        </is>
      </c>
      <c r="G665" t="n">
        <v>5.1</v>
      </c>
      <c r="H665" t="n">
        <v>0</v>
      </c>
      <c r="I665" t="n">
        <v>0</v>
      </c>
      <c r="J665" t="n">
        <v>0</v>
      </c>
      <c r="K665" t="n">
        <v>0</v>
      </c>
      <c r="L665" t="n">
        <v>0</v>
      </c>
      <c r="M665" t="n">
        <v>0</v>
      </c>
      <c r="N665" t="n">
        <v>0</v>
      </c>
      <c r="O665" t="n">
        <v>0</v>
      </c>
      <c r="P665" t="n">
        <v>0</v>
      </c>
      <c r="Q665" t="n">
        <v>0</v>
      </c>
      <c r="R665" s="2" t="inlineStr"/>
    </row>
    <row r="666" ht="15" customHeight="1">
      <c r="A666" t="inlineStr">
        <is>
          <t>A 31537-2023</t>
        </is>
      </c>
      <c r="B666" s="1" t="n">
        <v>45117</v>
      </c>
      <c r="C666" s="1" t="n">
        <v>45917</v>
      </c>
      <c r="D666" t="inlineStr">
        <is>
          <t>JÄMTLANDS LÄN</t>
        </is>
      </c>
      <c r="E666" t="inlineStr">
        <is>
          <t>KROKOM</t>
        </is>
      </c>
      <c r="F666" t="inlineStr">
        <is>
          <t>Övriga Aktiebolag</t>
        </is>
      </c>
      <c r="G666" t="n">
        <v>1</v>
      </c>
      <c r="H666" t="n">
        <v>0</v>
      </c>
      <c r="I666" t="n">
        <v>0</v>
      </c>
      <c r="J666" t="n">
        <v>0</v>
      </c>
      <c r="K666" t="n">
        <v>0</v>
      </c>
      <c r="L666" t="n">
        <v>0</v>
      </c>
      <c r="M666" t="n">
        <v>0</v>
      </c>
      <c r="N666" t="n">
        <v>0</v>
      </c>
      <c r="O666" t="n">
        <v>0</v>
      </c>
      <c r="P666" t="n">
        <v>0</v>
      </c>
      <c r="Q666" t="n">
        <v>0</v>
      </c>
      <c r="R666" s="2" t="inlineStr"/>
    </row>
    <row r="667" ht="15" customHeight="1">
      <c r="A667" t="inlineStr">
        <is>
          <t>A 32765-2023</t>
        </is>
      </c>
      <c r="B667" s="1" t="n">
        <v>45123.61459490741</v>
      </c>
      <c r="C667" s="1" t="n">
        <v>45917</v>
      </c>
      <c r="D667" t="inlineStr">
        <is>
          <t>JÄMTLANDS LÄN</t>
        </is>
      </c>
      <c r="E667" t="inlineStr">
        <is>
          <t>KROKOM</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39265-2025</t>
        </is>
      </c>
      <c r="B668" s="1" t="n">
        <v>45889.37520833333</v>
      </c>
      <c r="C668" s="1" t="n">
        <v>45917</v>
      </c>
      <c r="D668" t="inlineStr">
        <is>
          <t>JÄMTLANDS LÄN</t>
        </is>
      </c>
      <c r="E668" t="inlineStr">
        <is>
          <t>KROKOM</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34516-2025</t>
        </is>
      </c>
      <c r="B669" s="1" t="n">
        <v>45847.46462962963</v>
      </c>
      <c r="C669" s="1" t="n">
        <v>45917</v>
      </c>
      <c r="D669" t="inlineStr">
        <is>
          <t>JÄMTLANDS LÄN</t>
        </is>
      </c>
      <c r="E669" t="inlineStr">
        <is>
          <t>KROKOM</t>
        </is>
      </c>
      <c r="G669" t="n">
        <v>4</v>
      </c>
      <c r="H669" t="n">
        <v>0</v>
      </c>
      <c r="I669" t="n">
        <v>0</v>
      </c>
      <c r="J669" t="n">
        <v>0</v>
      </c>
      <c r="K669" t="n">
        <v>0</v>
      </c>
      <c r="L669" t="n">
        <v>0</v>
      </c>
      <c r="M669" t="n">
        <v>0</v>
      </c>
      <c r="N669" t="n">
        <v>0</v>
      </c>
      <c r="O669" t="n">
        <v>0</v>
      </c>
      <c r="P669" t="n">
        <v>0</v>
      </c>
      <c r="Q669" t="n">
        <v>0</v>
      </c>
      <c r="R669" s="2" t="inlineStr"/>
    </row>
    <row r="670" ht="15" customHeight="1">
      <c r="A670" t="inlineStr">
        <is>
          <t>A 50206-2024</t>
        </is>
      </c>
      <c r="B670" s="1" t="n">
        <v>45600.49616898148</v>
      </c>
      <c r="C670" s="1" t="n">
        <v>45917</v>
      </c>
      <c r="D670" t="inlineStr">
        <is>
          <t>JÄMTLANDS LÄN</t>
        </is>
      </c>
      <c r="E670" t="inlineStr">
        <is>
          <t>KROKOM</t>
        </is>
      </c>
      <c r="G670" t="n">
        <v>2.9</v>
      </c>
      <c r="H670" t="n">
        <v>0</v>
      </c>
      <c r="I670" t="n">
        <v>0</v>
      </c>
      <c r="J670" t="n">
        <v>0</v>
      </c>
      <c r="K670" t="n">
        <v>0</v>
      </c>
      <c r="L670" t="n">
        <v>0</v>
      </c>
      <c r="M670" t="n">
        <v>0</v>
      </c>
      <c r="N670" t="n">
        <v>0</v>
      </c>
      <c r="O670" t="n">
        <v>0</v>
      </c>
      <c r="P670" t="n">
        <v>0</v>
      </c>
      <c r="Q670" t="n">
        <v>0</v>
      </c>
      <c r="R670" s="2" t="inlineStr"/>
    </row>
    <row r="671" ht="15" customHeight="1">
      <c r="A671" t="inlineStr">
        <is>
          <t>A 34737-2025</t>
        </is>
      </c>
      <c r="B671" s="1" t="n">
        <v>45848.60371527778</v>
      </c>
      <c r="C671" s="1" t="n">
        <v>45917</v>
      </c>
      <c r="D671" t="inlineStr">
        <is>
          <t>JÄMTLANDS LÄN</t>
        </is>
      </c>
      <c r="E671" t="inlineStr">
        <is>
          <t>KROKOM</t>
        </is>
      </c>
      <c r="G671" t="n">
        <v>7.5</v>
      </c>
      <c r="H671" t="n">
        <v>0</v>
      </c>
      <c r="I671" t="n">
        <v>0</v>
      </c>
      <c r="J671" t="n">
        <v>0</v>
      </c>
      <c r="K671" t="n">
        <v>0</v>
      </c>
      <c r="L671" t="n">
        <v>0</v>
      </c>
      <c r="M671" t="n">
        <v>0</v>
      </c>
      <c r="N671" t="n">
        <v>0</v>
      </c>
      <c r="O671" t="n">
        <v>0</v>
      </c>
      <c r="P671" t="n">
        <v>0</v>
      </c>
      <c r="Q671" t="n">
        <v>0</v>
      </c>
      <c r="R671" s="2" t="inlineStr"/>
    </row>
    <row r="672" ht="15" customHeight="1">
      <c r="A672" t="inlineStr">
        <is>
          <t>A 18406-2025</t>
        </is>
      </c>
      <c r="B672" s="1" t="n">
        <v>45762.60907407408</v>
      </c>
      <c r="C672" s="1" t="n">
        <v>45917</v>
      </c>
      <c r="D672" t="inlineStr">
        <is>
          <t>JÄMTLANDS LÄN</t>
        </is>
      </c>
      <c r="E672" t="inlineStr">
        <is>
          <t>KROKOM</t>
        </is>
      </c>
      <c r="F672" t="inlineStr">
        <is>
          <t>Övriga Aktiebolag</t>
        </is>
      </c>
      <c r="G672" t="n">
        <v>34.3</v>
      </c>
      <c r="H672" t="n">
        <v>0</v>
      </c>
      <c r="I672" t="n">
        <v>0</v>
      </c>
      <c r="J672" t="n">
        <v>0</v>
      </c>
      <c r="K672" t="n">
        <v>0</v>
      </c>
      <c r="L672" t="n">
        <v>0</v>
      </c>
      <c r="M672" t="n">
        <v>0</v>
      </c>
      <c r="N672" t="n">
        <v>0</v>
      </c>
      <c r="O672" t="n">
        <v>0</v>
      </c>
      <c r="P672" t="n">
        <v>0</v>
      </c>
      <c r="Q672" t="n">
        <v>0</v>
      </c>
      <c r="R672" s="2" t="inlineStr"/>
    </row>
    <row r="673" ht="15" customHeight="1">
      <c r="A673" t="inlineStr">
        <is>
          <t>A 31538-2023</t>
        </is>
      </c>
      <c r="B673" s="1" t="n">
        <v>45117</v>
      </c>
      <c r="C673" s="1" t="n">
        <v>45917</v>
      </c>
      <c r="D673" t="inlineStr">
        <is>
          <t>JÄMTLANDS LÄN</t>
        </is>
      </c>
      <c r="E673" t="inlineStr">
        <is>
          <t>KROKOM</t>
        </is>
      </c>
      <c r="F673" t="inlineStr">
        <is>
          <t>Övriga Aktiebolag</t>
        </is>
      </c>
      <c r="G673" t="n">
        <v>9.9</v>
      </c>
      <c r="H673" t="n">
        <v>0</v>
      </c>
      <c r="I673" t="n">
        <v>0</v>
      </c>
      <c r="J673" t="n">
        <v>0</v>
      </c>
      <c r="K673" t="n">
        <v>0</v>
      </c>
      <c r="L673" t="n">
        <v>0</v>
      </c>
      <c r="M673" t="n">
        <v>0</v>
      </c>
      <c r="N673" t="n">
        <v>0</v>
      </c>
      <c r="O673" t="n">
        <v>0</v>
      </c>
      <c r="P673" t="n">
        <v>0</v>
      </c>
      <c r="Q673" t="n">
        <v>0</v>
      </c>
      <c r="R673" s="2" t="inlineStr"/>
    </row>
    <row r="674" ht="15" customHeight="1">
      <c r="A674" t="inlineStr">
        <is>
          <t>A 34872-2025</t>
        </is>
      </c>
      <c r="B674" s="1" t="n">
        <v>45849.4525462963</v>
      </c>
      <c r="C674" s="1" t="n">
        <v>45917</v>
      </c>
      <c r="D674" t="inlineStr">
        <is>
          <t>JÄMTLANDS LÄN</t>
        </is>
      </c>
      <c r="E674" t="inlineStr">
        <is>
          <t>KROKOM</t>
        </is>
      </c>
      <c r="G674" t="n">
        <v>1.9</v>
      </c>
      <c r="H674" t="n">
        <v>0</v>
      </c>
      <c r="I674" t="n">
        <v>0</v>
      </c>
      <c r="J674" t="n">
        <v>0</v>
      </c>
      <c r="K674" t="n">
        <v>0</v>
      </c>
      <c r="L674" t="n">
        <v>0</v>
      </c>
      <c r="M674" t="n">
        <v>0</v>
      </c>
      <c r="N674" t="n">
        <v>0</v>
      </c>
      <c r="O674" t="n">
        <v>0</v>
      </c>
      <c r="P674" t="n">
        <v>0</v>
      </c>
      <c r="Q674" t="n">
        <v>0</v>
      </c>
      <c r="R674" s="2" t="inlineStr"/>
    </row>
    <row r="675" ht="15" customHeight="1">
      <c r="A675" t="inlineStr">
        <is>
          <t>A 50270-2023</t>
        </is>
      </c>
      <c r="B675" s="1" t="n">
        <v>45216.3965625</v>
      </c>
      <c r="C675" s="1" t="n">
        <v>45917</v>
      </c>
      <c r="D675" t="inlineStr">
        <is>
          <t>JÄMTLANDS LÄN</t>
        </is>
      </c>
      <c r="E675" t="inlineStr">
        <is>
          <t>KROKOM</t>
        </is>
      </c>
      <c r="G675" t="n">
        <v>0.4</v>
      </c>
      <c r="H675" t="n">
        <v>0</v>
      </c>
      <c r="I675" t="n">
        <v>0</v>
      </c>
      <c r="J675" t="n">
        <v>0</v>
      </c>
      <c r="K675" t="n">
        <v>0</v>
      </c>
      <c r="L675" t="n">
        <v>0</v>
      </c>
      <c r="M675" t="n">
        <v>0</v>
      </c>
      <c r="N675" t="n">
        <v>0</v>
      </c>
      <c r="O675" t="n">
        <v>0</v>
      </c>
      <c r="P675" t="n">
        <v>0</v>
      </c>
      <c r="Q675" t="n">
        <v>0</v>
      </c>
      <c r="R675" s="2" t="inlineStr"/>
    </row>
    <row r="676" ht="15" customHeight="1">
      <c r="A676" t="inlineStr">
        <is>
          <t>A 57514-2023</t>
        </is>
      </c>
      <c r="B676" s="1" t="n">
        <v>45246</v>
      </c>
      <c r="C676" s="1" t="n">
        <v>45917</v>
      </c>
      <c r="D676" t="inlineStr">
        <is>
          <t>JÄMTLANDS LÄN</t>
        </is>
      </c>
      <c r="E676" t="inlineStr">
        <is>
          <t>KROKOM</t>
        </is>
      </c>
      <c r="G676" t="n">
        <v>5.2</v>
      </c>
      <c r="H676" t="n">
        <v>0</v>
      </c>
      <c r="I676" t="n">
        <v>0</v>
      </c>
      <c r="J676" t="n">
        <v>0</v>
      </c>
      <c r="K676" t="n">
        <v>0</v>
      </c>
      <c r="L676" t="n">
        <v>0</v>
      </c>
      <c r="M676" t="n">
        <v>0</v>
      </c>
      <c r="N676" t="n">
        <v>0</v>
      </c>
      <c r="O676" t="n">
        <v>0</v>
      </c>
      <c r="P676" t="n">
        <v>0</v>
      </c>
      <c r="Q676" t="n">
        <v>0</v>
      </c>
      <c r="R676" s="2" t="inlineStr"/>
    </row>
    <row r="677" ht="15" customHeight="1">
      <c r="A677" t="inlineStr">
        <is>
          <t>A 34829-2025</t>
        </is>
      </c>
      <c r="B677" s="1" t="n">
        <v>45849.3859837963</v>
      </c>
      <c r="C677" s="1" t="n">
        <v>45917</v>
      </c>
      <c r="D677" t="inlineStr">
        <is>
          <t>JÄMTLANDS LÄN</t>
        </is>
      </c>
      <c r="E677" t="inlineStr">
        <is>
          <t>KROKOM</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65236-2023</t>
        </is>
      </c>
      <c r="B678" s="1" t="n">
        <v>45289</v>
      </c>
      <c r="C678" s="1" t="n">
        <v>45917</v>
      </c>
      <c r="D678" t="inlineStr">
        <is>
          <t>JÄMTLANDS LÄN</t>
        </is>
      </c>
      <c r="E678" t="inlineStr">
        <is>
          <t>KROKOM</t>
        </is>
      </c>
      <c r="G678" t="n">
        <v>0.1</v>
      </c>
      <c r="H678" t="n">
        <v>0</v>
      </c>
      <c r="I678" t="n">
        <v>0</v>
      </c>
      <c r="J678" t="n">
        <v>0</v>
      </c>
      <c r="K678" t="n">
        <v>0</v>
      </c>
      <c r="L678" t="n">
        <v>0</v>
      </c>
      <c r="M678" t="n">
        <v>0</v>
      </c>
      <c r="N678" t="n">
        <v>0</v>
      </c>
      <c r="O678" t="n">
        <v>0</v>
      </c>
      <c r="P678" t="n">
        <v>0</v>
      </c>
      <c r="Q678" t="n">
        <v>0</v>
      </c>
      <c r="R678" s="2" t="inlineStr"/>
    </row>
    <row r="679" ht="15" customHeight="1">
      <c r="A679" t="inlineStr">
        <is>
          <t>A 12471-2024</t>
        </is>
      </c>
      <c r="B679" s="1" t="n">
        <v>45378</v>
      </c>
      <c r="C679" s="1" t="n">
        <v>45917</v>
      </c>
      <c r="D679" t="inlineStr">
        <is>
          <t>JÄMTLANDS LÄN</t>
        </is>
      </c>
      <c r="E679" t="inlineStr">
        <is>
          <t>KROKOM</t>
        </is>
      </c>
      <c r="G679" t="n">
        <v>20.2</v>
      </c>
      <c r="H679" t="n">
        <v>0</v>
      </c>
      <c r="I679" t="n">
        <v>0</v>
      </c>
      <c r="J679" t="n">
        <v>0</v>
      </c>
      <c r="K679" t="n">
        <v>0</v>
      </c>
      <c r="L679" t="n">
        <v>0</v>
      </c>
      <c r="M679" t="n">
        <v>0</v>
      </c>
      <c r="N679" t="n">
        <v>0</v>
      </c>
      <c r="O679" t="n">
        <v>0</v>
      </c>
      <c r="P679" t="n">
        <v>0</v>
      </c>
      <c r="Q679" t="n">
        <v>0</v>
      </c>
      <c r="R679" s="2" t="inlineStr"/>
    </row>
    <row r="680" ht="15" customHeight="1">
      <c r="A680" t="inlineStr">
        <is>
          <t>A 53055-2023</t>
        </is>
      </c>
      <c r="B680" s="1" t="n">
        <v>45226</v>
      </c>
      <c r="C680" s="1" t="n">
        <v>45917</v>
      </c>
      <c r="D680" t="inlineStr">
        <is>
          <t>JÄMTLANDS LÄN</t>
        </is>
      </c>
      <c r="E680" t="inlineStr">
        <is>
          <t>KROKOM</t>
        </is>
      </c>
      <c r="G680" t="n">
        <v>3.4</v>
      </c>
      <c r="H680" t="n">
        <v>0</v>
      </c>
      <c r="I680" t="n">
        <v>0</v>
      </c>
      <c r="J680" t="n">
        <v>0</v>
      </c>
      <c r="K680" t="n">
        <v>0</v>
      </c>
      <c r="L680" t="n">
        <v>0</v>
      </c>
      <c r="M680" t="n">
        <v>0</v>
      </c>
      <c r="N680" t="n">
        <v>0</v>
      </c>
      <c r="O680" t="n">
        <v>0</v>
      </c>
      <c r="P680" t="n">
        <v>0</v>
      </c>
      <c r="Q680" t="n">
        <v>0</v>
      </c>
      <c r="R680" s="2" t="inlineStr"/>
    </row>
    <row r="681" ht="15" customHeight="1">
      <c r="A681" t="inlineStr">
        <is>
          <t>A 59778-2020</t>
        </is>
      </c>
      <c r="B681" s="1" t="n">
        <v>44148</v>
      </c>
      <c r="C681" s="1" t="n">
        <v>45917</v>
      </c>
      <c r="D681" t="inlineStr">
        <is>
          <t>JÄMTLANDS LÄN</t>
        </is>
      </c>
      <c r="E681" t="inlineStr">
        <is>
          <t>KROKOM</t>
        </is>
      </c>
      <c r="G681" t="n">
        <v>39.3</v>
      </c>
      <c r="H681" t="n">
        <v>0</v>
      </c>
      <c r="I681" t="n">
        <v>0</v>
      </c>
      <c r="J681" t="n">
        <v>0</v>
      </c>
      <c r="K681" t="n">
        <v>0</v>
      </c>
      <c r="L681" t="n">
        <v>0</v>
      </c>
      <c r="M681" t="n">
        <v>0</v>
      </c>
      <c r="N681" t="n">
        <v>0</v>
      </c>
      <c r="O681" t="n">
        <v>0</v>
      </c>
      <c r="P681" t="n">
        <v>0</v>
      </c>
      <c r="Q681" t="n">
        <v>0</v>
      </c>
      <c r="R681" s="2" t="inlineStr"/>
    </row>
    <row r="682" ht="15" customHeight="1">
      <c r="A682" t="inlineStr">
        <is>
          <t>A 57459-2024</t>
        </is>
      </c>
      <c r="B682" s="1" t="n">
        <v>45630</v>
      </c>
      <c r="C682" s="1" t="n">
        <v>45917</v>
      </c>
      <c r="D682" t="inlineStr">
        <is>
          <t>JÄMTLANDS LÄN</t>
        </is>
      </c>
      <c r="E682" t="inlineStr">
        <is>
          <t>KROKOM</t>
        </is>
      </c>
      <c r="G682" t="n">
        <v>19.2</v>
      </c>
      <c r="H682" t="n">
        <v>0</v>
      </c>
      <c r="I682" t="n">
        <v>0</v>
      </c>
      <c r="J682" t="n">
        <v>0</v>
      </c>
      <c r="K682" t="n">
        <v>0</v>
      </c>
      <c r="L682" t="n">
        <v>0</v>
      </c>
      <c r="M682" t="n">
        <v>0</v>
      </c>
      <c r="N682" t="n">
        <v>0</v>
      </c>
      <c r="O682" t="n">
        <v>0</v>
      </c>
      <c r="P682" t="n">
        <v>0</v>
      </c>
      <c r="Q682" t="n">
        <v>0</v>
      </c>
      <c r="R682" s="2" t="inlineStr"/>
    </row>
    <row r="683" ht="15" customHeight="1">
      <c r="A683" t="inlineStr">
        <is>
          <t>A 41971-2024</t>
        </is>
      </c>
      <c r="B683" s="1" t="n">
        <v>45561.61509259259</v>
      </c>
      <c r="C683" s="1" t="n">
        <v>45917</v>
      </c>
      <c r="D683" t="inlineStr">
        <is>
          <t>JÄMTLANDS LÄN</t>
        </is>
      </c>
      <c r="E683" t="inlineStr">
        <is>
          <t>KROKOM</t>
        </is>
      </c>
      <c r="G683" t="n">
        <v>5.5</v>
      </c>
      <c r="H683" t="n">
        <v>0</v>
      </c>
      <c r="I683" t="n">
        <v>0</v>
      </c>
      <c r="J683" t="n">
        <v>0</v>
      </c>
      <c r="K683" t="n">
        <v>0</v>
      </c>
      <c r="L683" t="n">
        <v>0</v>
      </c>
      <c r="M683" t="n">
        <v>0</v>
      </c>
      <c r="N683" t="n">
        <v>0</v>
      </c>
      <c r="O683" t="n">
        <v>0</v>
      </c>
      <c r="P683" t="n">
        <v>0</v>
      </c>
      <c r="Q683" t="n">
        <v>0</v>
      </c>
      <c r="R683" s="2" t="inlineStr"/>
    </row>
    <row r="684" ht="15" customHeight="1">
      <c r="A684" t="inlineStr">
        <is>
          <t>A 40180-2025</t>
        </is>
      </c>
      <c r="B684" s="1" t="n">
        <v>45894.63693287037</v>
      </c>
      <c r="C684" s="1" t="n">
        <v>45917</v>
      </c>
      <c r="D684" t="inlineStr">
        <is>
          <t>JÄMTLANDS LÄN</t>
        </is>
      </c>
      <c r="E684" t="inlineStr">
        <is>
          <t>KROKOM</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44519-2024</t>
        </is>
      </c>
      <c r="B685" s="1" t="n">
        <v>45574.43403935185</v>
      </c>
      <c r="C685" s="1" t="n">
        <v>45917</v>
      </c>
      <c r="D685" t="inlineStr">
        <is>
          <t>JÄMTLANDS LÄN</t>
        </is>
      </c>
      <c r="E685" t="inlineStr">
        <is>
          <t>KROKOM</t>
        </is>
      </c>
      <c r="G685" t="n">
        <v>0.8</v>
      </c>
      <c r="H685" t="n">
        <v>0</v>
      </c>
      <c r="I685" t="n">
        <v>0</v>
      </c>
      <c r="J685" t="n">
        <v>0</v>
      </c>
      <c r="K685" t="n">
        <v>0</v>
      </c>
      <c r="L685" t="n">
        <v>0</v>
      </c>
      <c r="M685" t="n">
        <v>0</v>
      </c>
      <c r="N685" t="n">
        <v>0</v>
      </c>
      <c r="O685" t="n">
        <v>0</v>
      </c>
      <c r="P685" t="n">
        <v>0</v>
      </c>
      <c r="Q685" t="n">
        <v>0</v>
      </c>
      <c r="R685" s="2" t="inlineStr"/>
    </row>
    <row r="686" ht="15" customHeight="1">
      <c r="A686" t="inlineStr">
        <is>
          <t>A 27899-2025</t>
        </is>
      </c>
      <c r="B686" s="1" t="n">
        <v>45817</v>
      </c>
      <c r="C686" s="1" t="n">
        <v>45917</v>
      </c>
      <c r="D686" t="inlineStr">
        <is>
          <t>JÄMTLANDS LÄN</t>
        </is>
      </c>
      <c r="E686" t="inlineStr">
        <is>
          <t>KROKOM</t>
        </is>
      </c>
      <c r="G686" t="n">
        <v>16.4</v>
      </c>
      <c r="H686" t="n">
        <v>0</v>
      </c>
      <c r="I686" t="n">
        <v>0</v>
      </c>
      <c r="J686" t="n">
        <v>0</v>
      </c>
      <c r="K686" t="n">
        <v>0</v>
      </c>
      <c r="L686" t="n">
        <v>0</v>
      </c>
      <c r="M686" t="n">
        <v>0</v>
      </c>
      <c r="N686" t="n">
        <v>0</v>
      </c>
      <c r="O686" t="n">
        <v>0</v>
      </c>
      <c r="P686" t="n">
        <v>0</v>
      </c>
      <c r="Q686" t="n">
        <v>0</v>
      </c>
      <c r="R686" s="2" t="inlineStr"/>
    </row>
    <row r="687" ht="15" customHeight="1">
      <c r="A687" t="inlineStr">
        <is>
          <t>A 54828-2024</t>
        </is>
      </c>
      <c r="B687" s="1" t="n">
        <v>45618.54398148148</v>
      </c>
      <c r="C687" s="1" t="n">
        <v>45917</v>
      </c>
      <c r="D687" t="inlineStr">
        <is>
          <t>JÄMTLANDS LÄN</t>
        </is>
      </c>
      <c r="E687" t="inlineStr">
        <is>
          <t>KROKOM</t>
        </is>
      </c>
      <c r="G687" t="n">
        <v>8.1</v>
      </c>
      <c r="H687" t="n">
        <v>0</v>
      </c>
      <c r="I687" t="n">
        <v>0</v>
      </c>
      <c r="J687" t="n">
        <v>0</v>
      </c>
      <c r="K687" t="n">
        <v>0</v>
      </c>
      <c r="L687" t="n">
        <v>0</v>
      </c>
      <c r="M687" t="n">
        <v>0</v>
      </c>
      <c r="N687" t="n">
        <v>0</v>
      </c>
      <c r="O687" t="n">
        <v>0</v>
      </c>
      <c r="P687" t="n">
        <v>0</v>
      </c>
      <c r="Q687" t="n">
        <v>0</v>
      </c>
      <c r="R687" s="2" t="inlineStr"/>
    </row>
    <row r="688" ht="15" customHeight="1">
      <c r="A688" t="inlineStr">
        <is>
          <t>A 17591-2023</t>
        </is>
      </c>
      <c r="B688" s="1" t="n">
        <v>45036</v>
      </c>
      <c r="C688" s="1" t="n">
        <v>45917</v>
      </c>
      <c r="D688" t="inlineStr">
        <is>
          <t>JÄMTLANDS LÄN</t>
        </is>
      </c>
      <c r="E688" t="inlineStr">
        <is>
          <t>KROKOM</t>
        </is>
      </c>
      <c r="G688" t="n">
        <v>8.4</v>
      </c>
      <c r="H688" t="n">
        <v>0</v>
      </c>
      <c r="I688" t="n">
        <v>0</v>
      </c>
      <c r="J688" t="n">
        <v>0</v>
      </c>
      <c r="K688" t="n">
        <v>0</v>
      </c>
      <c r="L688" t="n">
        <v>0</v>
      </c>
      <c r="M688" t="n">
        <v>0</v>
      </c>
      <c r="N688" t="n">
        <v>0</v>
      </c>
      <c r="O688" t="n">
        <v>0</v>
      </c>
      <c r="P688" t="n">
        <v>0</v>
      </c>
      <c r="Q688" t="n">
        <v>0</v>
      </c>
      <c r="R688" s="2" t="inlineStr"/>
    </row>
    <row r="689" ht="15" customHeight="1">
      <c r="A689" t="inlineStr">
        <is>
          <t>A 17594-2023</t>
        </is>
      </c>
      <c r="B689" s="1" t="n">
        <v>45036</v>
      </c>
      <c r="C689" s="1" t="n">
        <v>45917</v>
      </c>
      <c r="D689" t="inlineStr">
        <is>
          <t>JÄMTLANDS LÄN</t>
        </is>
      </c>
      <c r="E689" t="inlineStr">
        <is>
          <t>KROKOM</t>
        </is>
      </c>
      <c r="G689" t="n">
        <v>5.5</v>
      </c>
      <c r="H689" t="n">
        <v>0</v>
      </c>
      <c r="I689" t="n">
        <v>0</v>
      </c>
      <c r="J689" t="n">
        <v>0</v>
      </c>
      <c r="K689" t="n">
        <v>0</v>
      </c>
      <c r="L689" t="n">
        <v>0</v>
      </c>
      <c r="M689" t="n">
        <v>0</v>
      </c>
      <c r="N689" t="n">
        <v>0</v>
      </c>
      <c r="O689" t="n">
        <v>0</v>
      </c>
      <c r="P689" t="n">
        <v>0</v>
      </c>
      <c r="Q689" t="n">
        <v>0</v>
      </c>
      <c r="R689" s="2" t="inlineStr"/>
    </row>
    <row r="690" ht="15" customHeight="1">
      <c r="A690" t="inlineStr">
        <is>
          <t>A 40283-2025</t>
        </is>
      </c>
      <c r="B690" s="1" t="n">
        <v>45895.36994212963</v>
      </c>
      <c r="C690" s="1" t="n">
        <v>45917</v>
      </c>
      <c r="D690" t="inlineStr">
        <is>
          <t>JÄMTLANDS LÄN</t>
        </is>
      </c>
      <c r="E690" t="inlineStr">
        <is>
          <t>KROKOM</t>
        </is>
      </c>
      <c r="G690" t="n">
        <v>11.1</v>
      </c>
      <c r="H690" t="n">
        <v>0</v>
      </c>
      <c r="I690" t="n">
        <v>0</v>
      </c>
      <c r="J690" t="n">
        <v>0</v>
      </c>
      <c r="K690" t="n">
        <v>0</v>
      </c>
      <c r="L690" t="n">
        <v>0</v>
      </c>
      <c r="M690" t="n">
        <v>0</v>
      </c>
      <c r="N690" t="n">
        <v>0</v>
      </c>
      <c r="O690" t="n">
        <v>0</v>
      </c>
      <c r="P690" t="n">
        <v>0</v>
      </c>
      <c r="Q690" t="n">
        <v>0</v>
      </c>
      <c r="R690" s="2" t="inlineStr"/>
    </row>
    <row r="691" ht="15" customHeight="1">
      <c r="A691" t="inlineStr">
        <is>
          <t>A 50951-2024</t>
        </is>
      </c>
      <c r="B691" s="1" t="n">
        <v>45603.28460648148</v>
      </c>
      <c r="C691" s="1" t="n">
        <v>45917</v>
      </c>
      <c r="D691" t="inlineStr">
        <is>
          <t>JÄMTLANDS LÄN</t>
        </is>
      </c>
      <c r="E691" t="inlineStr">
        <is>
          <t>KROKOM</t>
        </is>
      </c>
      <c r="F691" t="inlineStr">
        <is>
          <t>SCA</t>
        </is>
      </c>
      <c r="G691" t="n">
        <v>7.1</v>
      </c>
      <c r="H691" t="n">
        <v>0</v>
      </c>
      <c r="I691" t="n">
        <v>0</v>
      </c>
      <c r="J691" t="n">
        <v>0</v>
      </c>
      <c r="K691" t="n">
        <v>0</v>
      </c>
      <c r="L691" t="n">
        <v>0</v>
      </c>
      <c r="M691" t="n">
        <v>0</v>
      </c>
      <c r="N691" t="n">
        <v>0</v>
      </c>
      <c r="O691" t="n">
        <v>0</v>
      </c>
      <c r="P691" t="n">
        <v>0</v>
      </c>
      <c r="Q691" t="n">
        <v>0</v>
      </c>
      <c r="R691" s="2" t="inlineStr"/>
    </row>
    <row r="692" ht="15" customHeight="1">
      <c r="A692" t="inlineStr">
        <is>
          <t>A 40507-2025</t>
        </is>
      </c>
      <c r="B692" s="1" t="n">
        <v>45896.34443287037</v>
      </c>
      <c r="C692" s="1" t="n">
        <v>45917</v>
      </c>
      <c r="D692" t="inlineStr">
        <is>
          <t>JÄMTLANDS LÄN</t>
        </is>
      </c>
      <c r="E692" t="inlineStr">
        <is>
          <t>KROKOM</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52666-2024</t>
        </is>
      </c>
      <c r="B693" s="1" t="n">
        <v>45610.36561342593</v>
      </c>
      <c r="C693" s="1" t="n">
        <v>45917</v>
      </c>
      <c r="D693" t="inlineStr">
        <is>
          <t>JÄMTLANDS LÄN</t>
        </is>
      </c>
      <c r="E693" t="inlineStr">
        <is>
          <t>KROKOM</t>
        </is>
      </c>
      <c r="G693" t="n">
        <v>2</v>
      </c>
      <c r="H693" t="n">
        <v>0</v>
      </c>
      <c r="I693" t="n">
        <v>0</v>
      </c>
      <c r="J693" t="n">
        <v>0</v>
      </c>
      <c r="K693" t="n">
        <v>0</v>
      </c>
      <c r="L693" t="n">
        <v>0</v>
      </c>
      <c r="M693" t="n">
        <v>0</v>
      </c>
      <c r="N693" t="n">
        <v>0</v>
      </c>
      <c r="O693" t="n">
        <v>0</v>
      </c>
      <c r="P693" t="n">
        <v>0</v>
      </c>
      <c r="Q693" t="n">
        <v>0</v>
      </c>
      <c r="R693" s="2" t="inlineStr"/>
    </row>
    <row r="694" ht="15" customHeight="1">
      <c r="A694" t="inlineStr">
        <is>
          <t>A 35354-2025</t>
        </is>
      </c>
      <c r="B694" s="1" t="n">
        <v>45854.65378472222</v>
      </c>
      <c r="C694" s="1" t="n">
        <v>45917</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53916-2023</t>
        </is>
      </c>
      <c r="B695" s="1" t="n">
        <v>45231</v>
      </c>
      <c r="C695" s="1" t="n">
        <v>45917</v>
      </c>
      <c r="D695" t="inlineStr">
        <is>
          <t>JÄMTLANDS LÄN</t>
        </is>
      </c>
      <c r="E695" t="inlineStr">
        <is>
          <t>KROKOM</t>
        </is>
      </c>
      <c r="G695" t="n">
        <v>7.3</v>
      </c>
      <c r="H695" t="n">
        <v>0</v>
      </c>
      <c r="I695" t="n">
        <v>0</v>
      </c>
      <c r="J695" t="n">
        <v>0</v>
      </c>
      <c r="K695" t="n">
        <v>0</v>
      </c>
      <c r="L695" t="n">
        <v>0</v>
      </c>
      <c r="M695" t="n">
        <v>0</v>
      </c>
      <c r="N695" t="n">
        <v>0</v>
      </c>
      <c r="O695" t="n">
        <v>0</v>
      </c>
      <c r="P695" t="n">
        <v>0</v>
      </c>
      <c r="Q695" t="n">
        <v>0</v>
      </c>
      <c r="R695" s="2" t="inlineStr"/>
    </row>
    <row r="696" ht="15" customHeight="1">
      <c r="A696" t="inlineStr">
        <is>
          <t>A 31988-2024</t>
        </is>
      </c>
      <c r="B696" s="1" t="n">
        <v>45510.58033564815</v>
      </c>
      <c r="C696" s="1" t="n">
        <v>45917</v>
      </c>
      <c r="D696" t="inlineStr">
        <is>
          <t>JÄMTLANDS LÄN</t>
        </is>
      </c>
      <c r="E696" t="inlineStr">
        <is>
          <t>KROKOM</t>
        </is>
      </c>
      <c r="F696" t="inlineStr">
        <is>
          <t>Övriga Aktiebolag</t>
        </is>
      </c>
      <c r="G696" t="n">
        <v>4.8</v>
      </c>
      <c r="H696" t="n">
        <v>0</v>
      </c>
      <c r="I696" t="n">
        <v>0</v>
      </c>
      <c r="J696" t="n">
        <v>0</v>
      </c>
      <c r="K696" t="n">
        <v>0</v>
      </c>
      <c r="L696" t="n">
        <v>0</v>
      </c>
      <c r="M696" t="n">
        <v>0</v>
      </c>
      <c r="N696" t="n">
        <v>0</v>
      </c>
      <c r="O696" t="n">
        <v>0</v>
      </c>
      <c r="P696" t="n">
        <v>0</v>
      </c>
      <c r="Q696" t="n">
        <v>0</v>
      </c>
      <c r="R696" s="2" t="inlineStr"/>
    </row>
    <row r="697" ht="15" customHeight="1">
      <c r="A697" t="inlineStr">
        <is>
          <t>A 35238-2025</t>
        </is>
      </c>
      <c r="B697" s="1" t="n">
        <v>45853.6156712963</v>
      </c>
      <c r="C697" s="1" t="n">
        <v>45917</v>
      </c>
      <c r="D697" t="inlineStr">
        <is>
          <t>JÄMTLANDS LÄN</t>
        </is>
      </c>
      <c r="E697" t="inlineStr">
        <is>
          <t>KROKOM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34794-2022</t>
        </is>
      </c>
      <c r="B698" s="1" t="n">
        <v>44795</v>
      </c>
      <c r="C698" s="1" t="n">
        <v>45917</v>
      </c>
      <c r="D698" t="inlineStr">
        <is>
          <t>JÄMTLANDS LÄN</t>
        </is>
      </c>
      <c r="E698" t="inlineStr">
        <is>
          <t>KROKOM</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29379-2024</t>
        </is>
      </c>
      <c r="B699" s="1" t="n">
        <v>45483</v>
      </c>
      <c r="C699" s="1" t="n">
        <v>45917</v>
      </c>
      <c r="D699" t="inlineStr">
        <is>
          <t>JÄMTLANDS LÄN</t>
        </is>
      </c>
      <c r="E699" t="inlineStr">
        <is>
          <t>KROKOM</t>
        </is>
      </c>
      <c r="G699" t="n">
        <v>2.6</v>
      </c>
      <c r="H699" t="n">
        <v>0</v>
      </c>
      <c r="I699" t="n">
        <v>0</v>
      </c>
      <c r="J699" t="n">
        <v>0</v>
      </c>
      <c r="K699" t="n">
        <v>0</v>
      </c>
      <c r="L699" t="n">
        <v>0</v>
      </c>
      <c r="M699" t="n">
        <v>0</v>
      </c>
      <c r="N699" t="n">
        <v>0</v>
      </c>
      <c r="O699" t="n">
        <v>0</v>
      </c>
      <c r="P699" t="n">
        <v>0</v>
      </c>
      <c r="Q699" t="n">
        <v>0</v>
      </c>
      <c r="R699" s="2" t="inlineStr"/>
    </row>
    <row r="700" ht="15" customHeight="1">
      <c r="A700" t="inlineStr">
        <is>
          <t>A 24252-2024</t>
        </is>
      </c>
      <c r="B700" s="1" t="n">
        <v>45457.38799768518</v>
      </c>
      <c r="C700" s="1" t="n">
        <v>45917</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35359-2025</t>
        </is>
      </c>
      <c r="B701" s="1" t="n">
        <v>45854.66518518519</v>
      </c>
      <c r="C701" s="1" t="n">
        <v>45917</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58390-2021</t>
        </is>
      </c>
      <c r="B702" s="1" t="n">
        <v>44488.47928240741</v>
      </c>
      <c r="C702" s="1" t="n">
        <v>45917</v>
      </c>
      <c r="D702" t="inlineStr">
        <is>
          <t>JÄMTLANDS LÄN</t>
        </is>
      </c>
      <c r="E702" t="inlineStr">
        <is>
          <t>KROKOM</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27000-2021</t>
        </is>
      </c>
      <c r="B703" s="1" t="n">
        <v>44349</v>
      </c>
      <c r="C703" s="1" t="n">
        <v>45917</v>
      </c>
      <c r="D703" t="inlineStr">
        <is>
          <t>JÄMTLANDS LÄN</t>
        </is>
      </c>
      <c r="E703" t="inlineStr">
        <is>
          <t>KROKOM</t>
        </is>
      </c>
      <c r="F703" t="inlineStr">
        <is>
          <t>Allmännings- och besparingsskogar</t>
        </is>
      </c>
      <c r="G703" t="n">
        <v>2.3</v>
      </c>
      <c r="H703" t="n">
        <v>0</v>
      </c>
      <c r="I703" t="n">
        <v>0</v>
      </c>
      <c r="J703" t="n">
        <v>0</v>
      </c>
      <c r="K703" t="n">
        <v>0</v>
      </c>
      <c r="L703" t="n">
        <v>0</v>
      </c>
      <c r="M703" t="n">
        <v>0</v>
      </c>
      <c r="N703" t="n">
        <v>0</v>
      </c>
      <c r="O703" t="n">
        <v>0</v>
      </c>
      <c r="P703" t="n">
        <v>0</v>
      </c>
      <c r="Q703" t="n">
        <v>0</v>
      </c>
      <c r="R703" s="2" t="inlineStr"/>
    </row>
    <row r="704" ht="15" customHeight="1">
      <c r="A704" t="inlineStr">
        <is>
          <t>A 13395-2021</t>
        </is>
      </c>
      <c r="B704" s="1" t="n">
        <v>44273</v>
      </c>
      <c r="C704" s="1" t="n">
        <v>45917</v>
      </c>
      <c r="D704" t="inlineStr">
        <is>
          <t>JÄMTLANDS LÄN</t>
        </is>
      </c>
      <c r="E704" t="inlineStr">
        <is>
          <t>KROKOM</t>
        </is>
      </c>
      <c r="G704" t="n">
        <v>13.7</v>
      </c>
      <c r="H704" t="n">
        <v>0</v>
      </c>
      <c r="I704" t="n">
        <v>0</v>
      </c>
      <c r="J704" t="n">
        <v>0</v>
      </c>
      <c r="K704" t="n">
        <v>0</v>
      </c>
      <c r="L704" t="n">
        <v>0</v>
      </c>
      <c r="M704" t="n">
        <v>0</v>
      </c>
      <c r="N704" t="n">
        <v>0</v>
      </c>
      <c r="O704" t="n">
        <v>0</v>
      </c>
      <c r="P704" t="n">
        <v>0</v>
      </c>
      <c r="Q704" t="n">
        <v>0</v>
      </c>
      <c r="R704" s="2" t="inlineStr"/>
    </row>
    <row r="705" ht="15" customHeight="1">
      <c r="A705" t="inlineStr">
        <is>
          <t>A 67740-2021</t>
        </is>
      </c>
      <c r="B705" s="1" t="n">
        <v>44524</v>
      </c>
      <c r="C705" s="1" t="n">
        <v>45917</v>
      </c>
      <c r="D705" t="inlineStr">
        <is>
          <t>JÄMTLANDS LÄN</t>
        </is>
      </c>
      <c r="E705" t="inlineStr">
        <is>
          <t>KROKOM</t>
        </is>
      </c>
      <c r="G705" t="n">
        <v>12.3</v>
      </c>
      <c r="H705" t="n">
        <v>0</v>
      </c>
      <c r="I705" t="n">
        <v>0</v>
      </c>
      <c r="J705" t="n">
        <v>0</v>
      </c>
      <c r="K705" t="n">
        <v>0</v>
      </c>
      <c r="L705" t="n">
        <v>0</v>
      </c>
      <c r="M705" t="n">
        <v>0</v>
      </c>
      <c r="N705" t="n">
        <v>0</v>
      </c>
      <c r="O705" t="n">
        <v>0</v>
      </c>
      <c r="P705" t="n">
        <v>0</v>
      </c>
      <c r="Q705" t="n">
        <v>0</v>
      </c>
      <c r="R705" s="2" t="inlineStr"/>
    </row>
    <row r="706" ht="15" customHeight="1">
      <c r="A706" t="inlineStr">
        <is>
          <t>A 29224-2023</t>
        </is>
      </c>
      <c r="B706" s="1" t="n">
        <v>45097</v>
      </c>
      <c r="C706" s="1" t="n">
        <v>45917</v>
      </c>
      <c r="D706" t="inlineStr">
        <is>
          <t>JÄMTLANDS LÄN</t>
        </is>
      </c>
      <c r="E706" t="inlineStr">
        <is>
          <t>KROKOM</t>
        </is>
      </c>
      <c r="G706" t="n">
        <v>2.6</v>
      </c>
      <c r="H706" t="n">
        <v>0</v>
      </c>
      <c r="I706" t="n">
        <v>0</v>
      </c>
      <c r="J706" t="n">
        <v>0</v>
      </c>
      <c r="K706" t="n">
        <v>0</v>
      </c>
      <c r="L706" t="n">
        <v>0</v>
      </c>
      <c r="M706" t="n">
        <v>0</v>
      </c>
      <c r="N706" t="n">
        <v>0</v>
      </c>
      <c r="O706" t="n">
        <v>0</v>
      </c>
      <c r="P706" t="n">
        <v>0</v>
      </c>
      <c r="Q706" t="n">
        <v>0</v>
      </c>
      <c r="R706" s="2" t="inlineStr"/>
    </row>
    <row r="707" ht="15" customHeight="1">
      <c r="A707" t="inlineStr">
        <is>
          <t>A 52869-2023</t>
        </is>
      </c>
      <c r="B707" s="1" t="n">
        <v>45226</v>
      </c>
      <c r="C707" s="1" t="n">
        <v>45917</v>
      </c>
      <c r="D707" t="inlineStr">
        <is>
          <t>JÄMTLANDS LÄN</t>
        </is>
      </c>
      <c r="E707" t="inlineStr">
        <is>
          <t>KROKOM</t>
        </is>
      </c>
      <c r="G707" t="n">
        <v>0</v>
      </c>
      <c r="H707" t="n">
        <v>0</v>
      </c>
      <c r="I707" t="n">
        <v>0</v>
      </c>
      <c r="J707" t="n">
        <v>0</v>
      </c>
      <c r="K707" t="n">
        <v>0</v>
      </c>
      <c r="L707" t="n">
        <v>0</v>
      </c>
      <c r="M707" t="n">
        <v>0</v>
      </c>
      <c r="N707" t="n">
        <v>0</v>
      </c>
      <c r="O707" t="n">
        <v>0</v>
      </c>
      <c r="P707" t="n">
        <v>0</v>
      </c>
      <c r="Q707" t="n">
        <v>0</v>
      </c>
      <c r="R707" s="2" t="inlineStr"/>
    </row>
    <row r="708" ht="15" customHeight="1">
      <c r="A708" t="inlineStr">
        <is>
          <t>A 5722-2023</t>
        </is>
      </c>
      <c r="B708" s="1" t="n">
        <v>44961</v>
      </c>
      <c r="C708" s="1" t="n">
        <v>45917</v>
      </c>
      <c r="D708" t="inlineStr">
        <is>
          <t>JÄMTLANDS LÄN</t>
        </is>
      </c>
      <c r="E708" t="inlineStr">
        <is>
          <t>KROKOM</t>
        </is>
      </c>
      <c r="G708" t="n">
        <v>12.3</v>
      </c>
      <c r="H708" t="n">
        <v>0</v>
      </c>
      <c r="I708" t="n">
        <v>0</v>
      </c>
      <c r="J708" t="n">
        <v>0</v>
      </c>
      <c r="K708" t="n">
        <v>0</v>
      </c>
      <c r="L708" t="n">
        <v>0</v>
      </c>
      <c r="M708" t="n">
        <v>0</v>
      </c>
      <c r="N708" t="n">
        <v>0</v>
      </c>
      <c r="O708" t="n">
        <v>0</v>
      </c>
      <c r="P708" t="n">
        <v>0</v>
      </c>
      <c r="Q708" t="n">
        <v>0</v>
      </c>
      <c r="R708" s="2" t="inlineStr"/>
    </row>
    <row r="709" ht="15" customHeight="1">
      <c r="A709" t="inlineStr">
        <is>
          <t>A 52217-2024</t>
        </is>
      </c>
      <c r="B709" s="1" t="n">
        <v>45607</v>
      </c>
      <c r="C709" s="1" t="n">
        <v>45917</v>
      </c>
      <c r="D709" t="inlineStr">
        <is>
          <t>JÄMTLANDS LÄN</t>
        </is>
      </c>
      <c r="E709" t="inlineStr">
        <is>
          <t>KROKOM</t>
        </is>
      </c>
      <c r="G709" t="n">
        <v>0.2</v>
      </c>
      <c r="H709" t="n">
        <v>0</v>
      </c>
      <c r="I709" t="n">
        <v>0</v>
      </c>
      <c r="J709" t="n">
        <v>0</v>
      </c>
      <c r="K709" t="n">
        <v>0</v>
      </c>
      <c r="L709" t="n">
        <v>0</v>
      </c>
      <c r="M709" t="n">
        <v>0</v>
      </c>
      <c r="N709" t="n">
        <v>0</v>
      </c>
      <c r="O709" t="n">
        <v>0</v>
      </c>
      <c r="P709" t="n">
        <v>0</v>
      </c>
      <c r="Q709" t="n">
        <v>0</v>
      </c>
      <c r="R709" s="2" t="inlineStr"/>
    </row>
    <row r="710" ht="15" customHeight="1">
      <c r="A710" t="inlineStr">
        <is>
          <t>A 11056-2025</t>
        </is>
      </c>
      <c r="B710" s="1" t="n">
        <v>45723.50841435185</v>
      </c>
      <c r="C710" s="1" t="n">
        <v>45917</v>
      </c>
      <c r="D710" t="inlineStr">
        <is>
          <t>JÄMTLANDS LÄN</t>
        </is>
      </c>
      <c r="E710" t="inlineStr">
        <is>
          <t>KROKOM</t>
        </is>
      </c>
      <c r="G710" t="n">
        <v>1.8</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45917</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53541-2024</t>
        </is>
      </c>
      <c r="B712" s="1" t="n">
        <v>45614.63606481482</v>
      </c>
      <c r="C712" s="1" t="n">
        <v>45917</v>
      </c>
      <c r="D712" t="inlineStr">
        <is>
          <t>JÄMTLANDS LÄN</t>
        </is>
      </c>
      <c r="E712" t="inlineStr">
        <is>
          <t>KROKOM</t>
        </is>
      </c>
      <c r="G712" t="n">
        <v>0.5</v>
      </c>
      <c r="H712" t="n">
        <v>0</v>
      </c>
      <c r="I712" t="n">
        <v>0</v>
      </c>
      <c r="J712" t="n">
        <v>0</v>
      </c>
      <c r="K712" t="n">
        <v>0</v>
      </c>
      <c r="L712" t="n">
        <v>0</v>
      </c>
      <c r="M712" t="n">
        <v>0</v>
      </c>
      <c r="N712" t="n">
        <v>0</v>
      </c>
      <c r="O712" t="n">
        <v>0</v>
      </c>
      <c r="P712" t="n">
        <v>0</v>
      </c>
      <c r="Q712" t="n">
        <v>0</v>
      </c>
      <c r="R712" s="2" t="inlineStr"/>
    </row>
    <row r="713" ht="15" customHeight="1">
      <c r="A713" t="inlineStr">
        <is>
          <t>A 53544-2024</t>
        </is>
      </c>
      <c r="B713" s="1" t="n">
        <v>45614.63701388889</v>
      </c>
      <c r="C713" s="1" t="n">
        <v>45917</v>
      </c>
      <c r="D713" t="inlineStr">
        <is>
          <t>JÄMTLANDS LÄN</t>
        </is>
      </c>
      <c r="E713" t="inlineStr">
        <is>
          <t>KROKOM</t>
        </is>
      </c>
      <c r="G713" t="n">
        <v>0.4</v>
      </c>
      <c r="H713" t="n">
        <v>0</v>
      </c>
      <c r="I713" t="n">
        <v>0</v>
      </c>
      <c r="J713" t="n">
        <v>0</v>
      </c>
      <c r="K713" t="n">
        <v>0</v>
      </c>
      <c r="L713" t="n">
        <v>0</v>
      </c>
      <c r="M713" t="n">
        <v>0</v>
      </c>
      <c r="N713" t="n">
        <v>0</v>
      </c>
      <c r="O713" t="n">
        <v>0</v>
      </c>
      <c r="P713" t="n">
        <v>0</v>
      </c>
      <c r="Q713" t="n">
        <v>0</v>
      </c>
      <c r="R713" s="2" t="inlineStr"/>
    </row>
    <row r="714" ht="15" customHeight="1">
      <c r="A714" t="inlineStr">
        <is>
          <t>A 35460-2025</t>
        </is>
      </c>
      <c r="B714" s="1" t="n">
        <v>45855.61193287037</v>
      </c>
      <c r="C714" s="1" t="n">
        <v>45917</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15451-2021</t>
        </is>
      </c>
      <c r="B715" s="1" t="n">
        <v>44285</v>
      </c>
      <c r="C715" s="1" t="n">
        <v>45917</v>
      </c>
      <c r="D715" t="inlineStr">
        <is>
          <t>JÄMTLANDS LÄN</t>
        </is>
      </c>
      <c r="E715" t="inlineStr">
        <is>
          <t>KROKOM</t>
        </is>
      </c>
      <c r="G715" t="n">
        <v>6.7</v>
      </c>
      <c r="H715" t="n">
        <v>0</v>
      </c>
      <c r="I715" t="n">
        <v>0</v>
      </c>
      <c r="J715" t="n">
        <v>0</v>
      </c>
      <c r="K715" t="n">
        <v>0</v>
      </c>
      <c r="L715" t="n">
        <v>0</v>
      </c>
      <c r="M715" t="n">
        <v>0</v>
      </c>
      <c r="N715" t="n">
        <v>0</v>
      </c>
      <c r="O715" t="n">
        <v>0</v>
      </c>
      <c r="P715" t="n">
        <v>0</v>
      </c>
      <c r="Q715" t="n">
        <v>0</v>
      </c>
      <c r="R715" s="2" t="inlineStr"/>
    </row>
    <row r="716" ht="15" customHeight="1">
      <c r="A716" t="inlineStr">
        <is>
          <t>A 40806-2025</t>
        </is>
      </c>
      <c r="B716" s="1" t="n">
        <v>45897.46832175926</v>
      </c>
      <c r="C716" s="1" t="n">
        <v>45917</v>
      </c>
      <c r="D716" t="inlineStr">
        <is>
          <t>JÄMTLANDS LÄN</t>
        </is>
      </c>
      <c r="E716" t="inlineStr">
        <is>
          <t>KROKOM</t>
        </is>
      </c>
      <c r="G716" t="n">
        <v>3.6</v>
      </c>
      <c r="H716" t="n">
        <v>0</v>
      </c>
      <c r="I716" t="n">
        <v>0</v>
      </c>
      <c r="J716" t="n">
        <v>0</v>
      </c>
      <c r="K716" t="n">
        <v>0</v>
      </c>
      <c r="L716" t="n">
        <v>0</v>
      </c>
      <c r="M716" t="n">
        <v>0</v>
      </c>
      <c r="N716" t="n">
        <v>0</v>
      </c>
      <c r="O716" t="n">
        <v>0</v>
      </c>
      <c r="P716" t="n">
        <v>0</v>
      </c>
      <c r="Q716" t="n">
        <v>0</v>
      </c>
      <c r="R716" s="2" t="inlineStr"/>
    </row>
    <row r="717" ht="15" customHeight="1">
      <c r="A717" t="inlineStr">
        <is>
          <t>A 41290-2025</t>
        </is>
      </c>
      <c r="B717" s="1" t="n">
        <v>45898.64267361111</v>
      </c>
      <c r="C717" s="1" t="n">
        <v>45917</v>
      </c>
      <c r="D717" t="inlineStr">
        <is>
          <t>JÄMTLANDS LÄN</t>
        </is>
      </c>
      <c r="E717" t="inlineStr">
        <is>
          <t>KROKOM</t>
        </is>
      </c>
      <c r="G717" t="n">
        <v>17.1</v>
      </c>
      <c r="H717" t="n">
        <v>0</v>
      </c>
      <c r="I717" t="n">
        <v>0</v>
      </c>
      <c r="J717" t="n">
        <v>0</v>
      </c>
      <c r="K717" t="n">
        <v>0</v>
      </c>
      <c r="L717" t="n">
        <v>0</v>
      </c>
      <c r="M717" t="n">
        <v>0</v>
      </c>
      <c r="N717" t="n">
        <v>0</v>
      </c>
      <c r="O717" t="n">
        <v>0</v>
      </c>
      <c r="P717" t="n">
        <v>0</v>
      </c>
      <c r="Q717" t="n">
        <v>0</v>
      </c>
      <c r="R717" s="2" t="inlineStr"/>
    </row>
    <row r="718" ht="15" customHeight="1">
      <c r="A718" t="inlineStr">
        <is>
          <t>A 29936-2023</t>
        </is>
      </c>
      <c r="B718" s="1" t="n">
        <v>45107</v>
      </c>
      <c r="C718" s="1" t="n">
        <v>45917</v>
      </c>
      <c r="D718" t="inlineStr">
        <is>
          <t>JÄMTLANDS LÄN</t>
        </is>
      </c>
      <c r="E718" t="inlineStr">
        <is>
          <t>KROKOM</t>
        </is>
      </c>
      <c r="G718" t="n">
        <v>77.40000000000001</v>
      </c>
      <c r="H718" t="n">
        <v>0</v>
      </c>
      <c r="I718" t="n">
        <v>0</v>
      </c>
      <c r="J718" t="n">
        <v>0</v>
      </c>
      <c r="K718" t="n">
        <v>0</v>
      </c>
      <c r="L718" t="n">
        <v>0</v>
      </c>
      <c r="M718" t="n">
        <v>0</v>
      </c>
      <c r="N718" t="n">
        <v>0</v>
      </c>
      <c r="O718" t="n">
        <v>0</v>
      </c>
      <c r="P718" t="n">
        <v>0</v>
      </c>
      <c r="Q718" t="n">
        <v>0</v>
      </c>
      <c r="R718" s="2" t="inlineStr"/>
    </row>
    <row r="719" ht="15" customHeight="1">
      <c r="A719" t="inlineStr">
        <is>
          <t>A 40796-2025</t>
        </is>
      </c>
      <c r="B719" s="1" t="n">
        <v>45897.44951388889</v>
      </c>
      <c r="C719" s="1" t="n">
        <v>45917</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40800-2025</t>
        </is>
      </c>
      <c r="B720" s="1" t="n">
        <v>45897.45311342592</v>
      </c>
      <c r="C720" s="1" t="n">
        <v>45917</v>
      </c>
      <c r="D720" t="inlineStr">
        <is>
          <t>JÄMTLANDS LÄN</t>
        </is>
      </c>
      <c r="E720" t="inlineStr">
        <is>
          <t>KROKOM</t>
        </is>
      </c>
      <c r="G720" t="n">
        <v>5.8</v>
      </c>
      <c r="H720" t="n">
        <v>0</v>
      </c>
      <c r="I720" t="n">
        <v>0</v>
      </c>
      <c r="J720" t="n">
        <v>0</v>
      </c>
      <c r="K720" t="n">
        <v>0</v>
      </c>
      <c r="L720" t="n">
        <v>0</v>
      </c>
      <c r="M720" t="n">
        <v>0</v>
      </c>
      <c r="N720" t="n">
        <v>0</v>
      </c>
      <c r="O720" t="n">
        <v>0</v>
      </c>
      <c r="P720" t="n">
        <v>0</v>
      </c>
      <c r="Q720" t="n">
        <v>0</v>
      </c>
      <c r="R720" s="2" t="inlineStr"/>
    </row>
    <row r="721" ht="15" customHeight="1">
      <c r="A721" t="inlineStr">
        <is>
          <t>A 34801-2023</t>
        </is>
      </c>
      <c r="B721" s="1" t="n">
        <v>45140</v>
      </c>
      <c r="C721" s="1" t="n">
        <v>45917</v>
      </c>
      <c r="D721" t="inlineStr">
        <is>
          <t>JÄMTLANDS LÄN</t>
        </is>
      </c>
      <c r="E721" t="inlineStr">
        <is>
          <t>KROKOM</t>
        </is>
      </c>
      <c r="G721" t="n">
        <v>1.4</v>
      </c>
      <c r="H721" t="n">
        <v>0</v>
      </c>
      <c r="I721" t="n">
        <v>0</v>
      </c>
      <c r="J721" t="n">
        <v>0</v>
      </c>
      <c r="K721" t="n">
        <v>0</v>
      </c>
      <c r="L721" t="n">
        <v>0</v>
      </c>
      <c r="M721" t="n">
        <v>0</v>
      </c>
      <c r="N721" t="n">
        <v>0</v>
      </c>
      <c r="O721" t="n">
        <v>0</v>
      </c>
      <c r="P721" t="n">
        <v>0</v>
      </c>
      <c r="Q721" t="n">
        <v>0</v>
      </c>
      <c r="R721" s="2" t="inlineStr"/>
    </row>
    <row r="722" ht="15" customHeight="1">
      <c r="A722" t="inlineStr">
        <is>
          <t>A 26721-2023</t>
        </is>
      </c>
      <c r="B722" s="1" t="n">
        <v>45090</v>
      </c>
      <c r="C722" s="1" t="n">
        <v>45917</v>
      </c>
      <c r="D722" t="inlineStr">
        <is>
          <t>JÄMTLANDS LÄN</t>
        </is>
      </c>
      <c r="E722" t="inlineStr">
        <is>
          <t>KROKOM</t>
        </is>
      </c>
      <c r="G722" t="n">
        <v>1</v>
      </c>
      <c r="H722" t="n">
        <v>0</v>
      </c>
      <c r="I722" t="n">
        <v>0</v>
      </c>
      <c r="J722" t="n">
        <v>0</v>
      </c>
      <c r="K722" t="n">
        <v>0</v>
      </c>
      <c r="L722" t="n">
        <v>0</v>
      </c>
      <c r="M722" t="n">
        <v>0</v>
      </c>
      <c r="N722" t="n">
        <v>0</v>
      </c>
      <c r="O722" t="n">
        <v>0</v>
      </c>
      <c r="P722" t="n">
        <v>0</v>
      </c>
      <c r="Q722" t="n">
        <v>0</v>
      </c>
      <c r="R722" s="2" t="inlineStr"/>
    </row>
    <row r="723" ht="15" customHeight="1">
      <c r="A723" t="inlineStr">
        <is>
          <t>A 25775-2024</t>
        </is>
      </c>
      <c r="B723" s="1" t="n">
        <v>45466.62116898148</v>
      </c>
      <c r="C723" s="1" t="n">
        <v>45917</v>
      </c>
      <c r="D723" t="inlineStr">
        <is>
          <t>JÄMTLANDS LÄN</t>
        </is>
      </c>
      <c r="E723" t="inlineStr">
        <is>
          <t>KROKOM</t>
        </is>
      </c>
      <c r="G723" t="n">
        <v>1.7</v>
      </c>
      <c r="H723" t="n">
        <v>0</v>
      </c>
      <c r="I723" t="n">
        <v>0</v>
      </c>
      <c r="J723" t="n">
        <v>0</v>
      </c>
      <c r="K723" t="n">
        <v>0</v>
      </c>
      <c r="L723" t="n">
        <v>0</v>
      </c>
      <c r="M723" t="n">
        <v>0</v>
      </c>
      <c r="N723" t="n">
        <v>0</v>
      </c>
      <c r="O723" t="n">
        <v>0</v>
      </c>
      <c r="P723" t="n">
        <v>0</v>
      </c>
      <c r="Q723" t="n">
        <v>0</v>
      </c>
      <c r="R723" s="2" t="inlineStr"/>
    </row>
    <row r="724" ht="15" customHeight="1">
      <c r="A724" t="inlineStr">
        <is>
          <t>A 40822-2025</t>
        </is>
      </c>
      <c r="B724" s="1" t="n">
        <v>45897.49424768519</v>
      </c>
      <c r="C724" s="1" t="n">
        <v>45917</v>
      </c>
      <c r="D724" t="inlineStr">
        <is>
          <t>JÄMTLANDS LÄN</t>
        </is>
      </c>
      <c r="E724" t="inlineStr">
        <is>
          <t>KROKOM</t>
        </is>
      </c>
      <c r="G724" t="n">
        <v>3.8</v>
      </c>
      <c r="H724" t="n">
        <v>0</v>
      </c>
      <c r="I724" t="n">
        <v>0</v>
      </c>
      <c r="J724" t="n">
        <v>0</v>
      </c>
      <c r="K724" t="n">
        <v>0</v>
      </c>
      <c r="L724" t="n">
        <v>0</v>
      </c>
      <c r="M724" t="n">
        <v>0</v>
      </c>
      <c r="N724" t="n">
        <v>0</v>
      </c>
      <c r="O724" t="n">
        <v>0</v>
      </c>
      <c r="P724" t="n">
        <v>0</v>
      </c>
      <c r="Q724" t="n">
        <v>0</v>
      </c>
      <c r="R724" s="2" t="inlineStr"/>
    </row>
    <row r="725" ht="15" customHeight="1">
      <c r="A725" t="inlineStr">
        <is>
          <t>A 55043-2024</t>
        </is>
      </c>
      <c r="B725" s="1" t="n">
        <v>45621</v>
      </c>
      <c r="C725" s="1" t="n">
        <v>45917</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60173-2024</t>
        </is>
      </c>
      <c r="B726" s="1" t="n">
        <v>45642.63666666667</v>
      </c>
      <c r="C726" s="1" t="n">
        <v>45917</v>
      </c>
      <c r="D726" t="inlineStr">
        <is>
          <t>JÄMTLANDS LÄN</t>
        </is>
      </c>
      <c r="E726" t="inlineStr">
        <is>
          <t>KROKOM</t>
        </is>
      </c>
      <c r="G726" t="n">
        <v>4.3</v>
      </c>
      <c r="H726" t="n">
        <v>0</v>
      </c>
      <c r="I726" t="n">
        <v>0</v>
      </c>
      <c r="J726" t="n">
        <v>0</v>
      </c>
      <c r="K726" t="n">
        <v>0</v>
      </c>
      <c r="L726" t="n">
        <v>0</v>
      </c>
      <c r="M726" t="n">
        <v>0</v>
      </c>
      <c r="N726" t="n">
        <v>0</v>
      </c>
      <c r="O726" t="n">
        <v>0</v>
      </c>
      <c r="P726" t="n">
        <v>0</v>
      </c>
      <c r="Q726" t="n">
        <v>0</v>
      </c>
      <c r="R726" s="2" t="inlineStr"/>
    </row>
    <row r="727" ht="15" customHeight="1">
      <c r="A727" t="inlineStr">
        <is>
          <t>A 8868-2025</t>
        </is>
      </c>
      <c r="B727" s="1" t="n">
        <v>45713.36836805556</v>
      </c>
      <c r="C727" s="1" t="n">
        <v>45917</v>
      </c>
      <c r="D727" t="inlineStr">
        <is>
          <t>JÄMTLANDS LÄN</t>
        </is>
      </c>
      <c r="E727" t="inlineStr">
        <is>
          <t>KROKOM</t>
        </is>
      </c>
      <c r="F727" t="inlineStr">
        <is>
          <t>Övriga Aktiebolag</t>
        </is>
      </c>
      <c r="G727" t="n">
        <v>4.2</v>
      </c>
      <c r="H727" t="n">
        <v>0</v>
      </c>
      <c r="I727" t="n">
        <v>0</v>
      </c>
      <c r="J727" t="n">
        <v>0</v>
      </c>
      <c r="K727" t="n">
        <v>0</v>
      </c>
      <c r="L727" t="n">
        <v>0</v>
      </c>
      <c r="M727" t="n">
        <v>0</v>
      </c>
      <c r="N727" t="n">
        <v>0</v>
      </c>
      <c r="O727" t="n">
        <v>0</v>
      </c>
      <c r="P727" t="n">
        <v>0</v>
      </c>
      <c r="Q727" t="n">
        <v>0</v>
      </c>
      <c r="R727" s="2" t="inlineStr"/>
    </row>
    <row r="728" ht="15" customHeight="1">
      <c r="A728" t="inlineStr">
        <is>
          <t>A 60122-2024</t>
        </is>
      </c>
      <c r="B728" s="1" t="n">
        <v>45639</v>
      </c>
      <c r="C728" s="1" t="n">
        <v>45917</v>
      </c>
      <c r="D728" t="inlineStr">
        <is>
          <t>JÄMTLANDS LÄN</t>
        </is>
      </c>
      <c r="E728" t="inlineStr">
        <is>
          <t>KROKOM</t>
        </is>
      </c>
      <c r="G728" t="n">
        <v>2.1</v>
      </c>
      <c r="H728" t="n">
        <v>0</v>
      </c>
      <c r="I728" t="n">
        <v>0</v>
      </c>
      <c r="J728" t="n">
        <v>0</v>
      </c>
      <c r="K728" t="n">
        <v>0</v>
      </c>
      <c r="L728" t="n">
        <v>0</v>
      </c>
      <c r="M728" t="n">
        <v>0</v>
      </c>
      <c r="N728" t="n">
        <v>0</v>
      </c>
      <c r="O728" t="n">
        <v>0</v>
      </c>
      <c r="P728" t="n">
        <v>0</v>
      </c>
      <c r="Q728" t="n">
        <v>0</v>
      </c>
      <c r="R728" s="2" t="inlineStr"/>
    </row>
    <row r="729" ht="15" customHeight="1">
      <c r="A729" t="inlineStr">
        <is>
          <t>A 41425-2025</t>
        </is>
      </c>
      <c r="B729" s="1" t="n">
        <v>45901.38590277778</v>
      </c>
      <c r="C729" s="1" t="n">
        <v>45917</v>
      </c>
      <c r="D729" t="inlineStr">
        <is>
          <t>JÄMTLANDS LÄN</t>
        </is>
      </c>
      <c r="E729" t="inlineStr">
        <is>
          <t>KROKOM</t>
        </is>
      </c>
      <c r="G729" t="n">
        <v>2.9</v>
      </c>
      <c r="H729" t="n">
        <v>0</v>
      </c>
      <c r="I729" t="n">
        <v>0</v>
      </c>
      <c r="J729" t="n">
        <v>0</v>
      </c>
      <c r="K729" t="n">
        <v>0</v>
      </c>
      <c r="L729" t="n">
        <v>0</v>
      </c>
      <c r="M729" t="n">
        <v>0</v>
      </c>
      <c r="N729" t="n">
        <v>0</v>
      </c>
      <c r="O729" t="n">
        <v>0</v>
      </c>
      <c r="P729" t="n">
        <v>0</v>
      </c>
      <c r="Q729" t="n">
        <v>0</v>
      </c>
      <c r="R729" s="2" t="inlineStr"/>
    </row>
    <row r="730" ht="15" customHeight="1">
      <c r="A730" t="inlineStr">
        <is>
          <t>A 60172-2024</t>
        </is>
      </c>
      <c r="B730" s="1" t="n">
        <v>45642.6366087963</v>
      </c>
      <c r="C730" s="1" t="n">
        <v>45917</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35778-2025</t>
        </is>
      </c>
      <c r="B731" s="1" t="n">
        <v>45860</v>
      </c>
      <c r="C731" s="1" t="n">
        <v>45917</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23601-2021</t>
        </is>
      </c>
      <c r="B732" s="1" t="n">
        <v>44334</v>
      </c>
      <c r="C732" s="1" t="n">
        <v>45917</v>
      </c>
      <c r="D732" t="inlineStr">
        <is>
          <t>JÄMTLANDS LÄN</t>
        </is>
      </c>
      <c r="E732" t="inlineStr">
        <is>
          <t>KROKOM</t>
        </is>
      </c>
      <c r="G732" t="n">
        <v>1.7</v>
      </c>
      <c r="H732" t="n">
        <v>0</v>
      </c>
      <c r="I732" t="n">
        <v>0</v>
      </c>
      <c r="J732" t="n">
        <v>0</v>
      </c>
      <c r="K732" t="n">
        <v>0</v>
      </c>
      <c r="L732" t="n">
        <v>0</v>
      </c>
      <c r="M732" t="n">
        <v>0</v>
      </c>
      <c r="N732" t="n">
        <v>0</v>
      </c>
      <c r="O732" t="n">
        <v>0</v>
      </c>
      <c r="P732" t="n">
        <v>0</v>
      </c>
      <c r="Q732" t="n">
        <v>0</v>
      </c>
      <c r="R732" s="2" t="inlineStr"/>
    </row>
    <row r="733" ht="15" customHeight="1">
      <c r="A733" t="inlineStr">
        <is>
          <t>A 6066-2025</t>
        </is>
      </c>
      <c r="B733" s="1" t="n">
        <v>45696.3440162037</v>
      </c>
      <c r="C733" s="1" t="n">
        <v>45917</v>
      </c>
      <c r="D733" t="inlineStr">
        <is>
          <t>JÄMTLANDS LÄN</t>
        </is>
      </c>
      <c r="E733" t="inlineStr">
        <is>
          <t>KROKOM</t>
        </is>
      </c>
      <c r="G733" t="n">
        <v>5.3</v>
      </c>
      <c r="H733" t="n">
        <v>0</v>
      </c>
      <c r="I733" t="n">
        <v>0</v>
      </c>
      <c r="J733" t="n">
        <v>0</v>
      </c>
      <c r="K733" t="n">
        <v>0</v>
      </c>
      <c r="L733" t="n">
        <v>0</v>
      </c>
      <c r="M733" t="n">
        <v>0</v>
      </c>
      <c r="N733" t="n">
        <v>0</v>
      </c>
      <c r="O733" t="n">
        <v>0</v>
      </c>
      <c r="P733" t="n">
        <v>0</v>
      </c>
      <c r="Q733" t="n">
        <v>0</v>
      </c>
      <c r="R733" s="2" t="inlineStr"/>
    </row>
    <row r="734" ht="15" customHeight="1">
      <c r="A734" t="inlineStr">
        <is>
          <t>A 42439-2023</t>
        </is>
      </c>
      <c r="B734" s="1" t="n">
        <v>45180.6391087963</v>
      </c>
      <c r="C734" s="1" t="n">
        <v>45917</v>
      </c>
      <c r="D734" t="inlineStr">
        <is>
          <t>JÄMTLANDS LÄN</t>
        </is>
      </c>
      <c r="E734" t="inlineStr">
        <is>
          <t>KROKOM</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59619-2024</t>
        </is>
      </c>
      <c r="B735" s="1" t="n">
        <v>45638.81375</v>
      </c>
      <c r="C735" s="1" t="n">
        <v>45917</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8168-2025</t>
        </is>
      </c>
      <c r="B736" s="1" t="n">
        <v>45708</v>
      </c>
      <c r="C736" s="1" t="n">
        <v>45917</v>
      </c>
      <c r="D736" t="inlineStr">
        <is>
          <t>JÄMTLANDS LÄN</t>
        </is>
      </c>
      <c r="E736" t="inlineStr">
        <is>
          <t>KROKOM</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21663-2025</t>
        </is>
      </c>
      <c r="B737" s="1" t="n">
        <v>45783</v>
      </c>
      <c r="C737" s="1" t="n">
        <v>45917</v>
      </c>
      <c r="D737" t="inlineStr">
        <is>
          <t>JÄMTLANDS LÄN</t>
        </is>
      </c>
      <c r="E737" t="inlineStr">
        <is>
          <t>KROKOM</t>
        </is>
      </c>
      <c r="G737" t="n">
        <v>5.2</v>
      </c>
      <c r="H737" t="n">
        <v>0</v>
      </c>
      <c r="I737" t="n">
        <v>0</v>
      </c>
      <c r="J737" t="n">
        <v>0</v>
      </c>
      <c r="K737" t="n">
        <v>0</v>
      </c>
      <c r="L737" t="n">
        <v>0</v>
      </c>
      <c r="M737" t="n">
        <v>0</v>
      </c>
      <c r="N737" t="n">
        <v>0</v>
      </c>
      <c r="O737" t="n">
        <v>0</v>
      </c>
      <c r="P737" t="n">
        <v>0</v>
      </c>
      <c r="Q737" t="n">
        <v>0</v>
      </c>
      <c r="R737" s="2" t="inlineStr"/>
    </row>
    <row r="738" ht="15" customHeight="1">
      <c r="A738" t="inlineStr">
        <is>
          <t>A 47723-2024</t>
        </is>
      </c>
      <c r="B738" s="1" t="n">
        <v>45588</v>
      </c>
      <c r="C738" s="1" t="n">
        <v>45917</v>
      </c>
      <c r="D738" t="inlineStr">
        <is>
          <t>JÄMTLANDS LÄN</t>
        </is>
      </c>
      <c r="E738" t="inlineStr">
        <is>
          <t>KROKOM</t>
        </is>
      </c>
      <c r="G738" t="n">
        <v>1.6</v>
      </c>
      <c r="H738" t="n">
        <v>0</v>
      </c>
      <c r="I738" t="n">
        <v>0</v>
      </c>
      <c r="J738" t="n">
        <v>0</v>
      </c>
      <c r="K738" t="n">
        <v>0</v>
      </c>
      <c r="L738" t="n">
        <v>0</v>
      </c>
      <c r="M738" t="n">
        <v>0</v>
      </c>
      <c r="N738" t="n">
        <v>0</v>
      </c>
      <c r="O738" t="n">
        <v>0</v>
      </c>
      <c r="P738" t="n">
        <v>0</v>
      </c>
      <c r="Q738" t="n">
        <v>0</v>
      </c>
      <c r="R738" s="2" t="inlineStr"/>
    </row>
    <row r="739" ht="15" customHeight="1">
      <c r="A739" t="inlineStr">
        <is>
          <t>A 51939-2024</t>
        </is>
      </c>
      <c r="B739" s="1" t="n">
        <v>45607.63211805555</v>
      </c>
      <c r="C739" s="1" t="n">
        <v>45917</v>
      </c>
      <c r="D739" t="inlineStr">
        <is>
          <t>JÄMTLANDS LÄN</t>
        </is>
      </c>
      <c r="E739" t="inlineStr">
        <is>
          <t>KROKOM</t>
        </is>
      </c>
      <c r="G739" t="n">
        <v>2.6</v>
      </c>
      <c r="H739" t="n">
        <v>0</v>
      </c>
      <c r="I739" t="n">
        <v>0</v>
      </c>
      <c r="J739" t="n">
        <v>0</v>
      </c>
      <c r="K739" t="n">
        <v>0</v>
      </c>
      <c r="L739" t="n">
        <v>0</v>
      </c>
      <c r="M739" t="n">
        <v>0</v>
      </c>
      <c r="N739" t="n">
        <v>0</v>
      </c>
      <c r="O739" t="n">
        <v>0</v>
      </c>
      <c r="P739" t="n">
        <v>0</v>
      </c>
      <c r="Q739" t="n">
        <v>0</v>
      </c>
      <c r="R739" s="2" t="inlineStr"/>
    </row>
    <row r="740" ht="15" customHeight="1">
      <c r="A740" t="inlineStr">
        <is>
          <t>A 23139-2021</t>
        </is>
      </c>
      <c r="B740" s="1" t="n">
        <v>44331</v>
      </c>
      <c r="C740" s="1" t="n">
        <v>45917</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5356-2025</t>
        </is>
      </c>
      <c r="B741" s="1" t="n">
        <v>45692</v>
      </c>
      <c r="C741" s="1" t="n">
        <v>45917</v>
      </c>
      <c r="D741" t="inlineStr">
        <is>
          <t>JÄMTLANDS LÄN</t>
        </is>
      </c>
      <c r="E741" t="inlineStr">
        <is>
          <t>KROKOM</t>
        </is>
      </c>
      <c r="F741" t="inlineStr">
        <is>
          <t>Övriga Aktiebolag</t>
        </is>
      </c>
      <c r="G741" t="n">
        <v>2.2</v>
      </c>
      <c r="H741" t="n">
        <v>0</v>
      </c>
      <c r="I741" t="n">
        <v>0</v>
      </c>
      <c r="J741" t="n">
        <v>0</v>
      </c>
      <c r="K741" t="n">
        <v>0</v>
      </c>
      <c r="L741" t="n">
        <v>0</v>
      </c>
      <c r="M741" t="n">
        <v>0</v>
      </c>
      <c r="N741" t="n">
        <v>0</v>
      </c>
      <c r="O741" t="n">
        <v>0</v>
      </c>
      <c r="P741" t="n">
        <v>0</v>
      </c>
      <c r="Q741" t="n">
        <v>0</v>
      </c>
      <c r="R741" s="2" t="inlineStr"/>
    </row>
    <row r="742" ht="15" customHeight="1">
      <c r="A742" t="inlineStr">
        <is>
          <t>A 42235-2025</t>
        </is>
      </c>
      <c r="B742" s="1" t="n">
        <v>45904.56144675926</v>
      </c>
      <c r="C742" s="1" t="n">
        <v>45917</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5680-2025</t>
        </is>
      </c>
      <c r="B743" s="1" t="n">
        <v>45694.34268518518</v>
      </c>
      <c r="C743" s="1" t="n">
        <v>45917</v>
      </c>
      <c r="D743" t="inlineStr">
        <is>
          <t>JÄMTLANDS LÄN</t>
        </is>
      </c>
      <c r="E743" t="inlineStr">
        <is>
          <t>KROKOM</t>
        </is>
      </c>
      <c r="F743" t="inlineStr">
        <is>
          <t>Övriga Aktiebolag</t>
        </is>
      </c>
      <c r="G743" t="n">
        <v>48.4</v>
      </c>
      <c r="H743" t="n">
        <v>0</v>
      </c>
      <c r="I743" t="n">
        <v>0</v>
      </c>
      <c r="J743" t="n">
        <v>0</v>
      </c>
      <c r="K743" t="n">
        <v>0</v>
      </c>
      <c r="L743" t="n">
        <v>0</v>
      </c>
      <c r="M743" t="n">
        <v>0</v>
      </c>
      <c r="N743" t="n">
        <v>0</v>
      </c>
      <c r="O743" t="n">
        <v>0</v>
      </c>
      <c r="P743" t="n">
        <v>0</v>
      </c>
      <c r="Q743" t="n">
        <v>0</v>
      </c>
      <c r="R743" s="2" t="inlineStr"/>
    </row>
    <row r="744" ht="15" customHeight="1">
      <c r="A744" t="inlineStr">
        <is>
          <t>A 47850-2023</t>
        </is>
      </c>
      <c r="B744" s="1" t="n">
        <v>45204.40770833333</v>
      </c>
      <c r="C744" s="1" t="n">
        <v>45917</v>
      </c>
      <c r="D744" t="inlineStr">
        <is>
          <t>JÄMTLANDS LÄN</t>
        </is>
      </c>
      <c r="E744" t="inlineStr">
        <is>
          <t>KROKOM</t>
        </is>
      </c>
      <c r="G744" t="n">
        <v>1.8</v>
      </c>
      <c r="H744" t="n">
        <v>0</v>
      </c>
      <c r="I744" t="n">
        <v>0</v>
      </c>
      <c r="J744" t="n">
        <v>0</v>
      </c>
      <c r="K744" t="n">
        <v>0</v>
      </c>
      <c r="L744" t="n">
        <v>0</v>
      </c>
      <c r="M744" t="n">
        <v>0</v>
      </c>
      <c r="N744" t="n">
        <v>0</v>
      </c>
      <c r="O744" t="n">
        <v>0</v>
      </c>
      <c r="P744" t="n">
        <v>0</v>
      </c>
      <c r="Q744" t="n">
        <v>0</v>
      </c>
      <c r="R744" s="2" t="inlineStr"/>
    </row>
    <row r="745" ht="15" customHeight="1">
      <c r="A745" t="inlineStr">
        <is>
          <t>A 26184-2024</t>
        </is>
      </c>
      <c r="B745" s="1" t="n">
        <v>45467</v>
      </c>
      <c r="C745" s="1" t="n">
        <v>45917</v>
      </c>
      <c r="D745" t="inlineStr">
        <is>
          <t>JÄMTLANDS LÄN</t>
        </is>
      </c>
      <c r="E745" t="inlineStr">
        <is>
          <t>KROKOM</t>
        </is>
      </c>
      <c r="G745" t="n">
        <v>65.7</v>
      </c>
      <c r="H745" t="n">
        <v>0</v>
      </c>
      <c r="I745" t="n">
        <v>0</v>
      </c>
      <c r="J745" t="n">
        <v>0</v>
      </c>
      <c r="K745" t="n">
        <v>0</v>
      </c>
      <c r="L745" t="n">
        <v>0</v>
      </c>
      <c r="M745" t="n">
        <v>0</v>
      </c>
      <c r="N745" t="n">
        <v>0</v>
      </c>
      <c r="O745" t="n">
        <v>0</v>
      </c>
      <c r="P745" t="n">
        <v>0</v>
      </c>
      <c r="Q745" t="n">
        <v>0</v>
      </c>
      <c r="R745" s="2" t="inlineStr"/>
    </row>
    <row r="746" ht="15" customHeight="1">
      <c r="A746" t="inlineStr">
        <is>
          <t>A 1473-2025</t>
        </is>
      </c>
      <c r="B746" s="1" t="n">
        <v>45670</v>
      </c>
      <c r="C746" s="1" t="n">
        <v>45917</v>
      </c>
      <c r="D746" t="inlineStr">
        <is>
          <t>JÄMTLANDS LÄN</t>
        </is>
      </c>
      <c r="E746" t="inlineStr">
        <is>
          <t>KROKOM</t>
        </is>
      </c>
      <c r="G746" t="n">
        <v>7.6</v>
      </c>
      <c r="H746" t="n">
        <v>0</v>
      </c>
      <c r="I746" t="n">
        <v>0</v>
      </c>
      <c r="J746" t="n">
        <v>0</v>
      </c>
      <c r="K746" t="n">
        <v>0</v>
      </c>
      <c r="L746" t="n">
        <v>0</v>
      </c>
      <c r="M746" t="n">
        <v>0</v>
      </c>
      <c r="N746" t="n">
        <v>0</v>
      </c>
      <c r="O746" t="n">
        <v>0</v>
      </c>
      <c r="P746" t="n">
        <v>0</v>
      </c>
      <c r="Q746" t="n">
        <v>0</v>
      </c>
      <c r="R746" s="2" t="inlineStr"/>
    </row>
    <row r="747" ht="15" customHeight="1">
      <c r="A747" t="inlineStr">
        <is>
          <t>A 53568-2024</t>
        </is>
      </c>
      <c r="B747" s="1" t="n">
        <v>45614.65925925926</v>
      </c>
      <c r="C747" s="1" t="n">
        <v>45917</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35864-2025</t>
        </is>
      </c>
      <c r="B748" s="1" t="n">
        <v>45861.6841087963</v>
      </c>
      <c r="C748" s="1" t="n">
        <v>45917</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33480-2024</t>
        </is>
      </c>
      <c r="B749" s="1" t="n">
        <v>45519.60965277778</v>
      </c>
      <c r="C749" s="1" t="n">
        <v>45917</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42231-2025</t>
        </is>
      </c>
      <c r="B750" s="1" t="n">
        <v>45904.55565972222</v>
      </c>
      <c r="C750" s="1" t="n">
        <v>45917</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35875-2025</t>
        </is>
      </c>
      <c r="B751" s="1" t="n">
        <v>45862.34668981482</v>
      </c>
      <c r="C751" s="1" t="n">
        <v>45917</v>
      </c>
      <c r="D751" t="inlineStr">
        <is>
          <t>JÄMTLANDS LÄN</t>
        </is>
      </c>
      <c r="E751" t="inlineStr">
        <is>
          <t>KROKOM</t>
        </is>
      </c>
      <c r="F751" t="inlineStr">
        <is>
          <t>Övriga Aktiebolag</t>
        </is>
      </c>
      <c r="G751" t="n">
        <v>14.9</v>
      </c>
      <c r="H751" t="n">
        <v>0</v>
      </c>
      <c r="I751" t="n">
        <v>0</v>
      </c>
      <c r="J751" t="n">
        <v>0</v>
      </c>
      <c r="K751" t="n">
        <v>0</v>
      </c>
      <c r="L751" t="n">
        <v>0</v>
      </c>
      <c r="M751" t="n">
        <v>0</v>
      </c>
      <c r="N751" t="n">
        <v>0</v>
      </c>
      <c r="O751" t="n">
        <v>0</v>
      </c>
      <c r="P751" t="n">
        <v>0</v>
      </c>
      <c r="Q751" t="n">
        <v>0</v>
      </c>
      <c r="R751" s="2" t="inlineStr"/>
    </row>
    <row r="752" ht="15" customHeight="1">
      <c r="A752" t="inlineStr">
        <is>
          <t>A 36491-2021</t>
        </is>
      </c>
      <c r="B752" s="1" t="n">
        <v>44390</v>
      </c>
      <c r="C752" s="1" t="n">
        <v>45917</v>
      </c>
      <c r="D752" t="inlineStr">
        <is>
          <t>JÄMTLANDS LÄN</t>
        </is>
      </c>
      <c r="E752" t="inlineStr">
        <is>
          <t>KROKOM</t>
        </is>
      </c>
      <c r="G752" t="n">
        <v>5.4</v>
      </c>
      <c r="H752" t="n">
        <v>0</v>
      </c>
      <c r="I752" t="n">
        <v>0</v>
      </c>
      <c r="J752" t="n">
        <v>0</v>
      </c>
      <c r="K752" t="n">
        <v>0</v>
      </c>
      <c r="L752" t="n">
        <v>0</v>
      </c>
      <c r="M752" t="n">
        <v>0</v>
      </c>
      <c r="N752" t="n">
        <v>0</v>
      </c>
      <c r="O752" t="n">
        <v>0</v>
      </c>
      <c r="P752" t="n">
        <v>0</v>
      </c>
      <c r="Q752" t="n">
        <v>0</v>
      </c>
      <c r="R752" s="2" t="inlineStr"/>
    </row>
    <row r="753" ht="15" customHeight="1">
      <c r="A753" t="inlineStr">
        <is>
          <t>A 50881-2024</t>
        </is>
      </c>
      <c r="B753" s="1" t="n">
        <v>45602.65599537037</v>
      </c>
      <c r="C753" s="1" t="n">
        <v>45917</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46061-2023</t>
        </is>
      </c>
      <c r="B754" s="1" t="n">
        <v>45190</v>
      </c>
      <c r="C754" s="1" t="n">
        <v>45917</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19478-2023</t>
        </is>
      </c>
      <c r="B755" s="1" t="n">
        <v>45050</v>
      </c>
      <c r="C755" s="1" t="n">
        <v>45917</v>
      </c>
      <c r="D755" t="inlineStr">
        <is>
          <t>JÄMTLANDS LÄN</t>
        </is>
      </c>
      <c r="E755" t="inlineStr">
        <is>
          <t>KROKOM</t>
        </is>
      </c>
      <c r="F755" t="inlineStr">
        <is>
          <t>Övriga Aktiebolag</t>
        </is>
      </c>
      <c r="G755" t="n">
        <v>22.2</v>
      </c>
      <c r="H755" t="n">
        <v>0</v>
      </c>
      <c r="I755" t="n">
        <v>0</v>
      </c>
      <c r="J755" t="n">
        <v>0</v>
      </c>
      <c r="K755" t="n">
        <v>0</v>
      </c>
      <c r="L755" t="n">
        <v>0</v>
      </c>
      <c r="M755" t="n">
        <v>0</v>
      </c>
      <c r="N755" t="n">
        <v>0</v>
      </c>
      <c r="O755" t="n">
        <v>0</v>
      </c>
      <c r="P755" t="n">
        <v>0</v>
      </c>
      <c r="Q755" t="n">
        <v>0</v>
      </c>
      <c r="R755" s="2" t="inlineStr"/>
    </row>
    <row r="756" ht="15" customHeight="1">
      <c r="A756" t="inlineStr">
        <is>
          <t>A 23539-2024</t>
        </is>
      </c>
      <c r="B756" s="1" t="n">
        <v>45453.95237268518</v>
      </c>
      <c r="C756" s="1" t="n">
        <v>45917</v>
      </c>
      <c r="D756" t="inlineStr">
        <is>
          <t>JÄMTLANDS LÄN</t>
        </is>
      </c>
      <c r="E756" t="inlineStr">
        <is>
          <t>KROKOM</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58482-2024</t>
        </is>
      </c>
      <c r="B757" s="1" t="n">
        <v>45635</v>
      </c>
      <c r="C757" s="1" t="n">
        <v>45917</v>
      </c>
      <c r="D757" t="inlineStr">
        <is>
          <t>JÄMTLANDS LÄN</t>
        </is>
      </c>
      <c r="E757" t="inlineStr">
        <is>
          <t>KROKOM</t>
        </is>
      </c>
      <c r="G757" t="n">
        <v>1.5</v>
      </c>
      <c r="H757" t="n">
        <v>0</v>
      </c>
      <c r="I757" t="n">
        <v>0</v>
      </c>
      <c r="J757" t="n">
        <v>0</v>
      </c>
      <c r="K757" t="n">
        <v>0</v>
      </c>
      <c r="L757" t="n">
        <v>0</v>
      </c>
      <c r="M757" t="n">
        <v>0</v>
      </c>
      <c r="N757" t="n">
        <v>0</v>
      </c>
      <c r="O757" t="n">
        <v>0</v>
      </c>
      <c r="P757" t="n">
        <v>0</v>
      </c>
      <c r="Q757" t="n">
        <v>0</v>
      </c>
      <c r="R757" s="2" t="inlineStr"/>
    </row>
    <row r="758" ht="15" customHeight="1">
      <c r="A758" t="inlineStr">
        <is>
          <t>A 33802-2021</t>
        </is>
      </c>
      <c r="B758" s="1" t="n">
        <v>44377</v>
      </c>
      <c r="C758" s="1" t="n">
        <v>45917</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21617-2025</t>
        </is>
      </c>
      <c r="B759" s="1" t="n">
        <v>45783</v>
      </c>
      <c r="C759" s="1" t="n">
        <v>45917</v>
      </c>
      <c r="D759" t="inlineStr">
        <is>
          <t>JÄMTLANDS LÄN</t>
        </is>
      </c>
      <c r="E759" t="inlineStr">
        <is>
          <t>KROKOM</t>
        </is>
      </c>
      <c r="G759" t="n">
        <v>2.6</v>
      </c>
      <c r="H759" t="n">
        <v>0</v>
      </c>
      <c r="I759" t="n">
        <v>0</v>
      </c>
      <c r="J759" t="n">
        <v>0</v>
      </c>
      <c r="K759" t="n">
        <v>0</v>
      </c>
      <c r="L759" t="n">
        <v>0</v>
      </c>
      <c r="M759" t="n">
        <v>0</v>
      </c>
      <c r="N759" t="n">
        <v>0</v>
      </c>
      <c r="O759" t="n">
        <v>0</v>
      </c>
      <c r="P759" t="n">
        <v>0</v>
      </c>
      <c r="Q759" t="n">
        <v>0</v>
      </c>
      <c r="R759" s="2" t="inlineStr"/>
    </row>
    <row r="760" ht="15" customHeight="1">
      <c r="A760" t="inlineStr">
        <is>
          <t>A 23319-2024</t>
        </is>
      </c>
      <c r="B760" s="1" t="n">
        <v>45453.45515046296</v>
      </c>
      <c r="C760" s="1" t="n">
        <v>45917</v>
      </c>
      <c r="D760" t="inlineStr">
        <is>
          <t>JÄMTLANDS LÄN</t>
        </is>
      </c>
      <c r="E760" t="inlineStr">
        <is>
          <t>KROKOM</t>
        </is>
      </c>
      <c r="G760" t="n">
        <v>2.9</v>
      </c>
      <c r="H760" t="n">
        <v>0</v>
      </c>
      <c r="I760" t="n">
        <v>0</v>
      </c>
      <c r="J760" t="n">
        <v>0</v>
      </c>
      <c r="K760" t="n">
        <v>0</v>
      </c>
      <c r="L760" t="n">
        <v>0</v>
      </c>
      <c r="M760" t="n">
        <v>0</v>
      </c>
      <c r="N760" t="n">
        <v>0</v>
      </c>
      <c r="O760" t="n">
        <v>0</v>
      </c>
      <c r="P760" t="n">
        <v>0</v>
      </c>
      <c r="Q760" t="n">
        <v>0</v>
      </c>
      <c r="R760" s="2" t="inlineStr"/>
    </row>
    <row r="761" ht="15" customHeight="1">
      <c r="A761" t="inlineStr">
        <is>
          <t>A 9016-2025</t>
        </is>
      </c>
      <c r="B761" s="1" t="n">
        <v>45713.59163194444</v>
      </c>
      <c r="C761" s="1" t="n">
        <v>45917</v>
      </c>
      <c r="D761" t="inlineStr">
        <is>
          <t>JÄMTLANDS LÄN</t>
        </is>
      </c>
      <c r="E761" t="inlineStr">
        <is>
          <t>KROKOM</t>
        </is>
      </c>
      <c r="F761" t="inlineStr">
        <is>
          <t>Övriga Aktiebolag</t>
        </is>
      </c>
      <c r="G761" t="n">
        <v>19.3</v>
      </c>
      <c r="H761" t="n">
        <v>0</v>
      </c>
      <c r="I761" t="n">
        <v>0</v>
      </c>
      <c r="J761" t="n">
        <v>0</v>
      </c>
      <c r="K761" t="n">
        <v>0</v>
      </c>
      <c r="L761" t="n">
        <v>0</v>
      </c>
      <c r="M761" t="n">
        <v>0</v>
      </c>
      <c r="N761" t="n">
        <v>0</v>
      </c>
      <c r="O761" t="n">
        <v>0</v>
      </c>
      <c r="P761" t="n">
        <v>0</v>
      </c>
      <c r="Q761" t="n">
        <v>0</v>
      </c>
      <c r="R761" s="2" t="inlineStr"/>
    </row>
    <row r="762" ht="15" customHeight="1">
      <c r="A762" t="inlineStr">
        <is>
          <t>A 20982-2023</t>
        </is>
      </c>
      <c r="B762" s="1" t="n">
        <v>45056</v>
      </c>
      <c r="C762" s="1" t="n">
        <v>45917</v>
      </c>
      <c r="D762" t="inlineStr">
        <is>
          <t>JÄMTLANDS LÄN</t>
        </is>
      </c>
      <c r="E762" t="inlineStr">
        <is>
          <t>KROKOM</t>
        </is>
      </c>
      <c r="G762" t="n">
        <v>0.7</v>
      </c>
      <c r="H762" t="n">
        <v>0</v>
      </c>
      <c r="I762" t="n">
        <v>0</v>
      </c>
      <c r="J762" t="n">
        <v>0</v>
      </c>
      <c r="K762" t="n">
        <v>0</v>
      </c>
      <c r="L762" t="n">
        <v>0</v>
      </c>
      <c r="M762" t="n">
        <v>0</v>
      </c>
      <c r="N762" t="n">
        <v>0</v>
      </c>
      <c r="O762" t="n">
        <v>0</v>
      </c>
      <c r="P762" t="n">
        <v>0</v>
      </c>
      <c r="Q762" t="n">
        <v>0</v>
      </c>
      <c r="R762" s="2" t="inlineStr"/>
    </row>
    <row r="763" ht="15" customHeight="1">
      <c r="A763" t="inlineStr">
        <is>
          <t>A 42445-2025</t>
        </is>
      </c>
      <c r="B763" s="1" t="n">
        <v>45905.4375</v>
      </c>
      <c r="C763" s="1" t="n">
        <v>45917</v>
      </c>
      <c r="D763" t="inlineStr">
        <is>
          <t>JÄMTLANDS LÄN</t>
        </is>
      </c>
      <c r="E763" t="inlineStr">
        <is>
          <t>KROKOM</t>
        </is>
      </c>
      <c r="G763" t="n">
        <v>2.8</v>
      </c>
      <c r="H763" t="n">
        <v>0</v>
      </c>
      <c r="I763" t="n">
        <v>0</v>
      </c>
      <c r="J763" t="n">
        <v>0</v>
      </c>
      <c r="K763" t="n">
        <v>0</v>
      </c>
      <c r="L763" t="n">
        <v>0</v>
      </c>
      <c r="M763" t="n">
        <v>0</v>
      </c>
      <c r="N763" t="n">
        <v>0</v>
      </c>
      <c r="O763" t="n">
        <v>0</v>
      </c>
      <c r="P763" t="n">
        <v>0</v>
      </c>
      <c r="Q763" t="n">
        <v>0</v>
      </c>
      <c r="R763" s="2" t="inlineStr"/>
    </row>
    <row r="764" ht="15" customHeight="1">
      <c r="A764" t="inlineStr">
        <is>
          <t>A 31905-2021</t>
        </is>
      </c>
      <c r="B764" s="1" t="n">
        <v>44370</v>
      </c>
      <c r="C764" s="1" t="n">
        <v>45917</v>
      </c>
      <c r="D764" t="inlineStr">
        <is>
          <t>JÄMTLANDS LÄN</t>
        </is>
      </c>
      <c r="E764" t="inlineStr">
        <is>
          <t>KROKOM</t>
        </is>
      </c>
      <c r="G764" t="n">
        <v>12.9</v>
      </c>
      <c r="H764" t="n">
        <v>0</v>
      </c>
      <c r="I764" t="n">
        <v>0</v>
      </c>
      <c r="J764" t="n">
        <v>0</v>
      </c>
      <c r="K764" t="n">
        <v>0</v>
      </c>
      <c r="L764" t="n">
        <v>0</v>
      </c>
      <c r="M764" t="n">
        <v>0</v>
      </c>
      <c r="N764" t="n">
        <v>0</v>
      </c>
      <c r="O764" t="n">
        <v>0</v>
      </c>
      <c r="P764" t="n">
        <v>0</v>
      </c>
      <c r="Q764" t="n">
        <v>0</v>
      </c>
      <c r="R764" s="2" t="inlineStr"/>
    </row>
    <row r="765" ht="15" customHeight="1">
      <c r="A765" t="inlineStr">
        <is>
          <t>A 42427-2025</t>
        </is>
      </c>
      <c r="B765" s="1" t="n">
        <v>45905.4174537037</v>
      </c>
      <c r="C765" s="1" t="n">
        <v>45917</v>
      </c>
      <c r="D765" t="inlineStr">
        <is>
          <t>JÄMTLANDS LÄN</t>
        </is>
      </c>
      <c r="E765" t="inlineStr">
        <is>
          <t>KROKOM</t>
        </is>
      </c>
      <c r="G765" t="n">
        <v>5.3</v>
      </c>
      <c r="H765" t="n">
        <v>0</v>
      </c>
      <c r="I765" t="n">
        <v>0</v>
      </c>
      <c r="J765" t="n">
        <v>0</v>
      </c>
      <c r="K765" t="n">
        <v>0</v>
      </c>
      <c r="L765" t="n">
        <v>0</v>
      </c>
      <c r="M765" t="n">
        <v>0</v>
      </c>
      <c r="N765" t="n">
        <v>0</v>
      </c>
      <c r="O765" t="n">
        <v>0</v>
      </c>
      <c r="P765" t="n">
        <v>0</v>
      </c>
      <c r="Q765" t="n">
        <v>0</v>
      </c>
      <c r="R765" s="2" t="inlineStr"/>
    </row>
    <row r="766" ht="15" customHeight="1">
      <c r="A766" t="inlineStr">
        <is>
          <t>A 42369-2021</t>
        </is>
      </c>
      <c r="B766" s="1" t="n">
        <v>44427</v>
      </c>
      <c r="C766" s="1" t="n">
        <v>45917</v>
      </c>
      <c r="D766" t="inlineStr">
        <is>
          <t>JÄMTLANDS LÄN</t>
        </is>
      </c>
      <c r="E766" t="inlineStr">
        <is>
          <t>KROKOM</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47060-2024</t>
        </is>
      </c>
      <c r="B767" s="1" t="n">
        <v>45586.46927083333</v>
      </c>
      <c r="C767" s="1" t="n">
        <v>45917</v>
      </c>
      <c r="D767" t="inlineStr">
        <is>
          <t>JÄMTLANDS LÄN</t>
        </is>
      </c>
      <c r="E767" t="inlineStr">
        <is>
          <t>KROKOM</t>
        </is>
      </c>
      <c r="G767" t="n">
        <v>2.9</v>
      </c>
      <c r="H767" t="n">
        <v>0</v>
      </c>
      <c r="I767" t="n">
        <v>0</v>
      </c>
      <c r="J767" t="n">
        <v>0</v>
      </c>
      <c r="K767" t="n">
        <v>0</v>
      </c>
      <c r="L767" t="n">
        <v>0</v>
      </c>
      <c r="M767" t="n">
        <v>0</v>
      </c>
      <c r="N767" t="n">
        <v>0</v>
      </c>
      <c r="O767" t="n">
        <v>0</v>
      </c>
      <c r="P767" t="n">
        <v>0</v>
      </c>
      <c r="Q767" t="n">
        <v>0</v>
      </c>
      <c r="R767" s="2" t="inlineStr"/>
    </row>
    <row r="768" ht="15" customHeight="1">
      <c r="A768" t="inlineStr">
        <is>
          <t>A 35985-2025</t>
        </is>
      </c>
      <c r="B768" s="1" t="n">
        <v>45863.45778935185</v>
      </c>
      <c r="C768" s="1" t="n">
        <v>45917</v>
      </c>
      <c r="D768" t="inlineStr">
        <is>
          <t>JÄMTLANDS LÄN</t>
        </is>
      </c>
      <c r="E768" t="inlineStr">
        <is>
          <t>KROKOM</t>
        </is>
      </c>
      <c r="G768" t="n">
        <v>0.2</v>
      </c>
      <c r="H768" t="n">
        <v>0</v>
      </c>
      <c r="I768" t="n">
        <v>0</v>
      </c>
      <c r="J768" t="n">
        <v>0</v>
      </c>
      <c r="K768" t="n">
        <v>0</v>
      </c>
      <c r="L768" t="n">
        <v>0</v>
      </c>
      <c r="M768" t="n">
        <v>0</v>
      </c>
      <c r="N768" t="n">
        <v>0</v>
      </c>
      <c r="O768" t="n">
        <v>0</v>
      </c>
      <c r="P768" t="n">
        <v>0</v>
      </c>
      <c r="Q768" t="n">
        <v>0</v>
      </c>
      <c r="R768" s="2" t="inlineStr"/>
    </row>
    <row r="769" ht="15" customHeight="1">
      <c r="A769" t="inlineStr">
        <is>
          <t>A 41142-2023</t>
        </is>
      </c>
      <c r="B769" s="1" t="n">
        <v>45173</v>
      </c>
      <c r="C769" s="1" t="n">
        <v>45917</v>
      </c>
      <c r="D769" t="inlineStr">
        <is>
          <t>JÄMTLANDS LÄN</t>
        </is>
      </c>
      <c r="E769" t="inlineStr">
        <is>
          <t>KROKOM</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42804-2025</t>
        </is>
      </c>
      <c r="B770" s="1" t="n">
        <v>45908</v>
      </c>
      <c r="C770" s="1" t="n">
        <v>45917</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5798-2025</t>
        </is>
      </c>
      <c r="B771" s="1" t="n">
        <v>45694.65905092593</v>
      </c>
      <c r="C771" s="1" t="n">
        <v>45917</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36044-2025</t>
        </is>
      </c>
      <c r="B772" s="1" t="n">
        <v>45863</v>
      </c>
      <c r="C772" s="1" t="n">
        <v>45917</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12813-2023</t>
        </is>
      </c>
      <c r="B773" s="1" t="n">
        <v>45000</v>
      </c>
      <c r="C773" s="1" t="n">
        <v>45917</v>
      </c>
      <c r="D773" t="inlineStr">
        <is>
          <t>JÄMTLANDS LÄN</t>
        </is>
      </c>
      <c r="E773" t="inlineStr">
        <is>
          <t>KROKOM</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9025-2025</t>
        </is>
      </c>
      <c r="B774" s="1" t="n">
        <v>45713.59952546296</v>
      </c>
      <c r="C774" s="1" t="n">
        <v>45917</v>
      </c>
      <c r="D774" t="inlineStr">
        <is>
          <t>JÄMTLANDS LÄN</t>
        </is>
      </c>
      <c r="E774" t="inlineStr">
        <is>
          <t>KROKOM</t>
        </is>
      </c>
      <c r="F774" t="inlineStr">
        <is>
          <t>Övriga Aktiebolag</t>
        </is>
      </c>
      <c r="G774" t="n">
        <v>28.4</v>
      </c>
      <c r="H774" t="n">
        <v>0</v>
      </c>
      <c r="I774" t="n">
        <v>0</v>
      </c>
      <c r="J774" t="n">
        <v>0</v>
      </c>
      <c r="K774" t="n">
        <v>0</v>
      </c>
      <c r="L774" t="n">
        <v>0</v>
      </c>
      <c r="M774" t="n">
        <v>0</v>
      </c>
      <c r="N774" t="n">
        <v>0</v>
      </c>
      <c r="O774" t="n">
        <v>0</v>
      </c>
      <c r="P774" t="n">
        <v>0</v>
      </c>
      <c r="Q774" t="n">
        <v>0</v>
      </c>
      <c r="R774" s="2" t="inlineStr"/>
    </row>
    <row r="775" ht="15" customHeight="1">
      <c r="A775" t="inlineStr">
        <is>
          <t>A 36182-2025</t>
        </is>
      </c>
      <c r="B775" s="1" t="n">
        <v>45867.41707175926</v>
      </c>
      <c r="C775" s="1" t="n">
        <v>45917</v>
      </c>
      <c r="D775" t="inlineStr">
        <is>
          <t>JÄMTLANDS LÄN</t>
        </is>
      </c>
      <c r="E775" t="inlineStr">
        <is>
          <t>KROKOM</t>
        </is>
      </c>
      <c r="G775" t="n">
        <v>4.1</v>
      </c>
      <c r="H775" t="n">
        <v>0</v>
      </c>
      <c r="I775" t="n">
        <v>0</v>
      </c>
      <c r="J775" t="n">
        <v>0</v>
      </c>
      <c r="K775" t="n">
        <v>0</v>
      </c>
      <c r="L775" t="n">
        <v>0</v>
      </c>
      <c r="M775" t="n">
        <v>0</v>
      </c>
      <c r="N775" t="n">
        <v>0</v>
      </c>
      <c r="O775" t="n">
        <v>0</v>
      </c>
      <c r="P775" t="n">
        <v>0</v>
      </c>
      <c r="Q775" t="n">
        <v>0</v>
      </c>
      <c r="R775" s="2" t="inlineStr"/>
    </row>
    <row r="776" ht="15" customHeight="1">
      <c r="A776" t="inlineStr">
        <is>
          <t>A 36209-2025</t>
        </is>
      </c>
      <c r="B776" s="1" t="n">
        <v>45867.46560185185</v>
      </c>
      <c r="C776" s="1" t="n">
        <v>45917</v>
      </c>
      <c r="D776" t="inlineStr">
        <is>
          <t>JÄMTLANDS LÄN</t>
        </is>
      </c>
      <c r="E776" t="inlineStr">
        <is>
          <t>KROKOM</t>
        </is>
      </c>
      <c r="G776" t="n">
        <v>9.4</v>
      </c>
      <c r="H776" t="n">
        <v>0</v>
      </c>
      <c r="I776" t="n">
        <v>0</v>
      </c>
      <c r="J776" t="n">
        <v>0</v>
      </c>
      <c r="K776" t="n">
        <v>0</v>
      </c>
      <c r="L776" t="n">
        <v>0</v>
      </c>
      <c r="M776" t="n">
        <v>0</v>
      </c>
      <c r="N776" t="n">
        <v>0</v>
      </c>
      <c r="O776" t="n">
        <v>0</v>
      </c>
      <c r="P776" t="n">
        <v>0</v>
      </c>
      <c r="Q776" t="n">
        <v>0</v>
      </c>
      <c r="R776" s="2" t="inlineStr"/>
    </row>
    <row r="777" ht="15" customHeight="1">
      <c r="A777" t="inlineStr">
        <is>
          <t>A 61966-2024</t>
        </is>
      </c>
      <c r="B777" s="1" t="n">
        <v>45653.57240740741</v>
      </c>
      <c r="C777" s="1" t="n">
        <v>45917</v>
      </c>
      <c r="D777" t="inlineStr">
        <is>
          <t>JÄMTLANDS LÄN</t>
        </is>
      </c>
      <c r="E777" t="inlineStr">
        <is>
          <t>KROKOM</t>
        </is>
      </c>
      <c r="F777" t="inlineStr">
        <is>
          <t>Övriga Aktiebolag</t>
        </is>
      </c>
      <c r="G777" t="n">
        <v>15.7</v>
      </c>
      <c r="H777" t="n">
        <v>0</v>
      </c>
      <c r="I777" t="n">
        <v>0</v>
      </c>
      <c r="J777" t="n">
        <v>0</v>
      </c>
      <c r="K777" t="n">
        <v>0</v>
      </c>
      <c r="L777" t="n">
        <v>0</v>
      </c>
      <c r="M777" t="n">
        <v>0</v>
      </c>
      <c r="N777" t="n">
        <v>0</v>
      </c>
      <c r="O777" t="n">
        <v>0</v>
      </c>
      <c r="P777" t="n">
        <v>0</v>
      </c>
      <c r="Q777" t="n">
        <v>0</v>
      </c>
      <c r="R777" s="2" t="inlineStr"/>
    </row>
    <row r="778" ht="15" customHeight="1">
      <c r="A778" t="inlineStr">
        <is>
          <t>A 50822-2024</t>
        </is>
      </c>
      <c r="B778" s="1" t="n">
        <v>45602.57827546296</v>
      </c>
      <c r="C778" s="1" t="n">
        <v>45917</v>
      </c>
      <c r="D778" t="inlineStr">
        <is>
          <t>JÄMTLANDS LÄN</t>
        </is>
      </c>
      <c r="E778" t="inlineStr">
        <is>
          <t>KROKOM</t>
        </is>
      </c>
      <c r="G778" t="n">
        <v>5.4</v>
      </c>
      <c r="H778" t="n">
        <v>0</v>
      </c>
      <c r="I778" t="n">
        <v>0</v>
      </c>
      <c r="J778" t="n">
        <v>0</v>
      </c>
      <c r="K778" t="n">
        <v>0</v>
      </c>
      <c r="L778" t="n">
        <v>0</v>
      </c>
      <c r="M778" t="n">
        <v>0</v>
      </c>
      <c r="N778" t="n">
        <v>0</v>
      </c>
      <c r="O778" t="n">
        <v>0</v>
      </c>
      <c r="P778" t="n">
        <v>0</v>
      </c>
      <c r="Q778" t="n">
        <v>0</v>
      </c>
      <c r="R778" s="2" t="inlineStr"/>
    </row>
    <row r="779" ht="15" customHeight="1">
      <c r="A779" t="inlineStr">
        <is>
          <t>A 5378-2025</t>
        </is>
      </c>
      <c r="B779" s="1" t="n">
        <v>45692.60364583333</v>
      </c>
      <c r="C779" s="1" t="n">
        <v>45917</v>
      </c>
      <c r="D779" t="inlineStr">
        <is>
          <t>JÄMTLANDS LÄN</t>
        </is>
      </c>
      <c r="E779" t="inlineStr">
        <is>
          <t>KROKOM</t>
        </is>
      </c>
      <c r="G779" t="n">
        <v>11</v>
      </c>
      <c r="H779" t="n">
        <v>0</v>
      </c>
      <c r="I779" t="n">
        <v>0</v>
      </c>
      <c r="J779" t="n">
        <v>0</v>
      </c>
      <c r="K779" t="n">
        <v>0</v>
      </c>
      <c r="L779" t="n">
        <v>0</v>
      </c>
      <c r="M779" t="n">
        <v>0</v>
      </c>
      <c r="N779" t="n">
        <v>0</v>
      </c>
      <c r="O779" t="n">
        <v>0</v>
      </c>
      <c r="P779" t="n">
        <v>0</v>
      </c>
      <c r="Q779" t="n">
        <v>0</v>
      </c>
      <c r="R779" s="2" t="inlineStr"/>
    </row>
    <row r="780" ht="15" customHeight="1">
      <c r="A780" t="inlineStr">
        <is>
          <t>A 8167-2025</t>
        </is>
      </c>
      <c r="B780" s="1" t="n">
        <v>45708</v>
      </c>
      <c r="C780" s="1" t="n">
        <v>45917</v>
      </c>
      <c r="D780" t="inlineStr">
        <is>
          <t>JÄMTLANDS LÄN</t>
        </is>
      </c>
      <c r="E780" t="inlineStr">
        <is>
          <t>KROKOM</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7079-2025</t>
        </is>
      </c>
      <c r="B781" s="1" t="n">
        <v>45701</v>
      </c>
      <c r="C781" s="1" t="n">
        <v>45917</v>
      </c>
      <c r="D781" t="inlineStr">
        <is>
          <t>JÄMTLANDS LÄN</t>
        </is>
      </c>
      <c r="E781" t="inlineStr">
        <is>
          <t>KROKOM</t>
        </is>
      </c>
      <c r="F781" t="inlineStr">
        <is>
          <t>SCA</t>
        </is>
      </c>
      <c r="G781" t="n">
        <v>7.4</v>
      </c>
      <c r="H781" t="n">
        <v>0</v>
      </c>
      <c r="I781" t="n">
        <v>0</v>
      </c>
      <c r="J781" t="n">
        <v>0</v>
      </c>
      <c r="K781" t="n">
        <v>0</v>
      </c>
      <c r="L781" t="n">
        <v>0</v>
      </c>
      <c r="M781" t="n">
        <v>0</v>
      </c>
      <c r="N781" t="n">
        <v>0</v>
      </c>
      <c r="O781" t="n">
        <v>0</v>
      </c>
      <c r="P781" t="n">
        <v>0</v>
      </c>
      <c r="Q781" t="n">
        <v>0</v>
      </c>
      <c r="R781" s="2" t="inlineStr"/>
    </row>
    <row r="782" ht="15" customHeight="1">
      <c r="A782" t="inlineStr">
        <is>
          <t>A 9023-2025</t>
        </is>
      </c>
      <c r="B782" s="1" t="n">
        <v>45713.59741898148</v>
      </c>
      <c r="C782" s="1" t="n">
        <v>45917</v>
      </c>
      <c r="D782" t="inlineStr">
        <is>
          <t>JÄMTLANDS LÄN</t>
        </is>
      </c>
      <c r="E782" t="inlineStr">
        <is>
          <t>KROKOM</t>
        </is>
      </c>
      <c r="F782" t="inlineStr">
        <is>
          <t>Övriga Aktiebolag</t>
        </is>
      </c>
      <c r="G782" t="n">
        <v>16.8</v>
      </c>
      <c r="H782" t="n">
        <v>0</v>
      </c>
      <c r="I782" t="n">
        <v>0</v>
      </c>
      <c r="J782" t="n">
        <v>0</v>
      </c>
      <c r="K782" t="n">
        <v>0</v>
      </c>
      <c r="L782" t="n">
        <v>0</v>
      </c>
      <c r="M782" t="n">
        <v>0</v>
      </c>
      <c r="N782" t="n">
        <v>0</v>
      </c>
      <c r="O782" t="n">
        <v>0</v>
      </c>
      <c r="P782" t="n">
        <v>0</v>
      </c>
      <c r="Q782" t="n">
        <v>0</v>
      </c>
      <c r="R782" s="2" t="inlineStr"/>
    </row>
    <row r="783" ht="15" customHeight="1">
      <c r="A783" t="inlineStr">
        <is>
          <t>A 10588-2025</t>
        </is>
      </c>
      <c r="B783" s="1" t="n">
        <v>45721.55653935186</v>
      </c>
      <c r="C783" s="1" t="n">
        <v>45917</v>
      </c>
      <c r="D783" t="inlineStr">
        <is>
          <t>JÄMTLANDS LÄN</t>
        </is>
      </c>
      <c r="E783" t="inlineStr">
        <is>
          <t>KROKOM</t>
        </is>
      </c>
      <c r="G783" t="n">
        <v>1</v>
      </c>
      <c r="H783" t="n">
        <v>0</v>
      </c>
      <c r="I783" t="n">
        <v>0</v>
      </c>
      <c r="J783" t="n">
        <v>0</v>
      </c>
      <c r="K783" t="n">
        <v>0</v>
      </c>
      <c r="L783" t="n">
        <v>0</v>
      </c>
      <c r="M783" t="n">
        <v>0</v>
      </c>
      <c r="N783" t="n">
        <v>0</v>
      </c>
      <c r="O783" t="n">
        <v>0</v>
      </c>
      <c r="P783" t="n">
        <v>0</v>
      </c>
      <c r="Q783" t="n">
        <v>0</v>
      </c>
      <c r="R783" s="2" t="inlineStr"/>
    </row>
    <row r="784" ht="15" customHeight="1">
      <c r="A784" t="inlineStr">
        <is>
          <t>A 44453-2023</t>
        </is>
      </c>
      <c r="B784" s="1" t="n">
        <v>45189</v>
      </c>
      <c r="C784" s="1" t="n">
        <v>45917</v>
      </c>
      <c r="D784" t="inlineStr">
        <is>
          <t>JÄMTLANDS LÄN</t>
        </is>
      </c>
      <c r="E784" t="inlineStr">
        <is>
          <t>KROKOM</t>
        </is>
      </c>
      <c r="G784" t="n">
        <v>1.1</v>
      </c>
      <c r="H784" t="n">
        <v>0</v>
      </c>
      <c r="I784" t="n">
        <v>0</v>
      </c>
      <c r="J784" t="n">
        <v>0</v>
      </c>
      <c r="K784" t="n">
        <v>0</v>
      </c>
      <c r="L784" t="n">
        <v>0</v>
      </c>
      <c r="M784" t="n">
        <v>0</v>
      </c>
      <c r="N784" t="n">
        <v>0</v>
      </c>
      <c r="O784" t="n">
        <v>0</v>
      </c>
      <c r="P784" t="n">
        <v>0</v>
      </c>
      <c r="Q784" t="n">
        <v>0</v>
      </c>
      <c r="R784" s="2" t="inlineStr"/>
    </row>
    <row r="785" ht="15" customHeight="1">
      <c r="A785" t="inlineStr">
        <is>
          <t>A 36429-2025</t>
        </is>
      </c>
      <c r="B785" s="1" t="n">
        <v>45869.34439814815</v>
      </c>
      <c r="C785" s="1" t="n">
        <v>45917</v>
      </c>
      <c r="D785" t="inlineStr">
        <is>
          <t>JÄMTLANDS LÄN</t>
        </is>
      </c>
      <c r="E785" t="inlineStr">
        <is>
          <t>KROKOM</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43785-2025</t>
        </is>
      </c>
      <c r="B786" s="1" t="n">
        <v>45912</v>
      </c>
      <c r="C786" s="1" t="n">
        <v>45917</v>
      </c>
      <c r="D786" t="inlineStr">
        <is>
          <t>JÄMTLANDS LÄN</t>
        </is>
      </c>
      <c r="E786" t="inlineStr">
        <is>
          <t>KROKOM</t>
        </is>
      </c>
      <c r="G786" t="n">
        <v>2</v>
      </c>
      <c r="H786" t="n">
        <v>0</v>
      </c>
      <c r="I786" t="n">
        <v>0</v>
      </c>
      <c r="J786" t="n">
        <v>0</v>
      </c>
      <c r="K786" t="n">
        <v>0</v>
      </c>
      <c r="L786" t="n">
        <v>0</v>
      </c>
      <c r="M786" t="n">
        <v>0</v>
      </c>
      <c r="N786" t="n">
        <v>0</v>
      </c>
      <c r="O786" t="n">
        <v>0</v>
      </c>
      <c r="P786" t="n">
        <v>0</v>
      </c>
      <c r="Q786" t="n">
        <v>0</v>
      </c>
      <c r="R786" s="2" t="inlineStr"/>
    </row>
    <row r="787" ht="15" customHeight="1">
      <c r="A787" t="inlineStr">
        <is>
          <t>A 23215-2024</t>
        </is>
      </c>
      <c r="B787" s="1" t="n">
        <v>45452.56446759259</v>
      </c>
      <c r="C787" s="1" t="n">
        <v>45917</v>
      </c>
      <c r="D787" t="inlineStr">
        <is>
          <t>JÄMTLANDS LÄN</t>
        </is>
      </c>
      <c r="E787" t="inlineStr">
        <is>
          <t>KROKOM</t>
        </is>
      </c>
      <c r="F787" t="inlineStr">
        <is>
          <t>Övriga Aktiebolag</t>
        </is>
      </c>
      <c r="G787" t="n">
        <v>0.4</v>
      </c>
      <c r="H787" t="n">
        <v>0</v>
      </c>
      <c r="I787" t="n">
        <v>0</v>
      </c>
      <c r="J787" t="n">
        <v>0</v>
      </c>
      <c r="K787" t="n">
        <v>0</v>
      </c>
      <c r="L787" t="n">
        <v>0</v>
      </c>
      <c r="M787" t="n">
        <v>0</v>
      </c>
      <c r="N787" t="n">
        <v>0</v>
      </c>
      <c r="O787" t="n">
        <v>0</v>
      </c>
      <c r="P787" t="n">
        <v>0</v>
      </c>
      <c r="Q787" t="n">
        <v>0</v>
      </c>
      <c r="R787" s="2" t="inlineStr"/>
    </row>
    <row r="788" ht="15" customHeight="1">
      <c r="A788" t="inlineStr">
        <is>
          <t>A 43368-2025</t>
        </is>
      </c>
      <c r="B788" s="1" t="n">
        <v>45911.34840277778</v>
      </c>
      <c r="C788" s="1" t="n">
        <v>45917</v>
      </c>
      <c r="D788" t="inlineStr">
        <is>
          <t>JÄMTLANDS LÄN</t>
        </is>
      </c>
      <c r="E788" t="inlineStr">
        <is>
          <t>KROKOM</t>
        </is>
      </c>
      <c r="G788" t="n">
        <v>19</v>
      </c>
      <c r="H788" t="n">
        <v>0</v>
      </c>
      <c r="I788" t="n">
        <v>0</v>
      </c>
      <c r="J788" t="n">
        <v>0</v>
      </c>
      <c r="K788" t="n">
        <v>0</v>
      </c>
      <c r="L788" t="n">
        <v>0</v>
      </c>
      <c r="M788" t="n">
        <v>0</v>
      </c>
      <c r="N788" t="n">
        <v>0</v>
      </c>
      <c r="O788" t="n">
        <v>0</v>
      </c>
      <c r="P788" t="n">
        <v>0</v>
      </c>
      <c r="Q788" t="n">
        <v>0</v>
      </c>
      <c r="R788" s="2" t="inlineStr"/>
    </row>
    <row r="789" ht="15" customHeight="1">
      <c r="A789" t="inlineStr">
        <is>
          <t>A 30158-2022</t>
        </is>
      </c>
      <c r="B789" s="1" t="n">
        <v>44757</v>
      </c>
      <c r="C789" s="1" t="n">
        <v>45917</v>
      </c>
      <c r="D789" t="inlineStr">
        <is>
          <t>JÄMTLANDS LÄN</t>
        </is>
      </c>
      <c r="E789" t="inlineStr">
        <is>
          <t>KROKOM</t>
        </is>
      </c>
      <c r="F789" t="inlineStr">
        <is>
          <t>SCA</t>
        </is>
      </c>
      <c r="G789" t="n">
        <v>9.6</v>
      </c>
      <c r="H789" t="n">
        <v>0</v>
      </c>
      <c r="I789" t="n">
        <v>0</v>
      </c>
      <c r="J789" t="n">
        <v>0</v>
      </c>
      <c r="K789" t="n">
        <v>0</v>
      </c>
      <c r="L789" t="n">
        <v>0</v>
      </c>
      <c r="M789" t="n">
        <v>0</v>
      </c>
      <c r="N789" t="n">
        <v>0</v>
      </c>
      <c r="O789" t="n">
        <v>0</v>
      </c>
      <c r="P789" t="n">
        <v>0</v>
      </c>
      <c r="Q789" t="n">
        <v>0</v>
      </c>
      <c r="R789" s="2" t="inlineStr"/>
    </row>
    <row r="790" ht="15" customHeight="1">
      <c r="A790" t="inlineStr">
        <is>
          <t>A 23507-2024</t>
        </is>
      </c>
      <c r="B790" s="1" t="n">
        <v>45453</v>
      </c>
      <c r="C790" s="1" t="n">
        <v>45917</v>
      </c>
      <c r="D790" t="inlineStr">
        <is>
          <t>JÄMTLANDS LÄN</t>
        </is>
      </c>
      <c r="E790" t="inlineStr">
        <is>
          <t>KROKOM</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3329-2025</t>
        </is>
      </c>
      <c r="B791" s="1" t="n">
        <v>45679.70027777777</v>
      </c>
      <c r="C791" s="1" t="n">
        <v>45917</v>
      </c>
      <c r="D791" t="inlineStr">
        <is>
          <t>JÄMTLANDS LÄN</t>
        </is>
      </c>
      <c r="E791" t="inlineStr">
        <is>
          <t>KROKOM</t>
        </is>
      </c>
      <c r="G791" t="n">
        <v>4.8</v>
      </c>
      <c r="H791" t="n">
        <v>0</v>
      </c>
      <c r="I791" t="n">
        <v>0</v>
      </c>
      <c r="J791" t="n">
        <v>0</v>
      </c>
      <c r="K791" t="n">
        <v>0</v>
      </c>
      <c r="L791" t="n">
        <v>0</v>
      </c>
      <c r="M791" t="n">
        <v>0</v>
      </c>
      <c r="N791" t="n">
        <v>0</v>
      </c>
      <c r="O791" t="n">
        <v>0</v>
      </c>
      <c r="P791" t="n">
        <v>0</v>
      </c>
      <c r="Q791" t="n">
        <v>0</v>
      </c>
      <c r="R791" s="2" t="inlineStr"/>
    </row>
    <row r="792" ht="15" customHeight="1">
      <c r="A792" t="inlineStr">
        <is>
          <t>A 50255-2024</t>
        </is>
      </c>
      <c r="B792" s="1" t="n">
        <v>45600.58076388889</v>
      </c>
      <c r="C792" s="1" t="n">
        <v>45917</v>
      </c>
      <c r="D792" t="inlineStr">
        <is>
          <t>JÄMTLANDS LÄN</t>
        </is>
      </c>
      <c r="E792" t="inlineStr">
        <is>
          <t>KROKOM</t>
        </is>
      </c>
      <c r="G792" t="n">
        <v>4</v>
      </c>
      <c r="H792" t="n">
        <v>0</v>
      </c>
      <c r="I792" t="n">
        <v>0</v>
      </c>
      <c r="J792" t="n">
        <v>0</v>
      </c>
      <c r="K792" t="n">
        <v>0</v>
      </c>
      <c r="L792" t="n">
        <v>0</v>
      </c>
      <c r="M792" t="n">
        <v>0</v>
      </c>
      <c r="N792" t="n">
        <v>0</v>
      </c>
      <c r="O792" t="n">
        <v>0</v>
      </c>
      <c r="P792" t="n">
        <v>0</v>
      </c>
      <c r="Q792" t="n">
        <v>0</v>
      </c>
      <c r="R792" s="2" t="inlineStr"/>
    </row>
    <row r="793" ht="15" customHeight="1">
      <c r="A793" t="inlineStr">
        <is>
          <t>A 30979-2024</t>
        </is>
      </c>
      <c r="B793" s="1" t="n">
        <v>45499.48672453704</v>
      </c>
      <c r="C793" s="1" t="n">
        <v>45917</v>
      </c>
      <c r="D793" t="inlineStr">
        <is>
          <t>JÄMTLANDS LÄN</t>
        </is>
      </c>
      <c r="E793" t="inlineStr">
        <is>
          <t>KROKOM</t>
        </is>
      </c>
      <c r="G793" t="n">
        <v>18.2</v>
      </c>
      <c r="H793" t="n">
        <v>0</v>
      </c>
      <c r="I793" t="n">
        <v>0</v>
      </c>
      <c r="J793" t="n">
        <v>0</v>
      </c>
      <c r="K793" t="n">
        <v>0</v>
      </c>
      <c r="L793" t="n">
        <v>0</v>
      </c>
      <c r="M793" t="n">
        <v>0</v>
      </c>
      <c r="N793" t="n">
        <v>0</v>
      </c>
      <c r="O793" t="n">
        <v>0</v>
      </c>
      <c r="P793" t="n">
        <v>0</v>
      </c>
      <c r="Q793" t="n">
        <v>0</v>
      </c>
      <c r="R793" s="2" t="inlineStr"/>
    </row>
    <row r="794" ht="15" customHeight="1">
      <c r="A794" t="inlineStr">
        <is>
          <t>A 4570-2025</t>
        </is>
      </c>
      <c r="B794" s="1" t="n">
        <v>45687</v>
      </c>
      <c r="C794" s="1" t="n">
        <v>45917</v>
      </c>
      <c r="D794" t="inlineStr">
        <is>
          <t>JÄMTLANDS LÄN</t>
        </is>
      </c>
      <c r="E794" t="inlineStr">
        <is>
          <t>KROKOM</t>
        </is>
      </c>
      <c r="G794" t="n">
        <v>4.6</v>
      </c>
      <c r="H794" t="n">
        <v>0</v>
      </c>
      <c r="I794" t="n">
        <v>0</v>
      </c>
      <c r="J794" t="n">
        <v>0</v>
      </c>
      <c r="K794" t="n">
        <v>0</v>
      </c>
      <c r="L794" t="n">
        <v>0</v>
      </c>
      <c r="M794" t="n">
        <v>0</v>
      </c>
      <c r="N794" t="n">
        <v>0</v>
      </c>
      <c r="O794" t="n">
        <v>0</v>
      </c>
      <c r="P794" t="n">
        <v>0</v>
      </c>
      <c r="Q794" t="n">
        <v>0</v>
      </c>
      <c r="R794" s="2" t="inlineStr"/>
    </row>
    <row r="795" ht="15" customHeight="1">
      <c r="A795" t="inlineStr">
        <is>
          <t>A 15761-2025</t>
        </is>
      </c>
      <c r="B795" s="1" t="n">
        <v>45748.57269675926</v>
      </c>
      <c r="C795" s="1" t="n">
        <v>45917</v>
      </c>
      <c r="D795" t="inlineStr">
        <is>
          <t>JÄMTLANDS LÄN</t>
        </is>
      </c>
      <c r="E795" t="inlineStr">
        <is>
          <t>KROKOM</t>
        </is>
      </c>
      <c r="G795" t="n">
        <v>48.1</v>
      </c>
      <c r="H795" t="n">
        <v>0</v>
      </c>
      <c r="I795" t="n">
        <v>0</v>
      </c>
      <c r="J795" t="n">
        <v>0</v>
      </c>
      <c r="K795" t="n">
        <v>0</v>
      </c>
      <c r="L795" t="n">
        <v>0</v>
      </c>
      <c r="M795" t="n">
        <v>0</v>
      </c>
      <c r="N795" t="n">
        <v>0</v>
      </c>
      <c r="O795" t="n">
        <v>0</v>
      </c>
      <c r="P795" t="n">
        <v>0</v>
      </c>
      <c r="Q795" t="n">
        <v>0</v>
      </c>
      <c r="R795" s="2" t="inlineStr"/>
    </row>
    <row r="796" ht="15" customHeight="1">
      <c r="A796" t="inlineStr">
        <is>
          <t>A 61742-2024</t>
        </is>
      </c>
      <c r="B796" s="1" t="n">
        <v>45649.38149305555</v>
      </c>
      <c r="C796" s="1" t="n">
        <v>45917</v>
      </c>
      <c r="D796" t="inlineStr">
        <is>
          <t>JÄMTLANDS LÄN</t>
        </is>
      </c>
      <c r="E796" t="inlineStr">
        <is>
          <t>KROKOM</t>
        </is>
      </c>
      <c r="G796" t="n">
        <v>13.3</v>
      </c>
      <c r="H796" t="n">
        <v>0</v>
      </c>
      <c r="I796" t="n">
        <v>0</v>
      </c>
      <c r="J796" t="n">
        <v>0</v>
      </c>
      <c r="K796" t="n">
        <v>0</v>
      </c>
      <c r="L796" t="n">
        <v>0</v>
      </c>
      <c r="M796" t="n">
        <v>0</v>
      </c>
      <c r="N796" t="n">
        <v>0</v>
      </c>
      <c r="O796" t="n">
        <v>0</v>
      </c>
      <c r="P796" t="n">
        <v>0</v>
      </c>
      <c r="Q796" t="n">
        <v>0</v>
      </c>
      <c r="R796" s="2" t="inlineStr"/>
    </row>
    <row r="797" ht="15" customHeight="1">
      <c r="A797" t="inlineStr">
        <is>
          <t>A 41700-2024</t>
        </is>
      </c>
      <c r="B797" s="1" t="n">
        <v>45560.69164351852</v>
      </c>
      <c r="C797" s="1" t="n">
        <v>45917</v>
      </c>
      <c r="D797" t="inlineStr">
        <is>
          <t>JÄMTLANDS LÄN</t>
        </is>
      </c>
      <c r="E797" t="inlineStr">
        <is>
          <t>KROKOM</t>
        </is>
      </c>
      <c r="G797" t="n">
        <v>2.2</v>
      </c>
      <c r="H797" t="n">
        <v>0</v>
      </c>
      <c r="I797" t="n">
        <v>0</v>
      </c>
      <c r="J797" t="n">
        <v>0</v>
      </c>
      <c r="K797" t="n">
        <v>0</v>
      </c>
      <c r="L797" t="n">
        <v>0</v>
      </c>
      <c r="M797" t="n">
        <v>0</v>
      </c>
      <c r="N797" t="n">
        <v>0</v>
      </c>
      <c r="O797" t="n">
        <v>0</v>
      </c>
      <c r="P797" t="n">
        <v>0</v>
      </c>
      <c r="Q797" t="n">
        <v>0</v>
      </c>
      <c r="R797" s="2" t="inlineStr"/>
    </row>
    <row r="798" ht="15" customHeight="1">
      <c r="A798" t="inlineStr">
        <is>
          <t>A 31426-2025</t>
        </is>
      </c>
      <c r="B798" s="1" t="n">
        <v>45833</v>
      </c>
      <c r="C798" s="1" t="n">
        <v>45917</v>
      </c>
      <c r="D798" t="inlineStr">
        <is>
          <t>JÄMTLANDS LÄN</t>
        </is>
      </c>
      <c r="E798" t="inlineStr">
        <is>
          <t>KROKOM</t>
        </is>
      </c>
      <c r="G798" t="n">
        <v>0.9</v>
      </c>
      <c r="H798" t="n">
        <v>0</v>
      </c>
      <c r="I798" t="n">
        <v>0</v>
      </c>
      <c r="J798" t="n">
        <v>0</v>
      </c>
      <c r="K798" t="n">
        <v>0</v>
      </c>
      <c r="L798" t="n">
        <v>0</v>
      </c>
      <c r="M798" t="n">
        <v>0</v>
      </c>
      <c r="N798" t="n">
        <v>0</v>
      </c>
      <c r="O798" t="n">
        <v>0</v>
      </c>
      <c r="P798" t="n">
        <v>0</v>
      </c>
      <c r="Q798" t="n">
        <v>0</v>
      </c>
      <c r="R798" s="2" t="inlineStr"/>
    </row>
    <row r="799" ht="15" customHeight="1">
      <c r="A799" t="inlineStr">
        <is>
          <t>A 31427-2025</t>
        </is>
      </c>
      <c r="B799" s="1" t="n">
        <v>45833</v>
      </c>
      <c r="C799" s="1" t="n">
        <v>45917</v>
      </c>
      <c r="D799" t="inlineStr">
        <is>
          <t>JÄMTLANDS LÄN</t>
        </is>
      </c>
      <c r="E799" t="inlineStr">
        <is>
          <t>KROKOM</t>
        </is>
      </c>
      <c r="G799" t="n">
        <v>1</v>
      </c>
      <c r="H799" t="n">
        <v>0</v>
      </c>
      <c r="I799" t="n">
        <v>0</v>
      </c>
      <c r="J799" t="n">
        <v>0</v>
      </c>
      <c r="K799" t="n">
        <v>0</v>
      </c>
      <c r="L799" t="n">
        <v>0</v>
      </c>
      <c r="M799" t="n">
        <v>0</v>
      </c>
      <c r="N799" t="n">
        <v>0</v>
      </c>
      <c r="O799" t="n">
        <v>0</v>
      </c>
      <c r="P799" t="n">
        <v>0</v>
      </c>
      <c r="Q799" t="n">
        <v>0</v>
      </c>
      <c r="R799" s="2" t="inlineStr"/>
    </row>
    <row r="800" ht="15" customHeight="1">
      <c r="A800" t="inlineStr">
        <is>
          <t>A 18841-2025</t>
        </is>
      </c>
      <c r="B800" s="1" t="n">
        <v>45764.40834490741</v>
      </c>
      <c r="C800" s="1" t="n">
        <v>45917</v>
      </c>
      <c r="D800" t="inlineStr">
        <is>
          <t>JÄMTLANDS LÄN</t>
        </is>
      </c>
      <c r="E800" t="inlineStr">
        <is>
          <t>KROKOM</t>
        </is>
      </c>
      <c r="G800" t="n">
        <v>2.9</v>
      </c>
      <c r="H800" t="n">
        <v>0</v>
      </c>
      <c r="I800" t="n">
        <v>0</v>
      </c>
      <c r="J800" t="n">
        <v>0</v>
      </c>
      <c r="K800" t="n">
        <v>0</v>
      </c>
      <c r="L800" t="n">
        <v>0</v>
      </c>
      <c r="M800" t="n">
        <v>0</v>
      </c>
      <c r="N800" t="n">
        <v>0</v>
      </c>
      <c r="O800" t="n">
        <v>0</v>
      </c>
      <c r="P800" t="n">
        <v>0</v>
      </c>
      <c r="Q800" t="n">
        <v>0</v>
      </c>
      <c r="R800" s="2" t="inlineStr"/>
    </row>
    <row r="801" ht="15" customHeight="1">
      <c r="A801" t="inlineStr">
        <is>
          <t>A 9963-2025</t>
        </is>
      </c>
      <c r="B801" s="1" t="n">
        <v>45719.37307870371</v>
      </c>
      <c r="C801" s="1" t="n">
        <v>45917</v>
      </c>
      <c r="D801" t="inlineStr">
        <is>
          <t>JÄMTLANDS LÄN</t>
        </is>
      </c>
      <c r="E801" t="inlineStr">
        <is>
          <t>KROKOM</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43371-2025</t>
        </is>
      </c>
      <c r="B802" s="1" t="n">
        <v>45911</v>
      </c>
      <c r="C802" s="1" t="n">
        <v>45917</v>
      </c>
      <c r="D802" t="inlineStr">
        <is>
          <t>JÄMTLANDS LÄN</t>
        </is>
      </c>
      <c r="E802" t="inlineStr">
        <is>
          <t>KROKOM</t>
        </is>
      </c>
      <c r="G802" t="n">
        <v>7.3</v>
      </c>
      <c r="H802" t="n">
        <v>0</v>
      </c>
      <c r="I802" t="n">
        <v>0</v>
      </c>
      <c r="J802" t="n">
        <v>0</v>
      </c>
      <c r="K802" t="n">
        <v>0</v>
      </c>
      <c r="L802" t="n">
        <v>0</v>
      </c>
      <c r="M802" t="n">
        <v>0</v>
      </c>
      <c r="N802" t="n">
        <v>0</v>
      </c>
      <c r="O802" t="n">
        <v>0</v>
      </c>
      <c r="P802" t="n">
        <v>0</v>
      </c>
      <c r="Q802" t="n">
        <v>0</v>
      </c>
      <c r="R802" s="2" t="inlineStr"/>
    </row>
    <row r="803" ht="15" customHeight="1">
      <c r="A803" t="inlineStr">
        <is>
          <t>A 59668-2022</t>
        </is>
      </c>
      <c r="B803" s="1" t="n">
        <v>44908</v>
      </c>
      <c r="C803" s="1" t="n">
        <v>45917</v>
      </c>
      <c r="D803" t="inlineStr">
        <is>
          <t>JÄMTLANDS LÄN</t>
        </is>
      </c>
      <c r="E803" t="inlineStr">
        <is>
          <t>KROKOM</t>
        </is>
      </c>
      <c r="F803" t="inlineStr">
        <is>
          <t>Övriga Aktiebolag</t>
        </is>
      </c>
      <c r="G803" t="n">
        <v>7.8</v>
      </c>
      <c r="H803" t="n">
        <v>0</v>
      </c>
      <c r="I803" t="n">
        <v>0</v>
      </c>
      <c r="J803" t="n">
        <v>0</v>
      </c>
      <c r="K803" t="n">
        <v>0</v>
      </c>
      <c r="L803" t="n">
        <v>0</v>
      </c>
      <c r="M803" t="n">
        <v>0</v>
      </c>
      <c r="N803" t="n">
        <v>0</v>
      </c>
      <c r="O803" t="n">
        <v>0</v>
      </c>
      <c r="P803" t="n">
        <v>0</v>
      </c>
      <c r="Q803" t="n">
        <v>0</v>
      </c>
      <c r="R803" s="2" t="inlineStr"/>
    </row>
    <row r="804" ht="15" customHeight="1">
      <c r="A804" t="inlineStr">
        <is>
          <t>A 34289-2021</t>
        </is>
      </c>
      <c r="B804" s="1" t="n">
        <v>44379.59675925926</v>
      </c>
      <c r="C804" s="1" t="n">
        <v>45917</v>
      </c>
      <c r="D804" t="inlineStr">
        <is>
          <t>JÄMTLANDS LÄN</t>
        </is>
      </c>
      <c r="E804" t="inlineStr">
        <is>
          <t>KROKOM</t>
        </is>
      </c>
      <c r="G804" t="n">
        <v>1.5</v>
      </c>
      <c r="H804" t="n">
        <v>0</v>
      </c>
      <c r="I804" t="n">
        <v>0</v>
      </c>
      <c r="J804" t="n">
        <v>0</v>
      </c>
      <c r="K804" t="n">
        <v>0</v>
      </c>
      <c r="L804" t="n">
        <v>0</v>
      </c>
      <c r="M804" t="n">
        <v>0</v>
      </c>
      <c r="N804" t="n">
        <v>0</v>
      </c>
      <c r="O804" t="n">
        <v>0</v>
      </c>
      <c r="P804" t="n">
        <v>0</v>
      </c>
      <c r="Q804" t="n">
        <v>0</v>
      </c>
      <c r="R804" s="2" t="inlineStr"/>
    </row>
    <row r="805" ht="15" customHeight="1">
      <c r="A805" t="inlineStr">
        <is>
          <t>A 47098-2024</t>
        </is>
      </c>
      <c r="B805" s="1" t="n">
        <v>45586.53618055556</v>
      </c>
      <c r="C805" s="1" t="n">
        <v>45917</v>
      </c>
      <c r="D805" t="inlineStr">
        <is>
          <t>JÄMTLANDS LÄN</t>
        </is>
      </c>
      <c r="E805" t="inlineStr">
        <is>
          <t>KROKOM</t>
        </is>
      </c>
      <c r="G805" t="n">
        <v>4.1</v>
      </c>
      <c r="H805" t="n">
        <v>0</v>
      </c>
      <c r="I805" t="n">
        <v>0</v>
      </c>
      <c r="J805" t="n">
        <v>0</v>
      </c>
      <c r="K805" t="n">
        <v>0</v>
      </c>
      <c r="L805" t="n">
        <v>0</v>
      </c>
      <c r="M805" t="n">
        <v>0</v>
      </c>
      <c r="N805" t="n">
        <v>0</v>
      </c>
      <c r="O805" t="n">
        <v>0</v>
      </c>
      <c r="P805" t="n">
        <v>0</v>
      </c>
      <c r="Q805" t="n">
        <v>0</v>
      </c>
      <c r="R805" s="2" t="inlineStr"/>
    </row>
    <row r="806" ht="15" customHeight="1">
      <c r="A806" t="inlineStr">
        <is>
          <t>A 24484-2024</t>
        </is>
      </c>
      <c r="B806" s="1" t="n">
        <v>45459.55150462963</v>
      </c>
      <c r="C806" s="1" t="n">
        <v>45917</v>
      </c>
      <c r="D806" t="inlineStr">
        <is>
          <t>JÄMTLANDS LÄN</t>
        </is>
      </c>
      <c r="E806" t="inlineStr">
        <is>
          <t>KROKOM</t>
        </is>
      </c>
      <c r="F806" t="inlineStr">
        <is>
          <t>Övriga Aktiebolag</t>
        </is>
      </c>
      <c r="G806" t="n">
        <v>1.4</v>
      </c>
      <c r="H806" t="n">
        <v>0</v>
      </c>
      <c r="I806" t="n">
        <v>0</v>
      </c>
      <c r="J806" t="n">
        <v>0</v>
      </c>
      <c r="K806" t="n">
        <v>0</v>
      </c>
      <c r="L806" t="n">
        <v>0</v>
      </c>
      <c r="M806" t="n">
        <v>0</v>
      </c>
      <c r="N806" t="n">
        <v>0</v>
      </c>
      <c r="O806" t="n">
        <v>0</v>
      </c>
      <c r="P806" t="n">
        <v>0</v>
      </c>
      <c r="Q806" t="n">
        <v>0</v>
      </c>
      <c r="R806" s="2" t="inlineStr"/>
    </row>
    <row r="807" ht="15" customHeight="1">
      <c r="A807" t="inlineStr">
        <is>
          <t>A 52213-2024</t>
        </is>
      </c>
      <c r="B807" s="1" t="n">
        <v>45607</v>
      </c>
      <c r="C807" s="1" t="n">
        <v>45917</v>
      </c>
      <c r="D807" t="inlineStr">
        <is>
          <t>JÄMTLANDS LÄN</t>
        </is>
      </c>
      <c r="E807" t="inlineStr">
        <is>
          <t>KROKOM</t>
        </is>
      </c>
      <c r="G807" t="n">
        <v>0.3</v>
      </c>
      <c r="H807" t="n">
        <v>0</v>
      </c>
      <c r="I807" t="n">
        <v>0</v>
      </c>
      <c r="J807" t="n">
        <v>0</v>
      </c>
      <c r="K807" t="n">
        <v>0</v>
      </c>
      <c r="L807" t="n">
        <v>0</v>
      </c>
      <c r="M807" t="n">
        <v>0</v>
      </c>
      <c r="N807" t="n">
        <v>0</v>
      </c>
      <c r="O807" t="n">
        <v>0</v>
      </c>
      <c r="P807" t="n">
        <v>0</v>
      </c>
      <c r="Q807" t="n">
        <v>0</v>
      </c>
      <c r="R807" s="2" t="inlineStr"/>
    </row>
    <row r="808" ht="15" customHeight="1">
      <c r="A808" t="inlineStr">
        <is>
          <t>A 30016-2024</t>
        </is>
      </c>
      <c r="B808" s="1" t="n">
        <v>45485</v>
      </c>
      <c r="C808" s="1" t="n">
        <v>45917</v>
      </c>
      <c r="D808" t="inlineStr">
        <is>
          <t>JÄMTLANDS LÄN</t>
        </is>
      </c>
      <c r="E808" t="inlineStr">
        <is>
          <t>KROKOM</t>
        </is>
      </c>
      <c r="G808" t="n">
        <v>0.7</v>
      </c>
      <c r="H808" t="n">
        <v>0</v>
      </c>
      <c r="I808" t="n">
        <v>0</v>
      </c>
      <c r="J808" t="n">
        <v>0</v>
      </c>
      <c r="K808" t="n">
        <v>0</v>
      </c>
      <c r="L808" t="n">
        <v>0</v>
      </c>
      <c r="M808" t="n">
        <v>0</v>
      </c>
      <c r="N808" t="n">
        <v>0</v>
      </c>
      <c r="O808" t="n">
        <v>0</v>
      </c>
      <c r="P808" t="n">
        <v>0</v>
      </c>
      <c r="Q808" t="n">
        <v>0</v>
      </c>
      <c r="R808" s="2" t="inlineStr"/>
    </row>
    <row r="809" ht="15" customHeight="1">
      <c r="A809" t="inlineStr">
        <is>
          <t>A 826-2025</t>
        </is>
      </c>
      <c r="B809" s="1" t="n">
        <v>45665.57373842593</v>
      </c>
      <c r="C809" s="1" t="n">
        <v>45917</v>
      </c>
      <c r="D809" t="inlineStr">
        <is>
          <t>JÄMTLANDS LÄN</t>
        </is>
      </c>
      <c r="E809" t="inlineStr">
        <is>
          <t>KROKOM</t>
        </is>
      </c>
      <c r="G809" t="n">
        <v>1.7</v>
      </c>
      <c r="H809" t="n">
        <v>0</v>
      </c>
      <c r="I809" t="n">
        <v>0</v>
      </c>
      <c r="J809" t="n">
        <v>0</v>
      </c>
      <c r="K809" t="n">
        <v>0</v>
      </c>
      <c r="L809" t="n">
        <v>0</v>
      </c>
      <c r="M809" t="n">
        <v>0</v>
      </c>
      <c r="N809" t="n">
        <v>0</v>
      </c>
      <c r="O809" t="n">
        <v>0</v>
      </c>
      <c r="P809" t="n">
        <v>0</v>
      </c>
      <c r="Q809" t="n">
        <v>0</v>
      </c>
      <c r="R809" s="2" t="inlineStr"/>
    </row>
    <row r="810" ht="15" customHeight="1">
      <c r="A810" t="inlineStr">
        <is>
          <t>A 19634-2025</t>
        </is>
      </c>
      <c r="B810" s="1" t="n">
        <v>45770.64677083334</v>
      </c>
      <c r="C810" s="1" t="n">
        <v>45917</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53825-2024</t>
        </is>
      </c>
      <c r="B811" s="1" t="n">
        <v>45615.61121527778</v>
      </c>
      <c r="C811" s="1" t="n">
        <v>45917</v>
      </c>
      <c r="D811" t="inlineStr">
        <is>
          <t>JÄMTLANDS LÄN</t>
        </is>
      </c>
      <c r="E811" t="inlineStr">
        <is>
          <t>KROKOM</t>
        </is>
      </c>
      <c r="F811" t="inlineStr">
        <is>
          <t>Övriga Aktiebolag</t>
        </is>
      </c>
      <c r="G811" t="n">
        <v>3.3</v>
      </c>
      <c r="H811" t="n">
        <v>0</v>
      </c>
      <c r="I811" t="n">
        <v>0</v>
      </c>
      <c r="J811" t="n">
        <v>0</v>
      </c>
      <c r="K811" t="n">
        <v>0</v>
      </c>
      <c r="L811" t="n">
        <v>0</v>
      </c>
      <c r="M811" t="n">
        <v>0</v>
      </c>
      <c r="N811" t="n">
        <v>0</v>
      </c>
      <c r="O811" t="n">
        <v>0</v>
      </c>
      <c r="P811" t="n">
        <v>0</v>
      </c>
      <c r="Q811" t="n">
        <v>0</v>
      </c>
      <c r="R811" s="2" t="inlineStr"/>
    </row>
    <row r="812" ht="15" customHeight="1">
      <c r="A812" t="inlineStr">
        <is>
          <t>A 52237-2024</t>
        </is>
      </c>
      <c r="B812" s="1" t="n">
        <v>45608.61606481481</v>
      </c>
      <c r="C812" s="1" t="n">
        <v>45917</v>
      </c>
      <c r="D812" t="inlineStr">
        <is>
          <t>JÄMTLANDS LÄN</t>
        </is>
      </c>
      <c r="E812" t="inlineStr">
        <is>
          <t>KROKOM</t>
        </is>
      </c>
      <c r="G812" t="n">
        <v>2</v>
      </c>
      <c r="H812" t="n">
        <v>0</v>
      </c>
      <c r="I812" t="n">
        <v>0</v>
      </c>
      <c r="J812" t="n">
        <v>0</v>
      </c>
      <c r="K812" t="n">
        <v>0</v>
      </c>
      <c r="L812" t="n">
        <v>0</v>
      </c>
      <c r="M812" t="n">
        <v>0</v>
      </c>
      <c r="N812" t="n">
        <v>0</v>
      </c>
      <c r="O812" t="n">
        <v>0</v>
      </c>
      <c r="P812" t="n">
        <v>0</v>
      </c>
      <c r="Q812" t="n">
        <v>0</v>
      </c>
      <c r="R812" s="2" t="inlineStr"/>
    </row>
    <row r="813" ht="15" customHeight="1">
      <c r="A813" t="inlineStr">
        <is>
          <t>A 2480-2025</t>
        </is>
      </c>
      <c r="B813" s="1" t="n">
        <v>45674</v>
      </c>
      <c r="C813" s="1" t="n">
        <v>45917</v>
      </c>
      <c r="D813" t="inlineStr">
        <is>
          <t>JÄMTLANDS LÄN</t>
        </is>
      </c>
      <c r="E813" t="inlineStr">
        <is>
          <t>KROKOM</t>
        </is>
      </c>
      <c r="G813" t="n">
        <v>4</v>
      </c>
      <c r="H813" t="n">
        <v>0</v>
      </c>
      <c r="I813" t="n">
        <v>0</v>
      </c>
      <c r="J813" t="n">
        <v>0</v>
      </c>
      <c r="K813" t="n">
        <v>0</v>
      </c>
      <c r="L813" t="n">
        <v>0</v>
      </c>
      <c r="M813" t="n">
        <v>0</v>
      </c>
      <c r="N813" t="n">
        <v>0</v>
      </c>
      <c r="O813" t="n">
        <v>0</v>
      </c>
      <c r="P813" t="n">
        <v>0</v>
      </c>
      <c r="Q813" t="n">
        <v>0</v>
      </c>
      <c r="R813" s="2" t="inlineStr"/>
    </row>
    <row r="814" ht="15" customHeight="1">
      <c r="A814" t="inlineStr">
        <is>
          <t>A 17840-2025</t>
        </is>
      </c>
      <c r="B814" s="1" t="n">
        <v>45758.58943287037</v>
      </c>
      <c r="C814" s="1" t="n">
        <v>45917</v>
      </c>
      <c r="D814" t="inlineStr">
        <is>
          <t>JÄMTLANDS LÄN</t>
        </is>
      </c>
      <c r="E814" t="inlineStr">
        <is>
          <t>KROKOM</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48560-2024</t>
        </is>
      </c>
      <c r="B815" s="1" t="n">
        <v>45593.38568287037</v>
      </c>
      <c r="C815" s="1" t="n">
        <v>45917</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2051-2025</t>
        </is>
      </c>
      <c r="B816" s="1" t="n">
        <v>45672.53806712963</v>
      </c>
      <c r="C816" s="1" t="n">
        <v>45917</v>
      </c>
      <c r="D816" t="inlineStr">
        <is>
          <t>JÄMTLANDS LÄN</t>
        </is>
      </c>
      <c r="E816" t="inlineStr">
        <is>
          <t>KROKOM</t>
        </is>
      </c>
      <c r="F816" t="inlineStr">
        <is>
          <t>Kyrkan</t>
        </is>
      </c>
      <c r="G816" t="n">
        <v>87.90000000000001</v>
      </c>
      <c r="H816" t="n">
        <v>0</v>
      </c>
      <c r="I816" t="n">
        <v>0</v>
      </c>
      <c r="J816" t="n">
        <v>0</v>
      </c>
      <c r="K816" t="n">
        <v>0</v>
      </c>
      <c r="L816" t="n">
        <v>0</v>
      </c>
      <c r="M816" t="n">
        <v>0</v>
      </c>
      <c r="N816" t="n">
        <v>0</v>
      </c>
      <c r="O816" t="n">
        <v>0</v>
      </c>
      <c r="P816" t="n">
        <v>0</v>
      </c>
      <c r="Q816" t="n">
        <v>0</v>
      </c>
      <c r="R816" s="2" t="inlineStr"/>
    </row>
    <row r="817" ht="15" customHeight="1">
      <c r="A817" t="inlineStr">
        <is>
          <t>A 31543-2025</t>
        </is>
      </c>
      <c r="B817" s="1" t="n">
        <v>45833</v>
      </c>
      <c r="C817" s="1" t="n">
        <v>45917</v>
      </c>
      <c r="D817" t="inlineStr">
        <is>
          <t>JÄMTLANDS LÄN</t>
        </is>
      </c>
      <c r="E817" t="inlineStr">
        <is>
          <t>KROKOM</t>
        </is>
      </c>
      <c r="G817" t="n">
        <v>0.7</v>
      </c>
      <c r="H817" t="n">
        <v>0</v>
      </c>
      <c r="I817" t="n">
        <v>0</v>
      </c>
      <c r="J817" t="n">
        <v>0</v>
      </c>
      <c r="K817" t="n">
        <v>0</v>
      </c>
      <c r="L817" t="n">
        <v>0</v>
      </c>
      <c r="M817" t="n">
        <v>0</v>
      </c>
      <c r="N817" t="n">
        <v>0</v>
      </c>
      <c r="O817" t="n">
        <v>0</v>
      </c>
      <c r="P817" t="n">
        <v>0</v>
      </c>
      <c r="Q817" t="n">
        <v>0</v>
      </c>
      <c r="R817" s="2" t="inlineStr"/>
    </row>
    <row r="818" ht="15" customHeight="1">
      <c r="A818" t="inlineStr">
        <is>
          <t>A 44594-2023</t>
        </is>
      </c>
      <c r="B818" s="1" t="n">
        <v>45189.60987268519</v>
      </c>
      <c r="C818" s="1" t="n">
        <v>45917</v>
      </c>
      <c r="D818" t="inlineStr">
        <is>
          <t>JÄMTLANDS LÄN</t>
        </is>
      </c>
      <c r="E818" t="inlineStr">
        <is>
          <t>KROKOM</t>
        </is>
      </c>
      <c r="G818" t="n">
        <v>5.7</v>
      </c>
      <c r="H818" t="n">
        <v>0</v>
      </c>
      <c r="I818" t="n">
        <v>0</v>
      </c>
      <c r="J818" t="n">
        <v>0</v>
      </c>
      <c r="K818" t="n">
        <v>0</v>
      </c>
      <c r="L818" t="n">
        <v>0</v>
      </c>
      <c r="M818" t="n">
        <v>0</v>
      </c>
      <c r="N818" t="n">
        <v>0</v>
      </c>
      <c r="O818" t="n">
        <v>0</v>
      </c>
      <c r="P818" t="n">
        <v>0</v>
      </c>
      <c r="Q818" t="n">
        <v>0</v>
      </c>
      <c r="R818" s="2" t="inlineStr"/>
    </row>
    <row r="819" ht="15" customHeight="1">
      <c r="A819" t="inlineStr">
        <is>
          <t>A 61776-2024</t>
        </is>
      </c>
      <c r="B819" s="1" t="n">
        <v>45649.4634375</v>
      </c>
      <c r="C819" s="1" t="n">
        <v>45917</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60491-2024</t>
        </is>
      </c>
      <c r="B820" s="1" t="n">
        <v>45643.65354166667</v>
      </c>
      <c r="C820" s="1" t="n">
        <v>45917</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1477-2025</t>
        </is>
      </c>
      <c r="B821" s="1" t="n">
        <v>45670</v>
      </c>
      <c r="C821" s="1" t="n">
        <v>45917</v>
      </c>
      <c r="D821" t="inlineStr">
        <is>
          <t>JÄMTLANDS LÄN</t>
        </is>
      </c>
      <c r="E821" t="inlineStr">
        <is>
          <t>KROKOM</t>
        </is>
      </c>
      <c r="G821" t="n">
        <v>7.3</v>
      </c>
      <c r="H821" t="n">
        <v>0</v>
      </c>
      <c r="I821" t="n">
        <v>0</v>
      </c>
      <c r="J821" t="n">
        <v>0</v>
      </c>
      <c r="K821" t="n">
        <v>0</v>
      </c>
      <c r="L821" t="n">
        <v>0</v>
      </c>
      <c r="M821" t="n">
        <v>0</v>
      </c>
      <c r="N821" t="n">
        <v>0</v>
      </c>
      <c r="O821" t="n">
        <v>0</v>
      </c>
      <c r="P821" t="n">
        <v>0</v>
      </c>
      <c r="Q821" t="n">
        <v>0</v>
      </c>
      <c r="R821" s="2" t="inlineStr"/>
    </row>
    <row r="822" ht="15" customHeight="1">
      <c r="A822" t="inlineStr">
        <is>
          <t>A 57575-2024</t>
        </is>
      </c>
      <c r="B822" s="1" t="n">
        <v>45630.47099537037</v>
      </c>
      <c r="C822" s="1" t="n">
        <v>45917</v>
      </c>
      <c r="D822" t="inlineStr">
        <is>
          <t>JÄMTLANDS LÄN</t>
        </is>
      </c>
      <c r="E822" t="inlineStr">
        <is>
          <t>KROKOM</t>
        </is>
      </c>
      <c r="G822" t="n">
        <v>1.6</v>
      </c>
      <c r="H822" t="n">
        <v>0</v>
      </c>
      <c r="I822" t="n">
        <v>0</v>
      </c>
      <c r="J822" t="n">
        <v>0</v>
      </c>
      <c r="K822" t="n">
        <v>0</v>
      </c>
      <c r="L822" t="n">
        <v>0</v>
      </c>
      <c r="M822" t="n">
        <v>0</v>
      </c>
      <c r="N822" t="n">
        <v>0</v>
      </c>
      <c r="O822" t="n">
        <v>0</v>
      </c>
      <c r="P822" t="n">
        <v>0</v>
      </c>
      <c r="Q822" t="n">
        <v>0</v>
      </c>
      <c r="R822" s="2" t="inlineStr"/>
    </row>
    <row r="823" ht="15" customHeight="1">
      <c r="A823" t="inlineStr">
        <is>
          <t>A 2257-2024</t>
        </is>
      </c>
      <c r="B823" s="1" t="n">
        <v>45310</v>
      </c>
      <c r="C823" s="1" t="n">
        <v>45917</v>
      </c>
      <c r="D823" t="inlineStr">
        <is>
          <t>JÄMTLANDS LÄN</t>
        </is>
      </c>
      <c r="E823" t="inlineStr">
        <is>
          <t>KROKOM</t>
        </is>
      </c>
      <c r="G823" t="n">
        <v>14.5</v>
      </c>
      <c r="H823" t="n">
        <v>0</v>
      </c>
      <c r="I823" t="n">
        <v>0</v>
      </c>
      <c r="J823" t="n">
        <v>0</v>
      </c>
      <c r="K823" t="n">
        <v>0</v>
      </c>
      <c r="L823" t="n">
        <v>0</v>
      </c>
      <c r="M823" t="n">
        <v>0</v>
      </c>
      <c r="N823" t="n">
        <v>0</v>
      </c>
      <c r="O823" t="n">
        <v>0</v>
      </c>
      <c r="P823" t="n">
        <v>0</v>
      </c>
      <c r="Q823" t="n">
        <v>0</v>
      </c>
      <c r="R823" s="2" t="inlineStr"/>
    </row>
    <row r="824" ht="15" customHeight="1">
      <c r="A824" t="inlineStr">
        <is>
          <t>A 57149-2023</t>
        </is>
      </c>
      <c r="B824" s="1" t="n">
        <v>45245</v>
      </c>
      <c r="C824" s="1" t="n">
        <v>45917</v>
      </c>
      <c r="D824" t="inlineStr">
        <is>
          <t>JÄMTLANDS LÄN</t>
        </is>
      </c>
      <c r="E824" t="inlineStr">
        <is>
          <t>KROKOM</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6185-2025</t>
        </is>
      </c>
      <c r="B825" s="1" t="n">
        <v>45698.45653935185</v>
      </c>
      <c r="C825" s="1" t="n">
        <v>45917</v>
      </c>
      <c r="D825" t="inlineStr">
        <is>
          <t>JÄMTLANDS LÄN</t>
        </is>
      </c>
      <c r="E825" t="inlineStr">
        <is>
          <t>KROKOM</t>
        </is>
      </c>
      <c r="G825" t="n">
        <v>14.7</v>
      </c>
      <c r="H825" t="n">
        <v>0</v>
      </c>
      <c r="I825" t="n">
        <v>0</v>
      </c>
      <c r="J825" t="n">
        <v>0</v>
      </c>
      <c r="K825" t="n">
        <v>0</v>
      </c>
      <c r="L825" t="n">
        <v>0</v>
      </c>
      <c r="M825" t="n">
        <v>0</v>
      </c>
      <c r="N825" t="n">
        <v>0</v>
      </c>
      <c r="O825" t="n">
        <v>0</v>
      </c>
      <c r="P825" t="n">
        <v>0</v>
      </c>
      <c r="Q825" t="n">
        <v>0</v>
      </c>
      <c r="R825" s="2" t="inlineStr"/>
    </row>
    <row r="826" ht="15" customHeight="1">
      <c r="A826" t="inlineStr">
        <is>
          <t>A 43996-2025</t>
        </is>
      </c>
      <c r="B826" s="1" t="n">
        <v>45915</v>
      </c>
      <c r="C826" s="1" t="n">
        <v>45917</v>
      </c>
      <c r="D826" t="inlineStr">
        <is>
          <t>JÄMTLANDS LÄN</t>
        </is>
      </c>
      <c r="E826" t="inlineStr">
        <is>
          <t>KROKOM</t>
        </is>
      </c>
      <c r="G826" t="n">
        <v>24.2</v>
      </c>
      <c r="H826" t="n">
        <v>0</v>
      </c>
      <c r="I826" t="n">
        <v>0</v>
      </c>
      <c r="J826" t="n">
        <v>0</v>
      </c>
      <c r="K826" t="n">
        <v>0</v>
      </c>
      <c r="L826" t="n">
        <v>0</v>
      </c>
      <c r="M826" t="n">
        <v>0</v>
      </c>
      <c r="N826" t="n">
        <v>0</v>
      </c>
      <c r="O826" t="n">
        <v>0</v>
      </c>
      <c r="P826" t="n">
        <v>0</v>
      </c>
      <c r="Q826" t="n">
        <v>0</v>
      </c>
      <c r="R826" s="2" t="inlineStr"/>
    </row>
    <row r="827" ht="15" customHeight="1">
      <c r="A827" t="inlineStr">
        <is>
          <t>A 38043-2023</t>
        </is>
      </c>
      <c r="B827" s="1" t="n">
        <v>45160.66704861111</v>
      </c>
      <c r="C827" s="1" t="n">
        <v>45917</v>
      </c>
      <c r="D827" t="inlineStr">
        <is>
          <t>JÄMTLANDS LÄN</t>
        </is>
      </c>
      <c r="E827" t="inlineStr">
        <is>
          <t>KROKOM</t>
        </is>
      </c>
      <c r="F827" t="inlineStr">
        <is>
          <t>Övriga Aktiebolag</t>
        </is>
      </c>
      <c r="G827" t="n">
        <v>10.4</v>
      </c>
      <c r="H827" t="n">
        <v>0</v>
      </c>
      <c r="I827" t="n">
        <v>0</v>
      </c>
      <c r="J827" t="n">
        <v>0</v>
      </c>
      <c r="K827" t="n">
        <v>0</v>
      </c>
      <c r="L827" t="n">
        <v>0</v>
      </c>
      <c r="M827" t="n">
        <v>0</v>
      </c>
      <c r="N827" t="n">
        <v>0</v>
      </c>
      <c r="O827" t="n">
        <v>0</v>
      </c>
      <c r="P827" t="n">
        <v>0</v>
      </c>
      <c r="Q827" t="n">
        <v>0</v>
      </c>
      <c r="R827" s="2" t="inlineStr"/>
    </row>
    <row r="828" ht="15" customHeight="1">
      <c r="A828" t="inlineStr">
        <is>
          <t>A 38747-2024</t>
        </is>
      </c>
      <c r="B828" s="1" t="n">
        <v>45547.42732638889</v>
      </c>
      <c r="C828" s="1" t="n">
        <v>45917</v>
      </c>
      <c r="D828" t="inlineStr">
        <is>
          <t>JÄMTLANDS LÄN</t>
        </is>
      </c>
      <c r="E828" t="inlineStr">
        <is>
          <t>KROKOM</t>
        </is>
      </c>
      <c r="G828" t="n">
        <v>0.3</v>
      </c>
      <c r="H828" t="n">
        <v>0</v>
      </c>
      <c r="I828" t="n">
        <v>0</v>
      </c>
      <c r="J828" t="n">
        <v>0</v>
      </c>
      <c r="K828" t="n">
        <v>0</v>
      </c>
      <c r="L828" t="n">
        <v>0</v>
      </c>
      <c r="M828" t="n">
        <v>0</v>
      </c>
      <c r="N828" t="n">
        <v>0</v>
      </c>
      <c r="O828" t="n">
        <v>0</v>
      </c>
      <c r="P828" t="n">
        <v>0</v>
      </c>
      <c r="Q828" t="n">
        <v>0</v>
      </c>
      <c r="R828" s="2" t="inlineStr"/>
    </row>
    <row r="829" ht="15" customHeight="1">
      <c r="A829" t="inlineStr">
        <is>
          <t>A 6042-2025</t>
        </is>
      </c>
      <c r="B829" s="1" t="n">
        <v>45695</v>
      </c>
      <c r="C829" s="1" t="n">
        <v>45917</v>
      </c>
      <c r="D829" t="inlineStr">
        <is>
          <t>JÄMTLANDS LÄN</t>
        </is>
      </c>
      <c r="E829" t="inlineStr">
        <is>
          <t>KROKOM</t>
        </is>
      </c>
      <c r="F829" t="inlineStr">
        <is>
          <t>Övriga Aktiebolag</t>
        </is>
      </c>
      <c r="G829" t="n">
        <v>8.9</v>
      </c>
      <c r="H829" t="n">
        <v>0</v>
      </c>
      <c r="I829" t="n">
        <v>0</v>
      </c>
      <c r="J829" t="n">
        <v>0</v>
      </c>
      <c r="K829" t="n">
        <v>0</v>
      </c>
      <c r="L829" t="n">
        <v>0</v>
      </c>
      <c r="M829" t="n">
        <v>0</v>
      </c>
      <c r="N829" t="n">
        <v>0</v>
      </c>
      <c r="O829" t="n">
        <v>0</v>
      </c>
      <c r="P829" t="n">
        <v>0</v>
      </c>
      <c r="Q829" t="n">
        <v>0</v>
      </c>
      <c r="R829" s="2" t="inlineStr"/>
    </row>
    <row r="830" ht="15" customHeight="1">
      <c r="A830" t="inlineStr">
        <is>
          <t>A 43373-2025</t>
        </is>
      </c>
      <c r="B830" s="1" t="n">
        <v>45911</v>
      </c>
      <c r="C830" s="1" t="n">
        <v>45917</v>
      </c>
      <c r="D830" t="inlineStr">
        <is>
          <t>JÄMTLANDS LÄN</t>
        </is>
      </c>
      <c r="E830" t="inlineStr">
        <is>
          <t>KROKOM</t>
        </is>
      </c>
      <c r="G830" t="n">
        <v>34.9</v>
      </c>
      <c r="H830" t="n">
        <v>0</v>
      </c>
      <c r="I830" t="n">
        <v>0</v>
      </c>
      <c r="J830" t="n">
        <v>0</v>
      </c>
      <c r="K830" t="n">
        <v>0</v>
      </c>
      <c r="L830" t="n">
        <v>0</v>
      </c>
      <c r="M830" t="n">
        <v>0</v>
      </c>
      <c r="N830" t="n">
        <v>0</v>
      </c>
      <c r="O830" t="n">
        <v>0</v>
      </c>
      <c r="P830" t="n">
        <v>0</v>
      </c>
      <c r="Q830" t="n">
        <v>0</v>
      </c>
      <c r="R830" s="2" t="inlineStr"/>
    </row>
    <row r="831" ht="15" customHeight="1">
      <c r="A831" t="inlineStr">
        <is>
          <t>A 44138-2025</t>
        </is>
      </c>
      <c r="B831" s="1" t="n">
        <v>45915.58836805556</v>
      </c>
      <c r="C831" s="1" t="n">
        <v>45917</v>
      </c>
      <c r="D831" t="inlineStr">
        <is>
          <t>JÄMTLANDS LÄN</t>
        </is>
      </c>
      <c r="E831" t="inlineStr">
        <is>
          <t>KROKOM</t>
        </is>
      </c>
      <c r="G831" t="n">
        <v>5</v>
      </c>
      <c r="H831" t="n">
        <v>0</v>
      </c>
      <c r="I831" t="n">
        <v>0</v>
      </c>
      <c r="J831" t="n">
        <v>0</v>
      </c>
      <c r="K831" t="n">
        <v>0</v>
      </c>
      <c r="L831" t="n">
        <v>0</v>
      </c>
      <c r="M831" t="n">
        <v>0</v>
      </c>
      <c r="N831" t="n">
        <v>0</v>
      </c>
      <c r="O831" t="n">
        <v>0</v>
      </c>
      <c r="P831" t="n">
        <v>0</v>
      </c>
      <c r="Q831" t="n">
        <v>0</v>
      </c>
      <c r="R831" s="2" t="inlineStr"/>
    </row>
    <row r="832" ht="15" customHeight="1">
      <c r="A832" t="inlineStr">
        <is>
          <t>A 10581-2025</t>
        </is>
      </c>
      <c r="B832" s="1" t="n">
        <v>45721.54896990741</v>
      </c>
      <c r="C832" s="1" t="n">
        <v>45917</v>
      </c>
      <c r="D832" t="inlineStr">
        <is>
          <t>JÄMTLANDS LÄN</t>
        </is>
      </c>
      <c r="E832" t="inlineStr">
        <is>
          <t>KROKOM</t>
        </is>
      </c>
      <c r="G832" t="n">
        <v>2</v>
      </c>
      <c r="H832" t="n">
        <v>0</v>
      </c>
      <c r="I832" t="n">
        <v>0</v>
      </c>
      <c r="J832" t="n">
        <v>0</v>
      </c>
      <c r="K832" t="n">
        <v>0</v>
      </c>
      <c r="L832" t="n">
        <v>0</v>
      </c>
      <c r="M832" t="n">
        <v>0</v>
      </c>
      <c r="N832" t="n">
        <v>0</v>
      </c>
      <c r="O832" t="n">
        <v>0</v>
      </c>
      <c r="P832" t="n">
        <v>0</v>
      </c>
      <c r="Q832" t="n">
        <v>0</v>
      </c>
      <c r="R832" s="2" t="inlineStr"/>
    </row>
    <row r="833" ht="15" customHeight="1">
      <c r="A833" t="inlineStr">
        <is>
          <t>A 10632-2025</t>
        </is>
      </c>
      <c r="B833" s="1" t="n">
        <v>45721</v>
      </c>
      <c r="C833" s="1" t="n">
        <v>45917</v>
      </c>
      <c r="D833" t="inlineStr">
        <is>
          <t>JÄMTLANDS LÄN</t>
        </is>
      </c>
      <c r="E833" t="inlineStr">
        <is>
          <t>KROKOM</t>
        </is>
      </c>
      <c r="G833" t="n">
        <v>3.2</v>
      </c>
      <c r="H833" t="n">
        <v>0</v>
      </c>
      <c r="I833" t="n">
        <v>0</v>
      </c>
      <c r="J833" t="n">
        <v>0</v>
      </c>
      <c r="K833" t="n">
        <v>0</v>
      </c>
      <c r="L833" t="n">
        <v>0</v>
      </c>
      <c r="M833" t="n">
        <v>0</v>
      </c>
      <c r="N833" t="n">
        <v>0</v>
      </c>
      <c r="O833" t="n">
        <v>0</v>
      </c>
      <c r="P833" t="n">
        <v>0</v>
      </c>
      <c r="Q833" t="n">
        <v>0</v>
      </c>
      <c r="R833" s="2" t="inlineStr"/>
    </row>
    <row r="834" ht="15" customHeight="1">
      <c r="A834" t="inlineStr">
        <is>
          <t>A 47625-2023</t>
        </is>
      </c>
      <c r="B834" s="1" t="n">
        <v>45203</v>
      </c>
      <c r="C834" s="1" t="n">
        <v>45917</v>
      </c>
      <c r="D834" t="inlineStr">
        <is>
          <t>JÄMTLANDS LÄN</t>
        </is>
      </c>
      <c r="E834" t="inlineStr">
        <is>
          <t>KROKOM</t>
        </is>
      </c>
      <c r="G834" t="n">
        <v>1.1</v>
      </c>
      <c r="H834" t="n">
        <v>0</v>
      </c>
      <c r="I834" t="n">
        <v>0</v>
      </c>
      <c r="J834" t="n">
        <v>0</v>
      </c>
      <c r="K834" t="n">
        <v>0</v>
      </c>
      <c r="L834" t="n">
        <v>0</v>
      </c>
      <c r="M834" t="n">
        <v>0</v>
      </c>
      <c r="N834" t="n">
        <v>0</v>
      </c>
      <c r="O834" t="n">
        <v>0</v>
      </c>
      <c r="P834" t="n">
        <v>0</v>
      </c>
      <c r="Q834" t="n">
        <v>0</v>
      </c>
      <c r="R834" s="2" t="inlineStr"/>
    </row>
    <row r="835" ht="15" customHeight="1">
      <c r="A835" t="inlineStr">
        <is>
          <t>A 50821-2024</t>
        </is>
      </c>
      <c r="B835" s="1" t="n">
        <v>45602</v>
      </c>
      <c r="C835" s="1" t="n">
        <v>45917</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35767-2024</t>
        </is>
      </c>
      <c r="B836" s="1" t="n">
        <v>45532.58101851852</v>
      </c>
      <c r="C836" s="1" t="n">
        <v>45917</v>
      </c>
      <c r="D836" t="inlineStr">
        <is>
          <t>JÄMTLANDS LÄN</t>
        </is>
      </c>
      <c r="E836" t="inlineStr">
        <is>
          <t>KROKOM</t>
        </is>
      </c>
      <c r="G836" t="n">
        <v>5.1</v>
      </c>
      <c r="H836" t="n">
        <v>0</v>
      </c>
      <c r="I836" t="n">
        <v>0</v>
      </c>
      <c r="J836" t="n">
        <v>0</v>
      </c>
      <c r="K836" t="n">
        <v>0</v>
      </c>
      <c r="L836" t="n">
        <v>0</v>
      </c>
      <c r="M836" t="n">
        <v>0</v>
      </c>
      <c r="N836" t="n">
        <v>0</v>
      </c>
      <c r="O836" t="n">
        <v>0</v>
      </c>
      <c r="P836" t="n">
        <v>0</v>
      </c>
      <c r="Q836" t="n">
        <v>0</v>
      </c>
      <c r="R836" s="2" t="inlineStr"/>
    </row>
    <row r="837" ht="15" customHeight="1">
      <c r="A837" t="inlineStr">
        <is>
          <t>A 17887-2025</t>
        </is>
      </c>
      <c r="B837" s="1" t="n">
        <v>45758.66180555556</v>
      </c>
      <c r="C837" s="1" t="n">
        <v>45917</v>
      </c>
      <c r="D837" t="inlineStr">
        <is>
          <t>JÄMTLANDS LÄN</t>
        </is>
      </c>
      <c r="E837" t="inlineStr">
        <is>
          <t>KROKOM</t>
        </is>
      </c>
      <c r="G837" t="n">
        <v>11.5</v>
      </c>
      <c r="H837" t="n">
        <v>0</v>
      </c>
      <c r="I837" t="n">
        <v>0</v>
      </c>
      <c r="J837" t="n">
        <v>0</v>
      </c>
      <c r="K837" t="n">
        <v>0</v>
      </c>
      <c r="L837" t="n">
        <v>0</v>
      </c>
      <c r="M837" t="n">
        <v>0</v>
      </c>
      <c r="N837" t="n">
        <v>0</v>
      </c>
      <c r="O837" t="n">
        <v>0</v>
      </c>
      <c r="P837" t="n">
        <v>0</v>
      </c>
      <c r="Q837" t="n">
        <v>0</v>
      </c>
      <c r="R837" s="2" t="inlineStr"/>
    </row>
    <row r="838" ht="15" customHeight="1">
      <c r="A838" t="inlineStr">
        <is>
          <t>A 17888-2025</t>
        </is>
      </c>
      <c r="B838" s="1" t="n">
        <v>45758.67065972222</v>
      </c>
      <c r="C838" s="1" t="n">
        <v>45917</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20742-2023</t>
        </is>
      </c>
      <c r="B839" s="1" t="n">
        <v>45055</v>
      </c>
      <c r="C839" s="1" t="n">
        <v>45917</v>
      </c>
      <c r="D839" t="inlineStr">
        <is>
          <t>JÄMTLANDS LÄN</t>
        </is>
      </c>
      <c r="E839" t="inlineStr">
        <is>
          <t>KROKOM</t>
        </is>
      </c>
      <c r="G839" t="n">
        <v>0.4</v>
      </c>
      <c r="H839" t="n">
        <v>0</v>
      </c>
      <c r="I839" t="n">
        <v>0</v>
      </c>
      <c r="J839" t="n">
        <v>0</v>
      </c>
      <c r="K839" t="n">
        <v>0</v>
      </c>
      <c r="L839" t="n">
        <v>0</v>
      </c>
      <c r="M839" t="n">
        <v>0</v>
      </c>
      <c r="N839" t="n">
        <v>0</v>
      </c>
      <c r="O839" t="n">
        <v>0</v>
      </c>
      <c r="P839" t="n">
        <v>0</v>
      </c>
      <c r="Q839" t="n">
        <v>0</v>
      </c>
      <c r="R839" s="2" t="inlineStr"/>
    </row>
    <row r="840" ht="15" customHeight="1">
      <c r="A840" t="inlineStr">
        <is>
          <t>A 10773-2024</t>
        </is>
      </c>
      <c r="B840" s="1" t="n">
        <v>45369</v>
      </c>
      <c r="C840" s="1" t="n">
        <v>45917</v>
      </c>
      <c r="D840" t="inlineStr">
        <is>
          <t>JÄMTLANDS LÄN</t>
        </is>
      </c>
      <c r="E840" t="inlineStr">
        <is>
          <t>KROKOM</t>
        </is>
      </c>
      <c r="G840" t="n">
        <v>27.1</v>
      </c>
      <c r="H840" t="n">
        <v>0</v>
      </c>
      <c r="I840" t="n">
        <v>0</v>
      </c>
      <c r="J840" t="n">
        <v>0</v>
      </c>
      <c r="K840" t="n">
        <v>0</v>
      </c>
      <c r="L840" t="n">
        <v>0</v>
      </c>
      <c r="M840" t="n">
        <v>0</v>
      </c>
      <c r="N840" t="n">
        <v>0</v>
      </c>
      <c r="O840" t="n">
        <v>0</v>
      </c>
      <c r="P840" t="n">
        <v>0</v>
      </c>
      <c r="Q840" t="n">
        <v>0</v>
      </c>
      <c r="R840" s="2" t="inlineStr"/>
    </row>
    <row r="841" ht="15" customHeight="1">
      <c r="A841" t="inlineStr">
        <is>
          <t>A 5402-2025</t>
        </is>
      </c>
      <c r="B841" s="1" t="n">
        <v>45692.64298611111</v>
      </c>
      <c r="C841" s="1" t="n">
        <v>45917</v>
      </c>
      <c r="D841" t="inlineStr">
        <is>
          <t>JÄMTLANDS LÄN</t>
        </is>
      </c>
      <c r="E841" t="inlineStr">
        <is>
          <t>KROKOM</t>
        </is>
      </c>
      <c r="G841" t="n">
        <v>20.3</v>
      </c>
      <c r="H841" t="n">
        <v>0</v>
      </c>
      <c r="I841" t="n">
        <v>0</v>
      </c>
      <c r="J841" t="n">
        <v>0</v>
      </c>
      <c r="K841" t="n">
        <v>0</v>
      </c>
      <c r="L841" t="n">
        <v>0</v>
      </c>
      <c r="M841" t="n">
        <v>0</v>
      </c>
      <c r="N841" t="n">
        <v>0</v>
      </c>
      <c r="O841" t="n">
        <v>0</v>
      </c>
      <c r="P841" t="n">
        <v>0</v>
      </c>
      <c r="Q841" t="n">
        <v>0</v>
      </c>
      <c r="R841" s="2" t="inlineStr"/>
    </row>
    <row r="842" ht="15" customHeight="1">
      <c r="A842" t="inlineStr">
        <is>
          <t>A 11243-2025</t>
        </is>
      </c>
      <c r="B842" s="1" t="n">
        <v>45726.37850694444</v>
      </c>
      <c r="C842" s="1" t="n">
        <v>45917</v>
      </c>
      <c r="D842" t="inlineStr">
        <is>
          <t>JÄMTLANDS LÄN</t>
        </is>
      </c>
      <c r="E842" t="inlineStr">
        <is>
          <t>KROKOM</t>
        </is>
      </c>
      <c r="F842" t="inlineStr">
        <is>
          <t>Övriga Aktiebolag</t>
        </is>
      </c>
      <c r="G842" t="n">
        <v>1.1</v>
      </c>
      <c r="H842" t="n">
        <v>0</v>
      </c>
      <c r="I842" t="n">
        <v>0</v>
      </c>
      <c r="J842" t="n">
        <v>0</v>
      </c>
      <c r="K842" t="n">
        <v>0</v>
      </c>
      <c r="L842" t="n">
        <v>0</v>
      </c>
      <c r="M842" t="n">
        <v>0</v>
      </c>
      <c r="N842" t="n">
        <v>0</v>
      </c>
      <c r="O842" t="n">
        <v>0</v>
      </c>
      <c r="P842" t="n">
        <v>0</v>
      </c>
      <c r="Q842" t="n">
        <v>0</v>
      </c>
      <c r="R842" s="2" t="inlineStr"/>
    </row>
    <row r="843" ht="15" customHeight="1">
      <c r="A843" t="inlineStr">
        <is>
          <t>A 49046-2023</t>
        </is>
      </c>
      <c r="B843" s="1" t="n">
        <v>45209</v>
      </c>
      <c r="C843" s="1" t="n">
        <v>45917</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15422-2025</t>
        </is>
      </c>
      <c r="B844" s="1" t="n">
        <v>45746</v>
      </c>
      <c r="C844" s="1" t="n">
        <v>45917</v>
      </c>
      <c r="D844" t="inlineStr">
        <is>
          <t>JÄMTLANDS LÄN</t>
        </is>
      </c>
      <c r="E844" t="inlineStr">
        <is>
          <t>KROKOM</t>
        </is>
      </c>
      <c r="F844" t="inlineStr">
        <is>
          <t>SCA</t>
        </is>
      </c>
      <c r="G844" t="n">
        <v>12.9</v>
      </c>
      <c r="H844" t="n">
        <v>0</v>
      </c>
      <c r="I844" t="n">
        <v>0</v>
      </c>
      <c r="J844" t="n">
        <v>0</v>
      </c>
      <c r="K844" t="n">
        <v>0</v>
      </c>
      <c r="L844" t="n">
        <v>0</v>
      </c>
      <c r="M844" t="n">
        <v>0</v>
      </c>
      <c r="N844" t="n">
        <v>0</v>
      </c>
      <c r="O844" t="n">
        <v>0</v>
      </c>
      <c r="P844" t="n">
        <v>0</v>
      </c>
      <c r="Q844" t="n">
        <v>0</v>
      </c>
      <c r="R844" s="2" t="inlineStr"/>
    </row>
    <row r="845" ht="15" customHeight="1">
      <c r="A845" t="inlineStr">
        <is>
          <t>A 11197-2024</t>
        </is>
      </c>
      <c r="B845" s="1" t="n">
        <v>45371</v>
      </c>
      <c r="C845" s="1" t="n">
        <v>45917</v>
      </c>
      <c r="D845" t="inlineStr">
        <is>
          <t>JÄMTLANDS LÄN</t>
        </is>
      </c>
      <c r="E845" t="inlineStr">
        <is>
          <t>KROKOM</t>
        </is>
      </c>
      <c r="G845" t="n">
        <v>15.3</v>
      </c>
      <c r="H845" t="n">
        <v>0</v>
      </c>
      <c r="I845" t="n">
        <v>0</v>
      </c>
      <c r="J845" t="n">
        <v>0</v>
      </c>
      <c r="K845" t="n">
        <v>0</v>
      </c>
      <c r="L845" t="n">
        <v>0</v>
      </c>
      <c r="M845" t="n">
        <v>0</v>
      </c>
      <c r="N845" t="n">
        <v>0</v>
      </c>
      <c r="O845" t="n">
        <v>0</v>
      </c>
      <c r="P845" t="n">
        <v>0</v>
      </c>
      <c r="Q845" t="n">
        <v>0</v>
      </c>
      <c r="R845" s="2" t="inlineStr"/>
    </row>
    <row r="846" ht="15" customHeight="1">
      <c r="A846" t="inlineStr">
        <is>
          <t>A 26805-2023</t>
        </is>
      </c>
      <c r="B846" s="1" t="n">
        <v>45090</v>
      </c>
      <c r="C846" s="1" t="n">
        <v>45917</v>
      </c>
      <c r="D846" t="inlineStr">
        <is>
          <t>JÄMTLANDS LÄN</t>
        </is>
      </c>
      <c r="E846" t="inlineStr">
        <is>
          <t>KROKOM</t>
        </is>
      </c>
      <c r="G846" t="n">
        <v>20.4</v>
      </c>
      <c r="H846" t="n">
        <v>0</v>
      </c>
      <c r="I846" t="n">
        <v>0</v>
      </c>
      <c r="J846" t="n">
        <v>0</v>
      </c>
      <c r="K846" t="n">
        <v>0</v>
      </c>
      <c r="L846" t="n">
        <v>0</v>
      </c>
      <c r="M846" t="n">
        <v>0</v>
      </c>
      <c r="N846" t="n">
        <v>0</v>
      </c>
      <c r="O846" t="n">
        <v>0</v>
      </c>
      <c r="P846" t="n">
        <v>0</v>
      </c>
      <c r="Q846" t="n">
        <v>0</v>
      </c>
      <c r="R846" s="2" t="inlineStr"/>
    </row>
    <row r="847" ht="15" customHeight="1">
      <c r="A847" t="inlineStr">
        <is>
          <t>A 40219-2024</t>
        </is>
      </c>
      <c r="B847" s="1" t="n">
        <v>45554.59538194445</v>
      </c>
      <c r="C847" s="1" t="n">
        <v>45917</v>
      </c>
      <c r="D847" t="inlineStr">
        <is>
          <t>JÄMTLANDS LÄN</t>
        </is>
      </c>
      <c r="E847" t="inlineStr">
        <is>
          <t>KROKOM</t>
        </is>
      </c>
      <c r="G847" t="n">
        <v>3.7</v>
      </c>
      <c r="H847" t="n">
        <v>0</v>
      </c>
      <c r="I847" t="n">
        <v>0</v>
      </c>
      <c r="J847" t="n">
        <v>0</v>
      </c>
      <c r="K847" t="n">
        <v>0</v>
      </c>
      <c r="L847" t="n">
        <v>0</v>
      </c>
      <c r="M847" t="n">
        <v>0</v>
      </c>
      <c r="N847" t="n">
        <v>0</v>
      </c>
      <c r="O847" t="n">
        <v>0</v>
      </c>
      <c r="P847" t="n">
        <v>0</v>
      </c>
      <c r="Q847" t="n">
        <v>0</v>
      </c>
      <c r="R847" s="2" t="inlineStr"/>
    </row>
    <row r="848" ht="15" customHeight="1">
      <c r="A848" t="inlineStr">
        <is>
          <t>A 18583-2025</t>
        </is>
      </c>
      <c r="B848" s="1" t="n">
        <v>45763.46918981482</v>
      </c>
      <c r="C848" s="1" t="n">
        <v>45917</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11386-2025</t>
        </is>
      </c>
      <c r="B849" s="1" t="n">
        <v>45726.56341435185</v>
      </c>
      <c r="C849" s="1" t="n">
        <v>45917</v>
      </c>
      <c r="D849" t="inlineStr">
        <is>
          <t>JÄMTLANDS LÄN</t>
        </is>
      </c>
      <c r="E849" t="inlineStr">
        <is>
          <t>KROKOM</t>
        </is>
      </c>
      <c r="F849" t="inlineStr">
        <is>
          <t>Övriga Aktiebolag</t>
        </is>
      </c>
      <c r="G849" t="n">
        <v>42.4</v>
      </c>
      <c r="H849" t="n">
        <v>0</v>
      </c>
      <c r="I849" t="n">
        <v>0</v>
      </c>
      <c r="J849" t="n">
        <v>0</v>
      </c>
      <c r="K849" t="n">
        <v>0</v>
      </c>
      <c r="L849" t="n">
        <v>0</v>
      </c>
      <c r="M849" t="n">
        <v>0</v>
      </c>
      <c r="N849" t="n">
        <v>0</v>
      </c>
      <c r="O849" t="n">
        <v>0</v>
      </c>
      <c r="P849" t="n">
        <v>0</v>
      </c>
      <c r="Q849" t="n">
        <v>0</v>
      </c>
      <c r="R849" s="2" t="inlineStr"/>
    </row>
    <row r="850" ht="15" customHeight="1">
      <c r="A850" t="inlineStr">
        <is>
          <t>A 11403-2025</t>
        </is>
      </c>
      <c r="B850" s="1" t="n">
        <v>45726.5827199074</v>
      </c>
      <c r="C850" s="1" t="n">
        <v>45917</v>
      </c>
      <c r="D850" t="inlineStr">
        <is>
          <t>JÄMTLANDS LÄN</t>
        </is>
      </c>
      <c r="E850" t="inlineStr">
        <is>
          <t>KROKOM</t>
        </is>
      </c>
      <c r="G850" t="n">
        <v>4.4</v>
      </c>
      <c r="H850" t="n">
        <v>0</v>
      </c>
      <c r="I850" t="n">
        <v>0</v>
      </c>
      <c r="J850" t="n">
        <v>0</v>
      </c>
      <c r="K850" t="n">
        <v>0</v>
      </c>
      <c r="L850" t="n">
        <v>0</v>
      </c>
      <c r="M850" t="n">
        <v>0</v>
      </c>
      <c r="N850" t="n">
        <v>0</v>
      </c>
      <c r="O850" t="n">
        <v>0</v>
      </c>
      <c r="P850" t="n">
        <v>0</v>
      </c>
      <c r="Q850" t="n">
        <v>0</v>
      </c>
      <c r="R850" s="2" t="inlineStr"/>
    </row>
    <row r="851" ht="15" customHeight="1">
      <c r="A851" t="inlineStr">
        <is>
          <t>A 11436-2025</t>
        </is>
      </c>
      <c r="B851" s="1" t="n">
        <v>45726.61520833334</v>
      </c>
      <c r="C851" s="1" t="n">
        <v>45917</v>
      </c>
      <c r="D851" t="inlineStr">
        <is>
          <t>JÄMTLANDS LÄN</t>
        </is>
      </c>
      <c r="E851" t="inlineStr">
        <is>
          <t>KROKOM</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31821-2023</t>
        </is>
      </c>
      <c r="B852" s="1" t="n">
        <v>45118</v>
      </c>
      <c r="C852" s="1" t="n">
        <v>45917</v>
      </c>
      <c r="D852" t="inlineStr">
        <is>
          <t>JÄMTLANDS LÄN</t>
        </is>
      </c>
      <c r="E852" t="inlineStr">
        <is>
          <t>KROKOM</t>
        </is>
      </c>
      <c r="G852" t="n">
        <v>0.1</v>
      </c>
      <c r="H852" t="n">
        <v>0</v>
      </c>
      <c r="I852" t="n">
        <v>0</v>
      </c>
      <c r="J852" t="n">
        <v>0</v>
      </c>
      <c r="K852" t="n">
        <v>0</v>
      </c>
      <c r="L852" t="n">
        <v>0</v>
      </c>
      <c r="M852" t="n">
        <v>0</v>
      </c>
      <c r="N852" t="n">
        <v>0</v>
      </c>
      <c r="O852" t="n">
        <v>0</v>
      </c>
      <c r="P852" t="n">
        <v>0</v>
      </c>
      <c r="Q852" t="n">
        <v>0</v>
      </c>
      <c r="R852" s="2" t="inlineStr"/>
    </row>
    <row r="853" ht="15" customHeight="1">
      <c r="A853" t="inlineStr">
        <is>
          <t>A 49875-2024</t>
        </is>
      </c>
      <c r="B853" s="1" t="n">
        <v>45597.49638888889</v>
      </c>
      <c r="C853" s="1" t="n">
        <v>45917</v>
      </c>
      <c r="D853" t="inlineStr">
        <is>
          <t>JÄMTLANDS LÄN</t>
        </is>
      </c>
      <c r="E853" t="inlineStr">
        <is>
          <t>KROKOM</t>
        </is>
      </c>
      <c r="G853" t="n">
        <v>2.5</v>
      </c>
      <c r="H853" t="n">
        <v>0</v>
      </c>
      <c r="I853" t="n">
        <v>0</v>
      </c>
      <c r="J853" t="n">
        <v>0</v>
      </c>
      <c r="K853" t="n">
        <v>0</v>
      </c>
      <c r="L853" t="n">
        <v>0</v>
      </c>
      <c r="M853" t="n">
        <v>0</v>
      </c>
      <c r="N853" t="n">
        <v>0</v>
      </c>
      <c r="O853" t="n">
        <v>0</v>
      </c>
      <c r="P853" t="n">
        <v>0</v>
      </c>
      <c r="Q853" t="n">
        <v>0</v>
      </c>
      <c r="R853" s="2" t="inlineStr"/>
    </row>
    <row r="854" ht="15" customHeight="1">
      <c r="A854" t="inlineStr">
        <is>
          <t>A 7391-2025</t>
        </is>
      </c>
      <c r="B854" s="1" t="n">
        <v>45705.33446759259</v>
      </c>
      <c r="C854" s="1" t="n">
        <v>45917</v>
      </c>
      <c r="D854" t="inlineStr">
        <is>
          <t>JÄMTLANDS LÄN</t>
        </is>
      </c>
      <c r="E854" t="inlineStr">
        <is>
          <t>KROKOM</t>
        </is>
      </c>
      <c r="F854" t="inlineStr">
        <is>
          <t>Övriga Aktiebolag</t>
        </is>
      </c>
      <c r="G854" t="n">
        <v>7.9</v>
      </c>
      <c r="H854" t="n">
        <v>0</v>
      </c>
      <c r="I854" t="n">
        <v>0</v>
      </c>
      <c r="J854" t="n">
        <v>0</v>
      </c>
      <c r="K854" t="n">
        <v>0</v>
      </c>
      <c r="L854" t="n">
        <v>0</v>
      </c>
      <c r="M854" t="n">
        <v>0</v>
      </c>
      <c r="N854" t="n">
        <v>0</v>
      </c>
      <c r="O854" t="n">
        <v>0</v>
      </c>
      <c r="P854" t="n">
        <v>0</v>
      </c>
      <c r="Q854" t="n">
        <v>0</v>
      </c>
      <c r="R854" s="2" t="inlineStr"/>
    </row>
    <row r="855" ht="15" customHeight="1">
      <c r="A855" t="inlineStr">
        <is>
          <t>A 64163-2023</t>
        </is>
      </c>
      <c r="B855" s="1" t="n">
        <v>45279</v>
      </c>
      <c r="C855" s="1" t="n">
        <v>45917</v>
      </c>
      <c r="D855" t="inlineStr">
        <is>
          <t>JÄMTLANDS LÄN</t>
        </is>
      </c>
      <c r="E855" t="inlineStr">
        <is>
          <t>KROKOM</t>
        </is>
      </c>
      <c r="G855" t="n">
        <v>15.8</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45917</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16343-2025</t>
        </is>
      </c>
      <c r="B857" s="1" t="n">
        <v>45751.37320601852</v>
      </c>
      <c r="C857" s="1" t="n">
        <v>45917</v>
      </c>
      <c r="D857" t="inlineStr">
        <is>
          <t>JÄMTLANDS LÄN</t>
        </is>
      </c>
      <c r="E857" t="inlineStr">
        <is>
          <t>KROKOM</t>
        </is>
      </c>
      <c r="G857" t="n">
        <v>1.7</v>
      </c>
      <c r="H857" t="n">
        <v>0</v>
      </c>
      <c r="I857" t="n">
        <v>0</v>
      </c>
      <c r="J857" t="n">
        <v>0</v>
      </c>
      <c r="K857" t="n">
        <v>0</v>
      </c>
      <c r="L857" t="n">
        <v>0</v>
      </c>
      <c r="M857" t="n">
        <v>0</v>
      </c>
      <c r="N857" t="n">
        <v>0</v>
      </c>
      <c r="O857" t="n">
        <v>0</v>
      </c>
      <c r="P857" t="n">
        <v>0</v>
      </c>
      <c r="Q857" t="n">
        <v>0</v>
      </c>
      <c r="R857" s="2" t="inlineStr"/>
    </row>
    <row r="858" ht="15" customHeight="1">
      <c r="A858" t="inlineStr">
        <is>
          <t>A 51345-2022</t>
        </is>
      </c>
      <c r="B858" s="1" t="n">
        <v>44866</v>
      </c>
      <c r="C858" s="1" t="n">
        <v>45917</v>
      </c>
      <c r="D858" t="inlineStr">
        <is>
          <t>JÄMTLANDS LÄN</t>
        </is>
      </c>
      <c r="E858" t="inlineStr">
        <is>
          <t>KROKOM</t>
        </is>
      </c>
      <c r="G858" t="n">
        <v>1.8</v>
      </c>
      <c r="H858" t="n">
        <v>0</v>
      </c>
      <c r="I858" t="n">
        <v>0</v>
      </c>
      <c r="J858" t="n">
        <v>0</v>
      </c>
      <c r="K858" t="n">
        <v>0</v>
      </c>
      <c r="L858" t="n">
        <v>0</v>
      </c>
      <c r="M858" t="n">
        <v>0</v>
      </c>
      <c r="N858" t="n">
        <v>0</v>
      </c>
      <c r="O858" t="n">
        <v>0</v>
      </c>
      <c r="P858" t="n">
        <v>0</v>
      </c>
      <c r="Q858" t="n">
        <v>0</v>
      </c>
      <c r="R858" s="2" t="inlineStr"/>
    </row>
    <row r="859" ht="15" customHeight="1">
      <c r="A859" t="inlineStr">
        <is>
          <t>A 57726-2020</t>
        </is>
      </c>
      <c r="B859" s="1" t="n">
        <v>44140</v>
      </c>
      <c r="C859" s="1" t="n">
        <v>45917</v>
      </c>
      <c r="D859" t="inlineStr">
        <is>
          <t>JÄMTLANDS LÄN</t>
        </is>
      </c>
      <c r="E859" t="inlineStr">
        <is>
          <t>KROKOM</t>
        </is>
      </c>
      <c r="G859" t="n">
        <v>3.8</v>
      </c>
      <c r="H859" t="n">
        <v>0</v>
      </c>
      <c r="I859" t="n">
        <v>0</v>
      </c>
      <c r="J859" t="n">
        <v>0</v>
      </c>
      <c r="K859" t="n">
        <v>0</v>
      </c>
      <c r="L859" t="n">
        <v>0</v>
      </c>
      <c r="M859" t="n">
        <v>0</v>
      </c>
      <c r="N859" t="n">
        <v>0</v>
      </c>
      <c r="O859" t="n">
        <v>0</v>
      </c>
      <c r="P859" t="n">
        <v>0</v>
      </c>
      <c r="Q859" t="n">
        <v>0</v>
      </c>
      <c r="R859" s="2" t="inlineStr"/>
    </row>
    <row r="860" ht="15" customHeight="1">
      <c r="A860" t="inlineStr">
        <is>
          <t>A 16349-2024</t>
        </is>
      </c>
      <c r="B860" s="1" t="n">
        <v>45407</v>
      </c>
      <c r="C860" s="1" t="n">
        <v>45917</v>
      </c>
      <c r="D860" t="inlineStr">
        <is>
          <t>JÄMTLANDS LÄN</t>
        </is>
      </c>
      <c r="E860" t="inlineStr">
        <is>
          <t>KROKOM</t>
        </is>
      </c>
      <c r="G860" t="n">
        <v>2</v>
      </c>
      <c r="H860" t="n">
        <v>0</v>
      </c>
      <c r="I860" t="n">
        <v>0</v>
      </c>
      <c r="J860" t="n">
        <v>0</v>
      </c>
      <c r="K860" t="n">
        <v>0</v>
      </c>
      <c r="L860" t="n">
        <v>0</v>
      </c>
      <c r="M860" t="n">
        <v>0</v>
      </c>
      <c r="N860" t="n">
        <v>0</v>
      </c>
      <c r="O860" t="n">
        <v>0</v>
      </c>
      <c r="P860" t="n">
        <v>0</v>
      </c>
      <c r="Q860" t="n">
        <v>0</v>
      </c>
      <c r="R860" s="2" t="inlineStr"/>
    </row>
    <row r="861" ht="15" customHeight="1">
      <c r="A861" t="inlineStr">
        <is>
          <t>A 20735-2023</t>
        </is>
      </c>
      <c r="B861" s="1" t="n">
        <v>45055</v>
      </c>
      <c r="C861" s="1" t="n">
        <v>45917</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15634-2025</t>
        </is>
      </c>
      <c r="B862" s="1" t="n">
        <v>45748.37173611111</v>
      </c>
      <c r="C862" s="1" t="n">
        <v>45917</v>
      </c>
      <c r="D862" t="inlineStr">
        <is>
          <t>JÄMTLANDS LÄN</t>
        </is>
      </c>
      <c r="E862" t="inlineStr">
        <is>
          <t>KROKOM</t>
        </is>
      </c>
      <c r="G862" t="n">
        <v>4.1</v>
      </c>
      <c r="H862" t="n">
        <v>0</v>
      </c>
      <c r="I862" t="n">
        <v>0</v>
      </c>
      <c r="J862" t="n">
        <v>0</v>
      </c>
      <c r="K862" t="n">
        <v>0</v>
      </c>
      <c r="L862" t="n">
        <v>0</v>
      </c>
      <c r="M862" t="n">
        <v>0</v>
      </c>
      <c r="N862" t="n">
        <v>0</v>
      </c>
      <c r="O862" t="n">
        <v>0</v>
      </c>
      <c r="P862" t="n">
        <v>0</v>
      </c>
      <c r="Q862" t="n">
        <v>0</v>
      </c>
      <c r="R862" s="2" t="inlineStr"/>
    </row>
    <row r="863" ht="15" customHeight="1">
      <c r="A863" t="inlineStr">
        <is>
          <t>A 11193-2024</t>
        </is>
      </c>
      <c r="B863" s="1" t="n">
        <v>45371</v>
      </c>
      <c r="C863" s="1" t="n">
        <v>45917</v>
      </c>
      <c r="D863" t="inlineStr">
        <is>
          <t>JÄMTLANDS LÄN</t>
        </is>
      </c>
      <c r="E863" t="inlineStr">
        <is>
          <t>KROKOM</t>
        </is>
      </c>
      <c r="G863" t="n">
        <v>6.2</v>
      </c>
      <c r="H863" t="n">
        <v>0</v>
      </c>
      <c r="I863" t="n">
        <v>0</v>
      </c>
      <c r="J863" t="n">
        <v>0</v>
      </c>
      <c r="K863" t="n">
        <v>0</v>
      </c>
      <c r="L863" t="n">
        <v>0</v>
      </c>
      <c r="M863" t="n">
        <v>0</v>
      </c>
      <c r="N863" t="n">
        <v>0</v>
      </c>
      <c r="O863" t="n">
        <v>0</v>
      </c>
      <c r="P863" t="n">
        <v>0</v>
      </c>
      <c r="Q863" t="n">
        <v>0</v>
      </c>
      <c r="R863" s="2" t="inlineStr"/>
    </row>
    <row r="864" ht="15" customHeight="1">
      <c r="A864" t="inlineStr">
        <is>
          <t>A 61767-2024</t>
        </is>
      </c>
      <c r="B864" s="1" t="n">
        <v>45649.45143518518</v>
      </c>
      <c r="C864" s="1" t="n">
        <v>45917</v>
      </c>
      <c r="D864" t="inlineStr">
        <is>
          <t>JÄMTLANDS LÄN</t>
        </is>
      </c>
      <c r="E864" t="inlineStr">
        <is>
          <t>KROKOM</t>
        </is>
      </c>
      <c r="G864" t="n">
        <v>3.1</v>
      </c>
      <c r="H864" t="n">
        <v>0</v>
      </c>
      <c r="I864" t="n">
        <v>0</v>
      </c>
      <c r="J864" t="n">
        <v>0</v>
      </c>
      <c r="K864" t="n">
        <v>0</v>
      </c>
      <c r="L864" t="n">
        <v>0</v>
      </c>
      <c r="M864" t="n">
        <v>0</v>
      </c>
      <c r="N864" t="n">
        <v>0</v>
      </c>
      <c r="O864" t="n">
        <v>0</v>
      </c>
      <c r="P864" t="n">
        <v>0</v>
      </c>
      <c r="Q864" t="n">
        <v>0</v>
      </c>
      <c r="R864" s="2" t="inlineStr"/>
    </row>
    <row r="865" ht="15" customHeight="1">
      <c r="A865" t="inlineStr">
        <is>
          <t>A 23214-2024</t>
        </is>
      </c>
      <c r="B865" s="1" t="n">
        <v>45452.55271990741</v>
      </c>
      <c r="C865" s="1" t="n">
        <v>45917</v>
      </c>
      <c r="D865" t="inlineStr">
        <is>
          <t>JÄMTLANDS LÄN</t>
        </is>
      </c>
      <c r="E865" t="inlineStr">
        <is>
          <t>KROKOM</t>
        </is>
      </c>
      <c r="F865" t="inlineStr">
        <is>
          <t>Övriga Aktiebolag</t>
        </is>
      </c>
      <c r="G865" t="n">
        <v>0.4</v>
      </c>
      <c r="H865" t="n">
        <v>0</v>
      </c>
      <c r="I865" t="n">
        <v>0</v>
      </c>
      <c r="J865" t="n">
        <v>0</v>
      </c>
      <c r="K865" t="n">
        <v>0</v>
      </c>
      <c r="L865" t="n">
        <v>0</v>
      </c>
      <c r="M865" t="n">
        <v>0</v>
      </c>
      <c r="N865" t="n">
        <v>0</v>
      </c>
      <c r="O865" t="n">
        <v>0</v>
      </c>
      <c r="P865" t="n">
        <v>0</v>
      </c>
      <c r="Q865" t="n">
        <v>0</v>
      </c>
      <c r="R865" s="2" t="inlineStr"/>
    </row>
    <row r="866" ht="15" customHeight="1">
      <c r="A866" t="inlineStr">
        <is>
          <t>A 6347-2023</t>
        </is>
      </c>
      <c r="B866" s="1" t="n">
        <v>44965</v>
      </c>
      <c r="C866" s="1" t="n">
        <v>45917</v>
      </c>
      <c r="D866" t="inlineStr">
        <is>
          <t>JÄMTLANDS LÄN</t>
        </is>
      </c>
      <c r="E866" t="inlineStr">
        <is>
          <t>KROKOM</t>
        </is>
      </c>
      <c r="F866" t="inlineStr">
        <is>
          <t>Övriga Aktiebolag</t>
        </is>
      </c>
      <c r="G866" t="n">
        <v>11</v>
      </c>
      <c r="H866" t="n">
        <v>0</v>
      </c>
      <c r="I866" t="n">
        <v>0</v>
      </c>
      <c r="J866" t="n">
        <v>0</v>
      </c>
      <c r="K866" t="n">
        <v>0</v>
      </c>
      <c r="L866" t="n">
        <v>0</v>
      </c>
      <c r="M866" t="n">
        <v>0</v>
      </c>
      <c r="N866" t="n">
        <v>0</v>
      </c>
      <c r="O866" t="n">
        <v>0</v>
      </c>
      <c r="P866" t="n">
        <v>0</v>
      </c>
      <c r="Q866" t="n">
        <v>0</v>
      </c>
      <c r="R866" s="2" t="inlineStr"/>
    </row>
    <row r="867" ht="15" customHeight="1">
      <c r="A867" t="inlineStr">
        <is>
          <t>A 50177-2021</t>
        </is>
      </c>
      <c r="B867" s="1" t="n">
        <v>44456</v>
      </c>
      <c r="C867" s="1" t="n">
        <v>45917</v>
      </c>
      <c r="D867" t="inlineStr">
        <is>
          <t>JÄMTLANDS LÄN</t>
        </is>
      </c>
      <c r="E867" t="inlineStr">
        <is>
          <t>KROKOM</t>
        </is>
      </c>
      <c r="G867" t="n">
        <v>1.5</v>
      </c>
      <c r="H867" t="n">
        <v>0</v>
      </c>
      <c r="I867" t="n">
        <v>0</v>
      </c>
      <c r="J867" t="n">
        <v>0</v>
      </c>
      <c r="K867" t="n">
        <v>0</v>
      </c>
      <c r="L867" t="n">
        <v>0</v>
      </c>
      <c r="M867" t="n">
        <v>0</v>
      </c>
      <c r="N867" t="n">
        <v>0</v>
      </c>
      <c r="O867" t="n">
        <v>0</v>
      </c>
      <c r="P867" t="n">
        <v>0</v>
      </c>
      <c r="Q867" t="n">
        <v>0</v>
      </c>
      <c r="R867" s="2" t="inlineStr"/>
    </row>
    <row r="868" ht="15" customHeight="1">
      <c r="A868" t="inlineStr">
        <is>
          <t>A 15209-2025</t>
        </is>
      </c>
      <c r="B868" s="1" t="n">
        <v>45744</v>
      </c>
      <c r="C868" s="1" t="n">
        <v>45917</v>
      </c>
      <c r="D868" t="inlineStr">
        <is>
          <t>JÄMTLANDS LÄN</t>
        </is>
      </c>
      <c r="E868" t="inlineStr">
        <is>
          <t>KROKOM</t>
        </is>
      </c>
      <c r="G868" t="n">
        <v>1.6</v>
      </c>
      <c r="H868" t="n">
        <v>0</v>
      </c>
      <c r="I868" t="n">
        <v>0</v>
      </c>
      <c r="J868" t="n">
        <v>0</v>
      </c>
      <c r="K868" t="n">
        <v>0</v>
      </c>
      <c r="L868" t="n">
        <v>0</v>
      </c>
      <c r="M868" t="n">
        <v>0</v>
      </c>
      <c r="N868" t="n">
        <v>0</v>
      </c>
      <c r="O868" t="n">
        <v>0</v>
      </c>
      <c r="P868" t="n">
        <v>0</v>
      </c>
      <c r="Q868" t="n">
        <v>0</v>
      </c>
      <c r="R868" s="2" t="inlineStr"/>
    </row>
    <row r="869" ht="15" customHeight="1">
      <c r="A869" t="inlineStr">
        <is>
          <t>A 14234-2025</t>
        </is>
      </c>
      <c r="B869" s="1" t="n">
        <v>45740.60405092593</v>
      </c>
      <c r="C869" s="1" t="n">
        <v>45917</v>
      </c>
      <c r="D869" t="inlineStr">
        <is>
          <t>JÄMTLANDS LÄN</t>
        </is>
      </c>
      <c r="E869" t="inlineStr">
        <is>
          <t>KROKOM</t>
        </is>
      </c>
      <c r="F869" t="inlineStr">
        <is>
          <t>Övriga statliga verk och myndigheter</t>
        </is>
      </c>
      <c r="G869" t="n">
        <v>1.5</v>
      </c>
      <c r="H869" t="n">
        <v>0</v>
      </c>
      <c r="I869" t="n">
        <v>0</v>
      </c>
      <c r="J869" t="n">
        <v>0</v>
      </c>
      <c r="K869" t="n">
        <v>0</v>
      </c>
      <c r="L869" t="n">
        <v>0</v>
      </c>
      <c r="M869" t="n">
        <v>0</v>
      </c>
      <c r="N869" t="n">
        <v>0</v>
      </c>
      <c r="O869" t="n">
        <v>0</v>
      </c>
      <c r="P869" t="n">
        <v>0</v>
      </c>
      <c r="Q869" t="n">
        <v>0</v>
      </c>
      <c r="R869" s="2" t="inlineStr"/>
    </row>
    <row r="870" ht="15" customHeight="1">
      <c r="A870" t="inlineStr">
        <is>
          <t>A 16548-2025</t>
        </is>
      </c>
      <c r="B870" s="1" t="n">
        <v>45751.6877662037</v>
      </c>
      <c r="C870" s="1" t="n">
        <v>45917</v>
      </c>
      <c r="D870" t="inlineStr">
        <is>
          <t>JÄMTLANDS LÄN</t>
        </is>
      </c>
      <c r="E870" t="inlineStr">
        <is>
          <t>KROKOM</t>
        </is>
      </c>
      <c r="F870" t="inlineStr">
        <is>
          <t>Övriga Aktiebolag</t>
        </is>
      </c>
      <c r="G870" t="n">
        <v>10.9</v>
      </c>
      <c r="H870" t="n">
        <v>0</v>
      </c>
      <c r="I870" t="n">
        <v>0</v>
      </c>
      <c r="J870" t="n">
        <v>0</v>
      </c>
      <c r="K870" t="n">
        <v>0</v>
      </c>
      <c r="L870" t="n">
        <v>0</v>
      </c>
      <c r="M870" t="n">
        <v>0</v>
      </c>
      <c r="N870" t="n">
        <v>0</v>
      </c>
      <c r="O870" t="n">
        <v>0</v>
      </c>
      <c r="P870" t="n">
        <v>0</v>
      </c>
      <c r="Q870" t="n">
        <v>0</v>
      </c>
      <c r="R870" s="2" t="inlineStr"/>
    </row>
    <row r="871" ht="15" customHeight="1">
      <c r="A871" t="inlineStr">
        <is>
          <t>A 16278-2025</t>
        </is>
      </c>
      <c r="B871" s="1" t="n">
        <v>45751.28243055556</v>
      </c>
      <c r="C871" s="1" t="n">
        <v>45917</v>
      </c>
      <c r="D871" t="inlineStr">
        <is>
          <t>JÄMTLANDS LÄN</t>
        </is>
      </c>
      <c r="E871" t="inlineStr">
        <is>
          <t>KROKOM</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14233-2025</t>
        </is>
      </c>
      <c r="B872" s="1" t="n">
        <v>45740.60347222222</v>
      </c>
      <c r="C872" s="1" t="n">
        <v>45917</v>
      </c>
      <c r="D872" t="inlineStr">
        <is>
          <t>JÄMTLANDS LÄN</t>
        </is>
      </c>
      <c r="E872" t="inlineStr">
        <is>
          <t>KROKOM</t>
        </is>
      </c>
      <c r="F872" t="inlineStr">
        <is>
          <t>Övriga statliga verk och myndigheter</t>
        </is>
      </c>
      <c r="G872" t="n">
        <v>2.5</v>
      </c>
      <c r="H872" t="n">
        <v>0</v>
      </c>
      <c r="I872" t="n">
        <v>0</v>
      </c>
      <c r="J872" t="n">
        <v>0</v>
      </c>
      <c r="K872" t="n">
        <v>0</v>
      </c>
      <c r="L872" t="n">
        <v>0</v>
      </c>
      <c r="M872" t="n">
        <v>0</v>
      </c>
      <c r="N872" t="n">
        <v>0</v>
      </c>
      <c r="O872" t="n">
        <v>0</v>
      </c>
      <c r="P872" t="n">
        <v>0</v>
      </c>
      <c r="Q872" t="n">
        <v>0</v>
      </c>
      <c r="R872" s="2" t="inlineStr"/>
    </row>
    <row r="873" ht="15" customHeight="1">
      <c r="A873" t="inlineStr">
        <is>
          <t>A 12188-2024</t>
        </is>
      </c>
      <c r="B873" s="1" t="n">
        <v>45377</v>
      </c>
      <c r="C873" s="1" t="n">
        <v>45917</v>
      </c>
      <c r="D873" t="inlineStr">
        <is>
          <t>JÄMTLANDS LÄN</t>
        </is>
      </c>
      <c r="E873" t="inlineStr">
        <is>
          <t>KROKOM</t>
        </is>
      </c>
      <c r="G873" t="n">
        <v>7.9</v>
      </c>
      <c r="H873" t="n">
        <v>0</v>
      </c>
      <c r="I873" t="n">
        <v>0</v>
      </c>
      <c r="J873" t="n">
        <v>0</v>
      </c>
      <c r="K873" t="n">
        <v>0</v>
      </c>
      <c r="L873" t="n">
        <v>0</v>
      </c>
      <c r="M873" t="n">
        <v>0</v>
      </c>
      <c r="N873" t="n">
        <v>0</v>
      </c>
      <c r="O873" t="n">
        <v>0</v>
      </c>
      <c r="P873" t="n">
        <v>0</v>
      </c>
      <c r="Q873" t="n">
        <v>0</v>
      </c>
      <c r="R873" s="2" t="inlineStr"/>
    </row>
    <row r="874" ht="15" customHeight="1">
      <c r="A874" t="inlineStr">
        <is>
          <t>A 41497-2024</t>
        </is>
      </c>
      <c r="B874" s="1" t="n">
        <v>45560.45841435185</v>
      </c>
      <c r="C874" s="1" t="n">
        <v>45917</v>
      </c>
      <c r="D874" t="inlineStr">
        <is>
          <t>JÄMTLANDS LÄN</t>
        </is>
      </c>
      <c r="E874" t="inlineStr">
        <is>
          <t>KROKOM</t>
        </is>
      </c>
      <c r="F874" t="inlineStr">
        <is>
          <t>Övriga Aktiebolag</t>
        </is>
      </c>
      <c r="G874" t="n">
        <v>2.4</v>
      </c>
      <c r="H874" t="n">
        <v>0</v>
      </c>
      <c r="I874" t="n">
        <v>0</v>
      </c>
      <c r="J874" t="n">
        <v>0</v>
      </c>
      <c r="K874" t="n">
        <v>0</v>
      </c>
      <c r="L874" t="n">
        <v>0</v>
      </c>
      <c r="M874" t="n">
        <v>0</v>
      </c>
      <c r="N874" t="n">
        <v>0</v>
      </c>
      <c r="O874" t="n">
        <v>0</v>
      </c>
      <c r="P874" t="n">
        <v>0</v>
      </c>
      <c r="Q874" t="n">
        <v>0</v>
      </c>
      <c r="R874" s="2" t="inlineStr"/>
    </row>
    <row r="875" ht="15" customHeight="1">
      <c r="A875" t="inlineStr">
        <is>
          <t>A 60680-2023</t>
        </is>
      </c>
      <c r="B875" s="1" t="n">
        <v>45260</v>
      </c>
      <c r="C875" s="1" t="n">
        <v>45917</v>
      </c>
      <c r="D875" t="inlineStr">
        <is>
          <t>JÄMTLANDS LÄN</t>
        </is>
      </c>
      <c r="E875" t="inlineStr">
        <is>
          <t>KROKOM</t>
        </is>
      </c>
      <c r="G875" t="n">
        <v>1</v>
      </c>
      <c r="H875" t="n">
        <v>0</v>
      </c>
      <c r="I875" t="n">
        <v>0</v>
      </c>
      <c r="J875" t="n">
        <v>0</v>
      </c>
      <c r="K875" t="n">
        <v>0</v>
      </c>
      <c r="L875" t="n">
        <v>0</v>
      </c>
      <c r="M875" t="n">
        <v>0</v>
      </c>
      <c r="N875" t="n">
        <v>0</v>
      </c>
      <c r="O875" t="n">
        <v>0</v>
      </c>
      <c r="P875" t="n">
        <v>0</v>
      </c>
      <c r="Q875" t="n">
        <v>0</v>
      </c>
      <c r="R875" s="2" t="inlineStr"/>
    </row>
    <row r="876" ht="15" customHeight="1">
      <c r="A876" t="inlineStr">
        <is>
          <t>A 71572-2021</t>
        </is>
      </c>
      <c r="B876" s="1" t="n">
        <v>44540</v>
      </c>
      <c r="C876" s="1" t="n">
        <v>45917</v>
      </c>
      <c r="D876" t="inlineStr">
        <is>
          <t>JÄMTLANDS LÄN</t>
        </is>
      </c>
      <c r="E876" t="inlineStr">
        <is>
          <t>KROKOM</t>
        </is>
      </c>
      <c r="G876" t="n">
        <v>0.9</v>
      </c>
      <c r="H876" t="n">
        <v>0</v>
      </c>
      <c r="I876" t="n">
        <v>0</v>
      </c>
      <c r="J876" t="n">
        <v>0</v>
      </c>
      <c r="K876" t="n">
        <v>0</v>
      </c>
      <c r="L876" t="n">
        <v>0</v>
      </c>
      <c r="M876" t="n">
        <v>0</v>
      </c>
      <c r="N876" t="n">
        <v>0</v>
      </c>
      <c r="O876" t="n">
        <v>0</v>
      </c>
      <c r="P876" t="n">
        <v>0</v>
      </c>
      <c r="Q876" t="n">
        <v>0</v>
      </c>
      <c r="R876" s="2" t="inlineStr"/>
    </row>
    <row r="877" ht="15" customHeight="1">
      <c r="A877" t="inlineStr">
        <is>
          <t>A 4369-2025</t>
        </is>
      </c>
      <c r="B877" s="1" t="n">
        <v>45686.35247685185</v>
      </c>
      <c r="C877" s="1" t="n">
        <v>45917</v>
      </c>
      <c r="D877" t="inlineStr">
        <is>
          <t>JÄMTLANDS LÄN</t>
        </is>
      </c>
      <c r="E877" t="inlineStr">
        <is>
          <t>KROKOM</t>
        </is>
      </c>
      <c r="F877" t="inlineStr">
        <is>
          <t>SCA</t>
        </is>
      </c>
      <c r="G877" t="n">
        <v>45.4</v>
      </c>
      <c r="H877" t="n">
        <v>0</v>
      </c>
      <c r="I877" t="n">
        <v>0</v>
      </c>
      <c r="J877" t="n">
        <v>0</v>
      </c>
      <c r="K877" t="n">
        <v>0</v>
      </c>
      <c r="L877" t="n">
        <v>0</v>
      </c>
      <c r="M877" t="n">
        <v>0</v>
      </c>
      <c r="N877" t="n">
        <v>0</v>
      </c>
      <c r="O877" t="n">
        <v>0</v>
      </c>
      <c r="P877" t="n">
        <v>0</v>
      </c>
      <c r="Q877" t="n">
        <v>0</v>
      </c>
      <c r="R877" s="2" t="inlineStr"/>
    </row>
    <row r="878" ht="15" customHeight="1">
      <c r="A878" t="inlineStr">
        <is>
          <t>A 62413-2023</t>
        </is>
      </c>
      <c r="B878" s="1" t="n">
        <v>45266</v>
      </c>
      <c r="C878" s="1" t="n">
        <v>45917</v>
      </c>
      <c r="D878" t="inlineStr">
        <is>
          <t>JÄMTLANDS LÄN</t>
        </is>
      </c>
      <c r="E878" t="inlineStr">
        <is>
          <t>KROKOM</t>
        </is>
      </c>
      <c r="G878" t="n">
        <v>12.8</v>
      </c>
      <c r="H878" t="n">
        <v>0</v>
      </c>
      <c r="I878" t="n">
        <v>0</v>
      </c>
      <c r="J878" t="n">
        <v>0</v>
      </c>
      <c r="K878" t="n">
        <v>0</v>
      </c>
      <c r="L878" t="n">
        <v>0</v>
      </c>
      <c r="M878" t="n">
        <v>0</v>
      </c>
      <c r="N878" t="n">
        <v>0</v>
      </c>
      <c r="O878" t="n">
        <v>0</v>
      </c>
      <c r="P878" t="n">
        <v>0</v>
      </c>
      <c r="Q878" t="n">
        <v>0</v>
      </c>
      <c r="R878" s="2" t="inlineStr"/>
    </row>
    <row r="879" ht="15" customHeight="1">
      <c r="A879" t="inlineStr">
        <is>
          <t>A 57259-2023</t>
        </is>
      </c>
      <c r="B879" s="1" t="n">
        <v>45245</v>
      </c>
      <c r="C879" s="1" t="n">
        <v>45917</v>
      </c>
      <c r="D879" t="inlineStr">
        <is>
          <t>JÄMTLANDS LÄN</t>
        </is>
      </c>
      <c r="E879" t="inlineStr">
        <is>
          <t>KROKOM</t>
        </is>
      </c>
      <c r="G879" t="n">
        <v>9.6</v>
      </c>
      <c r="H879" t="n">
        <v>0</v>
      </c>
      <c r="I879" t="n">
        <v>0</v>
      </c>
      <c r="J879" t="n">
        <v>0</v>
      </c>
      <c r="K879" t="n">
        <v>0</v>
      </c>
      <c r="L879" t="n">
        <v>0</v>
      </c>
      <c r="M879" t="n">
        <v>0</v>
      </c>
      <c r="N879" t="n">
        <v>0</v>
      </c>
      <c r="O879" t="n">
        <v>0</v>
      </c>
      <c r="P879" t="n">
        <v>0</v>
      </c>
      <c r="Q879" t="n">
        <v>0</v>
      </c>
      <c r="R879" s="2" t="inlineStr"/>
    </row>
    <row r="880" ht="15" customHeight="1">
      <c r="A880" t="inlineStr">
        <is>
          <t>A 5173-2025</t>
        </is>
      </c>
      <c r="B880" s="1" t="n">
        <v>45691.61996527778</v>
      </c>
      <c r="C880" s="1" t="n">
        <v>45917</v>
      </c>
      <c r="D880" t="inlineStr">
        <is>
          <t>JÄMTLANDS LÄN</t>
        </is>
      </c>
      <c r="E880" t="inlineStr">
        <is>
          <t>KROKOM</t>
        </is>
      </c>
      <c r="F880" t="inlineStr">
        <is>
          <t>Kyrkan</t>
        </is>
      </c>
      <c r="G880" t="n">
        <v>6.6</v>
      </c>
      <c r="H880" t="n">
        <v>0</v>
      </c>
      <c r="I880" t="n">
        <v>0</v>
      </c>
      <c r="J880" t="n">
        <v>0</v>
      </c>
      <c r="K880" t="n">
        <v>0</v>
      </c>
      <c r="L880" t="n">
        <v>0</v>
      </c>
      <c r="M880" t="n">
        <v>0</v>
      </c>
      <c r="N880" t="n">
        <v>0</v>
      </c>
      <c r="O880" t="n">
        <v>0</v>
      </c>
      <c r="P880" t="n">
        <v>0</v>
      </c>
      <c r="Q880" t="n">
        <v>0</v>
      </c>
      <c r="R880" s="2" t="inlineStr"/>
    </row>
    <row r="881" ht="15" customHeight="1">
      <c r="A881" t="inlineStr">
        <is>
          <t>A 18826-2023</t>
        </is>
      </c>
      <c r="B881" s="1" t="n">
        <v>45042</v>
      </c>
      <c r="C881" s="1" t="n">
        <v>45917</v>
      </c>
      <c r="D881" t="inlineStr">
        <is>
          <t>JÄMTLANDS LÄN</t>
        </is>
      </c>
      <c r="E881" t="inlineStr">
        <is>
          <t>KROKOM</t>
        </is>
      </c>
      <c r="G881" t="n">
        <v>17.1</v>
      </c>
      <c r="H881" t="n">
        <v>0</v>
      </c>
      <c r="I881" t="n">
        <v>0</v>
      </c>
      <c r="J881" t="n">
        <v>0</v>
      </c>
      <c r="K881" t="n">
        <v>0</v>
      </c>
      <c r="L881" t="n">
        <v>0</v>
      </c>
      <c r="M881" t="n">
        <v>0</v>
      </c>
      <c r="N881" t="n">
        <v>0</v>
      </c>
      <c r="O881" t="n">
        <v>0</v>
      </c>
      <c r="P881" t="n">
        <v>0</v>
      </c>
      <c r="Q881" t="n">
        <v>0</v>
      </c>
      <c r="R881" s="2" t="inlineStr"/>
    </row>
    <row r="882" ht="15" customHeight="1">
      <c r="A882" t="inlineStr">
        <is>
          <t>A 59668-2023</t>
        </is>
      </c>
      <c r="B882" s="1" t="n">
        <v>45254</v>
      </c>
      <c r="C882" s="1" t="n">
        <v>45917</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10532-2025</t>
        </is>
      </c>
      <c r="B883" s="1" t="n">
        <v>45721.4546412037</v>
      </c>
      <c r="C883" s="1" t="n">
        <v>45917</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22258-2024</t>
        </is>
      </c>
      <c r="B884" s="1" t="n">
        <v>45446.47634259259</v>
      </c>
      <c r="C884" s="1" t="n">
        <v>45917</v>
      </c>
      <c r="D884" t="inlineStr">
        <is>
          <t>JÄMTLANDS LÄN</t>
        </is>
      </c>
      <c r="E884" t="inlineStr">
        <is>
          <t>KROKOM</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30771-2023</t>
        </is>
      </c>
      <c r="B885" s="1" t="n">
        <v>45112</v>
      </c>
      <c r="C885" s="1" t="n">
        <v>45917</v>
      </c>
      <c r="D885" t="inlineStr">
        <is>
          <t>JÄMTLANDS LÄN</t>
        </is>
      </c>
      <c r="E885" t="inlineStr">
        <is>
          <t>KROKOM</t>
        </is>
      </c>
      <c r="G885" t="n">
        <v>10.6</v>
      </c>
      <c r="H885" t="n">
        <v>0</v>
      </c>
      <c r="I885" t="n">
        <v>0</v>
      </c>
      <c r="J885" t="n">
        <v>0</v>
      </c>
      <c r="K885" t="n">
        <v>0</v>
      </c>
      <c r="L885" t="n">
        <v>0</v>
      </c>
      <c r="M885" t="n">
        <v>0</v>
      </c>
      <c r="N885" t="n">
        <v>0</v>
      </c>
      <c r="O885" t="n">
        <v>0</v>
      </c>
      <c r="P885" t="n">
        <v>0</v>
      </c>
      <c r="Q885" t="n">
        <v>0</v>
      </c>
      <c r="R885" s="2" t="inlineStr"/>
    </row>
    <row r="886" ht="15" customHeight="1">
      <c r="A886" t="inlineStr">
        <is>
          <t>A 34502-2023</t>
        </is>
      </c>
      <c r="B886" s="1" t="n">
        <v>45133</v>
      </c>
      <c r="C886" s="1" t="n">
        <v>45917</v>
      </c>
      <c r="D886" t="inlineStr">
        <is>
          <t>JÄMTLANDS LÄN</t>
        </is>
      </c>
      <c r="E886" t="inlineStr">
        <is>
          <t>KROKOM</t>
        </is>
      </c>
      <c r="G886" t="n">
        <v>6.9</v>
      </c>
      <c r="H886" t="n">
        <v>0</v>
      </c>
      <c r="I886" t="n">
        <v>0</v>
      </c>
      <c r="J886" t="n">
        <v>0</v>
      </c>
      <c r="K886" t="n">
        <v>0</v>
      </c>
      <c r="L886" t="n">
        <v>0</v>
      </c>
      <c r="M886" t="n">
        <v>0</v>
      </c>
      <c r="N886" t="n">
        <v>0</v>
      </c>
      <c r="O886" t="n">
        <v>0</v>
      </c>
      <c r="P886" t="n">
        <v>0</v>
      </c>
      <c r="Q886" t="n">
        <v>0</v>
      </c>
      <c r="R886" s="2" t="inlineStr"/>
    </row>
    <row r="887" ht="15" customHeight="1">
      <c r="A887" t="inlineStr">
        <is>
          <t>A 71307-2021</t>
        </is>
      </c>
      <c r="B887" s="1" t="n">
        <v>44539</v>
      </c>
      <c r="C887" s="1" t="n">
        <v>45917</v>
      </c>
      <c r="D887" t="inlineStr">
        <is>
          <t>JÄMTLANDS LÄN</t>
        </is>
      </c>
      <c r="E887" t="inlineStr">
        <is>
          <t>KROKOM</t>
        </is>
      </c>
      <c r="G887" t="n">
        <v>21.5</v>
      </c>
      <c r="H887" t="n">
        <v>0</v>
      </c>
      <c r="I887" t="n">
        <v>0</v>
      </c>
      <c r="J887" t="n">
        <v>0</v>
      </c>
      <c r="K887" t="n">
        <v>0</v>
      </c>
      <c r="L887" t="n">
        <v>0</v>
      </c>
      <c r="M887" t="n">
        <v>0</v>
      </c>
      <c r="N887" t="n">
        <v>0</v>
      </c>
      <c r="O887" t="n">
        <v>0</v>
      </c>
      <c r="P887" t="n">
        <v>0</v>
      </c>
      <c r="Q887" t="n">
        <v>0</v>
      </c>
      <c r="R887" s="2" t="inlineStr"/>
    </row>
    <row r="888" ht="15" customHeight="1">
      <c r="A888" t="inlineStr">
        <is>
          <t>A 41628-2024</t>
        </is>
      </c>
      <c r="B888" s="1" t="n">
        <v>45560</v>
      </c>
      <c r="C888" s="1" t="n">
        <v>45917</v>
      </c>
      <c r="D888" t="inlineStr">
        <is>
          <t>JÄMTLANDS LÄN</t>
        </is>
      </c>
      <c r="E888" t="inlineStr">
        <is>
          <t>KROKOM</t>
        </is>
      </c>
      <c r="F888" t="inlineStr">
        <is>
          <t>Övriga Aktiebolag</t>
        </is>
      </c>
      <c r="G888" t="n">
        <v>7.3</v>
      </c>
      <c r="H888" t="n">
        <v>0</v>
      </c>
      <c r="I888" t="n">
        <v>0</v>
      </c>
      <c r="J888" t="n">
        <v>0</v>
      </c>
      <c r="K888" t="n">
        <v>0</v>
      </c>
      <c r="L888" t="n">
        <v>0</v>
      </c>
      <c r="M888" t="n">
        <v>0</v>
      </c>
      <c r="N888" t="n">
        <v>0</v>
      </c>
      <c r="O888" t="n">
        <v>0</v>
      </c>
      <c r="P888" t="n">
        <v>0</v>
      </c>
      <c r="Q888" t="n">
        <v>0</v>
      </c>
      <c r="R888" s="2" t="inlineStr"/>
    </row>
    <row r="889" ht="15" customHeight="1">
      <c r="A889" t="inlineStr">
        <is>
          <t>A 57239-2023</t>
        </is>
      </c>
      <c r="B889" s="1" t="n">
        <v>45245.5478125</v>
      </c>
      <c r="C889" s="1" t="n">
        <v>45917</v>
      </c>
      <c r="D889" t="inlineStr">
        <is>
          <t>JÄMTLANDS LÄN</t>
        </is>
      </c>
      <c r="E889" t="inlineStr">
        <is>
          <t>KROKOM</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11639-2024</t>
        </is>
      </c>
      <c r="B890" s="1" t="n">
        <v>45373</v>
      </c>
      <c r="C890" s="1" t="n">
        <v>45917</v>
      </c>
      <c r="D890" t="inlineStr">
        <is>
          <t>JÄMTLANDS LÄN</t>
        </is>
      </c>
      <c r="E890" t="inlineStr">
        <is>
          <t>KROKOM</t>
        </is>
      </c>
      <c r="G890" t="n">
        <v>22.2</v>
      </c>
      <c r="H890" t="n">
        <v>0</v>
      </c>
      <c r="I890" t="n">
        <v>0</v>
      </c>
      <c r="J890" t="n">
        <v>0</v>
      </c>
      <c r="K890" t="n">
        <v>0</v>
      </c>
      <c r="L890" t="n">
        <v>0</v>
      </c>
      <c r="M890" t="n">
        <v>0</v>
      </c>
      <c r="N890" t="n">
        <v>0</v>
      </c>
      <c r="O890" t="n">
        <v>0</v>
      </c>
      <c r="P890" t="n">
        <v>0</v>
      </c>
      <c r="Q890" t="n">
        <v>0</v>
      </c>
      <c r="R890" s="2" t="inlineStr"/>
    </row>
    <row r="891" ht="15" customHeight="1">
      <c r="A891" t="inlineStr">
        <is>
          <t>A 29484-2024</t>
        </is>
      </c>
      <c r="B891" s="1" t="n">
        <v>45484</v>
      </c>
      <c r="C891" s="1" t="n">
        <v>45917</v>
      </c>
      <c r="D891" t="inlineStr">
        <is>
          <t>JÄMTLANDS LÄN</t>
        </is>
      </c>
      <c r="E891" t="inlineStr">
        <is>
          <t>KROKOM</t>
        </is>
      </c>
      <c r="F891" t="inlineStr">
        <is>
          <t>Övriga Aktiebolag</t>
        </is>
      </c>
      <c r="G891" t="n">
        <v>2.9</v>
      </c>
      <c r="H891" t="n">
        <v>0</v>
      </c>
      <c r="I891" t="n">
        <v>0</v>
      </c>
      <c r="J891" t="n">
        <v>0</v>
      </c>
      <c r="K891" t="n">
        <v>0</v>
      </c>
      <c r="L891" t="n">
        <v>0</v>
      </c>
      <c r="M891" t="n">
        <v>0</v>
      </c>
      <c r="N891" t="n">
        <v>0</v>
      </c>
      <c r="O891" t="n">
        <v>0</v>
      </c>
      <c r="P891" t="n">
        <v>0</v>
      </c>
      <c r="Q891" t="n">
        <v>0</v>
      </c>
      <c r="R891" s="2" t="inlineStr"/>
    </row>
    <row r="892" ht="15" customHeight="1">
      <c r="A892" t="inlineStr">
        <is>
          <t>A 34902-2024</t>
        </is>
      </c>
      <c r="B892" s="1" t="n">
        <v>45527.39858796296</v>
      </c>
      <c r="C892" s="1" t="n">
        <v>45917</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42828-2023</t>
        </is>
      </c>
      <c r="B893" s="1" t="n">
        <v>45182</v>
      </c>
      <c r="C893" s="1" t="n">
        <v>45917</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28780-2024</t>
        </is>
      </c>
      <c r="B894" s="1" t="n">
        <v>45478.60708333334</v>
      </c>
      <c r="C894" s="1" t="n">
        <v>45917</v>
      </c>
      <c r="D894" t="inlineStr">
        <is>
          <t>JÄMTLANDS LÄN</t>
        </is>
      </c>
      <c r="E894" t="inlineStr">
        <is>
          <t>KROKOM</t>
        </is>
      </c>
      <c r="G894" t="n">
        <v>3.7</v>
      </c>
      <c r="H894" t="n">
        <v>0</v>
      </c>
      <c r="I894" t="n">
        <v>0</v>
      </c>
      <c r="J894" t="n">
        <v>0</v>
      </c>
      <c r="K894" t="n">
        <v>0</v>
      </c>
      <c r="L894" t="n">
        <v>0</v>
      </c>
      <c r="M894" t="n">
        <v>0</v>
      </c>
      <c r="N894" t="n">
        <v>0</v>
      </c>
      <c r="O894" t="n">
        <v>0</v>
      </c>
      <c r="P894" t="n">
        <v>0</v>
      </c>
      <c r="Q894" t="n">
        <v>0</v>
      </c>
      <c r="R894" s="2" t="inlineStr"/>
    </row>
    <row r="895" ht="15" customHeight="1">
      <c r="A895" t="inlineStr">
        <is>
          <t>A 14184-2024</t>
        </is>
      </c>
      <c r="B895" s="1" t="n">
        <v>45393</v>
      </c>
      <c r="C895" s="1" t="n">
        <v>45917</v>
      </c>
      <c r="D895" t="inlineStr">
        <is>
          <t>JÄMTLANDS LÄN</t>
        </is>
      </c>
      <c r="E895" t="inlineStr">
        <is>
          <t>KROKOM</t>
        </is>
      </c>
      <c r="G895" t="n">
        <v>1.7</v>
      </c>
      <c r="H895" t="n">
        <v>0</v>
      </c>
      <c r="I895" t="n">
        <v>0</v>
      </c>
      <c r="J895" t="n">
        <v>0</v>
      </c>
      <c r="K895" t="n">
        <v>0</v>
      </c>
      <c r="L895" t="n">
        <v>0</v>
      </c>
      <c r="M895" t="n">
        <v>0</v>
      </c>
      <c r="N895" t="n">
        <v>0</v>
      </c>
      <c r="O895" t="n">
        <v>0</v>
      </c>
      <c r="P895" t="n">
        <v>0</v>
      </c>
      <c r="Q895" t="n">
        <v>0</v>
      </c>
      <c r="R895" s="2" t="inlineStr"/>
    </row>
    <row r="896" ht="15" customHeight="1">
      <c r="A896" t="inlineStr">
        <is>
          <t>A 26693-2023</t>
        </is>
      </c>
      <c r="B896" s="1" t="n">
        <v>45090</v>
      </c>
      <c r="C896" s="1" t="n">
        <v>45917</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73174-2021</t>
        </is>
      </c>
      <c r="B897" s="1" t="n">
        <v>44550</v>
      </c>
      <c r="C897" s="1" t="n">
        <v>45917</v>
      </c>
      <c r="D897" t="inlineStr">
        <is>
          <t>JÄMTLANDS LÄN</t>
        </is>
      </c>
      <c r="E897" t="inlineStr">
        <is>
          <t>KROKOM</t>
        </is>
      </c>
      <c r="G897" t="n">
        <v>152.9</v>
      </c>
      <c r="H897" t="n">
        <v>0</v>
      </c>
      <c r="I897" t="n">
        <v>0</v>
      </c>
      <c r="J897" t="n">
        <v>0</v>
      </c>
      <c r="K897" t="n">
        <v>0</v>
      </c>
      <c r="L897" t="n">
        <v>0</v>
      </c>
      <c r="M897" t="n">
        <v>0</v>
      </c>
      <c r="N897" t="n">
        <v>0</v>
      </c>
      <c r="O897" t="n">
        <v>0</v>
      </c>
      <c r="P897" t="n">
        <v>0</v>
      </c>
      <c r="Q897" t="n">
        <v>0</v>
      </c>
      <c r="R897" s="2" t="inlineStr"/>
    </row>
    <row r="898" ht="15" customHeight="1">
      <c r="A898" t="inlineStr">
        <is>
          <t>A 9132-2023</t>
        </is>
      </c>
      <c r="B898" s="1" t="n">
        <v>44974</v>
      </c>
      <c r="C898" s="1" t="n">
        <v>45917</v>
      </c>
      <c r="D898" t="inlineStr">
        <is>
          <t>JÄMTLANDS LÄN</t>
        </is>
      </c>
      <c r="E898" t="inlineStr">
        <is>
          <t>KROKOM</t>
        </is>
      </c>
      <c r="F898" t="inlineStr">
        <is>
          <t>SCA</t>
        </is>
      </c>
      <c r="G898" t="n">
        <v>22.7</v>
      </c>
      <c r="H898" t="n">
        <v>0</v>
      </c>
      <c r="I898" t="n">
        <v>0</v>
      </c>
      <c r="J898" t="n">
        <v>0</v>
      </c>
      <c r="K898" t="n">
        <v>0</v>
      </c>
      <c r="L898" t="n">
        <v>0</v>
      </c>
      <c r="M898" t="n">
        <v>0</v>
      </c>
      <c r="N898" t="n">
        <v>0</v>
      </c>
      <c r="O898" t="n">
        <v>0</v>
      </c>
      <c r="P898" t="n">
        <v>0</v>
      </c>
      <c r="Q898" t="n">
        <v>0</v>
      </c>
      <c r="R898" s="2" t="inlineStr"/>
    </row>
    <row r="899" ht="15" customHeight="1">
      <c r="A899" t="inlineStr">
        <is>
          <t>A 57304-2021</t>
        </is>
      </c>
      <c r="B899" s="1" t="n">
        <v>44483.42253472222</v>
      </c>
      <c r="C899" s="1" t="n">
        <v>45917</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17469-2024</t>
        </is>
      </c>
      <c r="B900" s="1" t="n">
        <v>45415.45006944444</v>
      </c>
      <c r="C900" s="1" t="n">
        <v>45917</v>
      </c>
      <c r="D900" t="inlineStr">
        <is>
          <t>JÄMTLANDS LÄN</t>
        </is>
      </c>
      <c r="E900" t="inlineStr">
        <is>
          <t>KROKOM</t>
        </is>
      </c>
      <c r="G900" t="n">
        <v>4.6</v>
      </c>
      <c r="H900" t="n">
        <v>0</v>
      </c>
      <c r="I900" t="n">
        <v>0</v>
      </c>
      <c r="J900" t="n">
        <v>0</v>
      </c>
      <c r="K900" t="n">
        <v>0</v>
      </c>
      <c r="L900" t="n">
        <v>0</v>
      </c>
      <c r="M900" t="n">
        <v>0</v>
      </c>
      <c r="N900" t="n">
        <v>0</v>
      </c>
      <c r="O900" t="n">
        <v>0</v>
      </c>
      <c r="P900" t="n">
        <v>0</v>
      </c>
      <c r="Q900" t="n">
        <v>0</v>
      </c>
      <c r="R900" s="2" t="inlineStr"/>
    </row>
    <row r="901" ht="15" customHeight="1">
      <c r="A901" t="inlineStr">
        <is>
          <t>A 27440-2024</t>
        </is>
      </c>
      <c r="B901" s="1" t="n">
        <v>45474</v>
      </c>
      <c r="C901" s="1" t="n">
        <v>45917</v>
      </c>
      <c r="D901" t="inlineStr">
        <is>
          <t>JÄMTLANDS LÄN</t>
        </is>
      </c>
      <c r="E901" t="inlineStr">
        <is>
          <t>KROKOM</t>
        </is>
      </c>
      <c r="G901" t="n">
        <v>2.9</v>
      </c>
      <c r="H901" t="n">
        <v>0</v>
      </c>
      <c r="I901" t="n">
        <v>0</v>
      </c>
      <c r="J901" t="n">
        <v>0</v>
      </c>
      <c r="K901" t="n">
        <v>0</v>
      </c>
      <c r="L901" t="n">
        <v>0</v>
      </c>
      <c r="M901" t="n">
        <v>0</v>
      </c>
      <c r="N901" t="n">
        <v>0</v>
      </c>
      <c r="O901" t="n">
        <v>0</v>
      </c>
      <c r="P901" t="n">
        <v>0</v>
      </c>
      <c r="Q901" t="n">
        <v>0</v>
      </c>
      <c r="R901" s="2" t="inlineStr"/>
    </row>
    <row r="902" ht="15" customHeight="1">
      <c r="A902" t="inlineStr">
        <is>
          <t>A 64764-2023</t>
        </is>
      </c>
      <c r="B902" s="1" t="n">
        <v>45282</v>
      </c>
      <c r="C902" s="1" t="n">
        <v>45917</v>
      </c>
      <c r="D902" t="inlineStr">
        <is>
          <t>JÄMTLANDS LÄN</t>
        </is>
      </c>
      <c r="E902" t="inlineStr">
        <is>
          <t>KROKOM</t>
        </is>
      </c>
      <c r="G902" t="n">
        <v>1.6</v>
      </c>
      <c r="H902" t="n">
        <v>0</v>
      </c>
      <c r="I902" t="n">
        <v>0</v>
      </c>
      <c r="J902" t="n">
        <v>0</v>
      </c>
      <c r="K902" t="n">
        <v>0</v>
      </c>
      <c r="L902" t="n">
        <v>0</v>
      </c>
      <c r="M902" t="n">
        <v>0</v>
      </c>
      <c r="N902" t="n">
        <v>0</v>
      </c>
      <c r="O902" t="n">
        <v>0</v>
      </c>
      <c r="P902" t="n">
        <v>0</v>
      </c>
      <c r="Q902" t="n">
        <v>0</v>
      </c>
      <c r="R902" s="2" t="inlineStr"/>
    </row>
    <row r="903" ht="15" customHeight="1">
      <c r="A903" t="inlineStr">
        <is>
          <t>A 17950-2025</t>
        </is>
      </c>
      <c r="B903" s="1" t="n">
        <v>45760.81083333334</v>
      </c>
      <c r="C903" s="1" t="n">
        <v>45917</v>
      </c>
      <c r="D903" t="inlineStr">
        <is>
          <t>JÄMTLANDS LÄN</t>
        </is>
      </c>
      <c r="E903" t="inlineStr">
        <is>
          <t>KROKOM</t>
        </is>
      </c>
      <c r="G903" t="n">
        <v>0.5</v>
      </c>
      <c r="H903" t="n">
        <v>0</v>
      </c>
      <c r="I903" t="n">
        <v>0</v>
      </c>
      <c r="J903" t="n">
        <v>0</v>
      </c>
      <c r="K903" t="n">
        <v>0</v>
      </c>
      <c r="L903" t="n">
        <v>0</v>
      </c>
      <c r="M903" t="n">
        <v>0</v>
      </c>
      <c r="N903" t="n">
        <v>0</v>
      </c>
      <c r="O903" t="n">
        <v>0</v>
      </c>
      <c r="P903" t="n">
        <v>0</v>
      </c>
      <c r="Q903" t="n">
        <v>0</v>
      </c>
      <c r="R903" s="2" t="inlineStr"/>
    </row>
    <row r="904" ht="15" customHeight="1">
      <c r="A904" t="inlineStr">
        <is>
          <t>A 50391-2024</t>
        </is>
      </c>
      <c r="B904" s="1" t="n">
        <v>45601.33743055556</v>
      </c>
      <c r="C904" s="1" t="n">
        <v>45917</v>
      </c>
      <c r="D904" t="inlineStr">
        <is>
          <t>JÄMTLANDS LÄN</t>
        </is>
      </c>
      <c r="E904" t="inlineStr">
        <is>
          <t>KROKOM</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28595-2024</t>
        </is>
      </c>
      <c r="B905" s="1" t="n">
        <v>45478.42063657408</v>
      </c>
      <c r="C905" s="1" t="n">
        <v>45917</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56927-2023</t>
        </is>
      </c>
      <c r="B906" s="1" t="n">
        <v>45244</v>
      </c>
      <c r="C906" s="1" t="n">
        <v>45917</v>
      </c>
      <c r="D906" t="inlineStr">
        <is>
          <t>JÄMTLANDS LÄN</t>
        </is>
      </c>
      <c r="E906" t="inlineStr">
        <is>
          <t>KROKOM</t>
        </is>
      </c>
      <c r="G906" t="n">
        <v>14.1</v>
      </c>
      <c r="H906" t="n">
        <v>0</v>
      </c>
      <c r="I906" t="n">
        <v>0</v>
      </c>
      <c r="J906" t="n">
        <v>0</v>
      </c>
      <c r="K906" t="n">
        <v>0</v>
      </c>
      <c r="L906" t="n">
        <v>0</v>
      </c>
      <c r="M906" t="n">
        <v>0</v>
      </c>
      <c r="N906" t="n">
        <v>0</v>
      </c>
      <c r="O906" t="n">
        <v>0</v>
      </c>
      <c r="P906" t="n">
        <v>0</v>
      </c>
      <c r="Q906" t="n">
        <v>0</v>
      </c>
      <c r="R906" s="2" t="inlineStr"/>
    </row>
    <row r="907" ht="15" customHeight="1">
      <c r="A907" t="inlineStr">
        <is>
          <t>A 4355-2024</t>
        </is>
      </c>
      <c r="B907" s="1" t="n">
        <v>45324</v>
      </c>
      <c r="C907" s="1" t="n">
        <v>45917</v>
      </c>
      <c r="D907" t="inlineStr">
        <is>
          <t>JÄMTLANDS LÄN</t>
        </is>
      </c>
      <c r="E907" t="inlineStr">
        <is>
          <t>KROKOM</t>
        </is>
      </c>
      <c r="G907" t="n">
        <v>0.6</v>
      </c>
      <c r="H907" t="n">
        <v>0</v>
      </c>
      <c r="I907" t="n">
        <v>0</v>
      </c>
      <c r="J907" t="n">
        <v>0</v>
      </c>
      <c r="K907" t="n">
        <v>0</v>
      </c>
      <c r="L907" t="n">
        <v>0</v>
      </c>
      <c r="M907" t="n">
        <v>0</v>
      </c>
      <c r="N907" t="n">
        <v>0</v>
      </c>
      <c r="O907" t="n">
        <v>0</v>
      </c>
      <c r="P907" t="n">
        <v>0</v>
      </c>
      <c r="Q907" t="n">
        <v>0</v>
      </c>
      <c r="R907" s="2" t="inlineStr"/>
    </row>
    <row r="908" ht="15" customHeight="1">
      <c r="A908" t="inlineStr">
        <is>
          <t>A 65508-2021</t>
        </is>
      </c>
      <c r="B908" s="1" t="n">
        <v>44516</v>
      </c>
      <c r="C908" s="1" t="n">
        <v>45917</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18980-2025</t>
        </is>
      </c>
      <c r="B909" s="1" t="n">
        <v>45764.55260416667</v>
      </c>
      <c r="C909" s="1" t="n">
        <v>45917</v>
      </c>
      <c r="D909" t="inlineStr">
        <is>
          <t>JÄMTLANDS LÄN</t>
        </is>
      </c>
      <c r="E909" t="inlineStr">
        <is>
          <t>KROKOM</t>
        </is>
      </c>
      <c r="G909" t="n">
        <v>3.2</v>
      </c>
      <c r="H909" t="n">
        <v>0</v>
      </c>
      <c r="I909" t="n">
        <v>0</v>
      </c>
      <c r="J909" t="n">
        <v>0</v>
      </c>
      <c r="K909" t="n">
        <v>0</v>
      </c>
      <c r="L909" t="n">
        <v>0</v>
      </c>
      <c r="M909" t="n">
        <v>0</v>
      </c>
      <c r="N909" t="n">
        <v>0</v>
      </c>
      <c r="O909" t="n">
        <v>0</v>
      </c>
      <c r="P909" t="n">
        <v>0</v>
      </c>
      <c r="Q909" t="n">
        <v>0</v>
      </c>
      <c r="R909" s="2" t="inlineStr"/>
    </row>
    <row r="910" ht="15" customHeight="1">
      <c r="A910" t="inlineStr">
        <is>
          <t>A 36439-2023</t>
        </is>
      </c>
      <c r="B910" s="1" t="n">
        <v>45152</v>
      </c>
      <c r="C910" s="1" t="n">
        <v>45917</v>
      </c>
      <c r="D910" t="inlineStr">
        <is>
          <t>JÄMTLANDS LÄN</t>
        </is>
      </c>
      <c r="E910" t="inlineStr">
        <is>
          <t>KROKOM</t>
        </is>
      </c>
      <c r="F910" t="inlineStr">
        <is>
          <t>Övriga Aktiebolag</t>
        </is>
      </c>
      <c r="G910" t="n">
        <v>7.4</v>
      </c>
      <c r="H910" t="n">
        <v>0</v>
      </c>
      <c r="I910" t="n">
        <v>0</v>
      </c>
      <c r="J910" t="n">
        <v>0</v>
      </c>
      <c r="K910" t="n">
        <v>0</v>
      </c>
      <c r="L910" t="n">
        <v>0</v>
      </c>
      <c r="M910" t="n">
        <v>0</v>
      </c>
      <c r="N910" t="n">
        <v>0</v>
      </c>
      <c r="O910" t="n">
        <v>0</v>
      </c>
      <c r="P910" t="n">
        <v>0</v>
      </c>
      <c r="Q910" t="n">
        <v>0</v>
      </c>
      <c r="R910" s="2" t="inlineStr"/>
    </row>
    <row r="911" ht="15" customHeight="1">
      <c r="A911" t="inlineStr">
        <is>
          <t>A 50782-2023</t>
        </is>
      </c>
      <c r="B911" s="1" t="n">
        <v>45217</v>
      </c>
      <c r="C911" s="1" t="n">
        <v>45917</v>
      </c>
      <c r="D911" t="inlineStr">
        <is>
          <t>JÄMTLANDS LÄN</t>
        </is>
      </c>
      <c r="E911" t="inlineStr">
        <is>
          <t>KROKOM</t>
        </is>
      </c>
      <c r="G911" t="n">
        <v>3.5</v>
      </c>
      <c r="H911" t="n">
        <v>0</v>
      </c>
      <c r="I911" t="n">
        <v>0</v>
      </c>
      <c r="J911" t="n">
        <v>0</v>
      </c>
      <c r="K911" t="n">
        <v>0</v>
      </c>
      <c r="L911" t="n">
        <v>0</v>
      </c>
      <c r="M911" t="n">
        <v>0</v>
      </c>
      <c r="N911" t="n">
        <v>0</v>
      </c>
      <c r="O911" t="n">
        <v>0</v>
      </c>
      <c r="P911" t="n">
        <v>0</v>
      </c>
      <c r="Q911" t="n">
        <v>0</v>
      </c>
      <c r="R911" s="2" t="inlineStr"/>
    </row>
    <row r="912" ht="15" customHeight="1">
      <c r="A912" t="inlineStr">
        <is>
          <t>A 39126-2023</t>
        </is>
      </c>
      <c r="B912" s="1" t="n">
        <v>45165.69965277778</v>
      </c>
      <c r="C912" s="1" t="n">
        <v>45917</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47635-2023</t>
        </is>
      </c>
      <c r="B913" s="1" t="n">
        <v>45203</v>
      </c>
      <c r="C913" s="1" t="n">
        <v>45917</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785-2024</t>
        </is>
      </c>
      <c r="B914" s="1" t="n">
        <v>45300</v>
      </c>
      <c r="C914" s="1" t="n">
        <v>45917</v>
      </c>
      <c r="D914" t="inlineStr">
        <is>
          <t>JÄMTLANDS LÄN</t>
        </is>
      </c>
      <c r="E914" t="inlineStr">
        <is>
          <t>KROKOM</t>
        </is>
      </c>
      <c r="G914" t="n">
        <v>1.3</v>
      </c>
      <c r="H914" t="n">
        <v>0</v>
      </c>
      <c r="I914" t="n">
        <v>0</v>
      </c>
      <c r="J914" t="n">
        <v>0</v>
      </c>
      <c r="K914" t="n">
        <v>0</v>
      </c>
      <c r="L914" t="n">
        <v>0</v>
      </c>
      <c r="M914" t="n">
        <v>0</v>
      </c>
      <c r="N914" t="n">
        <v>0</v>
      </c>
      <c r="O914" t="n">
        <v>0</v>
      </c>
      <c r="P914" t="n">
        <v>0</v>
      </c>
      <c r="Q914" t="n">
        <v>0</v>
      </c>
      <c r="R914" s="2" t="inlineStr"/>
    </row>
    <row r="915" ht="15" customHeight="1">
      <c r="A915" t="inlineStr">
        <is>
          <t>A 4354-2025</t>
        </is>
      </c>
      <c r="B915" s="1" t="n">
        <v>45686.32671296296</v>
      </c>
      <c r="C915" s="1" t="n">
        <v>45917</v>
      </c>
      <c r="D915" t="inlineStr">
        <is>
          <t>JÄMTLANDS LÄN</t>
        </is>
      </c>
      <c r="E915" t="inlineStr">
        <is>
          <t>KROKOM</t>
        </is>
      </c>
      <c r="F915" t="inlineStr">
        <is>
          <t>SCA</t>
        </is>
      </c>
      <c r="G915" t="n">
        <v>12.8</v>
      </c>
      <c r="H915" t="n">
        <v>0</v>
      </c>
      <c r="I915" t="n">
        <v>0</v>
      </c>
      <c r="J915" t="n">
        <v>0</v>
      </c>
      <c r="K915" t="n">
        <v>0</v>
      </c>
      <c r="L915" t="n">
        <v>0</v>
      </c>
      <c r="M915" t="n">
        <v>0</v>
      </c>
      <c r="N915" t="n">
        <v>0</v>
      </c>
      <c r="O915" t="n">
        <v>0</v>
      </c>
      <c r="P915" t="n">
        <v>0</v>
      </c>
      <c r="Q915" t="n">
        <v>0</v>
      </c>
      <c r="R915" s="2" t="inlineStr"/>
    </row>
    <row r="916" ht="15" customHeight="1">
      <c r="A916" t="inlineStr">
        <is>
          <t>A 62739-2021</t>
        </is>
      </c>
      <c r="B916" s="1" t="n">
        <v>44504</v>
      </c>
      <c r="C916" s="1" t="n">
        <v>45917</v>
      </c>
      <c r="D916" t="inlineStr">
        <is>
          <t>JÄMTLANDS LÄN</t>
        </is>
      </c>
      <c r="E916" t="inlineStr">
        <is>
          <t>KROKOM</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7072-2025</t>
        </is>
      </c>
      <c r="B917" s="1" t="n">
        <v>45701</v>
      </c>
      <c r="C917" s="1" t="n">
        <v>45917</v>
      </c>
      <c r="D917" t="inlineStr">
        <is>
          <t>JÄMTLANDS LÄN</t>
        </is>
      </c>
      <c r="E917" t="inlineStr">
        <is>
          <t>KROKOM</t>
        </is>
      </c>
      <c r="G917" t="n">
        <v>7.2</v>
      </c>
      <c r="H917" t="n">
        <v>0</v>
      </c>
      <c r="I917" t="n">
        <v>0</v>
      </c>
      <c r="J917" t="n">
        <v>0</v>
      </c>
      <c r="K917" t="n">
        <v>0</v>
      </c>
      <c r="L917" t="n">
        <v>0</v>
      </c>
      <c r="M917" t="n">
        <v>0</v>
      </c>
      <c r="N917" t="n">
        <v>0</v>
      </c>
      <c r="O917" t="n">
        <v>0</v>
      </c>
      <c r="P917" t="n">
        <v>0</v>
      </c>
      <c r="Q917" t="n">
        <v>0</v>
      </c>
      <c r="R917" s="2" t="inlineStr"/>
    </row>
    <row r="918" ht="15" customHeight="1">
      <c r="A918" t="inlineStr">
        <is>
          <t>A 2609-2023</t>
        </is>
      </c>
      <c r="B918" s="1" t="n">
        <v>44939</v>
      </c>
      <c r="C918" s="1" t="n">
        <v>45917</v>
      </c>
      <c r="D918" t="inlineStr">
        <is>
          <t>JÄMTLANDS LÄN</t>
        </is>
      </c>
      <c r="E918" t="inlineStr">
        <is>
          <t>KROKOM</t>
        </is>
      </c>
      <c r="G918" t="n">
        <v>16.9</v>
      </c>
      <c r="H918" t="n">
        <v>0</v>
      </c>
      <c r="I918" t="n">
        <v>0</v>
      </c>
      <c r="J918" t="n">
        <v>0</v>
      </c>
      <c r="K918" t="n">
        <v>0</v>
      </c>
      <c r="L918" t="n">
        <v>0</v>
      </c>
      <c r="M918" t="n">
        <v>0</v>
      </c>
      <c r="N918" t="n">
        <v>0</v>
      </c>
      <c r="O918" t="n">
        <v>0</v>
      </c>
      <c r="P918" t="n">
        <v>0</v>
      </c>
      <c r="Q918" t="n">
        <v>0</v>
      </c>
      <c r="R918" s="2" t="inlineStr"/>
    </row>
    <row r="919" ht="15" customHeight="1">
      <c r="A919" t="inlineStr">
        <is>
          <t>A 39263-2024</t>
        </is>
      </c>
      <c r="B919" s="1" t="n">
        <v>45551.34414351852</v>
      </c>
      <c r="C919" s="1" t="n">
        <v>45917</v>
      </c>
      <c r="D919" t="inlineStr">
        <is>
          <t>JÄMTLANDS LÄN</t>
        </is>
      </c>
      <c r="E919" t="inlineStr">
        <is>
          <t>KROKOM</t>
        </is>
      </c>
      <c r="G919" t="n">
        <v>2.5</v>
      </c>
      <c r="H919" t="n">
        <v>0</v>
      </c>
      <c r="I919" t="n">
        <v>0</v>
      </c>
      <c r="J919" t="n">
        <v>0</v>
      </c>
      <c r="K919" t="n">
        <v>0</v>
      </c>
      <c r="L919" t="n">
        <v>0</v>
      </c>
      <c r="M919" t="n">
        <v>0</v>
      </c>
      <c r="N919" t="n">
        <v>0</v>
      </c>
      <c r="O919" t="n">
        <v>0</v>
      </c>
      <c r="P919" t="n">
        <v>0</v>
      </c>
      <c r="Q919" t="n">
        <v>0</v>
      </c>
      <c r="R919" s="2" t="inlineStr"/>
    </row>
    <row r="920" ht="15" customHeight="1">
      <c r="A920" t="inlineStr">
        <is>
          <t>A 9623-2025</t>
        </is>
      </c>
      <c r="B920" s="1" t="n">
        <v>45715</v>
      </c>
      <c r="C920" s="1" t="n">
        <v>45917</v>
      </c>
      <c r="D920" t="inlineStr">
        <is>
          <t>JÄMTLANDS LÄN</t>
        </is>
      </c>
      <c r="E920" t="inlineStr">
        <is>
          <t>KROKOM</t>
        </is>
      </c>
      <c r="F920" t="inlineStr">
        <is>
          <t>Kyrkan</t>
        </is>
      </c>
      <c r="G920" t="n">
        <v>2.8</v>
      </c>
      <c r="H920" t="n">
        <v>0</v>
      </c>
      <c r="I920" t="n">
        <v>0</v>
      </c>
      <c r="J920" t="n">
        <v>0</v>
      </c>
      <c r="K920" t="n">
        <v>0</v>
      </c>
      <c r="L920" t="n">
        <v>0</v>
      </c>
      <c r="M920" t="n">
        <v>0</v>
      </c>
      <c r="N920" t="n">
        <v>0</v>
      </c>
      <c r="O920" t="n">
        <v>0</v>
      </c>
      <c r="P920" t="n">
        <v>0</v>
      </c>
      <c r="Q920" t="n">
        <v>0</v>
      </c>
      <c r="R920" s="2" t="inlineStr"/>
    </row>
    <row r="921" ht="15" customHeight="1">
      <c r="A921" t="inlineStr">
        <is>
          <t>A 20798-2025</t>
        </is>
      </c>
      <c r="B921" s="1" t="n">
        <v>45776</v>
      </c>
      <c r="C921" s="1" t="n">
        <v>45917</v>
      </c>
      <c r="D921" t="inlineStr">
        <is>
          <t>JÄMTLANDS LÄN</t>
        </is>
      </c>
      <c r="E921" t="inlineStr">
        <is>
          <t>KROKOM</t>
        </is>
      </c>
      <c r="G921" t="n">
        <v>2.2</v>
      </c>
      <c r="H921" t="n">
        <v>0</v>
      </c>
      <c r="I921" t="n">
        <v>0</v>
      </c>
      <c r="J921" t="n">
        <v>0</v>
      </c>
      <c r="K921" t="n">
        <v>0</v>
      </c>
      <c r="L921" t="n">
        <v>0</v>
      </c>
      <c r="M921" t="n">
        <v>0</v>
      </c>
      <c r="N921" t="n">
        <v>0</v>
      </c>
      <c r="O921" t="n">
        <v>0</v>
      </c>
      <c r="P921" t="n">
        <v>0</v>
      </c>
      <c r="Q921" t="n">
        <v>0</v>
      </c>
      <c r="R921" s="2" t="inlineStr"/>
    </row>
    <row r="922" ht="15" customHeight="1">
      <c r="A922" t="inlineStr">
        <is>
          <t>A 5498-2025</t>
        </is>
      </c>
      <c r="B922" s="1" t="n">
        <v>45693</v>
      </c>
      <c r="C922" s="1" t="n">
        <v>45917</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21153-2025</t>
        </is>
      </c>
      <c r="B923" s="1" t="n">
        <v>45777</v>
      </c>
      <c r="C923" s="1" t="n">
        <v>45917</v>
      </c>
      <c r="D923" t="inlineStr">
        <is>
          <t>JÄMTLANDS LÄN</t>
        </is>
      </c>
      <c r="E923" t="inlineStr">
        <is>
          <t>KROKOM</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8784-2025</t>
        </is>
      </c>
      <c r="B924" s="1" t="n">
        <v>45712</v>
      </c>
      <c r="C924" s="1" t="n">
        <v>45917</v>
      </c>
      <c r="D924" t="inlineStr">
        <is>
          <t>JÄMTLANDS LÄN</t>
        </is>
      </c>
      <c r="E924" t="inlineStr">
        <is>
          <t>KROKOM</t>
        </is>
      </c>
      <c r="G924" t="n">
        <v>10.1</v>
      </c>
      <c r="H924" t="n">
        <v>0</v>
      </c>
      <c r="I924" t="n">
        <v>0</v>
      </c>
      <c r="J924" t="n">
        <v>0</v>
      </c>
      <c r="K924" t="n">
        <v>0</v>
      </c>
      <c r="L924" t="n">
        <v>0</v>
      </c>
      <c r="M924" t="n">
        <v>0</v>
      </c>
      <c r="N924" t="n">
        <v>0</v>
      </c>
      <c r="O924" t="n">
        <v>0</v>
      </c>
      <c r="P924" t="n">
        <v>0</v>
      </c>
      <c r="Q924" t="n">
        <v>0</v>
      </c>
      <c r="R924" s="2" t="inlineStr"/>
    </row>
    <row r="925" ht="15" customHeight="1">
      <c r="A925" t="inlineStr">
        <is>
          <t>A 21027-2025</t>
        </is>
      </c>
      <c r="B925" s="1" t="n">
        <v>45777</v>
      </c>
      <c r="C925" s="1" t="n">
        <v>45917</v>
      </c>
      <c r="D925" t="inlineStr">
        <is>
          <t>JÄMTLANDS LÄN</t>
        </is>
      </c>
      <c r="E925" t="inlineStr">
        <is>
          <t>KROKOM</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21029-2025</t>
        </is>
      </c>
      <c r="B926" s="1" t="n">
        <v>45777</v>
      </c>
      <c r="C926" s="1" t="n">
        <v>45917</v>
      </c>
      <c r="D926" t="inlineStr">
        <is>
          <t>JÄMTLANDS LÄN</t>
        </is>
      </c>
      <c r="E926" t="inlineStr">
        <is>
          <t>KROKOM</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52313-2024</t>
        </is>
      </c>
      <c r="B927" s="1" t="n">
        <v>45608.86341435185</v>
      </c>
      <c r="C927" s="1" t="n">
        <v>45917</v>
      </c>
      <c r="D927" t="inlineStr">
        <is>
          <t>JÄMTLANDS LÄN</t>
        </is>
      </c>
      <c r="E927" t="inlineStr">
        <is>
          <t>KROKOM</t>
        </is>
      </c>
      <c r="G927" t="n">
        <v>6.4</v>
      </c>
      <c r="H927" t="n">
        <v>0</v>
      </c>
      <c r="I927" t="n">
        <v>0</v>
      </c>
      <c r="J927" t="n">
        <v>0</v>
      </c>
      <c r="K927" t="n">
        <v>0</v>
      </c>
      <c r="L927" t="n">
        <v>0</v>
      </c>
      <c r="M927" t="n">
        <v>0</v>
      </c>
      <c r="N927" t="n">
        <v>0</v>
      </c>
      <c r="O927" t="n">
        <v>0</v>
      </c>
      <c r="P927" t="n">
        <v>0</v>
      </c>
      <c r="Q927" t="n">
        <v>0</v>
      </c>
      <c r="R927" s="2" t="inlineStr"/>
    </row>
    <row r="928" ht="15" customHeight="1">
      <c r="A928" t="inlineStr">
        <is>
          <t>A 21239-2025</t>
        </is>
      </c>
      <c r="B928" s="1" t="n">
        <v>45779.56659722222</v>
      </c>
      <c r="C928" s="1" t="n">
        <v>45917</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32692-2023</t>
        </is>
      </c>
      <c r="B929" s="1" t="n">
        <v>45112</v>
      </c>
      <c r="C929" s="1" t="n">
        <v>45917</v>
      </c>
      <c r="D929" t="inlineStr">
        <is>
          <t>JÄMTLANDS LÄN</t>
        </is>
      </c>
      <c r="E929" t="inlineStr">
        <is>
          <t>KROKOM</t>
        </is>
      </c>
      <c r="G929" t="n">
        <v>6.6</v>
      </c>
      <c r="H929" t="n">
        <v>0</v>
      </c>
      <c r="I929" t="n">
        <v>0</v>
      </c>
      <c r="J929" t="n">
        <v>0</v>
      </c>
      <c r="K929" t="n">
        <v>0</v>
      </c>
      <c r="L929" t="n">
        <v>0</v>
      </c>
      <c r="M929" t="n">
        <v>0</v>
      </c>
      <c r="N929" t="n">
        <v>0</v>
      </c>
      <c r="O929" t="n">
        <v>0</v>
      </c>
      <c r="P929" t="n">
        <v>0</v>
      </c>
      <c r="Q929" t="n">
        <v>0</v>
      </c>
      <c r="R929" s="2" t="inlineStr"/>
    </row>
    <row r="930" ht="15" customHeight="1">
      <c r="A930" t="inlineStr">
        <is>
          <t>A 17820-2024</t>
        </is>
      </c>
      <c r="B930" s="1" t="n">
        <v>45418.94616898148</v>
      </c>
      <c r="C930" s="1" t="n">
        <v>45917</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21276-2025</t>
        </is>
      </c>
      <c r="B931" s="1" t="n">
        <v>45779.63834490741</v>
      </c>
      <c r="C931" s="1" t="n">
        <v>45917</v>
      </c>
      <c r="D931" t="inlineStr">
        <is>
          <t>JÄMTLANDS LÄN</t>
        </is>
      </c>
      <c r="E931" t="inlineStr">
        <is>
          <t>KROKOM</t>
        </is>
      </c>
      <c r="G931" t="n">
        <v>4.3</v>
      </c>
      <c r="H931" t="n">
        <v>0</v>
      </c>
      <c r="I931" t="n">
        <v>0</v>
      </c>
      <c r="J931" t="n">
        <v>0</v>
      </c>
      <c r="K931" t="n">
        <v>0</v>
      </c>
      <c r="L931" t="n">
        <v>0</v>
      </c>
      <c r="M931" t="n">
        <v>0</v>
      </c>
      <c r="N931" t="n">
        <v>0</v>
      </c>
      <c r="O931" t="n">
        <v>0</v>
      </c>
      <c r="P931" t="n">
        <v>0</v>
      </c>
      <c r="Q931" t="n">
        <v>0</v>
      </c>
      <c r="R931" s="2" t="inlineStr"/>
    </row>
    <row r="932" ht="15" customHeight="1">
      <c r="A932" t="inlineStr">
        <is>
          <t>A 21254-2025</t>
        </is>
      </c>
      <c r="B932" s="1" t="n">
        <v>45779.57626157408</v>
      </c>
      <c r="C932" s="1" t="n">
        <v>45917</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21280-2025</t>
        </is>
      </c>
      <c r="B933" s="1" t="n">
        <v>45779.65980324074</v>
      </c>
      <c r="C933" s="1" t="n">
        <v>45917</v>
      </c>
      <c r="D933" t="inlineStr">
        <is>
          <t>JÄMTLANDS LÄN</t>
        </is>
      </c>
      <c r="E933" t="inlineStr">
        <is>
          <t>KROKOM</t>
        </is>
      </c>
      <c r="G933" t="n">
        <v>30.9</v>
      </c>
      <c r="H933" t="n">
        <v>0</v>
      </c>
      <c r="I933" t="n">
        <v>0</v>
      </c>
      <c r="J933" t="n">
        <v>0</v>
      </c>
      <c r="K933" t="n">
        <v>0</v>
      </c>
      <c r="L933" t="n">
        <v>0</v>
      </c>
      <c r="M933" t="n">
        <v>0</v>
      </c>
      <c r="N933" t="n">
        <v>0</v>
      </c>
      <c r="O933" t="n">
        <v>0</v>
      </c>
      <c r="P933" t="n">
        <v>0</v>
      </c>
      <c r="Q933" t="n">
        <v>0</v>
      </c>
      <c r="R933" s="2" t="inlineStr"/>
    </row>
    <row r="934" ht="15" customHeight="1">
      <c r="A934" t="inlineStr">
        <is>
          <t>A 31601-2023</t>
        </is>
      </c>
      <c r="B934" s="1" t="n">
        <v>45117</v>
      </c>
      <c r="C934" s="1" t="n">
        <v>45917</v>
      </c>
      <c r="D934" t="inlineStr">
        <is>
          <t>JÄMTLANDS LÄN</t>
        </is>
      </c>
      <c r="E934" t="inlineStr">
        <is>
          <t>KROKOM</t>
        </is>
      </c>
      <c r="G934" t="n">
        <v>1.1</v>
      </c>
      <c r="H934" t="n">
        <v>0</v>
      </c>
      <c r="I934" t="n">
        <v>0</v>
      </c>
      <c r="J934" t="n">
        <v>0</v>
      </c>
      <c r="K934" t="n">
        <v>0</v>
      </c>
      <c r="L934" t="n">
        <v>0</v>
      </c>
      <c r="M934" t="n">
        <v>0</v>
      </c>
      <c r="N934" t="n">
        <v>0</v>
      </c>
      <c r="O934" t="n">
        <v>0</v>
      </c>
      <c r="P934" t="n">
        <v>0</v>
      </c>
      <c r="Q934" t="n">
        <v>0</v>
      </c>
      <c r="R934" s="2" t="inlineStr"/>
    </row>
    <row r="935" ht="15" customHeight="1">
      <c r="A935" t="inlineStr">
        <is>
          <t>A 21172-2025</t>
        </is>
      </c>
      <c r="B935" s="1" t="n">
        <v>45779.42630787037</v>
      </c>
      <c r="C935" s="1" t="n">
        <v>45917</v>
      </c>
      <c r="D935" t="inlineStr">
        <is>
          <t>JÄMTLANDS LÄN</t>
        </is>
      </c>
      <c r="E935" t="inlineStr">
        <is>
          <t>KROKOM</t>
        </is>
      </c>
      <c r="G935" t="n">
        <v>3.7</v>
      </c>
      <c r="H935" t="n">
        <v>0</v>
      </c>
      <c r="I935" t="n">
        <v>0</v>
      </c>
      <c r="J935" t="n">
        <v>0</v>
      </c>
      <c r="K935" t="n">
        <v>0</v>
      </c>
      <c r="L935" t="n">
        <v>0</v>
      </c>
      <c r="M935" t="n">
        <v>0</v>
      </c>
      <c r="N935" t="n">
        <v>0</v>
      </c>
      <c r="O935" t="n">
        <v>0</v>
      </c>
      <c r="P935" t="n">
        <v>0</v>
      </c>
      <c r="Q935" t="n">
        <v>0</v>
      </c>
      <c r="R935" s="2" t="inlineStr"/>
    </row>
    <row r="936" ht="15" customHeight="1">
      <c r="A936" t="inlineStr">
        <is>
          <t>A 45777-2024</t>
        </is>
      </c>
      <c r="B936" s="1" t="n">
        <v>45579.66459490741</v>
      </c>
      <c r="C936" s="1" t="n">
        <v>45917</v>
      </c>
      <c r="D936" t="inlineStr">
        <is>
          <t>JÄMTLANDS LÄN</t>
        </is>
      </c>
      <c r="E936" t="inlineStr">
        <is>
          <t>KROKOM</t>
        </is>
      </c>
      <c r="G936" t="n">
        <v>5.3</v>
      </c>
      <c r="H936" t="n">
        <v>0</v>
      </c>
      <c r="I936" t="n">
        <v>0</v>
      </c>
      <c r="J936" t="n">
        <v>0</v>
      </c>
      <c r="K936" t="n">
        <v>0</v>
      </c>
      <c r="L936" t="n">
        <v>0</v>
      </c>
      <c r="M936" t="n">
        <v>0</v>
      </c>
      <c r="N936" t="n">
        <v>0</v>
      </c>
      <c r="O936" t="n">
        <v>0</v>
      </c>
      <c r="P936" t="n">
        <v>0</v>
      </c>
      <c r="Q936" t="n">
        <v>0</v>
      </c>
      <c r="R936" s="2" t="inlineStr"/>
    </row>
    <row r="937" ht="15" customHeight="1">
      <c r="A937" t="inlineStr">
        <is>
          <t>A 21240-2025</t>
        </is>
      </c>
      <c r="B937" s="1" t="n">
        <v>45779.5674074074</v>
      </c>
      <c r="C937" s="1" t="n">
        <v>45917</v>
      </c>
      <c r="D937" t="inlineStr">
        <is>
          <t>JÄMTLANDS LÄN</t>
        </is>
      </c>
      <c r="E937" t="inlineStr">
        <is>
          <t>KROKOM</t>
        </is>
      </c>
      <c r="G937" t="n">
        <v>3.3</v>
      </c>
      <c r="H937" t="n">
        <v>0</v>
      </c>
      <c r="I937" t="n">
        <v>0</v>
      </c>
      <c r="J937" t="n">
        <v>0</v>
      </c>
      <c r="K937" t="n">
        <v>0</v>
      </c>
      <c r="L937" t="n">
        <v>0</v>
      </c>
      <c r="M937" t="n">
        <v>0</v>
      </c>
      <c r="N937" t="n">
        <v>0</v>
      </c>
      <c r="O937" t="n">
        <v>0</v>
      </c>
      <c r="P937" t="n">
        <v>0</v>
      </c>
      <c r="Q937" t="n">
        <v>0</v>
      </c>
      <c r="R937" s="2" t="inlineStr"/>
    </row>
    <row r="938" ht="15" customHeight="1">
      <c r="A938" t="inlineStr">
        <is>
          <t>A 14029-2024</t>
        </is>
      </c>
      <c r="B938" s="1" t="n">
        <v>45392</v>
      </c>
      <c r="C938" s="1" t="n">
        <v>45917</v>
      </c>
      <c r="D938" t="inlineStr">
        <is>
          <t>JÄMTLANDS LÄN</t>
        </is>
      </c>
      <c r="E938" t="inlineStr">
        <is>
          <t>KROKOM</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56557-2021</t>
        </is>
      </c>
      <c r="B939" s="1" t="n">
        <v>44480</v>
      </c>
      <c r="C939" s="1" t="n">
        <v>45917</v>
      </c>
      <c r="D939" t="inlineStr">
        <is>
          <t>JÄMTLANDS LÄN</t>
        </is>
      </c>
      <c r="E939" t="inlineStr">
        <is>
          <t>KROKOM</t>
        </is>
      </c>
      <c r="G939" t="n">
        <v>2.3</v>
      </c>
      <c r="H939" t="n">
        <v>0</v>
      </c>
      <c r="I939" t="n">
        <v>0</v>
      </c>
      <c r="J939" t="n">
        <v>0</v>
      </c>
      <c r="K939" t="n">
        <v>0</v>
      </c>
      <c r="L939" t="n">
        <v>0</v>
      </c>
      <c r="M939" t="n">
        <v>0</v>
      </c>
      <c r="N939" t="n">
        <v>0</v>
      </c>
      <c r="O939" t="n">
        <v>0</v>
      </c>
      <c r="P939" t="n">
        <v>0</v>
      </c>
      <c r="Q939" t="n">
        <v>0</v>
      </c>
      <c r="R939" s="2" t="inlineStr"/>
    </row>
    <row r="940" ht="15" customHeight="1">
      <c r="A940" t="inlineStr">
        <is>
          <t>A 6068-2025</t>
        </is>
      </c>
      <c r="B940" s="1" t="n">
        <v>45696</v>
      </c>
      <c r="C940" s="1" t="n">
        <v>45917</v>
      </c>
      <c r="D940" t="inlineStr">
        <is>
          <t>JÄMTLANDS LÄN</t>
        </is>
      </c>
      <c r="E940" t="inlineStr">
        <is>
          <t>KROKOM</t>
        </is>
      </c>
      <c r="F940" t="inlineStr">
        <is>
          <t>Övriga Aktiebolag</t>
        </is>
      </c>
      <c r="G940" t="n">
        <v>17.2</v>
      </c>
      <c r="H940" t="n">
        <v>0</v>
      </c>
      <c r="I940" t="n">
        <v>0</v>
      </c>
      <c r="J940" t="n">
        <v>0</v>
      </c>
      <c r="K940" t="n">
        <v>0</v>
      </c>
      <c r="L940" t="n">
        <v>0</v>
      </c>
      <c r="M940" t="n">
        <v>0</v>
      </c>
      <c r="N940" t="n">
        <v>0</v>
      </c>
      <c r="O940" t="n">
        <v>0</v>
      </c>
      <c r="P940" t="n">
        <v>0</v>
      </c>
      <c r="Q940" t="n">
        <v>0</v>
      </c>
      <c r="R940" s="2" t="inlineStr"/>
    </row>
    <row r="941" ht="15" customHeight="1">
      <c r="A941" t="inlineStr">
        <is>
          <t>A 48971-2024</t>
        </is>
      </c>
      <c r="B941" s="1" t="n">
        <v>45594.463125</v>
      </c>
      <c r="C941" s="1" t="n">
        <v>45917</v>
      </c>
      <c r="D941" t="inlineStr">
        <is>
          <t>JÄMTLANDS LÄN</t>
        </is>
      </c>
      <c r="E941" t="inlineStr">
        <is>
          <t>KROKOM</t>
        </is>
      </c>
      <c r="G941" t="n">
        <v>11.8</v>
      </c>
      <c r="H941" t="n">
        <v>0</v>
      </c>
      <c r="I941" t="n">
        <v>0</v>
      </c>
      <c r="J941" t="n">
        <v>0</v>
      </c>
      <c r="K941" t="n">
        <v>0</v>
      </c>
      <c r="L941" t="n">
        <v>0</v>
      </c>
      <c r="M941" t="n">
        <v>0</v>
      </c>
      <c r="N941" t="n">
        <v>0</v>
      </c>
      <c r="O941" t="n">
        <v>0</v>
      </c>
      <c r="P941" t="n">
        <v>0</v>
      </c>
      <c r="Q941" t="n">
        <v>0</v>
      </c>
      <c r="R941" s="2" t="inlineStr"/>
    </row>
    <row r="942" ht="15" customHeight="1">
      <c r="A942" t="inlineStr">
        <is>
          <t>A 33653-2023</t>
        </is>
      </c>
      <c r="B942" s="1" t="n">
        <v>45119</v>
      </c>
      <c r="C942" s="1" t="n">
        <v>45917</v>
      </c>
      <c r="D942" t="inlineStr">
        <is>
          <t>JÄMTLANDS LÄN</t>
        </is>
      </c>
      <c r="E942" t="inlineStr">
        <is>
          <t>KROKOM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42372-2023</t>
        </is>
      </c>
      <c r="B943" s="1" t="n">
        <v>45180</v>
      </c>
      <c r="C943" s="1" t="n">
        <v>45917</v>
      </c>
      <c r="D943" t="inlineStr">
        <is>
          <t>JÄMTLANDS LÄN</t>
        </is>
      </c>
      <c r="E943" t="inlineStr">
        <is>
          <t>KROKOM</t>
        </is>
      </c>
      <c r="F943" t="inlineStr">
        <is>
          <t>Övriga Aktiebolag</t>
        </is>
      </c>
      <c r="G943" t="n">
        <v>0.2</v>
      </c>
      <c r="H943" t="n">
        <v>0</v>
      </c>
      <c r="I943" t="n">
        <v>0</v>
      </c>
      <c r="J943" t="n">
        <v>0</v>
      </c>
      <c r="K943" t="n">
        <v>0</v>
      </c>
      <c r="L943" t="n">
        <v>0</v>
      </c>
      <c r="M943" t="n">
        <v>0</v>
      </c>
      <c r="N943" t="n">
        <v>0</v>
      </c>
      <c r="O943" t="n">
        <v>0</v>
      </c>
      <c r="P943" t="n">
        <v>0</v>
      </c>
      <c r="Q943" t="n">
        <v>0</v>
      </c>
      <c r="R943" s="2" t="inlineStr"/>
    </row>
    <row r="944" ht="15" customHeight="1">
      <c r="A944" t="inlineStr">
        <is>
          <t>A 7724-2025</t>
        </is>
      </c>
      <c r="B944" s="1" t="n">
        <v>45706</v>
      </c>
      <c r="C944" s="1" t="n">
        <v>45917</v>
      </c>
      <c r="D944" t="inlineStr">
        <is>
          <t>JÄMTLANDS LÄN</t>
        </is>
      </c>
      <c r="E944" t="inlineStr">
        <is>
          <t>KROKOM</t>
        </is>
      </c>
      <c r="G944" t="n">
        <v>1.8</v>
      </c>
      <c r="H944" t="n">
        <v>0</v>
      </c>
      <c r="I944" t="n">
        <v>0</v>
      </c>
      <c r="J944" t="n">
        <v>0</v>
      </c>
      <c r="K944" t="n">
        <v>0</v>
      </c>
      <c r="L944" t="n">
        <v>0</v>
      </c>
      <c r="M944" t="n">
        <v>0</v>
      </c>
      <c r="N944" t="n">
        <v>0</v>
      </c>
      <c r="O944" t="n">
        <v>0</v>
      </c>
      <c r="P944" t="n">
        <v>0</v>
      </c>
      <c r="Q944" t="n">
        <v>0</v>
      </c>
      <c r="R944" s="2" t="inlineStr"/>
    </row>
    <row r="945" ht="15" customHeight="1">
      <c r="A945" t="inlineStr">
        <is>
          <t>A 21654-2025</t>
        </is>
      </c>
      <c r="B945" s="1" t="n">
        <v>45783.45121527778</v>
      </c>
      <c r="C945" s="1" t="n">
        <v>45917</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21643-2025</t>
        </is>
      </c>
      <c r="B946" s="1" t="n">
        <v>45783.43409722222</v>
      </c>
      <c r="C946" s="1" t="n">
        <v>45917</v>
      </c>
      <c r="D946" t="inlineStr">
        <is>
          <t>JÄMTLANDS LÄN</t>
        </is>
      </c>
      <c r="E946" t="inlineStr">
        <is>
          <t>KROKOM</t>
        </is>
      </c>
      <c r="G946" t="n">
        <v>4.6</v>
      </c>
      <c r="H946" t="n">
        <v>0</v>
      </c>
      <c r="I946" t="n">
        <v>0</v>
      </c>
      <c r="J946" t="n">
        <v>0</v>
      </c>
      <c r="K946" t="n">
        <v>0</v>
      </c>
      <c r="L946" t="n">
        <v>0</v>
      </c>
      <c r="M946" t="n">
        <v>0</v>
      </c>
      <c r="N946" t="n">
        <v>0</v>
      </c>
      <c r="O946" t="n">
        <v>0</v>
      </c>
      <c r="P946" t="n">
        <v>0</v>
      </c>
      <c r="Q946" t="n">
        <v>0</v>
      </c>
      <c r="R946" s="2" t="inlineStr"/>
    </row>
    <row r="947" ht="15" customHeight="1">
      <c r="A947" t="inlineStr">
        <is>
          <t>A 8872-2025</t>
        </is>
      </c>
      <c r="B947" s="1" t="n">
        <v>45713.37111111111</v>
      </c>
      <c r="C947" s="1" t="n">
        <v>45917</v>
      </c>
      <c r="D947" t="inlineStr">
        <is>
          <t>JÄMTLANDS LÄN</t>
        </is>
      </c>
      <c r="E947" t="inlineStr">
        <is>
          <t>KROKOM</t>
        </is>
      </c>
      <c r="F947" t="inlineStr">
        <is>
          <t>Övriga Aktiebolag</t>
        </is>
      </c>
      <c r="G947" t="n">
        <v>4</v>
      </c>
      <c r="H947" t="n">
        <v>0</v>
      </c>
      <c r="I947" t="n">
        <v>0</v>
      </c>
      <c r="J947" t="n">
        <v>0</v>
      </c>
      <c r="K947" t="n">
        <v>0</v>
      </c>
      <c r="L947" t="n">
        <v>0</v>
      </c>
      <c r="M947" t="n">
        <v>0</v>
      </c>
      <c r="N947" t="n">
        <v>0</v>
      </c>
      <c r="O947" t="n">
        <v>0</v>
      </c>
      <c r="P947" t="n">
        <v>0</v>
      </c>
      <c r="Q947" t="n">
        <v>0</v>
      </c>
      <c r="R947" s="2" t="inlineStr"/>
    </row>
    <row r="948" ht="15" customHeight="1">
      <c r="A948" t="inlineStr">
        <is>
          <t>A 4707-2025</t>
        </is>
      </c>
      <c r="B948" s="1" t="n">
        <v>45688.38393518519</v>
      </c>
      <c r="C948" s="1" t="n">
        <v>45917</v>
      </c>
      <c r="D948" t="inlineStr">
        <is>
          <t>JÄMTLANDS LÄN</t>
        </is>
      </c>
      <c r="E948" t="inlineStr">
        <is>
          <t>KROKOM</t>
        </is>
      </c>
      <c r="G948" t="n">
        <v>8.9</v>
      </c>
      <c r="H948" t="n">
        <v>0</v>
      </c>
      <c r="I948" t="n">
        <v>0</v>
      </c>
      <c r="J948" t="n">
        <v>0</v>
      </c>
      <c r="K948" t="n">
        <v>0</v>
      </c>
      <c r="L948" t="n">
        <v>0</v>
      </c>
      <c r="M948" t="n">
        <v>0</v>
      </c>
      <c r="N948" t="n">
        <v>0</v>
      </c>
      <c r="O948" t="n">
        <v>0</v>
      </c>
      <c r="P948" t="n">
        <v>0</v>
      </c>
      <c r="Q948" t="n">
        <v>0</v>
      </c>
      <c r="R948" s="2" t="inlineStr"/>
    </row>
    <row r="949" ht="15" customHeight="1">
      <c r="A949" t="inlineStr">
        <is>
          <t>A 1119-2025</t>
        </is>
      </c>
      <c r="B949" s="1" t="n">
        <v>45666.65987268519</v>
      </c>
      <c r="C949" s="1" t="n">
        <v>45917</v>
      </c>
      <c r="D949" t="inlineStr">
        <is>
          <t>JÄMTLANDS LÄN</t>
        </is>
      </c>
      <c r="E949" t="inlineStr">
        <is>
          <t>KROKOM</t>
        </is>
      </c>
      <c r="G949" t="n">
        <v>1.6</v>
      </c>
      <c r="H949" t="n">
        <v>0</v>
      </c>
      <c r="I949" t="n">
        <v>0</v>
      </c>
      <c r="J949" t="n">
        <v>0</v>
      </c>
      <c r="K949" t="n">
        <v>0</v>
      </c>
      <c r="L949" t="n">
        <v>0</v>
      </c>
      <c r="M949" t="n">
        <v>0</v>
      </c>
      <c r="N949" t="n">
        <v>0</v>
      </c>
      <c r="O949" t="n">
        <v>0</v>
      </c>
      <c r="P949" t="n">
        <v>0</v>
      </c>
      <c r="Q949" t="n">
        <v>0</v>
      </c>
      <c r="R949" s="2" t="inlineStr"/>
    </row>
    <row r="950" ht="15" customHeight="1">
      <c r="A950" t="inlineStr">
        <is>
          <t>A 14240-2025</t>
        </is>
      </c>
      <c r="B950" s="1" t="n">
        <v>45740</v>
      </c>
      <c r="C950" s="1" t="n">
        <v>45917</v>
      </c>
      <c r="D950" t="inlineStr">
        <is>
          <t>JÄMTLANDS LÄN</t>
        </is>
      </c>
      <c r="E950" t="inlineStr">
        <is>
          <t>KROKOM</t>
        </is>
      </c>
      <c r="G950" t="n">
        <v>30.3</v>
      </c>
      <c r="H950" t="n">
        <v>0</v>
      </c>
      <c r="I950" t="n">
        <v>0</v>
      </c>
      <c r="J950" t="n">
        <v>0</v>
      </c>
      <c r="K950" t="n">
        <v>0</v>
      </c>
      <c r="L950" t="n">
        <v>0</v>
      </c>
      <c r="M950" t="n">
        <v>0</v>
      </c>
      <c r="N950" t="n">
        <v>0</v>
      </c>
      <c r="O950" t="n">
        <v>0</v>
      </c>
      <c r="P950" t="n">
        <v>0</v>
      </c>
      <c r="Q950" t="n">
        <v>0</v>
      </c>
      <c r="R950" s="2" t="inlineStr"/>
    </row>
    <row r="951" ht="15" customHeight="1">
      <c r="A951" t="inlineStr">
        <is>
          <t>A 22297-2025</t>
        </is>
      </c>
      <c r="B951" s="1" t="n">
        <v>45786.35219907408</v>
      </c>
      <c r="C951" s="1" t="n">
        <v>45917</v>
      </c>
      <c r="D951" t="inlineStr">
        <is>
          <t>JÄMTLANDS LÄN</t>
        </is>
      </c>
      <c r="E951" t="inlineStr">
        <is>
          <t>KROKOM</t>
        </is>
      </c>
      <c r="G951" t="n">
        <v>0.7</v>
      </c>
      <c r="H951" t="n">
        <v>0</v>
      </c>
      <c r="I951" t="n">
        <v>0</v>
      </c>
      <c r="J951" t="n">
        <v>0</v>
      </c>
      <c r="K951" t="n">
        <v>0</v>
      </c>
      <c r="L951" t="n">
        <v>0</v>
      </c>
      <c r="M951" t="n">
        <v>0</v>
      </c>
      <c r="N951" t="n">
        <v>0</v>
      </c>
      <c r="O951" t="n">
        <v>0</v>
      </c>
      <c r="P951" t="n">
        <v>0</v>
      </c>
      <c r="Q951" t="n">
        <v>0</v>
      </c>
      <c r="R951" s="2" t="inlineStr"/>
    </row>
    <row r="952" ht="15" customHeight="1">
      <c r="A952" t="inlineStr">
        <is>
          <t>A 29986-2023</t>
        </is>
      </c>
      <c r="B952" s="1" t="n">
        <v>45109.44534722222</v>
      </c>
      <c r="C952" s="1" t="n">
        <v>45917</v>
      </c>
      <c r="D952" t="inlineStr">
        <is>
          <t>JÄMTLANDS LÄN</t>
        </is>
      </c>
      <c r="E952" t="inlineStr">
        <is>
          <t>KROKOM</t>
        </is>
      </c>
      <c r="F952" t="inlineStr">
        <is>
          <t>Övriga Aktiebolag</t>
        </is>
      </c>
      <c r="G952" t="n">
        <v>0.5</v>
      </c>
      <c r="H952" t="n">
        <v>0</v>
      </c>
      <c r="I952" t="n">
        <v>0</v>
      </c>
      <c r="J952" t="n">
        <v>0</v>
      </c>
      <c r="K952" t="n">
        <v>0</v>
      </c>
      <c r="L952" t="n">
        <v>0</v>
      </c>
      <c r="M952" t="n">
        <v>0</v>
      </c>
      <c r="N952" t="n">
        <v>0</v>
      </c>
      <c r="O952" t="n">
        <v>0</v>
      </c>
      <c r="P952" t="n">
        <v>0</v>
      </c>
      <c r="Q952" t="n">
        <v>0</v>
      </c>
      <c r="R952" s="2" t="inlineStr"/>
    </row>
    <row r="953" ht="15" customHeight="1">
      <c r="A953" t="inlineStr">
        <is>
          <t>A 22681-2025</t>
        </is>
      </c>
      <c r="B953" s="1" t="n">
        <v>45786</v>
      </c>
      <c r="C953" s="1" t="n">
        <v>45917</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22122-2025</t>
        </is>
      </c>
      <c r="B954" s="1" t="n">
        <v>45785.52112268518</v>
      </c>
      <c r="C954" s="1" t="n">
        <v>45917</v>
      </c>
      <c r="D954" t="inlineStr">
        <is>
          <t>JÄMTLANDS LÄN</t>
        </is>
      </c>
      <c r="E954" t="inlineStr">
        <is>
          <t>KROKOM</t>
        </is>
      </c>
      <c r="G954" t="n">
        <v>9.6</v>
      </c>
      <c r="H954" t="n">
        <v>0</v>
      </c>
      <c r="I954" t="n">
        <v>0</v>
      </c>
      <c r="J954" t="n">
        <v>0</v>
      </c>
      <c r="K954" t="n">
        <v>0</v>
      </c>
      <c r="L954" t="n">
        <v>0</v>
      </c>
      <c r="M954" t="n">
        <v>0</v>
      </c>
      <c r="N954" t="n">
        <v>0</v>
      </c>
      <c r="O954" t="n">
        <v>0</v>
      </c>
      <c r="P954" t="n">
        <v>0</v>
      </c>
      <c r="Q954" t="n">
        <v>0</v>
      </c>
      <c r="R954" s="2" t="inlineStr"/>
    </row>
    <row r="955" ht="15" customHeight="1">
      <c r="A955" t="inlineStr">
        <is>
          <t>A 22132-2025</t>
        </is>
      </c>
      <c r="B955" s="1" t="n">
        <v>45785.5403125</v>
      </c>
      <c r="C955" s="1" t="n">
        <v>45917</v>
      </c>
      <c r="D955" t="inlineStr">
        <is>
          <t>JÄMTLANDS LÄN</t>
        </is>
      </c>
      <c r="E955" t="inlineStr">
        <is>
          <t>KROKOM</t>
        </is>
      </c>
      <c r="G955" t="n">
        <v>2.6</v>
      </c>
      <c r="H955" t="n">
        <v>0</v>
      </c>
      <c r="I955" t="n">
        <v>0</v>
      </c>
      <c r="J955" t="n">
        <v>0</v>
      </c>
      <c r="K955" t="n">
        <v>0</v>
      </c>
      <c r="L955" t="n">
        <v>0</v>
      </c>
      <c r="M955" t="n">
        <v>0</v>
      </c>
      <c r="N955" t="n">
        <v>0</v>
      </c>
      <c r="O955" t="n">
        <v>0</v>
      </c>
      <c r="P955" t="n">
        <v>0</v>
      </c>
      <c r="Q955" t="n">
        <v>0</v>
      </c>
      <c r="R955" s="2" t="inlineStr"/>
    </row>
    <row r="956" ht="15" customHeight="1">
      <c r="A956" t="inlineStr">
        <is>
          <t>A 22136-2025</t>
        </is>
      </c>
      <c r="B956" s="1" t="n">
        <v>45785.54635416667</v>
      </c>
      <c r="C956" s="1" t="n">
        <v>45917</v>
      </c>
      <c r="D956" t="inlineStr">
        <is>
          <t>JÄMTLANDS LÄN</t>
        </is>
      </c>
      <c r="E956" t="inlineStr">
        <is>
          <t>KROKOM</t>
        </is>
      </c>
      <c r="G956" t="n">
        <v>2.1</v>
      </c>
      <c r="H956" t="n">
        <v>0</v>
      </c>
      <c r="I956" t="n">
        <v>0</v>
      </c>
      <c r="J956" t="n">
        <v>0</v>
      </c>
      <c r="K956" t="n">
        <v>0</v>
      </c>
      <c r="L956" t="n">
        <v>0</v>
      </c>
      <c r="M956" t="n">
        <v>0</v>
      </c>
      <c r="N956" t="n">
        <v>0</v>
      </c>
      <c r="O956" t="n">
        <v>0</v>
      </c>
      <c r="P956" t="n">
        <v>0</v>
      </c>
      <c r="Q956" t="n">
        <v>0</v>
      </c>
      <c r="R956" s="2" t="inlineStr"/>
    </row>
    <row r="957" ht="15" customHeight="1">
      <c r="A957" t="inlineStr">
        <is>
          <t>A 22304-2025</t>
        </is>
      </c>
      <c r="B957" s="1" t="n">
        <v>45786</v>
      </c>
      <c r="C957" s="1" t="n">
        <v>45917</v>
      </c>
      <c r="D957" t="inlineStr">
        <is>
          <t>JÄMTLANDS LÄN</t>
        </is>
      </c>
      <c r="E957" t="inlineStr">
        <is>
          <t>KROKOM</t>
        </is>
      </c>
      <c r="G957" t="n">
        <v>0.2</v>
      </c>
      <c r="H957" t="n">
        <v>0</v>
      </c>
      <c r="I957" t="n">
        <v>0</v>
      </c>
      <c r="J957" t="n">
        <v>0</v>
      </c>
      <c r="K957" t="n">
        <v>0</v>
      </c>
      <c r="L957" t="n">
        <v>0</v>
      </c>
      <c r="M957" t="n">
        <v>0</v>
      </c>
      <c r="N957" t="n">
        <v>0</v>
      </c>
      <c r="O957" t="n">
        <v>0</v>
      </c>
      <c r="P957" t="n">
        <v>0</v>
      </c>
      <c r="Q957" t="n">
        <v>0</v>
      </c>
      <c r="R957" s="2" t="inlineStr"/>
    </row>
    <row r="958" ht="15" customHeight="1">
      <c r="A958" t="inlineStr">
        <is>
          <t>A 22490-2025</t>
        </is>
      </c>
      <c r="B958" s="1" t="n">
        <v>45786.64972222222</v>
      </c>
      <c r="C958" s="1" t="n">
        <v>45917</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22499-2025</t>
        </is>
      </c>
      <c r="B959" s="1" t="n">
        <v>45786.65702546296</v>
      </c>
      <c r="C959" s="1" t="n">
        <v>45917</v>
      </c>
      <c r="D959" t="inlineStr">
        <is>
          <t>JÄMTLANDS LÄN</t>
        </is>
      </c>
      <c r="E959" t="inlineStr">
        <is>
          <t>KROKOM</t>
        </is>
      </c>
      <c r="G959" t="n">
        <v>6.6</v>
      </c>
      <c r="H959" t="n">
        <v>0</v>
      </c>
      <c r="I959" t="n">
        <v>0</v>
      </c>
      <c r="J959" t="n">
        <v>0</v>
      </c>
      <c r="K959" t="n">
        <v>0</v>
      </c>
      <c r="L959" t="n">
        <v>0</v>
      </c>
      <c r="M959" t="n">
        <v>0</v>
      </c>
      <c r="N959" t="n">
        <v>0</v>
      </c>
      <c r="O959" t="n">
        <v>0</v>
      </c>
      <c r="P959" t="n">
        <v>0</v>
      </c>
      <c r="Q959" t="n">
        <v>0</v>
      </c>
      <c r="R959" s="2" t="inlineStr"/>
    </row>
    <row r="960" ht="15" customHeight="1">
      <c r="A960" t="inlineStr">
        <is>
          <t>A 22254-2025</t>
        </is>
      </c>
      <c r="B960" s="1" t="n">
        <v>45785</v>
      </c>
      <c r="C960" s="1" t="n">
        <v>45917</v>
      </c>
      <c r="D960" t="inlineStr">
        <is>
          <t>JÄMTLANDS LÄN</t>
        </is>
      </c>
      <c r="E960" t="inlineStr">
        <is>
          <t>KROKOM</t>
        </is>
      </c>
      <c r="G960" t="n">
        <v>4.5</v>
      </c>
      <c r="H960" t="n">
        <v>0</v>
      </c>
      <c r="I960" t="n">
        <v>0</v>
      </c>
      <c r="J960" t="n">
        <v>0</v>
      </c>
      <c r="K960" t="n">
        <v>0</v>
      </c>
      <c r="L960" t="n">
        <v>0</v>
      </c>
      <c r="M960" t="n">
        <v>0</v>
      </c>
      <c r="N960" t="n">
        <v>0</v>
      </c>
      <c r="O960" t="n">
        <v>0</v>
      </c>
      <c r="P960" t="n">
        <v>0</v>
      </c>
      <c r="Q960" t="n">
        <v>0</v>
      </c>
      <c r="R960" s="2" t="inlineStr"/>
    </row>
    <row r="961" ht="15" customHeight="1">
      <c r="A961" t="inlineStr">
        <is>
          <t>A 22503-2025</t>
        </is>
      </c>
      <c r="B961" s="1" t="n">
        <v>45786.66140046297</v>
      </c>
      <c r="C961" s="1" t="n">
        <v>45917</v>
      </c>
      <c r="D961" t="inlineStr">
        <is>
          <t>JÄMTLANDS LÄN</t>
        </is>
      </c>
      <c r="E961" t="inlineStr">
        <is>
          <t>KROKOM</t>
        </is>
      </c>
      <c r="G961" t="n">
        <v>1.7</v>
      </c>
      <c r="H961" t="n">
        <v>0</v>
      </c>
      <c r="I961" t="n">
        <v>0</v>
      </c>
      <c r="J961" t="n">
        <v>0</v>
      </c>
      <c r="K961" t="n">
        <v>0</v>
      </c>
      <c r="L961" t="n">
        <v>0</v>
      </c>
      <c r="M961" t="n">
        <v>0</v>
      </c>
      <c r="N961" t="n">
        <v>0</v>
      </c>
      <c r="O961" t="n">
        <v>0</v>
      </c>
      <c r="P961" t="n">
        <v>0</v>
      </c>
      <c r="Q961" t="n">
        <v>0</v>
      </c>
      <c r="R961" s="2" t="inlineStr"/>
    </row>
    <row r="962" ht="15" customHeight="1">
      <c r="A962" t="inlineStr">
        <is>
          <t>A 9388-2025</t>
        </is>
      </c>
      <c r="B962" s="1" t="n">
        <v>45715</v>
      </c>
      <c r="C962" s="1" t="n">
        <v>45917</v>
      </c>
      <c r="D962" t="inlineStr">
        <is>
          <t>JÄMTLANDS LÄN</t>
        </is>
      </c>
      <c r="E962" t="inlineStr">
        <is>
          <t>KROKOM</t>
        </is>
      </c>
      <c r="F962" t="inlineStr">
        <is>
          <t>Övriga Aktiebolag</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22115-2025</t>
        </is>
      </c>
      <c r="B963" s="1" t="n">
        <v>45785.51092592593</v>
      </c>
      <c r="C963" s="1" t="n">
        <v>45917</v>
      </c>
      <c r="D963" t="inlineStr">
        <is>
          <t>JÄMTLANDS LÄN</t>
        </is>
      </c>
      <c r="E963" t="inlineStr">
        <is>
          <t>KROKOM</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26207-2024</t>
        </is>
      </c>
      <c r="B964" s="1" t="n">
        <v>45467</v>
      </c>
      <c r="C964" s="1" t="n">
        <v>45917</v>
      </c>
      <c r="D964" t="inlineStr">
        <is>
          <t>JÄMTLANDS LÄN</t>
        </is>
      </c>
      <c r="E964" t="inlineStr">
        <is>
          <t>KROKOM</t>
        </is>
      </c>
      <c r="G964" t="n">
        <v>14.4</v>
      </c>
      <c r="H964" t="n">
        <v>0</v>
      </c>
      <c r="I964" t="n">
        <v>0</v>
      </c>
      <c r="J964" t="n">
        <v>0</v>
      </c>
      <c r="K964" t="n">
        <v>0</v>
      </c>
      <c r="L964" t="n">
        <v>0</v>
      </c>
      <c r="M964" t="n">
        <v>0</v>
      </c>
      <c r="N964" t="n">
        <v>0</v>
      </c>
      <c r="O964" t="n">
        <v>0</v>
      </c>
      <c r="P964" t="n">
        <v>0</v>
      </c>
      <c r="Q964" t="n">
        <v>0</v>
      </c>
      <c r="R964" s="2" t="inlineStr"/>
    </row>
    <row r="965" ht="15" customHeight="1">
      <c r="A965" t="inlineStr">
        <is>
          <t>A 22731-2025</t>
        </is>
      </c>
      <c r="B965" s="1" t="n">
        <v>45789.58238425926</v>
      </c>
      <c r="C965" s="1" t="n">
        <v>45917</v>
      </c>
      <c r="D965" t="inlineStr">
        <is>
          <t>JÄMTLANDS LÄN</t>
        </is>
      </c>
      <c r="E965" t="inlineStr">
        <is>
          <t>KROKOM</t>
        </is>
      </c>
      <c r="G965" t="n">
        <v>0.8</v>
      </c>
      <c r="H965" t="n">
        <v>0</v>
      </c>
      <c r="I965" t="n">
        <v>0</v>
      </c>
      <c r="J965" t="n">
        <v>0</v>
      </c>
      <c r="K965" t="n">
        <v>0</v>
      </c>
      <c r="L965" t="n">
        <v>0</v>
      </c>
      <c r="M965" t="n">
        <v>0</v>
      </c>
      <c r="N965" t="n">
        <v>0</v>
      </c>
      <c r="O965" t="n">
        <v>0</v>
      </c>
      <c r="P965" t="n">
        <v>0</v>
      </c>
      <c r="Q965" t="n">
        <v>0</v>
      </c>
      <c r="R965" s="2" t="inlineStr"/>
    </row>
    <row r="966" ht="15" customHeight="1">
      <c r="A966" t="inlineStr">
        <is>
          <t>A 22751-2025</t>
        </is>
      </c>
      <c r="B966" s="1" t="n">
        <v>45789.61349537037</v>
      </c>
      <c r="C966" s="1" t="n">
        <v>45917</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50719-2024</t>
        </is>
      </c>
      <c r="B967" s="1" t="n">
        <v>45602.38614583333</v>
      </c>
      <c r="C967" s="1" t="n">
        <v>45917</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58136-2024</t>
        </is>
      </c>
      <c r="B968" s="1" t="n">
        <v>45632</v>
      </c>
      <c r="C968" s="1" t="n">
        <v>45917</v>
      </c>
      <c r="D968" t="inlineStr">
        <is>
          <t>JÄMTLANDS LÄN</t>
        </is>
      </c>
      <c r="E968" t="inlineStr">
        <is>
          <t>KROKOM</t>
        </is>
      </c>
      <c r="G968" t="n">
        <v>3.3</v>
      </c>
      <c r="H968" t="n">
        <v>0</v>
      </c>
      <c r="I968" t="n">
        <v>0</v>
      </c>
      <c r="J968" t="n">
        <v>0</v>
      </c>
      <c r="K968" t="n">
        <v>0</v>
      </c>
      <c r="L968" t="n">
        <v>0</v>
      </c>
      <c r="M968" t="n">
        <v>0</v>
      </c>
      <c r="N968" t="n">
        <v>0</v>
      </c>
      <c r="O968" t="n">
        <v>0</v>
      </c>
      <c r="P968" t="n">
        <v>0</v>
      </c>
      <c r="Q968" t="n">
        <v>0</v>
      </c>
      <c r="R968" s="2" t="inlineStr"/>
    </row>
    <row r="969" ht="15" customHeight="1">
      <c r="A969" t="inlineStr">
        <is>
          <t>A 50738-2024</t>
        </is>
      </c>
      <c r="B969" s="1" t="n">
        <v>45602.39862268518</v>
      </c>
      <c r="C969" s="1" t="n">
        <v>45917</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50755-2024</t>
        </is>
      </c>
      <c r="B970" s="1" t="n">
        <v>45602.42878472222</v>
      </c>
      <c r="C970" s="1" t="n">
        <v>45917</v>
      </c>
      <c r="D970" t="inlineStr">
        <is>
          <t>JÄMTLANDS LÄN</t>
        </is>
      </c>
      <c r="E970" t="inlineStr">
        <is>
          <t>KROKOM</t>
        </is>
      </c>
      <c r="G970" t="n">
        <v>0.6</v>
      </c>
      <c r="H970" t="n">
        <v>0</v>
      </c>
      <c r="I970" t="n">
        <v>0</v>
      </c>
      <c r="J970" t="n">
        <v>0</v>
      </c>
      <c r="K970" t="n">
        <v>0</v>
      </c>
      <c r="L970" t="n">
        <v>0</v>
      </c>
      <c r="M970" t="n">
        <v>0</v>
      </c>
      <c r="N970" t="n">
        <v>0</v>
      </c>
      <c r="O970" t="n">
        <v>0</v>
      </c>
      <c r="P970" t="n">
        <v>0</v>
      </c>
      <c r="Q970" t="n">
        <v>0</v>
      </c>
      <c r="R970" s="2" t="inlineStr"/>
    </row>
    <row r="971" ht="15" customHeight="1">
      <c r="A971" t="inlineStr">
        <is>
          <t>A 8369-2023</t>
        </is>
      </c>
      <c r="B971" s="1" t="n">
        <v>44971</v>
      </c>
      <c r="C971" s="1" t="n">
        <v>45917</v>
      </c>
      <c r="D971" t="inlineStr">
        <is>
          <t>JÄMTLANDS LÄN</t>
        </is>
      </c>
      <c r="E971" t="inlineStr">
        <is>
          <t>KROKOM</t>
        </is>
      </c>
      <c r="G971" t="n">
        <v>47.2</v>
      </c>
      <c r="H971" t="n">
        <v>0</v>
      </c>
      <c r="I971" t="n">
        <v>0</v>
      </c>
      <c r="J971" t="n">
        <v>0</v>
      </c>
      <c r="K971" t="n">
        <v>0</v>
      </c>
      <c r="L971" t="n">
        <v>0</v>
      </c>
      <c r="M971" t="n">
        <v>0</v>
      </c>
      <c r="N971" t="n">
        <v>0</v>
      </c>
      <c r="O971" t="n">
        <v>0</v>
      </c>
      <c r="P971" t="n">
        <v>0</v>
      </c>
      <c r="Q971" t="n">
        <v>0</v>
      </c>
      <c r="R971" s="2" t="inlineStr"/>
    </row>
    <row r="972" ht="15" customHeight="1">
      <c r="A972" t="inlineStr">
        <is>
          <t>A 56328-2023</t>
        </is>
      </c>
      <c r="B972" s="1" t="n">
        <v>45243.33297453704</v>
      </c>
      <c r="C972" s="1" t="n">
        <v>45917</v>
      </c>
      <c r="D972" t="inlineStr">
        <is>
          <t>JÄMTLANDS LÄN</t>
        </is>
      </c>
      <c r="E972" t="inlineStr">
        <is>
          <t>KROKOM</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35257-2023</t>
        </is>
      </c>
      <c r="B973" s="1" t="n">
        <v>45145.95255787037</v>
      </c>
      <c r="C973" s="1" t="n">
        <v>45917</v>
      </c>
      <c r="D973" t="inlineStr">
        <is>
          <t>JÄMTLANDS LÄN</t>
        </is>
      </c>
      <c r="E973" t="inlineStr">
        <is>
          <t>KROKOM</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31655-2025</t>
        </is>
      </c>
      <c r="B974" s="1" t="n">
        <v>45834.34737268519</v>
      </c>
      <c r="C974" s="1" t="n">
        <v>45917</v>
      </c>
      <c r="D974" t="inlineStr">
        <is>
          <t>JÄMTLANDS LÄN</t>
        </is>
      </c>
      <c r="E974" t="inlineStr">
        <is>
          <t>KROKOM</t>
        </is>
      </c>
      <c r="F974" t="inlineStr">
        <is>
          <t>SCA</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46785-2024</t>
        </is>
      </c>
      <c r="B975" s="1" t="n">
        <v>45583.52885416667</v>
      </c>
      <c r="C975" s="1" t="n">
        <v>45917</v>
      </c>
      <c r="D975" t="inlineStr">
        <is>
          <t>JÄMTLANDS LÄN</t>
        </is>
      </c>
      <c r="E975" t="inlineStr">
        <is>
          <t>KROKOM</t>
        </is>
      </c>
      <c r="G975" t="n">
        <v>3.4</v>
      </c>
      <c r="H975" t="n">
        <v>0</v>
      </c>
      <c r="I975" t="n">
        <v>0</v>
      </c>
      <c r="J975" t="n">
        <v>0</v>
      </c>
      <c r="K975" t="n">
        <v>0</v>
      </c>
      <c r="L975" t="n">
        <v>0</v>
      </c>
      <c r="M975" t="n">
        <v>0</v>
      </c>
      <c r="N975" t="n">
        <v>0</v>
      </c>
      <c r="O975" t="n">
        <v>0</v>
      </c>
      <c r="P975" t="n">
        <v>0</v>
      </c>
      <c r="Q975" t="n">
        <v>0</v>
      </c>
      <c r="R975" s="2" t="inlineStr"/>
    </row>
    <row r="976" ht="15" customHeight="1">
      <c r="A976" t="inlineStr">
        <is>
          <t>A 45822-2023</t>
        </is>
      </c>
      <c r="B976" s="1" t="n">
        <v>45195</v>
      </c>
      <c r="C976" s="1" t="n">
        <v>45917</v>
      </c>
      <c r="D976" t="inlineStr">
        <is>
          <t>JÄMTLANDS LÄN</t>
        </is>
      </c>
      <c r="E976" t="inlineStr">
        <is>
          <t>KROKOM</t>
        </is>
      </c>
      <c r="F976" t="inlineStr">
        <is>
          <t>Övriga Aktiebolag</t>
        </is>
      </c>
      <c r="G976" t="n">
        <v>2.8</v>
      </c>
      <c r="H976" t="n">
        <v>0</v>
      </c>
      <c r="I976" t="n">
        <v>0</v>
      </c>
      <c r="J976" t="n">
        <v>0</v>
      </c>
      <c r="K976" t="n">
        <v>0</v>
      </c>
      <c r="L976" t="n">
        <v>0</v>
      </c>
      <c r="M976" t="n">
        <v>0</v>
      </c>
      <c r="N976" t="n">
        <v>0</v>
      </c>
      <c r="O976" t="n">
        <v>0</v>
      </c>
      <c r="P976" t="n">
        <v>0</v>
      </c>
      <c r="Q976" t="n">
        <v>0</v>
      </c>
      <c r="R976" s="2" t="inlineStr"/>
    </row>
    <row r="977" ht="15" customHeight="1">
      <c r="A977" t="inlineStr">
        <is>
          <t>A 64299-2021</t>
        </is>
      </c>
      <c r="B977" s="1" t="n">
        <v>44510.9491087963</v>
      </c>
      <c r="C977" s="1" t="n">
        <v>45917</v>
      </c>
      <c r="D977" t="inlineStr">
        <is>
          <t>JÄMTLANDS LÄN</t>
        </is>
      </c>
      <c r="E977" t="inlineStr">
        <is>
          <t>KROKOM</t>
        </is>
      </c>
      <c r="G977" t="n">
        <v>3.7</v>
      </c>
      <c r="H977" t="n">
        <v>0</v>
      </c>
      <c r="I977" t="n">
        <v>0</v>
      </c>
      <c r="J977" t="n">
        <v>0</v>
      </c>
      <c r="K977" t="n">
        <v>0</v>
      </c>
      <c r="L977" t="n">
        <v>0</v>
      </c>
      <c r="M977" t="n">
        <v>0</v>
      </c>
      <c r="N977" t="n">
        <v>0</v>
      </c>
      <c r="O977" t="n">
        <v>0</v>
      </c>
      <c r="P977" t="n">
        <v>0</v>
      </c>
      <c r="Q977" t="n">
        <v>0</v>
      </c>
      <c r="R977" s="2" t="inlineStr"/>
    </row>
    <row r="978" ht="15" customHeight="1">
      <c r="A978" t="inlineStr">
        <is>
          <t>A 57985-2024</t>
        </is>
      </c>
      <c r="B978" s="1" t="n">
        <v>45631.61869212963</v>
      </c>
      <c r="C978" s="1" t="n">
        <v>45917</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6015-2025</t>
        </is>
      </c>
      <c r="B979" s="1" t="n">
        <v>45695.60015046296</v>
      </c>
      <c r="C979" s="1" t="n">
        <v>45917</v>
      </c>
      <c r="D979" t="inlineStr">
        <is>
          <t>JÄMTLANDS LÄN</t>
        </is>
      </c>
      <c r="E979" t="inlineStr">
        <is>
          <t>KROKOM</t>
        </is>
      </c>
      <c r="F979" t="inlineStr">
        <is>
          <t>Övriga Aktiebolag</t>
        </is>
      </c>
      <c r="G979" t="n">
        <v>15.5</v>
      </c>
      <c r="H979" t="n">
        <v>0</v>
      </c>
      <c r="I979" t="n">
        <v>0</v>
      </c>
      <c r="J979" t="n">
        <v>0</v>
      </c>
      <c r="K979" t="n">
        <v>0</v>
      </c>
      <c r="L979" t="n">
        <v>0</v>
      </c>
      <c r="M979" t="n">
        <v>0</v>
      </c>
      <c r="N979" t="n">
        <v>0</v>
      </c>
      <c r="O979" t="n">
        <v>0</v>
      </c>
      <c r="P979" t="n">
        <v>0</v>
      </c>
      <c r="Q979" t="n">
        <v>0</v>
      </c>
      <c r="R979" s="2" t="inlineStr"/>
    </row>
    <row r="980" ht="15" customHeight="1">
      <c r="A980" t="inlineStr">
        <is>
          <t>A 7787-2025</t>
        </is>
      </c>
      <c r="B980" s="1" t="n">
        <v>45706.59251157408</v>
      </c>
      <c r="C980" s="1" t="n">
        <v>45917</v>
      </c>
      <c r="D980" t="inlineStr">
        <is>
          <t>JÄMTLANDS LÄN</t>
        </is>
      </c>
      <c r="E980" t="inlineStr">
        <is>
          <t>KROKOM</t>
        </is>
      </c>
      <c r="F980" t="inlineStr">
        <is>
          <t>Övriga Aktiebolag</t>
        </is>
      </c>
      <c r="G980" t="n">
        <v>16.8</v>
      </c>
      <c r="H980" t="n">
        <v>0</v>
      </c>
      <c r="I980" t="n">
        <v>0</v>
      </c>
      <c r="J980" t="n">
        <v>0</v>
      </c>
      <c r="K980" t="n">
        <v>0</v>
      </c>
      <c r="L980" t="n">
        <v>0</v>
      </c>
      <c r="M980" t="n">
        <v>0</v>
      </c>
      <c r="N980" t="n">
        <v>0</v>
      </c>
      <c r="O980" t="n">
        <v>0</v>
      </c>
      <c r="P980" t="n">
        <v>0</v>
      </c>
      <c r="Q980" t="n">
        <v>0</v>
      </c>
      <c r="R980" s="2" t="inlineStr"/>
    </row>
    <row r="981" ht="15" customHeight="1">
      <c r="A981" t="inlineStr">
        <is>
          <t>A 39169-2023</t>
        </is>
      </c>
      <c r="B981" s="1" t="n">
        <v>45166</v>
      </c>
      <c r="C981" s="1" t="n">
        <v>45917</v>
      </c>
      <c r="D981" t="inlineStr">
        <is>
          <t>JÄMTLANDS LÄN</t>
        </is>
      </c>
      <c r="E981" t="inlineStr">
        <is>
          <t>KROKOM</t>
        </is>
      </c>
      <c r="G981" t="n">
        <v>0.7</v>
      </c>
      <c r="H981" t="n">
        <v>0</v>
      </c>
      <c r="I981" t="n">
        <v>0</v>
      </c>
      <c r="J981" t="n">
        <v>0</v>
      </c>
      <c r="K981" t="n">
        <v>0</v>
      </c>
      <c r="L981" t="n">
        <v>0</v>
      </c>
      <c r="M981" t="n">
        <v>0</v>
      </c>
      <c r="N981" t="n">
        <v>0</v>
      </c>
      <c r="O981" t="n">
        <v>0</v>
      </c>
      <c r="P981" t="n">
        <v>0</v>
      </c>
      <c r="Q981" t="n">
        <v>0</v>
      </c>
      <c r="R981" s="2" t="inlineStr"/>
    </row>
    <row r="982" ht="15" customHeight="1">
      <c r="A982" t="inlineStr">
        <is>
          <t>A 36577-2021</t>
        </is>
      </c>
      <c r="B982" s="1" t="n">
        <v>44391</v>
      </c>
      <c r="C982" s="1" t="n">
        <v>45917</v>
      </c>
      <c r="D982" t="inlineStr">
        <is>
          <t>JÄMTLANDS LÄN</t>
        </is>
      </c>
      <c r="E982" t="inlineStr">
        <is>
          <t>KROKOM</t>
        </is>
      </c>
      <c r="G982" t="n">
        <v>2</v>
      </c>
      <c r="H982" t="n">
        <v>0</v>
      </c>
      <c r="I982" t="n">
        <v>0</v>
      </c>
      <c r="J982" t="n">
        <v>0</v>
      </c>
      <c r="K982" t="n">
        <v>0</v>
      </c>
      <c r="L982" t="n">
        <v>0</v>
      </c>
      <c r="M982" t="n">
        <v>0</v>
      </c>
      <c r="N982" t="n">
        <v>0</v>
      </c>
      <c r="O982" t="n">
        <v>0</v>
      </c>
      <c r="P982" t="n">
        <v>0</v>
      </c>
      <c r="Q982" t="n">
        <v>0</v>
      </c>
      <c r="R982" s="2" t="inlineStr"/>
    </row>
    <row r="983" ht="15" customHeight="1">
      <c r="A983" t="inlineStr">
        <is>
          <t>A 23288-2025</t>
        </is>
      </c>
      <c r="B983" s="1" t="n">
        <v>45791</v>
      </c>
      <c r="C983" s="1" t="n">
        <v>45917</v>
      </c>
      <c r="D983" t="inlineStr">
        <is>
          <t>JÄMTLANDS LÄN</t>
        </is>
      </c>
      <c r="E983" t="inlineStr">
        <is>
          <t>KROKOM</t>
        </is>
      </c>
      <c r="G983" t="n">
        <v>0.5</v>
      </c>
      <c r="H983" t="n">
        <v>0</v>
      </c>
      <c r="I983" t="n">
        <v>0</v>
      </c>
      <c r="J983" t="n">
        <v>0</v>
      </c>
      <c r="K983" t="n">
        <v>0</v>
      </c>
      <c r="L983" t="n">
        <v>0</v>
      </c>
      <c r="M983" t="n">
        <v>0</v>
      </c>
      <c r="N983" t="n">
        <v>0</v>
      </c>
      <c r="O983" t="n">
        <v>0</v>
      </c>
      <c r="P983" t="n">
        <v>0</v>
      </c>
      <c r="Q983" t="n">
        <v>0</v>
      </c>
      <c r="R983" s="2" t="inlineStr"/>
    </row>
    <row r="984" ht="15" customHeight="1">
      <c r="A984" t="inlineStr">
        <is>
          <t>A 23080-2025</t>
        </is>
      </c>
      <c r="B984" s="1" t="n">
        <v>45791.3162037037</v>
      </c>
      <c r="C984" s="1" t="n">
        <v>45917</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58487-2024</t>
        </is>
      </c>
      <c r="B985" s="1" t="n">
        <v>45635.39820601852</v>
      </c>
      <c r="C985" s="1" t="n">
        <v>45917</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3231-2022</t>
        </is>
      </c>
      <c r="B986" s="1" t="n">
        <v>44582</v>
      </c>
      <c r="C986" s="1" t="n">
        <v>45917</v>
      </c>
      <c r="D986" t="inlineStr">
        <is>
          <t>JÄMTLANDS LÄN</t>
        </is>
      </c>
      <c r="E986" t="inlineStr">
        <is>
          <t>KROKOM</t>
        </is>
      </c>
      <c r="G986" t="n">
        <v>23</v>
      </c>
      <c r="H986" t="n">
        <v>0</v>
      </c>
      <c r="I986" t="n">
        <v>0</v>
      </c>
      <c r="J986" t="n">
        <v>0</v>
      </c>
      <c r="K986" t="n">
        <v>0</v>
      </c>
      <c r="L986" t="n">
        <v>0</v>
      </c>
      <c r="M986" t="n">
        <v>0</v>
      </c>
      <c r="N986" t="n">
        <v>0</v>
      </c>
      <c r="O986" t="n">
        <v>0</v>
      </c>
      <c r="P986" t="n">
        <v>0</v>
      </c>
      <c r="Q986" t="n">
        <v>0</v>
      </c>
      <c r="R986" s="2" t="inlineStr"/>
    </row>
    <row r="987" ht="15" customHeight="1">
      <c r="A987" t="inlineStr">
        <is>
          <t>A 10646-2025</t>
        </is>
      </c>
      <c r="B987" s="1" t="n">
        <v>45721.66456018519</v>
      </c>
      <c r="C987" s="1" t="n">
        <v>45917</v>
      </c>
      <c r="D987" t="inlineStr">
        <is>
          <t>JÄMTLANDS LÄN</t>
        </is>
      </c>
      <c r="E987" t="inlineStr">
        <is>
          <t>KROKOM</t>
        </is>
      </c>
      <c r="G987" t="n">
        <v>3.1</v>
      </c>
      <c r="H987" t="n">
        <v>0</v>
      </c>
      <c r="I987" t="n">
        <v>0</v>
      </c>
      <c r="J987" t="n">
        <v>0</v>
      </c>
      <c r="K987" t="n">
        <v>0</v>
      </c>
      <c r="L987" t="n">
        <v>0</v>
      </c>
      <c r="M987" t="n">
        <v>0</v>
      </c>
      <c r="N987" t="n">
        <v>0</v>
      </c>
      <c r="O987" t="n">
        <v>0</v>
      </c>
      <c r="P987" t="n">
        <v>0</v>
      </c>
      <c r="Q987" t="n">
        <v>0</v>
      </c>
      <c r="R987" s="2" t="inlineStr"/>
    </row>
    <row r="988" ht="15" customHeight="1">
      <c r="A988" t="inlineStr">
        <is>
          <t>A 29477-2024</t>
        </is>
      </c>
      <c r="B988" s="1" t="n">
        <v>45484</v>
      </c>
      <c r="C988" s="1" t="n">
        <v>45917</v>
      </c>
      <c r="D988" t="inlineStr">
        <is>
          <t>JÄMTLANDS LÄN</t>
        </is>
      </c>
      <c r="E988" t="inlineStr">
        <is>
          <t>KROKOM</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53540-2024</t>
        </is>
      </c>
      <c r="B989" s="1" t="n">
        <v>45614.63575231482</v>
      </c>
      <c r="C989" s="1" t="n">
        <v>45917</v>
      </c>
      <c r="D989" t="inlineStr">
        <is>
          <t>JÄMTLANDS LÄN</t>
        </is>
      </c>
      <c r="E989" t="inlineStr">
        <is>
          <t>KROKOM</t>
        </is>
      </c>
      <c r="G989" t="n">
        <v>4.7</v>
      </c>
      <c r="H989" t="n">
        <v>0</v>
      </c>
      <c r="I989" t="n">
        <v>0</v>
      </c>
      <c r="J989" t="n">
        <v>0</v>
      </c>
      <c r="K989" t="n">
        <v>0</v>
      </c>
      <c r="L989" t="n">
        <v>0</v>
      </c>
      <c r="M989" t="n">
        <v>0</v>
      </c>
      <c r="N989" t="n">
        <v>0</v>
      </c>
      <c r="O989" t="n">
        <v>0</v>
      </c>
      <c r="P989" t="n">
        <v>0</v>
      </c>
      <c r="Q989" t="n">
        <v>0</v>
      </c>
      <c r="R989" s="2" t="inlineStr"/>
    </row>
    <row r="990" ht="15" customHeight="1">
      <c r="A990" t="inlineStr">
        <is>
          <t>A 24062-2025</t>
        </is>
      </c>
      <c r="B990" s="1" t="n">
        <v>45796.52836805556</v>
      </c>
      <c r="C990" s="1" t="n">
        <v>45917</v>
      </c>
      <c r="D990" t="inlineStr">
        <is>
          <t>JÄMTLANDS LÄN</t>
        </is>
      </c>
      <c r="E990" t="inlineStr">
        <is>
          <t>KROKOM</t>
        </is>
      </c>
      <c r="G990" t="n">
        <v>33</v>
      </c>
      <c r="H990" t="n">
        <v>0</v>
      </c>
      <c r="I990" t="n">
        <v>0</v>
      </c>
      <c r="J990" t="n">
        <v>0</v>
      </c>
      <c r="K990" t="n">
        <v>0</v>
      </c>
      <c r="L990" t="n">
        <v>0</v>
      </c>
      <c r="M990" t="n">
        <v>0</v>
      </c>
      <c r="N990" t="n">
        <v>0</v>
      </c>
      <c r="O990" t="n">
        <v>0</v>
      </c>
      <c r="P990" t="n">
        <v>0</v>
      </c>
      <c r="Q990" t="n">
        <v>0</v>
      </c>
      <c r="R990" s="2" t="inlineStr"/>
    </row>
    <row r="991" ht="15" customHeight="1">
      <c r="A991" t="inlineStr">
        <is>
          <t>A 12412-2024</t>
        </is>
      </c>
      <c r="B991" s="1" t="n">
        <v>45378</v>
      </c>
      <c r="C991" s="1" t="n">
        <v>45917</v>
      </c>
      <c r="D991" t="inlineStr">
        <is>
          <t>JÄMTLANDS LÄN</t>
        </is>
      </c>
      <c r="E991" t="inlineStr">
        <is>
          <t>KROKOM</t>
        </is>
      </c>
      <c r="G991" t="n">
        <v>1.9</v>
      </c>
      <c r="H991" t="n">
        <v>0</v>
      </c>
      <c r="I991" t="n">
        <v>0</v>
      </c>
      <c r="J991" t="n">
        <v>0</v>
      </c>
      <c r="K991" t="n">
        <v>0</v>
      </c>
      <c r="L991" t="n">
        <v>0</v>
      </c>
      <c r="M991" t="n">
        <v>0</v>
      </c>
      <c r="N991" t="n">
        <v>0</v>
      </c>
      <c r="O991" t="n">
        <v>0</v>
      </c>
      <c r="P991" t="n">
        <v>0</v>
      </c>
      <c r="Q991" t="n">
        <v>0</v>
      </c>
      <c r="R991" s="2" t="inlineStr"/>
    </row>
    <row r="992" ht="15" customHeight="1">
      <c r="A992" t="inlineStr">
        <is>
          <t>A 4361-2025</t>
        </is>
      </c>
      <c r="B992" s="1" t="n">
        <v>45686.33310185185</v>
      </c>
      <c r="C992" s="1" t="n">
        <v>45917</v>
      </c>
      <c r="D992" t="inlineStr">
        <is>
          <t>JÄMTLANDS LÄN</t>
        </is>
      </c>
      <c r="E992" t="inlineStr">
        <is>
          <t>KROKOM</t>
        </is>
      </c>
      <c r="F992" t="inlineStr">
        <is>
          <t>SCA</t>
        </is>
      </c>
      <c r="G992" t="n">
        <v>13.7</v>
      </c>
      <c r="H992" t="n">
        <v>0</v>
      </c>
      <c r="I992" t="n">
        <v>0</v>
      </c>
      <c r="J992" t="n">
        <v>0</v>
      </c>
      <c r="K992" t="n">
        <v>0</v>
      </c>
      <c r="L992" t="n">
        <v>0</v>
      </c>
      <c r="M992" t="n">
        <v>0</v>
      </c>
      <c r="N992" t="n">
        <v>0</v>
      </c>
      <c r="O992" t="n">
        <v>0</v>
      </c>
      <c r="P992" t="n">
        <v>0</v>
      </c>
      <c r="Q992" t="n">
        <v>0</v>
      </c>
      <c r="R992" s="2" t="inlineStr"/>
    </row>
    <row r="993" ht="15" customHeight="1">
      <c r="A993" t="inlineStr">
        <is>
          <t>A 280-2025</t>
        </is>
      </c>
      <c r="B993" s="1" t="n">
        <v>45660.49618055556</v>
      </c>
      <c r="C993" s="1" t="n">
        <v>45917</v>
      </c>
      <c r="D993" t="inlineStr">
        <is>
          <t>JÄMTLANDS LÄN</t>
        </is>
      </c>
      <c r="E993" t="inlineStr">
        <is>
          <t>KROKOM</t>
        </is>
      </c>
      <c r="G993" t="n">
        <v>2.1</v>
      </c>
      <c r="H993" t="n">
        <v>0</v>
      </c>
      <c r="I993" t="n">
        <v>0</v>
      </c>
      <c r="J993" t="n">
        <v>0</v>
      </c>
      <c r="K993" t="n">
        <v>0</v>
      </c>
      <c r="L993" t="n">
        <v>0</v>
      </c>
      <c r="M993" t="n">
        <v>0</v>
      </c>
      <c r="N993" t="n">
        <v>0</v>
      </c>
      <c r="O993" t="n">
        <v>0</v>
      </c>
      <c r="P993" t="n">
        <v>0</v>
      </c>
      <c r="Q993" t="n">
        <v>0</v>
      </c>
      <c r="R993" s="2" t="inlineStr"/>
    </row>
    <row r="994" ht="15" customHeight="1">
      <c r="A994" t="inlineStr">
        <is>
          <t>A 23751-2025</t>
        </is>
      </c>
      <c r="B994" s="1" t="n">
        <v>45793.45204861111</v>
      </c>
      <c r="C994" s="1" t="n">
        <v>45917</v>
      </c>
      <c r="D994" t="inlineStr">
        <is>
          <t>JÄMTLANDS LÄN</t>
        </is>
      </c>
      <c r="E994" t="inlineStr">
        <is>
          <t>KROKOM</t>
        </is>
      </c>
      <c r="G994" t="n">
        <v>7.2</v>
      </c>
      <c r="H994" t="n">
        <v>0</v>
      </c>
      <c r="I994" t="n">
        <v>0</v>
      </c>
      <c r="J994" t="n">
        <v>0</v>
      </c>
      <c r="K994" t="n">
        <v>0</v>
      </c>
      <c r="L994" t="n">
        <v>0</v>
      </c>
      <c r="M994" t="n">
        <v>0</v>
      </c>
      <c r="N994" t="n">
        <v>0</v>
      </c>
      <c r="O994" t="n">
        <v>0</v>
      </c>
      <c r="P994" t="n">
        <v>0</v>
      </c>
      <c r="Q994" t="n">
        <v>0</v>
      </c>
      <c r="R994" s="2" t="inlineStr"/>
    </row>
    <row r="995" ht="15" customHeight="1">
      <c r="A995" t="inlineStr">
        <is>
          <t>A 39490-2022</t>
        </is>
      </c>
      <c r="B995" s="1" t="n">
        <v>44818</v>
      </c>
      <c r="C995" s="1" t="n">
        <v>45917</v>
      </c>
      <c r="D995" t="inlineStr">
        <is>
          <t>JÄMTLANDS LÄN</t>
        </is>
      </c>
      <c r="E995" t="inlineStr">
        <is>
          <t>KROKOM</t>
        </is>
      </c>
      <c r="G995" t="n">
        <v>11.9</v>
      </c>
      <c r="H995" t="n">
        <v>0</v>
      </c>
      <c r="I995" t="n">
        <v>0</v>
      </c>
      <c r="J995" t="n">
        <v>0</v>
      </c>
      <c r="K995" t="n">
        <v>0</v>
      </c>
      <c r="L995" t="n">
        <v>0</v>
      </c>
      <c r="M995" t="n">
        <v>0</v>
      </c>
      <c r="N995" t="n">
        <v>0</v>
      </c>
      <c r="O995" t="n">
        <v>0</v>
      </c>
      <c r="P995" t="n">
        <v>0</v>
      </c>
      <c r="Q995" t="n">
        <v>0</v>
      </c>
      <c r="R995" s="2" t="inlineStr"/>
    </row>
    <row r="996" ht="15" customHeight="1">
      <c r="A996" t="inlineStr">
        <is>
          <t>A 6148-2025</t>
        </is>
      </c>
      <c r="B996" s="1" t="n">
        <v>45698.40146990741</v>
      </c>
      <c r="C996" s="1" t="n">
        <v>45917</v>
      </c>
      <c r="D996" t="inlineStr">
        <is>
          <t>JÄMTLANDS LÄN</t>
        </is>
      </c>
      <c r="E996" t="inlineStr">
        <is>
          <t>KROKOM</t>
        </is>
      </c>
      <c r="G996" t="n">
        <v>43.6</v>
      </c>
      <c r="H996" t="n">
        <v>0</v>
      </c>
      <c r="I996" t="n">
        <v>0</v>
      </c>
      <c r="J996" t="n">
        <v>0</v>
      </c>
      <c r="K996" t="n">
        <v>0</v>
      </c>
      <c r="L996" t="n">
        <v>0</v>
      </c>
      <c r="M996" t="n">
        <v>0</v>
      </c>
      <c r="N996" t="n">
        <v>0</v>
      </c>
      <c r="O996" t="n">
        <v>0</v>
      </c>
      <c r="P996" t="n">
        <v>0</v>
      </c>
      <c r="Q996" t="n">
        <v>0</v>
      </c>
      <c r="R996" s="2" t="inlineStr"/>
    </row>
    <row r="997" ht="15" customHeight="1">
      <c r="A997" t="inlineStr">
        <is>
          <t>A 24103-2025</t>
        </is>
      </c>
      <c r="B997" s="1" t="n">
        <v>45796.59857638889</v>
      </c>
      <c r="C997" s="1" t="n">
        <v>45917</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7767-2025</t>
        </is>
      </c>
      <c r="B998" s="1" t="n">
        <v>45706.55993055556</v>
      </c>
      <c r="C998" s="1" t="n">
        <v>45917</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9043-2025</t>
        </is>
      </c>
      <c r="B999" s="1" t="n">
        <v>45713</v>
      </c>
      <c r="C999" s="1" t="n">
        <v>45917</v>
      </c>
      <c r="D999" t="inlineStr">
        <is>
          <t>JÄMTLANDS LÄN</t>
        </is>
      </c>
      <c r="E999" t="inlineStr">
        <is>
          <t>KROKOM</t>
        </is>
      </c>
      <c r="F999" t="inlineStr">
        <is>
          <t>Övriga Aktiebolag</t>
        </is>
      </c>
      <c r="G999" t="n">
        <v>43.6</v>
      </c>
      <c r="H999" t="n">
        <v>0</v>
      </c>
      <c r="I999" t="n">
        <v>0</v>
      </c>
      <c r="J999" t="n">
        <v>0</v>
      </c>
      <c r="K999" t="n">
        <v>0</v>
      </c>
      <c r="L999" t="n">
        <v>0</v>
      </c>
      <c r="M999" t="n">
        <v>0</v>
      </c>
      <c r="N999" t="n">
        <v>0</v>
      </c>
      <c r="O999" t="n">
        <v>0</v>
      </c>
      <c r="P999" t="n">
        <v>0</v>
      </c>
      <c r="Q999" t="n">
        <v>0</v>
      </c>
      <c r="R999" s="2" t="inlineStr"/>
    </row>
    <row r="1000" ht="15" customHeight="1">
      <c r="A1000" t="inlineStr">
        <is>
          <t>A 27954-2024</t>
        </is>
      </c>
      <c r="B1000" s="1" t="n">
        <v>45476</v>
      </c>
      <c r="C1000" s="1" t="n">
        <v>45917</v>
      </c>
      <c r="D1000" t="inlineStr">
        <is>
          <t>JÄMTLANDS LÄN</t>
        </is>
      </c>
      <c r="E1000" t="inlineStr">
        <is>
          <t>KROKOM</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52086-2024</t>
        </is>
      </c>
      <c r="B1001" s="1" t="n">
        <v>45608</v>
      </c>
      <c r="C1001" s="1" t="n">
        <v>45917</v>
      </c>
      <c r="D1001" t="inlineStr">
        <is>
          <t>JÄMTLANDS LÄN</t>
        </is>
      </c>
      <c r="E1001" t="inlineStr">
        <is>
          <t>KROKOM</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5998-2025</t>
        </is>
      </c>
      <c r="B1002" s="1" t="n">
        <v>45695.57171296296</v>
      </c>
      <c r="C1002" s="1" t="n">
        <v>45917</v>
      </c>
      <c r="D1002" t="inlineStr">
        <is>
          <t>JÄMTLANDS LÄN</t>
        </is>
      </c>
      <c r="E1002" t="inlineStr">
        <is>
          <t>KROKOM</t>
        </is>
      </c>
      <c r="F1002" t="inlineStr">
        <is>
          <t>Övriga Aktiebolag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51060-2024</t>
        </is>
      </c>
      <c r="B1003" s="1" t="n">
        <v>45603.44815972223</v>
      </c>
      <c r="C1003" s="1" t="n">
        <v>45917</v>
      </c>
      <c r="D1003" t="inlineStr">
        <is>
          <t>JÄMTLANDS LÄN</t>
        </is>
      </c>
      <c r="E1003" t="inlineStr">
        <is>
          <t>KROKOM</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60487-2024</t>
        </is>
      </c>
      <c r="B1004" s="1" t="n">
        <v>45643.64706018518</v>
      </c>
      <c r="C1004" s="1" t="n">
        <v>45917</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74011-2021</t>
        </is>
      </c>
      <c r="B1005" s="1" t="n">
        <v>44557</v>
      </c>
      <c r="C1005" s="1" t="n">
        <v>45917</v>
      </c>
      <c r="D1005" t="inlineStr">
        <is>
          <t>JÄMTLANDS LÄN</t>
        </is>
      </c>
      <c r="E1005" t="inlineStr">
        <is>
          <t>KROKOM</t>
        </is>
      </c>
      <c r="G1005" t="n">
        <v>33.2</v>
      </c>
      <c r="H1005" t="n">
        <v>0</v>
      </c>
      <c r="I1005" t="n">
        <v>0</v>
      </c>
      <c r="J1005" t="n">
        <v>0</v>
      </c>
      <c r="K1005" t="n">
        <v>0</v>
      </c>
      <c r="L1005" t="n">
        <v>0</v>
      </c>
      <c r="M1005" t="n">
        <v>0</v>
      </c>
      <c r="N1005" t="n">
        <v>0</v>
      </c>
      <c r="O1005" t="n">
        <v>0</v>
      </c>
      <c r="P1005" t="n">
        <v>0</v>
      </c>
      <c r="Q1005" t="n">
        <v>0</v>
      </c>
      <c r="R1005" s="2" t="inlineStr"/>
    </row>
    <row r="1006" ht="15" customHeight="1">
      <c r="A1006" t="inlineStr">
        <is>
          <t>A 24649-2025</t>
        </is>
      </c>
      <c r="B1006" s="1" t="n">
        <v>45798.63611111111</v>
      </c>
      <c r="C1006" s="1" t="n">
        <v>45917</v>
      </c>
      <c r="D1006" t="inlineStr">
        <is>
          <t>JÄMTLANDS LÄN</t>
        </is>
      </c>
      <c r="E1006" t="inlineStr">
        <is>
          <t>KROKOM</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24648-2025</t>
        </is>
      </c>
      <c r="B1007" s="1" t="n">
        <v>45798.63596064815</v>
      </c>
      <c r="C1007" s="1" t="n">
        <v>45917</v>
      </c>
      <c r="D1007" t="inlineStr">
        <is>
          <t>JÄMTLANDS LÄN</t>
        </is>
      </c>
      <c r="E1007" t="inlineStr">
        <is>
          <t>KROKOM</t>
        </is>
      </c>
      <c r="F1007" t="inlineStr">
        <is>
          <t>SCA</t>
        </is>
      </c>
      <c r="G1007" t="n">
        <v>12.5</v>
      </c>
      <c r="H1007" t="n">
        <v>0</v>
      </c>
      <c r="I1007" t="n">
        <v>0</v>
      </c>
      <c r="J1007" t="n">
        <v>0</v>
      </c>
      <c r="K1007" t="n">
        <v>0</v>
      </c>
      <c r="L1007" t="n">
        <v>0</v>
      </c>
      <c r="M1007" t="n">
        <v>0</v>
      </c>
      <c r="N1007" t="n">
        <v>0</v>
      </c>
      <c r="O1007" t="n">
        <v>0</v>
      </c>
      <c r="P1007" t="n">
        <v>0</v>
      </c>
      <c r="Q1007" t="n">
        <v>0</v>
      </c>
      <c r="R1007" s="2" t="inlineStr"/>
    </row>
    <row r="1008" ht="15" customHeight="1">
      <c r="A1008" t="inlineStr">
        <is>
          <t>A 9313-2025</t>
        </is>
      </c>
      <c r="B1008" s="1" t="n">
        <v>45714.69212962963</v>
      </c>
      <c r="C1008" s="1" t="n">
        <v>45917</v>
      </c>
      <c r="D1008" t="inlineStr">
        <is>
          <t>JÄMTLANDS LÄN</t>
        </is>
      </c>
      <c r="E1008" t="inlineStr">
        <is>
          <t>KROKOM</t>
        </is>
      </c>
      <c r="F1008" t="inlineStr">
        <is>
          <t>Kyrkan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15231-2022</t>
        </is>
      </c>
      <c r="B1009" s="1" t="n">
        <v>44658</v>
      </c>
      <c r="C1009" s="1" t="n">
        <v>45917</v>
      </c>
      <c r="D1009" t="inlineStr">
        <is>
          <t>JÄMTLANDS LÄN</t>
        </is>
      </c>
      <c r="E1009" t="inlineStr">
        <is>
          <t>KROKOM</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47721-2024</t>
        </is>
      </c>
      <c r="B1010" s="1" t="n">
        <v>45588</v>
      </c>
      <c r="C1010" s="1" t="n">
        <v>45917</v>
      </c>
      <c r="D1010" t="inlineStr">
        <is>
          <t>JÄMTLANDS LÄN</t>
        </is>
      </c>
      <c r="E1010" t="inlineStr">
        <is>
          <t>KROKOM</t>
        </is>
      </c>
      <c r="G1010" t="n">
        <v>19.2</v>
      </c>
      <c r="H1010" t="n">
        <v>0</v>
      </c>
      <c r="I1010" t="n">
        <v>0</v>
      </c>
      <c r="J1010" t="n">
        <v>0</v>
      </c>
      <c r="K1010" t="n">
        <v>0</v>
      </c>
      <c r="L1010" t="n">
        <v>0</v>
      </c>
      <c r="M1010" t="n">
        <v>0</v>
      </c>
      <c r="N1010" t="n">
        <v>0</v>
      </c>
      <c r="O1010" t="n">
        <v>0</v>
      </c>
      <c r="P1010" t="n">
        <v>0</v>
      </c>
      <c r="Q1010" t="n">
        <v>0</v>
      </c>
      <c r="R1010" s="2" t="inlineStr"/>
    </row>
    <row r="1011" ht="15" customHeight="1">
      <c r="A1011" t="inlineStr">
        <is>
          <t>A 25302-2025</t>
        </is>
      </c>
      <c r="B1011" s="1" t="n">
        <v>45800.57129629629</v>
      </c>
      <c r="C1011" s="1" t="n">
        <v>45917</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25312-2025</t>
        </is>
      </c>
      <c r="B1012" s="1" t="n">
        <v>45800.57461805556</v>
      </c>
      <c r="C1012" s="1" t="n">
        <v>45917</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25119-2025</t>
        </is>
      </c>
      <c r="B1013" s="1" t="n">
        <v>45800.37061342593</v>
      </c>
      <c r="C1013" s="1" t="n">
        <v>45917</v>
      </c>
      <c r="D1013" t="inlineStr">
        <is>
          <t>JÄMTLANDS LÄN</t>
        </is>
      </c>
      <c r="E1013" t="inlineStr">
        <is>
          <t>KROKOM</t>
        </is>
      </c>
      <c r="G1013" t="n">
        <v>10.4</v>
      </c>
      <c r="H1013" t="n">
        <v>0</v>
      </c>
      <c r="I1013" t="n">
        <v>0</v>
      </c>
      <c r="J1013" t="n">
        <v>0</v>
      </c>
      <c r="K1013" t="n">
        <v>0</v>
      </c>
      <c r="L1013" t="n">
        <v>0</v>
      </c>
      <c r="M1013" t="n">
        <v>0</v>
      </c>
      <c r="N1013" t="n">
        <v>0</v>
      </c>
      <c r="O1013" t="n">
        <v>0</v>
      </c>
      <c r="P1013" t="n">
        <v>0</v>
      </c>
      <c r="Q1013" t="n">
        <v>0</v>
      </c>
      <c r="R1013" s="2" t="inlineStr"/>
    </row>
    <row r="1014" ht="15" customHeight="1">
      <c r="A1014" t="inlineStr">
        <is>
          <t>A 25295-2025</t>
        </is>
      </c>
      <c r="B1014" s="1" t="n">
        <v>45800.56810185185</v>
      </c>
      <c r="C1014" s="1" t="n">
        <v>45917</v>
      </c>
      <c r="D1014" t="inlineStr">
        <is>
          <t>JÄMTLANDS LÄN</t>
        </is>
      </c>
      <c r="E1014" t="inlineStr">
        <is>
          <t>KROKOM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41675-2024</t>
        </is>
      </c>
      <c r="B1015" s="1" t="n">
        <v>45560.6599537037</v>
      </c>
      <c r="C1015" s="1" t="n">
        <v>45917</v>
      </c>
      <c r="D1015" t="inlineStr">
        <is>
          <t>JÄMTLANDS LÄN</t>
        </is>
      </c>
      <c r="E1015" t="inlineStr">
        <is>
          <t>KROKOM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23083-2025</t>
        </is>
      </c>
      <c r="B1016" s="1" t="n">
        <v>45791</v>
      </c>
      <c r="C1016" s="1" t="n">
        <v>45917</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25398-2025</t>
        </is>
      </c>
      <c r="B1017" s="1" t="n">
        <v>45800.65177083333</v>
      </c>
      <c r="C1017" s="1" t="n">
        <v>45917</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25386-2025</t>
        </is>
      </c>
      <c r="B1018" s="1" t="n">
        <v>45800.64319444444</v>
      </c>
      <c r="C1018" s="1" t="n">
        <v>45917</v>
      </c>
      <c r="D1018" t="inlineStr">
        <is>
          <t>JÄMTLANDS LÄN</t>
        </is>
      </c>
      <c r="E1018" t="inlineStr">
        <is>
          <t>KROKOM</t>
        </is>
      </c>
      <c r="G1018" t="n">
        <v>11.9</v>
      </c>
      <c r="H1018" t="n">
        <v>0</v>
      </c>
      <c r="I1018" t="n">
        <v>0</v>
      </c>
      <c r="J1018" t="n">
        <v>0</v>
      </c>
      <c r="K1018" t="n">
        <v>0</v>
      </c>
      <c r="L1018" t="n">
        <v>0</v>
      </c>
      <c r="M1018" t="n">
        <v>0</v>
      </c>
      <c r="N1018" t="n">
        <v>0</v>
      </c>
      <c r="O1018" t="n">
        <v>0</v>
      </c>
      <c r="P1018" t="n">
        <v>0</v>
      </c>
      <c r="Q1018" t="n">
        <v>0</v>
      </c>
      <c r="R1018" s="2" t="inlineStr"/>
    </row>
    <row r="1019" ht="15" customHeight="1">
      <c r="A1019" t="inlineStr">
        <is>
          <t>A 4058-2025</t>
        </is>
      </c>
      <c r="B1019" s="1" t="n">
        <v>45684.62510416667</v>
      </c>
      <c r="C1019" s="1" t="n">
        <v>45917</v>
      </c>
      <c r="D1019" t="inlineStr">
        <is>
          <t>JÄMTLANDS LÄN</t>
        </is>
      </c>
      <c r="E1019" t="inlineStr">
        <is>
          <t>KROKOM</t>
        </is>
      </c>
      <c r="F1019" t="inlineStr">
        <is>
          <t>Kyrkan</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15341-2025</t>
        </is>
      </c>
      <c r="B1020" s="1" t="n">
        <v>45746</v>
      </c>
      <c r="C1020" s="1" t="n">
        <v>45917</v>
      </c>
      <c r="D1020" t="inlineStr">
        <is>
          <t>JÄMTLANDS LÄN</t>
        </is>
      </c>
      <c r="E1020" t="inlineStr">
        <is>
          <t>KROKOM</t>
        </is>
      </c>
      <c r="F1020" t="inlineStr">
        <is>
          <t>SCA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6342-2025</t>
        </is>
      </c>
      <c r="B1021" s="1" t="n">
        <v>45699</v>
      </c>
      <c r="C1021" s="1" t="n">
        <v>45917</v>
      </c>
      <c r="D1021" t="inlineStr">
        <is>
          <t>JÄMTLANDS LÄN</t>
        </is>
      </c>
      <c r="E1021" t="inlineStr">
        <is>
          <t>KROKOM</t>
        </is>
      </c>
      <c r="F1021" t="inlineStr">
        <is>
          <t>Övriga Aktiebolag</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25681-2025</t>
        </is>
      </c>
      <c r="B1022" s="1" t="n">
        <v>45800</v>
      </c>
      <c r="C1022" s="1" t="n">
        <v>45917</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10782-2023</t>
        </is>
      </c>
      <c r="B1023" s="1" t="n">
        <v>44988.94056712963</v>
      </c>
      <c r="C1023" s="1" t="n">
        <v>45917</v>
      </c>
      <c r="D1023" t="inlineStr">
        <is>
          <t>JÄMTLANDS LÄN</t>
        </is>
      </c>
      <c r="E1023" t="inlineStr">
        <is>
          <t>KROKOM</t>
        </is>
      </c>
      <c r="F1023" t="inlineStr">
        <is>
          <t>SCA</t>
        </is>
      </c>
      <c r="G1023" t="n">
        <v>68.8</v>
      </c>
      <c r="H1023" t="n">
        <v>0</v>
      </c>
      <c r="I1023" t="n">
        <v>0</v>
      </c>
      <c r="J1023" t="n">
        <v>0</v>
      </c>
      <c r="K1023" t="n">
        <v>0</v>
      </c>
      <c r="L1023" t="n">
        <v>0</v>
      </c>
      <c r="M1023" t="n">
        <v>0</v>
      </c>
      <c r="N1023" t="n">
        <v>0</v>
      </c>
      <c r="O1023" t="n">
        <v>0</v>
      </c>
      <c r="P1023" t="n">
        <v>0</v>
      </c>
      <c r="Q1023" t="n">
        <v>0</v>
      </c>
      <c r="R1023" s="2" t="inlineStr"/>
    </row>
    <row r="1024" ht="15" customHeight="1">
      <c r="A1024" t="inlineStr">
        <is>
          <t>A 58569-2020</t>
        </is>
      </c>
      <c r="B1024" s="1" t="n">
        <v>44141</v>
      </c>
      <c r="C1024" s="1" t="n">
        <v>45917</v>
      </c>
      <c r="D1024" t="inlineStr">
        <is>
          <t>JÄMTLANDS LÄN</t>
        </is>
      </c>
      <c r="E1024" t="inlineStr">
        <is>
          <t>KROKOM</t>
        </is>
      </c>
      <c r="G1024" t="n">
        <v>52.8</v>
      </c>
      <c r="H1024" t="n">
        <v>0</v>
      </c>
      <c r="I1024" t="n">
        <v>0</v>
      </c>
      <c r="J1024" t="n">
        <v>0</v>
      </c>
      <c r="K1024" t="n">
        <v>0</v>
      </c>
      <c r="L1024" t="n">
        <v>0</v>
      </c>
      <c r="M1024" t="n">
        <v>0</v>
      </c>
      <c r="N1024" t="n">
        <v>0</v>
      </c>
      <c r="O1024" t="n">
        <v>0</v>
      </c>
      <c r="P1024" t="n">
        <v>0</v>
      </c>
      <c r="Q1024" t="n">
        <v>0</v>
      </c>
      <c r="R1024" s="2" t="inlineStr"/>
    </row>
    <row r="1025" ht="15" customHeight="1">
      <c r="A1025" t="inlineStr">
        <is>
          <t>A 46632-2023</t>
        </is>
      </c>
      <c r="B1025" s="1" t="n">
        <v>45198.42734953704</v>
      </c>
      <c r="C1025" s="1" t="n">
        <v>45917</v>
      </c>
      <c r="D1025" t="inlineStr">
        <is>
          <t>JÄMTLANDS LÄN</t>
        </is>
      </c>
      <c r="E1025" t="inlineStr">
        <is>
          <t>KROKOM</t>
        </is>
      </c>
      <c r="F1025" t="inlineStr">
        <is>
          <t>Övriga Aktiebolag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25710-2025</t>
        </is>
      </c>
      <c r="B1026" s="1" t="n">
        <v>45803.6837962963</v>
      </c>
      <c r="C1026" s="1" t="n">
        <v>45917</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18476-2022</t>
        </is>
      </c>
      <c r="B1027" s="1" t="n">
        <v>44686</v>
      </c>
      <c r="C1027" s="1" t="n">
        <v>45917</v>
      </c>
      <c r="D1027" t="inlineStr">
        <is>
          <t>JÄMTLANDS LÄN</t>
        </is>
      </c>
      <c r="E1027" t="inlineStr">
        <is>
          <t>KROKOM</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44296-2024</t>
        </is>
      </c>
      <c r="B1028" s="1" t="n">
        <v>45573.54893518519</v>
      </c>
      <c r="C1028" s="1" t="n">
        <v>45917</v>
      </c>
      <c r="D1028" t="inlineStr">
        <is>
          <t>JÄMTLANDS LÄN</t>
        </is>
      </c>
      <c r="E1028" t="inlineStr">
        <is>
          <t>KROKOM</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19698-2024</t>
        </is>
      </c>
      <c r="B1029" s="1" t="n">
        <v>45432.54027777778</v>
      </c>
      <c r="C1029" s="1" t="n">
        <v>45917</v>
      </c>
      <c r="D1029" t="inlineStr">
        <is>
          <t>JÄMTLANDS LÄN</t>
        </is>
      </c>
      <c r="E1029" t="inlineStr">
        <is>
          <t>KROKOM</t>
        </is>
      </c>
      <c r="G1029" t="n">
        <v>15.9</v>
      </c>
      <c r="H1029" t="n">
        <v>0</v>
      </c>
      <c r="I1029" t="n">
        <v>0</v>
      </c>
      <c r="J1029" t="n">
        <v>0</v>
      </c>
      <c r="K1029" t="n">
        <v>0</v>
      </c>
      <c r="L1029" t="n">
        <v>0</v>
      </c>
      <c r="M1029" t="n">
        <v>0</v>
      </c>
      <c r="N1029" t="n">
        <v>0</v>
      </c>
      <c r="O1029" t="n">
        <v>0</v>
      </c>
      <c r="P1029" t="n">
        <v>0</v>
      </c>
      <c r="Q1029" t="n">
        <v>0</v>
      </c>
      <c r="R1029" s="2" t="inlineStr"/>
    </row>
    <row r="1030" ht="15" customHeight="1">
      <c r="A1030" t="inlineStr">
        <is>
          <t>A 42825-2023</t>
        </is>
      </c>
      <c r="B1030" s="1" t="n">
        <v>45182</v>
      </c>
      <c r="C1030" s="1" t="n">
        <v>45917</v>
      </c>
      <c r="D1030" t="inlineStr">
        <is>
          <t>JÄMTLANDS LÄN</t>
        </is>
      </c>
      <c r="E1030" t="inlineStr">
        <is>
          <t>KROKOM</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52590-2023</t>
        </is>
      </c>
      <c r="B1031" s="1" t="n">
        <v>45225.60212962963</v>
      </c>
      <c r="C1031" s="1" t="n">
        <v>45917</v>
      </c>
      <c r="D1031" t="inlineStr">
        <is>
          <t>JÄMTLANDS LÄN</t>
        </is>
      </c>
      <c r="E1031" t="inlineStr">
        <is>
          <t>KROKOM</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47838-2023</t>
        </is>
      </c>
      <c r="B1032" s="1" t="n">
        <v>45204</v>
      </c>
      <c r="C1032" s="1" t="n">
        <v>45917</v>
      </c>
      <c r="D1032" t="inlineStr">
        <is>
          <t>JÄMTLANDS LÄN</t>
        </is>
      </c>
      <c r="E1032" t="inlineStr">
        <is>
          <t>KROKOM</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5907-2025</t>
        </is>
      </c>
      <c r="B1033" s="1" t="n">
        <v>45695.4046875</v>
      </c>
      <c r="C1033" s="1" t="n">
        <v>45917</v>
      </c>
      <c r="D1033" t="inlineStr">
        <is>
          <t>JÄMTLANDS LÄN</t>
        </is>
      </c>
      <c r="E1033" t="inlineStr">
        <is>
          <t>KROKOM</t>
        </is>
      </c>
      <c r="F1033" t="inlineStr">
        <is>
          <t>Övriga Aktiebolag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5920-2025</t>
        </is>
      </c>
      <c r="B1034" s="1" t="n">
        <v>45695.42418981482</v>
      </c>
      <c r="C1034" s="1" t="n">
        <v>45917</v>
      </c>
      <c r="D1034" t="inlineStr">
        <is>
          <t>JÄMTLANDS LÄN</t>
        </is>
      </c>
      <c r="E1034" t="inlineStr">
        <is>
          <t>KROKOM</t>
        </is>
      </c>
      <c r="F1034" t="inlineStr">
        <is>
          <t>Övriga Aktiebolag</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42393-2024</t>
        </is>
      </c>
      <c r="B1035" s="1" t="n">
        <v>45565.32449074074</v>
      </c>
      <c r="C1035" s="1" t="n">
        <v>45917</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59706-2020</t>
        </is>
      </c>
      <c r="B1036" s="1" t="n">
        <v>44151</v>
      </c>
      <c r="C1036" s="1" t="n">
        <v>45917</v>
      </c>
      <c r="D1036" t="inlineStr">
        <is>
          <t>JÄMTLANDS LÄN</t>
        </is>
      </c>
      <c r="E1036" t="inlineStr">
        <is>
          <t>KROKOM</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40221-2024</t>
        </is>
      </c>
      <c r="B1037" s="1" t="n">
        <v>45554.59550925926</v>
      </c>
      <c r="C1037" s="1" t="n">
        <v>45917</v>
      </c>
      <c r="D1037" t="inlineStr">
        <is>
          <t>JÄMTLANDS LÄN</t>
        </is>
      </c>
      <c r="E1037" t="inlineStr">
        <is>
          <t>KROKOM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62131-2024</t>
        </is>
      </c>
      <c r="B1038" s="1" t="n">
        <v>45656</v>
      </c>
      <c r="C1038" s="1" t="n">
        <v>45917</v>
      </c>
      <c r="D1038" t="inlineStr">
        <is>
          <t>JÄMTLANDS LÄN</t>
        </is>
      </c>
      <c r="E1038" t="inlineStr">
        <is>
          <t>KROKOM</t>
        </is>
      </c>
      <c r="F1038" t="inlineStr">
        <is>
          <t>Övriga Aktiebolag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15310-2025</t>
        </is>
      </c>
      <c r="B1039" s="1" t="n">
        <v>45746.79134259259</v>
      </c>
      <c r="C1039" s="1" t="n">
        <v>45917</v>
      </c>
      <c r="D1039" t="inlineStr">
        <is>
          <t>JÄMTLANDS LÄN</t>
        </is>
      </c>
      <c r="E1039" t="inlineStr">
        <is>
          <t>KROKOM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9796-2025</t>
        </is>
      </c>
      <c r="B1040" s="1" t="n">
        <v>45716.55237268518</v>
      </c>
      <c r="C1040" s="1" t="n">
        <v>45917</v>
      </c>
      <c r="D1040" t="inlineStr">
        <is>
          <t>JÄMTLANDS LÄN</t>
        </is>
      </c>
      <c r="E1040" t="inlineStr">
        <is>
          <t>KROKOM</t>
        </is>
      </c>
      <c r="F1040" t="inlineStr">
        <is>
          <t>SCA</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1323-2025</t>
        </is>
      </c>
      <c r="B1041" s="1" t="n">
        <v>45667.57217592592</v>
      </c>
      <c r="C1041" s="1" t="n">
        <v>45917</v>
      </c>
      <c r="D1041" t="inlineStr">
        <is>
          <t>JÄMTLANDS LÄN</t>
        </is>
      </c>
      <c r="E1041" t="inlineStr">
        <is>
          <t>KROKOM</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6524-2025</t>
        </is>
      </c>
      <c r="B1042" s="1" t="n">
        <v>45699.66576388889</v>
      </c>
      <c r="C1042" s="1" t="n">
        <v>45917</v>
      </c>
      <c r="D1042" t="inlineStr">
        <is>
          <t>JÄMTLANDS LÄN</t>
        </is>
      </c>
      <c r="E1042" t="inlineStr">
        <is>
          <t>KROKOM</t>
        </is>
      </c>
      <c r="F1042" t="inlineStr">
        <is>
          <t>Övriga Aktiebolag</t>
        </is>
      </c>
      <c r="G1042" t="n">
        <v>51.6</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45917</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4423-2025</t>
        </is>
      </c>
      <c r="B1044" s="1" t="n">
        <v>45686</v>
      </c>
      <c r="C1044" s="1" t="n">
        <v>45917</v>
      </c>
      <c r="D1044" t="inlineStr">
        <is>
          <t>JÄMTLANDS LÄN</t>
        </is>
      </c>
      <c r="E1044" t="inlineStr">
        <is>
          <t>KROKOM</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38748-2024</t>
        </is>
      </c>
      <c r="B1045" s="1" t="n">
        <v>45547.42736111111</v>
      </c>
      <c r="C1045" s="1" t="n">
        <v>45917</v>
      </c>
      <c r="D1045" t="inlineStr">
        <is>
          <t>JÄMTLANDS LÄN</t>
        </is>
      </c>
      <c r="E1045" t="inlineStr">
        <is>
          <t>KROKOM</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41784-2023</t>
        </is>
      </c>
      <c r="B1046" s="1" t="n">
        <v>45176</v>
      </c>
      <c r="C1046" s="1" t="n">
        <v>45917</v>
      </c>
      <c r="D1046" t="inlineStr">
        <is>
          <t>JÄMTLANDS LÄN</t>
        </is>
      </c>
      <c r="E1046" t="inlineStr">
        <is>
          <t>KROKOM</t>
        </is>
      </c>
      <c r="F1046" t="inlineStr">
        <is>
          <t>Övriga Aktiebolag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5785-2025</t>
        </is>
      </c>
      <c r="B1047" s="1" t="n">
        <v>45694.64416666667</v>
      </c>
      <c r="C1047" s="1" t="n">
        <v>45917</v>
      </c>
      <c r="D1047" t="inlineStr">
        <is>
          <t>JÄMTLANDS LÄN</t>
        </is>
      </c>
      <c r="E1047" t="inlineStr">
        <is>
          <t>KROKOM</t>
        </is>
      </c>
      <c r="F1047" t="inlineStr">
        <is>
          <t>Övriga Aktiebolag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54975-2024</t>
        </is>
      </c>
      <c r="B1048" s="1" t="n">
        <v>45620.67667824074</v>
      </c>
      <c r="C1048" s="1" t="n">
        <v>45917</v>
      </c>
      <c r="D1048" t="inlineStr">
        <is>
          <t>JÄMTLANDS LÄN</t>
        </is>
      </c>
      <c r="E1048" t="inlineStr">
        <is>
          <t>KROKOM</t>
        </is>
      </c>
      <c r="G1048" t="n">
        <v>24.1</v>
      </c>
      <c r="H1048" t="n">
        <v>0</v>
      </c>
      <c r="I1048" t="n">
        <v>0</v>
      </c>
      <c r="J1048" t="n">
        <v>0</v>
      </c>
      <c r="K1048" t="n">
        <v>0</v>
      </c>
      <c r="L1048" t="n">
        <v>0</v>
      </c>
      <c r="M1048" t="n">
        <v>0</v>
      </c>
      <c r="N1048" t="n">
        <v>0</v>
      </c>
      <c r="O1048" t="n">
        <v>0</v>
      </c>
      <c r="P1048" t="n">
        <v>0</v>
      </c>
      <c r="Q1048" t="n">
        <v>0</v>
      </c>
      <c r="R1048" s="2" t="inlineStr"/>
    </row>
    <row r="1049" ht="15" customHeight="1">
      <c r="A1049" t="inlineStr">
        <is>
          <t>A 54043-2023</t>
        </is>
      </c>
      <c r="B1049" s="1" t="n">
        <v>45231</v>
      </c>
      <c r="C1049" s="1" t="n">
        <v>45917</v>
      </c>
      <c r="D1049" t="inlineStr">
        <is>
          <t>JÄMTLANDS LÄN</t>
        </is>
      </c>
      <c r="E1049" t="inlineStr">
        <is>
          <t>KROKOM</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692-2025</t>
        </is>
      </c>
      <c r="B1050" s="1" t="n">
        <v>45662</v>
      </c>
      <c r="C1050" s="1" t="n">
        <v>45917</v>
      </c>
      <c r="D1050" t="inlineStr">
        <is>
          <t>JÄMTLANDS LÄN</t>
        </is>
      </c>
      <c r="E1050" t="inlineStr">
        <is>
          <t>KROKOM</t>
        </is>
      </c>
      <c r="G1050" t="n">
        <v>20</v>
      </c>
      <c r="H1050" t="n">
        <v>0</v>
      </c>
      <c r="I1050" t="n">
        <v>0</v>
      </c>
      <c r="J1050" t="n">
        <v>0</v>
      </c>
      <c r="K1050" t="n">
        <v>0</v>
      </c>
      <c r="L1050" t="n">
        <v>0</v>
      </c>
      <c r="M1050" t="n">
        <v>0</v>
      </c>
      <c r="N1050" t="n">
        <v>0</v>
      </c>
      <c r="O1050" t="n">
        <v>0</v>
      </c>
      <c r="P1050" t="n">
        <v>0</v>
      </c>
      <c r="Q1050" t="n">
        <v>0</v>
      </c>
      <c r="R1050" s="2" t="inlineStr"/>
    </row>
    <row r="1051" ht="15" customHeight="1">
      <c r="A1051" t="inlineStr">
        <is>
          <t>A 15524-2024</t>
        </is>
      </c>
      <c r="B1051" s="1" t="n">
        <v>45401.59133101852</v>
      </c>
      <c r="C1051" s="1" t="n">
        <v>45917</v>
      </c>
      <c r="D1051" t="inlineStr">
        <is>
          <t>JÄMTLANDS LÄN</t>
        </is>
      </c>
      <c r="E1051" t="inlineStr">
        <is>
          <t>KROKOM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5637-2025</t>
        </is>
      </c>
      <c r="B1052" s="1" t="n">
        <v>45693.67361111111</v>
      </c>
      <c r="C1052" s="1" t="n">
        <v>45917</v>
      </c>
      <c r="D1052" t="inlineStr">
        <is>
          <t>JÄMTLANDS LÄN</t>
        </is>
      </c>
      <c r="E1052" t="inlineStr">
        <is>
          <t>KROKOM</t>
        </is>
      </c>
      <c r="F1052" t="inlineStr">
        <is>
          <t>Övriga Aktiebolag</t>
        </is>
      </c>
      <c r="G1052" t="n">
        <v>57.8</v>
      </c>
      <c r="H1052" t="n">
        <v>0</v>
      </c>
      <c r="I1052" t="n">
        <v>0</v>
      </c>
      <c r="J1052" t="n">
        <v>0</v>
      </c>
      <c r="K1052" t="n">
        <v>0</v>
      </c>
      <c r="L1052" t="n">
        <v>0</v>
      </c>
      <c r="M1052" t="n">
        <v>0</v>
      </c>
      <c r="N1052" t="n">
        <v>0</v>
      </c>
      <c r="O1052" t="n">
        <v>0</v>
      </c>
      <c r="P1052" t="n">
        <v>0</v>
      </c>
      <c r="Q1052" t="n">
        <v>0</v>
      </c>
      <c r="R1052" s="2" t="inlineStr"/>
    </row>
    <row r="1053" ht="15" customHeight="1">
      <c r="A1053" t="inlineStr">
        <is>
          <t>A 59620-2024</t>
        </is>
      </c>
      <c r="B1053" s="1" t="n">
        <v>45638.81385416666</v>
      </c>
      <c r="C1053" s="1" t="n">
        <v>45917</v>
      </c>
      <c r="D1053" t="inlineStr">
        <is>
          <t>JÄMTLANDS LÄN</t>
        </is>
      </c>
      <c r="E1053" t="inlineStr">
        <is>
          <t>KROKOM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7366-2025</t>
        </is>
      </c>
      <c r="B1054" s="1" t="n">
        <v>45704.71069444445</v>
      </c>
      <c r="C1054" s="1" t="n">
        <v>45917</v>
      </c>
      <c r="D1054" t="inlineStr">
        <is>
          <t>JÄMTLANDS LÄN</t>
        </is>
      </c>
      <c r="E1054" t="inlineStr">
        <is>
          <t>KROKOM</t>
        </is>
      </c>
      <c r="F1054" t="inlineStr">
        <is>
          <t>Övriga Aktiebolag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5364-2025</t>
        </is>
      </c>
      <c r="B1055" s="1" t="n">
        <v>45692.58106481482</v>
      </c>
      <c r="C1055" s="1" t="n">
        <v>45917</v>
      </c>
      <c r="D1055" t="inlineStr">
        <is>
          <t>JÄMTLANDS LÄN</t>
        </is>
      </c>
      <c r="E1055" t="inlineStr">
        <is>
          <t>KROKOM</t>
        </is>
      </c>
      <c r="G1055" t="n">
        <v>25.4</v>
      </c>
      <c r="H1055" t="n">
        <v>0</v>
      </c>
      <c r="I1055" t="n">
        <v>0</v>
      </c>
      <c r="J1055" t="n">
        <v>0</v>
      </c>
      <c r="K1055" t="n">
        <v>0</v>
      </c>
      <c r="L1055" t="n">
        <v>0</v>
      </c>
      <c r="M1055" t="n">
        <v>0</v>
      </c>
      <c r="N1055" t="n">
        <v>0</v>
      </c>
      <c r="O1055" t="n">
        <v>0</v>
      </c>
      <c r="P1055" t="n">
        <v>0</v>
      </c>
      <c r="Q1055" t="n">
        <v>0</v>
      </c>
      <c r="R1055" s="2" t="inlineStr"/>
    </row>
    <row r="1056" ht="15" customHeight="1">
      <c r="A1056" t="inlineStr">
        <is>
          <t>A 27616-2023</t>
        </is>
      </c>
      <c r="B1056" s="1" t="n">
        <v>45097</v>
      </c>
      <c r="C1056" s="1" t="n">
        <v>45917</v>
      </c>
      <c r="D1056" t="inlineStr">
        <is>
          <t>JÄMTLANDS LÄN</t>
        </is>
      </c>
      <c r="E1056" t="inlineStr">
        <is>
          <t>KROKOM</t>
        </is>
      </c>
      <c r="F1056" t="inlineStr">
        <is>
          <t>Övriga Aktiebolag</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6585-2025</t>
        </is>
      </c>
      <c r="B1057" s="1" t="n">
        <v>45700.27895833334</v>
      </c>
      <c r="C1057" s="1" t="n">
        <v>45917</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55831-2024</t>
        </is>
      </c>
      <c r="B1058" s="1" t="n">
        <v>45623.48571759259</v>
      </c>
      <c r="C1058" s="1" t="n">
        <v>45917</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7013-2025</t>
        </is>
      </c>
      <c r="B1059" s="1" t="n">
        <v>45701.60901620371</v>
      </c>
      <c r="C1059" s="1" t="n">
        <v>45917</v>
      </c>
      <c r="D1059" t="inlineStr">
        <is>
          <t>JÄMTLANDS LÄN</t>
        </is>
      </c>
      <c r="E1059" t="inlineStr">
        <is>
          <t>KROKOM</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5704-2025</t>
        </is>
      </c>
      <c r="B1060" s="1" t="n">
        <v>45694.43806712963</v>
      </c>
      <c r="C1060" s="1" t="n">
        <v>45917</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2782-2025</t>
        </is>
      </c>
      <c r="B1061" s="1" t="n">
        <v>45676</v>
      </c>
      <c r="C1061" s="1" t="n">
        <v>45917</v>
      </c>
      <c r="D1061" t="inlineStr">
        <is>
          <t>JÄMTLANDS LÄN</t>
        </is>
      </c>
      <c r="E1061" t="inlineStr">
        <is>
          <t>KROKOM</t>
        </is>
      </c>
      <c r="G1061" t="n">
        <v>18.6</v>
      </c>
      <c r="H1061" t="n">
        <v>0</v>
      </c>
      <c r="I1061" t="n">
        <v>0</v>
      </c>
      <c r="J1061" t="n">
        <v>0</v>
      </c>
      <c r="K1061" t="n">
        <v>0</v>
      </c>
      <c r="L1061" t="n">
        <v>0</v>
      </c>
      <c r="M1061" t="n">
        <v>0</v>
      </c>
      <c r="N1061" t="n">
        <v>0</v>
      </c>
      <c r="O1061" t="n">
        <v>0</v>
      </c>
      <c r="P1061" t="n">
        <v>0</v>
      </c>
      <c r="Q1061" t="n">
        <v>0</v>
      </c>
      <c r="R1061" s="2" t="inlineStr"/>
    </row>
    <row r="1062" ht="15" customHeight="1">
      <c r="A1062" t="inlineStr">
        <is>
          <t>A 18080-2025</t>
        </is>
      </c>
      <c r="B1062" s="1" t="n">
        <v>45761.50909722222</v>
      </c>
      <c r="C1062" s="1" t="n">
        <v>45917</v>
      </c>
      <c r="D1062" t="inlineStr">
        <is>
          <t>JÄMTLANDS LÄN</t>
        </is>
      </c>
      <c r="E1062" t="inlineStr">
        <is>
          <t>KROKOM</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688-2021</t>
        </is>
      </c>
      <c r="B1063" s="1" t="n">
        <v>44203</v>
      </c>
      <c r="C1063" s="1" t="n">
        <v>45917</v>
      </c>
      <c r="D1063" t="inlineStr">
        <is>
          <t>JÄMTLANDS LÄN</t>
        </is>
      </c>
      <c r="E1063" t="inlineStr">
        <is>
          <t>KROKOM</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51929-2023</t>
        </is>
      </c>
      <c r="B1064" s="1" t="n">
        <v>45216</v>
      </c>
      <c r="C1064" s="1" t="n">
        <v>45917</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57728-2020</t>
        </is>
      </c>
      <c r="B1065" s="1" t="n">
        <v>44140</v>
      </c>
      <c r="C1065" s="1" t="n">
        <v>45917</v>
      </c>
      <c r="D1065" t="inlineStr">
        <is>
          <t>JÄMTLANDS LÄN</t>
        </is>
      </c>
      <c r="E1065" t="inlineStr">
        <is>
          <t>KROKOM</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10552-2025</t>
        </is>
      </c>
      <c r="B1066" s="1" t="n">
        <v>45721.5113425926</v>
      </c>
      <c r="C1066" s="1" t="n">
        <v>45917</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7556-2025</t>
        </is>
      </c>
      <c r="B1067" s="1" t="n">
        <v>45705</v>
      </c>
      <c r="C1067" s="1" t="n">
        <v>45917</v>
      </c>
      <c r="D1067" t="inlineStr">
        <is>
          <t>JÄMTLANDS LÄN</t>
        </is>
      </c>
      <c r="E1067" t="inlineStr">
        <is>
          <t>KROKOM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53543-2024</t>
        </is>
      </c>
      <c r="B1068" s="1" t="n">
        <v>45614.63697916667</v>
      </c>
      <c r="C1068" s="1" t="n">
        <v>45917</v>
      </c>
      <c r="D1068" t="inlineStr">
        <is>
          <t>JÄMTLANDS LÄN</t>
        </is>
      </c>
      <c r="E1068" t="inlineStr">
        <is>
          <t>KROKOM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22865-2022</t>
        </is>
      </c>
      <c r="B1069" s="1" t="n">
        <v>44715.48863425926</v>
      </c>
      <c r="C1069" s="1" t="n">
        <v>45917</v>
      </c>
      <c r="D1069" t="inlineStr">
        <is>
          <t>JÄMTLANDS LÄN</t>
        </is>
      </c>
      <c r="E1069" t="inlineStr">
        <is>
          <t>KROKOM</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16545-2024</t>
        </is>
      </c>
      <c r="B1070" s="1" t="n">
        <v>45408</v>
      </c>
      <c r="C1070" s="1" t="n">
        <v>45917</v>
      </c>
      <c r="D1070" t="inlineStr">
        <is>
          <t>JÄMTLANDS LÄN</t>
        </is>
      </c>
      <c r="E1070" t="inlineStr">
        <is>
          <t>KROKOM</t>
        </is>
      </c>
      <c r="G1070" t="n">
        <v>46.1</v>
      </c>
      <c r="H1070" t="n">
        <v>0</v>
      </c>
      <c r="I1070" t="n">
        <v>0</v>
      </c>
      <c r="J1070" t="n">
        <v>0</v>
      </c>
      <c r="K1070" t="n">
        <v>0</v>
      </c>
      <c r="L1070" t="n">
        <v>0</v>
      </c>
      <c r="M1070" t="n">
        <v>0</v>
      </c>
      <c r="N1070" t="n">
        <v>0</v>
      </c>
      <c r="O1070" t="n">
        <v>0</v>
      </c>
      <c r="P1070" t="n">
        <v>0</v>
      </c>
      <c r="Q1070" t="n">
        <v>0</v>
      </c>
      <c r="R1070" s="2" t="inlineStr"/>
    </row>
    <row r="1071" ht="15" customHeight="1">
      <c r="A1071" t="inlineStr">
        <is>
          <t>A 5558-2025</t>
        </is>
      </c>
      <c r="B1071" s="1" t="n">
        <v>45693.48239583334</v>
      </c>
      <c r="C1071" s="1" t="n">
        <v>45917</v>
      </c>
      <c r="D1071" t="inlineStr">
        <is>
          <t>JÄMTLANDS LÄN</t>
        </is>
      </c>
      <c r="E1071" t="inlineStr">
        <is>
          <t>KROKOM</t>
        </is>
      </c>
      <c r="G1071" t="n">
        <v>31.1</v>
      </c>
      <c r="H1071" t="n">
        <v>0</v>
      </c>
      <c r="I1071" t="n">
        <v>0</v>
      </c>
      <c r="J1071" t="n">
        <v>0</v>
      </c>
      <c r="K1071" t="n">
        <v>0</v>
      </c>
      <c r="L1071" t="n">
        <v>0</v>
      </c>
      <c r="M1071" t="n">
        <v>0</v>
      </c>
      <c r="N1071" t="n">
        <v>0</v>
      </c>
      <c r="O1071" t="n">
        <v>0</v>
      </c>
      <c r="P1071" t="n">
        <v>0</v>
      </c>
      <c r="Q1071" t="n">
        <v>0</v>
      </c>
      <c r="R1071" s="2" t="inlineStr"/>
    </row>
    <row r="1072" ht="15" customHeight="1">
      <c r="A1072" t="inlineStr">
        <is>
          <t>A 6208-2025</t>
        </is>
      </c>
      <c r="B1072" s="1" t="n">
        <v>45698.4930787037</v>
      </c>
      <c r="C1072" s="1" t="n">
        <v>45917</v>
      </c>
      <c r="D1072" t="inlineStr">
        <is>
          <t>JÄMTLANDS LÄN</t>
        </is>
      </c>
      <c r="E1072" t="inlineStr">
        <is>
          <t>KROKOM</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61609-2020</t>
        </is>
      </c>
      <c r="B1073" s="1" t="n">
        <v>44154</v>
      </c>
      <c r="C1073" s="1" t="n">
        <v>45917</v>
      </c>
      <c r="D1073" t="inlineStr">
        <is>
          <t>JÄMTLANDS LÄN</t>
        </is>
      </c>
      <c r="E1073" t="inlineStr">
        <is>
          <t>KROKOM</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6245-2025</t>
        </is>
      </c>
      <c r="B1074" s="1" t="n">
        <v>45698.57129629629</v>
      </c>
      <c r="C1074" s="1" t="n">
        <v>45917</v>
      </c>
      <c r="D1074" t="inlineStr">
        <is>
          <t>JÄMTLANDS LÄN</t>
        </is>
      </c>
      <c r="E1074" t="inlineStr">
        <is>
          <t>KROKOM</t>
        </is>
      </c>
      <c r="G1074" t="n">
        <v>9.9</v>
      </c>
      <c r="H1074" t="n">
        <v>0</v>
      </c>
      <c r="I1074" t="n">
        <v>0</v>
      </c>
      <c r="J1074" t="n">
        <v>0</v>
      </c>
      <c r="K1074" t="n">
        <v>0</v>
      </c>
      <c r="L1074" t="n">
        <v>0</v>
      </c>
      <c r="M1074" t="n">
        <v>0</v>
      </c>
      <c r="N1074" t="n">
        <v>0</v>
      </c>
      <c r="O1074" t="n">
        <v>0</v>
      </c>
      <c r="P1074" t="n">
        <v>0</v>
      </c>
      <c r="Q1074" t="n">
        <v>0</v>
      </c>
      <c r="R1074" s="2" t="inlineStr"/>
    </row>
    <row r="1075" ht="15" customHeight="1">
      <c r="A1075" t="inlineStr">
        <is>
          <t>A 4383-2025</t>
        </is>
      </c>
      <c r="B1075" s="1" t="n">
        <v>45686.39777777778</v>
      </c>
      <c r="C1075" s="1" t="n">
        <v>45917</v>
      </c>
      <c r="D1075" t="inlineStr">
        <is>
          <t>JÄMTLANDS LÄN</t>
        </is>
      </c>
      <c r="E1075" t="inlineStr">
        <is>
          <t>KROKOM</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56538-2023</t>
        </is>
      </c>
      <c r="B1076" s="1" t="n">
        <v>45238</v>
      </c>
      <c r="C1076" s="1" t="n">
        <v>45917</v>
      </c>
      <c r="D1076" t="inlineStr">
        <is>
          <t>JÄMTLANDS LÄN</t>
        </is>
      </c>
      <c r="E1076" t="inlineStr">
        <is>
          <t>KROKOM</t>
        </is>
      </c>
      <c r="G1076" t="n">
        <v>17.7</v>
      </c>
      <c r="H1076" t="n">
        <v>0</v>
      </c>
      <c r="I1076" t="n">
        <v>0</v>
      </c>
      <c r="J1076" t="n">
        <v>0</v>
      </c>
      <c r="K1076" t="n">
        <v>0</v>
      </c>
      <c r="L1076" t="n">
        <v>0</v>
      </c>
      <c r="M1076" t="n">
        <v>0</v>
      </c>
      <c r="N1076" t="n">
        <v>0</v>
      </c>
      <c r="O1076" t="n">
        <v>0</v>
      </c>
      <c r="P1076" t="n">
        <v>0</v>
      </c>
      <c r="Q1076" t="n">
        <v>0</v>
      </c>
      <c r="R1076" s="2" t="inlineStr"/>
    </row>
    <row r="1077">
      <c r="A1077" t="inlineStr">
        <is>
          <t>A 15776-2025</t>
        </is>
      </c>
      <c r="B1077" s="1" t="n">
        <v>45748.59744212963</v>
      </c>
      <c r="C1077" s="1" t="n">
        <v>45917</v>
      </c>
      <c r="D1077" t="inlineStr">
        <is>
          <t>JÄMTLANDS LÄN</t>
        </is>
      </c>
      <c r="E1077" t="inlineStr">
        <is>
          <t>KROKOM</t>
        </is>
      </c>
      <c r="G1077" t="n">
        <v>46.5</v>
      </c>
      <c r="H1077" t="n">
        <v>0</v>
      </c>
      <c r="I1077" t="n">
        <v>0</v>
      </c>
      <c r="J1077" t="n">
        <v>0</v>
      </c>
      <c r="K1077" t="n">
        <v>0</v>
      </c>
      <c r="L1077" t="n">
        <v>0</v>
      </c>
      <c r="M1077" t="n">
        <v>0</v>
      </c>
      <c r="N1077" t="n">
        <v>0</v>
      </c>
      <c r="O1077" t="n">
        <v>0</v>
      </c>
      <c r="P1077" t="n">
        <v>0</v>
      </c>
      <c r="Q1077" t="n">
        <v>0</v>
      </c>
      <c r="R1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2025-09-17T08:59:27Z</dcterms:created>
  <dcterms:modified xmlns:dcterms="http://purl.org/dc/terms/" xmlns:xsi="http://www.w3.org/2001/XMLSchema-instance" xsi:type="dcterms:W3CDTF">2025-09-17T08:59:28Z</dcterms:modified>
</cp:coreProperties>
</file>