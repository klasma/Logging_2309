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45923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45923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45923</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45923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45923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45923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45923</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45923</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45923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45923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45923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45894.43864583333</v>
      </c>
      <c r="C13" s="1" t="n">
        <v>45923</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45923</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45923</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45923</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45923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45923</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45923</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45923</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52647-2023</t>
        </is>
      </c>
      <c r="B21" s="1" t="n">
        <v>45219</v>
      </c>
      <c r="C21" s="1" t="n">
        <v>45923</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30145-2021</t>
        </is>
      </c>
      <c r="B22" s="1" t="n">
        <v>44363</v>
      </c>
      <c r="C22" s="1" t="n">
        <v>45923</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45923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45923</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45923</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45923</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34803-2025</t>
        </is>
      </c>
      <c r="B27" s="1" t="n">
        <v>45849</v>
      </c>
      <c r="C27" s="1" t="n">
        <v>45923</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39937-2024</t>
        </is>
      </c>
      <c r="B28" s="1" t="n">
        <v>45553</v>
      </c>
      <c r="C28" s="1" t="n">
        <v>45923</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45923</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22902-2025</t>
        </is>
      </c>
      <c r="B30" s="1" t="n">
        <v>45790</v>
      </c>
      <c r="C30" s="1" t="n">
        <v>45923</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19403-2024</t>
        </is>
      </c>
      <c r="B31" s="1" t="n">
        <v>45428</v>
      </c>
      <c r="C31" s="1" t="n">
        <v>45923</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45923</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45923</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45923</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45923</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45923</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27736-2024</t>
        </is>
      </c>
      <c r="B37" s="1" t="n">
        <v>45475</v>
      </c>
      <c r="C37" s="1" t="n">
        <v>45923</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3005-2022</t>
        </is>
      </c>
      <c r="B38" s="1" t="n">
        <v>44581</v>
      </c>
      <c r="C38" s="1" t="n">
        <v>45923</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23499-2025</t>
        </is>
      </c>
      <c r="B39" s="1" t="n">
        <v>45792</v>
      </c>
      <c r="C39" s="1" t="n">
        <v>45923</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45923</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45923</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45923</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45923</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55352-2021</t>
        </is>
      </c>
      <c r="B44" s="1" t="n">
        <v>44475</v>
      </c>
      <c r="C44" s="1" t="n">
        <v>45923</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39503-2024</t>
        </is>
      </c>
      <c r="B45" s="1" t="n">
        <v>45551</v>
      </c>
      <c r="C45" s="1" t="n">
        <v>45923</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5877-2021</t>
        </is>
      </c>
      <c r="B46" s="1" t="n">
        <v>44231</v>
      </c>
      <c r="C46" s="1" t="n">
        <v>45923</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61388-2024</t>
        </is>
      </c>
      <c r="B47" s="1" t="n">
        <v>45646</v>
      </c>
      <c r="C47" s="1" t="n">
        <v>45923</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61434-2024</t>
        </is>
      </c>
      <c r="B48" s="1" t="n">
        <v>45646</v>
      </c>
      <c r="C48" s="1" t="n">
        <v>45923</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10051-2025</t>
        </is>
      </c>
      <c r="B49" s="1" t="n">
        <v>45719.52238425926</v>
      </c>
      <c r="C49" s="1" t="n">
        <v>45923</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36309-2024</t>
        </is>
      </c>
      <c r="B50" s="1" t="n">
        <v>45534</v>
      </c>
      <c r="C50" s="1" t="n">
        <v>45923</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34678-2022</t>
        </is>
      </c>
      <c r="B51" s="1" t="n">
        <v>44795</v>
      </c>
      <c r="C51" s="1" t="n">
        <v>45923</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32351-2024</t>
        </is>
      </c>
      <c r="B52" s="1" t="n">
        <v>45512</v>
      </c>
      <c r="C52" s="1" t="n">
        <v>45923</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18460-2023</t>
        </is>
      </c>
      <c r="B53" s="1" t="n">
        <v>45041</v>
      </c>
      <c r="C53" s="1" t="n">
        <v>45923</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29997-2024</t>
        </is>
      </c>
      <c r="B54" s="1" t="n">
        <v>45488.56961805555</v>
      </c>
      <c r="C54" s="1" t="n">
        <v>45923</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45923</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52574-2020</t>
        </is>
      </c>
      <c r="B56" s="1" t="n">
        <v>44118</v>
      </c>
      <c r="C56" s="1" t="n">
        <v>45923</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23661-2024</t>
        </is>
      </c>
      <c r="B57" s="1" t="n">
        <v>45454</v>
      </c>
      <c r="C57" s="1" t="n">
        <v>45923</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35063-2024</t>
        </is>
      </c>
      <c r="B58" s="1" t="n">
        <v>45527</v>
      </c>
      <c r="C58" s="1" t="n">
        <v>45923</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52633-2023</t>
        </is>
      </c>
      <c r="B59" s="1" t="n">
        <v>45219</v>
      </c>
      <c r="C59" s="1" t="n">
        <v>45923</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61749-2021</t>
        </is>
      </c>
      <c r="B60" s="1" t="n">
        <v>44498</v>
      </c>
      <c r="C60" s="1" t="n">
        <v>45923</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45923</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45923</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56568-2020</t>
        </is>
      </c>
      <c r="B63" s="1" t="n">
        <v>44133</v>
      </c>
      <c r="C63" s="1" t="n">
        <v>45923</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24370-2024</t>
        </is>
      </c>
      <c r="B64" s="1" t="n">
        <v>45457</v>
      </c>
      <c r="C64" s="1" t="n">
        <v>45923</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44344-2025</t>
        </is>
      </c>
      <c r="B65" s="1" t="n">
        <v>45916.43416666667</v>
      </c>
      <c r="C65" s="1" t="n">
        <v>45923</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40206-2023</t>
        </is>
      </c>
      <c r="B66" s="1" t="n">
        <v>45169</v>
      </c>
      <c r="C66" s="1" t="n">
        <v>45923</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43541-2023</t>
        </is>
      </c>
      <c r="B67" s="1" t="n">
        <v>45181</v>
      </c>
      <c r="C67" s="1" t="n">
        <v>45923</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19014-2021</t>
        </is>
      </c>
      <c r="B68" s="1" t="n">
        <v>44308</v>
      </c>
      <c r="C68" s="1" t="n">
        <v>45923</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3433-2022</t>
        </is>
      </c>
      <c r="B69" s="1" t="n">
        <v>44585</v>
      </c>
      <c r="C69" s="1" t="n">
        <v>45923</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45923</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62118-2023</t>
        </is>
      </c>
      <c r="B71" s="1" t="n">
        <v>45267</v>
      </c>
      <c r="C71" s="1" t="n">
        <v>45923</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35884-2025</t>
        </is>
      </c>
      <c r="B72" s="1" t="n">
        <v>45862.42901620371</v>
      </c>
      <c r="C72" s="1" t="n">
        <v>45923</v>
      </c>
      <c r="D72" t="inlineStr">
        <is>
          <t>JÄMTLANDS LÄN</t>
        </is>
      </c>
      <c r="E72" t="inlineStr">
        <is>
          <t>KROKOM</t>
        </is>
      </c>
      <c r="G72" t="n">
        <v>3.1</v>
      </c>
      <c r="H72" t="n">
        <v>3</v>
      </c>
      <c r="I72" t="n">
        <v>3</v>
      </c>
      <c r="J72" t="n">
        <v>3</v>
      </c>
      <c r="K72" t="n">
        <v>0</v>
      </c>
      <c r="L72" t="n">
        <v>0</v>
      </c>
      <c r="M72" t="n">
        <v>0</v>
      </c>
      <c r="N72" t="n">
        <v>0</v>
      </c>
      <c r="O72" t="n">
        <v>3</v>
      </c>
      <c r="P72" t="n">
        <v>0</v>
      </c>
      <c r="Q72" t="n">
        <v>7</v>
      </c>
      <c r="R72" s="2" t="inlineStr">
        <is>
          <t>Granticka
Harticka
Tretåig hackspett
Finbräken
Stuplav
Tvåblad
Blåsippa</t>
        </is>
      </c>
      <c r="S72">
        <f>HYPERLINK("https://klasma.github.io/Logging_2309/artfynd/A 35884-2025 artfynd.xlsx", "A 35884-2025")</f>
        <v/>
      </c>
      <c r="T72">
        <f>HYPERLINK("https://klasma.github.io/Logging_2309/kartor/A 35884-2025 karta.png", "A 35884-2025")</f>
        <v/>
      </c>
      <c r="V72">
        <f>HYPERLINK("https://klasma.github.io/Logging_2309/klagomål/A 35884-2025 FSC-klagomål.docx", "A 35884-2025")</f>
        <v/>
      </c>
      <c r="W72">
        <f>HYPERLINK("https://klasma.github.io/Logging_2309/klagomålsmail/A 35884-2025 FSC-klagomål mail.docx", "A 35884-2025")</f>
        <v/>
      </c>
      <c r="X72">
        <f>HYPERLINK("https://klasma.github.io/Logging_2309/tillsyn/A 35884-2025 tillsynsbegäran.docx", "A 35884-2025")</f>
        <v/>
      </c>
      <c r="Y72">
        <f>HYPERLINK("https://klasma.github.io/Logging_2309/tillsynsmail/A 35884-2025 tillsynsbegäran mail.docx", "A 35884-2025")</f>
        <v/>
      </c>
      <c r="Z72">
        <f>HYPERLINK("https://klasma.github.io/Logging_2309/fåglar/A 35884-2025 prioriterade fågelarter.docx", "A 35884-2025")</f>
        <v/>
      </c>
    </row>
    <row r="73" ht="15" customHeight="1">
      <c r="A73" t="inlineStr">
        <is>
          <t>A 36373-2023</t>
        </is>
      </c>
      <c r="B73" s="1" t="n">
        <v>45149</v>
      </c>
      <c r="C73" s="1" t="n">
        <v>45923</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37408-2025</t>
        </is>
      </c>
      <c r="B74" s="1" t="n">
        <v>45877.46555555556</v>
      </c>
      <c r="C74" s="1" t="n">
        <v>45923</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61448-2021</t>
        </is>
      </c>
      <c r="B75" s="1" t="n">
        <v>44500</v>
      </c>
      <c r="C75" s="1" t="n">
        <v>45923</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27771-2024</t>
        </is>
      </c>
      <c r="B76" s="1" t="n">
        <v>45475</v>
      </c>
      <c r="C76" s="1" t="n">
        <v>45923</v>
      </c>
      <c r="D76" t="inlineStr">
        <is>
          <t>JÄMTLANDS LÄN</t>
        </is>
      </c>
      <c r="E76" t="inlineStr">
        <is>
          <t>KROKOM</t>
        </is>
      </c>
      <c r="F76" t="inlineStr">
        <is>
          <t>Allmännings- och besparingsskogar</t>
        </is>
      </c>
      <c r="G76" t="n">
        <v>42.5</v>
      </c>
      <c r="H76" t="n">
        <v>4</v>
      </c>
      <c r="I76" t="n">
        <v>2</v>
      </c>
      <c r="J76" t="n">
        <v>4</v>
      </c>
      <c r="K76" t="n">
        <v>1</v>
      </c>
      <c r="L76" t="n">
        <v>0</v>
      </c>
      <c r="M76" t="n">
        <v>0</v>
      </c>
      <c r="N76" t="n">
        <v>0</v>
      </c>
      <c r="O76" t="n">
        <v>5</v>
      </c>
      <c r="P76" t="n">
        <v>1</v>
      </c>
      <c r="Q76" t="n">
        <v>7</v>
      </c>
      <c r="R76" s="2" t="inlineStr">
        <is>
          <t>Knärot
Garnlav
Granticka
Tretåig hackspett
Ullticka
Grönkulla
Spindelblomster</t>
        </is>
      </c>
      <c r="S76">
        <f>HYPERLINK("https://klasma.github.io/Logging_2309/artfynd/A 27771-2024 artfynd.xlsx", "A 27771-2024")</f>
        <v/>
      </c>
      <c r="T76">
        <f>HYPERLINK("https://klasma.github.io/Logging_2309/kartor/A 27771-2024 karta.png", "A 27771-2024")</f>
        <v/>
      </c>
      <c r="U76">
        <f>HYPERLINK("https://klasma.github.io/Logging_2309/knärot/A 27771-2024 karta knärot.png", "A 27771-2024")</f>
        <v/>
      </c>
      <c r="V76">
        <f>HYPERLINK("https://klasma.github.io/Logging_2309/klagomål/A 27771-2024 FSC-klagomål.docx", "A 27771-2024")</f>
        <v/>
      </c>
      <c r="W76">
        <f>HYPERLINK("https://klasma.github.io/Logging_2309/klagomålsmail/A 27771-2024 FSC-klagomål mail.docx", "A 27771-2024")</f>
        <v/>
      </c>
      <c r="X76">
        <f>HYPERLINK("https://klasma.github.io/Logging_2309/tillsyn/A 27771-2024 tillsynsbegäran.docx", "A 27771-2024")</f>
        <v/>
      </c>
      <c r="Y76">
        <f>HYPERLINK("https://klasma.github.io/Logging_2309/tillsynsmail/A 27771-2024 tillsynsbegäran mail.docx", "A 27771-2024")</f>
        <v/>
      </c>
      <c r="Z76">
        <f>HYPERLINK("https://klasma.github.io/Logging_2309/fåglar/A 27771-2024 prioriterade fågelarter.docx", "A 27771-2024")</f>
        <v/>
      </c>
    </row>
    <row r="77" ht="15" customHeight="1">
      <c r="A77" t="inlineStr">
        <is>
          <t>A 3134-2024</t>
        </is>
      </c>
      <c r="B77" s="1" t="n">
        <v>45316</v>
      </c>
      <c r="C77" s="1" t="n">
        <v>45923</v>
      </c>
      <c r="D77" t="inlineStr">
        <is>
          <t>JÄMTLANDS LÄN</t>
        </is>
      </c>
      <c r="E77" t="inlineStr">
        <is>
          <t>KROKOM</t>
        </is>
      </c>
      <c r="G77" t="n">
        <v>11.2</v>
      </c>
      <c r="H77" t="n">
        <v>2</v>
      </c>
      <c r="I77" t="n">
        <v>1</v>
      </c>
      <c r="J77" t="n">
        <v>5</v>
      </c>
      <c r="K77" t="n">
        <v>1</v>
      </c>
      <c r="L77" t="n">
        <v>0</v>
      </c>
      <c r="M77" t="n">
        <v>0</v>
      </c>
      <c r="N77" t="n">
        <v>0</v>
      </c>
      <c r="O77" t="n">
        <v>6</v>
      </c>
      <c r="P77" t="n">
        <v>1</v>
      </c>
      <c r="Q77" t="n">
        <v>7</v>
      </c>
      <c r="R77" s="2" t="inlineStr">
        <is>
          <t>Sprickporing
Garnlav
Granticka
Månlåsbräken
Spillkråka
Tretåig hackspett
Vedticka</t>
        </is>
      </c>
      <c r="S77">
        <f>HYPERLINK("https://klasma.github.io/Logging_2309/artfynd/A 3134-2024 artfynd.xlsx", "A 3134-2024")</f>
        <v/>
      </c>
      <c r="T77">
        <f>HYPERLINK("https://klasma.github.io/Logging_2309/kartor/A 3134-2024 karta.png", "A 3134-2024")</f>
        <v/>
      </c>
      <c r="V77">
        <f>HYPERLINK("https://klasma.github.io/Logging_2309/klagomål/A 3134-2024 FSC-klagomål.docx", "A 3134-2024")</f>
        <v/>
      </c>
      <c r="W77">
        <f>HYPERLINK("https://klasma.github.io/Logging_2309/klagomålsmail/A 3134-2024 FSC-klagomål mail.docx", "A 3134-2024")</f>
        <v/>
      </c>
      <c r="X77">
        <f>HYPERLINK("https://klasma.github.io/Logging_2309/tillsyn/A 3134-2024 tillsynsbegäran.docx", "A 3134-2024")</f>
        <v/>
      </c>
      <c r="Y77">
        <f>HYPERLINK("https://klasma.github.io/Logging_2309/tillsynsmail/A 3134-2024 tillsynsbegäran mail.docx", "A 3134-2024")</f>
        <v/>
      </c>
      <c r="Z77">
        <f>HYPERLINK("https://klasma.github.io/Logging_2309/fåglar/A 3134-2024 prioriterade fågelarter.docx", "A 3134-2024")</f>
        <v/>
      </c>
    </row>
    <row r="78" ht="15" customHeight="1">
      <c r="A78" t="inlineStr">
        <is>
          <t>A 32949-2025</t>
        </is>
      </c>
      <c r="B78" s="1" t="n">
        <v>45839.68914351852</v>
      </c>
      <c r="C78" s="1" t="n">
        <v>45923</v>
      </c>
      <c r="D78" t="inlineStr">
        <is>
          <t>JÄMTLANDS LÄN</t>
        </is>
      </c>
      <c r="E78" t="inlineStr">
        <is>
          <t>KROKOM</t>
        </is>
      </c>
      <c r="G78" t="n">
        <v>26.3</v>
      </c>
      <c r="H78" t="n">
        <v>4</v>
      </c>
      <c r="I78" t="n">
        <v>1</v>
      </c>
      <c r="J78" t="n">
        <v>4</v>
      </c>
      <c r="K78" t="n">
        <v>0</v>
      </c>
      <c r="L78" t="n">
        <v>0</v>
      </c>
      <c r="M78" t="n">
        <v>0</v>
      </c>
      <c r="N78" t="n">
        <v>0</v>
      </c>
      <c r="O78" t="n">
        <v>4</v>
      </c>
      <c r="P78" t="n">
        <v>0</v>
      </c>
      <c r="Q78" t="n">
        <v>7</v>
      </c>
      <c r="R78" s="2" t="inlineStr">
        <is>
          <t>Lunglav
Skrovellav
Talltita
Tretåig hackspett
Norrlandslav
Kungsfågel
Tjäder</t>
        </is>
      </c>
      <c r="S78">
        <f>HYPERLINK("https://klasma.github.io/Logging_2309/artfynd/A 32949-2025 artfynd.xlsx", "A 32949-2025")</f>
        <v/>
      </c>
      <c r="T78">
        <f>HYPERLINK("https://klasma.github.io/Logging_2309/kartor/A 32949-2025 karta.png", "A 32949-2025")</f>
        <v/>
      </c>
      <c r="V78">
        <f>HYPERLINK("https://klasma.github.io/Logging_2309/klagomål/A 32949-2025 FSC-klagomål.docx", "A 32949-2025")</f>
        <v/>
      </c>
      <c r="W78">
        <f>HYPERLINK("https://klasma.github.io/Logging_2309/klagomålsmail/A 32949-2025 FSC-klagomål mail.docx", "A 32949-2025")</f>
        <v/>
      </c>
      <c r="X78">
        <f>HYPERLINK("https://klasma.github.io/Logging_2309/tillsyn/A 32949-2025 tillsynsbegäran.docx", "A 32949-2025")</f>
        <v/>
      </c>
      <c r="Y78">
        <f>HYPERLINK("https://klasma.github.io/Logging_2309/tillsynsmail/A 32949-2025 tillsynsbegäran mail.docx", "A 32949-2025")</f>
        <v/>
      </c>
      <c r="Z78">
        <f>HYPERLINK("https://klasma.github.io/Logging_2309/fåglar/A 32949-2025 prioriterade fågelarter.docx", "A 32949-2025")</f>
        <v/>
      </c>
    </row>
    <row r="79" ht="15" customHeight="1">
      <c r="A79" t="inlineStr">
        <is>
          <t>A 12925-2021</t>
        </is>
      </c>
      <c r="B79" s="1" t="n">
        <v>44271</v>
      </c>
      <c r="C79" s="1" t="n">
        <v>45923</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45923</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45923</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45923</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45923</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45923</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35883-2025</t>
        </is>
      </c>
      <c r="B85" s="1" t="n">
        <v>45862.4257175926</v>
      </c>
      <c r="C85" s="1" t="n">
        <v>45923</v>
      </c>
      <c r="D85" t="inlineStr">
        <is>
          <t>JÄMTLANDS LÄN</t>
        </is>
      </c>
      <c r="E85" t="inlineStr">
        <is>
          <t>KROKOM</t>
        </is>
      </c>
      <c r="G85" t="n">
        <v>5</v>
      </c>
      <c r="H85" t="n">
        <v>2</v>
      </c>
      <c r="I85" t="n">
        <v>1</v>
      </c>
      <c r="J85" t="n">
        <v>4</v>
      </c>
      <c r="K85" t="n">
        <v>0</v>
      </c>
      <c r="L85" t="n">
        <v>0</v>
      </c>
      <c r="M85" t="n">
        <v>0</v>
      </c>
      <c r="N85" t="n">
        <v>0</v>
      </c>
      <c r="O85" t="n">
        <v>4</v>
      </c>
      <c r="P85" t="n">
        <v>0</v>
      </c>
      <c r="Q85" t="n">
        <v>6</v>
      </c>
      <c r="R85" s="2" t="inlineStr">
        <is>
          <t>Garnlav
Harticka
Talltita
Ullticka
Trådticka
Blåsippa</t>
        </is>
      </c>
      <c r="S85">
        <f>HYPERLINK("https://klasma.github.io/Logging_2309/artfynd/A 35883-2025 artfynd.xlsx", "A 35883-2025")</f>
        <v/>
      </c>
      <c r="T85">
        <f>HYPERLINK("https://klasma.github.io/Logging_2309/kartor/A 35883-2025 karta.png", "A 35883-2025")</f>
        <v/>
      </c>
      <c r="V85">
        <f>HYPERLINK("https://klasma.github.io/Logging_2309/klagomål/A 35883-2025 FSC-klagomål.docx", "A 35883-2025")</f>
        <v/>
      </c>
      <c r="W85">
        <f>HYPERLINK("https://klasma.github.io/Logging_2309/klagomålsmail/A 35883-2025 FSC-klagomål mail.docx", "A 35883-2025")</f>
        <v/>
      </c>
      <c r="X85">
        <f>HYPERLINK("https://klasma.github.io/Logging_2309/tillsyn/A 35883-2025 tillsynsbegäran.docx", "A 35883-2025")</f>
        <v/>
      </c>
      <c r="Y85">
        <f>HYPERLINK("https://klasma.github.io/Logging_2309/tillsynsmail/A 35883-2025 tillsynsbegäran mail.docx", "A 35883-2025")</f>
        <v/>
      </c>
      <c r="Z85">
        <f>HYPERLINK("https://klasma.github.io/Logging_2309/fåglar/A 35883-2025 prioriterade fågelarter.docx", "A 35883-2025")</f>
        <v/>
      </c>
    </row>
    <row r="86" ht="15" customHeight="1">
      <c r="A86" t="inlineStr">
        <is>
          <t>A 35158-2022</t>
        </is>
      </c>
      <c r="B86" s="1" t="n">
        <v>44797</v>
      </c>
      <c r="C86" s="1" t="n">
        <v>45923</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27490-2024</t>
        </is>
      </c>
      <c r="B87" s="1" t="n">
        <v>45474</v>
      </c>
      <c r="C87" s="1" t="n">
        <v>45923</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56194-2021</t>
        </is>
      </c>
      <c r="B88" s="1" t="n">
        <v>44477</v>
      </c>
      <c r="C88" s="1" t="n">
        <v>45923</v>
      </c>
      <c r="D88" t="inlineStr">
        <is>
          <t>JÄMTLANDS LÄN</t>
        </is>
      </c>
      <c r="E88" t="inlineStr">
        <is>
          <t>KROKOM</t>
        </is>
      </c>
      <c r="F88" t="inlineStr">
        <is>
          <t>Övriga Aktiebolag</t>
        </is>
      </c>
      <c r="G88" t="n">
        <v>25.1</v>
      </c>
      <c r="H88" t="n">
        <v>0</v>
      </c>
      <c r="I88" t="n">
        <v>5</v>
      </c>
      <c r="J88" t="n">
        <v>1</v>
      </c>
      <c r="K88" t="n">
        <v>0</v>
      </c>
      <c r="L88" t="n">
        <v>0</v>
      </c>
      <c r="M88" t="n">
        <v>0</v>
      </c>
      <c r="N88" t="n">
        <v>0</v>
      </c>
      <c r="O88" t="n">
        <v>1</v>
      </c>
      <c r="P88" t="n">
        <v>0</v>
      </c>
      <c r="Q88" t="n">
        <v>6</v>
      </c>
      <c r="R88" s="2" t="inlineStr">
        <is>
          <t>Lunglav
Granriska
Kambräken
Korallblylav
Luddlav
Västlig hakmossa</t>
        </is>
      </c>
      <c r="S88">
        <f>HYPERLINK("https://klasma.github.io/Logging_2309/artfynd/A 56194-2021 artfynd.xlsx", "A 56194-2021")</f>
        <v/>
      </c>
      <c r="T88">
        <f>HYPERLINK("https://klasma.github.io/Logging_2309/kartor/A 56194-2021 karta.png", "A 56194-2021")</f>
        <v/>
      </c>
      <c r="V88">
        <f>HYPERLINK("https://klasma.github.io/Logging_2309/klagomål/A 56194-2021 FSC-klagomål.docx", "A 56194-2021")</f>
        <v/>
      </c>
      <c r="W88">
        <f>HYPERLINK("https://klasma.github.io/Logging_2309/klagomålsmail/A 56194-2021 FSC-klagomål mail.docx", "A 56194-2021")</f>
        <v/>
      </c>
      <c r="X88">
        <f>HYPERLINK("https://klasma.github.io/Logging_2309/tillsyn/A 56194-2021 tillsynsbegäran.docx", "A 56194-2021")</f>
        <v/>
      </c>
      <c r="Y88">
        <f>HYPERLINK("https://klasma.github.io/Logging_2309/tillsynsmail/A 56194-2021 tillsynsbegäran mail.docx", "A 56194-2021")</f>
        <v/>
      </c>
    </row>
    <row r="89" ht="15" customHeight="1">
      <c r="A89" t="inlineStr">
        <is>
          <t>A 35885-2025</t>
        </is>
      </c>
      <c r="B89" s="1" t="n">
        <v>45862.43403935185</v>
      </c>
      <c r="C89" s="1" t="n">
        <v>45923</v>
      </c>
      <c r="D89" t="inlineStr">
        <is>
          <t>JÄMTLANDS LÄN</t>
        </is>
      </c>
      <c r="E89" t="inlineStr">
        <is>
          <t>KROKOM</t>
        </is>
      </c>
      <c r="G89" t="n">
        <v>10.5</v>
      </c>
      <c r="H89" t="n">
        <v>2</v>
      </c>
      <c r="I89" t="n">
        <v>1</v>
      </c>
      <c r="J89" t="n">
        <v>5</v>
      </c>
      <c r="K89" t="n">
        <v>0</v>
      </c>
      <c r="L89" t="n">
        <v>0</v>
      </c>
      <c r="M89" t="n">
        <v>0</v>
      </c>
      <c r="N89" t="n">
        <v>0</v>
      </c>
      <c r="O89" t="n">
        <v>5</v>
      </c>
      <c r="P89" t="n">
        <v>0</v>
      </c>
      <c r="Q89" t="n">
        <v>6</v>
      </c>
      <c r="R89" s="2" t="inlineStr">
        <is>
          <t>Granticka
Harticka
Talltita
Tretåig hackspett
Ullticka
Trådticka</t>
        </is>
      </c>
      <c r="S89">
        <f>HYPERLINK("https://klasma.github.io/Logging_2309/artfynd/A 35885-2025 artfynd.xlsx", "A 35885-2025")</f>
        <v/>
      </c>
      <c r="T89">
        <f>HYPERLINK("https://klasma.github.io/Logging_2309/kartor/A 35885-2025 karta.png", "A 35885-2025")</f>
        <v/>
      </c>
      <c r="V89">
        <f>HYPERLINK("https://klasma.github.io/Logging_2309/klagomål/A 35885-2025 FSC-klagomål.docx", "A 35885-2025")</f>
        <v/>
      </c>
      <c r="W89">
        <f>HYPERLINK("https://klasma.github.io/Logging_2309/klagomålsmail/A 35885-2025 FSC-klagomål mail.docx", "A 35885-2025")</f>
        <v/>
      </c>
      <c r="X89">
        <f>HYPERLINK("https://klasma.github.io/Logging_2309/tillsyn/A 35885-2025 tillsynsbegäran.docx", "A 35885-2025")</f>
        <v/>
      </c>
      <c r="Y89">
        <f>HYPERLINK("https://klasma.github.io/Logging_2309/tillsynsmail/A 35885-2025 tillsynsbegäran mail.docx", "A 35885-2025")</f>
        <v/>
      </c>
      <c r="Z89">
        <f>HYPERLINK("https://klasma.github.io/Logging_2309/fåglar/A 35885-2025 prioriterade fågelarter.docx", "A 35885-2025")</f>
        <v/>
      </c>
    </row>
    <row r="90" ht="15" customHeight="1">
      <c r="A90" t="inlineStr">
        <is>
          <t>A 30921-2025</t>
        </is>
      </c>
      <c r="B90" s="1" t="n">
        <v>45832</v>
      </c>
      <c r="C90" s="1" t="n">
        <v>45923</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42385-2023</t>
        </is>
      </c>
      <c r="B91" s="1" t="n">
        <v>45180</v>
      </c>
      <c r="C91" s="1" t="n">
        <v>45923</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43190-2022</t>
        </is>
      </c>
      <c r="B92" s="1" t="n">
        <v>44834</v>
      </c>
      <c r="C92" s="1" t="n">
        <v>45923</v>
      </c>
      <c r="D92" t="inlineStr">
        <is>
          <t>JÄMTLANDS LÄN</t>
        </is>
      </c>
      <c r="E92" t="inlineStr">
        <is>
          <t>KROKOM</t>
        </is>
      </c>
      <c r="G92" t="n">
        <v>6.8</v>
      </c>
      <c r="H92" t="n">
        <v>2</v>
      </c>
      <c r="I92" t="n">
        <v>2</v>
      </c>
      <c r="J92" t="n">
        <v>3</v>
      </c>
      <c r="K92" t="n">
        <v>1</v>
      </c>
      <c r="L92" t="n">
        <v>0</v>
      </c>
      <c r="M92" t="n">
        <v>0</v>
      </c>
      <c r="N92" t="n">
        <v>0</v>
      </c>
      <c r="O92" t="n">
        <v>4</v>
      </c>
      <c r="P92" t="n">
        <v>1</v>
      </c>
      <c r="Q92" t="n">
        <v>6</v>
      </c>
      <c r="R92" s="2" t="inlineStr">
        <is>
          <t>Knärot
Lunglav
Talltita
Ullticka
Bårdlav
Skinnlav</t>
        </is>
      </c>
      <c r="S92">
        <f>HYPERLINK("https://klasma.github.io/Logging_2309/artfynd/A 43190-2022 artfynd.xlsx", "A 43190-2022")</f>
        <v/>
      </c>
      <c r="T92">
        <f>HYPERLINK("https://klasma.github.io/Logging_2309/kartor/A 43190-2022 karta.png", "A 43190-2022")</f>
        <v/>
      </c>
      <c r="U92">
        <f>HYPERLINK("https://klasma.github.io/Logging_2309/knärot/A 43190-2022 karta knärot.png", "A 43190-2022")</f>
        <v/>
      </c>
      <c r="V92">
        <f>HYPERLINK("https://klasma.github.io/Logging_2309/klagomål/A 43190-2022 FSC-klagomål.docx", "A 43190-2022")</f>
        <v/>
      </c>
      <c r="W92">
        <f>HYPERLINK("https://klasma.github.io/Logging_2309/klagomålsmail/A 43190-2022 FSC-klagomål mail.docx", "A 43190-2022")</f>
        <v/>
      </c>
      <c r="X92">
        <f>HYPERLINK("https://klasma.github.io/Logging_2309/tillsyn/A 43190-2022 tillsynsbegäran.docx", "A 43190-2022")</f>
        <v/>
      </c>
      <c r="Y92">
        <f>HYPERLINK("https://klasma.github.io/Logging_2309/tillsynsmail/A 43190-2022 tillsynsbegäran mail.docx", "A 43190-2022")</f>
        <v/>
      </c>
      <c r="Z92">
        <f>HYPERLINK("https://klasma.github.io/Logging_2309/fåglar/A 43190-2022 prioriterade fågelarter.docx", "A 43190-2022")</f>
        <v/>
      </c>
    </row>
    <row r="93" ht="15" customHeight="1">
      <c r="A93" t="inlineStr">
        <is>
          <t>A 58951-2023</t>
        </is>
      </c>
      <c r="B93" s="1" t="n">
        <v>45252</v>
      </c>
      <c r="C93" s="1" t="n">
        <v>45923</v>
      </c>
      <c r="D93" t="inlineStr">
        <is>
          <t>JÄMTLANDS LÄN</t>
        </is>
      </c>
      <c r="E93" t="inlineStr">
        <is>
          <t>KROKOM</t>
        </is>
      </c>
      <c r="F93" t="inlineStr">
        <is>
          <t>Övriga Aktiebolag</t>
        </is>
      </c>
      <c r="G93" t="n">
        <v>4.4</v>
      </c>
      <c r="H93" t="n">
        <v>0</v>
      </c>
      <c r="I93" t="n">
        <v>2</v>
      </c>
      <c r="J93" t="n">
        <v>4</v>
      </c>
      <c r="K93" t="n">
        <v>0</v>
      </c>
      <c r="L93" t="n">
        <v>0</v>
      </c>
      <c r="M93" t="n">
        <v>0</v>
      </c>
      <c r="N93" t="n">
        <v>0</v>
      </c>
      <c r="O93" t="n">
        <v>4</v>
      </c>
      <c r="P93" t="n">
        <v>0</v>
      </c>
      <c r="Q93" t="n">
        <v>6</v>
      </c>
      <c r="R93" s="2" t="inlineStr">
        <is>
          <t>Garnlav
Lunglav
Rödbrun blekspik
Skrovellav
Bårdlav
Gulnål</t>
        </is>
      </c>
      <c r="S93">
        <f>HYPERLINK("https://klasma.github.io/Logging_2309/artfynd/A 58951-2023 artfynd.xlsx", "A 58951-2023")</f>
        <v/>
      </c>
      <c r="T93">
        <f>HYPERLINK("https://klasma.github.io/Logging_2309/kartor/A 58951-2023 karta.png", "A 58951-2023")</f>
        <v/>
      </c>
      <c r="V93">
        <f>HYPERLINK("https://klasma.github.io/Logging_2309/klagomål/A 58951-2023 FSC-klagomål.docx", "A 58951-2023")</f>
        <v/>
      </c>
      <c r="W93">
        <f>HYPERLINK("https://klasma.github.io/Logging_2309/klagomålsmail/A 58951-2023 FSC-klagomål mail.docx", "A 58951-2023")</f>
        <v/>
      </c>
      <c r="X93">
        <f>HYPERLINK("https://klasma.github.io/Logging_2309/tillsyn/A 58951-2023 tillsynsbegäran.docx", "A 58951-2023")</f>
        <v/>
      </c>
      <c r="Y93">
        <f>HYPERLINK("https://klasma.github.io/Logging_2309/tillsynsmail/A 58951-2023 tillsynsbegäran mail.docx", "A 58951-2023")</f>
        <v/>
      </c>
    </row>
    <row r="94" ht="15" customHeight="1">
      <c r="A94" t="inlineStr">
        <is>
          <t>A 16978-2025</t>
        </is>
      </c>
      <c r="B94" s="1" t="n">
        <v>45755.47527777778</v>
      </c>
      <c r="C94" s="1" t="n">
        <v>45923</v>
      </c>
      <c r="D94" t="inlineStr">
        <is>
          <t>JÄMTLANDS LÄN</t>
        </is>
      </c>
      <c r="E94" t="inlineStr">
        <is>
          <t>KROKOM</t>
        </is>
      </c>
      <c r="G94" t="n">
        <v>10.8</v>
      </c>
      <c r="H94" t="n">
        <v>4</v>
      </c>
      <c r="I94" t="n">
        <v>0</v>
      </c>
      <c r="J94" t="n">
        <v>5</v>
      </c>
      <c r="K94" t="n">
        <v>0</v>
      </c>
      <c r="L94" t="n">
        <v>0</v>
      </c>
      <c r="M94" t="n">
        <v>0</v>
      </c>
      <c r="N94" t="n">
        <v>0</v>
      </c>
      <c r="O94" t="n">
        <v>5</v>
      </c>
      <c r="P94" t="n">
        <v>0</v>
      </c>
      <c r="Q94" t="n">
        <v>6</v>
      </c>
      <c r="R94" s="2" t="inlineStr">
        <is>
          <t>Garnlav
Granticka
Spillkråka
Talltita
Tretåig hackspett
Kungsfågel</t>
        </is>
      </c>
      <c r="S94">
        <f>HYPERLINK("https://klasma.github.io/Logging_2309/artfynd/A 16978-2025 artfynd.xlsx", "A 16978-2025")</f>
        <v/>
      </c>
      <c r="T94">
        <f>HYPERLINK("https://klasma.github.io/Logging_2309/kartor/A 16978-2025 karta.png", "A 16978-2025")</f>
        <v/>
      </c>
      <c r="V94">
        <f>HYPERLINK("https://klasma.github.io/Logging_2309/klagomål/A 16978-2025 FSC-klagomål.docx", "A 16978-2025")</f>
        <v/>
      </c>
      <c r="W94">
        <f>HYPERLINK("https://klasma.github.io/Logging_2309/klagomålsmail/A 16978-2025 FSC-klagomål mail.docx", "A 16978-2025")</f>
        <v/>
      </c>
      <c r="X94">
        <f>HYPERLINK("https://klasma.github.io/Logging_2309/tillsyn/A 16978-2025 tillsynsbegäran.docx", "A 16978-2025")</f>
        <v/>
      </c>
      <c r="Y94">
        <f>HYPERLINK("https://klasma.github.io/Logging_2309/tillsynsmail/A 16978-2025 tillsynsbegäran mail.docx", "A 16978-2025")</f>
        <v/>
      </c>
      <c r="Z94">
        <f>HYPERLINK("https://klasma.github.io/Logging_2309/fåglar/A 16978-2025 prioriterade fågelarter.docx", "A 16978-2025")</f>
        <v/>
      </c>
    </row>
    <row r="95" ht="15" customHeight="1">
      <c r="A95" t="inlineStr">
        <is>
          <t>A 46118-2024</t>
        </is>
      </c>
      <c r="B95" s="1" t="n">
        <v>45581</v>
      </c>
      <c r="C95" s="1" t="n">
        <v>45923</v>
      </c>
      <c r="D95" t="inlineStr">
        <is>
          <t>JÄMTLANDS LÄN</t>
        </is>
      </c>
      <c r="E95" t="inlineStr">
        <is>
          <t>KROKOM</t>
        </is>
      </c>
      <c r="G95" t="n">
        <v>12.3</v>
      </c>
      <c r="H95" t="n">
        <v>2</v>
      </c>
      <c r="I95" t="n">
        <v>0</v>
      </c>
      <c r="J95" t="n">
        <v>5</v>
      </c>
      <c r="K95" t="n">
        <v>0</v>
      </c>
      <c r="L95" t="n">
        <v>0</v>
      </c>
      <c r="M95" t="n">
        <v>0</v>
      </c>
      <c r="N95" t="n">
        <v>0</v>
      </c>
      <c r="O95" t="n">
        <v>5</v>
      </c>
      <c r="P95" t="n">
        <v>0</v>
      </c>
      <c r="Q95" t="n">
        <v>6</v>
      </c>
      <c r="R95" s="2" t="inlineStr">
        <is>
          <t>Garnlav
Granticka
Harticka
Tretåig hackspett
Ullticka
Sparvuggla</t>
        </is>
      </c>
      <c r="S95">
        <f>HYPERLINK("https://klasma.github.io/Logging_2309/artfynd/A 46118-2024 artfynd.xlsx", "A 46118-2024")</f>
        <v/>
      </c>
      <c r="T95">
        <f>HYPERLINK("https://klasma.github.io/Logging_2309/kartor/A 46118-2024 karta.png", "A 46118-2024")</f>
        <v/>
      </c>
      <c r="V95">
        <f>HYPERLINK("https://klasma.github.io/Logging_2309/klagomål/A 46118-2024 FSC-klagomål.docx", "A 46118-2024")</f>
        <v/>
      </c>
      <c r="W95">
        <f>HYPERLINK("https://klasma.github.io/Logging_2309/klagomålsmail/A 46118-2024 FSC-klagomål mail.docx", "A 46118-2024")</f>
        <v/>
      </c>
      <c r="X95">
        <f>HYPERLINK("https://klasma.github.io/Logging_2309/tillsyn/A 46118-2024 tillsynsbegäran.docx", "A 46118-2024")</f>
        <v/>
      </c>
      <c r="Y95">
        <f>HYPERLINK("https://klasma.github.io/Logging_2309/tillsynsmail/A 46118-2024 tillsynsbegäran mail.docx", "A 46118-2024")</f>
        <v/>
      </c>
      <c r="Z95">
        <f>HYPERLINK("https://klasma.github.io/Logging_2309/fåglar/A 46118-2024 prioriterade fågelarter.docx", "A 46118-2024")</f>
        <v/>
      </c>
    </row>
    <row r="96" ht="15" customHeight="1">
      <c r="A96" t="inlineStr">
        <is>
          <t>A 68491-2020</t>
        </is>
      </c>
      <c r="B96" s="1" t="n">
        <v>44183</v>
      </c>
      <c r="C96" s="1" t="n">
        <v>45923</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45923</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35749-2024</t>
        </is>
      </c>
      <c r="B98" s="1" t="n">
        <v>45532</v>
      </c>
      <c r="C98" s="1" t="n">
        <v>45923</v>
      </c>
      <c r="D98" t="inlineStr">
        <is>
          <t>JÄMTLANDS LÄN</t>
        </is>
      </c>
      <c r="E98" t="inlineStr">
        <is>
          <t>KROKOM</t>
        </is>
      </c>
      <c r="G98" t="n">
        <v>17.3</v>
      </c>
      <c r="H98" t="n">
        <v>1</v>
      </c>
      <c r="I98" t="n">
        <v>0</v>
      </c>
      <c r="J98" t="n">
        <v>5</v>
      </c>
      <c r="K98" t="n">
        <v>0</v>
      </c>
      <c r="L98" t="n">
        <v>0</v>
      </c>
      <c r="M98" t="n">
        <v>0</v>
      </c>
      <c r="N98" t="n">
        <v>0</v>
      </c>
      <c r="O98" t="n">
        <v>5</v>
      </c>
      <c r="P98" t="n">
        <v>0</v>
      </c>
      <c r="Q98" t="n">
        <v>5</v>
      </c>
      <c r="R98" s="2" t="inlineStr">
        <is>
          <t>Garnlav
Granticka
Gränsticka
Harticka
Tretåig hackspett</t>
        </is>
      </c>
      <c r="S98">
        <f>HYPERLINK("https://klasma.github.io/Logging_2309/artfynd/A 35749-2024 artfynd.xlsx", "A 35749-2024")</f>
        <v/>
      </c>
      <c r="T98">
        <f>HYPERLINK("https://klasma.github.io/Logging_2309/kartor/A 35749-2024 karta.png", "A 35749-2024")</f>
        <v/>
      </c>
      <c r="V98">
        <f>HYPERLINK("https://klasma.github.io/Logging_2309/klagomål/A 35749-2024 FSC-klagomål.docx", "A 35749-2024")</f>
        <v/>
      </c>
      <c r="W98">
        <f>HYPERLINK("https://klasma.github.io/Logging_2309/klagomålsmail/A 35749-2024 FSC-klagomål mail.docx", "A 35749-2024")</f>
        <v/>
      </c>
      <c r="X98">
        <f>HYPERLINK("https://klasma.github.io/Logging_2309/tillsyn/A 35749-2024 tillsynsbegäran.docx", "A 35749-2024")</f>
        <v/>
      </c>
      <c r="Y98">
        <f>HYPERLINK("https://klasma.github.io/Logging_2309/tillsynsmail/A 35749-2024 tillsynsbegäran mail.docx", "A 35749-2024")</f>
        <v/>
      </c>
      <c r="Z98">
        <f>HYPERLINK("https://klasma.github.io/Logging_2309/fåglar/A 35749-2024 prioriterade fågelarter.docx", "A 35749-2024")</f>
        <v/>
      </c>
    </row>
    <row r="99" ht="15" customHeight="1">
      <c r="A99" t="inlineStr">
        <is>
          <t>A 39487-2024</t>
        </is>
      </c>
      <c r="B99" s="1" t="n">
        <v>45551</v>
      </c>
      <c r="C99" s="1" t="n">
        <v>45923</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59039-2022</t>
        </is>
      </c>
      <c r="B100" s="1" t="n">
        <v>44903</v>
      </c>
      <c r="C100" s="1" t="n">
        <v>45923</v>
      </c>
      <c r="D100" t="inlineStr">
        <is>
          <t>JÄMTLANDS LÄN</t>
        </is>
      </c>
      <c r="E100" t="inlineStr">
        <is>
          <t>KROKOM</t>
        </is>
      </c>
      <c r="F100" t="inlineStr">
        <is>
          <t>SCA</t>
        </is>
      </c>
      <c r="G100" t="n">
        <v>2.5</v>
      </c>
      <c r="H100" t="n">
        <v>1</v>
      </c>
      <c r="I100" t="n">
        <v>0</v>
      </c>
      <c r="J100" t="n">
        <v>5</v>
      </c>
      <c r="K100" t="n">
        <v>0</v>
      </c>
      <c r="L100" t="n">
        <v>0</v>
      </c>
      <c r="M100" t="n">
        <v>0</v>
      </c>
      <c r="N100" t="n">
        <v>0</v>
      </c>
      <c r="O100" t="n">
        <v>5</v>
      </c>
      <c r="P100" t="n">
        <v>0</v>
      </c>
      <c r="Q100" t="n">
        <v>5</v>
      </c>
      <c r="R100" s="2" t="inlineStr">
        <is>
          <t>Garnlav
Lunglav
Skrovellav
Tallticka
Tretåig hackspett</t>
        </is>
      </c>
      <c r="S100">
        <f>HYPERLINK("https://klasma.github.io/Logging_2309/artfynd/A 59039-2022 artfynd.xlsx", "A 59039-2022")</f>
        <v/>
      </c>
      <c r="T100">
        <f>HYPERLINK("https://klasma.github.io/Logging_2309/kartor/A 59039-2022 karta.png", "A 59039-2022")</f>
        <v/>
      </c>
      <c r="V100">
        <f>HYPERLINK("https://klasma.github.io/Logging_2309/klagomål/A 59039-2022 FSC-klagomål.docx", "A 59039-2022")</f>
        <v/>
      </c>
      <c r="W100">
        <f>HYPERLINK("https://klasma.github.io/Logging_2309/klagomålsmail/A 59039-2022 FSC-klagomål mail.docx", "A 59039-2022")</f>
        <v/>
      </c>
      <c r="X100">
        <f>HYPERLINK("https://klasma.github.io/Logging_2309/tillsyn/A 59039-2022 tillsynsbegäran.docx", "A 59039-2022")</f>
        <v/>
      </c>
      <c r="Y100">
        <f>HYPERLINK("https://klasma.github.io/Logging_2309/tillsynsmail/A 59039-2022 tillsynsbegäran mail.docx", "A 59039-2022")</f>
        <v/>
      </c>
      <c r="Z100">
        <f>HYPERLINK("https://klasma.github.io/Logging_2309/fåglar/A 59039-2022 prioriterade fågelarter.docx", "A 59039-2022")</f>
        <v/>
      </c>
    </row>
    <row r="101" ht="15" customHeight="1">
      <c r="A101" t="inlineStr">
        <is>
          <t>A 36995-2025</t>
        </is>
      </c>
      <c r="B101" s="1" t="n">
        <v>45874.67765046296</v>
      </c>
      <c r="C101" s="1" t="n">
        <v>45923</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72538-2021</t>
        </is>
      </c>
      <c r="B102" s="1" t="n">
        <v>44546</v>
      </c>
      <c r="C102" s="1" t="n">
        <v>45923</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53815-2024</t>
        </is>
      </c>
      <c r="B103" s="1" t="n">
        <v>45615</v>
      </c>
      <c r="C103" s="1" t="n">
        <v>45923</v>
      </c>
      <c r="D103" t="inlineStr">
        <is>
          <t>JÄMTLANDS LÄN</t>
        </is>
      </c>
      <c r="E103" t="inlineStr">
        <is>
          <t>KROKOM</t>
        </is>
      </c>
      <c r="F103" t="inlineStr">
        <is>
          <t>Övriga Aktiebolag</t>
        </is>
      </c>
      <c r="G103" t="n">
        <v>11.8</v>
      </c>
      <c r="H103" t="n">
        <v>2</v>
      </c>
      <c r="I103" t="n">
        <v>0</v>
      </c>
      <c r="J103" t="n">
        <v>5</v>
      </c>
      <c r="K103" t="n">
        <v>0</v>
      </c>
      <c r="L103" t="n">
        <v>0</v>
      </c>
      <c r="M103" t="n">
        <v>0</v>
      </c>
      <c r="N103" t="n">
        <v>0</v>
      </c>
      <c r="O103" t="n">
        <v>5</v>
      </c>
      <c r="P103" t="n">
        <v>0</v>
      </c>
      <c r="Q103" t="n">
        <v>5</v>
      </c>
      <c r="R103" s="2" t="inlineStr">
        <is>
          <t>Garnlav
Lunglav
Skrovellav
Spillkråka
Tretåig hackspett</t>
        </is>
      </c>
      <c r="S103">
        <f>HYPERLINK("https://klasma.github.io/Logging_2309/artfynd/A 53815-2024 artfynd.xlsx", "A 53815-2024")</f>
        <v/>
      </c>
      <c r="T103">
        <f>HYPERLINK("https://klasma.github.io/Logging_2309/kartor/A 53815-2024 karta.png", "A 53815-2024")</f>
        <v/>
      </c>
      <c r="V103">
        <f>HYPERLINK("https://klasma.github.io/Logging_2309/klagomål/A 53815-2024 FSC-klagomål.docx", "A 53815-2024")</f>
        <v/>
      </c>
      <c r="W103">
        <f>HYPERLINK("https://klasma.github.io/Logging_2309/klagomålsmail/A 53815-2024 FSC-klagomål mail.docx", "A 53815-2024")</f>
        <v/>
      </c>
      <c r="X103">
        <f>HYPERLINK("https://klasma.github.io/Logging_2309/tillsyn/A 53815-2024 tillsynsbegäran.docx", "A 53815-2024")</f>
        <v/>
      </c>
      <c r="Y103">
        <f>HYPERLINK("https://klasma.github.io/Logging_2309/tillsynsmail/A 53815-2024 tillsynsbegäran mail.docx", "A 53815-2024")</f>
        <v/>
      </c>
      <c r="Z103">
        <f>HYPERLINK("https://klasma.github.io/Logging_2309/fåglar/A 53815-2024 prioriterade fågelarter.docx", "A 53815-2024")</f>
        <v/>
      </c>
    </row>
    <row r="104" ht="15" customHeight="1">
      <c r="A104" t="inlineStr">
        <is>
          <t>A 48914-2021</t>
        </is>
      </c>
      <c r="B104" s="1" t="n">
        <v>44452</v>
      </c>
      <c r="C104" s="1" t="n">
        <v>45923</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25286-2023</t>
        </is>
      </c>
      <c r="B105" s="1" t="n">
        <v>45079</v>
      </c>
      <c r="C105" s="1" t="n">
        <v>45923</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71570-2021</t>
        </is>
      </c>
      <c r="B106" s="1" t="n">
        <v>44540</v>
      </c>
      <c r="C106" s="1" t="n">
        <v>45923</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11319-2025</t>
        </is>
      </c>
      <c r="B107" s="1" t="n">
        <v>45726.46192129629</v>
      </c>
      <c r="C107" s="1" t="n">
        <v>45923</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74005-2021</t>
        </is>
      </c>
      <c r="B108" s="1" t="n">
        <v>44557</v>
      </c>
      <c r="C108" s="1" t="n">
        <v>45923</v>
      </c>
      <c r="D108" t="inlineStr">
        <is>
          <t>JÄMTLANDS LÄN</t>
        </is>
      </c>
      <c r="E108" t="inlineStr">
        <is>
          <t>KROKOM</t>
        </is>
      </c>
      <c r="G108" t="n">
        <v>19.9</v>
      </c>
      <c r="H108" t="n">
        <v>1</v>
      </c>
      <c r="I108" t="n">
        <v>1</v>
      </c>
      <c r="J108" t="n">
        <v>4</v>
      </c>
      <c r="K108" t="n">
        <v>0</v>
      </c>
      <c r="L108" t="n">
        <v>0</v>
      </c>
      <c r="M108" t="n">
        <v>0</v>
      </c>
      <c r="N108" t="n">
        <v>0</v>
      </c>
      <c r="O108" t="n">
        <v>4</v>
      </c>
      <c r="P108" t="n">
        <v>0</v>
      </c>
      <c r="Q108" t="n">
        <v>5</v>
      </c>
      <c r="R108" s="2" t="inlineStr">
        <is>
          <t>Doftskinn
Gammelgransskål
Garnlav
Gränsticka
Spindelblomster</t>
        </is>
      </c>
      <c r="S108">
        <f>HYPERLINK("https://klasma.github.io/Logging_2309/artfynd/A 74005-2021 artfynd.xlsx", "A 74005-2021")</f>
        <v/>
      </c>
      <c r="T108">
        <f>HYPERLINK("https://klasma.github.io/Logging_2309/kartor/A 74005-2021 karta.png", "A 74005-2021")</f>
        <v/>
      </c>
      <c r="V108">
        <f>HYPERLINK("https://klasma.github.io/Logging_2309/klagomål/A 74005-2021 FSC-klagomål.docx", "A 74005-2021")</f>
        <v/>
      </c>
      <c r="W108">
        <f>HYPERLINK("https://klasma.github.io/Logging_2309/klagomålsmail/A 74005-2021 FSC-klagomål mail.docx", "A 74005-2021")</f>
        <v/>
      </c>
      <c r="X108">
        <f>HYPERLINK("https://klasma.github.io/Logging_2309/tillsyn/A 74005-2021 tillsynsbegäran.docx", "A 74005-2021")</f>
        <v/>
      </c>
      <c r="Y108">
        <f>HYPERLINK("https://klasma.github.io/Logging_2309/tillsynsmail/A 74005-2021 tillsynsbegäran mail.docx", "A 74005-2021")</f>
        <v/>
      </c>
    </row>
    <row r="109" ht="15" customHeight="1">
      <c r="A109" t="inlineStr">
        <is>
          <t>A 59619-2020</t>
        </is>
      </c>
      <c r="B109" s="1" t="n">
        <v>44150</v>
      </c>
      <c r="C109" s="1" t="n">
        <v>45923</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32658-2025</t>
        </is>
      </c>
      <c r="B110" s="1" t="n">
        <v>45838.67858796296</v>
      </c>
      <c r="C110" s="1" t="n">
        <v>45923</v>
      </c>
      <c r="D110" t="inlineStr">
        <is>
          <t>JÄMTLANDS LÄN</t>
        </is>
      </c>
      <c r="E110" t="inlineStr">
        <is>
          <t>KROKOM</t>
        </is>
      </c>
      <c r="F110" t="inlineStr">
        <is>
          <t>SCA</t>
        </is>
      </c>
      <c r="G110" t="n">
        <v>5.6</v>
      </c>
      <c r="H110" t="n">
        <v>0</v>
      </c>
      <c r="I110" t="n">
        <v>1</v>
      </c>
      <c r="J110" t="n">
        <v>3</v>
      </c>
      <c r="K110" t="n">
        <v>1</v>
      </c>
      <c r="L110" t="n">
        <v>0</v>
      </c>
      <c r="M110" t="n">
        <v>0</v>
      </c>
      <c r="N110" t="n">
        <v>0</v>
      </c>
      <c r="O110" t="n">
        <v>4</v>
      </c>
      <c r="P110" t="n">
        <v>1</v>
      </c>
      <c r="Q110" t="n">
        <v>5</v>
      </c>
      <c r="R110" s="2" t="inlineStr">
        <is>
          <t>Gräddporing
Kolflarnlav
Vedskivlav
Vitplätt
Gullgröppa</t>
        </is>
      </c>
      <c r="S110">
        <f>HYPERLINK("https://klasma.github.io/Logging_2309/artfynd/A 32658-2025 artfynd.xlsx", "A 32658-2025")</f>
        <v/>
      </c>
      <c r="T110">
        <f>HYPERLINK("https://klasma.github.io/Logging_2309/kartor/A 32658-2025 karta.png", "A 32658-2025")</f>
        <v/>
      </c>
      <c r="V110">
        <f>HYPERLINK("https://klasma.github.io/Logging_2309/klagomål/A 32658-2025 FSC-klagomål.docx", "A 32658-2025")</f>
        <v/>
      </c>
      <c r="W110">
        <f>HYPERLINK("https://klasma.github.io/Logging_2309/klagomålsmail/A 32658-2025 FSC-klagomål mail.docx", "A 32658-2025")</f>
        <v/>
      </c>
      <c r="X110">
        <f>HYPERLINK("https://klasma.github.io/Logging_2309/tillsyn/A 32658-2025 tillsynsbegäran.docx", "A 32658-2025")</f>
        <v/>
      </c>
      <c r="Y110">
        <f>HYPERLINK("https://klasma.github.io/Logging_2309/tillsynsmail/A 32658-2025 tillsynsbegäran mail.docx", "A 32658-2025")</f>
        <v/>
      </c>
    </row>
    <row r="111" ht="15" customHeight="1">
      <c r="A111" t="inlineStr">
        <is>
          <t>A 39118-2025</t>
        </is>
      </c>
      <c r="B111" s="1" t="n">
        <v>45888.55305555555</v>
      </c>
      <c r="C111" s="1" t="n">
        <v>45923</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63787-2020</t>
        </is>
      </c>
      <c r="B112" s="1" t="n">
        <v>44162</v>
      </c>
      <c r="C112" s="1" t="n">
        <v>45923</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45923</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45923</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6682-2023</t>
        </is>
      </c>
      <c r="B115" s="1" t="n">
        <v>44966</v>
      </c>
      <c r="C115" s="1" t="n">
        <v>45923</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34855-2025</t>
        </is>
      </c>
      <c r="B116" s="1" t="n">
        <v>45849.42818287037</v>
      </c>
      <c r="C116" s="1" t="n">
        <v>45923</v>
      </c>
      <c r="D116" t="inlineStr">
        <is>
          <t>JÄMTLANDS LÄN</t>
        </is>
      </c>
      <c r="E116" t="inlineStr">
        <is>
          <t>KROKOM</t>
        </is>
      </c>
      <c r="F116" t="inlineStr">
        <is>
          <t>SCA</t>
        </is>
      </c>
      <c r="G116" t="n">
        <v>5.7</v>
      </c>
      <c r="H116" t="n">
        <v>0</v>
      </c>
      <c r="I116" t="n">
        <v>0</v>
      </c>
      <c r="J116" t="n">
        <v>4</v>
      </c>
      <c r="K116" t="n">
        <v>0</v>
      </c>
      <c r="L116" t="n">
        <v>0</v>
      </c>
      <c r="M116" t="n">
        <v>0</v>
      </c>
      <c r="N116" t="n">
        <v>0</v>
      </c>
      <c r="O116" t="n">
        <v>4</v>
      </c>
      <c r="P116" t="n">
        <v>0</v>
      </c>
      <c r="Q116" t="n">
        <v>4</v>
      </c>
      <c r="R116" s="2" t="inlineStr">
        <is>
          <t>Kolflarnlav
Skrovellav
Vedflamlav
Vedskivlav</t>
        </is>
      </c>
      <c r="S116">
        <f>HYPERLINK("https://klasma.github.io/Logging_2309/artfynd/A 34855-2025 artfynd.xlsx", "A 34855-2025")</f>
        <v/>
      </c>
      <c r="T116">
        <f>HYPERLINK("https://klasma.github.io/Logging_2309/kartor/A 34855-2025 karta.png", "A 34855-2025")</f>
        <v/>
      </c>
      <c r="V116">
        <f>HYPERLINK("https://klasma.github.io/Logging_2309/klagomål/A 34855-2025 FSC-klagomål.docx", "A 34855-2025")</f>
        <v/>
      </c>
      <c r="W116">
        <f>HYPERLINK("https://klasma.github.io/Logging_2309/klagomålsmail/A 34855-2025 FSC-klagomål mail.docx", "A 34855-2025")</f>
        <v/>
      </c>
      <c r="X116">
        <f>HYPERLINK("https://klasma.github.io/Logging_2309/tillsyn/A 34855-2025 tillsynsbegäran.docx", "A 34855-2025")</f>
        <v/>
      </c>
      <c r="Y116">
        <f>HYPERLINK("https://klasma.github.io/Logging_2309/tillsynsmail/A 34855-2025 tillsynsbegäran mail.docx", "A 34855-2025")</f>
        <v/>
      </c>
    </row>
    <row r="117" ht="15" customHeight="1">
      <c r="A117" t="inlineStr">
        <is>
          <t>A 60566-2022</t>
        </is>
      </c>
      <c r="B117" s="1" t="n">
        <v>44904</v>
      </c>
      <c r="C117" s="1" t="n">
        <v>45923</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57295-2022</t>
        </is>
      </c>
      <c r="B118" s="1" t="n">
        <v>44895</v>
      </c>
      <c r="C118" s="1" t="n">
        <v>45923</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65901-2020</t>
        </is>
      </c>
      <c r="B119" s="1" t="n">
        <v>44174</v>
      </c>
      <c r="C119" s="1" t="n">
        <v>45923</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35023-2024</t>
        </is>
      </c>
      <c r="B120" s="1" t="n">
        <v>45527</v>
      </c>
      <c r="C120" s="1" t="n">
        <v>45923</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45923</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56312-2024</t>
        </is>
      </c>
      <c r="B122" s="1" t="n">
        <v>45624</v>
      </c>
      <c r="C122" s="1" t="n">
        <v>45923</v>
      </c>
      <c r="D122" t="inlineStr">
        <is>
          <t>JÄMTLANDS LÄN</t>
        </is>
      </c>
      <c r="E122" t="inlineStr">
        <is>
          <t>KROKOM</t>
        </is>
      </c>
      <c r="G122" t="n">
        <v>7.2</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HYPERLINK("https://klasma.github.io/Logging_2309/artfynd/A 56312-2024 artfynd.xlsx", "A 56312-2024")</f>
        <v/>
      </c>
      <c r="T122">
        <f>HYPERLINK("https://klasma.github.io/Logging_2309/kartor/A 56312-2024 karta.png", "A 56312-2024")</f>
        <v/>
      </c>
      <c r="V122">
        <f>HYPERLINK("https://klasma.github.io/Logging_2309/klagomål/A 56312-2024 FSC-klagomål.docx", "A 56312-2024")</f>
        <v/>
      </c>
      <c r="W122">
        <f>HYPERLINK("https://klasma.github.io/Logging_2309/klagomålsmail/A 56312-2024 FSC-klagomål mail.docx", "A 56312-2024")</f>
        <v/>
      </c>
      <c r="X122">
        <f>HYPERLINK("https://klasma.github.io/Logging_2309/tillsyn/A 56312-2024 tillsynsbegäran.docx", "A 56312-2024")</f>
        <v/>
      </c>
      <c r="Y122">
        <f>HYPERLINK("https://klasma.github.io/Logging_2309/tillsynsmail/A 56312-2024 tillsynsbegäran mail.docx", "A 56312-2024")</f>
        <v/>
      </c>
      <c r="Z122">
        <f>HYPERLINK("https://klasma.github.io/Logging_2309/fåglar/A 56312-2024 prioriterade fågelarter.docx", "A 56312-2024")</f>
        <v/>
      </c>
    </row>
    <row r="123" ht="15" customHeight="1">
      <c r="A123" t="inlineStr">
        <is>
          <t>A 73935-2021</t>
        </is>
      </c>
      <c r="B123" s="1" t="n">
        <v>44553</v>
      </c>
      <c r="C123" s="1" t="n">
        <v>45923</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53363-2022</t>
        </is>
      </c>
      <c r="B124" s="1" t="n">
        <v>44879</v>
      </c>
      <c r="C124" s="1" t="n">
        <v>45923</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55224-2024</t>
        </is>
      </c>
      <c r="B125" s="1" t="n">
        <v>45621</v>
      </c>
      <c r="C125" s="1" t="n">
        <v>45923</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13383-2025</t>
        </is>
      </c>
      <c r="B126" s="1" t="n">
        <v>45735</v>
      </c>
      <c r="C126" s="1" t="n">
        <v>45923</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58205-2024</t>
        </is>
      </c>
      <c r="B127" s="1" t="n">
        <v>45632</v>
      </c>
      <c r="C127" s="1" t="n">
        <v>45923</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2256-2024</t>
        </is>
      </c>
      <c r="B128" s="1" t="n">
        <v>45310</v>
      </c>
      <c r="C128" s="1" t="n">
        <v>45923</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54427-2024</t>
        </is>
      </c>
      <c r="B129" s="1" t="n">
        <v>45617</v>
      </c>
      <c r="C129" s="1" t="n">
        <v>45923</v>
      </c>
      <c r="D129" t="inlineStr">
        <is>
          <t>JÄMTLANDS LÄN</t>
        </is>
      </c>
      <c r="E129" t="inlineStr">
        <is>
          <t>KROKOM</t>
        </is>
      </c>
      <c r="G129" t="n">
        <v>22.2</v>
      </c>
      <c r="H129" t="n">
        <v>2</v>
      </c>
      <c r="I129" t="n">
        <v>0</v>
      </c>
      <c r="J129" t="n">
        <v>3</v>
      </c>
      <c r="K129" t="n">
        <v>0</v>
      </c>
      <c r="L129" t="n">
        <v>0</v>
      </c>
      <c r="M129" t="n">
        <v>0</v>
      </c>
      <c r="N129" t="n">
        <v>0</v>
      </c>
      <c r="O129" t="n">
        <v>3</v>
      </c>
      <c r="P129" t="n">
        <v>0</v>
      </c>
      <c r="Q129" t="n">
        <v>4</v>
      </c>
      <c r="R129" s="2" t="inlineStr">
        <is>
          <t>Garnlav
Granticka
Tretåig hackspett
Lavskrika</t>
        </is>
      </c>
      <c r="S129">
        <f>HYPERLINK("https://klasma.github.io/Logging_2309/artfynd/A 54427-2024 artfynd.xlsx", "A 54427-2024")</f>
        <v/>
      </c>
      <c r="T129">
        <f>HYPERLINK("https://klasma.github.io/Logging_2309/kartor/A 54427-2024 karta.png", "A 54427-2024")</f>
        <v/>
      </c>
      <c r="V129">
        <f>HYPERLINK("https://klasma.github.io/Logging_2309/klagomål/A 54427-2024 FSC-klagomål.docx", "A 54427-2024")</f>
        <v/>
      </c>
      <c r="W129">
        <f>HYPERLINK("https://klasma.github.io/Logging_2309/klagomålsmail/A 54427-2024 FSC-klagomål mail.docx", "A 54427-2024")</f>
        <v/>
      </c>
      <c r="X129">
        <f>HYPERLINK("https://klasma.github.io/Logging_2309/tillsyn/A 54427-2024 tillsynsbegäran.docx", "A 54427-2024")</f>
        <v/>
      </c>
      <c r="Y129">
        <f>HYPERLINK("https://klasma.github.io/Logging_2309/tillsynsmail/A 54427-2024 tillsynsbegäran mail.docx", "A 54427-2024")</f>
        <v/>
      </c>
      <c r="Z129">
        <f>HYPERLINK("https://klasma.github.io/Logging_2309/fåglar/A 54427-2024 prioriterade fågelarter.docx", "A 54427-2024")</f>
        <v/>
      </c>
    </row>
    <row r="130" ht="15" customHeight="1">
      <c r="A130" t="inlineStr">
        <is>
          <t>A 40179-2023</t>
        </is>
      </c>
      <c r="B130" s="1" t="n">
        <v>45169</v>
      </c>
      <c r="C130" s="1" t="n">
        <v>45923</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49178-2024</t>
        </is>
      </c>
      <c r="B131" s="1" t="n">
        <v>45595</v>
      </c>
      <c r="C131" s="1" t="n">
        <v>45923</v>
      </c>
      <c r="D131" t="inlineStr">
        <is>
          <t>JÄMTLANDS LÄN</t>
        </is>
      </c>
      <c r="E131" t="inlineStr">
        <is>
          <t>KROKOM</t>
        </is>
      </c>
      <c r="G131" t="n">
        <v>96.8</v>
      </c>
      <c r="H131" t="n">
        <v>0</v>
      </c>
      <c r="I131" t="n">
        <v>0</v>
      </c>
      <c r="J131" t="n">
        <v>4</v>
      </c>
      <c r="K131" t="n">
        <v>0</v>
      </c>
      <c r="L131" t="n">
        <v>0</v>
      </c>
      <c r="M131" t="n">
        <v>0</v>
      </c>
      <c r="N131" t="n">
        <v>0</v>
      </c>
      <c r="O131" t="n">
        <v>4</v>
      </c>
      <c r="P131" t="n">
        <v>0</v>
      </c>
      <c r="Q131" t="n">
        <v>4</v>
      </c>
      <c r="R131" s="2" t="inlineStr">
        <is>
          <t>Gammelgransskål
Gränsticka
Rosenticka
Skrovellav</t>
        </is>
      </c>
      <c r="S131">
        <f>HYPERLINK("https://klasma.github.io/Logging_2309/artfynd/A 49178-2024 artfynd.xlsx", "A 49178-2024")</f>
        <v/>
      </c>
      <c r="T131">
        <f>HYPERLINK("https://klasma.github.io/Logging_2309/kartor/A 49178-2024 karta.png", "A 49178-2024")</f>
        <v/>
      </c>
      <c r="V131">
        <f>HYPERLINK("https://klasma.github.io/Logging_2309/klagomål/A 49178-2024 FSC-klagomål.docx", "A 49178-2024")</f>
        <v/>
      </c>
      <c r="W131">
        <f>HYPERLINK("https://klasma.github.io/Logging_2309/klagomålsmail/A 49178-2024 FSC-klagomål mail.docx", "A 49178-2024")</f>
        <v/>
      </c>
      <c r="X131">
        <f>HYPERLINK("https://klasma.github.io/Logging_2309/tillsyn/A 49178-2024 tillsynsbegäran.docx", "A 49178-2024")</f>
        <v/>
      </c>
      <c r="Y131">
        <f>HYPERLINK("https://klasma.github.io/Logging_2309/tillsynsmail/A 49178-2024 tillsynsbegäran mail.docx", "A 49178-2024")</f>
        <v/>
      </c>
    </row>
    <row r="132" ht="15" customHeight="1">
      <c r="A132" t="inlineStr">
        <is>
          <t>A 34582-2024</t>
        </is>
      </c>
      <c r="B132" s="1" t="n">
        <v>45526</v>
      </c>
      <c r="C132" s="1" t="n">
        <v>45923</v>
      </c>
      <c r="D132" t="inlineStr">
        <is>
          <t>JÄMTLANDS LÄN</t>
        </is>
      </c>
      <c r="E132" t="inlineStr">
        <is>
          <t>KROKOM</t>
        </is>
      </c>
      <c r="G132" t="n">
        <v>8.1</v>
      </c>
      <c r="H132" t="n">
        <v>1</v>
      </c>
      <c r="I132" t="n">
        <v>0</v>
      </c>
      <c r="J132" t="n">
        <v>3</v>
      </c>
      <c r="K132" t="n">
        <v>0</v>
      </c>
      <c r="L132" t="n">
        <v>0</v>
      </c>
      <c r="M132" t="n">
        <v>0</v>
      </c>
      <c r="N132" t="n">
        <v>0</v>
      </c>
      <c r="O132" t="n">
        <v>3</v>
      </c>
      <c r="P132" t="n">
        <v>0</v>
      </c>
      <c r="Q132" t="n">
        <v>3</v>
      </c>
      <c r="R132" s="2" t="inlineStr">
        <is>
          <t>Granticka
Tretåig hackspett
Ullticka</t>
        </is>
      </c>
      <c r="S132">
        <f>HYPERLINK("https://klasma.github.io/Logging_2309/artfynd/A 34582-2024 artfynd.xlsx", "A 34582-2024")</f>
        <v/>
      </c>
      <c r="T132">
        <f>HYPERLINK("https://klasma.github.io/Logging_2309/kartor/A 34582-2024 karta.png", "A 34582-2024")</f>
        <v/>
      </c>
      <c r="V132">
        <f>HYPERLINK("https://klasma.github.io/Logging_2309/klagomål/A 34582-2024 FSC-klagomål.docx", "A 34582-2024")</f>
        <v/>
      </c>
      <c r="W132">
        <f>HYPERLINK("https://klasma.github.io/Logging_2309/klagomålsmail/A 34582-2024 FSC-klagomål mail.docx", "A 34582-2024")</f>
        <v/>
      </c>
      <c r="X132">
        <f>HYPERLINK("https://klasma.github.io/Logging_2309/tillsyn/A 34582-2024 tillsynsbegäran.docx", "A 34582-2024")</f>
        <v/>
      </c>
      <c r="Y132">
        <f>HYPERLINK("https://klasma.github.io/Logging_2309/tillsynsmail/A 34582-2024 tillsynsbegäran mail.docx", "A 34582-2024")</f>
        <v/>
      </c>
      <c r="Z132">
        <f>HYPERLINK("https://klasma.github.io/Logging_2309/fåglar/A 34582-2024 prioriterade fågelarter.docx", "A 34582-2024")</f>
        <v/>
      </c>
    </row>
    <row r="133" ht="15" customHeight="1">
      <c r="A133" t="inlineStr">
        <is>
          <t>A 57468-2024</t>
        </is>
      </c>
      <c r="B133" s="1" t="n">
        <v>45630</v>
      </c>
      <c r="C133" s="1" t="n">
        <v>45923</v>
      </c>
      <c r="D133" t="inlineStr">
        <is>
          <t>JÄMTLANDS LÄN</t>
        </is>
      </c>
      <c r="E133" t="inlineStr">
        <is>
          <t>KROKOM</t>
        </is>
      </c>
      <c r="G133" t="n">
        <v>38.8</v>
      </c>
      <c r="H133" t="n">
        <v>1</v>
      </c>
      <c r="I133" t="n">
        <v>0</v>
      </c>
      <c r="J133" t="n">
        <v>3</v>
      </c>
      <c r="K133" t="n">
        <v>0</v>
      </c>
      <c r="L133" t="n">
        <v>0</v>
      </c>
      <c r="M133" t="n">
        <v>0</v>
      </c>
      <c r="N133" t="n">
        <v>0</v>
      </c>
      <c r="O133" t="n">
        <v>3</v>
      </c>
      <c r="P133" t="n">
        <v>0</v>
      </c>
      <c r="Q133" t="n">
        <v>3</v>
      </c>
      <c r="R133" s="2" t="inlineStr">
        <is>
          <t>Granticka
Gränsticka
Tretåig hackspett</t>
        </is>
      </c>
      <c r="S133">
        <f>HYPERLINK("https://klasma.github.io/Logging_2309/artfynd/A 57468-2024 artfynd.xlsx", "A 57468-2024")</f>
        <v/>
      </c>
      <c r="T133">
        <f>HYPERLINK("https://klasma.github.io/Logging_2309/kartor/A 57468-2024 karta.png", "A 57468-2024")</f>
        <v/>
      </c>
      <c r="V133">
        <f>HYPERLINK("https://klasma.github.io/Logging_2309/klagomål/A 57468-2024 FSC-klagomål.docx", "A 57468-2024")</f>
        <v/>
      </c>
      <c r="W133">
        <f>HYPERLINK("https://klasma.github.io/Logging_2309/klagomålsmail/A 57468-2024 FSC-klagomål mail.docx", "A 57468-2024")</f>
        <v/>
      </c>
      <c r="X133">
        <f>HYPERLINK("https://klasma.github.io/Logging_2309/tillsyn/A 57468-2024 tillsynsbegäran.docx", "A 57468-2024")</f>
        <v/>
      </c>
      <c r="Y133">
        <f>HYPERLINK("https://klasma.github.io/Logging_2309/tillsynsmail/A 57468-2024 tillsynsbegäran mail.docx", "A 57468-2024")</f>
        <v/>
      </c>
      <c r="Z133">
        <f>HYPERLINK("https://klasma.github.io/Logging_2309/fåglar/A 57468-2024 prioriterade fågelarter.docx", "A 57468-2024")</f>
        <v/>
      </c>
    </row>
    <row r="134" ht="15" customHeight="1">
      <c r="A134" t="inlineStr">
        <is>
          <t>A 30068-2022</t>
        </is>
      </c>
      <c r="B134" s="1" t="n">
        <v>44757</v>
      </c>
      <c r="C134" s="1" t="n">
        <v>45923</v>
      </c>
      <c r="D134" t="inlineStr">
        <is>
          <t>JÄMTLANDS LÄN</t>
        </is>
      </c>
      <c r="E134" t="inlineStr">
        <is>
          <t>KROKOM</t>
        </is>
      </c>
      <c r="G134" t="n">
        <v>5</v>
      </c>
      <c r="H134" t="n">
        <v>1</v>
      </c>
      <c r="I134" t="n">
        <v>0</v>
      </c>
      <c r="J134" t="n">
        <v>3</v>
      </c>
      <c r="K134" t="n">
        <v>0</v>
      </c>
      <c r="L134" t="n">
        <v>0</v>
      </c>
      <c r="M134" t="n">
        <v>0</v>
      </c>
      <c r="N134" t="n">
        <v>0</v>
      </c>
      <c r="O134" t="n">
        <v>3</v>
      </c>
      <c r="P134" t="n">
        <v>0</v>
      </c>
      <c r="Q134" t="n">
        <v>3</v>
      </c>
      <c r="R134" s="2" t="inlineStr">
        <is>
          <t>Gränsticka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58896-2024</t>
        </is>
      </c>
      <c r="B135" s="1" t="n">
        <v>45636</v>
      </c>
      <c r="C135" s="1" t="n">
        <v>45923</v>
      </c>
      <c r="D135" t="inlineStr">
        <is>
          <t>JÄMTLANDS LÄN</t>
        </is>
      </c>
      <c r="E135" t="inlineStr">
        <is>
          <t>KROKOM</t>
        </is>
      </c>
      <c r="G135" t="n">
        <v>3.3</v>
      </c>
      <c r="H135" t="n">
        <v>1</v>
      </c>
      <c r="I135" t="n">
        <v>0</v>
      </c>
      <c r="J135" t="n">
        <v>3</v>
      </c>
      <c r="K135" t="n">
        <v>0</v>
      </c>
      <c r="L135" t="n">
        <v>0</v>
      </c>
      <c r="M135" t="n">
        <v>0</v>
      </c>
      <c r="N135" t="n">
        <v>0</v>
      </c>
      <c r="O135" t="n">
        <v>3</v>
      </c>
      <c r="P135" t="n">
        <v>0</v>
      </c>
      <c r="Q135" t="n">
        <v>3</v>
      </c>
      <c r="R135" s="2" t="inlineStr">
        <is>
          <t>Garnlav
Tretåig hackspett
Vedskivlav</t>
        </is>
      </c>
      <c r="S135">
        <f>HYPERLINK("https://klasma.github.io/Logging_2309/artfynd/A 58896-2024 artfynd.xlsx", "A 58896-2024")</f>
        <v/>
      </c>
      <c r="T135">
        <f>HYPERLINK("https://klasma.github.io/Logging_2309/kartor/A 58896-2024 karta.png", "A 58896-2024")</f>
        <v/>
      </c>
      <c r="V135">
        <f>HYPERLINK("https://klasma.github.io/Logging_2309/klagomål/A 58896-2024 FSC-klagomål.docx", "A 58896-2024")</f>
        <v/>
      </c>
      <c r="W135">
        <f>HYPERLINK("https://klasma.github.io/Logging_2309/klagomålsmail/A 58896-2024 FSC-klagomål mail.docx", "A 58896-2024")</f>
        <v/>
      </c>
      <c r="X135">
        <f>HYPERLINK("https://klasma.github.io/Logging_2309/tillsyn/A 58896-2024 tillsynsbegäran.docx", "A 58896-2024")</f>
        <v/>
      </c>
      <c r="Y135">
        <f>HYPERLINK("https://klasma.github.io/Logging_2309/tillsynsmail/A 58896-2024 tillsynsbegäran mail.docx", "A 58896-2024")</f>
        <v/>
      </c>
      <c r="Z135">
        <f>HYPERLINK("https://klasma.github.io/Logging_2309/fåglar/A 58896-2024 prioriterade fågelarter.docx", "A 58896-2024")</f>
        <v/>
      </c>
    </row>
    <row r="136" ht="15" customHeight="1">
      <c r="A136" t="inlineStr">
        <is>
          <t>A 36009-2025</t>
        </is>
      </c>
      <c r="B136" s="1" t="n">
        <v>45863.58127314815</v>
      </c>
      <c r="C136" s="1" t="n">
        <v>45923</v>
      </c>
      <c r="D136" t="inlineStr">
        <is>
          <t>JÄMTLANDS LÄN</t>
        </is>
      </c>
      <c r="E136" t="inlineStr">
        <is>
          <t>KROKOM</t>
        </is>
      </c>
      <c r="F136" t="inlineStr">
        <is>
          <t>Övriga Aktiebolag</t>
        </is>
      </c>
      <c r="G136" t="n">
        <v>3.8</v>
      </c>
      <c r="H136" t="n">
        <v>1</v>
      </c>
      <c r="I136" t="n">
        <v>0</v>
      </c>
      <c r="J136" t="n">
        <v>3</v>
      </c>
      <c r="K136" t="n">
        <v>0</v>
      </c>
      <c r="L136" t="n">
        <v>0</v>
      </c>
      <c r="M136" t="n">
        <v>0</v>
      </c>
      <c r="N136" t="n">
        <v>0</v>
      </c>
      <c r="O136" t="n">
        <v>3</v>
      </c>
      <c r="P136" t="n">
        <v>0</v>
      </c>
      <c r="Q136" t="n">
        <v>3</v>
      </c>
      <c r="R136" s="2" t="inlineStr">
        <is>
          <t>Garnlav
Harticka
Tretåig hackspett</t>
        </is>
      </c>
      <c r="S136">
        <f>HYPERLINK("https://klasma.github.io/Logging_2309/artfynd/A 36009-2025 artfynd.xlsx", "A 36009-2025")</f>
        <v/>
      </c>
      <c r="T136">
        <f>HYPERLINK("https://klasma.github.io/Logging_2309/kartor/A 36009-2025 karta.png", "A 36009-2025")</f>
        <v/>
      </c>
      <c r="V136">
        <f>HYPERLINK("https://klasma.github.io/Logging_2309/klagomål/A 36009-2025 FSC-klagomål.docx", "A 36009-2025")</f>
        <v/>
      </c>
      <c r="W136">
        <f>HYPERLINK("https://klasma.github.io/Logging_2309/klagomålsmail/A 36009-2025 FSC-klagomål mail.docx", "A 36009-2025")</f>
        <v/>
      </c>
      <c r="X136">
        <f>HYPERLINK("https://klasma.github.io/Logging_2309/tillsyn/A 36009-2025 tillsynsbegäran.docx", "A 36009-2025")</f>
        <v/>
      </c>
      <c r="Y136">
        <f>HYPERLINK("https://klasma.github.io/Logging_2309/tillsynsmail/A 36009-2025 tillsynsbegäran mail.docx", "A 36009-2025")</f>
        <v/>
      </c>
      <c r="Z136">
        <f>HYPERLINK("https://klasma.github.io/Logging_2309/fåglar/A 36009-2025 prioriterade fågelarter.docx", "A 36009-2025")</f>
        <v/>
      </c>
    </row>
    <row r="137" ht="15" customHeight="1">
      <c r="A137" t="inlineStr">
        <is>
          <t>A 44869-2022</t>
        </is>
      </c>
      <c r="B137" s="1" t="n">
        <v>44841</v>
      </c>
      <c r="C137" s="1" t="n">
        <v>45923</v>
      </c>
      <c r="D137" t="inlineStr">
        <is>
          <t>JÄMTLANDS LÄN</t>
        </is>
      </c>
      <c r="E137" t="inlineStr">
        <is>
          <t>KROKOM</t>
        </is>
      </c>
      <c r="G137" t="n">
        <v>4.5</v>
      </c>
      <c r="H137" t="n">
        <v>1</v>
      </c>
      <c r="I137" t="n">
        <v>0</v>
      </c>
      <c r="J137" t="n">
        <v>1</v>
      </c>
      <c r="K137" t="n">
        <v>2</v>
      </c>
      <c r="L137" t="n">
        <v>0</v>
      </c>
      <c r="M137" t="n">
        <v>0</v>
      </c>
      <c r="N137" t="n">
        <v>0</v>
      </c>
      <c r="O137" t="n">
        <v>3</v>
      </c>
      <c r="P137" t="n">
        <v>2</v>
      </c>
      <c r="Q137" t="n">
        <v>3</v>
      </c>
      <c r="R137" s="2" t="inlineStr">
        <is>
          <t>Knärot
Ulltickeporing
Lunglav</t>
        </is>
      </c>
      <c r="S137">
        <f>HYPERLINK("https://klasma.github.io/Logging_2309/artfynd/A 44869-2022 artfynd.xlsx", "A 44869-2022")</f>
        <v/>
      </c>
      <c r="T137">
        <f>HYPERLINK("https://klasma.github.io/Logging_2309/kartor/A 44869-2022 karta.png", "A 44869-2022")</f>
        <v/>
      </c>
      <c r="U137">
        <f>HYPERLINK("https://klasma.github.io/Logging_2309/knärot/A 44869-2022 karta knärot.png", "A 44869-2022")</f>
        <v/>
      </c>
      <c r="V137">
        <f>HYPERLINK("https://klasma.github.io/Logging_2309/klagomål/A 44869-2022 FSC-klagomål.docx", "A 44869-2022")</f>
        <v/>
      </c>
      <c r="W137">
        <f>HYPERLINK("https://klasma.github.io/Logging_2309/klagomålsmail/A 44869-2022 FSC-klagomål mail.docx", "A 44869-2022")</f>
        <v/>
      </c>
      <c r="X137">
        <f>HYPERLINK("https://klasma.github.io/Logging_2309/tillsyn/A 44869-2022 tillsynsbegäran.docx", "A 44869-2022")</f>
        <v/>
      </c>
      <c r="Y137">
        <f>HYPERLINK("https://klasma.github.io/Logging_2309/tillsynsmail/A 44869-2022 tillsynsbegäran mail.docx", "A 44869-2022")</f>
        <v/>
      </c>
    </row>
    <row r="138" ht="15" customHeight="1">
      <c r="A138" t="inlineStr">
        <is>
          <t>A 71573-2021</t>
        </is>
      </c>
      <c r="B138" s="1" t="n">
        <v>44540</v>
      </c>
      <c r="C138" s="1" t="n">
        <v>45923</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62731-2023</t>
        </is>
      </c>
      <c r="B139" s="1" t="n">
        <v>45271</v>
      </c>
      <c r="C139" s="1" t="n">
        <v>45923</v>
      </c>
      <c r="D139" t="inlineStr">
        <is>
          <t>JÄMTLANDS LÄN</t>
        </is>
      </c>
      <c r="E139" t="inlineStr">
        <is>
          <t>KROKOM</t>
        </is>
      </c>
      <c r="F139" t="inlineStr">
        <is>
          <t>Övriga Aktiebolag</t>
        </is>
      </c>
      <c r="G139" t="n">
        <v>12.1</v>
      </c>
      <c r="H139" t="n">
        <v>1</v>
      </c>
      <c r="I139" t="n">
        <v>0</v>
      </c>
      <c r="J139" t="n">
        <v>3</v>
      </c>
      <c r="K139" t="n">
        <v>0</v>
      </c>
      <c r="L139" t="n">
        <v>0</v>
      </c>
      <c r="M139" t="n">
        <v>0</v>
      </c>
      <c r="N139" t="n">
        <v>0</v>
      </c>
      <c r="O139" t="n">
        <v>3</v>
      </c>
      <c r="P139" t="n">
        <v>0</v>
      </c>
      <c r="Q139" t="n">
        <v>3</v>
      </c>
      <c r="R139" s="2" t="inlineStr">
        <is>
          <t>Granticka
Harticka
Tretåig hackspett</t>
        </is>
      </c>
      <c r="S139">
        <f>HYPERLINK("https://klasma.github.io/Logging_2309/artfynd/A 62731-2023 artfynd.xlsx", "A 62731-2023")</f>
        <v/>
      </c>
      <c r="T139">
        <f>HYPERLINK("https://klasma.github.io/Logging_2309/kartor/A 62731-2023 karta.png", "A 62731-2023")</f>
        <v/>
      </c>
      <c r="V139">
        <f>HYPERLINK("https://klasma.github.io/Logging_2309/klagomål/A 62731-2023 FSC-klagomål.docx", "A 62731-2023")</f>
        <v/>
      </c>
      <c r="W139">
        <f>HYPERLINK("https://klasma.github.io/Logging_2309/klagomålsmail/A 62731-2023 FSC-klagomål mail.docx", "A 62731-2023")</f>
        <v/>
      </c>
      <c r="X139">
        <f>HYPERLINK("https://klasma.github.io/Logging_2309/tillsyn/A 62731-2023 tillsynsbegäran.docx", "A 62731-2023")</f>
        <v/>
      </c>
      <c r="Y139">
        <f>HYPERLINK("https://klasma.github.io/Logging_2309/tillsynsmail/A 62731-2023 tillsynsbegäran mail.docx", "A 62731-2023")</f>
        <v/>
      </c>
      <c r="Z139">
        <f>HYPERLINK("https://klasma.github.io/Logging_2309/fåglar/A 62731-2023 prioriterade fågelarter.docx", "A 62731-2023")</f>
        <v/>
      </c>
    </row>
    <row r="140" ht="15" customHeight="1">
      <c r="A140" t="inlineStr">
        <is>
          <t>A 54494-2023</t>
        </is>
      </c>
      <c r="B140" s="1" t="n">
        <v>45233</v>
      </c>
      <c r="C140" s="1" t="n">
        <v>45923</v>
      </c>
      <c r="D140" t="inlineStr">
        <is>
          <t>JÄMTLANDS LÄN</t>
        </is>
      </c>
      <c r="E140" t="inlineStr">
        <is>
          <t>KROKOM</t>
        </is>
      </c>
      <c r="G140" t="n">
        <v>6.2</v>
      </c>
      <c r="H140" t="n">
        <v>1</v>
      </c>
      <c r="I140" t="n">
        <v>2</v>
      </c>
      <c r="J140" t="n">
        <v>0</v>
      </c>
      <c r="K140" t="n">
        <v>0</v>
      </c>
      <c r="L140" t="n">
        <v>0</v>
      </c>
      <c r="M140" t="n">
        <v>0</v>
      </c>
      <c r="N140" t="n">
        <v>0</v>
      </c>
      <c r="O140" t="n">
        <v>0</v>
      </c>
      <c r="P140" t="n">
        <v>0</v>
      </c>
      <c r="Q140" t="n">
        <v>3</v>
      </c>
      <c r="R140" s="2" t="inlineStr">
        <is>
          <t>Finbräken
Tibast
Blåsippa</t>
        </is>
      </c>
      <c r="S140">
        <f>HYPERLINK("https://klasma.github.io/Logging_2309/artfynd/A 54494-2023 artfynd.xlsx", "A 54494-2023")</f>
        <v/>
      </c>
      <c r="T140">
        <f>HYPERLINK("https://klasma.github.io/Logging_2309/kartor/A 54494-2023 karta.png", "A 54494-2023")</f>
        <v/>
      </c>
      <c r="V140">
        <f>HYPERLINK("https://klasma.github.io/Logging_2309/klagomål/A 54494-2023 FSC-klagomål.docx", "A 54494-2023")</f>
        <v/>
      </c>
      <c r="W140">
        <f>HYPERLINK("https://klasma.github.io/Logging_2309/klagomålsmail/A 54494-2023 FSC-klagomål mail.docx", "A 54494-2023")</f>
        <v/>
      </c>
      <c r="X140">
        <f>HYPERLINK("https://klasma.github.io/Logging_2309/tillsyn/A 54494-2023 tillsynsbegäran.docx", "A 54494-2023")</f>
        <v/>
      </c>
      <c r="Y140">
        <f>HYPERLINK("https://klasma.github.io/Logging_2309/tillsynsmail/A 54494-2023 tillsynsbegäran mail.docx", "A 54494-2023")</f>
        <v/>
      </c>
    </row>
    <row r="141" ht="15" customHeight="1">
      <c r="A141" t="inlineStr">
        <is>
          <t>A 50431-2023</t>
        </is>
      </c>
      <c r="B141" s="1" t="n">
        <v>45216.67748842593</v>
      </c>
      <c r="C141" s="1" t="n">
        <v>45923</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30069-2022</t>
        </is>
      </c>
      <c r="B142" s="1" t="n">
        <v>44757</v>
      </c>
      <c r="C142" s="1" t="n">
        <v>45923</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52264-2022</t>
        </is>
      </c>
      <c r="B143" s="1" t="n">
        <v>44873</v>
      </c>
      <c r="C143" s="1" t="n">
        <v>45923</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51663-2022</t>
        </is>
      </c>
      <c r="B144" s="1" t="n">
        <v>44867</v>
      </c>
      <c r="C144" s="1" t="n">
        <v>45923</v>
      </c>
      <c r="D144" t="inlineStr">
        <is>
          <t>JÄMTLANDS LÄN</t>
        </is>
      </c>
      <c r="E144" t="inlineStr">
        <is>
          <t>KROKOM</t>
        </is>
      </c>
      <c r="G144" t="n">
        <v>28.5</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HYPERLINK("https://klasma.github.io/Logging_2309/artfynd/A 51663-2022 artfynd.xlsx", "A 51663-2022")</f>
        <v/>
      </c>
      <c r="T144">
        <f>HYPERLINK("https://klasma.github.io/Logging_2309/kartor/A 51663-2022 karta.png", "A 51663-2022")</f>
        <v/>
      </c>
      <c r="V144">
        <f>HYPERLINK("https://klasma.github.io/Logging_2309/klagomål/A 51663-2022 FSC-klagomål.docx", "A 51663-2022")</f>
        <v/>
      </c>
      <c r="W144">
        <f>HYPERLINK("https://klasma.github.io/Logging_2309/klagomålsmail/A 51663-2022 FSC-klagomål mail.docx", "A 51663-2022")</f>
        <v/>
      </c>
      <c r="X144">
        <f>HYPERLINK("https://klasma.github.io/Logging_2309/tillsyn/A 51663-2022 tillsynsbegäran.docx", "A 51663-2022")</f>
        <v/>
      </c>
      <c r="Y144">
        <f>HYPERLINK("https://klasma.github.io/Logging_2309/tillsynsmail/A 51663-2022 tillsynsbegäran mail.docx", "A 51663-2022")</f>
        <v/>
      </c>
      <c r="Z144">
        <f>HYPERLINK("https://klasma.github.io/Logging_2309/fåglar/A 51663-2022 prioriterade fågelarter.docx", "A 51663-2022")</f>
        <v/>
      </c>
    </row>
    <row r="145" ht="15" customHeight="1">
      <c r="A145" t="inlineStr">
        <is>
          <t>A 2592-2024</t>
        </is>
      </c>
      <c r="B145" s="1" t="n">
        <v>45313</v>
      </c>
      <c r="C145" s="1" t="n">
        <v>45923</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5278-2025</t>
        </is>
      </c>
      <c r="B146" s="1" t="n">
        <v>45692</v>
      </c>
      <c r="C146" s="1" t="n">
        <v>45923</v>
      </c>
      <c r="D146" t="inlineStr">
        <is>
          <t>JÄMTLANDS LÄN</t>
        </is>
      </c>
      <c r="E146" t="inlineStr">
        <is>
          <t>KROKOM</t>
        </is>
      </c>
      <c r="F146" t="inlineStr">
        <is>
          <t>Övriga Aktiebolag</t>
        </is>
      </c>
      <c r="G146" t="n">
        <v>117.4</v>
      </c>
      <c r="H146" t="n">
        <v>1</v>
      </c>
      <c r="I146" t="n">
        <v>0</v>
      </c>
      <c r="J146" t="n">
        <v>2</v>
      </c>
      <c r="K146" t="n">
        <v>0</v>
      </c>
      <c r="L146" t="n">
        <v>1</v>
      </c>
      <c r="M146" t="n">
        <v>0</v>
      </c>
      <c r="N146" t="n">
        <v>0</v>
      </c>
      <c r="O146" t="n">
        <v>3</v>
      </c>
      <c r="P146" t="n">
        <v>1</v>
      </c>
      <c r="Q146" t="n">
        <v>3</v>
      </c>
      <c r="R146" s="2" t="inlineStr">
        <is>
          <t>Bredgentiana
Backruta
Månlåsbräken</t>
        </is>
      </c>
      <c r="S146">
        <f>HYPERLINK("https://klasma.github.io/Logging_2309/artfynd/A 5278-2025 artfynd.xlsx", "A 5278-2025")</f>
        <v/>
      </c>
      <c r="T146">
        <f>HYPERLINK("https://klasma.github.io/Logging_2309/kartor/A 5278-2025 karta.png", "A 5278-2025")</f>
        <v/>
      </c>
      <c r="V146">
        <f>HYPERLINK("https://klasma.github.io/Logging_2309/klagomål/A 5278-2025 FSC-klagomål.docx", "A 5278-2025")</f>
        <v/>
      </c>
      <c r="W146">
        <f>HYPERLINK("https://klasma.github.io/Logging_2309/klagomålsmail/A 5278-2025 FSC-klagomål mail.docx", "A 5278-2025")</f>
        <v/>
      </c>
      <c r="X146">
        <f>HYPERLINK("https://klasma.github.io/Logging_2309/tillsyn/A 5278-2025 tillsynsbegäran.docx", "A 5278-2025")</f>
        <v/>
      </c>
      <c r="Y146">
        <f>HYPERLINK("https://klasma.github.io/Logging_2309/tillsynsmail/A 5278-2025 tillsynsbegäran mail.docx", "A 5278-2025")</f>
        <v/>
      </c>
    </row>
    <row r="147" ht="15" customHeight="1">
      <c r="A147" t="inlineStr">
        <is>
          <t>A 62113-2024</t>
        </is>
      </c>
      <c r="B147" s="1" t="n">
        <v>45656.54600694445</v>
      </c>
      <c r="C147" s="1" t="n">
        <v>45923</v>
      </c>
      <c r="D147" t="inlineStr">
        <is>
          <t>JÄMTLANDS LÄN</t>
        </is>
      </c>
      <c r="E147" t="inlineStr">
        <is>
          <t>KROKOM</t>
        </is>
      </c>
      <c r="G147" t="n">
        <v>5.3</v>
      </c>
      <c r="H147" t="n">
        <v>1</v>
      </c>
      <c r="I147" t="n">
        <v>2</v>
      </c>
      <c r="J147" t="n">
        <v>0</v>
      </c>
      <c r="K147" t="n">
        <v>0</v>
      </c>
      <c r="L147" t="n">
        <v>0</v>
      </c>
      <c r="M147" t="n">
        <v>0</v>
      </c>
      <c r="N147" t="n">
        <v>0</v>
      </c>
      <c r="O147" t="n">
        <v>0</v>
      </c>
      <c r="P147" t="n">
        <v>0</v>
      </c>
      <c r="Q147" t="n">
        <v>3</v>
      </c>
      <c r="R147" s="2" t="inlineStr">
        <is>
          <t>Finbräken
Kransrams
Blåsippa</t>
        </is>
      </c>
      <c r="S147">
        <f>HYPERLINK("https://klasma.github.io/Logging_2309/artfynd/A 62113-2024 artfynd.xlsx", "A 62113-2024")</f>
        <v/>
      </c>
      <c r="T147">
        <f>HYPERLINK("https://klasma.github.io/Logging_2309/kartor/A 62113-2024 karta.png", "A 62113-2024")</f>
        <v/>
      </c>
      <c r="V147">
        <f>HYPERLINK("https://klasma.github.io/Logging_2309/klagomål/A 62113-2024 FSC-klagomål.docx", "A 62113-2024")</f>
        <v/>
      </c>
      <c r="W147">
        <f>HYPERLINK("https://klasma.github.io/Logging_2309/klagomålsmail/A 62113-2024 FSC-klagomål mail.docx", "A 62113-2024")</f>
        <v/>
      </c>
      <c r="X147">
        <f>HYPERLINK("https://klasma.github.io/Logging_2309/tillsyn/A 62113-2024 tillsynsbegäran.docx", "A 62113-2024")</f>
        <v/>
      </c>
      <c r="Y147">
        <f>HYPERLINK("https://klasma.github.io/Logging_2309/tillsynsmail/A 62113-2024 tillsynsbegäran mail.docx", "A 62113-2024")</f>
        <v/>
      </c>
    </row>
    <row r="148" ht="15" customHeight="1">
      <c r="A148" t="inlineStr">
        <is>
          <t>A 32148-2024</t>
        </is>
      </c>
      <c r="B148" s="1" t="n">
        <v>45511.55719907407</v>
      </c>
      <c r="C148" s="1" t="n">
        <v>45923</v>
      </c>
      <c r="D148" t="inlineStr">
        <is>
          <t>JÄMTLANDS LÄN</t>
        </is>
      </c>
      <c r="E148" t="inlineStr">
        <is>
          <t>KROKOM</t>
        </is>
      </c>
      <c r="G148" t="n">
        <v>3.1</v>
      </c>
      <c r="H148" t="n">
        <v>1</v>
      </c>
      <c r="I148" t="n">
        <v>2</v>
      </c>
      <c r="J148" t="n">
        <v>0</v>
      </c>
      <c r="K148" t="n">
        <v>0</v>
      </c>
      <c r="L148" t="n">
        <v>0</v>
      </c>
      <c r="M148" t="n">
        <v>0</v>
      </c>
      <c r="N148" t="n">
        <v>0</v>
      </c>
      <c r="O148" t="n">
        <v>0</v>
      </c>
      <c r="P148" t="n">
        <v>0</v>
      </c>
      <c r="Q148" t="n">
        <v>3</v>
      </c>
      <c r="R148" s="2" t="inlineStr">
        <is>
          <t>Kransrams
Tibast
Blåsippa</t>
        </is>
      </c>
      <c r="S148">
        <f>HYPERLINK("https://klasma.github.io/Logging_2309/artfynd/A 32148-2024 artfynd.xlsx", "A 32148-2024")</f>
        <v/>
      </c>
      <c r="T148">
        <f>HYPERLINK("https://klasma.github.io/Logging_2309/kartor/A 32148-2024 karta.png", "A 32148-2024")</f>
        <v/>
      </c>
      <c r="V148">
        <f>HYPERLINK("https://klasma.github.io/Logging_2309/klagomål/A 32148-2024 FSC-klagomål.docx", "A 32148-2024")</f>
        <v/>
      </c>
      <c r="W148">
        <f>HYPERLINK("https://klasma.github.io/Logging_2309/klagomålsmail/A 32148-2024 FSC-klagomål mail.docx", "A 32148-2024")</f>
        <v/>
      </c>
      <c r="X148">
        <f>HYPERLINK("https://klasma.github.io/Logging_2309/tillsyn/A 32148-2024 tillsynsbegäran.docx", "A 32148-2024")</f>
        <v/>
      </c>
      <c r="Y148">
        <f>HYPERLINK("https://klasma.github.io/Logging_2309/tillsynsmail/A 32148-2024 tillsynsbegäran mail.docx", "A 32148-2024")</f>
        <v/>
      </c>
    </row>
    <row r="149" ht="15" customHeight="1">
      <c r="A149" t="inlineStr">
        <is>
          <t>A 50345-2023</t>
        </is>
      </c>
      <c r="B149" s="1" t="n">
        <v>45216</v>
      </c>
      <c r="C149" s="1" t="n">
        <v>45923</v>
      </c>
      <c r="D149" t="inlineStr">
        <is>
          <t>JÄMTLANDS LÄN</t>
        </is>
      </c>
      <c r="E149" t="inlineStr">
        <is>
          <t>KROKOM</t>
        </is>
      </c>
      <c r="F149" t="inlineStr">
        <is>
          <t>Övriga Aktiebolag</t>
        </is>
      </c>
      <c r="G149" t="n">
        <v>0.6</v>
      </c>
      <c r="H149" t="n">
        <v>2</v>
      </c>
      <c r="I149" t="n">
        <v>0</v>
      </c>
      <c r="J149" t="n">
        <v>3</v>
      </c>
      <c r="K149" t="n">
        <v>0</v>
      </c>
      <c r="L149" t="n">
        <v>0</v>
      </c>
      <c r="M149" t="n">
        <v>0</v>
      </c>
      <c r="N149" t="n">
        <v>0</v>
      </c>
      <c r="O149" t="n">
        <v>3</v>
      </c>
      <c r="P149" t="n">
        <v>0</v>
      </c>
      <c r="Q149" t="n">
        <v>3</v>
      </c>
      <c r="R149" s="2" t="inlineStr">
        <is>
          <t>Garnlav
Järpe
Tretåig hackspett</t>
        </is>
      </c>
      <c r="S149">
        <f>HYPERLINK("https://klasma.github.io/Logging_2309/artfynd/A 50345-2023 artfynd.xlsx", "A 50345-2023")</f>
        <v/>
      </c>
      <c r="T149">
        <f>HYPERLINK("https://klasma.github.io/Logging_2309/kartor/A 50345-2023 karta.png", "A 50345-2023")</f>
        <v/>
      </c>
      <c r="V149">
        <f>HYPERLINK("https://klasma.github.io/Logging_2309/klagomål/A 50345-2023 FSC-klagomål.docx", "A 50345-2023")</f>
        <v/>
      </c>
      <c r="W149">
        <f>HYPERLINK("https://klasma.github.io/Logging_2309/klagomålsmail/A 50345-2023 FSC-klagomål mail.docx", "A 50345-2023")</f>
        <v/>
      </c>
      <c r="X149">
        <f>HYPERLINK("https://klasma.github.io/Logging_2309/tillsyn/A 50345-2023 tillsynsbegäran.docx", "A 50345-2023")</f>
        <v/>
      </c>
      <c r="Y149">
        <f>HYPERLINK("https://klasma.github.io/Logging_2309/tillsynsmail/A 50345-2023 tillsynsbegäran mail.docx", "A 50345-2023")</f>
        <v/>
      </c>
      <c r="Z149">
        <f>HYPERLINK("https://klasma.github.io/Logging_2309/fåglar/A 50345-2023 prioriterade fågelarter.docx", "A 50345-2023")</f>
        <v/>
      </c>
    </row>
    <row r="150" ht="15" customHeight="1">
      <c r="A150" t="inlineStr">
        <is>
          <t>A 23439-2024</t>
        </is>
      </c>
      <c r="B150" s="1" t="n">
        <v>45453.63133101852</v>
      </c>
      <c r="C150" s="1" t="n">
        <v>45923</v>
      </c>
      <c r="D150" t="inlineStr">
        <is>
          <t>JÄMTLANDS LÄN</t>
        </is>
      </c>
      <c r="E150" t="inlineStr">
        <is>
          <t>KROKOM</t>
        </is>
      </c>
      <c r="G150" t="n">
        <v>15.7</v>
      </c>
      <c r="H150" t="n">
        <v>2</v>
      </c>
      <c r="I150" t="n">
        <v>0</v>
      </c>
      <c r="J150" t="n">
        <v>2</v>
      </c>
      <c r="K150" t="n">
        <v>0</v>
      </c>
      <c r="L150" t="n">
        <v>0</v>
      </c>
      <c r="M150" t="n">
        <v>0</v>
      </c>
      <c r="N150" t="n">
        <v>0</v>
      </c>
      <c r="O150" t="n">
        <v>2</v>
      </c>
      <c r="P150" t="n">
        <v>0</v>
      </c>
      <c r="Q150" t="n">
        <v>3</v>
      </c>
      <c r="R150" s="2" t="inlineStr">
        <is>
          <t>Granticka
Tretåig hackspett
Lavskrika</t>
        </is>
      </c>
      <c r="S150">
        <f>HYPERLINK("https://klasma.github.io/Logging_2309/artfynd/A 23439-2024 artfynd.xlsx", "A 23439-2024")</f>
        <v/>
      </c>
      <c r="T150">
        <f>HYPERLINK("https://klasma.github.io/Logging_2309/kartor/A 23439-2024 karta.png", "A 23439-2024")</f>
        <v/>
      </c>
      <c r="V150">
        <f>HYPERLINK("https://klasma.github.io/Logging_2309/klagomål/A 23439-2024 FSC-klagomål.docx", "A 23439-2024")</f>
        <v/>
      </c>
      <c r="W150">
        <f>HYPERLINK("https://klasma.github.io/Logging_2309/klagomålsmail/A 23439-2024 FSC-klagomål mail.docx", "A 23439-2024")</f>
        <v/>
      </c>
      <c r="X150">
        <f>HYPERLINK("https://klasma.github.io/Logging_2309/tillsyn/A 23439-2024 tillsynsbegäran.docx", "A 23439-2024")</f>
        <v/>
      </c>
      <c r="Y150">
        <f>HYPERLINK("https://klasma.github.io/Logging_2309/tillsynsmail/A 23439-2024 tillsynsbegäran mail.docx", "A 23439-2024")</f>
        <v/>
      </c>
      <c r="Z150">
        <f>HYPERLINK("https://klasma.github.io/Logging_2309/fåglar/A 23439-2024 prioriterade fågelarter.docx", "A 23439-2024")</f>
        <v/>
      </c>
    </row>
    <row r="151" ht="15" customHeight="1">
      <c r="A151" t="inlineStr">
        <is>
          <t>A 29035-2025</t>
        </is>
      </c>
      <c r="B151" s="1" t="n">
        <v>45821.44299768518</v>
      </c>
      <c r="C151" s="1" t="n">
        <v>45923</v>
      </c>
      <c r="D151" t="inlineStr">
        <is>
          <t>JÄMTLANDS LÄN</t>
        </is>
      </c>
      <c r="E151" t="inlineStr">
        <is>
          <t>KROKOM</t>
        </is>
      </c>
      <c r="G151" t="n">
        <v>45.1</v>
      </c>
      <c r="H151" t="n">
        <v>1</v>
      </c>
      <c r="I151" t="n">
        <v>1</v>
      </c>
      <c r="J151" t="n">
        <v>1</v>
      </c>
      <c r="K151" t="n">
        <v>0</v>
      </c>
      <c r="L151" t="n">
        <v>0</v>
      </c>
      <c r="M151" t="n">
        <v>1</v>
      </c>
      <c r="N151" t="n">
        <v>0</v>
      </c>
      <c r="O151" t="n">
        <v>2</v>
      </c>
      <c r="P151" t="n">
        <v>1</v>
      </c>
      <c r="Q151" t="n">
        <v>3</v>
      </c>
      <c r="R151" s="2" t="inlineStr">
        <is>
          <t>Vedtrådmossa
Lunglav
Ögonpyrola</t>
        </is>
      </c>
      <c r="S151">
        <f>HYPERLINK("https://klasma.github.io/Logging_2309/artfynd/A 29035-2025 artfynd.xlsx", "A 29035-2025")</f>
        <v/>
      </c>
      <c r="T151">
        <f>HYPERLINK("https://klasma.github.io/Logging_2309/kartor/A 29035-2025 karta.png", "A 29035-2025")</f>
        <v/>
      </c>
      <c r="V151">
        <f>HYPERLINK("https://klasma.github.io/Logging_2309/klagomål/A 29035-2025 FSC-klagomål.docx", "A 29035-2025")</f>
        <v/>
      </c>
      <c r="W151">
        <f>HYPERLINK("https://klasma.github.io/Logging_2309/klagomålsmail/A 29035-2025 FSC-klagomål mail.docx", "A 29035-2025")</f>
        <v/>
      </c>
      <c r="X151">
        <f>HYPERLINK("https://klasma.github.io/Logging_2309/tillsyn/A 29035-2025 tillsynsbegäran.docx", "A 29035-2025")</f>
        <v/>
      </c>
      <c r="Y151">
        <f>HYPERLINK("https://klasma.github.io/Logging_2309/tillsynsmail/A 29035-2025 tillsynsbegäran mail.docx", "A 29035-2025")</f>
        <v/>
      </c>
    </row>
    <row r="152" ht="15" customHeight="1">
      <c r="A152" t="inlineStr">
        <is>
          <t>A 11439-2024</t>
        </is>
      </c>
      <c r="B152" s="1" t="n">
        <v>45372</v>
      </c>
      <c r="C152" s="1" t="n">
        <v>45923</v>
      </c>
      <c r="D152" t="inlineStr">
        <is>
          <t>JÄMTLANDS LÄN</t>
        </is>
      </c>
      <c r="E152" t="inlineStr">
        <is>
          <t>KROKOM</t>
        </is>
      </c>
      <c r="G152" t="n">
        <v>33</v>
      </c>
      <c r="H152" t="n">
        <v>1</v>
      </c>
      <c r="I152" t="n">
        <v>0</v>
      </c>
      <c r="J152" t="n">
        <v>2</v>
      </c>
      <c r="K152" t="n">
        <v>1</v>
      </c>
      <c r="L152" t="n">
        <v>0</v>
      </c>
      <c r="M152" t="n">
        <v>0</v>
      </c>
      <c r="N152" t="n">
        <v>0</v>
      </c>
      <c r="O152" t="n">
        <v>3</v>
      </c>
      <c r="P152" t="n">
        <v>1</v>
      </c>
      <c r="Q152" t="n">
        <v>3</v>
      </c>
      <c r="R152" s="2" t="inlineStr">
        <is>
          <t>Tvillingspindling
Lunglav
Tretåig hackspett</t>
        </is>
      </c>
      <c r="S152">
        <f>HYPERLINK("https://klasma.github.io/Logging_2309/artfynd/A 11439-2024 artfynd.xlsx", "A 11439-2024")</f>
        <v/>
      </c>
      <c r="T152">
        <f>HYPERLINK("https://klasma.github.io/Logging_2309/kartor/A 11439-2024 karta.png", "A 11439-2024")</f>
        <v/>
      </c>
      <c r="V152">
        <f>HYPERLINK("https://klasma.github.io/Logging_2309/klagomål/A 11439-2024 FSC-klagomål.docx", "A 11439-2024")</f>
        <v/>
      </c>
      <c r="W152">
        <f>HYPERLINK("https://klasma.github.io/Logging_2309/klagomålsmail/A 11439-2024 FSC-klagomål mail.docx", "A 11439-2024")</f>
        <v/>
      </c>
      <c r="X152">
        <f>HYPERLINK("https://klasma.github.io/Logging_2309/tillsyn/A 11439-2024 tillsynsbegäran.docx", "A 11439-2024")</f>
        <v/>
      </c>
      <c r="Y152">
        <f>HYPERLINK("https://klasma.github.io/Logging_2309/tillsynsmail/A 11439-2024 tillsynsbegäran mail.docx", "A 11439-2024")</f>
        <v/>
      </c>
      <c r="Z152">
        <f>HYPERLINK("https://klasma.github.io/Logging_2309/fåglar/A 11439-2024 prioriterade fågelarter.docx", "A 11439-2024")</f>
        <v/>
      </c>
    </row>
    <row r="153" ht="15" customHeight="1">
      <c r="A153" t="inlineStr">
        <is>
          <t>A 38966-2025</t>
        </is>
      </c>
      <c r="B153" s="1" t="n">
        <v>45887.6989699074</v>
      </c>
      <c r="C153" s="1" t="n">
        <v>45923</v>
      </c>
      <c r="D153" t="inlineStr">
        <is>
          <t>JÄMTLANDS LÄN</t>
        </is>
      </c>
      <c r="E153" t="inlineStr">
        <is>
          <t>KROKOM</t>
        </is>
      </c>
      <c r="G153" t="n">
        <v>8.199999999999999</v>
      </c>
      <c r="H153" t="n">
        <v>0</v>
      </c>
      <c r="I153" t="n">
        <v>3</v>
      </c>
      <c r="J153" t="n">
        <v>0</v>
      </c>
      <c r="K153" t="n">
        <v>0</v>
      </c>
      <c r="L153" t="n">
        <v>0</v>
      </c>
      <c r="M153" t="n">
        <v>0</v>
      </c>
      <c r="N153" t="n">
        <v>0</v>
      </c>
      <c r="O153" t="n">
        <v>0</v>
      </c>
      <c r="P153" t="n">
        <v>0</v>
      </c>
      <c r="Q153" t="n">
        <v>3</v>
      </c>
      <c r="R153" s="2" t="inlineStr">
        <is>
          <t>Luddlav
Skinnlav
Stuplav</t>
        </is>
      </c>
      <c r="S153">
        <f>HYPERLINK("https://klasma.github.io/Logging_2309/artfynd/A 38966-2025 artfynd.xlsx", "A 38966-2025")</f>
        <v/>
      </c>
      <c r="T153">
        <f>HYPERLINK("https://klasma.github.io/Logging_2309/kartor/A 38966-2025 karta.png", "A 38966-2025")</f>
        <v/>
      </c>
      <c r="V153">
        <f>HYPERLINK("https://klasma.github.io/Logging_2309/klagomål/A 38966-2025 FSC-klagomål.docx", "A 38966-2025")</f>
        <v/>
      </c>
      <c r="W153">
        <f>HYPERLINK("https://klasma.github.io/Logging_2309/klagomålsmail/A 38966-2025 FSC-klagomål mail.docx", "A 38966-2025")</f>
        <v/>
      </c>
      <c r="X153">
        <f>HYPERLINK("https://klasma.github.io/Logging_2309/tillsyn/A 38966-2025 tillsynsbegäran.docx", "A 38966-2025")</f>
        <v/>
      </c>
      <c r="Y153">
        <f>HYPERLINK("https://klasma.github.io/Logging_2309/tillsynsmail/A 38966-2025 tillsynsbegäran mail.docx", "A 38966-2025")</f>
        <v/>
      </c>
    </row>
    <row r="154" ht="15" customHeight="1">
      <c r="A154" t="inlineStr">
        <is>
          <t>A 28151-2021</t>
        </is>
      </c>
      <c r="B154" s="1" t="n">
        <v>44355</v>
      </c>
      <c r="C154" s="1" t="n">
        <v>45923</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45923</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67738-2021</t>
        </is>
      </c>
      <c r="B156" s="1" t="n">
        <v>44524</v>
      </c>
      <c r="C156" s="1" t="n">
        <v>45923</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45923</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45923</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30060-2022</t>
        </is>
      </c>
      <c r="B159" s="1" t="n">
        <v>44757</v>
      </c>
      <c r="C159" s="1" t="n">
        <v>45923</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33874-2021</t>
        </is>
      </c>
      <c r="B160" s="1" t="n">
        <v>44378</v>
      </c>
      <c r="C160" s="1" t="n">
        <v>45923</v>
      </c>
      <c r="D160" t="inlineStr">
        <is>
          <t>JÄMTLANDS LÄN</t>
        </is>
      </c>
      <c r="E160" t="inlineStr">
        <is>
          <t>KROKOM</t>
        </is>
      </c>
      <c r="G160" t="n">
        <v>5.9</v>
      </c>
      <c r="H160" t="n">
        <v>1</v>
      </c>
      <c r="I160" t="n">
        <v>2</v>
      </c>
      <c r="J160" t="n">
        <v>0</v>
      </c>
      <c r="K160" t="n">
        <v>0</v>
      </c>
      <c r="L160" t="n">
        <v>0</v>
      </c>
      <c r="M160" t="n">
        <v>0</v>
      </c>
      <c r="N160" t="n">
        <v>0</v>
      </c>
      <c r="O160" t="n">
        <v>0</v>
      </c>
      <c r="P160" t="n">
        <v>0</v>
      </c>
      <c r="Q160" t="n">
        <v>2</v>
      </c>
      <c r="R160" s="2" t="inlineStr">
        <is>
          <t>Kransrams
Tvåblad</t>
        </is>
      </c>
      <c r="S160">
        <f>HYPERLINK("https://klasma.github.io/Logging_2309/artfynd/A 33874-2021 artfynd.xlsx", "A 33874-2021")</f>
        <v/>
      </c>
      <c r="T160">
        <f>HYPERLINK("https://klasma.github.io/Logging_2309/kartor/A 33874-2021 karta.png", "A 33874-2021")</f>
        <v/>
      </c>
      <c r="V160">
        <f>HYPERLINK("https://klasma.github.io/Logging_2309/klagomål/A 33874-2021 FSC-klagomål.docx", "A 33874-2021")</f>
        <v/>
      </c>
      <c r="W160">
        <f>HYPERLINK("https://klasma.github.io/Logging_2309/klagomålsmail/A 33874-2021 FSC-klagomål mail.docx", "A 33874-2021")</f>
        <v/>
      </c>
      <c r="X160">
        <f>HYPERLINK("https://klasma.github.io/Logging_2309/tillsyn/A 33874-2021 tillsynsbegäran.docx", "A 33874-2021")</f>
        <v/>
      </c>
      <c r="Y160">
        <f>HYPERLINK("https://klasma.github.io/Logging_2309/tillsynsmail/A 33874-2021 tillsynsbegäran mail.docx", "A 33874-2021")</f>
        <v/>
      </c>
    </row>
    <row r="161" ht="15" customHeight="1">
      <c r="A161" t="inlineStr">
        <is>
          <t>A 62453-2023</t>
        </is>
      </c>
      <c r="B161" s="1" t="n">
        <v>45268</v>
      </c>
      <c r="C161" s="1" t="n">
        <v>45923</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35891-2025</t>
        </is>
      </c>
      <c r="B162" s="1" t="n">
        <v>45862</v>
      </c>
      <c r="C162" s="1" t="n">
        <v>45923</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49386-2024</t>
        </is>
      </c>
      <c r="B163" s="1" t="n">
        <v>45595</v>
      </c>
      <c r="C163" s="1" t="n">
        <v>45923</v>
      </c>
      <c r="D163" t="inlineStr">
        <is>
          <t>JÄMTLANDS LÄN</t>
        </is>
      </c>
      <c r="E163" t="inlineStr">
        <is>
          <t>KROKOM</t>
        </is>
      </c>
      <c r="G163" t="n">
        <v>6.8</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49386-2024 artfynd.xlsx", "A 49386-2024")</f>
        <v/>
      </c>
      <c r="T163">
        <f>HYPERLINK("https://klasma.github.io/Logging_2309/kartor/A 49386-2024 karta.png", "A 49386-2024")</f>
        <v/>
      </c>
      <c r="V163">
        <f>HYPERLINK("https://klasma.github.io/Logging_2309/klagomål/A 49386-2024 FSC-klagomål.docx", "A 49386-2024")</f>
        <v/>
      </c>
      <c r="W163">
        <f>HYPERLINK("https://klasma.github.io/Logging_2309/klagomålsmail/A 49386-2024 FSC-klagomål mail.docx", "A 49386-2024")</f>
        <v/>
      </c>
      <c r="X163">
        <f>HYPERLINK("https://klasma.github.io/Logging_2309/tillsyn/A 49386-2024 tillsynsbegäran.docx", "A 49386-2024")</f>
        <v/>
      </c>
      <c r="Y163">
        <f>HYPERLINK("https://klasma.github.io/Logging_2309/tillsynsmail/A 49386-2024 tillsynsbegäran mail.docx", "A 49386-2024")</f>
        <v/>
      </c>
      <c r="Z163">
        <f>HYPERLINK("https://klasma.github.io/Logging_2309/fåglar/A 49386-2024 prioriterade fågelarter.docx", "A 49386-2024")</f>
        <v/>
      </c>
    </row>
    <row r="164" ht="15" customHeight="1">
      <c r="A164" t="inlineStr">
        <is>
          <t>A 40508-2025</t>
        </is>
      </c>
      <c r="B164" s="1" t="n">
        <v>45896.34465277778</v>
      </c>
      <c r="C164" s="1" t="n">
        <v>45923</v>
      </c>
      <c r="D164" t="inlineStr">
        <is>
          <t>JÄMTLANDS LÄN</t>
        </is>
      </c>
      <c r="E164" t="inlineStr">
        <is>
          <t>KROKOM</t>
        </is>
      </c>
      <c r="F164" t="inlineStr">
        <is>
          <t>SCA</t>
        </is>
      </c>
      <c r="G164" t="n">
        <v>16.4</v>
      </c>
      <c r="H164" t="n">
        <v>0</v>
      </c>
      <c r="I164" t="n">
        <v>1</v>
      </c>
      <c r="J164" t="n">
        <v>1</v>
      </c>
      <c r="K164" t="n">
        <v>0</v>
      </c>
      <c r="L164" t="n">
        <v>0</v>
      </c>
      <c r="M164" t="n">
        <v>0</v>
      </c>
      <c r="N164" t="n">
        <v>0</v>
      </c>
      <c r="O164" t="n">
        <v>1</v>
      </c>
      <c r="P164" t="n">
        <v>0</v>
      </c>
      <c r="Q164" t="n">
        <v>2</v>
      </c>
      <c r="R164" s="2" t="inlineStr">
        <is>
          <t>Gammelgransskål
Stuplav</t>
        </is>
      </c>
      <c r="S164">
        <f>HYPERLINK("https://klasma.github.io/Logging_2309/artfynd/A 40508-2025 artfynd.xlsx", "A 40508-2025")</f>
        <v/>
      </c>
      <c r="T164">
        <f>HYPERLINK("https://klasma.github.io/Logging_2309/kartor/A 40508-2025 karta.png", "A 40508-2025")</f>
        <v/>
      </c>
      <c r="V164">
        <f>HYPERLINK("https://klasma.github.io/Logging_2309/klagomål/A 40508-2025 FSC-klagomål.docx", "A 40508-2025")</f>
        <v/>
      </c>
      <c r="W164">
        <f>HYPERLINK("https://klasma.github.io/Logging_2309/klagomålsmail/A 40508-2025 FSC-klagomål mail.docx", "A 40508-2025")</f>
        <v/>
      </c>
      <c r="X164">
        <f>HYPERLINK("https://klasma.github.io/Logging_2309/tillsyn/A 40508-2025 tillsynsbegäran.docx", "A 40508-2025")</f>
        <v/>
      </c>
      <c r="Y164">
        <f>HYPERLINK("https://klasma.github.io/Logging_2309/tillsynsmail/A 40508-2025 tillsynsbegäran mail.docx", "A 40508-2025")</f>
        <v/>
      </c>
    </row>
    <row r="165" ht="15" customHeight="1">
      <c r="A165" t="inlineStr">
        <is>
          <t>A 7575-2024</t>
        </is>
      </c>
      <c r="B165" s="1" t="n">
        <v>45348</v>
      </c>
      <c r="C165" s="1" t="n">
        <v>45923</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36011-2025</t>
        </is>
      </c>
      <c r="B166" s="1" t="n">
        <v>45863.59111111111</v>
      </c>
      <c r="C166" s="1" t="n">
        <v>45923</v>
      </c>
      <c r="D166" t="inlineStr">
        <is>
          <t>JÄMTLANDS LÄN</t>
        </is>
      </c>
      <c r="E166" t="inlineStr">
        <is>
          <t>KROKOM</t>
        </is>
      </c>
      <c r="F166" t="inlineStr">
        <is>
          <t>Övriga Aktiebolag</t>
        </is>
      </c>
      <c r="G166" t="n">
        <v>12.2</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HYPERLINK("https://klasma.github.io/Logging_2309/artfynd/A 36011-2025 artfynd.xlsx", "A 36011-2025")</f>
        <v/>
      </c>
      <c r="T166">
        <f>HYPERLINK("https://klasma.github.io/Logging_2309/kartor/A 36011-2025 karta.png", "A 36011-2025")</f>
        <v/>
      </c>
      <c r="V166">
        <f>HYPERLINK("https://klasma.github.io/Logging_2309/klagomål/A 36011-2025 FSC-klagomål.docx", "A 36011-2025")</f>
        <v/>
      </c>
      <c r="W166">
        <f>HYPERLINK("https://klasma.github.io/Logging_2309/klagomålsmail/A 36011-2025 FSC-klagomål mail.docx", "A 36011-2025")</f>
        <v/>
      </c>
      <c r="X166">
        <f>HYPERLINK("https://klasma.github.io/Logging_2309/tillsyn/A 36011-2025 tillsynsbegäran.docx", "A 36011-2025")</f>
        <v/>
      </c>
      <c r="Y166">
        <f>HYPERLINK("https://klasma.github.io/Logging_2309/tillsynsmail/A 36011-2025 tillsynsbegäran mail.docx", "A 36011-2025")</f>
        <v/>
      </c>
      <c r="Z166">
        <f>HYPERLINK("https://klasma.github.io/Logging_2309/fåglar/A 36011-2025 prioriterade fågelarter.docx", "A 36011-2025")</f>
        <v/>
      </c>
    </row>
    <row r="167" ht="15" customHeight="1">
      <c r="A167" t="inlineStr">
        <is>
          <t>A 36445-2025</t>
        </is>
      </c>
      <c r="B167" s="1" t="n">
        <v>45869</v>
      </c>
      <c r="C167" s="1" t="n">
        <v>45923</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71571-2021</t>
        </is>
      </c>
      <c r="B168" s="1" t="n">
        <v>44540</v>
      </c>
      <c r="C168" s="1" t="n">
        <v>45923</v>
      </c>
      <c r="D168" t="inlineStr">
        <is>
          <t>JÄMTLANDS LÄN</t>
        </is>
      </c>
      <c r="E168" t="inlineStr">
        <is>
          <t>KROKOM</t>
        </is>
      </c>
      <c r="G168" t="n">
        <v>0.7</v>
      </c>
      <c r="H168" t="n">
        <v>0</v>
      </c>
      <c r="I168" t="n">
        <v>1</v>
      </c>
      <c r="J168" t="n">
        <v>1</v>
      </c>
      <c r="K168" t="n">
        <v>0</v>
      </c>
      <c r="L168" t="n">
        <v>0</v>
      </c>
      <c r="M168" t="n">
        <v>0</v>
      </c>
      <c r="N168" t="n">
        <v>0</v>
      </c>
      <c r="O168" t="n">
        <v>1</v>
      </c>
      <c r="P168" t="n">
        <v>0</v>
      </c>
      <c r="Q168" t="n">
        <v>2</v>
      </c>
      <c r="R168" s="2" t="inlineStr">
        <is>
          <t>Skrovellav
Kryddspindling</t>
        </is>
      </c>
      <c r="S168">
        <f>HYPERLINK("https://klasma.github.io/Logging_2309/artfynd/A 71571-2021 artfynd.xlsx", "A 71571-2021")</f>
        <v/>
      </c>
      <c r="T168">
        <f>HYPERLINK("https://klasma.github.io/Logging_2309/kartor/A 71571-2021 karta.png", "A 71571-2021")</f>
        <v/>
      </c>
      <c r="V168">
        <f>HYPERLINK("https://klasma.github.io/Logging_2309/klagomål/A 71571-2021 FSC-klagomål.docx", "A 71571-2021")</f>
        <v/>
      </c>
      <c r="W168">
        <f>HYPERLINK("https://klasma.github.io/Logging_2309/klagomålsmail/A 71571-2021 FSC-klagomål mail.docx", "A 71571-2021")</f>
        <v/>
      </c>
      <c r="X168">
        <f>HYPERLINK("https://klasma.github.io/Logging_2309/tillsyn/A 71571-2021 tillsynsbegäran.docx", "A 71571-2021")</f>
        <v/>
      </c>
      <c r="Y168">
        <f>HYPERLINK("https://klasma.github.io/Logging_2309/tillsynsmail/A 71571-2021 tillsynsbegäran mail.docx", "A 71571-2021")</f>
        <v/>
      </c>
    </row>
    <row r="169" ht="15" customHeight="1">
      <c r="A169" t="inlineStr">
        <is>
          <t>A 37509-2025</t>
        </is>
      </c>
      <c r="B169" s="1" t="n">
        <v>45877.67787037037</v>
      </c>
      <c r="C169" s="1" t="n">
        <v>45923</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14589-2021</t>
        </is>
      </c>
      <c r="B170" s="1" t="n">
        <v>44279</v>
      </c>
      <c r="C170" s="1" t="n">
        <v>45923</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61692-2024</t>
        </is>
      </c>
      <c r="B171" s="1" t="n">
        <v>45647</v>
      </c>
      <c r="C171" s="1" t="n">
        <v>45923</v>
      </c>
      <c r="D171" t="inlineStr">
        <is>
          <t>JÄMTLANDS LÄN</t>
        </is>
      </c>
      <c r="E171" t="inlineStr">
        <is>
          <t>KROKOM</t>
        </is>
      </c>
      <c r="F171" t="inlineStr">
        <is>
          <t>SCA</t>
        </is>
      </c>
      <c r="G171" t="n">
        <v>6.7</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61692-2024 artfynd.xlsx", "A 61692-2024")</f>
        <v/>
      </c>
      <c r="T171">
        <f>HYPERLINK("https://klasma.github.io/Logging_2309/kartor/A 61692-2024 karta.png", "A 61692-2024")</f>
        <v/>
      </c>
      <c r="V171">
        <f>HYPERLINK("https://klasma.github.io/Logging_2309/klagomål/A 61692-2024 FSC-klagomål.docx", "A 61692-2024")</f>
        <v/>
      </c>
      <c r="W171">
        <f>HYPERLINK("https://klasma.github.io/Logging_2309/klagomålsmail/A 61692-2024 FSC-klagomål mail.docx", "A 61692-2024")</f>
        <v/>
      </c>
      <c r="X171">
        <f>HYPERLINK("https://klasma.github.io/Logging_2309/tillsyn/A 61692-2024 tillsynsbegäran.docx", "A 61692-2024")</f>
        <v/>
      </c>
      <c r="Y171">
        <f>HYPERLINK("https://klasma.github.io/Logging_2309/tillsynsmail/A 61692-2024 tillsynsbegäran mail.docx", "A 61692-2024")</f>
        <v/>
      </c>
      <c r="Z171">
        <f>HYPERLINK("https://klasma.github.io/Logging_2309/fåglar/A 61692-2024 prioriterade fågelarter.docx", "A 61692-2024")</f>
        <v/>
      </c>
    </row>
    <row r="172" ht="15" customHeight="1">
      <c r="A172" t="inlineStr">
        <is>
          <t>A 60419-2024</t>
        </is>
      </c>
      <c r="B172" s="1" t="n">
        <v>45643.53393518519</v>
      </c>
      <c r="C172" s="1" t="n">
        <v>45923</v>
      </c>
      <c r="D172" t="inlineStr">
        <is>
          <t>JÄMTLANDS LÄN</t>
        </is>
      </c>
      <c r="E172" t="inlineStr">
        <is>
          <t>KROKOM</t>
        </is>
      </c>
      <c r="G172" t="n">
        <v>7.9</v>
      </c>
      <c r="H172" t="n">
        <v>1</v>
      </c>
      <c r="I172" t="n">
        <v>2</v>
      </c>
      <c r="J172" t="n">
        <v>0</v>
      </c>
      <c r="K172" t="n">
        <v>0</v>
      </c>
      <c r="L172" t="n">
        <v>0</v>
      </c>
      <c r="M172" t="n">
        <v>0</v>
      </c>
      <c r="N172" t="n">
        <v>0</v>
      </c>
      <c r="O172" t="n">
        <v>0</v>
      </c>
      <c r="P172" t="n">
        <v>0</v>
      </c>
      <c r="Q172" t="n">
        <v>2</v>
      </c>
      <c r="R172" s="2" t="inlineStr">
        <is>
          <t>Grönkulla
Kransrams</t>
        </is>
      </c>
      <c r="S172">
        <f>HYPERLINK("https://klasma.github.io/Logging_2309/artfynd/A 60419-2024 artfynd.xlsx", "A 60419-2024")</f>
        <v/>
      </c>
      <c r="T172">
        <f>HYPERLINK("https://klasma.github.io/Logging_2309/kartor/A 60419-2024 karta.png", "A 60419-2024")</f>
        <v/>
      </c>
      <c r="V172">
        <f>HYPERLINK("https://klasma.github.io/Logging_2309/klagomål/A 60419-2024 FSC-klagomål.docx", "A 60419-2024")</f>
        <v/>
      </c>
      <c r="W172">
        <f>HYPERLINK("https://klasma.github.io/Logging_2309/klagomålsmail/A 60419-2024 FSC-klagomål mail.docx", "A 60419-2024")</f>
        <v/>
      </c>
      <c r="X172">
        <f>HYPERLINK("https://klasma.github.io/Logging_2309/tillsyn/A 60419-2024 tillsynsbegäran.docx", "A 60419-2024")</f>
        <v/>
      </c>
      <c r="Y172">
        <f>HYPERLINK("https://klasma.github.io/Logging_2309/tillsynsmail/A 60419-2024 tillsynsbegäran mail.docx", "A 60419-2024")</f>
        <v/>
      </c>
    </row>
    <row r="173" ht="15" customHeight="1">
      <c r="A173" t="inlineStr">
        <is>
          <t>A 62125-2024</t>
        </is>
      </c>
      <c r="B173" s="1" t="n">
        <v>45656.59703703703</v>
      </c>
      <c r="C173" s="1" t="n">
        <v>45923</v>
      </c>
      <c r="D173" t="inlineStr">
        <is>
          <t>JÄMTLANDS LÄN</t>
        </is>
      </c>
      <c r="E173" t="inlineStr">
        <is>
          <t>KROKOM</t>
        </is>
      </c>
      <c r="F173" t="inlineStr">
        <is>
          <t>Övriga Aktiebolag</t>
        </is>
      </c>
      <c r="G173" t="n">
        <v>15.9</v>
      </c>
      <c r="H173" t="n">
        <v>2</v>
      </c>
      <c r="I173" t="n">
        <v>0</v>
      </c>
      <c r="J173" t="n">
        <v>2</v>
      </c>
      <c r="K173" t="n">
        <v>0</v>
      </c>
      <c r="L173" t="n">
        <v>0</v>
      </c>
      <c r="M173" t="n">
        <v>0</v>
      </c>
      <c r="N173" t="n">
        <v>0</v>
      </c>
      <c r="O173" t="n">
        <v>2</v>
      </c>
      <c r="P173" t="n">
        <v>0</v>
      </c>
      <c r="Q173" t="n">
        <v>2</v>
      </c>
      <c r="R173" s="2" t="inlineStr">
        <is>
          <t>Spillkråka
Tretåig hackspett</t>
        </is>
      </c>
      <c r="S173">
        <f>HYPERLINK("https://klasma.github.io/Logging_2309/artfynd/A 62125-2024 artfynd.xlsx", "A 62125-2024")</f>
        <v/>
      </c>
      <c r="T173">
        <f>HYPERLINK("https://klasma.github.io/Logging_2309/kartor/A 62125-2024 karta.png", "A 62125-2024")</f>
        <v/>
      </c>
      <c r="V173">
        <f>HYPERLINK("https://klasma.github.io/Logging_2309/klagomål/A 62125-2024 FSC-klagomål.docx", "A 62125-2024")</f>
        <v/>
      </c>
      <c r="W173">
        <f>HYPERLINK("https://klasma.github.io/Logging_2309/klagomålsmail/A 62125-2024 FSC-klagomål mail.docx", "A 62125-2024")</f>
        <v/>
      </c>
      <c r="X173">
        <f>HYPERLINK("https://klasma.github.io/Logging_2309/tillsyn/A 62125-2024 tillsynsbegäran.docx", "A 62125-2024")</f>
        <v/>
      </c>
      <c r="Y173">
        <f>HYPERLINK("https://klasma.github.io/Logging_2309/tillsynsmail/A 62125-2024 tillsynsbegäran mail.docx", "A 62125-2024")</f>
        <v/>
      </c>
      <c r="Z173">
        <f>HYPERLINK("https://klasma.github.io/Logging_2309/fåglar/A 62125-2024 prioriterade fågelarter.docx", "A 62125-2024")</f>
        <v/>
      </c>
    </row>
    <row r="174" ht="15" customHeight="1">
      <c r="A174" t="inlineStr">
        <is>
          <t>A 54189-2022</t>
        </is>
      </c>
      <c r="B174" s="1" t="n">
        <v>44879</v>
      </c>
      <c r="C174" s="1" t="n">
        <v>45923</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11984-2024</t>
        </is>
      </c>
      <c r="B175" s="1" t="n">
        <v>45376</v>
      </c>
      <c r="C175" s="1" t="n">
        <v>45923</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52021-2023</t>
        </is>
      </c>
      <c r="B176" s="1" t="n">
        <v>45223</v>
      </c>
      <c r="C176" s="1" t="n">
        <v>45923</v>
      </c>
      <c r="D176" t="inlineStr">
        <is>
          <t>JÄMTLANDS LÄN</t>
        </is>
      </c>
      <c r="E176" t="inlineStr">
        <is>
          <t>KROKOM</t>
        </is>
      </c>
      <c r="F176" t="inlineStr">
        <is>
          <t>Övriga Aktiebolag</t>
        </is>
      </c>
      <c r="G176" t="n">
        <v>1.5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52021-2023 artfynd.xlsx", "A 52021-2023")</f>
        <v/>
      </c>
      <c r="T176">
        <f>HYPERLINK("https://klasma.github.io/Logging_2309/kartor/A 52021-2023 karta.png", "A 52021-2023")</f>
        <v/>
      </c>
      <c r="V176">
        <f>HYPERLINK("https://klasma.github.io/Logging_2309/klagomål/A 52021-2023 FSC-klagomål.docx", "A 52021-2023")</f>
        <v/>
      </c>
      <c r="W176">
        <f>HYPERLINK("https://klasma.github.io/Logging_2309/klagomålsmail/A 52021-2023 FSC-klagomål mail.docx", "A 52021-2023")</f>
        <v/>
      </c>
      <c r="X176">
        <f>HYPERLINK("https://klasma.github.io/Logging_2309/tillsyn/A 52021-2023 tillsynsbegäran.docx", "A 52021-2023")</f>
        <v/>
      </c>
      <c r="Y176">
        <f>HYPERLINK("https://klasma.github.io/Logging_2309/tillsynsmail/A 52021-2023 tillsynsbegäran mail.docx", "A 52021-2023")</f>
        <v/>
      </c>
      <c r="Z176">
        <f>HYPERLINK("https://klasma.github.io/Logging_2309/fåglar/A 52021-2023 prioriterade fågelarter.docx", "A 52021-2023")</f>
        <v/>
      </c>
    </row>
    <row r="177" ht="15" customHeight="1">
      <c r="A177" t="inlineStr">
        <is>
          <t>A 23730-2025</t>
        </is>
      </c>
      <c r="B177" s="1" t="n">
        <v>45793.4189699074</v>
      </c>
      <c r="C177" s="1" t="n">
        <v>45923</v>
      </c>
      <c r="D177" t="inlineStr">
        <is>
          <t>JÄMTLANDS LÄN</t>
        </is>
      </c>
      <c r="E177" t="inlineStr">
        <is>
          <t>KROKOM</t>
        </is>
      </c>
      <c r="G177" t="n">
        <v>10.2</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23730-2025 artfynd.xlsx", "A 23730-2025")</f>
        <v/>
      </c>
      <c r="T177">
        <f>HYPERLINK("https://klasma.github.io/Logging_2309/kartor/A 23730-2025 karta.png", "A 23730-2025")</f>
        <v/>
      </c>
      <c r="V177">
        <f>HYPERLINK("https://klasma.github.io/Logging_2309/klagomål/A 23730-2025 FSC-klagomål.docx", "A 23730-2025")</f>
        <v/>
      </c>
      <c r="W177">
        <f>HYPERLINK("https://klasma.github.io/Logging_2309/klagomålsmail/A 23730-2025 FSC-klagomål mail.docx", "A 23730-2025")</f>
        <v/>
      </c>
      <c r="X177">
        <f>HYPERLINK("https://klasma.github.io/Logging_2309/tillsyn/A 23730-2025 tillsynsbegäran.docx", "A 23730-2025")</f>
        <v/>
      </c>
      <c r="Y177">
        <f>HYPERLINK("https://klasma.github.io/Logging_2309/tillsynsmail/A 23730-2025 tillsynsbegäran mail.docx", "A 23730-2025")</f>
        <v/>
      </c>
      <c r="Z177">
        <f>HYPERLINK("https://klasma.github.io/Logging_2309/fåglar/A 23730-2025 prioriterade fågelarter.docx", "A 23730-2025")</f>
        <v/>
      </c>
    </row>
    <row r="178" ht="15" customHeight="1">
      <c r="A178" t="inlineStr">
        <is>
          <t>A 40236-2024</t>
        </is>
      </c>
      <c r="B178" s="1" t="n">
        <v>45554</v>
      </c>
      <c r="C178" s="1" t="n">
        <v>45923</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1698-2021</t>
        </is>
      </c>
      <c r="B179" s="1" t="n">
        <v>44209</v>
      </c>
      <c r="C179" s="1" t="n">
        <v>45923</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25952-2025</t>
        </is>
      </c>
      <c r="B180" s="1" t="n">
        <v>45804.60005787037</v>
      </c>
      <c r="C180" s="1" t="n">
        <v>45923</v>
      </c>
      <c r="D180" t="inlineStr">
        <is>
          <t>JÄMTLANDS LÄN</t>
        </is>
      </c>
      <c r="E180" t="inlineStr">
        <is>
          <t>KROKOM</t>
        </is>
      </c>
      <c r="G180" t="n">
        <v>18.7</v>
      </c>
      <c r="H180" t="n">
        <v>0</v>
      </c>
      <c r="I180" t="n">
        <v>0</v>
      </c>
      <c r="J180" t="n">
        <v>2</v>
      </c>
      <c r="K180" t="n">
        <v>0</v>
      </c>
      <c r="L180" t="n">
        <v>0</v>
      </c>
      <c r="M180" t="n">
        <v>0</v>
      </c>
      <c r="N180" t="n">
        <v>0</v>
      </c>
      <c r="O180" t="n">
        <v>2</v>
      </c>
      <c r="P180" t="n">
        <v>0</v>
      </c>
      <c r="Q180" t="n">
        <v>2</v>
      </c>
      <c r="R180" s="2" t="inlineStr">
        <is>
          <t>Garnlav
Skrovellav</t>
        </is>
      </c>
      <c r="S180">
        <f>HYPERLINK("https://klasma.github.io/Logging_2309/artfynd/A 25952-2025 artfynd.xlsx", "A 25952-2025")</f>
        <v/>
      </c>
      <c r="T180">
        <f>HYPERLINK("https://klasma.github.io/Logging_2309/kartor/A 25952-2025 karta.png", "A 25952-2025")</f>
        <v/>
      </c>
      <c r="V180">
        <f>HYPERLINK("https://klasma.github.io/Logging_2309/klagomål/A 25952-2025 FSC-klagomål.docx", "A 25952-2025")</f>
        <v/>
      </c>
      <c r="W180">
        <f>HYPERLINK("https://klasma.github.io/Logging_2309/klagomålsmail/A 25952-2025 FSC-klagomål mail.docx", "A 25952-2025")</f>
        <v/>
      </c>
      <c r="X180">
        <f>HYPERLINK("https://klasma.github.io/Logging_2309/tillsyn/A 25952-2025 tillsynsbegäran.docx", "A 25952-2025")</f>
        <v/>
      </c>
      <c r="Y180">
        <f>HYPERLINK("https://klasma.github.io/Logging_2309/tillsynsmail/A 25952-2025 tillsynsbegäran mail.docx", "A 25952-2025")</f>
        <v/>
      </c>
    </row>
    <row r="181" ht="15" customHeight="1">
      <c r="A181" t="inlineStr">
        <is>
          <t>A 18032-2022</t>
        </is>
      </c>
      <c r="B181" s="1" t="n">
        <v>44683</v>
      </c>
      <c r="C181" s="1" t="n">
        <v>45923</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48863-2020</t>
        </is>
      </c>
      <c r="B182" s="1" t="n">
        <v>44099</v>
      </c>
      <c r="C182" s="1" t="n">
        <v>45923</v>
      </c>
      <c r="D182" t="inlineStr">
        <is>
          <t>JÄMTLANDS LÄN</t>
        </is>
      </c>
      <c r="E182" t="inlineStr">
        <is>
          <t>KROKOM</t>
        </is>
      </c>
      <c r="F182" t="inlineStr">
        <is>
          <t>SCA</t>
        </is>
      </c>
      <c r="G182" t="n">
        <v>7.2</v>
      </c>
      <c r="H182" t="n">
        <v>0</v>
      </c>
      <c r="I182" t="n">
        <v>0</v>
      </c>
      <c r="J182" t="n">
        <v>0</v>
      </c>
      <c r="K182" t="n">
        <v>1</v>
      </c>
      <c r="L182" t="n">
        <v>0</v>
      </c>
      <c r="M182" t="n">
        <v>0</v>
      </c>
      <c r="N182" t="n">
        <v>0</v>
      </c>
      <c r="O182" t="n">
        <v>1</v>
      </c>
      <c r="P182" t="n">
        <v>1</v>
      </c>
      <c r="Q182" t="n">
        <v>1</v>
      </c>
      <c r="R182" s="2" t="inlineStr">
        <is>
          <t>Fläckporing</t>
        </is>
      </c>
      <c r="S182">
        <f>HYPERLINK("https://klasma.github.io/Logging_2309/artfynd/A 48863-2020 artfynd.xlsx", "A 48863-2020")</f>
        <v/>
      </c>
      <c r="T182">
        <f>HYPERLINK("https://klasma.github.io/Logging_2309/kartor/A 48863-2020 karta.png", "A 48863-2020")</f>
        <v/>
      </c>
      <c r="V182">
        <f>HYPERLINK("https://klasma.github.io/Logging_2309/klagomål/A 48863-2020 FSC-klagomål.docx", "A 48863-2020")</f>
        <v/>
      </c>
      <c r="W182">
        <f>HYPERLINK("https://klasma.github.io/Logging_2309/klagomålsmail/A 48863-2020 FSC-klagomål mail.docx", "A 48863-2020")</f>
        <v/>
      </c>
      <c r="X182">
        <f>HYPERLINK("https://klasma.github.io/Logging_2309/tillsyn/A 48863-2020 tillsynsbegäran.docx", "A 48863-2020")</f>
        <v/>
      </c>
      <c r="Y182">
        <f>HYPERLINK("https://klasma.github.io/Logging_2309/tillsynsmail/A 48863-2020 tillsynsbegäran mail.docx", "A 48863-2020")</f>
        <v/>
      </c>
    </row>
    <row r="183" ht="15" customHeight="1">
      <c r="A183" t="inlineStr">
        <is>
          <t>A 61054-2020</t>
        </is>
      </c>
      <c r="B183" s="1" t="n">
        <v>44154</v>
      </c>
      <c r="C183" s="1" t="n">
        <v>45923</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45923</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45923</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45923</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45923</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35246-2022</t>
        </is>
      </c>
      <c r="B188" s="1" t="n">
        <v>44797</v>
      </c>
      <c r="C188" s="1" t="n">
        <v>45923</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27579-2022</t>
        </is>
      </c>
      <c r="B189" s="1" t="n">
        <v>44742</v>
      </c>
      <c r="C189" s="1" t="n">
        <v>45923</v>
      </c>
      <c r="D189" t="inlineStr">
        <is>
          <t>JÄMTLANDS LÄN</t>
        </is>
      </c>
      <c r="E189" t="inlineStr">
        <is>
          <t>KROKOM</t>
        </is>
      </c>
      <c r="F189" t="inlineStr">
        <is>
          <t>SCA</t>
        </is>
      </c>
      <c r="G189" t="n">
        <v>1.5</v>
      </c>
      <c r="H189" t="n">
        <v>0</v>
      </c>
      <c r="I189" t="n">
        <v>0</v>
      </c>
      <c r="J189" t="n">
        <v>1</v>
      </c>
      <c r="K189" t="n">
        <v>0</v>
      </c>
      <c r="L189" t="n">
        <v>0</v>
      </c>
      <c r="M189" t="n">
        <v>0</v>
      </c>
      <c r="N189" t="n">
        <v>0</v>
      </c>
      <c r="O189" t="n">
        <v>1</v>
      </c>
      <c r="P189" t="n">
        <v>0</v>
      </c>
      <c r="Q189" t="n">
        <v>1</v>
      </c>
      <c r="R189" s="2" t="inlineStr">
        <is>
          <t>Lunglav</t>
        </is>
      </c>
      <c r="S189">
        <f>HYPERLINK("https://klasma.github.io/Logging_2309/artfynd/A 27579-2022 artfynd.xlsx", "A 27579-2022")</f>
        <v/>
      </c>
      <c r="T189">
        <f>HYPERLINK("https://klasma.github.io/Logging_2309/kartor/A 27579-2022 karta.png", "A 27579-2022")</f>
        <v/>
      </c>
      <c r="V189">
        <f>HYPERLINK("https://klasma.github.io/Logging_2309/klagomål/A 27579-2022 FSC-klagomål.docx", "A 27579-2022")</f>
        <v/>
      </c>
      <c r="W189">
        <f>HYPERLINK("https://klasma.github.io/Logging_2309/klagomålsmail/A 27579-2022 FSC-klagomål mail.docx", "A 27579-2022")</f>
        <v/>
      </c>
      <c r="X189">
        <f>HYPERLINK("https://klasma.github.io/Logging_2309/tillsyn/A 27579-2022 tillsynsbegäran.docx", "A 27579-2022")</f>
        <v/>
      </c>
      <c r="Y189">
        <f>HYPERLINK("https://klasma.github.io/Logging_2309/tillsynsmail/A 27579-2022 tillsynsbegäran mail.docx", "A 27579-2022")</f>
        <v/>
      </c>
    </row>
    <row r="190" ht="15" customHeight="1">
      <c r="A190" t="inlineStr">
        <is>
          <t>A 33347-2021</t>
        </is>
      </c>
      <c r="B190" s="1" t="n">
        <v>44377</v>
      </c>
      <c r="C190" s="1" t="n">
        <v>45923</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25041-2022</t>
        </is>
      </c>
      <c r="B191" s="1" t="n">
        <v>44728</v>
      </c>
      <c r="C191" s="1" t="n">
        <v>45923</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1112-2021</t>
        </is>
      </c>
      <c r="B192" s="1" t="n">
        <v>44207</v>
      </c>
      <c r="C192" s="1" t="n">
        <v>45923</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34520-2025</t>
        </is>
      </c>
      <c r="B193" s="1" t="n">
        <v>45847.46962962963</v>
      </c>
      <c r="C193" s="1" t="n">
        <v>45923</v>
      </c>
      <c r="D193" t="inlineStr">
        <is>
          <t>JÄMTLANDS LÄN</t>
        </is>
      </c>
      <c r="E193" t="inlineStr">
        <is>
          <t>KROKOM</t>
        </is>
      </c>
      <c r="G193" t="n">
        <v>17.5</v>
      </c>
      <c r="H193" t="n">
        <v>0</v>
      </c>
      <c r="I193" t="n">
        <v>0</v>
      </c>
      <c r="J193" t="n">
        <v>1</v>
      </c>
      <c r="K193" t="n">
        <v>0</v>
      </c>
      <c r="L193" t="n">
        <v>0</v>
      </c>
      <c r="M193" t="n">
        <v>0</v>
      </c>
      <c r="N193" t="n">
        <v>0</v>
      </c>
      <c r="O193" t="n">
        <v>1</v>
      </c>
      <c r="P193" t="n">
        <v>0</v>
      </c>
      <c r="Q193" t="n">
        <v>1</v>
      </c>
      <c r="R193" s="2" t="inlineStr">
        <is>
          <t>Luddfingersvamp</t>
        </is>
      </c>
      <c r="S193">
        <f>HYPERLINK("https://klasma.github.io/Logging_2309/artfynd/A 34520-2025 artfynd.xlsx", "A 34520-2025")</f>
        <v/>
      </c>
      <c r="T193">
        <f>HYPERLINK("https://klasma.github.io/Logging_2309/kartor/A 34520-2025 karta.png", "A 34520-2025")</f>
        <v/>
      </c>
      <c r="V193">
        <f>HYPERLINK("https://klasma.github.io/Logging_2309/klagomål/A 34520-2025 FSC-klagomål.docx", "A 34520-2025")</f>
        <v/>
      </c>
      <c r="W193">
        <f>HYPERLINK("https://klasma.github.io/Logging_2309/klagomålsmail/A 34520-2025 FSC-klagomål mail.docx", "A 34520-2025")</f>
        <v/>
      </c>
      <c r="X193">
        <f>HYPERLINK("https://klasma.github.io/Logging_2309/tillsyn/A 34520-2025 tillsynsbegäran.docx", "A 34520-2025")</f>
        <v/>
      </c>
      <c r="Y193">
        <f>HYPERLINK("https://klasma.github.io/Logging_2309/tillsynsmail/A 34520-2025 tillsynsbegäran mail.docx", "A 34520-2025")</f>
        <v/>
      </c>
    </row>
    <row r="194" ht="15" customHeight="1">
      <c r="A194" t="inlineStr">
        <is>
          <t>A 49387-2024</t>
        </is>
      </c>
      <c r="B194" s="1" t="n">
        <v>45595</v>
      </c>
      <c r="C194" s="1" t="n">
        <v>45923</v>
      </c>
      <c r="D194" t="inlineStr">
        <is>
          <t>JÄMTLANDS LÄN</t>
        </is>
      </c>
      <c r="E194" t="inlineStr">
        <is>
          <t>KROKOM</t>
        </is>
      </c>
      <c r="G194" t="n">
        <v>0.8</v>
      </c>
      <c r="H194" t="n">
        <v>0</v>
      </c>
      <c r="I194" t="n">
        <v>0</v>
      </c>
      <c r="J194" t="n">
        <v>1</v>
      </c>
      <c r="K194" t="n">
        <v>0</v>
      </c>
      <c r="L194" t="n">
        <v>0</v>
      </c>
      <c r="M194" t="n">
        <v>0</v>
      </c>
      <c r="N194" t="n">
        <v>0</v>
      </c>
      <c r="O194" t="n">
        <v>1</v>
      </c>
      <c r="P194" t="n">
        <v>0</v>
      </c>
      <c r="Q194" t="n">
        <v>1</v>
      </c>
      <c r="R194" s="2" t="inlineStr">
        <is>
          <t>Garnlav</t>
        </is>
      </c>
      <c r="S194">
        <f>HYPERLINK("https://klasma.github.io/Logging_2309/artfynd/A 49387-2024 artfynd.xlsx", "A 49387-2024")</f>
        <v/>
      </c>
      <c r="T194">
        <f>HYPERLINK("https://klasma.github.io/Logging_2309/kartor/A 49387-2024 karta.png", "A 49387-2024")</f>
        <v/>
      </c>
      <c r="V194">
        <f>HYPERLINK("https://klasma.github.io/Logging_2309/klagomål/A 49387-2024 FSC-klagomål.docx", "A 49387-2024")</f>
        <v/>
      </c>
      <c r="W194">
        <f>HYPERLINK("https://klasma.github.io/Logging_2309/klagomålsmail/A 49387-2024 FSC-klagomål mail.docx", "A 49387-2024")</f>
        <v/>
      </c>
      <c r="X194">
        <f>HYPERLINK("https://klasma.github.io/Logging_2309/tillsyn/A 49387-2024 tillsynsbegäran.docx", "A 49387-2024")</f>
        <v/>
      </c>
      <c r="Y194">
        <f>HYPERLINK("https://klasma.github.io/Logging_2309/tillsynsmail/A 49387-2024 tillsynsbegäran mail.docx", "A 49387-2024")</f>
        <v/>
      </c>
    </row>
    <row r="195" ht="15" customHeight="1">
      <c r="A195" t="inlineStr">
        <is>
          <t>A 7208-2025</t>
        </is>
      </c>
      <c r="B195" s="1" t="n">
        <v>45702.47149305556</v>
      </c>
      <c r="C195" s="1" t="n">
        <v>45923</v>
      </c>
      <c r="D195" t="inlineStr">
        <is>
          <t>JÄMTLANDS LÄN</t>
        </is>
      </c>
      <c r="E195" t="inlineStr">
        <is>
          <t>KROKOM</t>
        </is>
      </c>
      <c r="F195" t="inlineStr">
        <is>
          <t>Övriga Aktiebolag</t>
        </is>
      </c>
      <c r="G195" t="n">
        <v>39.4</v>
      </c>
      <c r="H195" t="n">
        <v>0</v>
      </c>
      <c r="I195" t="n">
        <v>0</v>
      </c>
      <c r="J195" t="n">
        <v>1</v>
      </c>
      <c r="K195" t="n">
        <v>0</v>
      </c>
      <c r="L195" t="n">
        <v>0</v>
      </c>
      <c r="M195" t="n">
        <v>0</v>
      </c>
      <c r="N195" t="n">
        <v>0</v>
      </c>
      <c r="O195" t="n">
        <v>1</v>
      </c>
      <c r="P195" t="n">
        <v>0</v>
      </c>
      <c r="Q195" t="n">
        <v>1</v>
      </c>
      <c r="R195" s="2" t="inlineStr">
        <is>
          <t>Ullticka</t>
        </is>
      </c>
      <c r="S195">
        <f>HYPERLINK("https://klasma.github.io/Logging_2309/artfynd/A 7208-2025 artfynd.xlsx", "A 7208-2025")</f>
        <v/>
      </c>
      <c r="T195">
        <f>HYPERLINK("https://klasma.github.io/Logging_2309/kartor/A 7208-2025 karta.png", "A 7208-2025")</f>
        <v/>
      </c>
      <c r="V195">
        <f>HYPERLINK("https://klasma.github.io/Logging_2309/klagomål/A 7208-2025 FSC-klagomål.docx", "A 7208-2025")</f>
        <v/>
      </c>
      <c r="W195">
        <f>HYPERLINK("https://klasma.github.io/Logging_2309/klagomålsmail/A 7208-2025 FSC-klagomål mail.docx", "A 7208-2025")</f>
        <v/>
      </c>
      <c r="X195">
        <f>HYPERLINK("https://klasma.github.io/Logging_2309/tillsyn/A 7208-2025 tillsynsbegäran.docx", "A 7208-2025")</f>
        <v/>
      </c>
      <c r="Y195">
        <f>HYPERLINK("https://klasma.github.io/Logging_2309/tillsynsmail/A 7208-2025 tillsynsbegäran mail.docx", "A 7208-2025")</f>
        <v/>
      </c>
    </row>
    <row r="196" ht="15" customHeight="1">
      <c r="A196" t="inlineStr">
        <is>
          <t>A 49385-2024</t>
        </is>
      </c>
      <c r="B196" s="1" t="n">
        <v>45595</v>
      </c>
      <c r="C196" s="1" t="n">
        <v>45923</v>
      </c>
      <c r="D196" t="inlineStr">
        <is>
          <t>JÄMTLANDS LÄN</t>
        </is>
      </c>
      <c r="E196" t="inlineStr">
        <is>
          <t>KROKOM</t>
        </is>
      </c>
      <c r="G196" t="n">
        <v>10.5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49385-2024 artfynd.xlsx", "A 49385-2024")</f>
        <v/>
      </c>
      <c r="T196">
        <f>HYPERLINK("https://klasma.github.io/Logging_2309/kartor/A 49385-2024 karta.png", "A 49385-2024")</f>
        <v/>
      </c>
      <c r="V196">
        <f>HYPERLINK("https://klasma.github.io/Logging_2309/klagomål/A 49385-2024 FSC-klagomål.docx", "A 49385-2024")</f>
        <v/>
      </c>
      <c r="W196">
        <f>HYPERLINK("https://klasma.github.io/Logging_2309/klagomålsmail/A 49385-2024 FSC-klagomål mail.docx", "A 49385-2024")</f>
        <v/>
      </c>
      <c r="X196">
        <f>HYPERLINK("https://klasma.github.io/Logging_2309/tillsyn/A 49385-2024 tillsynsbegäran.docx", "A 49385-2024")</f>
        <v/>
      </c>
      <c r="Y196">
        <f>HYPERLINK("https://klasma.github.io/Logging_2309/tillsynsmail/A 49385-2024 tillsynsbegäran mail.docx", "A 49385-2024")</f>
        <v/>
      </c>
      <c r="Z196">
        <f>HYPERLINK("https://klasma.github.io/Logging_2309/fåglar/A 49385-2024 prioriterade fågelarter.docx", "A 49385-2024")</f>
        <v/>
      </c>
    </row>
    <row r="197" ht="15" customHeight="1">
      <c r="A197" t="inlineStr">
        <is>
          <t>A 806-2022</t>
        </is>
      </c>
      <c r="B197" s="1" t="n">
        <v>44568</v>
      </c>
      <c r="C197" s="1" t="n">
        <v>45923</v>
      </c>
      <c r="D197" t="inlineStr">
        <is>
          <t>JÄMTLANDS LÄN</t>
        </is>
      </c>
      <c r="E197" t="inlineStr">
        <is>
          <t>KROKOM</t>
        </is>
      </c>
      <c r="G197" t="n">
        <v>46.8</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806-2022 artfynd.xlsx", "A 806-2022")</f>
        <v/>
      </c>
      <c r="T197">
        <f>HYPERLINK("https://klasma.github.io/Logging_2309/kartor/A 806-2022 karta.png", "A 806-2022")</f>
        <v/>
      </c>
      <c r="V197">
        <f>HYPERLINK("https://klasma.github.io/Logging_2309/klagomål/A 806-2022 FSC-klagomål.docx", "A 806-2022")</f>
        <v/>
      </c>
      <c r="W197">
        <f>HYPERLINK("https://klasma.github.io/Logging_2309/klagomålsmail/A 806-2022 FSC-klagomål mail.docx", "A 806-2022")</f>
        <v/>
      </c>
      <c r="X197">
        <f>HYPERLINK("https://klasma.github.io/Logging_2309/tillsyn/A 806-2022 tillsynsbegäran.docx", "A 806-2022")</f>
        <v/>
      </c>
      <c r="Y197">
        <f>HYPERLINK("https://klasma.github.io/Logging_2309/tillsynsmail/A 806-2022 tillsynsbegäran mail.docx", "A 806-2022")</f>
        <v/>
      </c>
      <c r="Z197">
        <f>HYPERLINK("https://klasma.github.io/Logging_2309/fåglar/A 806-2022 prioriterade fågelarter.docx", "A 806-2022")</f>
        <v/>
      </c>
    </row>
    <row r="198" ht="15" customHeight="1">
      <c r="A198" t="inlineStr">
        <is>
          <t>A 40800-2025</t>
        </is>
      </c>
      <c r="B198" s="1" t="n">
        <v>45897.45311342592</v>
      </c>
      <c r="C198" s="1" t="n">
        <v>45923</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804-2022</t>
        </is>
      </c>
      <c r="B199" s="1" t="n">
        <v>44568</v>
      </c>
      <c r="C199" s="1" t="n">
        <v>45923</v>
      </c>
      <c r="D199" t="inlineStr">
        <is>
          <t>JÄMTLANDS LÄN</t>
        </is>
      </c>
      <c r="E199" t="inlineStr">
        <is>
          <t>KROKOM</t>
        </is>
      </c>
      <c r="G199" t="n">
        <v>20</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804-2022 artfynd.xlsx", "A 804-2022")</f>
        <v/>
      </c>
      <c r="T199">
        <f>HYPERLINK("https://klasma.github.io/Logging_2309/kartor/A 804-2022 karta.png", "A 804-2022")</f>
        <v/>
      </c>
      <c r="V199">
        <f>HYPERLINK("https://klasma.github.io/Logging_2309/klagomål/A 804-2022 FSC-klagomål.docx", "A 804-2022")</f>
        <v/>
      </c>
      <c r="W199">
        <f>HYPERLINK("https://klasma.github.io/Logging_2309/klagomålsmail/A 804-2022 FSC-klagomål mail.docx", "A 804-2022")</f>
        <v/>
      </c>
      <c r="X199">
        <f>HYPERLINK("https://klasma.github.io/Logging_2309/tillsyn/A 804-2022 tillsynsbegäran.docx", "A 804-2022")</f>
        <v/>
      </c>
      <c r="Y199">
        <f>HYPERLINK("https://klasma.github.io/Logging_2309/tillsynsmail/A 804-2022 tillsynsbegäran mail.docx", "A 804-2022")</f>
        <v/>
      </c>
      <c r="Z199">
        <f>HYPERLINK("https://klasma.github.io/Logging_2309/fåglar/A 804-2022 prioriterade fågelarter.docx", "A 804-2022")</f>
        <v/>
      </c>
    </row>
    <row r="200" ht="15" customHeight="1">
      <c r="A200" t="inlineStr">
        <is>
          <t>A 15430-2023</t>
        </is>
      </c>
      <c r="B200" s="1" t="n">
        <v>45020</v>
      </c>
      <c r="C200" s="1" t="n">
        <v>45923</v>
      </c>
      <c r="D200" t="inlineStr">
        <is>
          <t>JÄMTLANDS LÄN</t>
        </is>
      </c>
      <c r="E200" t="inlineStr">
        <is>
          <t>KROKOM</t>
        </is>
      </c>
      <c r="G200" t="n">
        <v>31.8</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15430-2023 artfynd.xlsx", "A 15430-2023")</f>
        <v/>
      </c>
      <c r="T200">
        <f>HYPERLINK("https://klasma.github.io/Logging_2309/kartor/A 15430-2023 karta.png", "A 15430-2023")</f>
        <v/>
      </c>
      <c r="V200">
        <f>HYPERLINK("https://klasma.github.io/Logging_2309/klagomål/A 15430-2023 FSC-klagomål.docx", "A 15430-2023")</f>
        <v/>
      </c>
      <c r="W200">
        <f>HYPERLINK("https://klasma.github.io/Logging_2309/klagomålsmail/A 15430-2023 FSC-klagomål mail.docx", "A 15430-2023")</f>
        <v/>
      </c>
      <c r="X200">
        <f>HYPERLINK("https://klasma.github.io/Logging_2309/tillsyn/A 15430-2023 tillsynsbegäran.docx", "A 15430-2023")</f>
        <v/>
      </c>
      <c r="Y200">
        <f>HYPERLINK("https://klasma.github.io/Logging_2309/tillsynsmail/A 15430-2023 tillsynsbegäran mail.docx", "A 15430-2023")</f>
        <v/>
      </c>
      <c r="Z200">
        <f>HYPERLINK("https://klasma.github.io/Logging_2309/fåglar/A 15430-2023 prioriterade fågelarter.docx", "A 15430-2023")</f>
        <v/>
      </c>
    </row>
    <row r="201" ht="15" customHeight="1">
      <c r="A201" t="inlineStr">
        <is>
          <t>A 4331-2025</t>
        </is>
      </c>
      <c r="B201" s="1" t="n">
        <v>45685.78776620371</v>
      </c>
      <c r="C201" s="1" t="n">
        <v>45923</v>
      </c>
      <c r="D201" t="inlineStr">
        <is>
          <t>JÄMTLANDS LÄN</t>
        </is>
      </c>
      <c r="E201" t="inlineStr">
        <is>
          <t>KROKOM</t>
        </is>
      </c>
      <c r="G201" t="n">
        <v>9.199999999999999</v>
      </c>
      <c r="H201" t="n">
        <v>0</v>
      </c>
      <c r="I201" t="n">
        <v>1</v>
      </c>
      <c r="J201" t="n">
        <v>0</v>
      </c>
      <c r="K201" t="n">
        <v>0</v>
      </c>
      <c r="L201" t="n">
        <v>0</v>
      </c>
      <c r="M201" t="n">
        <v>0</v>
      </c>
      <c r="N201" t="n">
        <v>0</v>
      </c>
      <c r="O201" t="n">
        <v>0</v>
      </c>
      <c r="P201" t="n">
        <v>0</v>
      </c>
      <c r="Q201" t="n">
        <v>1</v>
      </c>
      <c r="R201" s="2" t="inlineStr">
        <is>
          <t>Gytterlav</t>
        </is>
      </c>
      <c r="S201">
        <f>HYPERLINK("https://klasma.github.io/Logging_2309/artfynd/A 4331-2025 artfynd.xlsx", "A 4331-2025")</f>
        <v/>
      </c>
      <c r="T201">
        <f>HYPERLINK("https://klasma.github.io/Logging_2309/kartor/A 4331-2025 karta.png", "A 4331-2025")</f>
        <v/>
      </c>
      <c r="V201">
        <f>HYPERLINK("https://klasma.github.io/Logging_2309/klagomål/A 4331-2025 FSC-klagomål.docx", "A 4331-2025")</f>
        <v/>
      </c>
      <c r="W201">
        <f>HYPERLINK("https://klasma.github.io/Logging_2309/klagomålsmail/A 4331-2025 FSC-klagomål mail.docx", "A 4331-2025")</f>
        <v/>
      </c>
      <c r="X201">
        <f>HYPERLINK("https://klasma.github.io/Logging_2309/tillsyn/A 4331-2025 tillsynsbegäran.docx", "A 4331-2025")</f>
        <v/>
      </c>
      <c r="Y201">
        <f>HYPERLINK("https://klasma.github.io/Logging_2309/tillsynsmail/A 4331-2025 tillsynsbegäran mail.docx", "A 4331-2025")</f>
        <v/>
      </c>
    </row>
    <row r="202" ht="15" customHeight="1">
      <c r="A202" t="inlineStr">
        <is>
          <t>A 27753-2023</t>
        </is>
      </c>
      <c r="B202" s="1" t="n">
        <v>45098</v>
      </c>
      <c r="C202" s="1" t="n">
        <v>45923</v>
      </c>
      <c r="D202" t="inlineStr">
        <is>
          <t>JÄMTLANDS LÄN</t>
        </is>
      </c>
      <c r="E202" t="inlineStr">
        <is>
          <t>KROKOM</t>
        </is>
      </c>
      <c r="F202" t="inlineStr">
        <is>
          <t>Övriga Aktiebolag</t>
        </is>
      </c>
      <c r="G202" t="n">
        <v>20.9</v>
      </c>
      <c r="H202" t="n">
        <v>0</v>
      </c>
      <c r="I202" t="n">
        <v>0</v>
      </c>
      <c r="J202" t="n">
        <v>1</v>
      </c>
      <c r="K202" t="n">
        <v>0</v>
      </c>
      <c r="L202" t="n">
        <v>0</v>
      </c>
      <c r="M202" t="n">
        <v>0</v>
      </c>
      <c r="N202" t="n">
        <v>0</v>
      </c>
      <c r="O202" t="n">
        <v>1</v>
      </c>
      <c r="P202" t="n">
        <v>0</v>
      </c>
      <c r="Q202" t="n">
        <v>1</v>
      </c>
      <c r="R202" s="2" t="inlineStr">
        <is>
          <t>Mörk kolflarnlav</t>
        </is>
      </c>
      <c r="S202">
        <f>HYPERLINK("https://klasma.github.io/Logging_2309/artfynd/A 27753-2023 artfynd.xlsx", "A 27753-2023")</f>
        <v/>
      </c>
      <c r="T202">
        <f>HYPERLINK("https://klasma.github.io/Logging_2309/kartor/A 27753-2023 karta.png", "A 27753-2023")</f>
        <v/>
      </c>
      <c r="V202">
        <f>HYPERLINK("https://klasma.github.io/Logging_2309/klagomål/A 27753-2023 FSC-klagomål.docx", "A 27753-2023")</f>
        <v/>
      </c>
      <c r="W202">
        <f>HYPERLINK("https://klasma.github.io/Logging_2309/klagomålsmail/A 27753-2023 FSC-klagomål mail.docx", "A 27753-2023")</f>
        <v/>
      </c>
      <c r="X202">
        <f>HYPERLINK("https://klasma.github.io/Logging_2309/tillsyn/A 27753-2023 tillsynsbegäran.docx", "A 27753-2023")</f>
        <v/>
      </c>
      <c r="Y202">
        <f>HYPERLINK("https://klasma.github.io/Logging_2309/tillsynsmail/A 27753-2023 tillsynsbegäran mail.docx", "A 27753-2023")</f>
        <v/>
      </c>
    </row>
    <row r="203" ht="15" customHeight="1">
      <c r="A203" t="inlineStr">
        <is>
          <t>A 11413-2022</t>
        </is>
      </c>
      <c r="B203" s="1" t="n">
        <v>44630</v>
      </c>
      <c r="C203" s="1" t="n">
        <v>45923</v>
      </c>
      <c r="D203" t="inlineStr">
        <is>
          <t>JÄMTLANDS LÄN</t>
        </is>
      </c>
      <c r="E203" t="inlineStr">
        <is>
          <t>KROKOM</t>
        </is>
      </c>
      <c r="G203" t="n">
        <v>0.7</v>
      </c>
      <c r="H203" t="n">
        <v>1</v>
      </c>
      <c r="I203" t="n">
        <v>0</v>
      </c>
      <c r="J203" t="n">
        <v>1</v>
      </c>
      <c r="K203" t="n">
        <v>0</v>
      </c>
      <c r="L203" t="n">
        <v>0</v>
      </c>
      <c r="M203" t="n">
        <v>0</v>
      </c>
      <c r="N203" t="n">
        <v>0</v>
      </c>
      <c r="O203" t="n">
        <v>1</v>
      </c>
      <c r="P203" t="n">
        <v>0</v>
      </c>
      <c r="Q203" t="n">
        <v>1</v>
      </c>
      <c r="R203" s="2" t="inlineStr">
        <is>
          <t>Talltita</t>
        </is>
      </c>
      <c r="S203">
        <f>HYPERLINK("https://klasma.github.io/Logging_2309/artfynd/A 11413-2022 artfynd.xlsx", "A 11413-2022")</f>
        <v/>
      </c>
      <c r="T203">
        <f>HYPERLINK("https://klasma.github.io/Logging_2309/kartor/A 11413-2022 karta.png", "A 11413-2022")</f>
        <v/>
      </c>
      <c r="V203">
        <f>HYPERLINK("https://klasma.github.io/Logging_2309/klagomål/A 11413-2022 FSC-klagomål.docx", "A 11413-2022")</f>
        <v/>
      </c>
      <c r="W203">
        <f>HYPERLINK("https://klasma.github.io/Logging_2309/klagomålsmail/A 11413-2022 FSC-klagomål mail.docx", "A 11413-2022")</f>
        <v/>
      </c>
      <c r="X203">
        <f>HYPERLINK("https://klasma.github.io/Logging_2309/tillsyn/A 11413-2022 tillsynsbegäran.docx", "A 11413-2022")</f>
        <v/>
      </c>
      <c r="Y203">
        <f>HYPERLINK("https://klasma.github.io/Logging_2309/tillsynsmail/A 11413-2022 tillsynsbegäran mail.docx", "A 11413-2022")</f>
        <v/>
      </c>
      <c r="Z203">
        <f>HYPERLINK("https://klasma.github.io/Logging_2309/fåglar/A 11413-2022 prioriterade fågelarter.docx", "A 11413-2022")</f>
        <v/>
      </c>
    </row>
    <row r="204" ht="15" customHeight="1">
      <c r="A204" t="inlineStr">
        <is>
          <t>A 52473-2024</t>
        </is>
      </c>
      <c r="B204" s="1" t="n">
        <v>45609</v>
      </c>
      <c r="C204" s="1" t="n">
        <v>45923</v>
      </c>
      <c r="D204" t="inlineStr">
        <is>
          <t>JÄMTLANDS LÄN</t>
        </is>
      </c>
      <c r="E204" t="inlineStr">
        <is>
          <t>KROKOM</t>
        </is>
      </c>
      <c r="G204" t="n">
        <v>38.5</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52473-2024 artfynd.xlsx", "A 52473-2024")</f>
        <v/>
      </c>
      <c r="T204">
        <f>HYPERLINK("https://klasma.github.io/Logging_2309/kartor/A 52473-2024 karta.png", "A 52473-2024")</f>
        <v/>
      </c>
      <c r="V204">
        <f>HYPERLINK("https://klasma.github.io/Logging_2309/klagomål/A 52473-2024 FSC-klagomål.docx", "A 52473-2024")</f>
        <v/>
      </c>
      <c r="W204">
        <f>HYPERLINK("https://klasma.github.io/Logging_2309/klagomålsmail/A 52473-2024 FSC-klagomål mail.docx", "A 52473-2024")</f>
        <v/>
      </c>
      <c r="X204">
        <f>HYPERLINK("https://klasma.github.io/Logging_2309/tillsyn/A 52473-2024 tillsynsbegäran.docx", "A 52473-2024")</f>
        <v/>
      </c>
      <c r="Y204">
        <f>HYPERLINK("https://klasma.github.io/Logging_2309/tillsynsmail/A 52473-2024 tillsynsbegäran mail.docx", "A 52473-2024")</f>
        <v/>
      </c>
      <c r="Z204">
        <f>HYPERLINK("https://klasma.github.io/Logging_2309/fåglar/A 52473-2024 prioriterade fågelarter.docx", "A 52473-2024")</f>
        <v/>
      </c>
    </row>
    <row r="205" ht="15" customHeight="1">
      <c r="A205" t="inlineStr">
        <is>
          <t>A 36639-2023</t>
        </is>
      </c>
      <c r="B205" s="1" t="n">
        <v>45153</v>
      </c>
      <c r="C205" s="1" t="n">
        <v>45923</v>
      </c>
      <c r="D205" t="inlineStr">
        <is>
          <t>JÄMTLANDS LÄN</t>
        </is>
      </c>
      <c r="E205" t="inlineStr">
        <is>
          <t>KROKOM</t>
        </is>
      </c>
      <c r="F205" t="inlineStr">
        <is>
          <t>Övriga Aktiebolag</t>
        </is>
      </c>
      <c r="G205" t="n">
        <v>5.5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36639-2023 artfynd.xlsx", "A 36639-2023")</f>
        <v/>
      </c>
      <c r="T205">
        <f>HYPERLINK("https://klasma.github.io/Logging_2309/kartor/A 36639-2023 karta.png", "A 36639-2023")</f>
        <v/>
      </c>
      <c r="V205">
        <f>HYPERLINK("https://klasma.github.io/Logging_2309/klagomål/A 36639-2023 FSC-klagomål.docx", "A 36639-2023")</f>
        <v/>
      </c>
      <c r="W205">
        <f>HYPERLINK("https://klasma.github.io/Logging_2309/klagomålsmail/A 36639-2023 FSC-klagomål mail.docx", "A 36639-2023")</f>
        <v/>
      </c>
      <c r="X205">
        <f>HYPERLINK("https://klasma.github.io/Logging_2309/tillsyn/A 36639-2023 tillsynsbegäran.docx", "A 36639-2023")</f>
        <v/>
      </c>
      <c r="Y205">
        <f>HYPERLINK("https://klasma.github.io/Logging_2309/tillsynsmail/A 36639-2023 tillsynsbegäran mail.docx", "A 36639-2023")</f>
        <v/>
      </c>
      <c r="Z205">
        <f>HYPERLINK("https://klasma.github.io/Logging_2309/fåglar/A 36639-2023 prioriterade fågelarter.docx", "A 36639-2023")</f>
        <v/>
      </c>
    </row>
    <row r="206" ht="15" customHeight="1">
      <c r="A206" t="inlineStr">
        <is>
          <t>A 13485-2025</t>
        </is>
      </c>
      <c r="B206" s="1" t="n">
        <v>45736.42743055556</v>
      </c>
      <c r="C206" s="1" t="n">
        <v>45923</v>
      </c>
      <c r="D206" t="inlineStr">
        <is>
          <t>JÄMTLANDS LÄN</t>
        </is>
      </c>
      <c r="E206" t="inlineStr">
        <is>
          <t>KROKOM</t>
        </is>
      </c>
      <c r="F206" t="inlineStr">
        <is>
          <t>SCA</t>
        </is>
      </c>
      <c r="G206" t="n">
        <v>4</v>
      </c>
      <c r="H206" t="n">
        <v>0</v>
      </c>
      <c r="I206" t="n">
        <v>0</v>
      </c>
      <c r="J206" t="n">
        <v>1</v>
      </c>
      <c r="K206" t="n">
        <v>0</v>
      </c>
      <c r="L206" t="n">
        <v>0</v>
      </c>
      <c r="M206" t="n">
        <v>0</v>
      </c>
      <c r="N206" t="n">
        <v>0</v>
      </c>
      <c r="O206" t="n">
        <v>1</v>
      </c>
      <c r="P206" t="n">
        <v>0</v>
      </c>
      <c r="Q206" t="n">
        <v>1</v>
      </c>
      <c r="R206" s="2" t="inlineStr">
        <is>
          <t>Brunklöver</t>
        </is>
      </c>
      <c r="S206">
        <f>HYPERLINK("https://klasma.github.io/Logging_2309/artfynd/A 13485-2025 artfynd.xlsx", "A 13485-2025")</f>
        <v/>
      </c>
      <c r="T206">
        <f>HYPERLINK("https://klasma.github.io/Logging_2309/kartor/A 13485-2025 karta.png", "A 13485-2025")</f>
        <v/>
      </c>
      <c r="V206">
        <f>HYPERLINK("https://klasma.github.io/Logging_2309/klagomål/A 13485-2025 FSC-klagomål.docx", "A 13485-2025")</f>
        <v/>
      </c>
      <c r="W206">
        <f>HYPERLINK("https://klasma.github.io/Logging_2309/klagomålsmail/A 13485-2025 FSC-klagomål mail.docx", "A 13485-2025")</f>
        <v/>
      </c>
      <c r="X206">
        <f>HYPERLINK("https://klasma.github.io/Logging_2309/tillsyn/A 13485-2025 tillsynsbegäran.docx", "A 13485-2025")</f>
        <v/>
      </c>
      <c r="Y206">
        <f>HYPERLINK("https://klasma.github.io/Logging_2309/tillsynsmail/A 13485-2025 tillsynsbegäran mail.docx", "A 13485-2025")</f>
        <v/>
      </c>
    </row>
    <row r="207" ht="15" customHeight="1">
      <c r="A207" t="inlineStr">
        <is>
          <t>A 5919-2025</t>
        </is>
      </c>
      <c r="B207" s="1" t="n">
        <v>45695.42197916667</v>
      </c>
      <c r="C207" s="1" t="n">
        <v>45923</v>
      </c>
      <c r="D207" t="inlineStr">
        <is>
          <t>JÄMTLANDS LÄN</t>
        </is>
      </c>
      <c r="E207" t="inlineStr">
        <is>
          <t>KROKOM</t>
        </is>
      </c>
      <c r="G207" t="n">
        <v>2.7</v>
      </c>
      <c r="H207" t="n">
        <v>0</v>
      </c>
      <c r="I207" t="n">
        <v>0</v>
      </c>
      <c r="J207" t="n">
        <v>1</v>
      </c>
      <c r="K207" t="n">
        <v>0</v>
      </c>
      <c r="L207" t="n">
        <v>0</v>
      </c>
      <c r="M207" t="n">
        <v>0</v>
      </c>
      <c r="N207" t="n">
        <v>0</v>
      </c>
      <c r="O207" t="n">
        <v>1</v>
      </c>
      <c r="P207" t="n">
        <v>0</v>
      </c>
      <c r="Q207" t="n">
        <v>1</v>
      </c>
      <c r="R207" s="2" t="inlineStr">
        <is>
          <t>Skogshare</t>
        </is>
      </c>
      <c r="S207">
        <f>HYPERLINK("https://klasma.github.io/Logging_2309/artfynd/A 5919-2025 artfynd.xlsx", "A 5919-2025")</f>
        <v/>
      </c>
      <c r="T207">
        <f>HYPERLINK("https://klasma.github.io/Logging_2309/kartor/A 5919-2025 karta.png", "A 5919-2025")</f>
        <v/>
      </c>
      <c r="V207">
        <f>HYPERLINK("https://klasma.github.io/Logging_2309/klagomål/A 5919-2025 FSC-klagomål.docx", "A 5919-2025")</f>
        <v/>
      </c>
      <c r="W207">
        <f>HYPERLINK("https://klasma.github.io/Logging_2309/klagomålsmail/A 5919-2025 FSC-klagomål mail.docx", "A 5919-2025")</f>
        <v/>
      </c>
      <c r="X207">
        <f>HYPERLINK("https://klasma.github.io/Logging_2309/tillsyn/A 5919-2025 tillsynsbegäran.docx", "A 5919-2025")</f>
        <v/>
      </c>
      <c r="Y207">
        <f>HYPERLINK("https://klasma.github.io/Logging_2309/tillsynsmail/A 5919-2025 tillsynsbegäran mail.docx", "A 5919-2025")</f>
        <v/>
      </c>
    </row>
    <row r="208" ht="15" customHeight="1">
      <c r="A208" t="inlineStr">
        <is>
          <t>A 4348-2025</t>
        </is>
      </c>
      <c r="B208" s="1" t="n">
        <v>45686.27208333334</v>
      </c>
      <c r="C208" s="1" t="n">
        <v>45923</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4348-2025 artfynd.xlsx", "A 4348-2025")</f>
        <v/>
      </c>
      <c r="T208">
        <f>HYPERLINK("https://klasma.github.io/Logging_2309/kartor/A 4348-2025 karta.png", "A 4348-2025")</f>
        <v/>
      </c>
      <c r="V208">
        <f>HYPERLINK("https://klasma.github.io/Logging_2309/klagomål/A 4348-2025 FSC-klagomål.docx", "A 4348-2025")</f>
        <v/>
      </c>
      <c r="W208">
        <f>HYPERLINK("https://klasma.github.io/Logging_2309/klagomålsmail/A 4348-2025 FSC-klagomål mail.docx", "A 4348-2025")</f>
        <v/>
      </c>
      <c r="X208">
        <f>HYPERLINK("https://klasma.github.io/Logging_2309/tillsyn/A 4348-2025 tillsynsbegäran.docx", "A 4348-2025")</f>
        <v/>
      </c>
      <c r="Y208">
        <f>HYPERLINK("https://klasma.github.io/Logging_2309/tillsynsmail/A 4348-2025 tillsynsbegäran mail.docx", "A 4348-2025")</f>
        <v/>
      </c>
    </row>
    <row r="209" ht="15" customHeight="1">
      <c r="A209" t="inlineStr">
        <is>
          <t>A 16125-2025</t>
        </is>
      </c>
      <c r="B209" s="1" t="n">
        <v>45750.42127314815</v>
      </c>
      <c r="C209" s="1" t="n">
        <v>45923</v>
      </c>
      <c r="D209" t="inlineStr">
        <is>
          <t>JÄMTLANDS LÄN</t>
        </is>
      </c>
      <c r="E209" t="inlineStr">
        <is>
          <t>KROKOM</t>
        </is>
      </c>
      <c r="G209" t="n">
        <v>1.5</v>
      </c>
      <c r="H209" t="n">
        <v>0</v>
      </c>
      <c r="I209" t="n">
        <v>0</v>
      </c>
      <c r="J209" t="n">
        <v>1</v>
      </c>
      <c r="K209" t="n">
        <v>0</v>
      </c>
      <c r="L209" t="n">
        <v>0</v>
      </c>
      <c r="M209" t="n">
        <v>0</v>
      </c>
      <c r="N209" t="n">
        <v>0</v>
      </c>
      <c r="O209" t="n">
        <v>1</v>
      </c>
      <c r="P209" t="n">
        <v>0</v>
      </c>
      <c r="Q209" t="n">
        <v>1</v>
      </c>
      <c r="R209" s="2" t="inlineStr">
        <is>
          <t>Månlåsbräken</t>
        </is>
      </c>
      <c r="S209">
        <f>HYPERLINK("https://klasma.github.io/Logging_2309/artfynd/A 16125-2025 artfynd.xlsx", "A 16125-2025")</f>
        <v/>
      </c>
      <c r="T209">
        <f>HYPERLINK("https://klasma.github.io/Logging_2309/kartor/A 16125-2025 karta.png", "A 16125-2025")</f>
        <v/>
      </c>
      <c r="V209">
        <f>HYPERLINK("https://klasma.github.io/Logging_2309/klagomål/A 16125-2025 FSC-klagomål.docx", "A 16125-2025")</f>
        <v/>
      </c>
      <c r="W209">
        <f>HYPERLINK("https://klasma.github.io/Logging_2309/klagomålsmail/A 16125-2025 FSC-klagomål mail.docx", "A 16125-2025")</f>
        <v/>
      </c>
      <c r="X209">
        <f>HYPERLINK("https://klasma.github.io/Logging_2309/tillsyn/A 16125-2025 tillsynsbegäran.docx", "A 16125-2025")</f>
        <v/>
      </c>
      <c r="Y209">
        <f>HYPERLINK("https://klasma.github.io/Logging_2309/tillsynsmail/A 16125-2025 tillsynsbegäran mail.docx", "A 16125-2025")</f>
        <v/>
      </c>
    </row>
    <row r="210" ht="15" customHeight="1">
      <c r="A210" t="inlineStr">
        <is>
          <t>A 71574-2021</t>
        </is>
      </c>
      <c r="B210" s="1" t="n">
        <v>44540</v>
      </c>
      <c r="C210" s="1" t="n">
        <v>45923</v>
      </c>
      <c r="D210" t="inlineStr">
        <is>
          <t>JÄMTLANDS LÄN</t>
        </is>
      </c>
      <c r="E210" t="inlineStr">
        <is>
          <t>KROKOM</t>
        </is>
      </c>
      <c r="G210" t="n">
        <v>1.1</v>
      </c>
      <c r="H210" t="n">
        <v>1</v>
      </c>
      <c r="I210" t="n">
        <v>1</v>
      </c>
      <c r="J210" t="n">
        <v>0</v>
      </c>
      <c r="K210" t="n">
        <v>0</v>
      </c>
      <c r="L210" t="n">
        <v>0</v>
      </c>
      <c r="M210" t="n">
        <v>0</v>
      </c>
      <c r="N210" t="n">
        <v>0</v>
      </c>
      <c r="O210" t="n">
        <v>0</v>
      </c>
      <c r="P210" t="n">
        <v>0</v>
      </c>
      <c r="Q210" t="n">
        <v>1</v>
      </c>
      <c r="R210" s="2" t="inlineStr">
        <is>
          <t>Spindelblomster</t>
        </is>
      </c>
      <c r="S210">
        <f>HYPERLINK("https://klasma.github.io/Logging_2309/artfynd/A 71574-2021 artfynd.xlsx", "A 71574-2021")</f>
        <v/>
      </c>
      <c r="T210">
        <f>HYPERLINK("https://klasma.github.io/Logging_2309/kartor/A 71574-2021 karta.png", "A 71574-2021")</f>
        <v/>
      </c>
      <c r="V210">
        <f>HYPERLINK("https://klasma.github.io/Logging_2309/klagomål/A 71574-2021 FSC-klagomål.docx", "A 71574-2021")</f>
        <v/>
      </c>
      <c r="W210">
        <f>HYPERLINK("https://klasma.github.io/Logging_2309/klagomålsmail/A 71574-2021 FSC-klagomål mail.docx", "A 71574-2021")</f>
        <v/>
      </c>
      <c r="X210">
        <f>HYPERLINK("https://klasma.github.io/Logging_2309/tillsyn/A 71574-2021 tillsynsbegäran.docx", "A 71574-2021")</f>
        <v/>
      </c>
      <c r="Y210">
        <f>HYPERLINK("https://klasma.github.io/Logging_2309/tillsynsmail/A 71574-2021 tillsynsbegäran mail.docx", "A 71574-2021")</f>
        <v/>
      </c>
    </row>
    <row r="211" ht="15" customHeight="1">
      <c r="A211" t="inlineStr">
        <is>
          <t>A 16426-2024</t>
        </is>
      </c>
      <c r="B211" s="1" t="n">
        <v>45407</v>
      </c>
      <c r="C211" s="1" t="n">
        <v>45923</v>
      </c>
      <c r="D211" t="inlineStr">
        <is>
          <t>JÄMTLANDS LÄN</t>
        </is>
      </c>
      <c r="E211" t="inlineStr">
        <is>
          <t>KROKOM</t>
        </is>
      </c>
      <c r="G211" t="n">
        <v>1.3</v>
      </c>
      <c r="H211" t="n">
        <v>0</v>
      </c>
      <c r="I211" t="n">
        <v>0</v>
      </c>
      <c r="J211" t="n">
        <v>1</v>
      </c>
      <c r="K211" t="n">
        <v>0</v>
      </c>
      <c r="L211" t="n">
        <v>0</v>
      </c>
      <c r="M211" t="n">
        <v>0</v>
      </c>
      <c r="N211" t="n">
        <v>0</v>
      </c>
      <c r="O211" t="n">
        <v>1</v>
      </c>
      <c r="P211" t="n">
        <v>0</v>
      </c>
      <c r="Q211" t="n">
        <v>1</v>
      </c>
      <c r="R211" s="2" t="inlineStr">
        <is>
          <t>Slåtterfibbla</t>
        </is>
      </c>
      <c r="S211">
        <f>HYPERLINK("https://klasma.github.io/Logging_2309/artfynd/A 16426-2024 artfynd.xlsx", "A 16426-2024")</f>
        <v/>
      </c>
      <c r="T211">
        <f>HYPERLINK("https://klasma.github.io/Logging_2309/kartor/A 16426-2024 karta.png", "A 16426-2024")</f>
        <v/>
      </c>
      <c r="V211">
        <f>HYPERLINK("https://klasma.github.io/Logging_2309/klagomål/A 16426-2024 FSC-klagomål.docx", "A 16426-2024")</f>
        <v/>
      </c>
      <c r="W211">
        <f>HYPERLINK("https://klasma.github.io/Logging_2309/klagomålsmail/A 16426-2024 FSC-klagomål mail.docx", "A 16426-2024")</f>
        <v/>
      </c>
      <c r="X211">
        <f>HYPERLINK("https://klasma.github.io/Logging_2309/tillsyn/A 16426-2024 tillsynsbegäran.docx", "A 16426-2024")</f>
        <v/>
      </c>
      <c r="Y211">
        <f>HYPERLINK("https://klasma.github.io/Logging_2309/tillsynsmail/A 16426-2024 tillsynsbegäran mail.docx", "A 16426-2024")</f>
        <v/>
      </c>
    </row>
    <row r="212" ht="15" customHeight="1">
      <c r="A212" t="inlineStr">
        <is>
          <t>A 42258-2023</t>
        </is>
      </c>
      <c r="B212" s="1" t="n">
        <v>45180</v>
      </c>
      <c r="C212" s="1" t="n">
        <v>45923</v>
      </c>
      <c r="D212" t="inlineStr">
        <is>
          <t>JÄMTLANDS LÄN</t>
        </is>
      </c>
      <c r="E212" t="inlineStr">
        <is>
          <t>KROKOM</t>
        </is>
      </c>
      <c r="F212" t="inlineStr">
        <is>
          <t>Övriga Aktiebolag</t>
        </is>
      </c>
      <c r="G212" t="n">
        <v>0.2</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42258-2023 artfynd.xlsx", "A 42258-2023")</f>
        <v/>
      </c>
      <c r="T212">
        <f>HYPERLINK("https://klasma.github.io/Logging_2309/kartor/A 42258-2023 karta.png", "A 42258-2023")</f>
        <v/>
      </c>
      <c r="V212">
        <f>HYPERLINK("https://klasma.github.io/Logging_2309/klagomål/A 42258-2023 FSC-klagomål.docx", "A 42258-2023")</f>
        <v/>
      </c>
      <c r="W212">
        <f>HYPERLINK("https://klasma.github.io/Logging_2309/klagomålsmail/A 42258-2023 FSC-klagomål mail.docx", "A 42258-2023")</f>
        <v/>
      </c>
      <c r="X212">
        <f>HYPERLINK("https://klasma.github.io/Logging_2309/tillsyn/A 42258-2023 tillsynsbegäran.docx", "A 42258-2023")</f>
        <v/>
      </c>
      <c r="Y212">
        <f>HYPERLINK("https://klasma.github.io/Logging_2309/tillsynsmail/A 42258-2023 tillsynsbegäran mail.docx", "A 42258-2023")</f>
        <v/>
      </c>
      <c r="Z212">
        <f>HYPERLINK("https://klasma.github.io/Logging_2309/fåglar/A 42258-2023 prioriterade fågelarter.docx", "A 42258-2023")</f>
        <v/>
      </c>
    </row>
    <row r="213" ht="15" customHeight="1">
      <c r="A213" t="inlineStr">
        <is>
          <t>A 58805-2024</t>
        </is>
      </c>
      <c r="B213" s="1" t="n">
        <v>45635</v>
      </c>
      <c r="C213" s="1" t="n">
        <v>45923</v>
      </c>
      <c r="D213" t="inlineStr">
        <is>
          <t>JÄMTLANDS LÄN</t>
        </is>
      </c>
      <c r="E213" t="inlineStr">
        <is>
          <t>KROKOM</t>
        </is>
      </c>
      <c r="G213" t="n">
        <v>4.7</v>
      </c>
      <c r="H213" t="n">
        <v>1</v>
      </c>
      <c r="I213" t="n">
        <v>0</v>
      </c>
      <c r="J213" t="n">
        <v>0</v>
      </c>
      <c r="K213" t="n">
        <v>0</v>
      </c>
      <c r="L213" t="n">
        <v>0</v>
      </c>
      <c r="M213" t="n">
        <v>0</v>
      </c>
      <c r="N213" t="n">
        <v>0</v>
      </c>
      <c r="O213" t="n">
        <v>0</v>
      </c>
      <c r="P213" t="n">
        <v>0</v>
      </c>
      <c r="Q213" t="n">
        <v>1</v>
      </c>
      <c r="R213" s="2" t="inlineStr">
        <is>
          <t>Brudsporre</t>
        </is>
      </c>
      <c r="S213">
        <f>HYPERLINK("https://klasma.github.io/Logging_2309/artfynd/A 58805-2024 artfynd.xlsx", "A 58805-2024")</f>
        <v/>
      </c>
      <c r="T213">
        <f>HYPERLINK("https://klasma.github.io/Logging_2309/kartor/A 58805-2024 karta.png", "A 58805-2024")</f>
        <v/>
      </c>
      <c r="V213">
        <f>HYPERLINK("https://klasma.github.io/Logging_2309/klagomål/A 58805-2024 FSC-klagomål.docx", "A 58805-2024")</f>
        <v/>
      </c>
      <c r="W213">
        <f>HYPERLINK("https://klasma.github.io/Logging_2309/klagomålsmail/A 58805-2024 FSC-klagomål mail.docx", "A 58805-2024")</f>
        <v/>
      </c>
      <c r="X213">
        <f>HYPERLINK("https://klasma.github.io/Logging_2309/tillsyn/A 58805-2024 tillsynsbegäran.docx", "A 58805-2024")</f>
        <v/>
      </c>
      <c r="Y213">
        <f>HYPERLINK("https://klasma.github.io/Logging_2309/tillsynsmail/A 58805-2024 tillsynsbegäran mail.docx", "A 58805-2024")</f>
        <v/>
      </c>
    </row>
    <row r="214" ht="15" customHeight="1">
      <c r="A214" t="inlineStr">
        <is>
          <t>A 56628-2023</t>
        </is>
      </c>
      <c r="B214" s="1" t="n">
        <v>45243</v>
      </c>
      <c r="C214" s="1" t="n">
        <v>45923</v>
      </c>
      <c r="D214" t="inlineStr">
        <is>
          <t>JÄMTLANDS LÄN</t>
        </is>
      </c>
      <c r="E214" t="inlineStr">
        <is>
          <t>KROKOM</t>
        </is>
      </c>
      <c r="G214" t="n">
        <v>17.8</v>
      </c>
      <c r="H214" t="n">
        <v>1</v>
      </c>
      <c r="I214" t="n">
        <v>0</v>
      </c>
      <c r="J214" t="n">
        <v>0</v>
      </c>
      <c r="K214" t="n">
        <v>0</v>
      </c>
      <c r="L214" t="n">
        <v>0</v>
      </c>
      <c r="M214" t="n">
        <v>0</v>
      </c>
      <c r="N214" t="n">
        <v>0</v>
      </c>
      <c r="O214" t="n">
        <v>0</v>
      </c>
      <c r="P214" t="n">
        <v>0</v>
      </c>
      <c r="Q214" t="n">
        <v>1</v>
      </c>
      <c r="R214" s="2" t="inlineStr">
        <is>
          <t>Blåsippa</t>
        </is>
      </c>
      <c r="S214">
        <f>HYPERLINK("https://klasma.github.io/Logging_2309/artfynd/A 56628-2023 artfynd.xlsx", "A 56628-2023")</f>
        <v/>
      </c>
      <c r="T214">
        <f>HYPERLINK("https://klasma.github.io/Logging_2309/kartor/A 56628-2023 karta.png", "A 56628-2023")</f>
        <v/>
      </c>
      <c r="V214">
        <f>HYPERLINK("https://klasma.github.io/Logging_2309/klagomål/A 56628-2023 FSC-klagomål.docx", "A 56628-2023")</f>
        <v/>
      </c>
      <c r="W214">
        <f>HYPERLINK("https://klasma.github.io/Logging_2309/klagomålsmail/A 56628-2023 FSC-klagomål mail.docx", "A 56628-2023")</f>
        <v/>
      </c>
      <c r="X214">
        <f>HYPERLINK("https://klasma.github.io/Logging_2309/tillsyn/A 56628-2023 tillsynsbegäran.docx", "A 56628-2023")</f>
        <v/>
      </c>
      <c r="Y214">
        <f>HYPERLINK("https://klasma.github.io/Logging_2309/tillsynsmail/A 56628-2023 tillsynsbegäran mail.docx", "A 56628-2023")</f>
        <v/>
      </c>
    </row>
    <row r="215" ht="15" customHeight="1">
      <c r="A215" t="inlineStr">
        <is>
          <t>A 26231-2024</t>
        </is>
      </c>
      <c r="B215" s="1" t="n">
        <v>45467</v>
      </c>
      <c r="C215" s="1" t="n">
        <v>45923</v>
      </c>
      <c r="D215" t="inlineStr">
        <is>
          <t>JÄMTLANDS LÄN</t>
        </is>
      </c>
      <c r="E215" t="inlineStr">
        <is>
          <t>KROKOM</t>
        </is>
      </c>
      <c r="G215" t="n">
        <v>14.6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26231-2024 artfynd.xlsx", "A 26231-2024")</f>
        <v/>
      </c>
      <c r="T215">
        <f>HYPERLINK("https://klasma.github.io/Logging_2309/kartor/A 26231-2024 karta.png", "A 26231-2024")</f>
        <v/>
      </c>
      <c r="V215">
        <f>HYPERLINK("https://klasma.github.io/Logging_2309/klagomål/A 26231-2024 FSC-klagomål.docx", "A 26231-2024")</f>
        <v/>
      </c>
      <c r="W215">
        <f>HYPERLINK("https://klasma.github.io/Logging_2309/klagomålsmail/A 26231-2024 FSC-klagomål mail.docx", "A 26231-2024")</f>
        <v/>
      </c>
      <c r="X215">
        <f>HYPERLINK("https://klasma.github.io/Logging_2309/tillsyn/A 26231-2024 tillsynsbegäran.docx", "A 26231-2024")</f>
        <v/>
      </c>
      <c r="Y215">
        <f>HYPERLINK("https://klasma.github.io/Logging_2309/tillsynsmail/A 26231-2024 tillsynsbegäran mail.docx", "A 26231-2024")</f>
        <v/>
      </c>
      <c r="Z215">
        <f>HYPERLINK("https://klasma.github.io/Logging_2309/fåglar/A 26231-2024 prioriterade fågelarter.docx", "A 26231-2024")</f>
        <v/>
      </c>
    </row>
    <row r="216" ht="15" customHeight="1">
      <c r="A216" t="inlineStr">
        <is>
          <t>A 19282-2021</t>
        </is>
      </c>
      <c r="B216" s="1" t="n">
        <v>44308</v>
      </c>
      <c r="C216" s="1" t="n">
        <v>45923</v>
      </c>
      <c r="D216" t="inlineStr">
        <is>
          <t>JÄMTLANDS LÄN</t>
        </is>
      </c>
      <c r="E216" t="inlineStr">
        <is>
          <t>KROKOM</t>
        </is>
      </c>
      <c r="G216" t="n">
        <v>2</v>
      </c>
      <c r="H216" t="n">
        <v>0</v>
      </c>
      <c r="I216" t="n">
        <v>0</v>
      </c>
      <c r="J216" t="n">
        <v>1</v>
      </c>
      <c r="K216" t="n">
        <v>0</v>
      </c>
      <c r="L216" t="n">
        <v>0</v>
      </c>
      <c r="M216" t="n">
        <v>0</v>
      </c>
      <c r="N216" t="n">
        <v>0</v>
      </c>
      <c r="O216" t="n">
        <v>1</v>
      </c>
      <c r="P216" t="n">
        <v>0</v>
      </c>
      <c r="Q216" t="n">
        <v>1</v>
      </c>
      <c r="R216" s="2" t="inlineStr">
        <is>
          <t>Garnlav</t>
        </is>
      </c>
      <c r="S216">
        <f>HYPERLINK("https://klasma.github.io/Logging_2309/artfynd/A 19282-2021 artfynd.xlsx", "A 19282-2021")</f>
        <v/>
      </c>
      <c r="T216">
        <f>HYPERLINK("https://klasma.github.io/Logging_2309/kartor/A 19282-2021 karta.png", "A 19282-2021")</f>
        <v/>
      </c>
      <c r="V216">
        <f>HYPERLINK("https://klasma.github.io/Logging_2309/klagomål/A 19282-2021 FSC-klagomål.docx", "A 19282-2021")</f>
        <v/>
      </c>
      <c r="W216">
        <f>HYPERLINK("https://klasma.github.io/Logging_2309/klagomålsmail/A 19282-2021 FSC-klagomål mail.docx", "A 19282-2021")</f>
        <v/>
      </c>
      <c r="X216">
        <f>HYPERLINK("https://klasma.github.io/Logging_2309/tillsyn/A 19282-2021 tillsynsbegäran.docx", "A 19282-2021")</f>
        <v/>
      </c>
      <c r="Y216">
        <f>HYPERLINK("https://klasma.github.io/Logging_2309/tillsynsmail/A 19282-2021 tillsynsbegäran mail.docx", "A 19282-2021")</f>
        <v/>
      </c>
    </row>
    <row r="217" ht="15" customHeight="1">
      <c r="A217" t="inlineStr">
        <is>
          <t>A 32756-2023</t>
        </is>
      </c>
      <c r="B217" s="1" t="n">
        <v>45123</v>
      </c>
      <c r="C217" s="1" t="n">
        <v>45923</v>
      </c>
      <c r="D217" t="inlineStr">
        <is>
          <t>JÄMTLANDS LÄN</t>
        </is>
      </c>
      <c r="E217" t="inlineStr">
        <is>
          <t>KROKOM</t>
        </is>
      </c>
      <c r="F217" t="inlineStr">
        <is>
          <t>Övriga Aktiebolag</t>
        </is>
      </c>
      <c r="G217" t="n">
        <v>6.8</v>
      </c>
      <c r="H217" t="n">
        <v>0</v>
      </c>
      <c r="I217" t="n">
        <v>1</v>
      </c>
      <c r="J217" t="n">
        <v>0</v>
      </c>
      <c r="K217" t="n">
        <v>0</v>
      </c>
      <c r="L217" t="n">
        <v>0</v>
      </c>
      <c r="M217" t="n">
        <v>0</v>
      </c>
      <c r="N217" t="n">
        <v>0</v>
      </c>
      <c r="O217" t="n">
        <v>0</v>
      </c>
      <c r="P217" t="n">
        <v>0</v>
      </c>
      <c r="Q217" t="n">
        <v>1</v>
      </c>
      <c r="R217" s="2" t="inlineStr">
        <is>
          <t>Kransrams</t>
        </is>
      </c>
      <c r="S217">
        <f>HYPERLINK("https://klasma.github.io/Logging_2309/artfynd/A 32756-2023 artfynd.xlsx", "A 32756-2023")</f>
        <v/>
      </c>
      <c r="T217">
        <f>HYPERLINK("https://klasma.github.io/Logging_2309/kartor/A 32756-2023 karta.png", "A 32756-2023")</f>
        <v/>
      </c>
      <c r="V217">
        <f>HYPERLINK("https://klasma.github.io/Logging_2309/klagomål/A 32756-2023 FSC-klagomål.docx", "A 32756-2023")</f>
        <v/>
      </c>
      <c r="W217">
        <f>HYPERLINK("https://klasma.github.io/Logging_2309/klagomålsmail/A 32756-2023 FSC-klagomål mail.docx", "A 32756-2023")</f>
        <v/>
      </c>
      <c r="X217">
        <f>HYPERLINK("https://klasma.github.io/Logging_2309/tillsyn/A 32756-2023 tillsynsbegäran.docx", "A 32756-2023")</f>
        <v/>
      </c>
      <c r="Y217">
        <f>HYPERLINK("https://klasma.github.io/Logging_2309/tillsynsmail/A 32756-2023 tillsynsbegäran mail.docx", "A 32756-2023")</f>
        <v/>
      </c>
    </row>
    <row r="218" ht="15" customHeight="1">
      <c r="A218" t="inlineStr">
        <is>
          <t>A 7005-2022</t>
        </is>
      </c>
      <c r="B218" s="1" t="n">
        <v>44603</v>
      </c>
      <c r="C218" s="1" t="n">
        <v>45923</v>
      </c>
      <c r="D218" t="inlineStr">
        <is>
          <t>JÄMTLANDS LÄN</t>
        </is>
      </c>
      <c r="E218" t="inlineStr">
        <is>
          <t>KROKOM</t>
        </is>
      </c>
      <c r="G218" t="n">
        <v>46</v>
      </c>
      <c r="H218" t="n">
        <v>0</v>
      </c>
      <c r="I218" t="n">
        <v>1</v>
      </c>
      <c r="J218" t="n">
        <v>0</v>
      </c>
      <c r="K218" t="n">
        <v>0</v>
      </c>
      <c r="L218" t="n">
        <v>0</v>
      </c>
      <c r="M218" t="n">
        <v>0</v>
      </c>
      <c r="N218" t="n">
        <v>0</v>
      </c>
      <c r="O218" t="n">
        <v>0</v>
      </c>
      <c r="P218" t="n">
        <v>0</v>
      </c>
      <c r="Q218" t="n">
        <v>1</v>
      </c>
      <c r="R218" s="2" t="inlineStr">
        <is>
          <t>Stuplav</t>
        </is>
      </c>
      <c r="S218">
        <f>HYPERLINK("https://klasma.github.io/Logging_2309/artfynd/A 7005-2022 artfynd.xlsx", "A 7005-2022")</f>
        <v/>
      </c>
      <c r="T218">
        <f>HYPERLINK("https://klasma.github.io/Logging_2309/kartor/A 7005-2022 karta.png", "A 7005-2022")</f>
        <v/>
      </c>
      <c r="V218">
        <f>HYPERLINK("https://klasma.github.io/Logging_2309/klagomål/A 7005-2022 FSC-klagomål.docx", "A 7005-2022")</f>
        <v/>
      </c>
      <c r="W218">
        <f>HYPERLINK("https://klasma.github.io/Logging_2309/klagomålsmail/A 7005-2022 FSC-klagomål mail.docx", "A 7005-2022")</f>
        <v/>
      </c>
      <c r="X218">
        <f>HYPERLINK("https://klasma.github.io/Logging_2309/tillsyn/A 7005-2022 tillsynsbegäran.docx", "A 7005-2022")</f>
        <v/>
      </c>
      <c r="Y218">
        <f>HYPERLINK("https://klasma.github.io/Logging_2309/tillsynsmail/A 7005-2022 tillsynsbegäran mail.docx", "A 7005-2022")</f>
        <v/>
      </c>
    </row>
    <row r="219" ht="15" customHeight="1">
      <c r="A219" t="inlineStr">
        <is>
          <t>A 49388-2024</t>
        </is>
      </c>
      <c r="B219" s="1" t="n">
        <v>45595</v>
      </c>
      <c r="C219" s="1" t="n">
        <v>45923</v>
      </c>
      <c r="D219" t="inlineStr">
        <is>
          <t>JÄMTLANDS LÄN</t>
        </is>
      </c>
      <c r="E219" t="inlineStr">
        <is>
          <t>KROKOM</t>
        </is>
      </c>
      <c r="G219" t="n">
        <v>7.4</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49388-2024 artfynd.xlsx", "A 49388-2024")</f>
        <v/>
      </c>
      <c r="T219">
        <f>HYPERLINK("https://klasma.github.io/Logging_2309/kartor/A 49388-2024 karta.png", "A 49388-2024")</f>
        <v/>
      </c>
      <c r="V219">
        <f>HYPERLINK("https://klasma.github.io/Logging_2309/klagomål/A 49388-2024 FSC-klagomål.docx", "A 49388-2024")</f>
        <v/>
      </c>
      <c r="W219">
        <f>HYPERLINK("https://klasma.github.io/Logging_2309/klagomålsmail/A 49388-2024 FSC-klagomål mail.docx", "A 49388-2024")</f>
        <v/>
      </c>
      <c r="X219">
        <f>HYPERLINK("https://klasma.github.io/Logging_2309/tillsyn/A 49388-2024 tillsynsbegäran.docx", "A 49388-2024")</f>
        <v/>
      </c>
      <c r="Y219">
        <f>HYPERLINK("https://klasma.github.io/Logging_2309/tillsynsmail/A 49388-2024 tillsynsbegäran mail.docx", "A 49388-2024")</f>
        <v/>
      </c>
      <c r="Z219">
        <f>HYPERLINK("https://klasma.github.io/Logging_2309/fåglar/A 49388-2024 prioriterade fågelarter.docx", "A 49388-2024")</f>
        <v/>
      </c>
    </row>
    <row r="220" ht="15" customHeight="1">
      <c r="A220" t="inlineStr">
        <is>
          <t>A 55387-2024</t>
        </is>
      </c>
      <c r="B220" s="1" t="n">
        <v>45622</v>
      </c>
      <c r="C220" s="1" t="n">
        <v>45923</v>
      </c>
      <c r="D220" t="inlineStr">
        <is>
          <t>JÄMTLANDS LÄN</t>
        </is>
      </c>
      <c r="E220" t="inlineStr">
        <is>
          <t>KROKOM</t>
        </is>
      </c>
      <c r="G220" t="n">
        <v>8.6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55387-2024 artfynd.xlsx", "A 55387-2024")</f>
        <v/>
      </c>
      <c r="T220">
        <f>HYPERLINK("https://klasma.github.io/Logging_2309/kartor/A 55387-2024 karta.png", "A 55387-2024")</f>
        <v/>
      </c>
      <c r="V220">
        <f>HYPERLINK("https://klasma.github.io/Logging_2309/klagomål/A 55387-2024 FSC-klagomål.docx", "A 55387-2024")</f>
        <v/>
      </c>
      <c r="W220">
        <f>HYPERLINK("https://klasma.github.io/Logging_2309/klagomålsmail/A 55387-2024 FSC-klagomål mail.docx", "A 55387-2024")</f>
        <v/>
      </c>
      <c r="X220">
        <f>HYPERLINK("https://klasma.github.io/Logging_2309/tillsyn/A 55387-2024 tillsynsbegäran.docx", "A 55387-2024")</f>
        <v/>
      </c>
      <c r="Y220">
        <f>HYPERLINK("https://klasma.github.io/Logging_2309/tillsynsmail/A 55387-2024 tillsynsbegäran mail.docx", "A 55387-2024")</f>
        <v/>
      </c>
      <c r="Z220">
        <f>HYPERLINK("https://klasma.github.io/Logging_2309/fåglar/A 55387-2024 prioriterade fågelarter.docx", "A 55387-2024")</f>
        <v/>
      </c>
    </row>
    <row r="221" ht="15" customHeight="1">
      <c r="A221" t="inlineStr">
        <is>
          <t>A 25285-2023</t>
        </is>
      </c>
      <c r="B221" s="1" t="n">
        <v>45079</v>
      </c>
      <c r="C221" s="1" t="n">
        <v>45923</v>
      </c>
      <c r="D221" t="inlineStr">
        <is>
          <t>JÄMTLANDS LÄN</t>
        </is>
      </c>
      <c r="E221" t="inlineStr">
        <is>
          <t>KROKOM</t>
        </is>
      </c>
      <c r="G221" t="n">
        <v>14.9</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25285-2023 artfynd.xlsx", "A 25285-2023")</f>
        <v/>
      </c>
      <c r="T221">
        <f>HYPERLINK("https://klasma.github.io/Logging_2309/kartor/A 25285-2023 karta.png", "A 25285-2023")</f>
        <v/>
      </c>
      <c r="V221">
        <f>HYPERLINK("https://klasma.github.io/Logging_2309/klagomål/A 25285-2023 FSC-klagomål.docx", "A 25285-2023")</f>
        <v/>
      </c>
      <c r="W221">
        <f>HYPERLINK("https://klasma.github.io/Logging_2309/klagomålsmail/A 25285-2023 FSC-klagomål mail.docx", "A 25285-2023")</f>
        <v/>
      </c>
      <c r="X221">
        <f>HYPERLINK("https://klasma.github.io/Logging_2309/tillsyn/A 25285-2023 tillsynsbegäran.docx", "A 25285-2023")</f>
        <v/>
      </c>
      <c r="Y221">
        <f>HYPERLINK("https://klasma.github.io/Logging_2309/tillsynsmail/A 25285-2023 tillsynsbegäran mail.docx", "A 25285-2023")</f>
        <v/>
      </c>
      <c r="Z221">
        <f>HYPERLINK("https://klasma.github.io/Logging_2309/fåglar/A 25285-2023 prioriterade fågelarter.docx", "A 25285-2023")</f>
        <v/>
      </c>
    </row>
    <row r="222" ht="15" customHeight="1">
      <c r="A222" t="inlineStr">
        <is>
          <t>A 62936-2023</t>
        </is>
      </c>
      <c r="B222" s="1" t="n">
        <v>45271</v>
      </c>
      <c r="C222" s="1" t="n">
        <v>45923</v>
      </c>
      <c r="D222" t="inlineStr">
        <is>
          <t>JÄMTLANDS LÄN</t>
        </is>
      </c>
      <c r="E222" t="inlineStr">
        <is>
          <t>KROKOM</t>
        </is>
      </c>
      <c r="G222" t="n">
        <v>33.9</v>
      </c>
      <c r="H222" t="n">
        <v>0</v>
      </c>
      <c r="I222" t="n">
        <v>1</v>
      </c>
      <c r="J222" t="n">
        <v>0</v>
      </c>
      <c r="K222" t="n">
        <v>0</v>
      </c>
      <c r="L222" t="n">
        <v>0</v>
      </c>
      <c r="M222" t="n">
        <v>0</v>
      </c>
      <c r="N222" t="n">
        <v>0</v>
      </c>
      <c r="O222" t="n">
        <v>0</v>
      </c>
      <c r="P222" t="n">
        <v>0</v>
      </c>
      <c r="Q222" t="n">
        <v>1</v>
      </c>
      <c r="R222" s="2" t="inlineStr">
        <is>
          <t>Stuplav</t>
        </is>
      </c>
      <c r="S222">
        <f>HYPERLINK("https://klasma.github.io/Logging_2309/artfynd/A 62936-2023 artfynd.xlsx", "A 62936-2023")</f>
        <v/>
      </c>
      <c r="T222">
        <f>HYPERLINK("https://klasma.github.io/Logging_2309/kartor/A 62936-2023 karta.png", "A 62936-2023")</f>
        <v/>
      </c>
      <c r="V222">
        <f>HYPERLINK("https://klasma.github.io/Logging_2309/klagomål/A 62936-2023 FSC-klagomål.docx", "A 62936-2023")</f>
        <v/>
      </c>
      <c r="W222">
        <f>HYPERLINK("https://klasma.github.io/Logging_2309/klagomålsmail/A 62936-2023 FSC-klagomål mail.docx", "A 62936-2023")</f>
        <v/>
      </c>
      <c r="X222">
        <f>HYPERLINK("https://klasma.github.io/Logging_2309/tillsyn/A 62936-2023 tillsynsbegäran.docx", "A 62936-2023")</f>
        <v/>
      </c>
      <c r="Y222">
        <f>HYPERLINK("https://klasma.github.io/Logging_2309/tillsynsmail/A 62936-2023 tillsynsbegäran mail.docx", "A 62936-2023")</f>
        <v/>
      </c>
    </row>
    <row r="223" ht="15" customHeight="1">
      <c r="A223" t="inlineStr">
        <is>
          <t>A 814-2022</t>
        </is>
      </c>
      <c r="B223" s="1" t="n">
        <v>44568</v>
      </c>
      <c r="C223" s="1" t="n">
        <v>45923</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25268-2025</t>
        </is>
      </c>
      <c r="B224" s="1" t="n">
        <v>45800</v>
      </c>
      <c r="C224" s="1" t="n">
        <v>45923</v>
      </c>
      <c r="D224" t="inlineStr">
        <is>
          <t>JÄMTLANDS LÄN</t>
        </is>
      </c>
      <c r="E224" t="inlineStr">
        <is>
          <t>KROKOM</t>
        </is>
      </c>
      <c r="G224" t="n">
        <v>3.1</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25268-2025 artfynd.xlsx", "A 25268-2025")</f>
        <v/>
      </c>
      <c r="T224">
        <f>HYPERLINK("https://klasma.github.io/Logging_2309/kartor/A 25268-2025 karta.png", "A 25268-2025")</f>
        <v/>
      </c>
      <c r="V224">
        <f>HYPERLINK("https://klasma.github.io/Logging_2309/klagomål/A 25268-2025 FSC-klagomål.docx", "A 25268-2025")</f>
        <v/>
      </c>
      <c r="W224">
        <f>HYPERLINK("https://klasma.github.io/Logging_2309/klagomålsmail/A 25268-2025 FSC-klagomål mail.docx", "A 25268-2025")</f>
        <v/>
      </c>
      <c r="X224">
        <f>HYPERLINK("https://klasma.github.io/Logging_2309/tillsyn/A 25268-2025 tillsynsbegäran.docx", "A 25268-2025")</f>
        <v/>
      </c>
      <c r="Y224">
        <f>HYPERLINK("https://klasma.github.io/Logging_2309/tillsynsmail/A 25268-2025 tillsynsbegäran mail.docx", "A 25268-2025")</f>
        <v/>
      </c>
      <c r="Z224">
        <f>HYPERLINK("https://klasma.github.io/Logging_2309/fåglar/A 25268-2025 prioriterade fågelarter.docx", "A 25268-2025")</f>
        <v/>
      </c>
    </row>
    <row r="225" ht="15" customHeight="1">
      <c r="A225" t="inlineStr">
        <is>
          <t>A 61240-2024</t>
        </is>
      </c>
      <c r="B225" s="1" t="n">
        <v>45645.67945601852</v>
      </c>
      <c r="C225" s="1" t="n">
        <v>45923</v>
      </c>
      <c r="D225" t="inlineStr">
        <is>
          <t>JÄMTLANDS LÄN</t>
        </is>
      </c>
      <c r="E225" t="inlineStr">
        <is>
          <t>KROKOM</t>
        </is>
      </c>
      <c r="G225" t="n">
        <v>5.7</v>
      </c>
      <c r="H225" t="n">
        <v>1</v>
      </c>
      <c r="I225" t="n">
        <v>0</v>
      </c>
      <c r="J225" t="n">
        <v>0</v>
      </c>
      <c r="K225" t="n">
        <v>0</v>
      </c>
      <c r="L225" t="n">
        <v>0</v>
      </c>
      <c r="M225" t="n">
        <v>0</v>
      </c>
      <c r="N225" t="n">
        <v>0</v>
      </c>
      <c r="O225" t="n">
        <v>0</v>
      </c>
      <c r="P225" t="n">
        <v>0</v>
      </c>
      <c r="Q225" t="n">
        <v>1</v>
      </c>
      <c r="R225" s="2" t="inlineStr">
        <is>
          <t>Pärluggla</t>
        </is>
      </c>
      <c r="S225">
        <f>HYPERLINK("https://klasma.github.io/Logging_2309/artfynd/A 61240-2024 artfynd.xlsx", "A 61240-2024")</f>
        <v/>
      </c>
      <c r="T225">
        <f>HYPERLINK("https://klasma.github.io/Logging_2309/kartor/A 61240-2024 karta.png", "A 61240-2024")</f>
        <v/>
      </c>
      <c r="V225">
        <f>HYPERLINK("https://klasma.github.io/Logging_2309/klagomål/A 61240-2024 FSC-klagomål.docx", "A 61240-2024")</f>
        <v/>
      </c>
      <c r="W225">
        <f>HYPERLINK("https://klasma.github.io/Logging_2309/klagomålsmail/A 61240-2024 FSC-klagomål mail.docx", "A 61240-2024")</f>
        <v/>
      </c>
      <c r="X225">
        <f>HYPERLINK("https://klasma.github.io/Logging_2309/tillsyn/A 61240-2024 tillsynsbegäran.docx", "A 61240-2024")</f>
        <v/>
      </c>
      <c r="Y225">
        <f>HYPERLINK("https://klasma.github.io/Logging_2309/tillsynsmail/A 61240-2024 tillsynsbegäran mail.docx", "A 61240-2024")</f>
        <v/>
      </c>
      <c r="Z225">
        <f>HYPERLINK("https://klasma.github.io/Logging_2309/fåglar/A 61240-2024 prioriterade fågelarter.docx", "A 61240-2024")</f>
        <v/>
      </c>
    </row>
    <row r="226" ht="15" customHeight="1">
      <c r="A226" t="inlineStr">
        <is>
          <t>A 6705-2025</t>
        </is>
      </c>
      <c r="B226" s="1" t="n">
        <v>45700</v>
      </c>
      <c r="C226" s="1" t="n">
        <v>45923</v>
      </c>
      <c r="D226" t="inlineStr">
        <is>
          <t>JÄMTLANDS LÄN</t>
        </is>
      </c>
      <c r="E226" t="inlineStr">
        <is>
          <t>KROKOM</t>
        </is>
      </c>
      <c r="G226" t="n">
        <v>20.4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6705-2025 artfynd.xlsx", "A 6705-2025")</f>
        <v/>
      </c>
      <c r="T226">
        <f>HYPERLINK("https://klasma.github.io/Logging_2309/kartor/A 6705-2025 karta.png", "A 6705-2025")</f>
        <v/>
      </c>
      <c r="V226">
        <f>HYPERLINK("https://klasma.github.io/Logging_2309/klagomål/A 6705-2025 FSC-klagomål.docx", "A 6705-2025")</f>
        <v/>
      </c>
      <c r="W226">
        <f>HYPERLINK("https://klasma.github.io/Logging_2309/klagomålsmail/A 6705-2025 FSC-klagomål mail.docx", "A 6705-2025")</f>
        <v/>
      </c>
      <c r="X226">
        <f>HYPERLINK("https://klasma.github.io/Logging_2309/tillsyn/A 6705-2025 tillsynsbegäran.docx", "A 6705-2025")</f>
        <v/>
      </c>
      <c r="Y226">
        <f>HYPERLINK("https://klasma.github.io/Logging_2309/tillsynsmail/A 6705-2025 tillsynsbegäran mail.docx", "A 6705-2025")</f>
        <v/>
      </c>
      <c r="Z226">
        <f>HYPERLINK("https://klasma.github.io/Logging_2309/fåglar/A 6705-2025 prioriterade fågelarter.docx", "A 6705-2025")</f>
        <v/>
      </c>
    </row>
    <row r="227" ht="15" customHeight="1">
      <c r="A227" t="inlineStr">
        <is>
          <t>A 28660-2025</t>
        </is>
      </c>
      <c r="B227" s="1" t="n">
        <v>45819.65796296296</v>
      </c>
      <c r="C227" s="1" t="n">
        <v>45923</v>
      </c>
      <c r="D227" t="inlineStr">
        <is>
          <t>JÄMTLANDS LÄN</t>
        </is>
      </c>
      <c r="E227" t="inlineStr">
        <is>
          <t>KROKOM</t>
        </is>
      </c>
      <c r="G227" t="n">
        <v>8.1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28660-2025 artfynd.xlsx", "A 28660-2025")</f>
        <v/>
      </c>
      <c r="T227">
        <f>HYPERLINK("https://klasma.github.io/Logging_2309/kartor/A 28660-2025 karta.png", "A 28660-2025")</f>
        <v/>
      </c>
      <c r="V227">
        <f>HYPERLINK("https://klasma.github.io/Logging_2309/klagomål/A 28660-2025 FSC-klagomål.docx", "A 28660-2025")</f>
        <v/>
      </c>
      <c r="W227">
        <f>HYPERLINK("https://klasma.github.io/Logging_2309/klagomålsmail/A 28660-2025 FSC-klagomål mail.docx", "A 28660-2025")</f>
        <v/>
      </c>
      <c r="X227">
        <f>HYPERLINK("https://klasma.github.io/Logging_2309/tillsyn/A 28660-2025 tillsynsbegäran.docx", "A 28660-2025")</f>
        <v/>
      </c>
      <c r="Y227">
        <f>HYPERLINK("https://klasma.github.io/Logging_2309/tillsynsmail/A 28660-2025 tillsynsbegäran mail.docx", "A 28660-2025")</f>
        <v/>
      </c>
    </row>
    <row r="228" ht="15" customHeight="1">
      <c r="A228" t="inlineStr">
        <is>
          <t>A 29941-2025</t>
        </is>
      </c>
      <c r="B228" s="1" t="n">
        <v>45826.45174768518</v>
      </c>
      <c r="C228" s="1" t="n">
        <v>45923</v>
      </c>
      <c r="D228" t="inlineStr">
        <is>
          <t>JÄMTLANDS LÄN</t>
        </is>
      </c>
      <c r="E228" t="inlineStr">
        <is>
          <t>KROKOM</t>
        </is>
      </c>
      <c r="G228" t="n">
        <v>12.4</v>
      </c>
      <c r="H228" t="n">
        <v>0</v>
      </c>
      <c r="I228" t="n">
        <v>0</v>
      </c>
      <c r="J228" t="n">
        <v>0</v>
      </c>
      <c r="K228" t="n">
        <v>0</v>
      </c>
      <c r="L228" t="n">
        <v>1</v>
      </c>
      <c r="M228" t="n">
        <v>0</v>
      </c>
      <c r="N228" t="n">
        <v>0</v>
      </c>
      <c r="O228" t="n">
        <v>1</v>
      </c>
      <c r="P228" t="n">
        <v>1</v>
      </c>
      <c r="Q228" t="n">
        <v>1</v>
      </c>
      <c r="R228" s="2" t="inlineStr">
        <is>
          <t>Lilafotad fingersvamp</t>
        </is>
      </c>
      <c r="S228">
        <f>HYPERLINK("https://klasma.github.io/Logging_2309/artfynd/A 29941-2025 artfynd.xlsx", "A 29941-2025")</f>
        <v/>
      </c>
      <c r="T228">
        <f>HYPERLINK("https://klasma.github.io/Logging_2309/kartor/A 29941-2025 karta.png", "A 29941-2025")</f>
        <v/>
      </c>
      <c r="V228">
        <f>HYPERLINK("https://klasma.github.io/Logging_2309/klagomål/A 29941-2025 FSC-klagomål.docx", "A 29941-2025")</f>
        <v/>
      </c>
      <c r="W228">
        <f>HYPERLINK("https://klasma.github.io/Logging_2309/klagomålsmail/A 29941-2025 FSC-klagomål mail.docx", "A 29941-2025")</f>
        <v/>
      </c>
      <c r="X228">
        <f>HYPERLINK("https://klasma.github.io/Logging_2309/tillsyn/A 29941-2025 tillsynsbegäran.docx", "A 29941-2025")</f>
        <v/>
      </c>
      <c r="Y228">
        <f>HYPERLINK("https://klasma.github.io/Logging_2309/tillsynsmail/A 29941-2025 tillsynsbegäran mail.docx", "A 29941-2025")</f>
        <v/>
      </c>
    </row>
    <row r="229" ht="15" customHeight="1">
      <c r="A229" t="inlineStr">
        <is>
          <t>A 52486-2024</t>
        </is>
      </c>
      <c r="B229" s="1" t="n">
        <v>45609</v>
      </c>
      <c r="C229" s="1" t="n">
        <v>45923</v>
      </c>
      <c r="D229" t="inlineStr">
        <is>
          <t>JÄMTLANDS LÄN</t>
        </is>
      </c>
      <c r="E229" t="inlineStr">
        <is>
          <t>KROKOM</t>
        </is>
      </c>
      <c r="G229" t="n">
        <v>20.6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52486-2024 artfynd.xlsx", "A 52486-2024")</f>
        <v/>
      </c>
      <c r="T229">
        <f>HYPERLINK("https://klasma.github.io/Logging_2309/kartor/A 52486-2024 karta.png", "A 52486-2024")</f>
        <v/>
      </c>
      <c r="V229">
        <f>HYPERLINK("https://klasma.github.io/Logging_2309/klagomål/A 52486-2024 FSC-klagomål.docx", "A 52486-2024")</f>
        <v/>
      </c>
      <c r="W229">
        <f>HYPERLINK("https://klasma.github.io/Logging_2309/klagomålsmail/A 52486-2024 FSC-klagomål mail.docx", "A 52486-2024")</f>
        <v/>
      </c>
      <c r="X229">
        <f>HYPERLINK("https://klasma.github.io/Logging_2309/tillsyn/A 52486-2024 tillsynsbegäran.docx", "A 52486-2024")</f>
        <v/>
      </c>
      <c r="Y229">
        <f>HYPERLINK("https://klasma.github.io/Logging_2309/tillsynsmail/A 52486-2024 tillsynsbegäran mail.docx", "A 52486-2024")</f>
        <v/>
      </c>
      <c r="Z229">
        <f>HYPERLINK("https://klasma.github.io/Logging_2309/fåglar/A 52486-2024 prioriterade fågelarter.docx", "A 52486-2024")</f>
        <v/>
      </c>
    </row>
    <row r="230" ht="15" customHeight="1">
      <c r="A230" t="inlineStr">
        <is>
          <t>A 49175-2024</t>
        </is>
      </c>
      <c r="B230" s="1" t="n">
        <v>45595</v>
      </c>
      <c r="C230" s="1" t="n">
        <v>45923</v>
      </c>
      <c r="D230" t="inlineStr">
        <is>
          <t>JÄMTLANDS LÄN</t>
        </is>
      </c>
      <c r="E230" t="inlineStr">
        <is>
          <t>KROKOM</t>
        </is>
      </c>
      <c r="G230" t="n">
        <v>172.9</v>
      </c>
      <c r="H230" t="n">
        <v>0</v>
      </c>
      <c r="I230" t="n">
        <v>0</v>
      </c>
      <c r="J230" t="n">
        <v>1</v>
      </c>
      <c r="K230" t="n">
        <v>0</v>
      </c>
      <c r="L230" t="n">
        <v>0</v>
      </c>
      <c r="M230" t="n">
        <v>0</v>
      </c>
      <c r="N230" t="n">
        <v>0</v>
      </c>
      <c r="O230" t="n">
        <v>1</v>
      </c>
      <c r="P230" t="n">
        <v>0</v>
      </c>
      <c r="Q230" t="n">
        <v>1</v>
      </c>
      <c r="R230" s="2" t="inlineStr">
        <is>
          <t>Granticka</t>
        </is>
      </c>
      <c r="S230">
        <f>HYPERLINK("https://klasma.github.io/Logging_2309/artfynd/A 49175-2024 artfynd.xlsx", "A 49175-2024")</f>
        <v/>
      </c>
      <c r="T230">
        <f>HYPERLINK("https://klasma.github.io/Logging_2309/kartor/A 49175-2024 karta.png", "A 49175-2024")</f>
        <v/>
      </c>
      <c r="V230">
        <f>HYPERLINK("https://klasma.github.io/Logging_2309/klagomål/A 49175-2024 FSC-klagomål.docx", "A 49175-2024")</f>
        <v/>
      </c>
      <c r="W230">
        <f>HYPERLINK("https://klasma.github.io/Logging_2309/klagomålsmail/A 49175-2024 FSC-klagomål mail.docx", "A 49175-2024")</f>
        <v/>
      </c>
      <c r="X230">
        <f>HYPERLINK("https://klasma.github.io/Logging_2309/tillsyn/A 49175-2024 tillsynsbegäran.docx", "A 49175-2024")</f>
        <v/>
      </c>
      <c r="Y230">
        <f>HYPERLINK("https://klasma.github.io/Logging_2309/tillsynsmail/A 49175-2024 tillsynsbegäran mail.docx", "A 49175-2024")</f>
        <v/>
      </c>
    </row>
    <row r="231" ht="15" customHeight="1">
      <c r="A231" t="inlineStr">
        <is>
          <t>A 32656-2025</t>
        </is>
      </c>
      <c r="B231" s="1" t="n">
        <v>45838.67815972222</v>
      </c>
      <c r="C231" s="1" t="n">
        <v>45923</v>
      </c>
      <c r="D231" t="inlineStr">
        <is>
          <t>JÄMTLANDS LÄN</t>
        </is>
      </c>
      <c r="E231" t="inlineStr">
        <is>
          <t>KROKOM</t>
        </is>
      </c>
      <c r="F231" t="inlineStr">
        <is>
          <t>SCA</t>
        </is>
      </c>
      <c r="G231" t="n">
        <v>9.1</v>
      </c>
      <c r="H231" t="n">
        <v>0</v>
      </c>
      <c r="I231" t="n">
        <v>0</v>
      </c>
      <c r="J231" t="n">
        <v>1</v>
      </c>
      <c r="K231" t="n">
        <v>0</v>
      </c>
      <c r="L231" t="n">
        <v>0</v>
      </c>
      <c r="M231" t="n">
        <v>0</v>
      </c>
      <c r="N231" t="n">
        <v>0</v>
      </c>
      <c r="O231" t="n">
        <v>1</v>
      </c>
      <c r="P231" t="n">
        <v>0</v>
      </c>
      <c r="Q231" t="n">
        <v>1</v>
      </c>
      <c r="R231" s="2" t="inlineStr">
        <is>
          <t>Skrovellav</t>
        </is>
      </c>
      <c r="S231">
        <f>HYPERLINK("https://klasma.github.io/Logging_2309/artfynd/A 32656-2025 artfynd.xlsx", "A 32656-2025")</f>
        <v/>
      </c>
      <c r="T231">
        <f>HYPERLINK("https://klasma.github.io/Logging_2309/kartor/A 32656-2025 karta.png", "A 32656-2025")</f>
        <v/>
      </c>
      <c r="V231">
        <f>HYPERLINK("https://klasma.github.io/Logging_2309/klagomål/A 32656-2025 FSC-klagomål.docx", "A 32656-2025")</f>
        <v/>
      </c>
      <c r="W231">
        <f>HYPERLINK("https://klasma.github.io/Logging_2309/klagomålsmail/A 32656-2025 FSC-klagomål mail.docx", "A 32656-2025")</f>
        <v/>
      </c>
      <c r="X231">
        <f>HYPERLINK("https://klasma.github.io/Logging_2309/tillsyn/A 32656-2025 tillsynsbegäran.docx", "A 32656-2025")</f>
        <v/>
      </c>
      <c r="Y231">
        <f>HYPERLINK("https://klasma.github.io/Logging_2309/tillsynsmail/A 32656-2025 tillsynsbegäran mail.docx", "A 32656-2025")</f>
        <v/>
      </c>
    </row>
    <row r="232" ht="15" customHeight="1">
      <c r="A232" t="inlineStr">
        <is>
          <t>A 32465-2025</t>
        </is>
      </c>
      <c r="B232" s="1" t="n">
        <v>45838</v>
      </c>
      <c r="C232" s="1" t="n">
        <v>45923</v>
      </c>
      <c r="D232" t="inlineStr">
        <is>
          <t>JÄMTLANDS LÄN</t>
        </is>
      </c>
      <c r="E232" t="inlineStr">
        <is>
          <t>KROKOM</t>
        </is>
      </c>
      <c r="G232" t="n">
        <v>3.3</v>
      </c>
      <c r="H232" t="n">
        <v>1</v>
      </c>
      <c r="I232" t="n">
        <v>0</v>
      </c>
      <c r="J232" t="n">
        <v>0</v>
      </c>
      <c r="K232" t="n">
        <v>0</v>
      </c>
      <c r="L232" t="n">
        <v>0</v>
      </c>
      <c r="M232" t="n">
        <v>0</v>
      </c>
      <c r="N232" t="n">
        <v>0</v>
      </c>
      <c r="O232" t="n">
        <v>0</v>
      </c>
      <c r="P232" t="n">
        <v>0</v>
      </c>
      <c r="Q232" t="n">
        <v>1</v>
      </c>
      <c r="R232" s="2" t="inlineStr">
        <is>
          <t>Blåsippa</t>
        </is>
      </c>
      <c r="S232">
        <f>HYPERLINK("https://klasma.github.io/Logging_2309/artfynd/A 32465-2025 artfynd.xlsx", "A 32465-2025")</f>
        <v/>
      </c>
      <c r="T232">
        <f>HYPERLINK("https://klasma.github.io/Logging_2309/kartor/A 32465-2025 karta.png", "A 32465-2025")</f>
        <v/>
      </c>
      <c r="V232">
        <f>HYPERLINK("https://klasma.github.io/Logging_2309/klagomål/A 32465-2025 FSC-klagomål.docx", "A 32465-2025")</f>
        <v/>
      </c>
      <c r="W232">
        <f>HYPERLINK("https://klasma.github.io/Logging_2309/klagomålsmail/A 32465-2025 FSC-klagomål mail.docx", "A 32465-2025")</f>
        <v/>
      </c>
      <c r="X232">
        <f>HYPERLINK("https://klasma.github.io/Logging_2309/tillsyn/A 32465-2025 tillsynsbegäran.docx", "A 32465-2025")</f>
        <v/>
      </c>
      <c r="Y232">
        <f>HYPERLINK("https://klasma.github.io/Logging_2309/tillsynsmail/A 32465-2025 tillsynsbegäran mail.docx", "A 32465-2025")</f>
        <v/>
      </c>
    </row>
    <row r="233" ht="15" customHeight="1">
      <c r="A233" t="inlineStr">
        <is>
          <t>A 32888-2025</t>
        </is>
      </c>
      <c r="B233" s="1" t="n">
        <v>45839.60460648148</v>
      </c>
      <c r="C233" s="1" t="n">
        <v>45923</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Revlummer</t>
        </is>
      </c>
      <c r="S233">
        <f>HYPERLINK("https://klasma.github.io/Logging_2309/artfynd/A 32888-2025 artfynd.xlsx", "A 32888-2025")</f>
        <v/>
      </c>
      <c r="T233">
        <f>HYPERLINK("https://klasma.github.io/Logging_2309/kartor/A 32888-2025 karta.png", "A 32888-2025")</f>
        <v/>
      </c>
      <c r="V233">
        <f>HYPERLINK("https://klasma.github.io/Logging_2309/klagomål/A 32888-2025 FSC-klagomål.docx", "A 32888-2025")</f>
        <v/>
      </c>
      <c r="W233">
        <f>HYPERLINK("https://klasma.github.io/Logging_2309/klagomålsmail/A 32888-2025 FSC-klagomål mail.docx", "A 32888-2025")</f>
        <v/>
      </c>
      <c r="X233">
        <f>HYPERLINK("https://klasma.github.io/Logging_2309/tillsyn/A 32888-2025 tillsynsbegäran.docx", "A 32888-2025")</f>
        <v/>
      </c>
      <c r="Y233">
        <f>HYPERLINK("https://klasma.github.io/Logging_2309/tillsynsmail/A 32888-2025 tillsynsbegäran mail.docx", "A 32888-2025")</f>
        <v/>
      </c>
    </row>
    <row r="234" ht="15" customHeight="1">
      <c r="A234" t="inlineStr">
        <is>
          <t>A 33513-2025</t>
        </is>
      </c>
      <c r="B234" s="1" t="n">
        <v>45841.52454861111</v>
      </c>
      <c r="C234" s="1" t="n">
        <v>45923</v>
      </c>
      <c r="D234" t="inlineStr">
        <is>
          <t>JÄMTLANDS LÄN</t>
        </is>
      </c>
      <c r="E234" t="inlineStr">
        <is>
          <t>KROKOM</t>
        </is>
      </c>
      <c r="G234" t="n">
        <v>15.1</v>
      </c>
      <c r="H234" t="n">
        <v>0</v>
      </c>
      <c r="I234" t="n">
        <v>0</v>
      </c>
      <c r="J234" t="n">
        <v>1</v>
      </c>
      <c r="K234" t="n">
        <v>0</v>
      </c>
      <c r="L234" t="n">
        <v>0</v>
      </c>
      <c r="M234" t="n">
        <v>0</v>
      </c>
      <c r="N234" t="n">
        <v>0</v>
      </c>
      <c r="O234" t="n">
        <v>1</v>
      </c>
      <c r="P234" t="n">
        <v>0</v>
      </c>
      <c r="Q234" t="n">
        <v>1</v>
      </c>
      <c r="R234" s="2" t="inlineStr">
        <is>
          <t>Brunklöver</t>
        </is>
      </c>
      <c r="S234">
        <f>HYPERLINK("https://klasma.github.io/Logging_2309/artfynd/A 33513-2025 artfynd.xlsx", "A 33513-2025")</f>
        <v/>
      </c>
      <c r="T234">
        <f>HYPERLINK("https://klasma.github.io/Logging_2309/kartor/A 33513-2025 karta.png", "A 33513-2025")</f>
        <v/>
      </c>
      <c r="V234">
        <f>HYPERLINK("https://klasma.github.io/Logging_2309/klagomål/A 33513-2025 FSC-klagomål.docx", "A 33513-2025")</f>
        <v/>
      </c>
      <c r="W234">
        <f>HYPERLINK("https://klasma.github.io/Logging_2309/klagomålsmail/A 33513-2025 FSC-klagomål mail.docx", "A 33513-2025")</f>
        <v/>
      </c>
      <c r="X234">
        <f>HYPERLINK("https://klasma.github.io/Logging_2309/tillsyn/A 33513-2025 tillsynsbegäran.docx", "A 33513-2025")</f>
        <v/>
      </c>
      <c r="Y234">
        <f>HYPERLINK("https://klasma.github.io/Logging_2309/tillsynsmail/A 33513-2025 tillsynsbegäran mail.docx", "A 33513-2025")</f>
        <v/>
      </c>
    </row>
    <row r="235" ht="15" customHeight="1">
      <c r="A235" t="inlineStr">
        <is>
          <t>A 34534-2025</t>
        </is>
      </c>
      <c r="B235" s="1" t="n">
        <v>45847.51078703703</v>
      </c>
      <c r="C235" s="1" t="n">
        <v>45923</v>
      </c>
      <c r="D235" t="inlineStr">
        <is>
          <t>JÄMTLANDS LÄN</t>
        </is>
      </c>
      <c r="E235" t="inlineStr">
        <is>
          <t>KROKOM</t>
        </is>
      </c>
      <c r="F235" t="inlineStr">
        <is>
          <t>SCA</t>
        </is>
      </c>
      <c r="G235" t="n">
        <v>2.7</v>
      </c>
      <c r="H235" t="n">
        <v>0</v>
      </c>
      <c r="I235" t="n">
        <v>0</v>
      </c>
      <c r="J235" t="n">
        <v>1</v>
      </c>
      <c r="K235" t="n">
        <v>0</v>
      </c>
      <c r="L235" t="n">
        <v>0</v>
      </c>
      <c r="M235" t="n">
        <v>0</v>
      </c>
      <c r="N235" t="n">
        <v>0</v>
      </c>
      <c r="O235" t="n">
        <v>1</v>
      </c>
      <c r="P235" t="n">
        <v>0</v>
      </c>
      <c r="Q235" t="n">
        <v>1</v>
      </c>
      <c r="R235" s="2" t="inlineStr">
        <is>
          <t>Granticka</t>
        </is>
      </c>
      <c r="S235">
        <f>HYPERLINK("https://klasma.github.io/Logging_2309/artfynd/A 34534-2025 artfynd.xlsx", "A 34534-2025")</f>
        <v/>
      </c>
      <c r="T235">
        <f>HYPERLINK("https://klasma.github.io/Logging_2309/kartor/A 34534-2025 karta.png", "A 34534-2025")</f>
        <v/>
      </c>
      <c r="V235">
        <f>HYPERLINK("https://klasma.github.io/Logging_2309/klagomål/A 34534-2025 FSC-klagomål.docx", "A 34534-2025")</f>
        <v/>
      </c>
      <c r="W235">
        <f>HYPERLINK("https://klasma.github.io/Logging_2309/klagomålsmail/A 34534-2025 FSC-klagomål mail.docx", "A 34534-2025")</f>
        <v/>
      </c>
      <c r="X235">
        <f>HYPERLINK("https://klasma.github.io/Logging_2309/tillsyn/A 34534-2025 tillsynsbegäran.docx", "A 34534-2025")</f>
        <v/>
      </c>
      <c r="Y235">
        <f>HYPERLINK("https://klasma.github.io/Logging_2309/tillsynsmail/A 34534-2025 tillsynsbegäran mail.docx", "A 34534-2025")</f>
        <v/>
      </c>
    </row>
    <row r="236" ht="15" customHeight="1">
      <c r="A236" t="inlineStr">
        <is>
          <t>A 19984-2021</t>
        </is>
      </c>
      <c r="B236" s="1" t="n">
        <v>44313</v>
      </c>
      <c r="C236" s="1" t="n">
        <v>45923</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45923</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45923</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45923</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45923</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45923</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45923</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45923</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45923</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45923</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45923</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45923</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45923</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45923</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45923</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45923</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45923</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45923</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45923</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45923</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45923</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45923</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45923</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45923</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56168-2020</t>
        </is>
      </c>
      <c r="B260" s="1" t="n">
        <v>44133</v>
      </c>
      <c r="C260" s="1" t="n">
        <v>45923</v>
      </c>
      <c r="D260" t="inlineStr">
        <is>
          <t>JÄMTLANDS LÄN</t>
        </is>
      </c>
      <c r="E260" t="inlineStr">
        <is>
          <t>KROKOM</t>
        </is>
      </c>
      <c r="G260" t="n">
        <v>3.5</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45923</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45923</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45923</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45923</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45923</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45923</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45923</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45923</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45923</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45923</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45923</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45923</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45923</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45923</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45923</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45923</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45923</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45923</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45923</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65787-2020</t>
        </is>
      </c>
      <c r="B280" s="1" t="n">
        <v>44172</v>
      </c>
      <c r="C280" s="1" t="n">
        <v>45923</v>
      </c>
      <c r="D280" t="inlineStr">
        <is>
          <t>JÄMTLANDS LÄN</t>
        </is>
      </c>
      <c r="E280" t="inlineStr">
        <is>
          <t>KROKOM</t>
        </is>
      </c>
      <c r="G280" t="n">
        <v>5.8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45923</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45923</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45923</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45923</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45923</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45923</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33395-2022</t>
        </is>
      </c>
      <c r="B287" s="1" t="n">
        <v>44788</v>
      </c>
      <c r="C287" s="1" t="n">
        <v>45923</v>
      </c>
      <c r="D287" t="inlineStr">
        <is>
          <t>JÄMTLANDS LÄN</t>
        </is>
      </c>
      <c r="E287" t="inlineStr">
        <is>
          <t>KROKOM</t>
        </is>
      </c>
      <c r="F287" t="inlineStr">
        <is>
          <t>Övriga Aktiebolag</t>
        </is>
      </c>
      <c r="G287" t="n">
        <v>6.2</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45923</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45923</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45923</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45923</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45923</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45923</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45923</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45923</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45923</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45923</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45923</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45923</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45923</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45923</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45923</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45923</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45923</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45923</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45923</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45923</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45923</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67488-2021</t>
        </is>
      </c>
      <c r="B309" s="1" t="n">
        <v>44524</v>
      </c>
      <c r="C309" s="1" t="n">
        <v>45923</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53501-2020</t>
        </is>
      </c>
      <c r="B310" s="1" t="n">
        <v>44123</v>
      </c>
      <c r="C310" s="1" t="n">
        <v>45923</v>
      </c>
      <c r="D310" t="inlineStr">
        <is>
          <t>JÄMTLANDS LÄN</t>
        </is>
      </c>
      <c r="E310" t="inlineStr">
        <is>
          <t>KROKOM</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8569-2022</t>
        </is>
      </c>
      <c r="B311" s="1" t="n">
        <v>44610</v>
      </c>
      <c r="C311" s="1" t="n">
        <v>45923</v>
      </c>
      <c r="D311" t="inlineStr">
        <is>
          <t>JÄMTLANDS LÄN</t>
        </is>
      </c>
      <c r="E311" t="inlineStr">
        <is>
          <t>KROKOM</t>
        </is>
      </c>
      <c r="G311" t="n">
        <v>0.9</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45923</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53241-2020</t>
        </is>
      </c>
      <c r="B313" s="1" t="n">
        <v>44123</v>
      </c>
      <c r="C313" s="1" t="n">
        <v>45923</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20074-2022</t>
        </is>
      </c>
      <c r="B314" s="1" t="n">
        <v>44697.94231481481</v>
      </c>
      <c r="C314" s="1" t="n">
        <v>45923</v>
      </c>
      <c r="D314" t="inlineStr">
        <is>
          <t>JÄMTLANDS LÄN</t>
        </is>
      </c>
      <c r="E314" t="inlineStr">
        <is>
          <t>KROKOM</t>
        </is>
      </c>
      <c r="G314" t="n">
        <v>3</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45923</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45923</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51717-2020</t>
        </is>
      </c>
      <c r="B317" s="1" t="n">
        <v>44113</v>
      </c>
      <c r="C317" s="1" t="n">
        <v>45923</v>
      </c>
      <c r="D317" t="inlineStr">
        <is>
          <t>JÄMTLANDS LÄN</t>
        </is>
      </c>
      <c r="E317" t="inlineStr">
        <is>
          <t>KROKOM</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53500-2020</t>
        </is>
      </c>
      <c r="B318" s="1" t="n">
        <v>44123</v>
      </c>
      <c r="C318" s="1" t="n">
        <v>45923</v>
      </c>
      <c r="D318" t="inlineStr">
        <is>
          <t>JÄMTLANDS LÄN</t>
        </is>
      </c>
      <c r="E318" t="inlineStr">
        <is>
          <t>KROKOM</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45923</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65433-2020</t>
        </is>
      </c>
      <c r="B320" s="1" t="n">
        <v>44169</v>
      </c>
      <c r="C320" s="1" t="n">
        <v>45923</v>
      </c>
      <c r="D320" t="inlineStr">
        <is>
          <t>JÄMTLANDS LÄN</t>
        </is>
      </c>
      <c r="E320" t="inlineStr">
        <is>
          <t>KROKOM</t>
        </is>
      </c>
      <c r="G320" t="n">
        <v>0.3</v>
      </c>
      <c r="H320" t="n">
        <v>0</v>
      </c>
      <c r="I320" t="n">
        <v>0</v>
      </c>
      <c r="J320" t="n">
        <v>0</v>
      </c>
      <c r="K320" t="n">
        <v>0</v>
      </c>
      <c r="L320" t="n">
        <v>0</v>
      </c>
      <c r="M320" t="n">
        <v>0</v>
      </c>
      <c r="N320" t="n">
        <v>0</v>
      </c>
      <c r="O320" t="n">
        <v>0</v>
      </c>
      <c r="P320" t="n">
        <v>0</v>
      </c>
      <c r="Q320" t="n">
        <v>0</v>
      </c>
      <c r="R320" s="2" t="inlineStr"/>
    </row>
    <row r="321" ht="15" customHeight="1">
      <c r="A321" t="inlineStr">
        <is>
          <t>A 52801-2022</t>
        </is>
      </c>
      <c r="B321" s="1" t="n">
        <v>44875.41104166667</v>
      </c>
      <c r="C321" s="1" t="n">
        <v>45923</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21301-2022</t>
        </is>
      </c>
      <c r="B322" s="1" t="n">
        <v>44705</v>
      </c>
      <c r="C322" s="1" t="n">
        <v>45923</v>
      </c>
      <c r="D322" t="inlineStr">
        <is>
          <t>JÄMTLANDS LÄN</t>
        </is>
      </c>
      <c r="E322" t="inlineStr">
        <is>
          <t>KROKOM</t>
        </is>
      </c>
      <c r="G322" t="n">
        <v>2.5</v>
      </c>
      <c r="H322" t="n">
        <v>0</v>
      </c>
      <c r="I322" t="n">
        <v>0</v>
      </c>
      <c r="J322" t="n">
        <v>0</v>
      </c>
      <c r="K322" t="n">
        <v>0</v>
      </c>
      <c r="L322" t="n">
        <v>0</v>
      </c>
      <c r="M322" t="n">
        <v>0</v>
      </c>
      <c r="N322" t="n">
        <v>0</v>
      </c>
      <c r="O322" t="n">
        <v>0</v>
      </c>
      <c r="P322" t="n">
        <v>0</v>
      </c>
      <c r="Q322" t="n">
        <v>0</v>
      </c>
      <c r="R322" s="2" t="inlineStr"/>
    </row>
    <row r="323" ht="15" customHeight="1">
      <c r="A323" t="inlineStr">
        <is>
          <t>A 18731-2021</t>
        </is>
      </c>
      <c r="B323" s="1" t="n">
        <v>44307.42378472222</v>
      </c>
      <c r="C323" s="1" t="n">
        <v>45923</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66683-2021</t>
        </is>
      </c>
      <c r="B324" s="1" t="n">
        <v>44519.63436342592</v>
      </c>
      <c r="C324" s="1" t="n">
        <v>45923</v>
      </c>
      <c r="D324" t="inlineStr">
        <is>
          <t>JÄMTLANDS LÄN</t>
        </is>
      </c>
      <c r="E324" t="inlineStr">
        <is>
          <t>KROKOM</t>
        </is>
      </c>
      <c r="G324" t="n">
        <v>5.4</v>
      </c>
      <c r="H324" t="n">
        <v>0</v>
      </c>
      <c r="I324" t="n">
        <v>0</v>
      </c>
      <c r="J324" t="n">
        <v>0</v>
      </c>
      <c r="K324" t="n">
        <v>0</v>
      </c>
      <c r="L324" t="n">
        <v>0</v>
      </c>
      <c r="M324" t="n">
        <v>0</v>
      </c>
      <c r="N324" t="n">
        <v>0</v>
      </c>
      <c r="O324" t="n">
        <v>0</v>
      </c>
      <c r="P324" t="n">
        <v>0</v>
      </c>
      <c r="Q324" t="n">
        <v>0</v>
      </c>
      <c r="R324" s="2" t="inlineStr"/>
    </row>
    <row r="325" ht="15" customHeight="1">
      <c r="A325" t="inlineStr">
        <is>
          <t>A 1756-2021</t>
        </is>
      </c>
      <c r="B325" s="1" t="n">
        <v>44209</v>
      </c>
      <c r="C325" s="1" t="n">
        <v>45923</v>
      </c>
      <c r="D325" t="inlineStr">
        <is>
          <t>JÄMTLANDS LÄN</t>
        </is>
      </c>
      <c r="E325" t="inlineStr">
        <is>
          <t>KROKOM</t>
        </is>
      </c>
      <c r="G325" t="n">
        <v>7.4</v>
      </c>
      <c r="H325" t="n">
        <v>0</v>
      </c>
      <c r="I325" t="n">
        <v>0</v>
      </c>
      <c r="J325" t="n">
        <v>0</v>
      </c>
      <c r="K325" t="n">
        <v>0</v>
      </c>
      <c r="L325" t="n">
        <v>0</v>
      </c>
      <c r="M325" t="n">
        <v>0</v>
      </c>
      <c r="N325" t="n">
        <v>0</v>
      </c>
      <c r="O325" t="n">
        <v>0</v>
      </c>
      <c r="P325" t="n">
        <v>0</v>
      </c>
      <c r="Q325" t="n">
        <v>0</v>
      </c>
      <c r="R325" s="2" t="inlineStr"/>
    </row>
    <row r="326" ht="15" customHeight="1">
      <c r="A326" t="inlineStr">
        <is>
          <t>A 24612-2022</t>
        </is>
      </c>
      <c r="B326" s="1" t="n">
        <v>44727</v>
      </c>
      <c r="C326" s="1" t="n">
        <v>45923</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53191-2021</t>
        </is>
      </c>
      <c r="B327" s="1" t="n">
        <v>44468</v>
      </c>
      <c r="C327" s="1" t="n">
        <v>45923</v>
      </c>
      <c r="D327" t="inlineStr">
        <is>
          <t>JÄMTLANDS LÄN</t>
        </is>
      </c>
      <c r="E327" t="inlineStr">
        <is>
          <t>KROKOM</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54037-2021</t>
        </is>
      </c>
      <c r="B328" s="1" t="n">
        <v>44470</v>
      </c>
      <c r="C328" s="1" t="n">
        <v>45923</v>
      </c>
      <c r="D328" t="inlineStr">
        <is>
          <t>JÄMTLANDS LÄN</t>
        </is>
      </c>
      <c r="E328" t="inlineStr">
        <is>
          <t>KROKOM</t>
        </is>
      </c>
      <c r="G328" t="n">
        <v>6.3</v>
      </c>
      <c r="H328" t="n">
        <v>0</v>
      </c>
      <c r="I328" t="n">
        <v>0</v>
      </c>
      <c r="J328" t="n">
        <v>0</v>
      </c>
      <c r="K328" t="n">
        <v>0</v>
      </c>
      <c r="L328" t="n">
        <v>0</v>
      </c>
      <c r="M328" t="n">
        <v>0</v>
      </c>
      <c r="N328" t="n">
        <v>0</v>
      </c>
      <c r="O328" t="n">
        <v>0</v>
      </c>
      <c r="P328" t="n">
        <v>0</v>
      </c>
      <c r="Q328" t="n">
        <v>0</v>
      </c>
      <c r="R328" s="2" t="inlineStr"/>
    </row>
    <row r="329" ht="15" customHeight="1">
      <c r="A329" t="inlineStr">
        <is>
          <t>A 2356-2021</t>
        </is>
      </c>
      <c r="B329" s="1" t="n">
        <v>44214</v>
      </c>
      <c r="C329" s="1" t="n">
        <v>45923</v>
      </c>
      <c r="D329" t="inlineStr">
        <is>
          <t>JÄMTLANDS LÄN</t>
        </is>
      </c>
      <c r="E329" t="inlineStr">
        <is>
          <t>KROKOM</t>
        </is>
      </c>
      <c r="G329" t="n">
        <v>22.6</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45923</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15425-2021</t>
        </is>
      </c>
      <c r="B331" s="1" t="n">
        <v>44284</v>
      </c>
      <c r="C331" s="1" t="n">
        <v>45923</v>
      </c>
      <c r="D331" t="inlineStr">
        <is>
          <t>JÄMTLANDS LÄN</t>
        </is>
      </c>
      <c r="E331" t="inlineStr">
        <is>
          <t>KROKOM</t>
        </is>
      </c>
      <c r="G331" t="n">
        <v>1.2</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45923</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16247-2025</t>
        </is>
      </c>
      <c r="B333" s="1" t="n">
        <v>45749</v>
      </c>
      <c r="C333" s="1" t="n">
        <v>45923</v>
      </c>
      <c r="D333" t="inlineStr">
        <is>
          <t>JÄMTLANDS LÄN</t>
        </is>
      </c>
      <c r="E333" t="inlineStr">
        <is>
          <t>KROKOM</t>
        </is>
      </c>
      <c r="G333" t="n">
        <v>3.9</v>
      </c>
      <c r="H333" t="n">
        <v>0</v>
      </c>
      <c r="I333" t="n">
        <v>0</v>
      </c>
      <c r="J333" t="n">
        <v>0</v>
      </c>
      <c r="K333" t="n">
        <v>0</v>
      </c>
      <c r="L333" t="n">
        <v>0</v>
      </c>
      <c r="M333" t="n">
        <v>0</v>
      </c>
      <c r="N333" t="n">
        <v>0</v>
      </c>
      <c r="O333" t="n">
        <v>0</v>
      </c>
      <c r="P333" t="n">
        <v>0</v>
      </c>
      <c r="Q333" t="n">
        <v>0</v>
      </c>
      <c r="R333" s="2" t="inlineStr"/>
    </row>
    <row r="334" ht="15" customHeight="1">
      <c r="A334" t="inlineStr">
        <is>
          <t>A 54039-2021</t>
        </is>
      </c>
      <c r="B334" s="1" t="n">
        <v>44470.39989583333</v>
      </c>
      <c r="C334" s="1" t="n">
        <v>45923</v>
      </c>
      <c r="D334" t="inlineStr">
        <is>
          <t>JÄMTLANDS LÄN</t>
        </is>
      </c>
      <c r="E334" t="inlineStr">
        <is>
          <t>KROKOM</t>
        </is>
      </c>
      <c r="G334" t="n">
        <v>9.9</v>
      </c>
      <c r="H334" t="n">
        <v>0</v>
      </c>
      <c r="I334" t="n">
        <v>0</v>
      </c>
      <c r="J334" t="n">
        <v>0</v>
      </c>
      <c r="K334" t="n">
        <v>0</v>
      </c>
      <c r="L334" t="n">
        <v>0</v>
      </c>
      <c r="M334" t="n">
        <v>0</v>
      </c>
      <c r="N334" t="n">
        <v>0</v>
      </c>
      <c r="O334" t="n">
        <v>0</v>
      </c>
      <c r="P334" t="n">
        <v>0</v>
      </c>
      <c r="Q334" t="n">
        <v>0</v>
      </c>
      <c r="R334" s="2" t="inlineStr"/>
    </row>
    <row r="335" ht="15" customHeight="1">
      <c r="A335" t="inlineStr">
        <is>
          <t>A 52626-2020</t>
        </is>
      </c>
      <c r="B335" s="1" t="n">
        <v>44118.98730324074</v>
      </c>
      <c r="C335" s="1" t="n">
        <v>45923</v>
      </c>
      <c r="D335" t="inlineStr">
        <is>
          <t>JÄMTLANDS LÄN</t>
        </is>
      </c>
      <c r="E335" t="inlineStr">
        <is>
          <t>KROKOM</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10220-2025</t>
        </is>
      </c>
      <c r="B336" s="1" t="n">
        <v>45720</v>
      </c>
      <c r="C336" s="1" t="n">
        <v>45923</v>
      </c>
      <c r="D336" t="inlineStr">
        <is>
          <t>JÄMTLANDS LÄN</t>
        </is>
      </c>
      <c r="E336" t="inlineStr">
        <is>
          <t>KROKOM</t>
        </is>
      </c>
      <c r="G336" t="n">
        <v>0.2</v>
      </c>
      <c r="H336" t="n">
        <v>0</v>
      </c>
      <c r="I336" t="n">
        <v>0</v>
      </c>
      <c r="J336" t="n">
        <v>0</v>
      </c>
      <c r="K336" t="n">
        <v>0</v>
      </c>
      <c r="L336" t="n">
        <v>0</v>
      </c>
      <c r="M336" t="n">
        <v>0</v>
      </c>
      <c r="N336" t="n">
        <v>0</v>
      </c>
      <c r="O336" t="n">
        <v>0</v>
      </c>
      <c r="P336" t="n">
        <v>0</v>
      </c>
      <c r="Q336" t="n">
        <v>0</v>
      </c>
      <c r="R336" s="2" t="inlineStr"/>
    </row>
    <row r="337" ht="15" customHeight="1">
      <c r="A337" t="inlineStr">
        <is>
          <t>A 17383-2023</t>
        </is>
      </c>
      <c r="B337" s="1" t="n">
        <v>45035</v>
      </c>
      <c r="C337" s="1" t="n">
        <v>45923</v>
      </c>
      <c r="D337" t="inlineStr">
        <is>
          <t>JÄMTLANDS LÄN</t>
        </is>
      </c>
      <c r="E337" t="inlineStr">
        <is>
          <t>KROKOM</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57375-2020</t>
        </is>
      </c>
      <c r="B338" s="1" t="n">
        <v>44139</v>
      </c>
      <c r="C338" s="1" t="n">
        <v>45923</v>
      </c>
      <c r="D338" t="inlineStr">
        <is>
          <t>JÄMTLANDS LÄN</t>
        </is>
      </c>
      <c r="E338" t="inlineStr">
        <is>
          <t>KROKOM</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17090-2024</t>
        </is>
      </c>
      <c r="B339" s="1" t="n">
        <v>45412.51260416667</v>
      </c>
      <c r="C339" s="1" t="n">
        <v>45923</v>
      </c>
      <c r="D339" t="inlineStr">
        <is>
          <t>JÄMTLANDS LÄN</t>
        </is>
      </c>
      <c r="E339" t="inlineStr">
        <is>
          <t>KROKOM</t>
        </is>
      </c>
      <c r="G339" t="n">
        <v>1.1</v>
      </c>
      <c r="H339" t="n">
        <v>0</v>
      </c>
      <c r="I339" t="n">
        <v>0</v>
      </c>
      <c r="J339" t="n">
        <v>0</v>
      </c>
      <c r="K339" t="n">
        <v>0</v>
      </c>
      <c r="L339" t="n">
        <v>0</v>
      </c>
      <c r="M339" t="n">
        <v>0</v>
      </c>
      <c r="N339" t="n">
        <v>0</v>
      </c>
      <c r="O339" t="n">
        <v>0</v>
      </c>
      <c r="P339" t="n">
        <v>0</v>
      </c>
      <c r="Q339" t="n">
        <v>0</v>
      </c>
      <c r="R339" s="2" t="inlineStr"/>
    </row>
    <row r="340" ht="15" customHeight="1">
      <c r="A340" t="inlineStr">
        <is>
          <t>A 9156-2025</t>
        </is>
      </c>
      <c r="B340" s="1" t="n">
        <v>45714.34859953704</v>
      </c>
      <c r="C340" s="1" t="n">
        <v>45923</v>
      </c>
      <c r="D340" t="inlineStr">
        <is>
          <t>JÄMTLANDS LÄN</t>
        </is>
      </c>
      <c r="E340" t="inlineStr">
        <is>
          <t>KROKOM</t>
        </is>
      </c>
      <c r="F340" t="inlineStr">
        <is>
          <t>Övriga Aktiebolag</t>
        </is>
      </c>
      <c r="G340" t="n">
        <v>26.7</v>
      </c>
      <c r="H340" t="n">
        <v>0</v>
      </c>
      <c r="I340" t="n">
        <v>0</v>
      </c>
      <c r="J340" t="n">
        <v>0</v>
      </c>
      <c r="K340" t="n">
        <v>0</v>
      </c>
      <c r="L340" t="n">
        <v>0</v>
      </c>
      <c r="M340" t="n">
        <v>0</v>
      </c>
      <c r="N340" t="n">
        <v>0</v>
      </c>
      <c r="O340" t="n">
        <v>0</v>
      </c>
      <c r="P340" t="n">
        <v>0</v>
      </c>
      <c r="Q340" t="n">
        <v>0</v>
      </c>
      <c r="R340" s="2" t="inlineStr"/>
      <c r="U340">
        <f>HYPERLINK("https://klasma.github.io/Logging_2309/knärot/A 9156-2025 karta knärot.png", "A 9156-2025")</f>
        <v/>
      </c>
      <c r="V340">
        <f>HYPERLINK("https://klasma.github.io/Logging_2309/klagomål/A 9156-2025 FSC-klagomål.docx", "A 9156-2025")</f>
        <v/>
      </c>
      <c r="W340">
        <f>HYPERLINK("https://klasma.github.io/Logging_2309/klagomålsmail/A 9156-2025 FSC-klagomål mail.docx", "A 9156-2025")</f>
        <v/>
      </c>
      <c r="X340">
        <f>HYPERLINK("https://klasma.github.io/Logging_2309/tillsyn/A 9156-2025 tillsynsbegäran.docx", "A 9156-2025")</f>
        <v/>
      </c>
      <c r="Y340">
        <f>HYPERLINK("https://klasma.github.io/Logging_2309/tillsynsmail/A 9156-2025 tillsynsbegäran mail.docx", "A 9156-2025")</f>
        <v/>
      </c>
    </row>
    <row r="341" ht="15" customHeight="1">
      <c r="A341" t="inlineStr">
        <is>
          <t>A 9948-2025</t>
        </is>
      </c>
      <c r="B341" s="1" t="n">
        <v>45719.32584490741</v>
      </c>
      <c r="C341" s="1" t="n">
        <v>45923</v>
      </c>
      <c r="D341" t="inlineStr">
        <is>
          <t>JÄMTLANDS LÄN</t>
        </is>
      </c>
      <c r="E341" t="inlineStr">
        <is>
          <t>KROKOM</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11092-2024</t>
        </is>
      </c>
      <c r="B342" s="1" t="n">
        <v>45370.94969907407</v>
      </c>
      <c r="C342" s="1" t="n">
        <v>45923</v>
      </c>
      <c r="D342" t="inlineStr">
        <is>
          <t>JÄMTLANDS LÄN</t>
        </is>
      </c>
      <c r="E342" t="inlineStr">
        <is>
          <t>KROKOM</t>
        </is>
      </c>
      <c r="F342" t="inlineStr">
        <is>
          <t>SCA</t>
        </is>
      </c>
      <c r="G342" t="n">
        <v>27.2</v>
      </c>
      <c r="H342" t="n">
        <v>0</v>
      </c>
      <c r="I342" t="n">
        <v>0</v>
      </c>
      <c r="J342" t="n">
        <v>0</v>
      </c>
      <c r="K342" t="n">
        <v>0</v>
      </c>
      <c r="L342" t="n">
        <v>0</v>
      </c>
      <c r="M342" t="n">
        <v>0</v>
      </c>
      <c r="N342" t="n">
        <v>0</v>
      </c>
      <c r="O342" t="n">
        <v>0</v>
      </c>
      <c r="P342" t="n">
        <v>0</v>
      </c>
      <c r="Q342" t="n">
        <v>0</v>
      </c>
      <c r="R342" s="2" t="inlineStr"/>
    </row>
    <row r="343" ht="15" customHeight="1">
      <c r="A343" t="inlineStr">
        <is>
          <t>A 22611-2022</t>
        </is>
      </c>
      <c r="B343" s="1" t="n">
        <v>44714</v>
      </c>
      <c r="C343" s="1" t="n">
        <v>45923</v>
      </c>
      <c r="D343" t="inlineStr">
        <is>
          <t>JÄMTLANDS LÄN</t>
        </is>
      </c>
      <c r="E343" t="inlineStr">
        <is>
          <t>KROKOM</t>
        </is>
      </c>
      <c r="G343" t="n">
        <v>2.6</v>
      </c>
      <c r="H343" t="n">
        <v>0</v>
      </c>
      <c r="I343" t="n">
        <v>0</v>
      </c>
      <c r="J343" t="n">
        <v>0</v>
      </c>
      <c r="K343" t="n">
        <v>0</v>
      </c>
      <c r="L343" t="n">
        <v>0</v>
      </c>
      <c r="M343" t="n">
        <v>0</v>
      </c>
      <c r="N343" t="n">
        <v>0</v>
      </c>
      <c r="O343" t="n">
        <v>0</v>
      </c>
      <c r="P343" t="n">
        <v>0</v>
      </c>
      <c r="Q343" t="n">
        <v>0</v>
      </c>
      <c r="R343" s="2" t="inlineStr"/>
    </row>
    <row r="344" ht="15" customHeight="1">
      <c r="A344" t="inlineStr">
        <is>
          <t>A 15455-2021</t>
        </is>
      </c>
      <c r="B344" s="1" t="n">
        <v>44285</v>
      </c>
      <c r="C344" s="1" t="n">
        <v>45923</v>
      </c>
      <c r="D344" t="inlineStr">
        <is>
          <t>JÄMTLANDS LÄN</t>
        </is>
      </c>
      <c r="E344" t="inlineStr">
        <is>
          <t>KROKOM</t>
        </is>
      </c>
      <c r="G344" t="n">
        <v>0.3</v>
      </c>
      <c r="H344" t="n">
        <v>0</v>
      </c>
      <c r="I344" t="n">
        <v>0</v>
      </c>
      <c r="J344" t="n">
        <v>0</v>
      </c>
      <c r="K344" t="n">
        <v>0</v>
      </c>
      <c r="L344" t="n">
        <v>0</v>
      </c>
      <c r="M344" t="n">
        <v>0</v>
      </c>
      <c r="N344" t="n">
        <v>0</v>
      </c>
      <c r="O344" t="n">
        <v>0</v>
      </c>
      <c r="P344" t="n">
        <v>0</v>
      </c>
      <c r="Q344" t="n">
        <v>0</v>
      </c>
      <c r="R344" s="2" t="inlineStr"/>
    </row>
    <row r="345" ht="15" customHeight="1">
      <c r="A345" t="inlineStr">
        <is>
          <t>A 33333-2021</t>
        </is>
      </c>
      <c r="B345" s="1" t="n">
        <v>44377</v>
      </c>
      <c r="C345" s="1" t="n">
        <v>45923</v>
      </c>
      <c r="D345" t="inlineStr">
        <is>
          <t>JÄMTLANDS LÄN</t>
        </is>
      </c>
      <c r="E345" t="inlineStr">
        <is>
          <t>KROKOM</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47606-2023</t>
        </is>
      </c>
      <c r="B346" s="1" t="n">
        <v>45203.46523148148</v>
      </c>
      <c r="C346" s="1" t="n">
        <v>45923</v>
      </c>
      <c r="D346" t="inlineStr">
        <is>
          <t>JÄMTLANDS LÄN</t>
        </is>
      </c>
      <c r="E346" t="inlineStr">
        <is>
          <t>KROKOM</t>
        </is>
      </c>
      <c r="G346" t="n">
        <v>5.5</v>
      </c>
      <c r="H346" t="n">
        <v>0</v>
      </c>
      <c r="I346" t="n">
        <v>0</v>
      </c>
      <c r="J346" t="n">
        <v>0</v>
      </c>
      <c r="K346" t="n">
        <v>0</v>
      </c>
      <c r="L346" t="n">
        <v>0</v>
      </c>
      <c r="M346" t="n">
        <v>0</v>
      </c>
      <c r="N346" t="n">
        <v>0</v>
      </c>
      <c r="O346" t="n">
        <v>0</v>
      </c>
      <c r="P346" t="n">
        <v>0</v>
      </c>
      <c r="Q346" t="n">
        <v>0</v>
      </c>
      <c r="R346" s="2" t="inlineStr"/>
    </row>
    <row r="347" ht="15" customHeight="1">
      <c r="A347" t="inlineStr">
        <is>
          <t>A 25031-2022</t>
        </is>
      </c>
      <c r="B347" s="1" t="n">
        <v>44728.94420138889</v>
      </c>
      <c r="C347" s="1" t="n">
        <v>45923</v>
      </c>
      <c r="D347" t="inlineStr">
        <is>
          <t>JÄMTLANDS LÄN</t>
        </is>
      </c>
      <c r="E347" t="inlineStr">
        <is>
          <t>KROKOM</t>
        </is>
      </c>
      <c r="F347" t="inlineStr">
        <is>
          <t>SCA</t>
        </is>
      </c>
      <c r="G347" t="n">
        <v>5.3</v>
      </c>
      <c r="H347" t="n">
        <v>0</v>
      </c>
      <c r="I347" t="n">
        <v>0</v>
      </c>
      <c r="J347" t="n">
        <v>0</v>
      </c>
      <c r="K347" t="n">
        <v>0</v>
      </c>
      <c r="L347" t="n">
        <v>0</v>
      </c>
      <c r="M347" t="n">
        <v>0</v>
      </c>
      <c r="N347" t="n">
        <v>0</v>
      </c>
      <c r="O347" t="n">
        <v>0</v>
      </c>
      <c r="P347" t="n">
        <v>0</v>
      </c>
      <c r="Q347" t="n">
        <v>0</v>
      </c>
      <c r="R347" s="2" t="inlineStr"/>
    </row>
    <row r="348" ht="15" customHeight="1">
      <c r="A348" t="inlineStr">
        <is>
          <t>A 6145-2025</t>
        </is>
      </c>
      <c r="B348" s="1" t="n">
        <v>45698.39486111111</v>
      </c>
      <c r="C348" s="1" t="n">
        <v>45923</v>
      </c>
      <c r="D348" t="inlineStr">
        <is>
          <t>JÄMTLANDS LÄN</t>
        </is>
      </c>
      <c r="E348" t="inlineStr">
        <is>
          <t>KROKOM</t>
        </is>
      </c>
      <c r="G348" t="n">
        <v>3.8</v>
      </c>
      <c r="H348" t="n">
        <v>0</v>
      </c>
      <c r="I348" t="n">
        <v>0</v>
      </c>
      <c r="J348" t="n">
        <v>0</v>
      </c>
      <c r="K348" t="n">
        <v>0</v>
      </c>
      <c r="L348" t="n">
        <v>0</v>
      </c>
      <c r="M348" t="n">
        <v>0</v>
      </c>
      <c r="N348" t="n">
        <v>0</v>
      </c>
      <c r="O348" t="n">
        <v>0</v>
      </c>
      <c r="P348" t="n">
        <v>0</v>
      </c>
      <c r="Q348" t="n">
        <v>0</v>
      </c>
      <c r="R348" s="2" t="inlineStr"/>
    </row>
    <row r="349" ht="15" customHeight="1">
      <c r="A349" t="inlineStr">
        <is>
          <t>A 46506-2022</t>
        </is>
      </c>
      <c r="B349" s="1" t="n">
        <v>44848</v>
      </c>
      <c r="C349" s="1" t="n">
        <v>45923</v>
      </c>
      <c r="D349" t="inlineStr">
        <is>
          <t>JÄMTLANDS LÄN</t>
        </is>
      </c>
      <c r="E349" t="inlineStr">
        <is>
          <t>KROKOM</t>
        </is>
      </c>
      <c r="G349" t="n">
        <v>1.9</v>
      </c>
      <c r="H349" t="n">
        <v>0</v>
      </c>
      <c r="I349" t="n">
        <v>0</v>
      </c>
      <c r="J349" t="n">
        <v>0</v>
      </c>
      <c r="K349" t="n">
        <v>0</v>
      </c>
      <c r="L349" t="n">
        <v>0</v>
      </c>
      <c r="M349" t="n">
        <v>0</v>
      </c>
      <c r="N349" t="n">
        <v>0</v>
      </c>
      <c r="O349" t="n">
        <v>0</v>
      </c>
      <c r="P349" t="n">
        <v>0</v>
      </c>
      <c r="Q349" t="n">
        <v>0</v>
      </c>
      <c r="R349" s="2" t="inlineStr"/>
    </row>
    <row r="350" ht="15" customHeight="1">
      <c r="A350" t="inlineStr">
        <is>
          <t>A 37641-2021</t>
        </is>
      </c>
      <c r="B350" s="1" t="n">
        <v>44400.37204861111</v>
      </c>
      <c r="C350" s="1" t="n">
        <v>45923</v>
      </c>
      <c r="D350" t="inlineStr">
        <is>
          <t>JÄMTLANDS LÄN</t>
        </is>
      </c>
      <c r="E350" t="inlineStr">
        <is>
          <t>KROKOM</t>
        </is>
      </c>
      <c r="G350" t="n">
        <v>2.7</v>
      </c>
      <c r="H350" t="n">
        <v>0</v>
      </c>
      <c r="I350" t="n">
        <v>0</v>
      </c>
      <c r="J350" t="n">
        <v>0</v>
      </c>
      <c r="K350" t="n">
        <v>0</v>
      </c>
      <c r="L350" t="n">
        <v>0</v>
      </c>
      <c r="M350" t="n">
        <v>0</v>
      </c>
      <c r="N350" t="n">
        <v>0</v>
      </c>
      <c r="O350" t="n">
        <v>0</v>
      </c>
      <c r="P350" t="n">
        <v>0</v>
      </c>
      <c r="Q350" t="n">
        <v>0</v>
      </c>
      <c r="R350" s="2" t="inlineStr"/>
    </row>
    <row r="351" ht="15" customHeight="1">
      <c r="A351" t="inlineStr">
        <is>
          <t>A 54152-2021</t>
        </is>
      </c>
      <c r="B351" s="1" t="n">
        <v>44470</v>
      </c>
      <c r="C351" s="1" t="n">
        <v>45923</v>
      </c>
      <c r="D351" t="inlineStr">
        <is>
          <t>JÄMTLANDS LÄN</t>
        </is>
      </c>
      <c r="E351" t="inlineStr">
        <is>
          <t>KROKOM</t>
        </is>
      </c>
      <c r="G351" t="n">
        <v>0.5</v>
      </c>
      <c r="H351" t="n">
        <v>0</v>
      </c>
      <c r="I351" t="n">
        <v>0</v>
      </c>
      <c r="J351" t="n">
        <v>0</v>
      </c>
      <c r="K351" t="n">
        <v>0</v>
      </c>
      <c r="L351" t="n">
        <v>0</v>
      </c>
      <c r="M351" t="n">
        <v>0</v>
      </c>
      <c r="N351" t="n">
        <v>0</v>
      </c>
      <c r="O351" t="n">
        <v>0</v>
      </c>
      <c r="P351" t="n">
        <v>0</v>
      </c>
      <c r="Q351" t="n">
        <v>0</v>
      </c>
      <c r="R351" s="2" t="inlineStr"/>
    </row>
    <row r="352" ht="15" customHeight="1">
      <c r="A352" t="inlineStr">
        <is>
          <t>A 61091-2020</t>
        </is>
      </c>
      <c r="B352" s="1" t="n">
        <v>44153</v>
      </c>
      <c r="C352" s="1" t="n">
        <v>45923</v>
      </c>
      <c r="D352" t="inlineStr">
        <is>
          <t>JÄMTLANDS LÄN</t>
        </is>
      </c>
      <c r="E352" t="inlineStr">
        <is>
          <t>KROKOM</t>
        </is>
      </c>
      <c r="G352" t="n">
        <v>1.4</v>
      </c>
      <c r="H352" t="n">
        <v>0</v>
      </c>
      <c r="I352" t="n">
        <v>0</v>
      </c>
      <c r="J352" t="n">
        <v>0</v>
      </c>
      <c r="K352" t="n">
        <v>0</v>
      </c>
      <c r="L352" t="n">
        <v>0</v>
      </c>
      <c r="M352" t="n">
        <v>0</v>
      </c>
      <c r="N352" t="n">
        <v>0</v>
      </c>
      <c r="O352" t="n">
        <v>0</v>
      </c>
      <c r="P352" t="n">
        <v>0</v>
      </c>
      <c r="Q352" t="n">
        <v>0</v>
      </c>
      <c r="R352" s="2" t="inlineStr"/>
    </row>
    <row r="353" ht="15" customHeight="1">
      <c r="A353" t="inlineStr">
        <is>
          <t>A 9750-2024</t>
        </is>
      </c>
      <c r="B353" s="1" t="n">
        <v>45362</v>
      </c>
      <c r="C353" s="1" t="n">
        <v>45923</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41197-2022</t>
        </is>
      </c>
      <c r="B354" s="1" t="n">
        <v>44825</v>
      </c>
      <c r="C354" s="1" t="n">
        <v>45923</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59718-2020</t>
        </is>
      </c>
      <c r="B355" s="1" t="n">
        <v>44151</v>
      </c>
      <c r="C355" s="1" t="n">
        <v>45923</v>
      </c>
      <c r="D355" t="inlineStr">
        <is>
          <t>JÄMTLANDS LÄN</t>
        </is>
      </c>
      <c r="E355" t="inlineStr">
        <is>
          <t>KROKOM</t>
        </is>
      </c>
      <c r="G355" t="n">
        <v>3.7</v>
      </c>
      <c r="H355" t="n">
        <v>0</v>
      </c>
      <c r="I355" t="n">
        <v>0</v>
      </c>
      <c r="J355" t="n">
        <v>0</v>
      </c>
      <c r="K355" t="n">
        <v>0</v>
      </c>
      <c r="L355" t="n">
        <v>0</v>
      </c>
      <c r="M355" t="n">
        <v>0</v>
      </c>
      <c r="N355" t="n">
        <v>0</v>
      </c>
      <c r="O355" t="n">
        <v>0</v>
      </c>
      <c r="P355" t="n">
        <v>0</v>
      </c>
      <c r="Q355" t="n">
        <v>0</v>
      </c>
      <c r="R355" s="2" t="inlineStr"/>
    </row>
    <row r="356" ht="15" customHeight="1">
      <c r="A356" t="inlineStr">
        <is>
          <t>A 11059-2024</t>
        </is>
      </c>
      <c r="B356" s="1" t="n">
        <v>45370</v>
      </c>
      <c r="C356" s="1" t="n">
        <v>45923</v>
      </c>
      <c r="D356" t="inlineStr">
        <is>
          <t>JÄMTLANDS LÄN</t>
        </is>
      </c>
      <c r="E356" t="inlineStr">
        <is>
          <t>KROKOM</t>
        </is>
      </c>
      <c r="G356" t="n">
        <v>1.5</v>
      </c>
      <c r="H356" t="n">
        <v>0</v>
      </c>
      <c r="I356" t="n">
        <v>0</v>
      </c>
      <c r="J356" t="n">
        <v>0</v>
      </c>
      <c r="K356" t="n">
        <v>0</v>
      </c>
      <c r="L356" t="n">
        <v>0</v>
      </c>
      <c r="M356" t="n">
        <v>0</v>
      </c>
      <c r="N356" t="n">
        <v>0</v>
      </c>
      <c r="O356" t="n">
        <v>0</v>
      </c>
      <c r="P356" t="n">
        <v>0</v>
      </c>
      <c r="Q356" t="n">
        <v>0</v>
      </c>
      <c r="R356" s="2" t="inlineStr"/>
    </row>
    <row r="357" ht="15" customHeight="1">
      <c r="A357" t="inlineStr">
        <is>
          <t>A 58677-2023</t>
        </is>
      </c>
      <c r="B357" s="1" t="n">
        <v>45251.65152777778</v>
      </c>
      <c r="C357" s="1" t="n">
        <v>45923</v>
      </c>
      <c r="D357" t="inlineStr">
        <is>
          <t>JÄMTLANDS LÄN</t>
        </is>
      </c>
      <c r="E357" t="inlineStr">
        <is>
          <t>KROKOM</t>
        </is>
      </c>
      <c r="G357" t="n">
        <v>3.6</v>
      </c>
      <c r="H357" t="n">
        <v>0</v>
      </c>
      <c r="I357" t="n">
        <v>0</v>
      </c>
      <c r="J357" t="n">
        <v>0</v>
      </c>
      <c r="K357" t="n">
        <v>0</v>
      </c>
      <c r="L357" t="n">
        <v>0</v>
      </c>
      <c r="M357" t="n">
        <v>0</v>
      </c>
      <c r="N357" t="n">
        <v>0</v>
      </c>
      <c r="O357" t="n">
        <v>0</v>
      </c>
      <c r="P357" t="n">
        <v>0</v>
      </c>
      <c r="Q357" t="n">
        <v>0</v>
      </c>
      <c r="R357" s="2" t="inlineStr"/>
    </row>
    <row r="358" ht="15" customHeight="1">
      <c r="A358" t="inlineStr">
        <is>
          <t>A 43932-2024</t>
        </is>
      </c>
      <c r="B358" s="1" t="n">
        <v>45572.45601851852</v>
      </c>
      <c r="C358" s="1" t="n">
        <v>45923</v>
      </c>
      <c r="D358" t="inlineStr">
        <is>
          <t>JÄMTLANDS LÄN</t>
        </is>
      </c>
      <c r="E358" t="inlineStr">
        <is>
          <t>KROKOM</t>
        </is>
      </c>
      <c r="F358" t="inlineStr">
        <is>
          <t>Övriga Aktiebolag</t>
        </is>
      </c>
      <c r="G358" t="n">
        <v>22</v>
      </c>
      <c r="H358" t="n">
        <v>0</v>
      </c>
      <c r="I358" t="n">
        <v>0</v>
      </c>
      <c r="J358" t="n">
        <v>0</v>
      </c>
      <c r="K358" t="n">
        <v>0</v>
      </c>
      <c r="L358" t="n">
        <v>0</v>
      </c>
      <c r="M358" t="n">
        <v>0</v>
      </c>
      <c r="N358" t="n">
        <v>0</v>
      </c>
      <c r="O358" t="n">
        <v>0</v>
      </c>
      <c r="P358" t="n">
        <v>0</v>
      </c>
      <c r="Q358" t="n">
        <v>0</v>
      </c>
      <c r="R358" s="2" t="inlineStr"/>
    </row>
    <row r="359" ht="15" customHeight="1">
      <c r="A359" t="inlineStr">
        <is>
          <t>A 36122-2022</t>
        </is>
      </c>
      <c r="B359" s="1" t="n">
        <v>44803</v>
      </c>
      <c r="C359" s="1" t="n">
        <v>45923</v>
      </c>
      <c r="D359" t="inlineStr">
        <is>
          <t>JÄMTLANDS LÄN</t>
        </is>
      </c>
      <c r="E359" t="inlineStr">
        <is>
          <t>KROKOM</t>
        </is>
      </c>
      <c r="G359" t="n">
        <v>5.7</v>
      </c>
      <c r="H359" t="n">
        <v>0</v>
      </c>
      <c r="I359" t="n">
        <v>0</v>
      </c>
      <c r="J359" t="n">
        <v>0</v>
      </c>
      <c r="K359" t="n">
        <v>0</v>
      </c>
      <c r="L359" t="n">
        <v>0</v>
      </c>
      <c r="M359" t="n">
        <v>0</v>
      </c>
      <c r="N359" t="n">
        <v>0</v>
      </c>
      <c r="O359" t="n">
        <v>0</v>
      </c>
      <c r="P359" t="n">
        <v>0</v>
      </c>
      <c r="Q359" t="n">
        <v>0</v>
      </c>
      <c r="R359" s="2" t="inlineStr"/>
    </row>
    <row r="360" ht="15" customHeight="1">
      <c r="A360" t="inlineStr">
        <is>
          <t>A 68686-2021</t>
        </is>
      </c>
      <c r="B360" s="1" t="n">
        <v>44526</v>
      </c>
      <c r="C360" s="1" t="n">
        <v>45923</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2427-2021</t>
        </is>
      </c>
      <c r="B361" s="1" t="n">
        <v>44214</v>
      </c>
      <c r="C361" s="1" t="n">
        <v>45923</v>
      </c>
      <c r="D361" t="inlineStr">
        <is>
          <t>JÄMTLANDS LÄN</t>
        </is>
      </c>
      <c r="E361" t="inlineStr">
        <is>
          <t>KROKOM</t>
        </is>
      </c>
      <c r="G361" t="n">
        <v>20.5</v>
      </c>
      <c r="H361" t="n">
        <v>0</v>
      </c>
      <c r="I361" t="n">
        <v>0</v>
      </c>
      <c r="J361" t="n">
        <v>0</v>
      </c>
      <c r="K361" t="n">
        <v>0</v>
      </c>
      <c r="L361" t="n">
        <v>0</v>
      </c>
      <c r="M361" t="n">
        <v>0</v>
      </c>
      <c r="N361" t="n">
        <v>0</v>
      </c>
      <c r="O361" t="n">
        <v>0</v>
      </c>
      <c r="P361" t="n">
        <v>0</v>
      </c>
      <c r="Q361" t="n">
        <v>0</v>
      </c>
      <c r="R361" s="2" t="inlineStr"/>
    </row>
    <row r="362" ht="15" customHeight="1">
      <c r="A362" t="inlineStr">
        <is>
          <t>A 9027-2025</t>
        </is>
      </c>
      <c r="B362" s="1" t="n">
        <v>45713.60719907407</v>
      </c>
      <c r="C362" s="1" t="n">
        <v>45923</v>
      </c>
      <c r="D362" t="inlineStr">
        <is>
          <t>JÄMTLANDS LÄN</t>
        </is>
      </c>
      <c r="E362" t="inlineStr">
        <is>
          <t>KROKOM</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6900-2024</t>
        </is>
      </c>
      <c r="B363" s="1" t="n">
        <v>45342</v>
      </c>
      <c r="C363" s="1" t="n">
        <v>45923</v>
      </c>
      <c r="D363" t="inlineStr">
        <is>
          <t>JÄMTLANDS LÄN</t>
        </is>
      </c>
      <c r="E363" t="inlineStr">
        <is>
          <t>KROKOM</t>
        </is>
      </c>
      <c r="F363" t="inlineStr">
        <is>
          <t>SCA</t>
        </is>
      </c>
      <c r="G363" t="n">
        <v>64.59999999999999</v>
      </c>
      <c r="H363" t="n">
        <v>0</v>
      </c>
      <c r="I363" t="n">
        <v>0</v>
      </c>
      <c r="J363" t="n">
        <v>0</v>
      </c>
      <c r="K363" t="n">
        <v>0</v>
      </c>
      <c r="L363" t="n">
        <v>0</v>
      </c>
      <c r="M363" t="n">
        <v>0</v>
      </c>
      <c r="N363" t="n">
        <v>0</v>
      </c>
      <c r="O363" t="n">
        <v>0</v>
      </c>
      <c r="P363" t="n">
        <v>0</v>
      </c>
      <c r="Q363" t="n">
        <v>0</v>
      </c>
      <c r="R363" s="2" t="inlineStr"/>
    </row>
    <row r="364" ht="15" customHeight="1">
      <c r="A364" t="inlineStr">
        <is>
          <t>A 6627-2025</t>
        </is>
      </c>
      <c r="B364" s="1" t="n">
        <v>45700.37127314815</v>
      </c>
      <c r="C364" s="1" t="n">
        <v>45923</v>
      </c>
      <c r="D364" t="inlineStr">
        <is>
          <t>JÄMTLANDS LÄN</t>
        </is>
      </c>
      <c r="E364" t="inlineStr">
        <is>
          <t>KROKOM</t>
        </is>
      </c>
      <c r="G364" t="n">
        <v>1.6</v>
      </c>
      <c r="H364" t="n">
        <v>0</v>
      </c>
      <c r="I364" t="n">
        <v>0</v>
      </c>
      <c r="J364" t="n">
        <v>0</v>
      </c>
      <c r="K364" t="n">
        <v>0</v>
      </c>
      <c r="L364" t="n">
        <v>0</v>
      </c>
      <c r="M364" t="n">
        <v>0</v>
      </c>
      <c r="N364" t="n">
        <v>0</v>
      </c>
      <c r="O364" t="n">
        <v>0</v>
      </c>
      <c r="P364" t="n">
        <v>0</v>
      </c>
      <c r="Q364" t="n">
        <v>0</v>
      </c>
      <c r="R364" s="2" t="inlineStr"/>
    </row>
    <row r="365" ht="15" customHeight="1">
      <c r="A365" t="inlineStr">
        <is>
          <t>A 6629-2025</t>
        </is>
      </c>
      <c r="B365" s="1" t="n">
        <v>45700.37481481482</v>
      </c>
      <c r="C365" s="1" t="n">
        <v>45923</v>
      </c>
      <c r="D365" t="inlineStr">
        <is>
          <t>JÄMTLANDS LÄN</t>
        </is>
      </c>
      <c r="E365" t="inlineStr">
        <is>
          <t>KROKOM</t>
        </is>
      </c>
      <c r="F365" t="inlineStr">
        <is>
          <t>Övriga Aktiebolag</t>
        </is>
      </c>
      <c r="G365" t="n">
        <v>24.8</v>
      </c>
      <c r="H365" t="n">
        <v>0</v>
      </c>
      <c r="I365" t="n">
        <v>0</v>
      </c>
      <c r="J365" t="n">
        <v>0</v>
      </c>
      <c r="K365" t="n">
        <v>0</v>
      </c>
      <c r="L365" t="n">
        <v>0</v>
      </c>
      <c r="M365" t="n">
        <v>0</v>
      </c>
      <c r="N365" t="n">
        <v>0</v>
      </c>
      <c r="O365" t="n">
        <v>0</v>
      </c>
      <c r="P365" t="n">
        <v>0</v>
      </c>
      <c r="Q365" t="n">
        <v>0</v>
      </c>
      <c r="R365" s="2" t="inlineStr"/>
    </row>
    <row r="366" ht="15" customHeight="1">
      <c r="A366" t="inlineStr">
        <is>
          <t>A 48334-2022</t>
        </is>
      </c>
      <c r="B366" s="1" t="n">
        <v>44858</v>
      </c>
      <c r="C366" s="1" t="n">
        <v>45923</v>
      </c>
      <c r="D366" t="inlineStr">
        <is>
          <t>JÄMTLANDS LÄN</t>
        </is>
      </c>
      <c r="E366" t="inlineStr">
        <is>
          <t>KROKOM</t>
        </is>
      </c>
      <c r="G366" t="n">
        <v>1.4</v>
      </c>
      <c r="H366" t="n">
        <v>0</v>
      </c>
      <c r="I366" t="n">
        <v>0</v>
      </c>
      <c r="J366" t="n">
        <v>0</v>
      </c>
      <c r="K366" t="n">
        <v>0</v>
      </c>
      <c r="L366" t="n">
        <v>0</v>
      </c>
      <c r="M366" t="n">
        <v>0</v>
      </c>
      <c r="N366" t="n">
        <v>0</v>
      </c>
      <c r="O366" t="n">
        <v>0</v>
      </c>
      <c r="P366" t="n">
        <v>0</v>
      </c>
      <c r="Q366" t="n">
        <v>0</v>
      </c>
      <c r="R366" s="2" t="inlineStr"/>
    </row>
    <row r="367" ht="15" customHeight="1">
      <c r="A367" t="inlineStr">
        <is>
          <t>A 40866-2022</t>
        </is>
      </c>
      <c r="B367" s="1" t="n">
        <v>44820</v>
      </c>
      <c r="C367" s="1" t="n">
        <v>45923</v>
      </c>
      <c r="D367" t="inlineStr">
        <is>
          <t>JÄMTLANDS LÄN</t>
        </is>
      </c>
      <c r="E367" t="inlineStr">
        <is>
          <t>KROKOM</t>
        </is>
      </c>
      <c r="G367" t="n">
        <v>4.3</v>
      </c>
      <c r="H367" t="n">
        <v>0</v>
      </c>
      <c r="I367" t="n">
        <v>0</v>
      </c>
      <c r="J367" t="n">
        <v>0</v>
      </c>
      <c r="K367" t="n">
        <v>0</v>
      </c>
      <c r="L367" t="n">
        <v>0</v>
      </c>
      <c r="M367" t="n">
        <v>0</v>
      </c>
      <c r="N367" t="n">
        <v>0</v>
      </c>
      <c r="O367" t="n">
        <v>0</v>
      </c>
      <c r="P367" t="n">
        <v>0</v>
      </c>
      <c r="Q367" t="n">
        <v>0</v>
      </c>
      <c r="R367" s="2" t="inlineStr"/>
    </row>
    <row r="368" ht="15" customHeight="1">
      <c r="A368" t="inlineStr">
        <is>
          <t>A 13249-2024</t>
        </is>
      </c>
      <c r="B368" s="1" t="n">
        <v>45386</v>
      </c>
      <c r="C368" s="1" t="n">
        <v>45923</v>
      </c>
      <c r="D368" t="inlineStr">
        <is>
          <t>JÄMTLANDS LÄN</t>
        </is>
      </c>
      <c r="E368" t="inlineStr">
        <is>
          <t>KROKOM</t>
        </is>
      </c>
      <c r="G368" t="n">
        <v>2.4</v>
      </c>
      <c r="H368" t="n">
        <v>0</v>
      </c>
      <c r="I368" t="n">
        <v>0</v>
      </c>
      <c r="J368" t="n">
        <v>0</v>
      </c>
      <c r="K368" t="n">
        <v>0</v>
      </c>
      <c r="L368" t="n">
        <v>0</v>
      </c>
      <c r="M368" t="n">
        <v>0</v>
      </c>
      <c r="N368" t="n">
        <v>0</v>
      </c>
      <c r="O368" t="n">
        <v>0</v>
      </c>
      <c r="P368" t="n">
        <v>0</v>
      </c>
      <c r="Q368" t="n">
        <v>0</v>
      </c>
      <c r="R368" s="2" t="inlineStr"/>
    </row>
    <row r="369" ht="15" customHeight="1">
      <c r="A369" t="inlineStr">
        <is>
          <t>A 9755-2024</t>
        </is>
      </c>
      <c r="B369" s="1" t="n">
        <v>45362</v>
      </c>
      <c r="C369" s="1" t="n">
        <v>45923</v>
      </c>
      <c r="D369" t="inlineStr">
        <is>
          <t>JÄMTLANDS LÄN</t>
        </is>
      </c>
      <c r="E369" t="inlineStr">
        <is>
          <t>KROKOM</t>
        </is>
      </c>
      <c r="G369" t="n">
        <v>2.4</v>
      </c>
      <c r="H369" t="n">
        <v>0</v>
      </c>
      <c r="I369" t="n">
        <v>0</v>
      </c>
      <c r="J369" t="n">
        <v>0</v>
      </c>
      <c r="K369" t="n">
        <v>0</v>
      </c>
      <c r="L369" t="n">
        <v>0</v>
      </c>
      <c r="M369" t="n">
        <v>0</v>
      </c>
      <c r="N369" t="n">
        <v>0</v>
      </c>
      <c r="O369" t="n">
        <v>0</v>
      </c>
      <c r="P369" t="n">
        <v>0</v>
      </c>
      <c r="Q369" t="n">
        <v>0</v>
      </c>
      <c r="R369" s="2" t="inlineStr"/>
    </row>
    <row r="370" ht="15" customHeight="1">
      <c r="A370" t="inlineStr">
        <is>
          <t>A 17298-2024</t>
        </is>
      </c>
      <c r="B370" s="1" t="n">
        <v>45414.486875</v>
      </c>
      <c r="C370" s="1" t="n">
        <v>45923</v>
      </c>
      <c r="D370" t="inlineStr">
        <is>
          <t>JÄMTLANDS LÄN</t>
        </is>
      </c>
      <c r="E370" t="inlineStr">
        <is>
          <t>KROKOM</t>
        </is>
      </c>
      <c r="G370" t="n">
        <v>0.7</v>
      </c>
      <c r="H370" t="n">
        <v>0</v>
      </c>
      <c r="I370" t="n">
        <v>0</v>
      </c>
      <c r="J370" t="n">
        <v>0</v>
      </c>
      <c r="K370" t="n">
        <v>0</v>
      </c>
      <c r="L370" t="n">
        <v>0</v>
      </c>
      <c r="M370" t="n">
        <v>0</v>
      </c>
      <c r="N370" t="n">
        <v>0</v>
      </c>
      <c r="O370" t="n">
        <v>0</v>
      </c>
      <c r="P370" t="n">
        <v>0</v>
      </c>
      <c r="Q370" t="n">
        <v>0</v>
      </c>
      <c r="R370" s="2" t="inlineStr"/>
    </row>
    <row r="371" ht="15" customHeight="1">
      <c r="A371" t="inlineStr">
        <is>
          <t>A 39696-2024</t>
        </is>
      </c>
      <c r="B371" s="1" t="n">
        <v>45552.57210648148</v>
      </c>
      <c r="C371" s="1" t="n">
        <v>45923</v>
      </c>
      <c r="D371" t="inlineStr">
        <is>
          <t>JÄMTLANDS LÄN</t>
        </is>
      </c>
      <c r="E371" t="inlineStr">
        <is>
          <t>KROKOM</t>
        </is>
      </c>
      <c r="G371" t="n">
        <v>5.3</v>
      </c>
      <c r="H371" t="n">
        <v>0</v>
      </c>
      <c r="I371" t="n">
        <v>0</v>
      </c>
      <c r="J371" t="n">
        <v>0</v>
      </c>
      <c r="K371" t="n">
        <v>0</v>
      </c>
      <c r="L371" t="n">
        <v>0</v>
      </c>
      <c r="M371" t="n">
        <v>0</v>
      </c>
      <c r="N371" t="n">
        <v>0</v>
      </c>
      <c r="O371" t="n">
        <v>0</v>
      </c>
      <c r="P371" t="n">
        <v>0</v>
      </c>
      <c r="Q371" t="n">
        <v>0</v>
      </c>
      <c r="R371" s="2" t="inlineStr"/>
    </row>
    <row r="372" ht="15" customHeight="1">
      <c r="A372" t="inlineStr">
        <is>
          <t>A 45827-2023</t>
        </is>
      </c>
      <c r="B372" s="1" t="n">
        <v>45195</v>
      </c>
      <c r="C372" s="1" t="n">
        <v>45923</v>
      </c>
      <c r="D372" t="inlineStr">
        <is>
          <t>JÄMTLANDS LÄN</t>
        </is>
      </c>
      <c r="E372" t="inlineStr">
        <is>
          <t>KROKOM</t>
        </is>
      </c>
      <c r="G372" t="n">
        <v>1.6</v>
      </c>
      <c r="H372" t="n">
        <v>0</v>
      </c>
      <c r="I372" t="n">
        <v>0</v>
      </c>
      <c r="J372" t="n">
        <v>0</v>
      </c>
      <c r="K372" t="n">
        <v>0</v>
      </c>
      <c r="L372" t="n">
        <v>0</v>
      </c>
      <c r="M372" t="n">
        <v>0</v>
      </c>
      <c r="N372" t="n">
        <v>0</v>
      </c>
      <c r="O372" t="n">
        <v>0</v>
      </c>
      <c r="P372" t="n">
        <v>0</v>
      </c>
      <c r="Q372" t="n">
        <v>0</v>
      </c>
      <c r="R372" s="2" t="inlineStr"/>
    </row>
    <row r="373" ht="15" customHeight="1">
      <c r="A373" t="inlineStr">
        <is>
          <t>A 11591-2022</t>
        </is>
      </c>
      <c r="B373" s="1" t="n">
        <v>44631</v>
      </c>
      <c r="C373" s="1" t="n">
        <v>45923</v>
      </c>
      <c r="D373" t="inlineStr">
        <is>
          <t>JÄMTLANDS LÄN</t>
        </is>
      </c>
      <c r="E373" t="inlineStr">
        <is>
          <t>KROKOM</t>
        </is>
      </c>
      <c r="G373" t="n">
        <v>2</v>
      </c>
      <c r="H373" t="n">
        <v>0</v>
      </c>
      <c r="I373" t="n">
        <v>0</v>
      </c>
      <c r="J373" t="n">
        <v>0</v>
      </c>
      <c r="K373" t="n">
        <v>0</v>
      </c>
      <c r="L373" t="n">
        <v>0</v>
      </c>
      <c r="M373" t="n">
        <v>0</v>
      </c>
      <c r="N373" t="n">
        <v>0</v>
      </c>
      <c r="O373" t="n">
        <v>0</v>
      </c>
      <c r="P373" t="n">
        <v>0</v>
      </c>
      <c r="Q373" t="n">
        <v>0</v>
      </c>
      <c r="R373" s="2" t="inlineStr"/>
    </row>
    <row r="374" ht="15" customHeight="1">
      <c r="A374" t="inlineStr">
        <is>
          <t>A 7962-2023</t>
        </is>
      </c>
      <c r="B374" s="1" t="n">
        <v>44970</v>
      </c>
      <c r="C374" s="1" t="n">
        <v>45923</v>
      </c>
      <c r="D374" t="inlineStr">
        <is>
          <t>JÄMTLANDS LÄN</t>
        </is>
      </c>
      <c r="E374" t="inlineStr">
        <is>
          <t>KROKOM</t>
        </is>
      </c>
      <c r="G374" t="n">
        <v>12.2</v>
      </c>
      <c r="H374" t="n">
        <v>0</v>
      </c>
      <c r="I374" t="n">
        <v>0</v>
      </c>
      <c r="J374" t="n">
        <v>0</v>
      </c>
      <c r="K374" t="n">
        <v>0</v>
      </c>
      <c r="L374" t="n">
        <v>0</v>
      </c>
      <c r="M374" t="n">
        <v>0</v>
      </c>
      <c r="N374" t="n">
        <v>0</v>
      </c>
      <c r="O374" t="n">
        <v>0</v>
      </c>
      <c r="P374" t="n">
        <v>0</v>
      </c>
      <c r="Q374" t="n">
        <v>0</v>
      </c>
      <c r="R374" s="2" t="inlineStr"/>
    </row>
    <row r="375" ht="15" customHeight="1">
      <c r="A375" t="inlineStr">
        <is>
          <t>A 20953-2023</t>
        </is>
      </c>
      <c r="B375" s="1" t="n">
        <v>45056</v>
      </c>
      <c r="C375" s="1" t="n">
        <v>45923</v>
      </c>
      <c r="D375" t="inlineStr">
        <is>
          <t>JÄMTLANDS LÄN</t>
        </is>
      </c>
      <c r="E375" t="inlineStr">
        <is>
          <t>KROKOM</t>
        </is>
      </c>
      <c r="G375" t="n">
        <v>0.5</v>
      </c>
      <c r="H375" t="n">
        <v>0</v>
      </c>
      <c r="I375" t="n">
        <v>0</v>
      </c>
      <c r="J375" t="n">
        <v>0</v>
      </c>
      <c r="K375" t="n">
        <v>0</v>
      </c>
      <c r="L375" t="n">
        <v>0</v>
      </c>
      <c r="M375" t="n">
        <v>0</v>
      </c>
      <c r="N375" t="n">
        <v>0</v>
      </c>
      <c r="O375" t="n">
        <v>0</v>
      </c>
      <c r="P375" t="n">
        <v>0</v>
      </c>
      <c r="Q375" t="n">
        <v>0</v>
      </c>
      <c r="R375" s="2" t="inlineStr"/>
    </row>
    <row r="376" ht="15" customHeight="1">
      <c r="A376" t="inlineStr">
        <is>
          <t>A 35559-2024</t>
        </is>
      </c>
      <c r="B376" s="1" t="n">
        <v>45531.62141203704</v>
      </c>
      <c r="C376" s="1" t="n">
        <v>45923</v>
      </c>
      <c r="D376" t="inlineStr">
        <is>
          <t>JÄMTLANDS LÄN</t>
        </is>
      </c>
      <c r="E376" t="inlineStr">
        <is>
          <t>KROKOM</t>
        </is>
      </c>
      <c r="G376" t="n">
        <v>0.5</v>
      </c>
      <c r="H376" t="n">
        <v>0</v>
      </c>
      <c r="I376" t="n">
        <v>0</v>
      </c>
      <c r="J376" t="n">
        <v>0</v>
      </c>
      <c r="K376" t="n">
        <v>0</v>
      </c>
      <c r="L376" t="n">
        <v>0</v>
      </c>
      <c r="M376" t="n">
        <v>0</v>
      </c>
      <c r="N376" t="n">
        <v>0</v>
      </c>
      <c r="O376" t="n">
        <v>0</v>
      </c>
      <c r="P376" t="n">
        <v>0</v>
      </c>
      <c r="Q376" t="n">
        <v>0</v>
      </c>
      <c r="R376" s="2" t="inlineStr"/>
    </row>
    <row r="377" ht="15" customHeight="1">
      <c r="A377" t="inlineStr">
        <is>
          <t>A 20966-2023</t>
        </is>
      </c>
      <c r="B377" s="1" t="n">
        <v>45056</v>
      </c>
      <c r="C377" s="1" t="n">
        <v>45923</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34769-2021</t>
        </is>
      </c>
      <c r="B378" s="1" t="n">
        <v>44382.92065972222</v>
      </c>
      <c r="C378" s="1" t="n">
        <v>45923</v>
      </c>
      <c r="D378" t="inlineStr">
        <is>
          <t>JÄMTLANDS LÄN</t>
        </is>
      </c>
      <c r="E378" t="inlineStr">
        <is>
          <t>KROKOM</t>
        </is>
      </c>
      <c r="G378" t="n">
        <v>14.5</v>
      </c>
      <c r="H378" t="n">
        <v>0</v>
      </c>
      <c r="I378" t="n">
        <v>0</v>
      </c>
      <c r="J378" t="n">
        <v>0</v>
      </c>
      <c r="K378" t="n">
        <v>0</v>
      </c>
      <c r="L378" t="n">
        <v>0</v>
      </c>
      <c r="M378" t="n">
        <v>0</v>
      </c>
      <c r="N378" t="n">
        <v>0</v>
      </c>
      <c r="O378" t="n">
        <v>0</v>
      </c>
      <c r="P378" t="n">
        <v>0</v>
      </c>
      <c r="Q378" t="n">
        <v>0</v>
      </c>
      <c r="R378" s="2" t="inlineStr"/>
    </row>
    <row r="379" ht="15" customHeight="1">
      <c r="A379" t="inlineStr">
        <is>
          <t>A 29146-2021</t>
        </is>
      </c>
      <c r="B379" s="1" t="n">
        <v>44358.63585648148</v>
      </c>
      <c r="C379" s="1" t="n">
        <v>45923</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5693-2022</t>
        </is>
      </c>
      <c r="B380" s="1" t="n">
        <v>44596</v>
      </c>
      <c r="C380" s="1" t="n">
        <v>45923</v>
      </c>
      <c r="D380" t="inlineStr">
        <is>
          <t>JÄMTLANDS LÄN</t>
        </is>
      </c>
      <c r="E380" t="inlineStr">
        <is>
          <t>KROKOM</t>
        </is>
      </c>
      <c r="G380" t="n">
        <v>40.8</v>
      </c>
      <c r="H380" t="n">
        <v>0</v>
      </c>
      <c r="I380" t="n">
        <v>0</v>
      </c>
      <c r="J380" t="n">
        <v>0</v>
      </c>
      <c r="K380" t="n">
        <v>0</v>
      </c>
      <c r="L380" t="n">
        <v>0</v>
      </c>
      <c r="M380" t="n">
        <v>0</v>
      </c>
      <c r="N380" t="n">
        <v>0</v>
      </c>
      <c r="O380" t="n">
        <v>0</v>
      </c>
      <c r="P380" t="n">
        <v>0</v>
      </c>
      <c r="Q380" t="n">
        <v>0</v>
      </c>
      <c r="R380" s="2" t="inlineStr"/>
    </row>
    <row r="381" ht="15" customHeight="1">
      <c r="A381" t="inlineStr">
        <is>
          <t>A 36272-2024</t>
        </is>
      </c>
      <c r="B381" s="1" t="n">
        <v>45534.57745370371</v>
      </c>
      <c r="C381" s="1" t="n">
        <v>45923</v>
      </c>
      <c r="D381" t="inlineStr">
        <is>
          <t>JÄMTLANDS LÄN</t>
        </is>
      </c>
      <c r="E381" t="inlineStr">
        <is>
          <t>KROKOM</t>
        </is>
      </c>
      <c r="F381" t="inlineStr">
        <is>
          <t>Övriga Aktiebolag</t>
        </is>
      </c>
      <c r="G381" t="n">
        <v>11.1</v>
      </c>
      <c r="H381" t="n">
        <v>0</v>
      </c>
      <c r="I381" t="n">
        <v>0</v>
      </c>
      <c r="J381" t="n">
        <v>0</v>
      </c>
      <c r="K381" t="n">
        <v>0</v>
      </c>
      <c r="L381" t="n">
        <v>0</v>
      </c>
      <c r="M381" t="n">
        <v>0</v>
      </c>
      <c r="N381" t="n">
        <v>0</v>
      </c>
      <c r="O381" t="n">
        <v>0</v>
      </c>
      <c r="P381" t="n">
        <v>0</v>
      </c>
      <c r="Q381" t="n">
        <v>0</v>
      </c>
      <c r="R381" s="2" t="inlineStr"/>
    </row>
    <row r="382" ht="15" customHeight="1">
      <c r="A382" t="inlineStr">
        <is>
          <t>A 16874-2024</t>
        </is>
      </c>
      <c r="B382" s="1" t="n">
        <v>45411</v>
      </c>
      <c r="C382" s="1" t="n">
        <v>45923</v>
      </c>
      <c r="D382" t="inlineStr">
        <is>
          <t>JÄMTLANDS LÄN</t>
        </is>
      </c>
      <c r="E382" t="inlineStr">
        <is>
          <t>KROKOM</t>
        </is>
      </c>
      <c r="F382" t="inlineStr">
        <is>
          <t>Övriga Aktiebolag</t>
        </is>
      </c>
      <c r="G382" t="n">
        <v>1.1</v>
      </c>
      <c r="H382" t="n">
        <v>0</v>
      </c>
      <c r="I382" t="n">
        <v>0</v>
      </c>
      <c r="J382" t="n">
        <v>0</v>
      </c>
      <c r="K382" t="n">
        <v>0</v>
      </c>
      <c r="L382" t="n">
        <v>0</v>
      </c>
      <c r="M382" t="n">
        <v>0</v>
      </c>
      <c r="N382" t="n">
        <v>0</v>
      </c>
      <c r="O382" t="n">
        <v>0</v>
      </c>
      <c r="P382" t="n">
        <v>0</v>
      </c>
      <c r="Q382" t="n">
        <v>0</v>
      </c>
      <c r="R382" s="2" t="inlineStr"/>
    </row>
    <row r="383" ht="15" customHeight="1">
      <c r="A383" t="inlineStr">
        <is>
          <t>A 15432-2025</t>
        </is>
      </c>
      <c r="B383" s="1" t="n">
        <v>45747.47025462963</v>
      </c>
      <c r="C383" s="1" t="n">
        <v>45923</v>
      </c>
      <c r="D383" t="inlineStr">
        <is>
          <t>JÄMTLANDS LÄN</t>
        </is>
      </c>
      <c r="E383" t="inlineStr">
        <is>
          <t>KROKOM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42210-2022</t>
        </is>
      </c>
      <c r="B384" s="1" t="n">
        <v>44830</v>
      </c>
      <c r="C384" s="1" t="n">
        <v>45923</v>
      </c>
      <c r="D384" t="inlineStr">
        <is>
          <t>JÄMTLANDS LÄN</t>
        </is>
      </c>
      <c r="E384" t="inlineStr">
        <is>
          <t>KROKOM</t>
        </is>
      </c>
      <c r="F384" t="inlineStr">
        <is>
          <t>Övriga Aktiebolag</t>
        </is>
      </c>
      <c r="G384" t="n">
        <v>11.6</v>
      </c>
      <c r="H384" t="n">
        <v>0</v>
      </c>
      <c r="I384" t="n">
        <v>0</v>
      </c>
      <c r="J384" t="n">
        <v>0</v>
      </c>
      <c r="K384" t="n">
        <v>0</v>
      </c>
      <c r="L384" t="n">
        <v>0</v>
      </c>
      <c r="M384" t="n">
        <v>0</v>
      </c>
      <c r="N384" t="n">
        <v>0</v>
      </c>
      <c r="O384" t="n">
        <v>0</v>
      </c>
      <c r="P384" t="n">
        <v>0</v>
      </c>
      <c r="Q384" t="n">
        <v>0</v>
      </c>
      <c r="R384" s="2" t="inlineStr"/>
    </row>
    <row r="385" ht="15" customHeight="1">
      <c r="A385" t="inlineStr">
        <is>
          <t>A 21000-2021</t>
        </is>
      </c>
      <c r="B385" s="1" t="n">
        <v>44316</v>
      </c>
      <c r="C385" s="1" t="n">
        <v>45923</v>
      </c>
      <c r="D385" t="inlineStr">
        <is>
          <t>JÄMTLANDS LÄN</t>
        </is>
      </c>
      <c r="E385" t="inlineStr">
        <is>
          <t>KROKOM</t>
        </is>
      </c>
      <c r="G385" t="n">
        <v>2.5</v>
      </c>
      <c r="H385" t="n">
        <v>0</v>
      </c>
      <c r="I385" t="n">
        <v>0</v>
      </c>
      <c r="J385" t="n">
        <v>0</v>
      </c>
      <c r="K385" t="n">
        <v>0</v>
      </c>
      <c r="L385" t="n">
        <v>0</v>
      </c>
      <c r="M385" t="n">
        <v>0</v>
      </c>
      <c r="N385" t="n">
        <v>0</v>
      </c>
      <c r="O385" t="n">
        <v>0</v>
      </c>
      <c r="P385" t="n">
        <v>0</v>
      </c>
      <c r="Q385" t="n">
        <v>0</v>
      </c>
      <c r="R385" s="2" t="inlineStr"/>
    </row>
    <row r="386" ht="15" customHeight="1">
      <c r="A386" t="inlineStr">
        <is>
          <t>A 72064-2021</t>
        </is>
      </c>
      <c r="B386" s="1" t="n">
        <v>44544.49326388889</v>
      </c>
      <c r="C386" s="1" t="n">
        <v>45923</v>
      </c>
      <c r="D386" t="inlineStr">
        <is>
          <t>JÄMTLANDS LÄN</t>
        </is>
      </c>
      <c r="E386" t="inlineStr">
        <is>
          <t>KROKOM</t>
        </is>
      </c>
      <c r="G386" t="n">
        <v>18.7</v>
      </c>
      <c r="H386" t="n">
        <v>0</v>
      </c>
      <c r="I386" t="n">
        <v>0</v>
      </c>
      <c r="J386" t="n">
        <v>0</v>
      </c>
      <c r="K386" t="n">
        <v>0</v>
      </c>
      <c r="L386" t="n">
        <v>0</v>
      </c>
      <c r="M386" t="n">
        <v>0</v>
      </c>
      <c r="N386" t="n">
        <v>0</v>
      </c>
      <c r="O386" t="n">
        <v>0</v>
      </c>
      <c r="P386" t="n">
        <v>0</v>
      </c>
      <c r="Q386" t="n">
        <v>0</v>
      </c>
      <c r="R386" s="2" t="inlineStr"/>
    </row>
    <row r="387" ht="15" customHeight="1">
      <c r="A387" t="inlineStr">
        <is>
          <t>A 59293-2023</t>
        </is>
      </c>
      <c r="B387" s="1" t="n">
        <v>45253</v>
      </c>
      <c r="C387" s="1" t="n">
        <v>45923</v>
      </c>
      <c r="D387" t="inlineStr">
        <is>
          <t>JÄMTLANDS LÄN</t>
        </is>
      </c>
      <c r="E387" t="inlineStr">
        <is>
          <t>KROKOM</t>
        </is>
      </c>
      <c r="G387" t="n">
        <v>5.4</v>
      </c>
      <c r="H387" t="n">
        <v>0</v>
      </c>
      <c r="I387" t="n">
        <v>0</v>
      </c>
      <c r="J387" t="n">
        <v>0</v>
      </c>
      <c r="K387" t="n">
        <v>0</v>
      </c>
      <c r="L387" t="n">
        <v>0</v>
      </c>
      <c r="M387" t="n">
        <v>0</v>
      </c>
      <c r="N387" t="n">
        <v>0</v>
      </c>
      <c r="O387" t="n">
        <v>0</v>
      </c>
      <c r="P387" t="n">
        <v>0</v>
      </c>
      <c r="Q387" t="n">
        <v>0</v>
      </c>
      <c r="R387" s="2" t="inlineStr"/>
    </row>
    <row r="388" ht="15" customHeight="1">
      <c r="A388" t="inlineStr">
        <is>
          <t>A 68658-2020</t>
        </is>
      </c>
      <c r="B388" s="1" t="n">
        <v>44186</v>
      </c>
      <c r="C388" s="1" t="n">
        <v>45923</v>
      </c>
      <c r="D388" t="inlineStr">
        <is>
          <t>JÄMTLANDS LÄN</t>
        </is>
      </c>
      <c r="E388" t="inlineStr">
        <is>
          <t>KROKOM</t>
        </is>
      </c>
      <c r="G388" t="n">
        <v>1.3</v>
      </c>
      <c r="H388" t="n">
        <v>0</v>
      </c>
      <c r="I388" t="n">
        <v>0</v>
      </c>
      <c r="J388" t="n">
        <v>0</v>
      </c>
      <c r="K388" t="n">
        <v>0</v>
      </c>
      <c r="L388" t="n">
        <v>0</v>
      </c>
      <c r="M388" t="n">
        <v>0</v>
      </c>
      <c r="N388" t="n">
        <v>0</v>
      </c>
      <c r="O388" t="n">
        <v>0</v>
      </c>
      <c r="P388" t="n">
        <v>0</v>
      </c>
      <c r="Q388" t="n">
        <v>0</v>
      </c>
      <c r="R388" s="2" t="inlineStr"/>
    </row>
    <row r="389" ht="15" customHeight="1">
      <c r="A389" t="inlineStr">
        <is>
          <t>A 34516-2025</t>
        </is>
      </c>
      <c r="B389" s="1" t="n">
        <v>45847.46462962963</v>
      </c>
      <c r="C389" s="1" t="n">
        <v>45923</v>
      </c>
      <c r="D389" t="inlineStr">
        <is>
          <t>JÄMTLANDS LÄN</t>
        </is>
      </c>
      <c r="E389" t="inlineStr">
        <is>
          <t>KROKOM</t>
        </is>
      </c>
      <c r="G389" t="n">
        <v>4</v>
      </c>
      <c r="H389" t="n">
        <v>0</v>
      </c>
      <c r="I389" t="n">
        <v>0</v>
      </c>
      <c r="J389" t="n">
        <v>0</v>
      </c>
      <c r="K389" t="n">
        <v>0</v>
      </c>
      <c r="L389" t="n">
        <v>0</v>
      </c>
      <c r="M389" t="n">
        <v>0</v>
      </c>
      <c r="N389" t="n">
        <v>0</v>
      </c>
      <c r="O389" t="n">
        <v>0</v>
      </c>
      <c r="P389" t="n">
        <v>0</v>
      </c>
      <c r="Q389" t="n">
        <v>0</v>
      </c>
      <c r="R389" s="2" t="inlineStr"/>
    </row>
    <row r="390" ht="15" customHeight="1">
      <c r="A390" t="inlineStr">
        <is>
          <t>A 34737-2025</t>
        </is>
      </c>
      <c r="B390" s="1" t="n">
        <v>45848.60371527778</v>
      </c>
      <c r="C390" s="1" t="n">
        <v>45923</v>
      </c>
      <c r="D390" t="inlineStr">
        <is>
          <t>JÄMTLANDS LÄN</t>
        </is>
      </c>
      <c r="E390" t="inlineStr">
        <is>
          <t>KROKOM</t>
        </is>
      </c>
      <c r="G390" t="n">
        <v>7.5</v>
      </c>
      <c r="H390" t="n">
        <v>0</v>
      </c>
      <c r="I390" t="n">
        <v>0</v>
      </c>
      <c r="J390" t="n">
        <v>0</v>
      </c>
      <c r="K390" t="n">
        <v>0</v>
      </c>
      <c r="L390" t="n">
        <v>0</v>
      </c>
      <c r="M390" t="n">
        <v>0</v>
      </c>
      <c r="N390" t="n">
        <v>0</v>
      </c>
      <c r="O390" t="n">
        <v>0</v>
      </c>
      <c r="P390" t="n">
        <v>0</v>
      </c>
      <c r="Q390" t="n">
        <v>0</v>
      </c>
      <c r="R390" s="2" t="inlineStr"/>
    </row>
    <row r="391" ht="15" customHeight="1">
      <c r="A391" t="inlineStr">
        <is>
          <t>A 53765-2022</t>
        </is>
      </c>
      <c r="B391" s="1" t="n">
        <v>44875</v>
      </c>
      <c r="C391" s="1" t="n">
        <v>45923</v>
      </c>
      <c r="D391" t="inlineStr">
        <is>
          <t>JÄMTLANDS LÄN</t>
        </is>
      </c>
      <c r="E391" t="inlineStr">
        <is>
          <t>KROKOM</t>
        </is>
      </c>
      <c r="G391" t="n">
        <v>6.4</v>
      </c>
      <c r="H391" t="n">
        <v>0</v>
      </c>
      <c r="I391" t="n">
        <v>0</v>
      </c>
      <c r="J391" t="n">
        <v>0</v>
      </c>
      <c r="K391" t="n">
        <v>0</v>
      </c>
      <c r="L391" t="n">
        <v>0</v>
      </c>
      <c r="M391" t="n">
        <v>0</v>
      </c>
      <c r="N391" t="n">
        <v>0</v>
      </c>
      <c r="O391" t="n">
        <v>0</v>
      </c>
      <c r="P391" t="n">
        <v>0</v>
      </c>
      <c r="Q391" t="n">
        <v>0</v>
      </c>
      <c r="R391" s="2" t="inlineStr"/>
    </row>
    <row r="392" ht="15" customHeight="1">
      <c r="A392" t="inlineStr">
        <is>
          <t>A 8011-2025</t>
        </is>
      </c>
      <c r="B392" s="1" t="n">
        <v>45707.55246527777</v>
      </c>
      <c r="C392" s="1" t="n">
        <v>45923</v>
      </c>
      <c r="D392" t="inlineStr">
        <is>
          <t>JÄMTLANDS LÄN</t>
        </is>
      </c>
      <c r="E392" t="inlineStr">
        <is>
          <t>KROKOM</t>
        </is>
      </c>
      <c r="F392" t="inlineStr">
        <is>
          <t>Övriga Aktiebolag</t>
        </is>
      </c>
      <c r="G392" t="n">
        <v>10.6</v>
      </c>
      <c r="H392" t="n">
        <v>0</v>
      </c>
      <c r="I392" t="n">
        <v>0</v>
      </c>
      <c r="J392" t="n">
        <v>0</v>
      </c>
      <c r="K392" t="n">
        <v>0</v>
      </c>
      <c r="L392" t="n">
        <v>0</v>
      </c>
      <c r="M392" t="n">
        <v>0</v>
      </c>
      <c r="N392" t="n">
        <v>0</v>
      </c>
      <c r="O392" t="n">
        <v>0</v>
      </c>
      <c r="P392" t="n">
        <v>0</v>
      </c>
      <c r="Q392" t="n">
        <v>0</v>
      </c>
      <c r="R392" s="2" t="inlineStr"/>
    </row>
    <row r="393" ht="15" customHeight="1">
      <c r="A393" t="inlineStr">
        <is>
          <t>A 10397-2025</t>
        </is>
      </c>
      <c r="B393" s="1" t="n">
        <v>45720.60774305555</v>
      </c>
      <c r="C393" s="1" t="n">
        <v>45923</v>
      </c>
      <c r="D393" t="inlineStr">
        <is>
          <t>JÄMTLANDS LÄN</t>
        </is>
      </c>
      <c r="E393" t="inlineStr">
        <is>
          <t>KROKOM</t>
        </is>
      </c>
      <c r="F393" t="inlineStr">
        <is>
          <t>Övriga Aktiebolag</t>
        </is>
      </c>
      <c r="G393" t="n">
        <v>32.9</v>
      </c>
      <c r="H393" t="n">
        <v>0</v>
      </c>
      <c r="I393" t="n">
        <v>0</v>
      </c>
      <c r="J393" t="n">
        <v>0</v>
      </c>
      <c r="K393" t="n">
        <v>0</v>
      </c>
      <c r="L393" t="n">
        <v>0</v>
      </c>
      <c r="M393" t="n">
        <v>0</v>
      </c>
      <c r="N393" t="n">
        <v>0</v>
      </c>
      <c r="O393" t="n">
        <v>0</v>
      </c>
      <c r="P393" t="n">
        <v>0</v>
      </c>
      <c r="Q393" t="n">
        <v>0</v>
      </c>
      <c r="R393" s="2" t="inlineStr"/>
    </row>
    <row r="394" ht="15" customHeight="1">
      <c r="A394" t="inlineStr">
        <is>
          <t>A 53827-2024</t>
        </is>
      </c>
      <c r="B394" s="1" t="n">
        <v>45615.61302083333</v>
      </c>
      <c r="C394" s="1" t="n">
        <v>45923</v>
      </c>
      <c r="D394" t="inlineStr">
        <is>
          <t>JÄMTLANDS LÄN</t>
        </is>
      </c>
      <c r="E394" t="inlineStr">
        <is>
          <t>KROKOM</t>
        </is>
      </c>
      <c r="F394" t="inlineStr">
        <is>
          <t>Övriga Aktiebolag</t>
        </is>
      </c>
      <c r="G394" t="n">
        <v>14.2</v>
      </c>
      <c r="H394" t="n">
        <v>0</v>
      </c>
      <c r="I394" t="n">
        <v>0</v>
      </c>
      <c r="J394" t="n">
        <v>0</v>
      </c>
      <c r="K394" t="n">
        <v>0</v>
      </c>
      <c r="L394" t="n">
        <v>0</v>
      </c>
      <c r="M394" t="n">
        <v>0</v>
      </c>
      <c r="N394" t="n">
        <v>0</v>
      </c>
      <c r="O394" t="n">
        <v>0</v>
      </c>
      <c r="P394" t="n">
        <v>0</v>
      </c>
      <c r="Q394" t="n">
        <v>0</v>
      </c>
      <c r="R394" s="2" t="inlineStr"/>
    </row>
    <row r="395" ht="15" customHeight="1">
      <c r="A395" t="inlineStr">
        <is>
          <t>A 43426-2022</t>
        </is>
      </c>
      <c r="B395" s="1" t="n">
        <v>44834.95019675926</v>
      </c>
      <c r="C395" s="1" t="n">
        <v>45923</v>
      </c>
      <c r="D395" t="inlineStr">
        <is>
          <t>JÄMTLANDS LÄN</t>
        </is>
      </c>
      <c r="E395" t="inlineStr">
        <is>
          <t>KROKOM</t>
        </is>
      </c>
      <c r="F395" t="inlineStr">
        <is>
          <t>SCA</t>
        </is>
      </c>
      <c r="G395" t="n">
        <v>34.4</v>
      </c>
      <c r="H395" t="n">
        <v>0</v>
      </c>
      <c r="I395" t="n">
        <v>0</v>
      </c>
      <c r="J395" t="n">
        <v>0</v>
      </c>
      <c r="K395" t="n">
        <v>0</v>
      </c>
      <c r="L395" t="n">
        <v>0</v>
      </c>
      <c r="M395" t="n">
        <v>0</v>
      </c>
      <c r="N395" t="n">
        <v>0</v>
      </c>
      <c r="O395" t="n">
        <v>0</v>
      </c>
      <c r="P395" t="n">
        <v>0</v>
      </c>
      <c r="Q395" t="n">
        <v>0</v>
      </c>
      <c r="R395" s="2" t="inlineStr"/>
    </row>
    <row r="396" ht="15" customHeight="1">
      <c r="A396" t="inlineStr">
        <is>
          <t>A 34872-2025</t>
        </is>
      </c>
      <c r="B396" s="1" t="n">
        <v>45849.4525462963</v>
      </c>
      <c r="C396" s="1" t="n">
        <v>45923</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24387-2023</t>
        </is>
      </c>
      <c r="B397" s="1" t="n">
        <v>45082</v>
      </c>
      <c r="C397" s="1" t="n">
        <v>45923</v>
      </c>
      <c r="D397" t="inlineStr">
        <is>
          <t>JÄMTLANDS LÄN</t>
        </is>
      </c>
      <c r="E397" t="inlineStr">
        <is>
          <t>KROKOM</t>
        </is>
      </c>
      <c r="F397" t="inlineStr">
        <is>
          <t>Kyrkan</t>
        </is>
      </c>
      <c r="G397" t="n">
        <v>21.2</v>
      </c>
      <c r="H397" t="n">
        <v>0</v>
      </c>
      <c r="I397" t="n">
        <v>0</v>
      </c>
      <c r="J397" t="n">
        <v>0</v>
      </c>
      <c r="K397" t="n">
        <v>0</v>
      </c>
      <c r="L397" t="n">
        <v>0</v>
      </c>
      <c r="M397" t="n">
        <v>0</v>
      </c>
      <c r="N397" t="n">
        <v>0</v>
      </c>
      <c r="O397" t="n">
        <v>0</v>
      </c>
      <c r="P397" t="n">
        <v>0</v>
      </c>
      <c r="Q397" t="n">
        <v>0</v>
      </c>
      <c r="R397" s="2" t="inlineStr"/>
    </row>
    <row r="398" ht="15" customHeight="1">
      <c r="A398" t="inlineStr">
        <is>
          <t>A 14293-2025</t>
        </is>
      </c>
      <c r="B398" s="1" t="n">
        <v>45740</v>
      </c>
      <c r="C398" s="1" t="n">
        <v>45923</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15663-2025</t>
        </is>
      </c>
      <c r="B399" s="1" t="n">
        <v>45748</v>
      </c>
      <c r="C399" s="1" t="n">
        <v>45923</v>
      </c>
      <c r="D399" t="inlineStr">
        <is>
          <t>JÄMTLANDS LÄN</t>
        </is>
      </c>
      <c r="E399" t="inlineStr">
        <is>
          <t>KROKOM</t>
        </is>
      </c>
      <c r="F399" t="inlineStr">
        <is>
          <t>Övriga Aktiebolag</t>
        </is>
      </c>
      <c r="G399" t="n">
        <v>11.5</v>
      </c>
      <c r="H399" t="n">
        <v>0</v>
      </c>
      <c r="I399" t="n">
        <v>0</v>
      </c>
      <c r="J399" t="n">
        <v>0</v>
      </c>
      <c r="K399" t="n">
        <v>0</v>
      </c>
      <c r="L399" t="n">
        <v>0</v>
      </c>
      <c r="M399" t="n">
        <v>0</v>
      </c>
      <c r="N399" t="n">
        <v>0</v>
      </c>
      <c r="O399" t="n">
        <v>0</v>
      </c>
      <c r="P399" t="n">
        <v>0</v>
      </c>
      <c r="Q399" t="n">
        <v>0</v>
      </c>
      <c r="R399" s="2" t="inlineStr"/>
    </row>
    <row r="400" ht="15" customHeight="1">
      <c r="A400" t="inlineStr">
        <is>
          <t>A 53402-2022</t>
        </is>
      </c>
      <c r="B400" s="1" t="n">
        <v>44874</v>
      </c>
      <c r="C400" s="1" t="n">
        <v>45923</v>
      </c>
      <c r="D400" t="inlineStr">
        <is>
          <t>JÄMTLANDS LÄN</t>
        </is>
      </c>
      <c r="E400" t="inlineStr">
        <is>
          <t>KROKOM</t>
        </is>
      </c>
      <c r="G400" t="n">
        <v>36.7</v>
      </c>
      <c r="H400" t="n">
        <v>0</v>
      </c>
      <c r="I400" t="n">
        <v>0</v>
      </c>
      <c r="J400" t="n">
        <v>0</v>
      </c>
      <c r="K400" t="n">
        <v>0</v>
      </c>
      <c r="L400" t="n">
        <v>0</v>
      </c>
      <c r="M400" t="n">
        <v>0</v>
      </c>
      <c r="N400" t="n">
        <v>0</v>
      </c>
      <c r="O400" t="n">
        <v>0</v>
      </c>
      <c r="P400" t="n">
        <v>0</v>
      </c>
      <c r="Q400" t="n">
        <v>0</v>
      </c>
      <c r="R400" s="2" t="inlineStr"/>
    </row>
    <row r="401" ht="15" customHeight="1">
      <c r="A401" t="inlineStr">
        <is>
          <t>A 34829-2025</t>
        </is>
      </c>
      <c r="B401" s="1" t="n">
        <v>45849.3859837963</v>
      </c>
      <c r="C401" s="1" t="n">
        <v>45923</v>
      </c>
      <c r="D401" t="inlineStr">
        <is>
          <t>JÄMTLANDS LÄN</t>
        </is>
      </c>
      <c r="E401" t="inlineStr">
        <is>
          <t>KROKOM</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25428-2022</t>
        </is>
      </c>
      <c r="B402" s="1" t="n">
        <v>44732</v>
      </c>
      <c r="C402" s="1" t="n">
        <v>45923</v>
      </c>
      <c r="D402" t="inlineStr">
        <is>
          <t>JÄMTLANDS LÄN</t>
        </is>
      </c>
      <c r="E402" t="inlineStr">
        <is>
          <t>KROKOM</t>
        </is>
      </c>
      <c r="G402" t="n">
        <v>0.6</v>
      </c>
      <c r="H402" t="n">
        <v>0</v>
      </c>
      <c r="I402" t="n">
        <v>0</v>
      </c>
      <c r="J402" t="n">
        <v>0</v>
      </c>
      <c r="K402" t="n">
        <v>0</v>
      </c>
      <c r="L402" t="n">
        <v>0</v>
      </c>
      <c r="M402" t="n">
        <v>0</v>
      </c>
      <c r="N402" t="n">
        <v>0</v>
      </c>
      <c r="O402" t="n">
        <v>0</v>
      </c>
      <c r="P402" t="n">
        <v>0</v>
      </c>
      <c r="Q402" t="n">
        <v>0</v>
      </c>
      <c r="R402" s="2" t="inlineStr"/>
    </row>
    <row r="403" ht="15" customHeight="1">
      <c r="A403" t="inlineStr">
        <is>
          <t>A 50302-2022</t>
        </is>
      </c>
      <c r="B403" s="1" t="n">
        <v>44865</v>
      </c>
      <c r="C403" s="1" t="n">
        <v>45923</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57459-2024</t>
        </is>
      </c>
      <c r="B404" s="1" t="n">
        <v>45630</v>
      </c>
      <c r="C404" s="1" t="n">
        <v>45923</v>
      </c>
      <c r="D404" t="inlineStr">
        <is>
          <t>JÄMTLANDS LÄN</t>
        </is>
      </c>
      <c r="E404" t="inlineStr">
        <is>
          <t>KROKOM</t>
        </is>
      </c>
      <c r="G404" t="n">
        <v>19.2</v>
      </c>
      <c r="H404" t="n">
        <v>0</v>
      </c>
      <c r="I404" t="n">
        <v>0</v>
      </c>
      <c r="J404" t="n">
        <v>0</v>
      </c>
      <c r="K404" t="n">
        <v>0</v>
      </c>
      <c r="L404" t="n">
        <v>0</v>
      </c>
      <c r="M404" t="n">
        <v>0</v>
      </c>
      <c r="N404" t="n">
        <v>0</v>
      </c>
      <c r="O404" t="n">
        <v>0</v>
      </c>
      <c r="P404" t="n">
        <v>0</v>
      </c>
      <c r="Q404" t="n">
        <v>0</v>
      </c>
      <c r="R404" s="2" t="inlineStr"/>
    </row>
    <row r="405" ht="15" customHeight="1">
      <c r="A405" t="inlineStr">
        <is>
          <t>A 7111-2024</t>
        </is>
      </c>
      <c r="B405" s="1" t="n">
        <v>45343.95162037037</v>
      </c>
      <c r="C405" s="1" t="n">
        <v>45923</v>
      </c>
      <c r="D405" t="inlineStr">
        <is>
          <t>JÄMTLANDS LÄN</t>
        </is>
      </c>
      <c r="E405" t="inlineStr">
        <is>
          <t>KROKOM</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40180-2025</t>
        </is>
      </c>
      <c r="B406" s="1" t="n">
        <v>45894.63693287037</v>
      </c>
      <c r="C406" s="1" t="n">
        <v>45923</v>
      </c>
      <c r="D406" t="inlineStr">
        <is>
          <t>JÄMTLANDS LÄN</t>
        </is>
      </c>
      <c r="E406" t="inlineStr">
        <is>
          <t>KROKOM</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5422-2021</t>
        </is>
      </c>
      <c r="B407" s="1" t="n">
        <v>44228</v>
      </c>
      <c r="C407" s="1" t="n">
        <v>45923</v>
      </c>
      <c r="D407" t="inlineStr">
        <is>
          <t>JÄMTLANDS LÄN</t>
        </is>
      </c>
      <c r="E407" t="inlineStr">
        <is>
          <t>KROKOM</t>
        </is>
      </c>
      <c r="G407" t="n">
        <v>11</v>
      </c>
      <c r="H407" t="n">
        <v>0</v>
      </c>
      <c r="I407" t="n">
        <v>0</v>
      </c>
      <c r="J407" t="n">
        <v>0</v>
      </c>
      <c r="K407" t="n">
        <v>0</v>
      </c>
      <c r="L407" t="n">
        <v>0</v>
      </c>
      <c r="M407" t="n">
        <v>0</v>
      </c>
      <c r="N407" t="n">
        <v>0</v>
      </c>
      <c r="O407" t="n">
        <v>0</v>
      </c>
      <c r="P407" t="n">
        <v>0</v>
      </c>
      <c r="Q407" t="n">
        <v>0</v>
      </c>
      <c r="R407" s="2" t="inlineStr"/>
    </row>
    <row r="408" ht="15" customHeight="1">
      <c r="A408" t="inlineStr">
        <is>
          <t>A 58347-2022</t>
        </is>
      </c>
      <c r="B408" s="1" t="n">
        <v>44901.59349537037</v>
      </c>
      <c r="C408" s="1" t="n">
        <v>45923</v>
      </c>
      <c r="D408" t="inlineStr">
        <is>
          <t>JÄMTLANDS LÄN</t>
        </is>
      </c>
      <c r="E408" t="inlineStr">
        <is>
          <t>KROKOM</t>
        </is>
      </c>
      <c r="F408" t="inlineStr">
        <is>
          <t>Övriga Aktiebolag</t>
        </is>
      </c>
      <c r="G408" t="n">
        <v>5.6</v>
      </c>
      <c r="H408" t="n">
        <v>0</v>
      </c>
      <c r="I408" t="n">
        <v>0</v>
      </c>
      <c r="J408" t="n">
        <v>0</v>
      </c>
      <c r="K408" t="n">
        <v>0</v>
      </c>
      <c r="L408" t="n">
        <v>0</v>
      </c>
      <c r="M408" t="n">
        <v>0</v>
      </c>
      <c r="N408" t="n">
        <v>0</v>
      </c>
      <c r="O408" t="n">
        <v>0</v>
      </c>
      <c r="P408" t="n">
        <v>0</v>
      </c>
      <c r="Q408" t="n">
        <v>0</v>
      </c>
      <c r="R408" s="2" t="inlineStr"/>
    </row>
    <row r="409" ht="15" customHeight="1">
      <c r="A409" t="inlineStr">
        <is>
          <t>A 40271-2024</t>
        </is>
      </c>
      <c r="B409" s="1" t="n">
        <v>45554</v>
      </c>
      <c r="C409" s="1" t="n">
        <v>45923</v>
      </c>
      <c r="D409" t="inlineStr">
        <is>
          <t>JÄMTLANDS LÄN</t>
        </is>
      </c>
      <c r="E409" t="inlineStr">
        <is>
          <t>KROKOM</t>
        </is>
      </c>
      <c r="F409" t="inlineStr">
        <is>
          <t>Övriga Aktiebolag</t>
        </is>
      </c>
      <c r="G409" t="n">
        <v>3</v>
      </c>
      <c r="H409" t="n">
        <v>0</v>
      </c>
      <c r="I409" t="n">
        <v>0</v>
      </c>
      <c r="J409" t="n">
        <v>0</v>
      </c>
      <c r="K409" t="n">
        <v>0</v>
      </c>
      <c r="L409" t="n">
        <v>0</v>
      </c>
      <c r="M409" t="n">
        <v>0</v>
      </c>
      <c r="N409" t="n">
        <v>0</v>
      </c>
      <c r="O409" t="n">
        <v>0</v>
      </c>
      <c r="P409" t="n">
        <v>0</v>
      </c>
      <c r="Q409" t="n">
        <v>0</v>
      </c>
      <c r="R409" s="2" t="inlineStr"/>
    </row>
    <row r="410" ht="15" customHeight="1">
      <c r="A410" t="inlineStr">
        <is>
          <t>A 58415-2024</t>
        </is>
      </c>
      <c r="B410" s="1" t="n">
        <v>45634.7925</v>
      </c>
      <c r="C410" s="1" t="n">
        <v>45923</v>
      </c>
      <c r="D410" t="inlineStr">
        <is>
          <t>JÄMTLANDS LÄN</t>
        </is>
      </c>
      <c r="E410" t="inlineStr">
        <is>
          <t>KROKOM</t>
        </is>
      </c>
      <c r="G410" t="n">
        <v>2.1</v>
      </c>
      <c r="H410" t="n">
        <v>0</v>
      </c>
      <c r="I410" t="n">
        <v>0</v>
      </c>
      <c r="J410" t="n">
        <v>0</v>
      </c>
      <c r="K410" t="n">
        <v>0</v>
      </c>
      <c r="L410" t="n">
        <v>0</v>
      </c>
      <c r="M410" t="n">
        <v>0</v>
      </c>
      <c r="N410" t="n">
        <v>0</v>
      </c>
      <c r="O410" t="n">
        <v>0</v>
      </c>
      <c r="P410" t="n">
        <v>0</v>
      </c>
      <c r="Q410" t="n">
        <v>0</v>
      </c>
      <c r="R410" s="2" t="inlineStr"/>
    </row>
    <row r="411" ht="15" customHeight="1">
      <c r="A411" t="inlineStr">
        <is>
          <t>A 58416-2024</t>
        </is>
      </c>
      <c r="B411" s="1" t="n">
        <v>45634.79854166666</v>
      </c>
      <c r="C411" s="1" t="n">
        <v>45923</v>
      </c>
      <c r="D411" t="inlineStr">
        <is>
          <t>JÄMTLANDS LÄN</t>
        </is>
      </c>
      <c r="E411" t="inlineStr">
        <is>
          <t>KROKOM</t>
        </is>
      </c>
      <c r="G411" t="n">
        <v>1.2</v>
      </c>
      <c r="H411" t="n">
        <v>0</v>
      </c>
      <c r="I411" t="n">
        <v>0</v>
      </c>
      <c r="J411" t="n">
        <v>0</v>
      </c>
      <c r="K411" t="n">
        <v>0</v>
      </c>
      <c r="L411" t="n">
        <v>0</v>
      </c>
      <c r="M411" t="n">
        <v>0</v>
      </c>
      <c r="N411" t="n">
        <v>0</v>
      </c>
      <c r="O411" t="n">
        <v>0</v>
      </c>
      <c r="P411" t="n">
        <v>0</v>
      </c>
      <c r="Q411" t="n">
        <v>0</v>
      </c>
      <c r="R411" s="2" t="inlineStr"/>
    </row>
    <row r="412" ht="15" customHeight="1">
      <c r="A412" t="inlineStr">
        <is>
          <t>A 52240-2024</t>
        </is>
      </c>
      <c r="B412" s="1" t="n">
        <v>45608.61923611111</v>
      </c>
      <c r="C412" s="1" t="n">
        <v>45923</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27224-2024</t>
        </is>
      </c>
      <c r="B413" s="1" t="n">
        <v>45471.63390046296</v>
      </c>
      <c r="C413" s="1" t="n">
        <v>45923</v>
      </c>
      <c r="D413" t="inlineStr">
        <is>
          <t>JÄMTLANDS LÄN</t>
        </is>
      </c>
      <c r="E413" t="inlineStr">
        <is>
          <t>KROKOM</t>
        </is>
      </c>
      <c r="G413" t="n">
        <v>5.4</v>
      </c>
      <c r="H413" t="n">
        <v>0</v>
      </c>
      <c r="I413" t="n">
        <v>0</v>
      </c>
      <c r="J413" t="n">
        <v>0</v>
      </c>
      <c r="K413" t="n">
        <v>0</v>
      </c>
      <c r="L413" t="n">
        <v>0</v>
      </c>
      <c r="M413" t="n">
        <v>0</v>
      </c>
      <c r="N413" t="n">
        <v>0</v>
      </c>
      <c r="O413" t="n">
        <v>0</v>
      </c>
      <c r="P413" t="n">
        <v>0</v>
      </c>
      <c r="Q413" t="n">
        <v>0</v>
      </c>
      <c r="R413" s="2" t="inlineStr"/>
    </row>
    <row r="414" ht="15" customHeight="1">
      <c r="A414" t="inlineStr">
        <is>
          <t>A 27899-2025</t>
        </is>
      </c>
      <c r="B414" s="1" t="n">
        <v>45817</v>
      </c>
      <c r="C414" s="1" t="n">
        <v>45923</v>
      </c>
      <c r="D414" t="inlineStr">
        <is>
          <t>JÄMTLANDS LÄN</t>
        </is>
      </c>
      <c r="E414" t="inlineStr">
        <is>
          <t>KROKOM</t>
        </is>
      </c>
      <c r="G414" t="n">
        <v>16.4</v>
      </c>
      <c r="H414" t="n">
        <v>0</v>
      </c>
      <c r="I414" t="n">
        <v>0</v>
      </c>
      <c r="J414" t="n">
        <v>0</v>
      </c>
      <c r="K414" t="n">
        <v>0</v>
      </c>
      <c r="L414" t="n">
        <v>0</v>
      </c>
      <c r="M414" t="n">
        <v>0</v>
      </c>
      <c r="N414" t="n">
        <v>0</v>
      </c>
      <c r="O414" t="n">
        <v>0</v>
      </c>
      <c r="P414" t="n">
        <v>0</v>
      </c>
      <c r="Q414" t="n">
        <v>0</v>
      </c>
      <c r="R414" s="2" t="inlineStr"/>
    </row>
    <row r="415" ht="15" customHeight="1">
      <c r="A415" t="inlineStr">
        <is>
          <t>A 55914-2023</t>
        </is>
      </c>
      <c r="B415" s="1" t="n">
        <v>45239.9681712963</v>
      </c>
      <c r="C415" s="1" t="n">
        <v>45923</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42816-2023</t>
        </is>
      </c>
      <c r="B416" s="1" t="n">
        <v>45182</v>
      </c>
      <c r="C416" s="1" t="n">
        <v>45923</v>
      </c>
      <c r="D416" t="inlineStr">
        <is>
          <t>JÄMTLANDS LÄN</t>
        </is>
      </c>
      <c r="E416" t="inlineStr">
        <is>
          <t>KROKOM</t>
        </is>
      </c>
      <c r="G416" t="n">
        <v>3.9</v>
      </c>
      <c r="H416" t="n">
        <v>0</v>
      </c>
      <c r="I416" t="n">
        <v>0</v>
      </c>
      <c r="J416" t="n">
        <v>0</v>
      </c>
      <c r="K416" t="n">
        <v>0</v>
      </c>
      <c r="L416" t="n">
        <v>0</v>
      </c>
      <c r="M416" t="n">
        <v>0</v>
      </c>
      <c r="N416" t="n">
        <v>0</v>
      </c>
      <c r="O416" t="n">
        <v>0</v>
      </c>
      <c r="P416" t="n">
        <v>0</v>
      </c>
      <c r="Q416" t="n">
        <v>0</v>
      </c>
      <c r="R416" s="2" t="inlineStr"/>
    </row>
    <row r="417" ht="15" customHeight="1">
      <c r="A417" t="inlineStr">
        <is>
          <t>A 27597-2024</t>
        </is>
      </c>
      <c r="B417" s="1" t="n">
        <v>45474.69155092593</v>
      </c>
      <c r="C417" s="1" t="n">
        <v>45923</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36079-2021</t>
        </is>
      </c>
      <c r="B418" s="1" t="n">
        <v>44389</v>
      </c>
      <c r="C418" s="1" t="n">
        <v>45923</v>
      </c>
      <c r="D418" t="inlineStr">
        <is>
          <t>JÄMTLANDS LÄN</t>
        </is>
      </c>
      <c r="E418" t="inlineStr">
        <is>
          <t>KROKOM</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50129-2024</t>
        </is>
      </c>
      <c r="B419" s="1" t="n">
        <v>45600.433125</v>
      </c>
      <c r="C419" s="1" t="n">
        <v>45923</v>
      </c>
      <c r="D419" t="inlineStr">
        <is>
          <t>JÄMTLANDS LÄN</t>
        </is>
      </c>
      <c r="E419" t="inlineStr">
        <is>
          <t>KROKOM</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6991-2025</t>
        </is>
      </c>
      <c r="B420" s="1" t="n">
        <v>45701.57363425926</v>
      </c>
      <c r="C420" s="1" t="n">
        <v>45923</v>
      </c>
      <c r="D420" t="inlineStr">
        <is>
          <t>JÄMTLANDS LÄN</t>
        </is>
      </c>
      <c r="E420" t="inlineStr">
        <is>
          <t>KROKOM</t>
        </is>
      </c>
      <c r="G420" t="n">
        <v>4.9</v>
      </c>
      <c r="H420" t="n">
        <v>0</v>
      </c>
      <c r="I420" t="n">
        <v>0</v>
      </c>
      <c r="J420" t="n">
        <v>0</v>
      </c>
      <c r="K420" t="n">
        <v>0</v>
      </c>
      <c r="L420" t="n">
        <v>0</v>
      </c>
      <c r="M420" t="n">
        <v>0</v>
      </c>
      <c r="N420" t="n">
        <v>0</v>
      </c>
      <c r="O420" t="n">
        <v>0</v>
      </c>
      <c r="P420" t="n">
        <v>0</v>
      </c>
      <c r="Q420" t="n">
        <v>0</v>
      </c>
      <c r="R420" s="2" t="inlineStr"/>
    </row>
    <row r="421" ht="15" customHeight="1">
      <c r="A421" t="inlineStr">
        <is>
          <t>A 56361-2023</t>
        </is>
      </c>
      <c r="B421" s="1" t="n">
        <v>45243.37567129629</v>
      </c>
      <c r="C421" s="1" t="n">
        <v>45923</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14827-2024</t>
        </is>
      </c>
      <c r="B422" s="1" t="n">
        <v>45398</v>
      </c>
      <c r="C422" s="1" t="n">
        <v>45923</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40283-2025</t>
        </is>
      </c>
      <c r="B423" s="1" t="n">
        <v>45895.36994212963</v>
      </c>
      <c r="C423" s="1" t="n">
        <v>45923</v>
      </c>
      <c r="D423" t="inlineStr">
        <is>
          <t>JÄMTLANDS LÄN</t>
        </is>
      </c>
      <c r="E423" t="inlineStr">
        <is>
          <t>KROKOM</t>
        </is>
      </c>
      <c r="G423" t="n">
        <v>11.1</v>
      </c>
      <c r="H423" t="n">
        <v>0</v>
      </c>
      <c r="I423" t="n">
        <v>0</v>
      </c>
      <c r="J423" t="n">
        <v>0</v>
      </c>
      <c r="K423" t="n">
        <v>0</v>
      </c>
      <c r="L423" t="n">
        <v>0</v>
      </c>
      <c r="M423" t="n">
        <v>0</v>
      </c>
      <c r="N423" t="n">
        <v>0</v>
      </c>
      <c r="O423" t="n">
        <v>0</v>
      </c>
      <c r="P423" t="n">
        <v>0</v>
      </c>
      <c r="Q423" t="n">
        <v>0</v>
      </c>
      <c r="R423" s="2" t="inlineStr"/>
    </row>
    <row r="424" ht="15" customHeight="1">
      <c r="A424" t="inlineStr">
        <is>
          <t>A 24333-2024</t>
        </is>
      </c>
      <c r="B424" s="1" t="n">
        <v>45457.55922453704</v>
      </c>
      <c r="C424" s="1" t="n">
        <v>45923</v>
      </c>
      <c r="D424" t="inlineStr">
        <is>
          <t>JÄMTLANDS LÄN</t>
        </is>
      </c>
      <c r="E424" t="inlineStr">
        <is>
          <t>KROKOM</t>
        </is>
      </c>
      <c r="F424" t="inlineStr">
        <is>
          <t>Övriga Aktiebolag</t>
        </is>
      </c>
      <c r="G424" t="n">
        <v>1.8</v>
      </c>
      <c r="H424" t="n">
        <v>0</v>
      </c>
      <c r="I424" t="n">
        <v>0</v>
      </c>
      <c r="J424" t="n">
        <v>0</v>
      </c>
      <c r="K424" t="n">
        <v>0</v>
      </c>
      <c r="L424" t="n">
        <v>0</v>
      </c>
      <c r="M424" t="n">
        <v>0</v>
      </c>
      <c r="N424" t="n">
        <v>0</v>
      </c>
      <c r="O424" t="n">
        <v>0</v>
      </c>
      <c r="P424" t="n">
        <v>0</v>
      </c>
      <c r="Q424" t="n">
        <v>0</v>
      </c>
      <c r="R424" s="2" t="inlineStr"/>
    </row>
    <row r="425" ht="15" customHeight="1">
      <c r="A425" t="inlineStr">
        <is>
          <t>A 53807-2024</t>
        </is>
      </c>
      <c r="B425" s="1" t="n">
        <v>45615.59521990741</v>
      </c>
      <c r="C425" s="1" t="n">
        <v>45923</v>
      </c>
      <c r="D425" t="inlineStr">
        <is>
          <t>JÄMTLANDS LÄN</t>
        </is>
      </c>
      <c r="E425" t="inlineStr">
        <is>
          <t>KROKOM</t>
        </is>
      </c>
      <c r="G425" t="n">
        <v>6.5</v>
      </c>
      <c r="H425" t="n">
        <v>0</v>
      </c>
      <c r="I425" t="n">
        <v>0</v>
      </c>
      <c r="J425" t="n">
        <v>0</v>
      </c>
      <c r="K425" t="n">
        <v>0</v>
      </c>
      <c r="L425" t="n">
        <v>0</v>
      </c>
      <c r="M425" t="n">
        <v>0</v>
      </c>
      <c r="N425" t="n">
        <v>0</v>
      </c>
      <c r="O425" t="n">
        <v>0</v>
      </c>
      <c r="P425" t="n">
        <v>0</v>
      </c>
      <c r="Q425" t="n">
        <v>0</v>
      </c>
      <c r="R425" s="2" t="inlineStr"/>
    </row>
    <row r="426" ht="15" customHeight="1">
      <c r="A426" t="inlineStr">
        <is>
          <t>A 14170-2024</t>
        </is>
      </c>
      <c r="B426" s="1" t="n">
        <v>45392.95844907407</v>
      </c>
      <c r="C426" s="1" t="n">
        <v>45923</v>
      </c>
      <c r="D426" t="inlineStr">
        <is>
          <t>JÄMTLANDS LÄN</t>
        </is>
      </c>
      <c r="E426" t="inlineStr">
        <is>
          <t>KROKOM</t>
        </is>
      </c>
      <c r="G426" t="n">
        <v>4.9</v>
      </c>
      <c r="H426" t="n">
        <v>0</v>
      </c>
      <c r="I426" t="n">
        <v>0</v>
      </c>
      <c r="J426" t="n">
        <v>0</v>
      </c>
      <c r="K426" t="n">
        <v>0</v>
      </c>
      <c r="L426" t="n">
        <v>0</v>
      </c>
      <c r="M426" t="n">
        <v>0</v>
      </c>
      <c r="N426" t="n">
        <v>0</v>
      </c>
      <c r="O426" t="n">
        <v>0</v>
      </c>
      <c r="P426" t="n">
        <v>0</v>
      </c>
      <c r="Q426" t="n">
        <v>0</v>
      </c>
      <c r="R426" s="2" t="inlineStr"/>
    </row>
    <row r="427" ht="15" customHeight="1">
      <c r="A427" t="inlineStr">
        <is>
          <t>A 14171-2024</t>
        </is>
      </c>
      <c r="B427" s="1" t="n">
        <v>45392</v>
      </c>
      <c r="C427" s="1" t="n">
        <v>45923</v>
      </c>
      <c r="D427" t="inlineStr">
        <is>
          <t>JÄMTLANDS LÄN</t>
        </is>
      </c>
      <c r="E427" t="inlineStr">
        <is>
          <t>KROKOM</t>
        </is>
      </c>
      <c r="G427" t="n">
        <v>5.9</v>
      </c>
      <c r="H427" t="n">
        <v>0</v>
      </c>
      <c r="I427" t="n">
        <v>0</v>
      </c>
      <c r="J427" t="n">
        <v>0</v>
      </c>
      <c r="K427" t="n">
        <v>0</v>
      </c>
      <c r="L427" t="n">
        <v>0</v>
      </c>
      <c r="M427" t="n">
        <v>0</v>
      </c>
      <c r="N427" t="n">
        <v>0</v>
      </c>
      <c r="O427" t="n">
        <v>0</v>
      </c>
      <c r="P427" t="n">
        <v>0</v>
      </c>
      <c r="Q427" t="n">
        <v>0</v>
      </c>
      <c r="R427" s="2" t="inlineStr"/>
    </row>
    <row r="428" ht="15" customHeight="1">
      <c r="A428" t="inlineStr">
        <is>
          <t>A 61615-2023</t>
        </is>
      </c>
      <c r="B428" s="1" t="n">
        <v>45265.52887731481</v>
      </c>
      <c r="C428" s="1" t="n">
        <v>45923</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15638-2025</t>
        </is>
      </c>
      <c r="B429" s="1" t="n">
        <v>45748.3822337963</v>
      </c>
      <c r="C429" s="1" t="n">
        <v>45923</v>
      </c>
      <c r="D429" t="inlineStr">
        <is>
          <t>JÄMTLANDS LÄN</t>
        </is>
      </c>
      <c r="E429" t="inlineStr">
        <is>
          <t>KROKOM</t>
        </is>
      </c>
      <c r="F429" t="inlineStr">
        <is>
          <t>Kyrkan</t>
        </is>
      </c>
      <c r="G429" t="n">
        <v>5.9</v>
      </c>
      <c r="H429" t="n">
        <v>0</v>
      </c>
      <c r="I429" t="n">
        <v>0</v>
      </c>
      <c r="J429" t="n">
        <v>0</v>
      </c>
      <c r="K429" t="n">
        <v>0</v>
      </c>
      <c r="L429" t="n">
        <v>0</v>
      </c>
      <c r="M429" t="n">
        <v>0</v>
      </c>
      <c r="N429" t="n">
        <v>0</v>
      </c>
      <c r="O429" t="n">
        <v>0</v>
      </c>
      <c r="P429" t="n">
        <v>0</v>
      </c>
      <c r="Q429" t="n">
        <v>0</v>
      </c>
      <c r="R429" s="2" t="inlineStr"/>
    </row>
    <row r="430" ht="15" customHeight="1">
      <c r="A430" t="inlineStr">
        <is>
          <t>A 40507-2025</t>
        </is>
      </c>
      <c r="B430" s="1" t="n">
        <v>45896.34443287037</v>
      </c>
      <c r="C430" s="1" t="n">
        <v>45923</v>
      </c>
      <c r="D430" t="inlineStr">
        <is>
          <t>JÄMTLANDS LÄN</t>
        </is>
      </c>
      <c r="E430" t="inlineStr">
        <is>
          <t>KROKOM</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23665-2024</t>
        </is>
      </c>
      <c r="B431" s="1" t="n">
        <v>45454.57899305555</v>
      </c>
      <c r="C431" s="1" t="n">
        <v>45923</v>
      </c>
      <c r="D431" t="inlineStr">
        <is>
          <t>JÄMTLANDS LÄN</t>
        </is>
      </c>
      <c r="E431" t="inlineStr">
        <is>
          <t>KROKOM</t>
        </is>
      </c>
      <c r="G431" t="n">
        <v>1.1</v>
      </c>
      <c r="H431" t="n">
        <v>0</v>
      </c>
      <c r="I431" t="n">
        <v>0</v>
      </c>
      <c r="J431" t="n">
        <v>0</v>
      </c>
      <c r="K431" t="n">
        <v>0</v>
      </c>
      <c r="L431" t="n">
        <v>0</v>
      </c>
      <c r="M431" t="n">
        <v>0</v>
      </c>
      <c r="N431" t="n">
        <v>0</v>
      </c>
      <c r="O431" t="n">
        <v>0</v>
      </c>
      <c r="P431" t="n">
        <v>0</v>
      </c>
      <c r="Q431" t="n">
        <v>0</v>
      </c>
      <c r="R431" s="2" t="inlineStr"/>
    </row>
    <row r="432" ht="15" customHeight="1">
      <c r="A432" t="inlineStr">
        <is>
          <t>A 58355-2023</t>
        </is>
      </c>
      <c r="B432" s="1" t="n">
        <v>45250</v>
      </c>
      <c r="C432" s="1" t="n">
        <v>45923</v>
      </c>
      <c r="D432" t="inlineStr">
        <is>
          <t>JÄMTLANDS LÄN</t>
        </is>
      </c>
      <c r="E432" t="inlineStr">
        <is>
          <t>KROKOM</t>
        </is>
      </c>
      <c r="F432" t="inlineStr">
        <is>
          <t>Övriga Aktiebolag</t>
        </is>
      </c>
      <c r="G432" t="n">
        <v>6.6</v>
      </c>
      <c r="H432" t="n">
        <v>0</v>
      </c>
      <c r="I432" t="n">
        <v>0</v>
      </c>
      <c r="J432" t="n">
        <v>0</v>
      </c>
      <c r="K432" t="n">
        <v>0</v>
      </c>
      <c r="L432" t="n">
        <v>0</v>
      </c>
      <c r="M432" t="n">
        <v>0</v>
      </c>
      <c r="N432" t="n">
        <v>0</v>
      </c>
      <c r="O432" t="n">
        <v>0</v>
      </c>
      <c r="P432" t="n">
        <v>0</v>
      </c>
      <c r="Q432" t="n">
        <v>0</v>
      </c>
      <c r="R432" s="2" t="inlineStr"/>
    </row>
    <row r="433" ht="15" customHeight="1">
      <c r="A433" t="inlineStr">
        <is>
          <t>A 35354-2025</t>
        </is>
      </c>
      <c r="B433" s="1" t="n">
        <v>45854.65378472222</v>
      </c>
      <c r="C433" s="1" t="n">
        <v>45923</v>
      </c>
      <c r="D433" t="inlineStr">
        <is>
          <t>JÄMTLANDS LÄN</t>
        </is>
      </c>
      <c r="E433" t="inlineStr">
        <is>
          <t>KROKOM</t>
        </is>
      </c>
      <c r="G433" t="n">
        <v>3.7</v>
      </c>
      <c r="H433" t="n">
        <v>0</v>
      </c>
      <c r="I433" t="n">
        <v>0</v>
      </c>
      <c r="J433" t="n">
        <v>0</v>
      </c>
      <c r="K433" t="n">
        <v>0</v>
      </c>
      <c r="L433" t="n">
        <v>0</v>
      </c>
      <c r="M433" t="n">
        <v>0</v>
      </c>
      <c r="N433" t="n">
        <v>0</v>
      </c>
      <c r="O433" t="n">
        <v>0</v>
      </c>
      <c r="P433" t="n">
        <v>0</v>
      </c>
      <c r="Q433" t="n">
        <v>0</v>
      </c>
      <c r="R433" s="2" t="inlineStr"/>
    </row>
    <row r="434" ht="15" customHeight="1">
      <c r="A434" t="inlineStr">
        <is>
          <t>A 24234-2024</t>
        </is>
      </c>
      <c r="B434" s="1" t="n">
        <v>45457.35388888889</v>
      </c>
      <c r="C434" s="1" t="n">
        <v>45923</v>
      </c>
      <c r="D434" t="inlineStr">
        <is>
          <t>JÄMTLANDS LÄN</t>
        </is>
      </c>
      <c r="E434" t="inlineStr">
        <is>
          <t>KROKOM</t>
        </is>
      </c>
      <c r="G434" t="n">
        <v>2.6</v>
      </c>
      <c r="H434" t="n">
        <v>0</v>
      </c>
      <c r="I434" t="n">
        <v>0</v>
      </c>
      <c r="J434" t="n">
        <v>0</v>
      </c>
      <c r="K434" t="n">
        <v>0</v>
      </c>
      <c r="L434" t="n">
        <v>0</v>
      </c>
      <c r="M434" t="n">
        <v>0</v>
      </c>
      <c r="N434" t="n">
        <v>0</v>
      </c>
      <c r="O434" t="n">
        <v>0</v>
      </c>
      <c r="P434" t="n">
        <v>0</v>
      </c>
      <c r="Q434" t="n">
        <v>0</v>
      </c>
      <c r="R434" s="2" t="inlineStr"/>
    </row>
    <row r="435" ht="15" customHeight="1">
      <c r="A435" t="inlineStr">
        <is>
          <t>A 52911-2023</t>
        </is>
      </c>
      <c r="B435" s="1" t="n">
        <v>45226</v>
      </c>
      <c r="C435" s="1" t="n">
        <v>45923</v>
      </c>
      <c r="D435" t="inlineStr">
        <is>
          <t>JÄMTLANDS LÄN</t>
        </is>
      </c>
      <c r="E435" t="inlineStr">
        <is>
          <t>KROKOM</t>
        </is>
      </c>
      <c r="G435" t="n">
        <v>0.4</v>
      </c>
      <c r="H435" t="n">
        <v>0</v>
      </c>
      <c r="I435" t="n">
        <v>0</v>
      </c>
      <c r="J435" t="n">
        <v>0</v>
      </c>
      <c r="K435" t="n">
        <v>0</v>
      </c>
      <c r="L435" t="n">
        <v>0</v>
      </c>
      <c r="M435" t="n">
        <v>0</v>
      </c>
      <c r="N435" t="n">
        <v>0</v>
      </c>
      <c r="O435" t="n">
        <v>0</v>
      </c>
      <c r="P435" t="n">
        <v>0</v>
      </c>
      <c r="Q435" t="n">
        <v>0</v>
      </c>
      <c r="R435" s="2" t="inlineStr"/>
    </row>
    <row r="436" ht="15" customHeight="1">
      <c r="A436" t="inlineStr">
        <is>
          <t>A 15528-2024</t>
        </is>
      </c>
      <c r="B436" s="1" t="n">
        <v>45401.59810185185</v>
      </c>
      <c r="C436" s="1" t="n">
        <v>45923</v>
      </c>
      <c r="D436" t="inlineStr">
        <is>
          <t>JÄMTLANDS LÄN</t>
        </is>
      </c>
      <c r="E436" t="inlineStr">
        <is>
          <t>KROKOM</t>
        </is>
      </c>
      <c r="G436" t="n">
        <v>2.9</v>
      </c>
      <c r="H436" t="n">
        <v>0</v>
      </c>
      <c r="I436" t="n">
        <v>0</v>
      </c>
      <c r="J436" t="n">
        <v>0</v>
      </c>
      <c r="K436" t="n">
        <v>0</v>
      </c>
      <c r="L436" t="n">
        <v>0</v>
      </c>
      <c r="M436" t="n">
        <v>0</v>
      </c>
      <c r="N436" t="n">
        <v>0</v>
      </c>
      <c r="O436" t="n">
        <v>0</v>
      </c>
      <c r="P436" t="n">
        <v>0</v>
      </c>
      <c r="Q436" t="n">
        <v>0</v>
      </c>
      <c r="R436" s="2" t="inlineStr"/>
    </row>
    <row r="437" ht="15" customHeight="1">
      <c r="A437" t="inlineStr">
        <is>
          <t>A 23832-2021</t>
        </is>
      </c>
      <c r="B437" s="1" t="n">
        <v>44335</v>
      </c>
      <c r="C437" s="1" t="n">
        <v>45923</v>
      </c>
      <c r="D437" t="inlineStr">
        <is>
          <t>JÄMTLANDS LÄN</t>
        </is>
      </c>
      <c r="E437" t="inlineStr">
        <is>
          <t>KROKOM</t>
        </is>
      </c>
      <c r="G437" t="n">
        <v>20</v>
      </c>
      <c r="H437" t="n">
        <v>0</v>
      </c>
      <c r="I437" t="n">
        <v>0</v>
      </c>
      <c r="J437" t="n">
        <v>0</v>
      </c>
      <c r="K437" t="n">
        <v>0</v>
      </c>
      <c r="L437" t="n">
        <v>0</v>
      </c>
      <c r="M437" t="n">
        <v>0</v>
      </c>
      <c r="N437" t="n">
        <v>0</v>
      </c>
      <c r="O437" t="n">
        <v>0</v>
      </c>
      <c r="P437" t="n">
        <v>0</v>
      </c>
      <c r="Q437" t="n">
        <v>0</v>
      </c>
      <c r="R437" s="2" t="inlineStr"/>
    </row>
    <row r="438" ht="15" customHeight="1">
      <c r="A438" t="inlineStr">
        <is>
          <t>A 27075-2022</t>
        </is>
      </c>
      <c r="B438" s="1" t="n">
        <v>44741</v>
      </c>
      <c r="C438" s="1" t="n">
        <v>45923</v>
      </c>
      <c r="D438" t="inlineStr">
        <is>
          <t>JÄMTLANDS LÄN</t>
        </is>
      </c>
      <c r="E438" t="inlineStr">
        <is>
          <t>KROKOM</t>
        </is>
      </c>
      <c r="G438" t="n">
        <v>10.4</v>
      </c>
      <c r="H438" t="n">
        <v>0</v>
      </c>
      <c r="I438" t="n">
        <v>0</v>
      </c>
      <c r="J438" t="n">
        <v>0</v>
      </c>
      <c r="K438" t="n">
        <v>0</v>
      </c>
      <c r="L438" t="n">
        <v>0</v>
      </c>
      <c r="M438" t="n">
        <v>0</v>
      </c>
      <c r="N438" t="n">
        <v>0</v>
      </c>
      <c r="O438" t="n">
        <v>0</v>
      </c>
      <c r="P438" t="n">
        <v>0</v>
      </c>
      <c r="Q438" t="n">
        <v>0</v>
      </c>
      <c r="R438" s="2" t="inlineStr"/>
    </row>
    <row r="439" ht="15" customHeight="1">
      <c r="A439" t="inlineStr">
        <is>
          <t>A 16817-2024</t>
        </is>
      </c>
      <c r="B439" s="1" t="n">
        <v>45411.4666087963</v>
      </c>
      <c r="C439" s="1" t="n">
        <v>45923</v>
      </c>
      <c r="D439" t="inlineStr">
        <is>
          <t>JÄMTLANDS LÄN</t>
        </is>
      </c>
      <c r="E439" t="inlineStr">
        <is>
          <t>KROKOM</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52268-2022</t>
        </is>
      </c>
      <c r="B440" s="1" t="n">
        <v>44873</v>
      </c>
      <c r="C440" s="1" t="n">
        <v>45923</v>
      </c>
      <c r="D440" t="inlineStr">
        <is>
          <t>JÄMTLANDS LÄN</t>
        </is>
      </c>
      <c r="E440" t="inlineStr">
        <is>
          <t>KROKOM</t>
        </is>
      </c>
      <c r="G440" t="n">
        <v>0.7</v>
      </c>
      <c r="H440" t="n">
        <v>0</v>
      </c>
      <c r="I440" t="n">
        <v>0</v>
      </c>
      <c r="J440" t="n">
        <v>0</v>
      </c>
      <c r="K440" t="n">
        <v>0</v>
      </c>
      <c r="L440" t="n">
        <v>0</v>
      </c>
      <c r="M440" t="n">
        <v>0</v>
      </c>
      <c r="N440" t="n">
        <v>0</v>
      </c>
      <c r="O440" t="n">
        <v>0</v>
      </c>
      <c r="P440" t="n">
        <v>0</v>
      </c>
      <c r="Q440" t="n">
        <v>0</v>
      </c>
      <c r="R440" s="2" t="inlineStr"/>
      <c r="U440">
        <f>HYPERLINK("https://klasma.github.io/Logging_2309/knärot/A 52268-2022 karta knärot.png", "A 52268-2022")</f>
        <v/>
      </c>
      <c r="V440">
        <f>HYPERLINK("https://klasma.github.io/Logging_2309/klagomål/A 52268-2022 FSC-klagomål.docx", "A 52268-2022")</f>
        <v/>
      </c>
      <c r="W440">
        <f>HYPERLINK("https://klasma.github.io/Logging_2309/klagomålsmail/A 52268-2022 FSC-klagomål mail.docx", "A 52268-2022")</f>
        <v/>
      </c>
      <c r="X440">
        <f>HYPERLINK("https://klasma.github.io/Logging_2309/tillsyn/A 52268-2022 tillsynsbegäran.docx", "A 52268-2022")</f>
        <v/>
      </c>
      <c r="Y440">
        <f>HYPERLINK("https://klasma.github.io/Logging_2309/tillsynsmail/A 52268-2022 tillsynsbegäran mail.docx", "A 52268-2022")</f>
        <v/>
      </c>
    </row>
    <row r="441" ht="15" customHeight="1">
      <c r="A441" t="inlineStr">
        <is>
          <t>A 24559-2024</t>
        </is>
      </c>
      <c r="B441" s="1" t="n">
        <v>45460.44076388889</v>
      </c>
      <c r="C441" s="1" t="n">
        <v>45923</v>
      </c>
      <c r="D441" t="inlineStr">
        <is>
          <t>JÄMTLANDS LÄN</t>
        </is>
      </c>
      <c r="E441" t="inlineStr">
        <is>
          <t>KROKOM</t>
        </is>
      </c>
      <c r="G441" t="n">
        <v>0.9</v>
      </c>
      <c r="H441" t="n">
        <v>0</v>
      </c>
      <c r="I441" t="n">
        <v>0</v>
      </c>
      <c r="J441" t="n">
        <v>0</v>
      </c>
      <c r="K441" t="n">
        <v>0</v>
      </c>
      <c r="L441" t="n">
        <v>0</v>
      </c>
      <c r="M441" t="n">
        <v>0</v>
      </c>
      <c r="N441" t="n">
        <v>0</v>
      </c>
      <c r="O441" t="n">
        <v>0</v>
      </c>
      <c r="P441" t="n">
        <v>0</v>
      </c>
      <c r="Q441" t="n">
        <v>0</v>
      </c>
      <c r="R441" s="2" t="inlineStr"/>
    </row>
    <row r="442" ht="15" customHeight="1">
      <c r="A442" t="inlineStr">
        <is>
          <t>A 35238-2025</t>
        </is>
      </c>
      <c r="B442" s="1" t="n">
        <v>45853.6156712963</v>
      </c>
      <c r="C442" s="1" t="n">
        <v>45923</v>
      </c>
      <c r="D442" t="inlineStr">
        <is>
          <t>JÄMTLANDS LÄN</t>
        </is>
      </c>
      <c r="E442" t="inlineStr">
        <is>
          <t>KROKOM</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7908-2025</t>
        </is>
      </c>
      <c r="B443" s="1" t="n">
        <v>45707.33935185185</v>
      </c>
      <c r="C443" s="1" t="n">
        <v>45923</v>
      </c>
      <c r="D443" t="inlineStr">
        <is>
          <t>JÄMTLANDS LÄN</t>
        </is>
      </c>
      <c r="E443" t="inlineStr">
        <is>
          <t>KROKOM</t>
        </is>
      </c>
      <c r="F443" t="inlineStr">
        <is>
          <t>Övriga Aktiebolag</t>
        </is>
      </c>
      <c r="G443" t="n">
        <v>10.1</v>
      </c>
      <c r="H443" t="n">
        <v>0</v>
      </c>
      <c r="I443" t="n">
        <v>0</v>
      </c>
      <c r="J443" t="n">
        <v>0</v>
      </c>
      <c r="K443" t="n">
        <v>0</v>
      </c>
      <c r="L443" t="n">
        <v>0</v>
      </c>
      <c r="M443" t="n">
        <v>0</v>
      </c>
      <c r="N443" t="n">
        <v>0</v>
      </c>
      <c r="O443" t="n">
        <v>0</v>
      </c>
      <c r="P443" t="n">
        <v>0</v>
      </c>
      <c r="Q443" t="n">
        <v>0</v>
      </c>
      <c r="R443" s="2" t="inlineStr"/>
    </row>
    <row r="444" ht="15" customHeight="1">
      <c r="A444" t="inlineStr">
        <is>
          <t>A 29379-2024</t>
        </is>
      </c>
      <c r="B444" s="1" t="n">
        <v>45483</v>
      </c>
      <c r="C444" s="1" t="n">
        <v>45923</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20210-2025</t>
        </is>
      </c>
      <c r="B445" s="1" t="n">
        <v>45772.62052083333</v>
      </c>
      <c r="C445" s="1" t="n">
        <v>45923</v>
      </c>
      <c r="D445" t="inlineStr">
        <is>
          <t>JÄMTLANDS LÄN</t>
        </is>
      </c>
      <c r="E445" t="inlineStr">
        <is>
          <t>KROKOM</t>
        </is>
      </c>
      <c r="G445" t="n">
        <v>12.3</v>
      </c>
      <c r="H445" t="n">
        <v>0</v>
      </c>
      <c r="I445" t="n">
        <v>0</v>
      </c>
      <c r="J445" t="n">
        <v>0</v>
      </c>
      <c r="K445" t="n">
        <v>0</v>
      </c>
      <c r="L445" t="n">
        <v>0</v>
      </c>
      <c r="M445" t="n">
        <v>0</v>
      </c>
      <c r="N445" t="n">
        <v>0</v>
      </c>
      <c r="O445" t="n">
        <v>0</v>
      </c>
      <c r="P445" t="n">
        <v>0</v>
      </c>
      <c r="Q445" t="n">
        <v>0</v>
      </c>
      <c r="R445" s="2" t="inlineStr"/>
    </row>
    <row r="446" ht="15" customHeight="1">
      <c r="A446" t="inlineStr">
        <is>
          <t>A 58563-2023</t>
        </is>
      </c>
      <c r="B446" s="1" t="n">
        <v>45246</v>
      </c>
      <c r="C446" s="1" t="n">
        <v>45923</v>
      </c>
      <c r="D446" t="inlineStr">
        <is>
          <t>JÄMTLANDS LÄN</t>
        </is>
      </c>
      <c r="E446" t="inlineStr">
        <is>
          <t>KROKOM</t>
        </is>
      </c>
      <c r="G446" t="n">
        <v>1.7</v>
      </c>
      <c r="H446" t="n">
        <v>0</v>
      </c>
      <c r="I446" t="n">
        <v>0</v>
      </c>
      <c r="J446" t="n">
        <v>0</v>
      </c>
      <c r="K446" t="n">
        <v>0</v>
      </c>
      <c r="L446" t="n">
        <v>0</v>
      </c>
      <c r="M446" t="n">
        <v>0</v>
      </c>
      <c r="N446" t="n">
        <v>0</v>
      </c>
      <c r="O446" t="n">
        <v>0</v>
      </c>
      <c r="P446" t="n">
        <v>0</v>
      </c>
      <c r="Q446" t="n">
        <v>0</v>
      </c>
      <c r="R446" s="2" t="inlineStr"/>
    </row>
    <row r="447" ht="15" customHeight="1">
      <c r="A447" t="inlineStr">
        <is>
          <t>A 35359-2025</t>
        </is>
      </c>
      <c r="B447" s="1" t="n">
        <v>45854.66518518519</v>
      </c>
      <c r="C447" s="1" t="n">
        <v>45923</v>
      </c>
      <c r="D447" t="inlineStr">
        <is>
          <t>JÄMTLANDS LÄN</t>
        </is>
      </c>
      <c r="E447" t="inlineStr">
        <is>
          <t>KROKOM</t>
        </is>
      </c>
      <c r="G447" t="n">
        <v>2.9</v>
      </c>
      <c r="H447" t="n">
        <v>0</v>
      </c>
      <c r="I447" t="n">
        <v>0</v>
      </c>
      <c r="J447" t="n">
        <v>0</v>
      </c>
      <c r="K447" t="n">
        <v>0</v>
      </c>
      <c r="L447" t="n">
        <v>0</v>
      </c>
      <c r="M447" t="n">
        <v>0</v>
      </c>
      <c r="N447" t="n">
        <v>0</v>
      </c>
      <c r="O447" t="n">
        <v>0</v>
      </c>
      <c r="P447" t="n">
        <v>0</v>
      </c>
      <c r="Q447" t="n">
        <v>0</v>
      </c>
      <c r="R447" s="2" t="inlineStr"/>
    </row>
    <row r="448" ht="15" customHeight="1">
      <c r="A448" t="inlineStr">
        <is>
          <t>A 33359-2022</t>
        </is>
      </c>
      <c r="B448" s="1" t="n">
        <v>44788</v>
      </c>
      <c r="C448" s="1" t="n">
        <v>45923</v>
      </c>
      <c r="D448" t="inlineStr">
        <is>
          <t>JÄMTLANDS LÄN</t>
        </is>
      </c>
      <c r="E448" t="inlineStr">
        <is>
          <t>KROKOM</t>
        </is>
      </c>
      <c r="G448" t="n">
        <v>1.1</v>
      </c>
      <c r="H448" t="n">
        <v>0</v>
      </c>
      <c r="I448" t="n">
        <v>0</v>
      </c>
      <c r="J448" t="n">
        <v>0</v>
      </c>
      <c r="K448" t="n">
        <v>0</v>
      </c>
      <c r="L448" t="n">
        <v>0</v>
      </c>
      <c r="M448" t="n">
        <v>0</v>
      </c>
      <c r="N448" t="n">
        <v>0</v>
      </c>
      <c r="O448" t="n">
        <v>0</v>
      </c>
      <c r="P448" t="n">
        <v>0</v>
      </c>
      <c r="Q448" t="n">
        <v>0</v>
      </c>
      <c r="R448" s="2" t="inlineStr"/>
    </row>
    <row r="449" ht="15" customHeight="1">
      <c r="A449" t="inlineStr">
        <is>
          <t>A 58313-2022</t>
        </is>
      </c>
      <c r="B449" s="1" t="n">
        <v>44901.54615740741</v>
      </c>
      <c r="C449" s="1" t="n">
        <v>45923</v>
      </c>
      <c r="D449" t="inlineStr">
        <is>
          <t>JÄMTLANDS LÄN</t>
        </is>
      </c>
      <c r="E449" t="inlineStr">
        <is>
          <t>KROKOM</t>
        </is>
      </c>
      <c r="F449" t="inlineStr">
        <is>
          <t>Övriga Aktiebolag</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14032-2024</t>
        </is>
      </c>
      <c r="B450" s="1" t="n">
        <v>45392</v>
      </c>
      <c r="C450" s="1" t="n">
        <v>45923</v>
      </c>
      <c r="D450" t="inlineStr">
        <is>
          <t>JÄMTLANDS LÄN</t>
        </is>
      </c>
      <c r="E450" t="inlineStr">
        <is>
          <t>KROKOM</t>
        </is>
      </c>
      <c r="F450" t="inlineStr">
        <is>
          <t>Kyrkan</t>
        </is>
      </c>
      <c r="G450" t="n">
        <v>1.1</v>
      </c>
      <c r="H450" t="n">
        <v>0</v>
      </c>
      <c r="I450" t="n">
        <v>0</v>
      </c>
      <c r="J450" t="n">
        <v>0</v>
      </c>
      <c r="K450" t="n">
        <v>0</v>
      </c>
      <c r="L450" t="n">
        <v>0</v>
      </c>
      <c r="M450" t="n">
        <v>0</v>
      </c>
      <c r="N450" t="n">
        <v>0</v>
      </c>
      <c r="O450" t="n">
        <v>0</v>
      </c>
      <c r="P450" t="n">
        <v>0</v>
      </c>
      <c r="Q450" t="n">
        <v>0</v>
      </c>
      <c r="R450" s="2" t="inlineStr"/>
    </row>
    <row r="451" ht="15" customHeight="1">
      <c r="A451" t="inlineStr">
        <is>
          <t>A 11056-2025</t>
        </is>
      </c>
      <c r="B451" s="1" t="n">
        <v>45723.50841435185</v>
      </c>
      <c r="C451" s="1" t="n">
        <v>45923</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56596-2020</t>
        </is>
      </c>
      <c r="B452" s="1" t="n">
        <v>44133</v>
      </c>
      <c r="C452" s="1" t="n">
        <v>45923</v>
      </c>
      <c r="D452" t="inlineStr">
        <is>
          <t>JÄMTLANDS LÄN</t>
        </is>
      </c>
      <c r="E452" t="inlineStr">
        <is>
          <t>KROKOM</t>
        </is>
      </c>
      <c r="G452" t="n">
        <v>7.2</v>
      </c>
      <c r="H452" t="n">
        <v>0</v>
      </c>
      <c r="I452" t="n">
        <v>0</v>
      </c>
      <c r="J452" t="n">
        <v>0</v>
      </c>
      <c r="K452" t="n">
        <v>0</v>
      </c>
      <c r="L452" t="n">
        <v>0</v>
      </c>
      <c r="M452" t="n">
        <v>0</v>
      </c>
      <c r="N452" t="n">
        <v>0</v>
      </c>
      <c r="O452" t="n">
        <v>0</v>
      </c>
      <c r="P452" t="n">
        <v>0</v>
      </c>
      <c r="Q452" t="n">
        <v>0</v>
      </c>
      <c r="R452" s="2" t="inlineStr"/>
    </row>
    <row r="453" ht="15" customHeight="1">
      <c r="A453" t="inlineStr">
        <is>
          <t>A 17417-2024</t>
        </is>
      </c>
      <c r="B453" s="1" t="n">
        <v>45414.96341435185</v>
      </c>
      <c r="C453" s="1" t="n">
        <v>45923</v>
      </c>
      <c r="D453" t="inlineStr">
        <is>
          <t>JÄMTLANDS LÄN</t>
        </is>
      </c>
      <c r="E453" t="inlineStr">
        <is>
          <t>KROKOM</t>
        </is>
      </c>
      <c r="G453" t="n">
        <v>1.7</v>
      </c>
      <c r="H453" t="n">
        <v>0</v>
      </c>
      <c r="I453" t="n">
        <v>0</v>
      </c>
      <c r="J453" t="n">
        <v>0</v>
      </c>
      <c r="K453" t="n">
        <v>0</v>
      </c>
      <c r="L453" t="n">
        <v>0</v>
      </c>
      <c r="M453" t="n">
        <v>0</v>
      </c>
      <c r="N453" t="n">
        <v>0</v>
      </c>
      <c r="O453" t="n">
        <v>0</v>
      </c>
      <c r="P453" t="n">
        <v>0</v>
      </c>
      <c r="Q453" t="n">
        <v>0</v>
      </c>
      <c r="R453" s="2" t="inlineStr"/>
    </row>
    <row r="454" ht="15" customHeight="1">
      <c r="A454" t="inlineStr">
        <is>
          <t>A 6451-2022</t>
        </is>
      </c>
      <c r="B454" s="1" t="n">
        <v>44601.35342592592</v>
      </c>
      <c r="C454" s="1" t="n">
        <v>45923</v>
      </c>
      <c r="D454" t="inlineStr">
        <is>
          <t>JÄMTLANDS LÄN</t>
        </is>
      </c>
      <c r="E454" t="inlineStr">
        <is>
          <t>KROKOM</t>
        </is>
      </c>
      <c r="G454" t="n">
        <v>5.8</v>
      </c>
      <c r="H454" t="n">
        <v>0</v>
      </c>
      <c r="I454" t="n">
        <v>0</v>
      </c>
      <c r="J454" t="n">
        <v>0</v>
      </c>
      <c r="K454" t="n">
        <v>0</v>
      </c>
      <c r="L454" t="n">
        <v>0</v>
      </c>
      <c r="M454" t="n">
        <v>0</v>
      </c>
      <c r="N454" t="n">
        <v>0</v>
      </c>
      <c r="O454" t="n">
        <v>0</v>
      </c>
      <c r="P454" t="n">
        <v>0</v>
      </c>
      <c r="Q454" t="n">
        <v>0</v>
      </c>
      <c r="R454" s="2" t="inlineStr"/>
    </row>
    <row r="455" ht="15" customHeight="1">
      <c r="A455" t="inlineStr">
        <is>
          <t>A 35460-2025</t>
        </is>
      </c>
      <c r="B455" s="1" t="n">
        <v>45855.61193287037</v>
      </c>
      <c r="C455" s="1" t="n">
        <v>45923</v>
      </c>
      <c r="D455" t="inlineStr">
        <is>
          <t>JÄMTLANDS LÄN</t>
        </is>
      </c>
      <c r="E455" t="inlineStr">
        <is>
          <t>KROKOM</t>
        </is>
      </c>
      <c r="F455" t="inlineStr">
        <is>
          <t>Övriga Aktiebolag</t>
        </is>
      </c>
      <c r="G455" t="n">
        <v>0.7</v>
      </c>
      <c r="H455" t="n">
        <v>0</v>
      </c>
      <c r="I455" t="n">
        <v>0</v>
      </c>
      <c r="J455" t="n">
        <v>0</v>
      </c>
      <c r="K455" t="n">
        <v>0</v>
      </c>
      <c r="L455" t="n">
        <v>0</v>
      </c>
      <c r="M455" t="n">
        <v>0</v>
      </c>
      <c r="N455" t="n">
        <v>0</v>
      </c>
      <c r="O455" t="n">
        <v>0</v>
      </c>
      <c r="P455" t="n">
        <v>0</v>
      </c>
      <c r="Q455" t="n">
        <v>0</v>
      </c>
      <c r="R455" s="2" t="inlineStr"/>
    </row>
    <row r="456" ht="15" customHeight="1">
      <c r="A456" t="inlineStr">
        <is>
          <t>A 40806-2025</t>
        </is>
      </c>
      <c r="B456" s="1" t="n">
        <v>45897.46832175926</v>
      </c>
      <c r="C456" s="1" t="n">
        <v>45923</v>
      </c>
      <c r="D456" t="inlineStr">
        <is>
          <t>JÄMTLANDS LÄN</t>
        </is>
      </c>
      <c r="E456" t="inlineStr">
        <is>
          <t>KROKOM</t>
        </is>
      </c>
      <c r="G456" t="n">
        <v>3.6</v>
      </c>
      <c r="H456" t="n">
        <v>0</v>
      </c>
      <c r="I456" t="n">
        <v>0</v>
      </c>
      <c r="J456" t="n">
        <v>0</v>
      </c>
      <c r="K456" t="n">
        <v>0</v>
      </c>
      <c r="L456" t="n">
        <v>0</v>
      </c>
      <c r="M456" t="n">
        <v>0</v>
      </c>
      <c r="N456" t="n">
        <v>0</v>
      </c>
      <c r="O456" t="n">
        <v>0</v>
      </c>
      <c r="P456" t="n">
        <v>0</v>
      </c>
      <c r="Q456" t="n">
        <v>0</v>
      </c>
      <c r="R456" s="2" t="inlineStr"/>
    </row>
    <row r="457" ht="15" customHeight="1">
      <c r="A457" t="inlineStr">
        <is>
          <t>A 15876-2025</t>
        </is>
      </c>
      <c r="B457" s="1" t="n">
        <v>45749.38379629629</v>
      </c>
      <c r="C457" s="1" t="n">
        <v>45923</v>
      </c>
      <c r="D457" t="inlineStr">
        <is>
          <t>JÄMTLANDS LÄN</t>
        </is>
      </c>
      <c r="E457" t="inlineStr">
        <is>
          <t>KROKOM</t>
        </is>
      </c>
      <c r="G457" t="n">
        <v>2.9</v>
      </c>
      <c r="H457" t="n">
        <v>0</v>
      </c>
      <c r="I457" t="n">
        <v>0</v>
      </c>
      <c r="J457" t="n">
        <v>0</v>
      </c>
      <c r="K457" t="n">
        <v>0</v>
      </c>
      <c r="L457" t="n">
        <v>0</v>
      </c>
      <c r="M457" t="n">
        <v>0</v>
      </c>
      <c r="N457" t="n">
        <v>0</v>
      </c>
      <c r="O457" t="n">
        <v>0</v>
      </c>
      <c r="P457" t="n">
        <v>0</v>
      </c>
      <c r="Q457" t="n">
        <v>0</v>
      </c>
      <c r="R457" s="2" t="inlineStr"/>
    </row>
    <row r="458" ht="15" customHeight="1">
      <c r="A458" t="inlineStr">
        <is>
          <t>A 28137-2023</t>
        </is>
      </c>
      <c r="B458" s="1" t="n">
        <v>45096</v>
      </c>
      <c r="C458" s="1" t="n">
        <v>45923</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45869-2024</t>
        </is>
      </c>
      <c r="B459" s="1" t="n">
        <v>45580.36991898148</v>
      </c>
      <c r="C459" s="1" t="n">
        <v>45923</v>
      </c>
      <c r="D459" t="inlineStr">
        <is>
          <t>JÄMTLANDS LÄN</t>
        </is>
      </c>
      <c r="E459" t="inlineStr">
        <is>
          <t>KROKOM</t>
        </is>
      </c>
      <c r="F459" t="inlineStr">
        <is>
          <t>Övriga Aktiebolag</t>
        </is>
      </c>
      <c r="G459" t="n">
        <v>4.1</v>
      </c>
      <c r="H459" t="n">
        <v>0</v>
      </c>
      <c r="I459" t="n">
        <v>0</v>
      </c>
      <c r="J459" t="n">
        <v>0</v>
      </c>
      <c r="K459" t="n">
        <v>0</v>
      </c>
      <c r="L459" t="n">
        <v>0</v>
      </c>
      <c r="M459" t="n">
        <v>0</v>
      </c>
      <c r="N459" t="n">
        <v>0</v>
      </c>
      <c r="O459" t="n">
        <v>0</v>
      </c>
      <c r="P459" t="n">
        <v>0</v>
      </c>
      <c r="Q459" t="n">
        <v>0</v>
      </c>
      <c r="R459" s="2" t="inlineStr"/>
    </row>
    <row r="460" ht="15" customHeight="1">
      <c r="A460" t="inlineStr">
        <is>
          <t>A 27596-2024</t>
        </is>
      </c>
      <c r="B460" s="1" t="n">
        <v>45474.69074074074</v>
      </c>
      <c r="C460" s="1" t="n">
        <v>45923</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51910-2023</t>
        </is>
      </c>
      <c r="B461" s="1" t="n">
        <v>45216</v>
      </c>
      <c r="C461" s="1" t="n">
        <v>45923</v>
      </c>
      <c r="D461" t="inlineStr">
        <is>
          <t>JÄMTLANDS LÄN</t>
        </is>
      </c>
      <c r="E461" t="inlineStr">
        <is>
          <t>KROKOM</t>
        </is>
      </c>
      <c r="G461" t="n">
        <v>1.8</v>
      </c>
      <c r="H461" t="n">
        <v>0</v>
      </c>
      <c r="I461" t="n">
        <v>0</v>
      </c>
      <c r="J461" t="n">
        <v>0</v>
      </c>
      <c r="K461" t="n">
        <v>0</v>
      </c>
      <c r="L461" t="n">
        <v>0</v>
      </c>
      <c r="M461" t="n">
        <v>0</v>
      </c>
      <c r="N461" t="n">
        <v>0</v>
      </c>
      <c r="O461" t="n">
        <v>0</v>
      </c>
      <c r="P461" t="n">
        <v>0</v>
      </c>
      <c r="Q461" t="n">
        <v>0</v>
      </c>
      <c r="R461" s="2" t="inlineStr"/>
    </row>
    <row r="462" ht="15" customHeight="1">
      <c r="A462" t="inlineStr">
        <is>
          <t>A 3257-2024</t>
        </is>
      </c>
      <c r="B462" s="1" t="n">
        <v>45316</v>
      </c>
      <c r="C462" s="1" t="n">
        <v>45923</v>
      </c>
      <c r="D462" t="inlineStr">
        <is>
          <t>JÄMTLANDS LÄN</t>
        </is>
      </c>
      <c r="E462" t="inlineStr">
        <is>
          <t>KROKOM</t>
        </is>
      </c>
      <c r="G462" t="n">
        <v>6.5</v>
      </c>
      <c r="H462" t="n">
        <v>0</v>
      </c>
      <c r="I462" t="n">
        <v>0</v>
      </c>
      <c r="J462" t="n">
        <v>0</v>
      </c>
      <c r="K462" t="n">
        <v>0</v>
      </c>
      <c r="L462" t="n">
        <v>0</v>
      </c>
      <c r="M462" t="n">
        <v>0</v>
      </c>
      <c r="N462" t="n">
        <v>0</v>
      </c>
      <c r="O462" t="n">
        <v>0</v>
      </c>
      <c r="P462" t="n">
        <v>0</v>
      </c>
      <c r="Q462" t="n">
        <v>0</v>
      </c>
      <c r="R462" s="2" t="inlineStr"/>
    </row>
    <row r="463" ht="15" customHeight="1">
      <c r="A463" t="inlineStr">
        <is>
          <t>A 20174-2025</t>
        </is>
      </c>
      <c r="B463" s="1" t="n">
        <v>45772.58283564815</v>
      </c>
      <c r="C463" s="1" t="n">
        <v>45923</v>
      </c>
      <c r="D463" t="inlineStr">
        <is>
          <t>JÄMTLANDS LÄN</t>
        </is>
      </c>
      <c r="E463" t="inlineStr">
        <is>
          <t>KROKOM</t>
        </is>
      </c>
      <c r="G463" t="n">
        <v>47</v>
      </c>
      <c r="H463" t="n">
        <v>0</v>
      </c>
      <c r="I463" t="n">
        <v>0</v>
      </c>
      <c r="J463" t="n">
        <v>0</v>
      </c>
      <c r="K463" t="n">
        <v>0</v>
      </c>
      <c r="L463" t="n">
        <v>0</v>
      </c>
      <c r="M463" t="n">
        <v>0</v>
      </c>
      <c r="N463" t="n">
        <v>0</v>
      </c>
      <c r="O463" t="n">
        <v>0</v>
      </c>
      <c r="P463" t="n">
        <v>0</v>
      </c>
      <c r="Q463" t="n">
        <v>0</v>
      </c>
      <c r="R463" s="2" t="inlineStr"/>
    </row>
    <row r="464" ht="15" customHeight="1">
      <c r="A464" t="inlineStr">
        <is>
          <t>A 20181-2025</t>
        </is>
      </c>
      <c r="B464" s="1" t="n">
        <v>45772.59200231481</v>
      </c>
      <c r="C464" s="1" t="n">
        <v>45923</v>
      </c>
      <c r="D464" t="inlineStr">
        <is>
          <t>JÄMTLANDS LÄN</t>
        </is>
      </c>
      <c r="E464" t="inlineStr">
        <is>
          <t>KROKOM</t>
        </is>
      </c>
      <c r="G464" t="n">
        <v>2.1</v>
      </c>
      <c r="H464" t="n">
        <v>0</v>
      </c>
      <c r="I464" t="n">
        <v>0</v>
      </c>
      <c r="J464" t="n">
        <v>0</v>
      </c>
      <c r="K464" t="n">
        <v>0</v>
      </c>
      <c r="L464" t="n">
        <v>0</v>
      </c>
      <c r="M464" t="n">
        <v>0</v>
      </c>
      <c r="N464" t="n">
        <v>0</v>
      </c>
      <c r="O464" t="n">
        <v>0</v>
      </c>
      <c r="P464" t="n">
        <v>0</v>
      </c>
      <c r="Q464" t="n">
        <v>0</v>
      </c>
      <c r="R464" s="2" t="inlineStr"/>
    </row>
    <row r="465" ht="15" customHeight="1">
      <c r="A465" t="inlineStr">
        <is>
          <t>A 25421-2022</t>
        </is>
      </c>
      <c r="B465" s="1" t="n">
        <v>44732</v>
      </c>
      <c r="C465" s="1" t="n">
        <v>45923</v>
      </c>
      <c r="D465" t="inlineStr">
        <is>
          <t>JÄMTLANDS LÄN</t>
        </is>
      </c>
      <c r="E465" t="inlineStr">
        <is>
          <t>KROKOM</t>
        </is>
      </c>
      <c r="G465" t="n">
        <v>0.8</v>
      </c>
      <c r="H465" t="n">
        <v>0</v>
      </c>
      <c r="I465" t="n">
        <v>0</v>
      </c>
      <c r="J465" t="n">
        <v>0</v>
      </c>
      <c r="K465" t="n">
        <v>0</v>
      </c>
      <c r="L465" t="n">
        <v>0</v>
      </c>
      <c r="M465" t="n">
        <v>0</v>
      </c>
      <c r="N465" t="n">
        <v>0</v>
      </c>
      <c r="O465" t="n">
        <v>0</v>
      </c>
      <c r="P465" t="n">
        <v>0</v>
      </c>
      <c r="Q465" t="n">
        <v>0</v>
      </c>
      <c r="R465" s="2" t="inlineStr"/>
    </row>
    <row r="466" ht="15" customHeight="1">
      <c r="A466" t="inlineStr">
        <is>
          <t>A 41290-2025</t>
        </is>
      </c>
      <c r="B466" s="1" t="n">
        <v>45898.64267361111</v>
      </c>
      <c r="C466" s="1" t="n">
        <v>45923</v>
      </c>
      <c r="D466" t="inlineStr">
        <is>
          <t>JÄMTLANDS LÄN</t>
        </is>
      </c>
      <c r="E466" t="inlineStr">
        <is>
          <t>KROKOM</t>
        </is>
      </c>
      <c r="G466" t="n">
        <v>17.1</v>
      </c>
      <c r="H466" t="n">
        <v>0</v>
      </c>
      <c r="I466" t="n">
        <v>0</v>
      </c>
      <c r="J466" t="n">
        <v>0</v>
      </c>
      <c r="K466" t="n">
        <v>0</v>
      </c>
      <c r="L466" t="n">
        <v>0</v>
      </c>
      <c r="M466" t="n">
        <v>0</v>
      </c>
      <c r="N466" t="n">
        <v>0</v>
      </c>
      <c r="O466" t="n">
        <v>0</v>
      </c>
      <c r="P466" t="n">
        <v>0</v>
      </c>
      <c r="Q466" t="n">
        <v>0</v>
      </c>
      <c r="R466" s="2" t="inlineStr"/>
    </row>
    <row r="467" ht="15" customHeight="1">
      <c r="A467" t="inlineStr">
        <is>
          <t>A 46644-2022</t>
        </is>
      </c>
      <c r="B467" s="1" t="n">
        <v>44849.8044212963</v>
      </c>
      <c r="C467" s="1" t="n">
        <v>45923</v>
      </c>
      <c r="D467" t="inlineStr">
        <is>
          <t>JÄMTLANDS LÄN</t>
        </is>
      </c>
      <c r="E467" t="inlineStr">
        <is>
          <t>KROKOM</t>
        </is>
      </c>
      <c r="G467" t="n">
        <v>4.2</v>
      </c>
      <c r="H467" t="n">
        <v>0</v>
      </c>
      <c r="I467" t="n">
        <v>0</v>
      </c>
      <c r="J467" t="n">
        <v>0</v>
      </c>
      <c r="K467" t="n">
        <v>0</v>
      </c>
      <c r="L467" t="n">
        <v>0</v>
      </c>
      <c r="M467" t="n">
        <v>0</v>
      </c>
      <c r="N467" t="n">
        <v>0</v>
      </c>
      <c r="O467" t="n">
        <v>0</v>
      </c>
      <c r="P467" t="n">
        <v>0</v>
      </c>
      <c r="Q467" t="n">
        <v>0</v>
      </c>
      <c r="R467" s="2" t="inlineStr"/>
    </row>
    <row r="468" ht="15" customHeight="1">
      <c r="A468" t="inlineStr">
        <is>
          <t>A 41439-2024</t>
        </is>
      </c>
      <c r="B468" s="1" t="n">
        <v>45560.38056712963</v>
      </c>
      <c r="C468" s="1" t="n">
        <v>45923</v>
      </c>
      <c r="D468" t="inlineStr">
        <is>
          <t>JÄMTLANDS LÄN</t>
        </is>
      </c>
      <c r="E468" t="inlineStr">
        <is>
          <t>KROKOM</t>
        </is>
      </c>
      <c r="F468" t="inlineStr">
        <is>
          <t>Övriga Aktiebolag</t>
        </is>
      </c>
      <c r="G468" t="n">
        <v>9.1</v>
      </c>
      <c r="H468" t="n">
        <v>0</v>
      </c>
      <c r="I468" t="n">
        <v>0</v>
      </c>
      <c r="J468" t="n">
        <v>0</v>
      </c>
      <c r="K468" t="n">
        <v>0</v>
      </c>
      <c r="L468" t="n">
        <v>0</v>
      </c>
      <c r="M468" t="n">
        <v>0</v>
      </c>
      <c r="N468" t="n">
        <v>0</v>
      </c>
      <c r="O468" t="n">
        <v>0</v>
      </c>
      <c r="P468" t="n">
        <v>0</v>
      </c>
      <c r="Q468" t="n">
        <v>0</v>
      </c>
      <c r="R468" s="2" t="inlineStr"/>
    </row>
    <row r="469" ht="15" customHeight="1">
      <c r="A469" t="inlineStr">
        <is>
          <t>A 40796-2025</t>
        </is>
      </c>
      <c r="B469" s="1" t="n">
        <v>45897.44951388889</v>
      </c>
      <c r="C469" s="1" t="n">
        <v>45923</v>
      </c>
      <c r="D469" t="inlineStr">
        <is>
          <t>JÄMTLANDS LÄN</t>
        </is>
      </c>
      <c r="E469" t="inlineStr">
        <is>
          <t>KROKOM</t>
        </is>
      </c>
      <c r="G469" t="n">
        <v>1.5</v>
      </c>
      <c r="H469" t="n">
        <v>0</v>
      </c>
      <c r="I469" t="n">
        <v>0</v>
      </c>
      <c r="J469" t="n">
        <v>0</v>
      </c>
      <c r="K469" t="n">
        <v>0</v>
      </c>
      <c r="L469" t="n">
        <v>0</v>
      </c>
      <c r="M469" t="n">
        <v>0</v>
      </c>
      <c r="N469" t="n">
        <v>0</v>
      </c>
      <c r="O469" t="n">
        <v>0</v>
      </c>
      <c r="P469" t="n">
        <v>0</v>
      </c>
      <c r="Q469" t="n">
        <v>0</v>
      </c>
      <c r="R469" s="2" t="inlineStr"/>
    </row>
    <row r="470" ht="15" customHeight="1">
      <c r="A470" t="inlineStr">
        <is>
          <t>A 31537-2023</t>
        </is>
      </c>
      <c r="B470" s="1" t="n">
        <v>45117</v>
      </c>
      <c r="C470" s="1" t="n">
        <v>45923</v>
      </c>
      <c r="D470" t="inlineStr">
        <is>
          <t>JÄMTLANDS LÄN</t>
        </is>
      </c>
      <c r="E470" t="inlineStr">
        <is>
          <t>KROKOM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32765-2023</t>
        </is>
      </c>
      <c r="B471" s="1" t="n">
        <v>45123.61459490741</v>
      </c>
      <c r="C471" s="1" t="n">
        <v>45923</v>
      </c>
      <c r="D471" t="inlineStr">
        <is>
          <t>JÄMTLANDS LÄN</t>
        </is>
      </c>
      <c r="E471" t="inlineStr">
        <is>
          <t>KROKOM</t>
        </is>
      </c>
      <c r="F471" t="inlineStr">
        <is>
          <t>Övriga Aktiebolag</t>
        </is>
      </c>
      <c r="G471" t="n">
        <v>2</v>
      </c>
      <c r="H471" t="n">
        <v>0</v>
      </c>
      <c r="I471" t="n">
        <v>0</v>
      </c>
      <c r="J471" t="n">
        <v>0</v>
      </c>
      <c r="K471" t="n">
        <v>0</v>
      </c>
      <c r="L471" t="n">
        <v>0</v>
      </c>
      <c r="M471" t="n">
        <v>0</v>
      </c>
      <c r="N471" t="n">
        <v>0</v>
      </c>
      <c r="O471" t="n">
        <v>0</v>
      </c>
      <c r="P471" t="n">
        <v>0</v>
      </c>
      <c r="Q471" t="n">
        <v>0</v>
      </c>
      <c r="R471" s="2" t="inlineStr"/>
    </row>
    <row r="472" ht="15" customHeight="1">
      <c r="A472" t="inlineStr">
        <is>
          <t>A 40822-2025</t>
        </is>
      </c>
      <c r="B472" s="1" t="n">
        <v>45897.49424768519</v>
      </c>
      <c r="C472" s="1" t="n">
        <v>45923</v>
      </c>
      <c r="D472" t="inlineStr">
        <is>
          <t>JÄMTLANDS LÄN</t>
        </is>
      </c>
      <c r="E472" t="inlineStr">
        <is>
          <t>KROKOM</t>
        </is>
      </c>
      <c r="G472" t="n">
        <v>3.8</v>
      </c>
      <c r="H472" t="n">
        <v>0</v>
      </c>
      <c r="I472" t="n">
        <v>0</v>
      </c>
      <c r="J472" t="n">
        <v>0</v>
      </c>
      <c r="K472" t="n">
        <v>0</v>
      </c>
      <c r="L472" t="n">
        <v>0</v>
      </c>
      <c r="M472" t="n">
        <v>0</v>
      </c>
      <c r="N472" t="n">
        <v>0</v>
      </c>
      <c r="O472" t="n">
        <v>0</v>
      </c>
      <c r="P472" t="n">
        <v>0</v>
      </c>
      <c r="Q472" t="n">
        <v>0</v>
      </c>
      <c r="R472" s="2" t="inlineStr"/>
    </row>
    <row r="473" ht="15" customHeight="1">
      <c r="A473" t="inlineStr">
        <is>
          <t>A 63960-2023</t>
        </is>
      </c>
      <c r="B473" s="1" t="n">
        <v>45278.65582175926</v>
      </c>
      <c r="C473" s="1" t="n">
        <v>45923</v>
      </c>
      <c r="D473" t="inlineStr">
        <is>
          <t>JÄMTLANDS LÄN</t>
        </is>
      </c>
      <c r="E473" t="inlineStr">
        <is>
          <t>KROKOM</t>
        </is>
      </c>
      <c r="G473" t="n">
        <v>0.7</v>
      </c>
      <c r="H473" t="n">
        <v>0</v>
      </c>
      <c r="I473" t="n">
        <v>0</v>
      </c>
      <c r="J473" t="n">
        <v>0</v>
      </c>
      <c r="K473" t="n">
        <v>0</v>
      </c>
      <c r="L473" t="n">
        <v>0</v>
      </c>
      <c r="M473" t="n">
        <v>0</v>
      </c>
      <c r="N473" t="n">
        <v>0</v>
      </c>
      <c r="O473" t="n">
        <v>0</v>
      </c>
      <c r="P473" t="n">
        <v>0</v>
      </c>
      <c r="Q473" t="n">
        <v>0</v>
      </c>
      <c r="R473" s="2" t="inlineStr"/>
    </row>
    <row r="474" ht="15" customHeight="1">
      <c r="A474" t="inlineStr">
        <is>
          <t>A 50206-2024</t>
        </is>
      </c>
      <c r="B474" s="1" t="n">
        <v>45600.49616898148</v>
      </c>
      <c r="C474" s="1" t="n">
        <v>45923</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26228-2024</t>
        </is>
      </c>
      <c r="B475" s="1" t="n">
        <v>45467</v>
      </c>
      <c r="C475" s="1" t="n">
        <v>45923</v>
      </c>
      <c r="D475" t="inlineStr">
        <is>
          <t>JÄMTLANDS LÄN</t>
        </is>
      </c>
      <c r="E475" t="inlineStr">
        <is>
          <t>KROKOM</t>
        </is>
      </c>
      <c r="G475" t="n">
        <v>12</v>
      </c>
      <c r="H475" t="n">
        <v>0</v>
      </c>
      <c r="I475" t="n">
        <v>0</v>
      </c>
      <c r="J475" t="n">
        <v>0</v>
      </c>
      <c r="K475" t="n">
        <v>0</v>
      </c>
      <c r="L475" t="n">
        <v>0</v>
      </c>
      <c r="M475" t="n">
        <v>0</v>
      </c>
      <c r="N475" t="n">
        <v>0</v>
      </c>
      <c r="O475" t="n">
        <v>0</v>
      </c>
      <c r="P475" t="n">
        <v>0</v>
      </c>
      <c r="Q475" t="n">
        <v>0</v>
      </c>
      <c r="R475" s="2" t="inlineStr"/>
    </row>
    <row r="476" ht="15" customHeight="1">
      <c r="A476" t="inlineStr">
        <is>
          <t>A 18406-2025</t>
        </is>
      </c>
      <c r="B476" s="1" t="n">
        <v>45762.60907407408</v>
      </c>
      <c r="C476" s="1" t="n">
        <v>45923</v>
      </c>
      <c r="D476" t="inlineStr">
        <is>
          <t>JÄMTLANDS LÄN</t>
        </is>
      </c>
      <c r="E476" t="inlineStr">
        <is>
          <t>KROKOM</t>
        </is>
      </c>
      <c r="F476" t="inlineStr">
        <is>
          <t>Övriga Aktiebolag</t>
        </is>
      </c>
      <c r="G476" t="n">
        <v>34.3</v>
      </c>
      <c r="H476" t="n">
        <v>0</v>
      </c>
      <c r="I476" t="n">
        <v>0</v>
      </c>
      <c r="J476" t="n">
        <v>0</v>
      </c>
      <c r="K476" t="n">
        <v>0</v>
      </c>
      <c r="L476" t="n">
        <v>0</v>
      </c>
      <c r="M476" t="n">
        <v>0</v>
      </c>
      <c r="N476" t="n">
        <v>0</v>
      </c>
      <c r="O476" t="n">
        <v>0</v>
      </c>
      <c r="P476" t="n">
        <v>0</v>
      </c>
      <c r="Q476" t="n">
        <v>0</v>
      </c>
      <c r="R476" s="2" t="inlineStr"/>
    </row>
    <row r="477" ht="15" customHeight="1">
      <c r="A477" t="inlineStr">
        <is>
          <t>A 31538-2023</t>
        </is>
      </c>
      <c r="B477" s="1" t="n">
        <v>45117</v>
      </c>
      <c r="C477" s="1" t="n">
        <v>45923</v>
      </c>
      <c r="D477" t="inlineStr">
        <is>
          <t>JÄMTLANDS LÄN</t>
        </is>
      </c>
      <c r="E477" t="inlineStr">
        <is>
          <t>KROKOM</t>
        </is>
      </c>
      <c r="F477" t="inlineStr">
        <is>
          <t>Övriga Aktiebolag</t>
        </is>
      </c>
      <c r="G477" t="n">
        <v>9.9</v>
      </c>
      <c r="H477" t="n">
        <v>0</v>
      </c>
      <c r="I477" t="n">
        <v>0</v>
      </c>
      <c r="J477" t="n">
        <v>0</v>
      </c>
      <c r="K477" t="n">
        <v>0</v>
      </c>
      <c r="L477" t="n">
        <v>0</v>
      </c>
      <c r="M477" t="n">
        <v>0</v>
      </c>
      <c r="N477" t="n">
        <v>0</v>
      </c>
      <c r="O477" t="n">
        <v>0</v>
      </c>
      <c r="P477" t="n">
        <v>0</v>
      </c>
      <c r="Q477" t="n">
        <v>0</v>
      </c>
      <c r="R477" s="2" t="inlineStr"/>
    </row>
    <row r="478" ht="15" customHeight="1">
      <c r="A478" t="inlineStr">
        <is>
          <t>A 8868-2025</t>
        </is>
      </c>
      <c r="B478" s="1" t="n">
        <v>45713.36836805556</v>
      </c>
      <c r="C478" s="1" t="n">
        <v>45923</v>
      </c>
      <c r="D478" t="inlineStr">
        <is>
          <t>JÄMTLANDS LÄN</t>
        </is>
      </c>
      <c r="E478" t="inlineStr">
        <is>
          <t>KROKOM</t>
        </is>
      </c>
      <c r="F478" t="inlineStr">
        <is>
          <t>Övriga Aktiebolag</t>
        </is>
      </c>
      <c r="G478" t="n">
        <v>4.2</v>
      </c>
      <c r="H478" t="n">
        <v>0</v>
      </c>
      <c r="I478" t="n">
        <v>0</v>
      </c>
      <c r="J478" t="n">
        <v>0</v>
      </c>
      <c r="K478" t="n">
        <v>0</v>
      </c>
      <c r="L478" t="n">
        <v>0</v>
      </c>
      <c r="M478" t="n">
        <v>0</v>
      </c>
      <c r="N478" t="n">
        <v>0</v>
      </c>
      <c r="O478" t="n">
        <v>0</v>
      </c>
      <c r="P478" t="n">
        <v>0</v>
      </c>
      <c r="Q478" t="n">
        <v>0</v>
      </c>
      <c r="R478" s="2" t="inlineStr"/>
    </row>
    <row r="479" ht="15" customHeight="1">
      <c r="A479" t="inlineStr">
        <is>
          <t>A 31550-2023</t>
        </is>
      </c>
      <c r="B479" s="1" t="n">
        <v>45117</v>
      </c>
      <c r="C479" s="1" t="n">
        <v>45923</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41425-2025</t>
        </is>
      </c>
      <c r="B480" s="1" t="n">
        <v>45901.38590277778</v>
      </c>
      <c r="C480" s="1" t="n">
        <v>45923</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35778-2025</t>
        </is>
      </c>
      <c r="B481" s="1" t="n">
        <v>45860</v>
      </c>
      <c r="C481" s="1" t="n">
        <v>45923</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21663-2025</t>
        </is>
      </c>
      <c r="B482" s="1" t="n">
        <v>45783</v>
      </c>
      <c r="C482" s="1" t="n">
        <v>45923</v>
      </c>
      <c r="D482" t="inlineStr">
        <is>
          <t>JÄMTLANDS LÄN</t>
        </is>
      </c>
      <c r="E482" t="inlineStr">
        <is>
          <t>KROKOM</t>
        </is>
      </c>
      <c r="G482" t="n">
        <v>5.2</v>
      </c>
      <c r="H482" t="n">
        <v>0</v>
      </c>
      <c r="I482" t="n">
        <v>0</v>
      </c>
      <c r="J482" t="n">
        <v>0</v>
      </c>
      <c r="K482" t="n">
        <v>0</v>
      </c>
      <c r="L482" t="n">
        <v>0</v>
      </c>
      <c r="M482" t="n">
        <v>0</v>
      </c>
      <c r="N482" t="n">
        <v>0</v>
      </c>
      <c r="O482" t="n">
        <v>0</v>
      </c>
      <c r="P482" t="n">
        <v>0</v>
      </c>
      <c r="Q482" t="n">
        <v>0</v>
      </c>
      <c r="R482" s="2" t="inlineStr"/>
    </row>
    <row r="483" ht="15" customHeight="1">
      <c r="A483" t="inlineStr">
        <is>
          <t>A 47723-2024</t>
        </is>
      </c>
      <c r="B483" s="1" t="n">
        <v>45588</v>
      </c>
      <c r="C483" s="1" t="n">
        <v>45923</v>
      </c>
      <c r="D483" t="inlineStr">
        <is>
          <t>JÄMTLANDS LÄN</t>
        </is>
      </c>
      <c r="E483" t="inlineStr">
        <is>
          <t>KROKOM</t>
        </is>
      </c>
      <c r="G483" t="n">
        <v>1.6</v>
      </c>
      <c r="H483" t="n">
        <v>0</v>
      </c>
      <c r="I483" t="n">
        <v>0</v>
      </c>
      <c r="J483" t="n">
        <v>0</v>
      </c>
      <c r="K483" t="n">
        <v>0</v>
      </c>
      <c r="L483" t="n">
        <v>0</v>
      </c>
      <c r="M483" t="n">
        <v>0</v>
      </c>
      <c r="N483" t="n">
        <v>0</v>
      </c>
      <c r="O483" t="n">
        <v>0</v>
      </c>
      <c r="P483" t="n">
        <v>0</v>
      </c>
      <c r="Q483" t="n">
        <v>0</v>
      </c>
      <c r="R483" s="2" t="inlineStr"/>
    </row>
    <row r="484" ht="15" customHeight="1">
      <c r="A484" t="inlineStr">
        <is>
          <t>A 44519-2024</t>
        </is>
      </c>
      <c r="B484" s="1" t="n">
        <v>45574.43403935185</v>
      </c>
      <c r="C484" s="1" t="n">
        <v>45923</v>
      </c>
      <c r="D484" t="inlineStr">
        <is>
          <t>JÄMTLANDS LÄN</t>
        </is>
      </c>
      <c r="E484" t="inlineStr">
        <is>
          <t>KROKOM</t>
        </is>
      </c>
      <c r="G484" t="n">
        <v>0.8</v>
      </c>
      <c r="H484" t="n">
        <v>0</v>
      </c>
      <c r="I484" t="n">
        <v>0</v>
      </c>
      <c r="J484" t="n">
        <v>0</v>
      </c>
      <c r="K484" t="n">
        <v>0</v>
      </c>
      <c r="L484" t="n">
        <v>0</v>
      </c>
      <c r="M484" t="n">
        <v>0</v>
      </c>
      <c r="N484" t="n">
        <v>0</v>
      </c>
      <c r="O484" t="n">
        <v>0</v>
      </c>
      <c r="P484" t="n">
        <v>0</v>
      </c>
      <c r="Q484" t="n">
        <v>0</v>
      </c>
      <c r="R484" s="2" t="inlineStr"/>
    </row>
    <row r="485" ht="15" customHeight="1">
      <c r="A485" t="inlineStr">
        <is>
          <t>A 42235-2025</t>
        </is>
      </c>
      <c r="B485" s="1" t="n">
        <v>45904.56144675926</v>
      </c>
      <c r="C485" s="1" t="n">
        <v>45923</v>
      </c>
      <c r="D485" t="inlineStr">
        <is>
          <t>JÄMTLANDS LÄN</t>
        </is>
      </c>
      <c r="E485" t="inlineStr">
        <is>
          <t>KROKOM</t>
        </is>
      </c>
      <c r="G485" t="n">
        <v>0.8</v>
      </c>
      <c r="H485" t="n">
        <v>0</v>
      </c>
      <c r="I485" t="n">
        <v>0</v>
      </c>
      <c r="J485" t="n">
        <v>0</v>
      </c>
      <c r="K485" t="n">
        <v>0</v>
      </c>
      <c r="L485" t="n">
        <v>0</v>
      </c>
      <c r="M485" t="n">
        <v>0</v>
      </c>
      <c r="N485" t="n">
        <v>0</v>
      </c>
      <c r="O485" t="n">
        <v>0</v>
      </c>
      <c r="P485" t="n">
        <v>0</v>
      </c>
      <c r="Q485" t="n">
        <v>0</v>
      </c>
      <c r="R485" s="2" t="inlineStr"/>
    </row>
    <row r="486" ht="15" customHeight="1">
      <c r="A486" t="inlineStr">
        <is>
          <t>A 19635-2024</t>
        </is>
      </c>
      <c r="B486" s="1" t="n">
        <v>45432.36971064815</v>
      </c>
      <c r="C486" s="1" t="n">
        <v>45923</v>
      </c>
      <c r="D486" t="inlineStr">
        <is>
          <t>JÄMTLANDS LÄN</t>
        </is>
      </c>
      <c r="E486" t="inlineStr">
        <is>
          <t>KROKOM</t>
        </is>
      </c>
      <c r="G486" t="n">
        <v>14.5</v>
      </c>
      <c r="H486" t="n">
        <v>0</v>
      </c>
      <c r="I486" t="n">
        <v>0</v>
      </c>
      <c r="J486" t="n">
        <v>0</v>
      </c>
      <c r="K486" t="n">
        <v>0</v>
      </c>
      <c r="L486" t="n">
        <v>0</v>
      </c>
      <c r="M486" t="n">
        <v>0</v>
      </c>
      <c r="N486" t="n">
        <v>0</v>
      </c>
      <c r="O486" t="n">
        <v>0</v>
      </c>
      <c r="P486" t="n">
        <v>0</v>
      </c>
      <c r="Q486" t="n">
        <v>0</v>
      </c>
      <c r="R486" s="2" t="inlineStr"/>
    </row>
    <row r="487" ht="15" customHeight="1">
      <c r="A487" t="inlineStr">
        <is>
          <t>A 22411-2024</t>
        </is>
      </c>
      <c r="B487" s="1" t="n">
        <v>45446.68733796296</v>
      </c>
      <c r="C487" s="1" t="n">
        <v>45923</v>
      </c>
      <c r="D487" t="inlineStr">
        <is>
          <t>JÄMTLANDS LÄN</t>
        </is>
      </c>
      <c r="E487" t="inlineStr">
        <is>
          <t>KROKOM</t>
        </is>
      </c>
      <c r="F487" t="inlineStr">
        <is>
          <t>Övriga Aktiebolag</t>
        </is>
      </c>
      <c r="G487" t="n">
        <v>18</v>
      </c>
      <c r="H487" t="n">
        <v>0</v>
      </c>
      <c r="I487" t="n">
        <v>0</v>
      </c>
      <c r="J487" t="n">
        <v>0</v>
      </c>
      <c r="K487" t="n">
        <v>0</v>
      </c>
      <c r="L487" t="n">
        <v>0</v>
      </c>
      <c r="M487" t="n">
        <v>0</v>
      </c>
      <c r="N487" t="n">
        <v>0</v>
      </c>
      <c r="O487" t="n">
        <v>0</v>
      </c>
      <c r="P487" t="n">
        <v>0</v>
      </c>
      <c r="Q487" t="n">
        <v>0</v>
      </c>
      <c r="R487" s="2" t="inlineStr"/>
    </row>
    <row r="488" ht="15" customHeight="1">
      <c r="A488" t="inlineStr">
        <is>
          <t>A 54828-2024</t>
        </is>
      </c>
      <c r="B488" s="1" t="n">
        <v>45618.54398148148</v>
      </c>
      <c r="C488" s="1" t="n">
        <v>45923</v>
      </c>
      <c r="D488" t="inlineStr">
        <is>
          <t>JÄMTLANDS LÄN</t>
        </is>
      </c>
      <c r="E488" t="inlineStr">
        <is>
          <t>KROKOM</t>
        </is>
      </c>
      <c r="G488" t="n">
        <v>8.1</v>
      </c>
      <c r="H488" t="n">
        <v>0</v>
      </c>
      <c r="I488" t="n">
        <v>0</v>
      </c>
      <c r="J488" t="n">
        <v>0</v>
      </c>
      <c r="K488" t="n">
        <v>0</v>
      </c>
      <c r="L488" t="n">
        <v>0</v>
      </c>
      <c r="M488" t="n">
        <v>0</v>
      </c>
      <c r="N488" t="n">
        <v>0</v>
      </c>
      <c r="O488" t="n">
        <v>0</v>
      </c>
      <c r="P488" t="n">
        <v>0</v>
      </c>
      <c r="Q488" t="n">
        <v>0</v>
      </c>
      <c r="R488" s="2" t="inlineStr"/>
    </row>
    <row r="489" ht="15" customHeight="1">
      <c r="A489" t="inlineStr">
        <is>
          <t>A 61675-2022</t>
        </is>
      </c>
      <c r="B489" s="1" t="n">
        <v>44911</v>
      </c>
      <c r="C489" s="1" t="n">
        <v>45923</v>
      </c>
      <c r="D489" t="inlineStr">
        <is>
          <t>JÄMTLANDS LÄN</t>
        </is>
      </c>
      <c r="E489" t="inlineStr">
        <is>
          <t>KROKOM</t>
        </is>
      </c>
      <c r="G489" t="n">
        <v>2.6</v>
      </c>
      <c r="H489" t="n">
        <v>0</v>
      </c>
      <c r="I489" t="n">
        <v>0</v>
      </c>
      <c r="J489" t="n">
        <v>0</v>
      </c>
      <c r="K489" t="n">
        <v>0</v>
      </c>
      <c r="L489" t="n">
        <v>0</v>
      </c>
      <c r="M489" t="n">
        <v>0</v>
      </c>
      <c r="N489" t="n">
        <v>0</v>
      </c>
      <c r="O489" t="n">
        <v>0</v>
      </c>
      <c r="P489" t="n">
        <v>0</v>
      </c>
      <c r="Q489" t="n">
        <v>0</v>
      </c>
      <c r="R489" s="2" t="inlineStr"/>
    </row>
    <row r="490" ht="15" customHeight="1">
      <c r="A490" t="inlineStr">
        <is>
          <t>A 35864-2025</t>
        </is>
      </c>
      <c r="B490" s="1" t="n">
        <v>45861.6841087963</v>
      </c>
      <c r="C490" s="1" t="n">
        <v>45923</v>
      </c>
      <c r="D490" t="inlineStr">
        <is>
          <t>JÄMTLANDS LÄN</t>
        </is>
      </c>
      <c r="E490" t="inlineStr">
        <is>
          <t>KROKOM</t>
        </is>
      </c>
      <c r="F490" t="inlineStr">
        <is>
          <t>Övriga Aktiebolag</t>
        </is>
      </c>
      <c r="G490" t="n">
        <v>1.6</v>
      </c>
      <c r="H490" t="n">
        <v>0</v>
      </c>
      <c r="I490" t="n">
        <v>0</v>
      </c>
      <c r="J490" t="n">
        <v>0</v>
      </c>
      <c r="K490" t="n">
        <v>0</v>
      </c>
      <c r="L490" t="n">
        <v>0</v>
      </c>
      <c r="M490" t="n">
        <v>0</v>
      </c>
      <c r="N490" t="n">
        <v>0</v>
      </c>
      <c r="O490" t="n">
        <v>0</v>
      </c>
      <c r="P490" t="n">
        <v>0</v>
      </c>
      <c r="Q490" t="n">
        <v>0</v>
      </c>
      <c r="R490" s="2" t="inlineStr"/>
    </row>
    <row r="491" ht="15" customHeight="1">
      <c r="A491" t="inlineStr">
        <is>
          <t>A 884-2021</t>
        </is>
      </c>
      <c r="B491" s="1" t="n">
        <v>44206</v>
      </c>
      <c r="C491" s="1" t="n">
        <v>45923</v>
      </c>
      <c r="D491" t="inlineStr">
        <is>
          <t>JÄMTLANDS LÄN</t>
        </is>
      </c>
      <c r="E491" t="inlineStr">
        <is>
          <t>KROKOM</t>
        </is>
      </c>
      <c r="G491" t="n">
        <v>0.2</v>
      </c>
      <c r="H491" t="n">
        <v>0</v>
      </c>
      <c r="I491" t="n">
        <v>0</v>
      </c>
      <c r="J491" t="n">
        <v>0</v>
      </c>
      <c r="K491" t="n">
        <v>0</v>
      </c>
      <c r="L491" t="n">
        <v>0</v>
      </c>
      <c r="M491" t="n">
        <v>0</v>
      </c>
      <c r="N491" t="n">
        <v>0</v>
      </c>
      <c r="O491" t="n">
        <v>0</v>
      </c>
      <c r="P491" t="n">
        <v>0</v>
      </c>
      <c r="Q491" t="n">
        <v>0</v>
      </c>
      <c r="R491" s="2" t="inlineStr"/>
    </row>
    <row r="492" ht="15" customHeight="1">
      <c r="A492" t="inlineStr">
        <is>
          <t>A 28067-2023</t>
        </is>
      </c>
      <c r="B492" s="1" t="n">
        <v>45099.37211805556</v>
      </c>
      <c r="C492" s="1" t="n">
        <v>45923</v>
      </c>
      <c r="D492" t="inlineStr">
        <is>
          <t>JÄMTLANDS LÄN</t>
        </is>
      </c>
      <c r="E492" t="inlineStr">
        <is>
          <t>KROKOM</t>
        </is>
      </c>
      <c r="G492" t="n">
        <v>2.8</v>
      </c>
      <c r="H492" t="n">
        <v>0</v>
      </c>
      <c r="I492" t="n">
        <v>0</v>
      </c>
      <c r="J492" t="n">
        <v>0</v>
      </c>
      <c r="K492" t="n">
        <v>0</v>
      </c>
      <c r="L492" t="n">
        <v>0</v>
      </c>
      <c r="M492" t="n">
        <v>0</v>
      </c>
      <c r="N492" t="n">
        <v>0</v>
      </c>
      <c r="O492" t="n">
        <v>0</v>
      </c>
      <c r="P492" t="n">
        <v>0</v>
      </c>
      <c r="Q492" t="n">
        <v>0</v>
      </c>
      <c r="R492" s="2" t="inlineStr"/>
    </row>
    <row r="493" ht="15" customHeight="1">
      <c r="A493" t="inlineStr">
        <is>
          <t>A 42231-2025</t>
        </is>
      </c>
      <c r="B493" s="1" t="n">
        <v>45904.55565972222</v>
      </c>
      <c r="C493" s="1" t="n">
        <v>45923</v>
      </c>
      <c r="D493" t="inlineStr">
        <is>
          <t>JÄMTLANDS LÄN</t>
        </is>
      </c>
      <c r="E493" t="inlineStr">
        <is>
          <t>KROKOM</t>
        </is>
      </c>
      <c r="G493" t="n">
        <v>0.6</v>
      </c>
      <c r="H493" t="n">
        <v>0</v>
      </c>
      <c r="I493" t="n">
        <v>0</v>
      </c>
      <c r="J493" t="n">
        <v>0</v>
      </c>
      <c r="K493" t="n">
        <v>0</v>
      </c>
      <c r="L493" t="n">
        <v>0</v>
      </c>
      <c r="M493" t="n">
        <v>0</v>
      </c>
      <c r="N493" t="n">
        <v>0</v>
      </c>
      <c r="O493" t="n">
        <v>0</v>
      </c>
      <c r="P493" t="n">
        <v>0</v>
      </c>
      <c r="Q493" t="n">
        <v>0</v>
      </c>
      <c r="R493" s="2" t="inlineStr"/>
    </row>
    <row r="494" ht="15" customHeight="1">
      <c r="A494" t="inlineStr">
        <is>
          <t>A 35875-2025</t>
        </is>
      </c>
      <c r="B494" s="1" t="n">
        <v>45862.34668981482</v>
      </c>
      <c r="C494" s="1" t="n">
        <v>45923</v>
      </c>
      <c r="D494" t="inlineStr">
        <is>
          <t>JÄMTLANDS LÄN</t>
        </is>
      </c>
      <c r="E494" t="inlineStr">
        <is>
          <t>KROKOM</t>
        </is>
      </c>
      <c r="F494" t="inlineStr">
        <is>
          <t>Övriga Aktiebolag</t>
        </is>
      </c>
      <c r="G494" t="n">
        <v>14.9</v>
      </c>
      <c r="H494" t="n">
        <v>0</v>
      </c>
      <c r="I494" t="n">
        <v>0</v>
      </c>
      <c r="J494" t="n">
        <v>0</v>
      </c>
      <c r="K494" t="n">
        <v>0</v>
      </c>
      <c r="L494" t="n">
        <v>0</v>
      </c>
      <c r="M494" t="n">
        <v>0</v>
      </c>
      <c r="N494" t="n">
        <v>0</v>
      </c>
      <c r="O494" t="n">
        <v>0</v>
      </c>
      <c r="P494" t="n">
        <v>0</v>
      </c>
      <c r="Q494" t="n">
        <v>0</v>
      </c>
      <c r="R494" s="2" t="inlineStr"/>
    </row>
    <row r="495" ht="15" customHeight="1">
      <c r="A495" t="inlineStr">
        <is>
          <t>A 30728-2022</t>
        </is>
      </c>
      <c r="B495" s="1" t="n">
        <v>44764</v>
      </c>
      <c r="C495" s="1" t="n">
        <v>45923</v>
      </c>
      <c r="D495" t="inlineStr">
        <is>
          <t>JÄMTLANDS LÄN</t>
        </is>
      </c>
      <c r="E495" t="inlineStr">
        <is>
          <t>KROKOM</t>
        </is>
      </c>
      <c r="G495" t="n">
        <v>6.4</v>
      </c>
      <c r="H495" t="n">
        <v>0</v>
      </c>
      <c r="I495" t="n">
        <v>0</v>
      </c>
      <c r="J495" t="n">
        <v>0</v>
      </c>
      <c r="K495" t="n">
        <v>0</v>
      </c>
      <c r="L495" t="n">
        <v>0</v>
      </c>
      <c r="M495" t="n">
        <v>0</v>
      </c>
      <c r="N495" t="n">
        <v>0</v>
      </c>
      <c r="O495" t="n">
        <v>0</v>
      </c>
      <c r="P495" t="n">
        <v>0</v>
      </c>
      <c r="Q495" t="n">
        <v>0</v>
      </c>
      <c r="R495" s="2" t="inlineStr"/>
    </row>
    <row r="496" ht="15" customHeight="1">
      <c r="A496" t="inlineStr">
        <is>
          <t>A 30729-2022</t>
        </is>
      </c>
      <c r="B496" s="1" t="n">
        <v>44764</v>
      </c>
      <c r="C496" s="1" t="n">
        <v>45923</v>
      </c>
      <c r="D496" t="inlineStr">
        <is>
          <t>JÄMTLANDS LÄN</t>
        </is>
      </c>
      <c r="E496" t="inlineStr">
        <is>
          <t>KROKOM</t>
        </is>
      </c>
      <c r="G496" t="n">
        <v>2.5</v>
      </c>
      <c r="H496" t="n">
        <v>0</v>
      </c>
      <c r="I496" t="n">
        <v>0</v>
      </c>
      <c r="J496" t="n">
        <v>0</v>
      </c>
      <c r="K496" t="n">
        <v>0</v>
      </c>
      <c r="L496" t="n">
        <v>0</v>
      </c>
      <c r="M496" t="n">
        <v>0</v>
      </c>
      <c r="N496" t="n">
        <v>0</v>
      </c>
      <c r="O496" t="n">
        <v>0</v>
      </c>
      <c r="P496" t="n">
        <v>0</v>
      </c>
      <c r="Q496" t="n">
        <v>0</v>
      </c>
      <c r="R496" s="2" t="inlineStr"/>
    </row>
    <row r="497" ht="15" customHeight="1">
      <c r="A497" t="inlineStr">
        <is>
          <t>A 23539-2024</t>
        </is>
      </c>
      <c r="B497" s="1" t="n">
        <v>45453.95237268518</v>
      </c>
      <c r="C497" s="1" t="n">
        <v>45923</v>
      </c>
      <c r="D497" t="inlineStr">
        <is>
          <t>JÄMTLANDS LÄN</t>
        </is>
      </c>
      <c r="E497" t="inlineStr">
        <is>
          <t>KROKOM</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53771-2022</t>
        </is>
      </c>
      <c r="B498" s="1" t="n">
        <v>44875</v>
      </c>
      <c r="C498" s="1" t="n">
        <v>45923</v>
      </c>
      <c r="D498" t="inlineStr">
        <is>
          <t>JÄMTLANDS LÄN</t>
        </is>
      </c>
      <c r="E498" t="inlineStr">
        <is>
          <t>KROKOM</t>
        </is>
      </c>
      <c r="G498" t="n">
        <v>8.1</v>
      </c>
      <c r="H498" t="n">
        <v>0</v>
      </c>
      <c r="I498" t="n">
        <v>0</v>
      </c>
      <c r="J498" t="n">
        <v>0</v>
      </c>
      <c r="K498" t="n">
        <v>0</v>
      </c>
      <c r="L498" t="n">
        <v>0</v>
      </c>
      <c r="M498" t="n">
        <v>0</v>
      </c>
      <c r="N498" t="n">
        <v>0</v>
      </c>
      <c r="O498" t="n">
        <v>0</v>
      </c>
      <c r="P498" t="n">
        <v>0</v>
      </c>
      <c r="Q498" t="n">
        <v>0</v>
      </c>
      <c r="R498" s="2" t="inlineStr"/>
    </row>
    <row r="499" ht="15" customHeight="1">
      <c r="A499" t="inlineStr">
        <is>
          <t>A 7630-2023</t>
        </is>
      </c>
      <c r="B499" s="1" t="n">
        <v>44972.55690972223</v>
      </c>
      <c r="C499" s="1" t="n">
        <v>45923</v>
      </c>
      <c r="D499" t="inlineStr">
        <is>
          <t>JÄMTLANDS LÄN</t>
        </is>
      </c>
      <c r="E499" t="inlineStr">
        <is>
          <t>KROKOM</t>
        </is>
      </c>
      <c r="G499" t="n">
        <v>2.1</v>
      </c>
      <c r="H499" t="n">
        <v>0</v>
      </c>
      <c r="I499" t="n">
        <v>0</v>
      </c>
      <c r="J499" t="n">
        <v>0</v>
      </c>
      <c r="K499" t="n">
        <v>0</v>
      </c>
      <c r="L499" t="n">
        <v>0</v>
      </c>
      <c r="M499" t="n">
        <v>0</v>
      </c>
      <c r="N499" t="n">
        <v>0</v>
      </c>
      <c r="O499" t="n">
        <v>0</v>
      </c>
      <c r="P499" t="n">
        <v>0</v>
      </c>
      <c r="Q499" t="n">
        <v>0</v>
      </c>
      <c r="R499" s="2" t="inlineStr"/>
    </row>
    <row r="500" ht="15" customHeight="1">
      <c r="A500" t="inlineStr">
        <is>
          <t>A 21617-2025</t>
        </is>
      </c>
      <c r="B500" s="1" t="n">
        <v>45783</v>
      </c>
      <c r="C500" s="1" t="n">
        <v>45923</v>
      </c>
      <c r="D500" t="inlineStr">
        <is>
          <t>JÄMTLANDS LÄN</t>
        </is>
      </c>
      <c r="E500" t="inlineStr">
        <is>
          <t>KROKOM</t>
        </is>
      </c>
      <c r="G500" t="n">
        <v>2.6</v>
      </c>
      <c r="H500" t="n">
        <v>0</v>
      </c>
      <c r="I500" t="n">
        <v>0</v>
      </c>
      <c r="J500" t="n">
        <v>0</v>
      </c>
      <c r="K500" t="n">
        <v>0</v>
      </c>
      <c r="L500" t="n">
        <v>0</v>
      </c>
      <c r="M500" t="n">
        <v>0</v>
      </c>
      <c r="N500" t="n">
        <v>0</v>
      </c>
      <c r="O500" t="n">
        <v>0</v>
      </c>
      <c r="P500" t="n">
        <v>0</v>
      </c>
      <c r="Q500" t="n">
        <v>0</v>
      </c>
      <c r="R500" s="2" t="inlineStr"/>
    </row>
    <row r="501" ht="15" customHeight="1">
      <c r="A501" t="inlineStr">
        <is>
          <t>A 2062-2021</t>
        </is>
      </c>
      <c r="B501" s="1" t="n">
        <v>44211</v>
      </c>
      <c r="C501" s="1" t="n">
        <v>45923</v>
      </c>
      <c r="D501" t="inlineStr">
        <is>
          <t>JÄMTLANDS LÄN</t>
        </is>
      </c>
      <c r="E501" t="inlineStr">
        <is>
          <t>KROKOM</t>
        </is>
      </c>
      <c r="G501" t="n">
        <v>1.4</v>
      </c>
      <c r="H501" t="n">
        <v>0</v>
      </c>
      <c r="I501" t="n">
        <v>0</v>
      </c>
      <c r="J501" t="n">
        <v>0</v>
      </c>
      <c r="K501" t="n">
        <v>0</v>
      </c>
      <c r="L501" t="n">
        <v>0</v>
      </c>
      <c r="M501" t="n">
        <v>0</v>
      </c>
      <c r="N501" t="n">
        <v>0</v>
      </c>
      <c r="O501" t="n">
        <v>0</v>
      </c>
      <c r="P501" t="n">
        <v>0</v>
      </c>
      <c r="Q501" t="n">
        <v>0</v>
      </c>
      <c r="R501" s="2" t="inlineStr"/>
    </row>
    <row r="502" ht="15" customHeight="1">
      <c r="A502" t="inlineStr">
        <is>
          <t>A 31988-2024</t>
        </is>
      </c>
      <c r="B502" s="1" t="n">
        <v>45510.58033564815</v>
      </c>
      <c r="C502" s="1" t="n">
        <v>45923</v>
      </c>
      <c r="D502" t="inlineStr">
        <is>
          <t>JÄMTLANDS LÄN</t>
        </is>
      </c>
      <c r="E502" t="inlineStr">
        <is>
          <t>KROKOM</t>
        </is>
      </c>
      <c r="F502" t="inlineStr">
        <is>
          <t>Övriga Aktiebolag</t>
        </is>
      </c>
      <c r="G502" t="n">
        <v>4.8</v>
      </c>
      <c r="H502" t="n">
        <v>0</v>
      </c>
      <c r="I502" t="n">
        <v>0</v>
      </c>
      <c r="J502" t="n">
        <v>0</v>
      </c>
      <c r="K502" t="n">
        <v>0</v>
      </c>
      <c r="L502" t="n">
        <v>0</v>
      </c>
      <c r="M502" t="n">
        <v>0</v>
      </c>
      <c r="N502" t="n">
        <v>0</v>
      </c>
      <c r="O502" t="n">
        <v>0</v>
      </c>
      <c r="P502" t="n">
        <v>0</v>
      </c>
      <c r="Q502" t="n">
        <v>0</v>
      </c>
      <c r="R502" s="2" t="inlineStr"/>
    </row>
    <row r="503" ht="15" customHeight="1">
      <c r="A503" t="inlineStr">
        <is>
          <t>A 42445-2025</t>
        </is>
      </c>
      <c r="B503" s="1" t="n">
        <v>45905.4375</v>
      </c>
      <c r="C503" s="1" t="n">
        <v>45923</v>
      </c>
      <c r="D503" t="inlineStr">
        <is>
          <t>JÄMTLANDS LÄN</t>
        </is>
      </c>
      <c r="E503" t="inlineStr">
        <is>
          <t>KROKOM</t>
        </is>
      </c>
      <c r="G503" t="n">
        <v>2.8</v>
      </c>
      <c r="H503" t="n">
        <v>0</v>
      </c>
      <c r="I503" t="n">
        <v>0</v>
      </c>
      <c r="J503" t="n">
        <v>0</v>
      </c>
      <c r="K503" t="n">
        <v>0</v>
      </c>
      <c r="L503" t="n">
        <v>0</v>
      </c>
      <c r="M503" t="n">
        <v>0</v>
      </c>
      <c r="N503" t="n">
        <v>0</v>
      </c>
      <c r="O503" t="n">
        <v>0</v>
      </c>
      <c r="P503" t="n">
        <v>0</v>
      </c>
      <c r="Q503" t="n">
        <v>0</v>
      </c>
      <c r="R503" s="2" t="inlineStr"/>
    </row>
    <row r="504" ht="15" customHeight="1">
      <c r="A504" t="inlineStr">
        <is>
          <t>A 42427-2025</t>
        </is>
      </c>
      <c r="B504" s="1" t="n">
        <v>45905.4174537037</v>
      </c>
      <c r="C504" s="1" t="n">
        <v>45923</v>
      </c>
      <c r="D504" t="inlineStr">
        <is>
          <t>JÄMTLANDS LÄN</t>
        </is>
      </c>
      <c r="E504" t="inlineStr">
        <is>
          <t>KROKOM</t>
        </is>
      </c>
      <c r="G504" t="n">
        <v>5.3</v>
      </c>
      <c r="H504" t="n">
        <v>0</v>
      </c>
      <c r="I504" t="n">
        <v>0</v>
      </c>
      <c r="J504" t="n">
        <v>0</v>
      </c>
      <c r="K504" t="n">
        <v>0</v>
      </c>
      <c r="L504" t="n">
        <v>0</v>
      </c>
      <c r="M504" t="n">
        <v>0</v>
      </c>
      <c r="N504" t="n">
        <v>0</v>
      </c>
      <c r="O504" t="n">
        <v>0</v>
      </c>
      <c r="P504" t="n">
        <v>0</v>
      </c>
      <c r="Q504" t="n">
        <v>0</v>
      </c>
      <c r="R504" s="2" t="inlineStr"/>
    </row>
    <row r="505" ht="15" customHeight="1">
      <c r="A505" t="inlineStr">
        <is>
          <t>A 47060-2024</t>
        </is>
      </c>
      <c r="B505" s="1" t="n">
        <v>45586.46927083333</v>
      </c>
      <c r="C505" s="1" t="n">
        <v>45923</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35985-2025</t>
        </is>
      </c>
      <c r="B506" s="1" t="n">
        <v>45863.45778935185</v>
      </c>
      <c r="C506" s="1" t="n">
        <v>45923</v>
      </c>
      <c r="D506" t="inlineStr">
        <is>
          <t>JÄMTLANDS LÄN</t>
        </is>
      </c>
      <c r="E506" t="inlineStr">
        <is>
          <t>KROKOM</t>
        </is>
      </c>
      <c r="G506" t="n">
        <v>0.2</v>
      </c>
      <c r="H506" t="n">
        <v>0</v>
      </c>
      <c r="I506" t="n">
        <v>0</v>
      </c>
      <c r="J506" t="n">
        <v>0</v>
      </c>
      <c r="K506" t="n">
        <v>0</v>
      </c>
      <c r="L506" t="n">
        <v>0</v>
      </c>
      <c r="M506" t="n">
        <v>0</v>
      </c>
      <c r="N506" t="n">
        <v>0</v>
      </c>
      <c r="O506" t="n">
        <v>0</v>
      </c>
      <c r="P506" t="n">
        <v>0</v>
      </c>
      <c r="Q506" t="n">
        <v>0</v>
      </c>
      <c r="R506" s="2" t="inlineStr"/>
    </row>
    <row r="507" ht="15" customHeight="1">
      <c r="A507" t="inlineStr">
        <is>
          <t>A 42804-2025</t>
        </is>
      </c>
      <c r="B507" s="1" t="n">
        <v>45908</v>
      </c>
      <c r="C507" s="1" t="n">
        <v>45923</v>
      </c>
      <c r="D507" t="inlineStr">
        <is>
          <t>JÄMTLANDS LÄN</t>
        </is>
      </c>
      <c r="E507" t="inlineStr">
        <is>
          <t>KROKOM</t>
        </is>
      </c>
      <c r="G507" t="n">
        <v>0.8</v>
      </c>
      <c r="H507" t="n">
        <v>0</v>
      </c>
      <c r="I507" t="n">
        <v>0</v>
      </c>
      <c r="J507" t="n">
        <v>0</v>
      </c>
      <c r="K507" t="n">
        <v>0</v>
      </c>
      <c r="L507" t="n">
        <v>0</v>
      </c>
      <c r="M507" t="n">
        <v>0</v>
      </c>
      <c r="N507" t="n">
        <v>0</v>
      </c>
      <c r="O507" t="n">
        <v>0</v>
      </c>
      <c r="P507" t="n">
        <v>0</v>
      </c>
      <c r="Q507" t="n">
        <v>0</v>
      </c>
      <c r="R507" s="2" t="inlineStr"/>
    </row>
    <row r="508" ht="15" customHeight="1">
      <c r="A508" t="inlineStr">
        <is>
          <t>A 36044-2025</t>
        </is>
      </c>
      <c r="B508" s="1" t="n">
        <v>45863</v>
      </c>
      <c r="C508" s="1" t="n">
        <v>45923</v>
      </c>
      <c r="D508" t="inlineStr">
        <is>
          <t>JÄMTLANDS LÄN</t>
        </is>
      </c>
      <c r="E508" t="inlineStr">
        <is>
          <t>KROKOM</t>
        </is>
      </c>
      <c r="G508" t="n">
        <v>7.4</v>
      </c>
      <c r="H508" t="n">
        <v>0</v>
      </c>
      <c r="I508" t="n">
        <v>0</v>
      </c>
      <c r="J508" t="n">
        <v>0</v>
      </c>
      <c r="K508" t="n">
        <v>0</v>
      </c>
      <c r="L508" t="n">
        <v>0</v>
      </c>
      <c r="M508" t="n">
        <v>0</v>
      </c>
      <c r="N508" t="n">
        <v>0</v>
      </c>
      <c r="O508" t="n">
        <v>0</v>
      </c>
      <c r="P508" t="n">
        <v>0</v>
      </c>
      <c r="Q508" t="n">
        <v>0</v>
      </c>
      <c r="R508" s="2" t="inlineStr"/>
    </row>
    <row r="509" ht="15" customHeight="1">
      <c r="A509" t="inlineStr">
        <is>
          <t>A 36182-2025</t>
        </is>
      </c>
      <c r="B509" s="1" t="n">
        <v>45867.41707175926</v>
      </c>
      <c r="C509" s="1" t="n">
        <v>45923</v>
      </c>
      <c r="D509" t="inlineStr">
        <is>
          <t>JÄMTLANDS LÄN</t>
        </is>
      </c>
      <c r="E509" t="inlineStr">
        <is>
          <t>KROKOM</t>
        </is>
      </c>
      <c r="G509" t="n">
        <v>4.1</v>
      </c>
      <c r="H509" t="n">
        <v>0</v>
      </c>
      <c r="I509" t="n">
        <v>0</v>
      </c>
      <c r="J509" t="n">
        <v>0</v>
      </c>
      <c r="K509" t="n">
        <v>0</v>
      </c>
      <c r="L509" t="n">
        <v>0</v>
      </c>
      <c r="M509" t="n">
        <v>0</v>
      </c>
      <c r="N509" t="n">
        <v>0</v>
      </c>
      <c r="O509" t="n">
        <v>0</v>
      </c>
      <c r="P509" t="n">
        <v>0</v>
      </c>
      <c r="Q509" t="n">
        <v>0</v>
      </c>
      <c r="R509" s="2" t="inlineStr"/>
    </row>
    <row r="510" ht="15" customHeight="1">
      <c r="A510" t="inlineStr">
        <is>
          <t>A 26414-2024</t>
        </is>
      </c>
      <c r="B510" s="1" t="n">
        <v>45469</v>
      </c>
      <c r="C510" s="1" t="n">
        <v>45923</v>
      </c>
      <c r="D510" t="inlineStr">
        <is>
          <t>JÄMTLANDS LÄN</t>
        </is>
      </c>
      <c r="E510" t="inlineStr">
        <is>
          <t>KROKOM</t>
        </is>
      </c>
      <c r="G510" t="n">
        <v>0.8</v>
      </c>
      <c r="H510" t="n">
        <v>0</v>
      </c>
      <c r="I510" t="n">
        <v>0</v>
      </c>
      <c r="J510" t="n">
        <v>0</v>
      </c>
      <c r="K510" t="n">
        <v>0</v>
      </c>
      <c r="L510" t="n">
        <v>0</v>
      </c>
      <c r="M510" t="n">
        <v>0</v>
      </c>
      <c r="N510" t="n">
        <v>0</v>
      </c>
      <c r="O510" t="n">
        <v>0</v>
      </c>
      <c r="P510" t="n">
        <v>0</v>
      </c>
      <c r="Q510" t="n">
        <v>0</v>
      </c>
      <c r="R510" s="2" t="inlineStr"/>
    </row>
    <row r="511" ht="15" customHeight="1">
      <c r="A511" t="inlineStr">
        <is>
          <t>A 36209-2025</t>
        </is>
      </c>
      <c r="B511" s="1" t="n">
        <v>45867.46560185185</v>
      </c>
      <c r="C511" s="1" t="n">
        <v>45923</v>
      </c>
      <c r="D511" t="inlineStr">
        <is>
          <t>JÄMTLANDS LÄN</t>
        </is>
      </c>
      <c r="E511" t="inlineStr">
        <is>
          <t>KROKOM</t>
        </is>
      </c>
      <c r="G511" t="n">
        <v>9.4</v>
      </c>
      <c r="H511" t="n">
        <v>0</v>
      </c>
      <c r="I511" t="n">
        <v>0</v>
      </c>
      <c r="J511" t="n">
        <v>0</v>
      </c>
      <c r="K511" t="n">
        <v>0</v>
      </c>
      <c r="L511" t="n">
        <v>0</v>
      </c>
      <c r="M511" t="n">
        <v>0</v>
      </c>
      <c r="N511" t="n">
        <v>0</v>
      </c>
      <c r="O511" t="n">
        <v>0</v>
      </c>
      <c r="P511" t="n">
        <v>0</v>
      </c>
      <c r="Q511" t="n">
        <v>0</v>
      </c>
      <c r="R511" s="2" t="inlineStr"/>
    </row>
    <row r="512" ht="15" customHeight="1">
      <c r="A512" t="inlineStr">
        <is>
          <t>A 34517-2024</t>
        </is>
      </c>
      <c r="B512" s="1" t="n">
        <v>45525</v>
      </c>
      <c r="C512" s="1" t="n">
        <v>45923</v>
      </c>
      <c r="D512" t="inlineStr">
        <is>
          <t>JÄMTLANDS LÄN</t>
        </is>
      </c>
      <c r="E512" t="inlineStr">
        <is>
          <t>KROKOM</t>
        </is>
      </c>
      <c r="G512" t="n">
        <v>0.5</v>
      </c>
      <c r="H512" t="n">
        <v>0</v>
      </c>
      <c r="I512" t="n">
        <v>0</v>
      </c>
      <c r="J512" t="n">
        <v>0</v>
      </c>
      <c r="K512" t="n">
        <v>0</v>
      </c>
      <c r="L512" t="n">
        <v>0</v>
      </c>
      <c r="M512" t="n">
        <v>0</v>
      </c>
      <c r="N512" t="n">
        <v>0</v>
      </c>
      <c r="O512" t="n">
        <v>0</v>
      </c>
      <c r="P512" t="n">
        <v>0</v>
      </c>
      <c r="Q512" t="n">
        <v>0</v>
      </c>
      <c r="R512" s="2" t="inlineStr"/>
    </row>
    <row r="513" ht="15" customHeight="1">
      <c r="A513" t="inlineStr">
        <is>
          <t>A 24252-2024</t>
        </is>
      </c>
      <c r="B513" s="1" t="n">
        <v>45457.38799768518</v>
      </c>
      <c r="C513" s="1" t="n">
        <v>45923</v>
      </c>
      <c r="D513" t="inlineStr">
        <is>
          <t>JÄMTLANDS LÄN</t>
        </is>
      </c>
      <c r="E513" t="inlineStr">
        <is>
          <t>KROKOM</t>
        </is>
      </c>
      <c r="G513" t="n">
        <v>1.9</v>
      </c>
      <c r="H513" t="n">
        <v>0</v>
      </c>
      <c r="I513" t="n">
        <v>0</v>
      </c>
      <c r="J513" t="n">
        <v>0</v>
      </c>
      <c r="K513" t="n">
        <v>0</v>
      </c>
      <c r="L513" t="n">
        <v>0</v>
      </c>
      <c r="M513" t="n">
        <v>0</v>
      </c>
      <c r="N513" t="n">
        <v>0</v>
      </c>
      <c r="O513" t="n">
        <v>0</v>
      </c>
      <c r="P513" t="n">
        <v>0</v>
      </c>
      <c r="Q513" t="n">
        <v>0</v>
      </c>
      <c r="R513" s="2" t="inlineStr"/>
    </row>
    <row r="514" ht="15" customHeight="1">
      <c r="A514" t="inlineStr">
        <is>
          <t>A 27000-2021</t>
        </is>
      </c>
      <c r="B514" s="1" t="n">
        <v>44349</v>
      </c>
      <c r="C514" s="1" t="n">
        <v>45923</v>
      </c>
      <c r="D514" t="inlineStr">
        <is>
          <t>JÄMTLANDS LÄN</t>
        </is>
      </c>
      <c r="E514" t="inlineStr">
        <is>
          <t>KROKOM</t>
        </is>
      </c>
      <c r="F514" t="inlineStr">
        <is>
          <t>Allmännings- och besparingsskogar</t>
        </is>
      </c>
      <c r="G514" t="n">
        <v>2.3</v>
      </c>
      <c r="H514" t="n">
        <v>0</v>
      </c>
      <c r="I514" t="n">
        <v>0</v>
      </c>
      <c r="J514" t="n">
        <v>0</v>
      </c>
      <c r="K514" t="n">
        <v>0</v>
      </c>
      <c r="L514" t="n">
        <v>0</v>
      </c>
      <c r="M514" t="n">
        <v>0</v>
      </c>
      <c r="N514" t="n">
        <v>0</v>
      </c>
      <c r="O514" t="n">
        <v>0</v>
      </c>
      <c r="P514" t="n">
        <v>0</v>
      </c>
      <c r="Q514" t="n">
        <v>0</v>
      </c>
      <c r="R514" s="2" t="inlineStr"/>
    </row>
    <row r="515" ht="15" customHeight="1">
      <c r="A515" t="inlineStr">
        <is>
          <t>A 36429-2025</t>
        </is>
      </c>
      <c r="B515" s="1" t="n">
        <v>45869.34439814815</v>
      </c>
      <c r="C515" s="1" t="n">
        <v>45923</v>
      </c>
      <c r="D515" t="inlineStr">
        <is>
          <t>JÄMTLANDS LÄN</t>
        </is>
      </c>
      <c r="E515" t="inlineStr">
        <is>
          <t>KROKOM</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43785-2025</t>
        </is>
      </c>
      <c r="B516" s="1" t="n">
        <v>45912</v>
      </c>
      <c r="C516" s="1" t="n">
        <v>45923</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43368-2025</t>
        </is>
      </c>
      <c r="B517" s="1" t="n">
        <v>45911.34840277778</v>
      </c>
      <c r="C517" s="1" t="n">
        <v>45923</v>
      </c>
      <c r="D517" t="inlineStr">
        <is>
          <t>JÄMTLANDS LÄN</t>
        </is>
      </c>
      <c r="E517" t="inlineStr">
        <is>
          <t>KROKOM</t>
        </is>
      </c>
      <c r="G517" t="n">
        <v>19</v>
      </c>
      <c r="H517" t="n">
        <v>0</v>
      </c>
      <c r="I517" t="n">
        <v>0</v>
      </c>
      <c r="J517" t="n">
        <v>0</v>
      </c>
      <c r="K517" t="n">
        <v>0</v>
      </c>
      <c r="L517" t="n">
        <v>0</v>
      </c>
      <c r="M517" t="n">
        <v>0</v>
      </c>
      <c r="N517" t="n">
        <v>0</v>
      </c>
      <c r="O517" t="n">
        <v>0</v>
      </c>
      <c r="P517" t="n">
        <v>0</v>
      </c>
      <c r="Q517" t="n">
        <v>0</v>
      </c>
      <c r="R517" s="2" t="inlineStr"/>
    </row>
    <row r="518" ht="15" customHeight="1">
      <c r="A518" t="inlineStr">
        <is>
          <t>A 13395-2021</t>
        </is>
      </c>
      <c r="B518" s="1" t="n">
        <v>44273</v>
      </c>
      <c r="C518" s="1" t="n">
        <v>45923</v>
      </c>
      <c r="D518" t="inlineStr">
        <is>
          <t>JÄMTLANDS LÄN</t>
        </is>
      </c>
      <c r="E518" t="inlineStr">
        <is>
          <t>KROKOM</t>
        </is>
      </c>
      <c r="G518" t="n">
        <v>13.7</v>
      </c>
      <c r="H518" t="n">
        <v>0</v>
      </c>
      <c r="I518" t="n">
        <v>0</v>
      </c>
      <c r="J518" t="n">
        <v>0</v>
      </c>
      <c r="K518" t="n">
        <v>0</v>
      </c>
      <c r="L518" t="n">
        <v>0</v>
      </c>
      <c r="M518" t="n">
        <v>0</v>
      </c>
      <c r="N518" t="n">
        <v>0</v>
      </c>
      <c r="O518" t="n">
        <v>0</v>
      </c>
      <c r="P518" t="n">
        <v>0</v>
      </c>
      <c r="Q518" t="n">
        <v>0</v>
      </c>
      <c r="R518" s="2" t="inlineStr"/>
    </row>
    <row r="519" ht="15" customHeight="1">
      <c r="A519" t="inlineStr">
        <is>
          <t>A 40394-2024</t>
        </is>
      </c>
      <c r="B519" s="1" t="n">
        <v>45555.43584490741</v>
      </c>
      <c r="C519" s="1" t="n">
        <v>45923</v>
      </c>
      <c r="D519" t="inlineStr">
        <is>
          <t>JÄMTLANDS LÄN</t>
        </is>
      </c>
      <c r="E519" t="inlineStr">
        <is>
          <t>KROKOM</t>
        </is>
      </c>
      <c r="G519" t="n">
        <v>4</v>
      </c>
      <c r="H519" t="n">
        <v>0</v>
      </c>
      <c r="I519" t="n">
        <v>0</v>
      </c>
      <c r="J519" t="n">
        <v>0</v>
      </c>
      <c r="K519" t="n">
        <v>0</v>
      </c>
      <c r="L519" t="n">
        <v>0</v>
      </c>
      <c r="M519" t="n">
        <v>0</v>
      </c>
      <c r="N519" t="n">
        <v>0</v>
      </c>
      <c r="O519" t="n">
        <v>0</v>
      </c>
      <c r="P519" t="n">
        <v>0</v>
      </c>
      <c r="Q519" t="n">
        <v>0</v>
      </c>
      <c r="R519" s="2" t="inlineStr"/>
    </row>
    <row r="520" ht="15" customHeight="1">
      <c r="A520" t="inlineStr">
        <is>
          <t>A 2236-2024</t>
        </is>
      </c>
      <c r="B520" s="1" t="n">
        <v>45309.94650462963</v>
      </c>
      <c r="C520" s="1" t="n">
        <v>45923</v>
      </c>
      <c r="D520" t="inlineStr">
        <is>
          <t>JÄMTLANDS LÄN</t>
        </is>
      </c>
      <c r="E520" t="inlineStr">
        <is>
          <t>KROKOM</t>
        </is>
      </c>
      <c r="G520" t="n">
        <v>2.6</v>
      </c>
      <c r="H520" t="n">
        <v>0</v>
      </c>
      <c r="I520" t="n">
        <v>0</v>
      </c>
      <c r="J520" t="n">
        <v>0</v>
      </c>
      <c r="K520" t="n">
        <v>0</v>
      </c>
      <c r="L520" t="n">
        <v>0</v>
      </c>
      <c r="M520" t="n">
        <v>0</v>
      </c>
      <c r="N520" t="n">
        <v>0</v>
      </c>
      <c r="O520" t="n">
        <v>0</v>
      </c>
      <c r="P520" t="n">
        <v>0</v>
      </c>
      <c r="Q520" t="n">
        <v>0</v>
      </c>
      <c r="R520" s="2" t="inlineStr"/>
    </row>
    <row r="521" ht="15" customHeight="1">
      <c r="A521" t="inlineStr">
        <is>
          <t>A 67740-2021</t>
        </is>
      </c>
      <c r="B521" s="1" t="n">
        <v>44524</v>
      </c>
      <c r="C521" s="1" t="n">
        <v>45923</v>
      </c>
      <c r="D521" t="inlineStr">
        <is>
          <t>JÄMTLANDS LÄN</t>
        </is>
      </c>
      <c r="E521" t="inlineStr">
        <is>
          <t>KROKOM</t>
        </is>
      </c>
      <c r="G521" t="n">
        <v>12.3</v>
      </c>
      <c r="H521" t="n">
        <v>0</v>
      </c>
      <c r="I521" t="n">
        <v>0</v>
      </c>
      <c r="J521" t="n">
        <v>0</v>
      </c>
      <c r="K521" t="n">
        <v>0</v>
      </c>
      <c r="L521" t="n">
        <v>0</v>
      </c>
      <c r="M521" t="n">
        <v>0</v>
      </c>
      <c r="N521" t="n">
        <v>0</v>
      </c>
      <c r="O521" t="n">
        <v>0</v>
      </c>
      <c r="P521" t="n">
        <v>0</v>
      </c>
      <c r="Q521" t="n">
        <v>0</v>
      </c>
      <c r="R521" s="2" t="inlineStr"/>
    </row>
    <row r="522" ht="15" customHeight="1">
      <c r="A522" t="inlineStr">
        <is>
          <t>A 52258-2022</t>
        </is>
      </c>
      <c r="B522" s="1" t="n">
        <v>44873</v>
      </c>
      <c r="C522" s="1" t="n">
        <v>45923</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52217-2024</t>
        </is>
      </c>
      <c r="B523" s="1" t="n">
        <v>45607</v>
      </c>
      <c r="C523" s="1" t="n">
        <v>45923</v>
      </c>
      <c r="D523" t="inlineStr">
        <is>
          <t>JÄMTLANDS LÄN</t>
        </is>
      </c>
      <c r="E523" t="inlineStr">
        <is>
          <t>KROKOM</t>
        </is>
      </c>
      <c r="G523" t="n">
        <v>0.2</v>
      </c>
      <c r="H523" t="n">
        <v>0</v>
      </c>
      <c r="I523" t="n">
        <v>0</v>
      </c>
      <c r="J523" t="n">
        <v>0</v>
      </c>
      <c r="K523" t="n">
        <v>0</v>
      </c>
      <c r="L523" t="n">
        <v>0</v>
      </c>
      <c r="M523" t="n">
        <v>0</v>
      </c>
      <c r="N523" t="n">
        <v>0</v>
      </c>
      <c r="O523" t="n">
        <v>0</v>
      </c>
      <c r="P523" t="n">
        <v>0</v>
      </c>
      <c r="Q523" t="n">
        <v>0</v>
      </c>
      <c r="R523" s="2" t="inlineStr"/>
    </row>
    <row r="524" ht="15" customHeight="1">
      <c r="A524" t="inlineStr">
        <is>
          <t>A 7952-2023</t>
        </is>
      </c>
      <c r="B524" s="1" t="n">
        <v>44970</v>
      </c>
      <c r="C524" s="1" t="n">
        <v>45923</v>
      </c>
      <c r="D524" t="inlineStr">
        <is>
          <t>JÄMTLANDS LÄN</t>
        </is>
      </c>
      <c r="E524" t="inlineStr">
        <is>
          <t>KROKOM</t>
        </is>
      </c>
      <c r="G524" t="n">
        <v>4.8</v>
      </c>
      <c r="H524" t="n">
        <v>0</v>
      </c>
      <c r="I524" t="n">
        <v>0</v>
      </c>
      <c r="J524" t="n">
        <v>0</v>
      </c>
      <c r="K524" t="n">
        <v>0</v>
      </c>
      <c r="L524" t="n">
        <v>0</v>
      </c>
      <c r="M524" t="n">
        <v>0</v>
      </c>
      <c r="N524" t="n">
        <v>0</v>
      </c>
      <c r="O524" t="n">
        <v>0</v>
      </c>
      <c r="P524" t="n">
        <v>0</v>
      </c>
      <c r="Q524" t="n">
        <v>0</v>
      </c>
      <c r="R524" s="2" t="inlineStr"/>
    </row>
    <row r="525" ht="15" customHeight="1">
      <c r="A525" t="inlineStr">
        <is>
          <t>A 53541-2024</t>
        </is>
      </c>
      <c r="B525" s="1" t="n">
        <v>45614.63606481482</v>
      </c>
      <c r="C525" s="1" t="n">
        <v>45923</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53544-2024</t>
        </is>
      </c>
      <c r="B526" s="1" t="n">
        <v>45614.63701388889</v>
      </c>
      <c r="C526" s="1" t="n">
        <v>45923</v>
      </c>
      <c r="D526" t="inlineStr">
        <is>
          <t>JÄMTLANDS LÄN</t>
        </is>
      </c>
      <c r="E526" t="inlineStr">
        <is>
          <t>KROKOM</t>
        </is>
      </c>
      <c r="G526" t="n">
        <v>0.4</v>
      </c>
      <c r="H526" t="n">
        <v>0</v>
      </c>
      <c r="I526" t="n">
        <v>0</v>
      </c>
      <c r="J526" t="n">
        <v>0</v>
      </c>
      <c r="K526" t="n">
        <v>0</v>
      </c>
      <c r="L526" t="n">
        <v>0</v>
      </c>
      <c r="M526" t="n">
        <v>0</v>
      </c>
      <c r="N526" t="n">
        <v>0</v>
      </c>
      <c r="O526" t="n">
        <v>0</v>
      </c>
      <c r="P526" t="n">
        <v>0</v>
      </c>
      <c r="Q526" t="n">
        <v>0</v>
      </c>
      <c r="R526" s="2" t="inlineStr"/>
    </row>
    <row r="527" ht="15" customHeight="1">
      <c r="A527" t="inlineStr">
        <is>
          <t>A 15451-2021</t>
        </is>
      </c>
      <c r="B527" s="1" t="n">
        <v>44285</v>
      </c>
      <c r="C527" s="1" t="n">
        <v>45923</v>
      </c>
      <c r="D527" t="inlineStr">
        <is>
          <t>JÄMTLANDS LÄN</t>
        </is>
      </c>
      <c r="E527" t="inlineStr">
        <is>
          <t>KROKOM</t>
        </is>
      </c>
      <c r="G527" t="n">
        <v>6.7</v>
      </c>
      <c r="H527" t="n">
        <v>0</v>
      </c>
      <c r="I527" t="n">
        <v>0</v>
      </c>
      <c r="J527" t="n">
        <v>0</v>
      </c>
      <c r="K527" t="n">
        <v>0</v>
      </c>
      <c r="L527" t="n">
        <v>0</v>
      </c>
      <c r="M527" t="n">
        <v>0</v>
      </c>
      <c r="N527" t="n">
        <v>0</v>
      </c>
      <c r="O527" t="n">
        <v>0</v>
      </c>
      <c r="P527" t="n">
        <v>0</v>
      </c>
      <c r="Q527" t="n">
        <v>0</v>
      </c>
      <c r="R527" s="2" t="inlineStr"/>
    </row>
    <row r="528" ht="15" customHeight="1">
      <c r="A528" t="inlineStr">
        <is>
          <t>A 29524-2024</t>
        </is>
      </c>
      <c r="B528" s="1" t="n">
        <v>45484</v>
      </c>
      <c r="C528" s="1" t="n">
        <v>45923</v>
      </c>
      <c r="D528" t="inlineStr">
        <is>
          <t>JÄMTLANDS LÄN</t>
        </is>
      </c>
      <c r="E528" t="inlineStr">
        <is>
          <t>KROKOM</t>
        </is>
      </c>
      <c r="F528" t="inlineStr">
        <is>
          <t>Övriga Aktiebolag</t>
        </is>
      </c>
      <c r="G528" t="n">
        <v>10.6</v>
      </c>
      <c r="H528" t="n">
        <v>0</v>
      </c>
      <c r="I528" t="n">
        <v>0</v>
      </c>
      <c r="J528" t="n">
        <v>0</v>
      </c>
      <c r="K528" t="n">
        <v>0</v>
      </c>
      <c r="L528" t="n">
        <v>0</v>
      </c>
      <c r="M528" t="n">
        <v>0</v>
      </c>
      <c r="N528" t="n">
        <v>0</v>
      </c>
      <c r="O528" t="n">
        <v>0</v>
      </c>
      <c r="P528" t="n">
        <v>0</v>
      </c>
      <c r="Q528" t="n">
        <v>0</v>
      </c>
      <c r="R528" s="2" t="inlineStr"/>
    </row>
    <row r="529" ht="15" customHeight="1">
      <c r="A529" t="inlineStr">
        <is>
          <t>A 28210-2024</t>
        </is>
      </c>
      <c r="B529" s="1" t="n">
        <v>45477.35225694445</v>
      </c>
      <c r="C529" s="1" t="n">
        <v>45923</v>
      </c>
      <c r="D529" t="inlineStr">
        <is>
          <t>JÄMTLANDS LÄN</t>
        </is>
      </c>
      <c r="E529" t="inlineStr">
        <is>
          <t>KROKOM</t>
        </is>
      </c>
      <c r="F529" t="inlineStr">
        <is>
          <t>Övriga Aktiebolag</t>
        </is>
      </c>
      <c r="G529" t="n">
        <v>0.1</v>
      </c>
      <c r="H529" t="n">
        <v>0</v>
      </c>
      <c r="I529" t="n">
        <v>0</v>
      </c>
      <c r="J529" t="n">
        <v>0</v>
      </c>
      <c r="K529" t="n">
        <v>0</v>
      </c>
      <c r="L529" t="n">
        <v>0</v>
      </c>
      <c r="M529" t="n">
        <v>0</v>
      </c>
      <c r="N529" t="n">
        <v>0</v>
      </c>
      <c r="O529" t="n">
        <v>0</v>
      </c>
      <c r="P529" t="n">
        <v>0</v>
      </c>
      <c r="Q529" t="n">
        <v>0</v>
      </c>
      <c r="R529" s="2" t="inlineStr"/>
    </row>
    <row r="530" ht="15" customHeight="1">
      <c r="A530" t="inlineStr">
        <is>
          <t>A 50270-2023</t>
        </is>
      </c>
      <c r="B530" s="1" t="n">
        <v>45216.3965625</v>
      </c>
      <c r="C530" s="1" t="n">
        <v>45923</v>
      </c>
      <c r="D530" t="inlineStr">
        <is>
          <t>JÄMTLANDS LÄN</t>
        </is>
      </c>
      <c r="E530" t="inlineStr">
        <is>
          <t>KROKOM</t>
        </is>
      </c>
      <c r="G530" t="n">
        <v>0.4</v>
      </c>
      <c r="H530" t="n">
        <v>0</v>
      </c>
      <c r="I530" t="n">
        <v>0</v>
      </c>
      <c r="J530" t="n">
        <v>0</v>
      </c>
      <c r="K530" t="n">
        <v>0</v>
      </c>
      <c r="L530" t="n">
        <v>0</v>
      </c>
      <c r="M530" t="n">
        <v>0</v>
      </c>
      <c r="N530" t="n">
        <v>0</v>
      </c>
      <c r="O530" t="n">
        <v>0</v>
      </c>
      <c r="P530" t="n">
        <v>0</v>
      </c>
      <c r="Q530" t="n">
        <v>0</v>
      </c>
      <c r="R530" s="2" t="inlineStr"/>
    </row>
    <row r="531" ht="15" customHeight="1">
      <c r="A531" t="inlineStr">
        <is>
          <t>A 57514-2023</t>
        </is>
      </c>
      <c r="B531" s="1" t="n">
        <v>45246</v>
      </c>
      <c r="C531" s="1" t="n">
        <v>45923</v>
      </c>
      <c r="D531" t="inlineStr">
        <is>
          <t>JÄMTLANDS LÄN</t>
        </is>
      </c>
      <c r="E531" t="inlineStr">
        <is>
          <t>KROKOM</t>
        </is>
      </c>
      <c r="G531" t="n">
        <v>5.2</v>
      </c>
      <c r="H531" t="n">
        <v>0</v>
      </c>
      <c r="I531" t="n">
        <v>0</v>
      </c>
      <c r="J531" t="n">
        <v>0</v>
      </c>
      <c r="K531" t="n">
        <v>0</v>
      </c>
      <c r="L531" t="n">
        <v>0</v>
      </c>
      <c r="M531" t="n">
        <v>0</v>
      </c>
      <c r="N531" t="n">
        <v>0</v>
      </c>
      <c r="O531" t="n">
        <v>0</v>
      </c>
      <c r="P531" t="n">
        <v>0</v>
      </c>
      <c r="Q531" t="n">
        <v>0</v>
      </c>
      <c r="R531" s="2" t="inlineStr"/>
    </row>
    <row r="532" ht="15" customHeight="1">
      <c r="A532" t="inlineStr">
        <is>
          <t>A 65236-2023</t>
        </is>
      </c>
      <c r="B532" s="1" t="n">
        <v>45289</v>
      </c>
      <c r="C532" s="1" t="n">
        <v>45923</v>
      </c>
      <c r="D532" t="inlineStr">
        <is>
          <t>JÄMTLANDS LÄN</t>
        </is>
      </c>
      <c r="E532" t="inlineStr">
        <is>
          <t>KROKOM</t>
        </is>
      </c>
      <c r="G532" t="n">
        <v>0.1</v>
      </c>
      <c r="H532" t="n">
        <v>0</v>
      </c>
      <c r="I532" t="n">
        <v>0</v>
      </c>
      <c r="J532" t="n">
        <v>0</v>
      </c>
      <c r="K532" t="n">
        <v>0</v>
      </c>
      <c r="L532" t="n">
        <v>0</v>
      </c>
      <c r="M532" t="n">
        <v>0</v>
      </c>
      <c r="N532" t="n">
        <v>0</v>
      </c>
      <c r="O532" t="n">
        <v>0</v>
      </c>
      <c r="P532" t="n">
        <v>0</v>
      </c>
      <c r="Q532" t="n">
        <v>0</v>
      </c>
      <c r="R532" s="2" t="inlineStr"/>
    </row>
    <row r="533" ht="15" customHeight="1">
      <c r="A533" t="inlineStr">
        <is>
          <t>A 12471-2024</t>
        </is>
      </c>
      <c r="B533" s="1" t="n">
        <v>45378</v>
      </c>
      <c r="C533" s="1" t="n">
        <v>45923</v>
      </c>
      <c r="D533" t="inlineStr">
        <is>
          <t>JÄMTLANDS LÄN</t>
        </is>
      </c>
      <c r="E533" t="inlineStr">
        <is>
          <t>KROKOM</t>
        </is>
      </c>
      <c r="G533" t="n">
        <v>20.2</v>
      </c>
      <c r="H533" t="n">
        <v>0</v>
      </c>
      <c r="I533" t="n">
        <v>0</v>
      </c>
      <c r="J533" t="n">
        <v>0</v>
      </c>
      <c r="K533" t="n">
        <v>0</v>
      </c>
      <c r="L533" t="n">
        <v>0</v>
      </c>
      <c r="M533" t="n">
        <v>0</v>
      </c>
      <c r="N533" t="n">
        <v>0</v>
      </c>
      <c r="O533" t="n">
        <v>0</v>
      </c>
      <c r="P533" t="n">
        <v>0</v>
      </c>
      <c r="Q533" t="n">
        <v>0</v>
      </c>
      <c r="R533" s="2" t="inlineStr"/>
    </row>
    <row r="534" ht="15" customHeight="1">
      <c r="A534" t="inlineStr">
        <is>
          <t>A 53055-2023</t>
        </is>
      </c>
      <c r="B534" s="1" t="n">
        <v>45226</v>
      </c>
      <c r="C534" s="1" t="n">
        <v>45923</v>
      </c>
      <c r="D534" t="inlineStr">
        <is>
          <t>JÄMTLANDS LÄN</t>
        </is>
      </c>
      <c r="E534" t="inlineStr">
        <is>
          <t>KROKOM</t>
        </is>
      </c>
      <c r="G534" t="n">
        <v>3.4</v>
      </c>
      <c r="H534" t="n">
        <v>0</v>
      </c>
      <c r="I534" t="n">
        <v>0</v>
      </c>
      <c r="J534" t="n">
        <v>0</v>
      </c>
      <c r="K534" t="n">
        <v>0</v>
      </c>
      <c r="L534" t="n">
        <v>0</v>
      </c>
      <c r="M534" t="n">
        <v>0</v>
      </c>
      <c r="N534" t="n">
        <v>0</v>
      </c>
      <c r="O534" t="n">
        <v>0</v>
      </c>
      <c r="P534" t="n">
        <v>0</v>
      </c>
      <c r="Q534" t="n">
        <v>0</v>
      </c>
      <c r="R534" s="2" t="inlineStr"/>
    </row>
    <row r="535" ht="15" customHeight="1">
      <c r="A535" t="inlineStr">
        <is>
          <t>A 34801-2023</t>
        </is>
      </c>
      <c r="B535" s="1" t="n">
        <v>45140</v>
      </c>
      <c r="C535" s="1" t="n">
        <v>45923</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26721-2023</t>
        </is>
      </c>
      <c r="B536" s="1" t="n">
        <v>45090</v>
      </c>
      <c r="C536" s="1" t="n">
        <v>45923</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59778-2020</t>
        </is>
      </c>
      <c r="B537" s="1" t="n">
        <v>44148</v>
      </c>
      <c r="C537" s="1" t="n">
        <v>45923</v>
      </c>
      <c r="D537" t="inlineStr">
        <is>
          <t>JÄMTLANDS LÄN</t>
        </is>
      </c>
      <c r="E537" t="inlineStr">
        <is>
          <t>KROKOM</t>
        </is>
      </c>
      <c r="G537" t="n">
        <v>39.3</v>
      </c>
      <c r="H537" t="n">
        <v>0</v>
      </c>
      <c r="I537" t="n">
        <v>0</v>
      </c>
      <c r="J537" t="n">
        <v>0</v>
      </c>
      <c r="K537" t="n">
        <v>0</v>
      </c>
      <c r="L537" t="n">
        <v>0</v>
      </c>
      <c r="M537" t="n">
        <v>0</v>
      </c>
      <c r="N537" t="n">
        <v>0</v>
      </c>
      <c r="O537" t="n">
        <v>0</v>
      </c>
      <c r="P537" t="n">
        <v>0</v>
      </c>
      <c r="Q537" t="n">
        <v>0</v>
      </c>
      <c r="R537" s="2" t="inlineStr"/>
    </row>
    <row r="538" ht="15" customHeight="1">
      <c r="A538" t="inlineStr">
        <is>
          <t>A 25775-2024</t>
        </is>
      </c>
      <c r="B538" s="1" t="n">
        <v>45466.62116898148</v>
      </c>
      <c r="C538" s="1" t="n">
        <v>45923</v>
      </c>
      <c r="D538" t="inlineStr">
        <is>
          <t>JÄMTLANDS LÄN</t>
        </is>
      </c>
      <c r="E538" t="inlineStr">
        <is>
          <t>KROKOM</t>
        </is>
      </c>
      <c r="G538" t="n">
        <v>1.7</v>
      </c>
      <c r="H538" t="n">
        <v>0</v>
      </c>
      <c r="I538" t="n">
        <v>0</v>
      </c>
      <c r="J538" t="n">
        <v>0</v>
      </c>
      <c r="K538" t="n">
        <v>0</v>
      </c>
      <c r="L538" t="n">
        <v>0</v>
      </c>
      <c r="M538" t="n">
        <v>0</v>
      </c>
      <c r="N538" t="n">
        <v>0</v>
      </c>
      <c r="O538" t="n">
        <v>0</v>
      </c>
      <c r="P538" t="n">
        <v>0</v>
      </c>
      <c r="Q538" t="n">
        <v>0</v>
      </c>
      <c r="R538" s="2" t="inlineStr"/>
    </row>
    <row r="539" ht="15" customHeight="1">
      <c r="A539" t="inlineStr">
        <is>
          <t>A 41971-2024</t>
        </is>
      </c>
      <c r="B539" s="1" t="n">
        <v>45561.61509259259</v>
      </c>
      <c r="C539" s="1" t="n">
        <v>45923</v>
      </c>
      <c r="D539" t="inlineStr">
        <is>
          <t>JÄMTLANDS LÄN</t>
        </is>
      </c>
      <c r="E539" t="inlineStr">
        <is>
          <t>KROKOM</t>
        </is>
      </c>
      <c r="G539" t="n">
        <v>5.5</v>
      </c>
      <c r="H539" t="n">
        <v>0</v>
      </c>
      <c r="I539" t="n">
        <v>0</v>
      </c>
      <c r="J539" t="n">
        <v>0</v>
      </c>
      <c r="K539" t="n">
        <v>0</v>
      </c>
      <c r="L539" t="n">
        <v>0</v>
      </c>
      <c r="M539" t="n">
        <v>0</v>
      </c>
      <c r="N539" t="n">
        <v>0</v>
      </c>
      <c r="O539" t="n">
        <v>0</v>
      </c>
      <c r="P539" t="n">
        <v>0</v>
      </c>
      <c r="Q539" t="n">
        <v>0</v>
      </c>
      <c r="R539" s="2" t="inlineStr"/>
    </row>
    <row r="540" ht="15" customHeight="1">
      <c r="A540" t="inlineStr">
        <is>
          <t>A 35720-2024</t>
        </is>
      </c>
      <c r="B540" s="1" t="n">
        <v>45532.48732638889</v>
      </c>
      <c r="C540" s="1" t="n">
        <v>45923</v>
      </c>
      <c r="D540" t="inlineStr">
        <is>
          <t>JÄMTLANDS LÄN</t>
        </is>
      </c>
      <c r="E540" t="inlineStr">
        <is>
          <t>KROKOM</t>
        </is>
      </c>
      <c r="G540" t="n">
        <v>3.2</v>
      </c>
      <c r="H540" t="n">
        <v>0</v>
      </c>
      <c r="I540" t="n">
        <v>0</v>
      </c>
      <c r="J540" t="n">
        <v>0</v>
      </c>
      <c r="K540" t="n">
        <v>0</v>
      </c>
      <c r="L540" t="n">
        <v>0</v>
      </c>
      <c r="M540" t="n">
        <v>0</v>
      </c>
      <c r="N540" t="n">
        <v>0</v>
      </c>
      <c r="O540" t="n">
        <v>0</v>
      </c>
      <c r="P540" t="n">
        <v>0</v>
      </c>
      <c r="Q540" t="n">
        <v>0</v>
      </c>
      <c r="R540" s="2" t="inlineStr"/>
    </row>
    <row r="541" ht="15" customHeight="1">
      <c r="A541" t="inlineStr">
        <is>
          <t>A 60122-2024</t>
        </is>
      </c>
      <c r="B541" s="1" t="n">
        <v>45639</v>
      </c>
      <c r="C541" s="1" t="n">
        <v>45923</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66880-2021</t>
        </is>
      </c>
      <c r="B542" s="1" t="n">
        <v>44522.46662037037</v>
      </c>
      <c r="C542" s="1" t="n">
        <v>45923</v>
      </c>
      <c r="D542" t="inlineStr">
        <is>
          <t>JÄMTLANDS LÄN</t>
        </is>
      </c>
      <c r="E542" t="inlineStr">
        <is>
          <t>KROKOM</t>
        </is>
      </c>
      <c r="G542" t="n">
        <v>2</v>
      </c>
      <c r="H542" t="n">
        <v>0</v>
      </c>
      <c r="I542" t="n">
        <v>0</v>
      </c>
      <c r="J542" t="n">
        <v>0</v>
      </c>
      <c r="K542" t="n">
        <v>0</v>
      </c>
      <c r="L542" t="n">
        <v>0</v>
      </c>
      <c r="M542" t="n">
        <v>0</v>
      </c>
      <c r="N542" t="n">
        <v>0</v>
      </c>
      <c r="O542" t="n">
        <v>0</v>
      </c>
      <c r="P542" t="n">
        <v>0</v>
      </c>
      <c r="Q542" t="n">
        <v>0</v>
      </c>
      <c r="R542" s="2" t="inlineStr"/>
    </row>
    <row r="543" ht="15" customHeight="1">
      <c r="A543" t="inlineStr">
        <is>
          <t>A 60172-2024</t>
        </is>
      </c>
      <c r="B543" s="1" t="n">
        <v>45642.6366087963</v>
      </c>
      <c r="C543" s="1" t="n">
        <v>45923</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23601-2021</t>
        </is>
      </c>
      <c r="B544" s="1" t="n">
        <v>44334</v>
      </c>
      <c r="C544" s="1" t="n">
        <v>45923</v>
      </c>
      <c r="D544" t="inlineStr">
        <is>
          <t>JÄMTLANDS LÄN</t>
        </is>
      </c>
      <c r="E544" t="inlineStr">
        <is>
          <t>KROKOM</t>
        </is>
      </c>
      <c r="G544" t="n">
        <v>1.7</v>
      </c>
      <c r="H544" t="n">
        <v>0</v>
      </c>
      <c r="I544" t="n">
        <v>0</v>
      </c>
      <c r="J544" t="n">
        <v>0</v>
      </c>
      <c r="K544" t="n">
        <v>0</v>
      </c>
      <c r="L544" t="n">
        <v>0</v>
      </c>
      <c r="M544" t="n">
        <v>0</v>
      </c>
      <c r="N544" t="n">
        <v>0</v>
      </c>
      <c r="O544" t="n">
        <v>0</v>
      </c>
      <c r="P544" t="n">
        <v>0</v>
      </c>
      <c r="Q544" t="n">
        <v>0</v>
      </c>
      <c r="R544" s="2" t="inlineStr"/>
    </row>
    <row r="545" ht="15" customHeight="1">
      <c r="A545" t="inlineStr">
        <is>
          <t>A 6066-2025</t>
        </is>
      </c>
      <c r="B545" s="1" t="n">
        <v>45696.3440162037</v>
      </c>
      <c r="C545" s="1" t="n">
        <v>45923</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233-2023</t>
        </is>
      </c>
      <c r="B546" s="1" t="n">
        <v>44922</v>
      </c>
      <c r="C546" s="1" t="n">
        <v>45923</v>
      </c>
      <c r="D546" t="inlineStr">
        <is>
          <t>JÄMTLANDS LÄN</t>
        </is>
      </c>
      <c r="E546" t="inlineStr">
        <is>
          <t>KROKOM</t>
        </is>
      </c>
      <c r="G546" t="n">
        <v>0.6</v>
      </c>
      <c r="H546" t="n">
        <v>0</v>
      </c>
      <c r="I546" t="n">
        <v>0</v>
      </c>
      <c r="J546" t="n">
        <v>0</v>
      </c>
      <c r="K546" t="n">
        <v>0</v>
      </c>
      <c r="L546" t="n">
        <v>0</v>
      </c>
      <c r="M546" t="n">
        <v>0</v>
      </c>
      <c r="N546" t="n">
        <v>0</v>
      </c>
      <c r="O546" t="n">
        <v>0</v>
      </c>
      <c r="P546" t="n">
        <v>0</v>
      </c>
      <c r="Q546" t="n">
        <v>0</v>
      </c>
      <c r="R546" s="2" t="inlineStr"/>
    </row>
    <row r="547" ht="15" customHeight="1">
      <c r="A547" t="inlineStr">
        <is>
          <t>A 59619-2024</t>
        </is>
      </c>
      <c r="B547" s="1" t="n">
        <v>45638.81375</v>
      </c>
      <c r="C547" s="1" t="n">
        <v>45923</v>
      </c>
      <c r="D547" t="inlineStr">
        <is>
          <t>JÄMTLANDS LÄN</t>
        </is>
      </c>
      <c r="E547" t="inlineStr">
        <is>
          <t>KROKOM</t>
        </is>
      </c>
      <c r="G547" t="n">
        <v>0.4</v>
      </c>
      <c r="H547" t="n">
        <v>0</v>
      </c>
      <c r="I547" t="n">
        <v>0</v>
      </c>
      <c r="J547" t="n">
        <v>0</v>
      </c>
      <c r="K547" t="n">
        <v>0</v>
      </c>
      <c r="L547" t="n">
        <v>0</v>
      </c>
      <c r="M547" t="n">
        <v>0</v>
      </c>
      <c r="N547" t="n">
        <v>0</v>
      </c>
      <c r="O547" t="n">
        <v>0</v>
      </c>
      <c r="P547" t="n">
        <v>0</v>
      </c>
      <c r="Q547" t="n">
        <v>0</v>
      </c>
      <c r="R547" s="2" t="inlineStr"/>
    </row>
    <row r="548" ht="15" customHeight="1">
      <c r="A548" t="inlineStr">
        <is>
          <t>A 8168-2025</t>
        </is>
      </c>
      <c r="B548" s="1" t="n">
        <v>45708</v>
      </c>
      <c r="C548" s="1" t="n">
        <v>45923</v>
      </c>
      <c r="D548" t="inlineStr">
        <is>
          <t>JÄMTLANDS LÄN</t>
        </is>
      </c>
      <c r="E548" t="inlineStr">
        <is>
          <t>KROKOM</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17591-2023</t>
        </is>
      </c>
      <c r="B549" s="1" t="n">
        <v>45036</v>
      </c>
      <c r="C549" s="1" t="n">
        <v>45923</v>
      </c>
      <c r="D549" t="inlineStr">
        <is>
          <t>JÄMTLANDS LÄN</t>
        </is>
      </c>
      <c r="E549" t="inlineStr">
        <is>
          <t>KROKOM</t>
        </is>
      </c>
      <c r="G549" t="n">
        <v>8.4</v>
      </c>
      <c r="H549" t="n">
        <v>0</v>
      </c>
      <c r="I549" t="n">
        <v>0</v>
      </c>
      <c r="J549" t="n">
        <v>0</v>
      </c>
      <c r="K549" t="n">
        <v>0</v>
      </c>
      <c r="L549" t="n">
        <v>0</v>
      </c>
      <c r="M549" t="n">
        <v>0</v>
      </c>
      <c r="N549" t="n">
        <v>0</v>
      </c>
      <c r="O549" t="n">
        <v>0</v>
      </c>
      <c r="P549" t="n">
        <v>0</v>
      </c>
      <c r="Q549" t="n">
        <v>0</v>
      </c>
      <c r="R549" s="2" t="inlineStr"/>
    </row>
    <row r="550" ht="15" customHeight="1">
      <c r="A550" t="inlineStr">
        <is>
          <t>A 17594-2023</t>
        </is>
      </c>
      <c r="B550" s="1" t="n">
        <v>45036</v>
      </c>
      <c r="C550" s="1" t="n">
        <v>45923</v>
      </c>
      <c r="D550" t="inlineStr">
        <is>
          <t>JÄMTLANDS LÄN</t>
        </is>
      </c>
      <c r="E550" t="inlineStr">
        <is>
          <t>KROKOM</t>
        </is>
      </c>
      <c r="G550" t="n">
        <v>5.5</v>
      </c>
      <c r="H550" t="n">
        <v>0</v>
      </c>
      <c r="I550" t="n">
        <v>0</v>
      </c>
      <c r="J550" t="n">
        <v>0</v>
      </c>
      <c r="K550" t="n">
        <v>0</v>
      </c>
      <c r="L550" t="n">
        <v>0</v>
      </c>
      <c r="M550" t="n">
        <v>0</v>
      </c>
      <c r="N550" t="n">
        <v>0</v>
      </c>
      <c r="O550" t="n">
        <v>0</v>
      </c>
      <c r="P550" t="n">
        <v>0</v>
      </c>
      <c r="Q550" t="n">
        <v>0</v>
      </c>
      <c r="R550" s="2" t="inlineStr"/>
    </row>
    <row r="551" ht="15" customHeight="1">
      <c r="A551" t="inlineStr">
        <is>
          <t>A 43996-2025</t>
        </is>
      </c>
      <c r="B551" s="1" t="n">
        <v>45915</v>
      </c>
      <c r="C551" s="1" t="n">
        <v>45923</v>
      </c>
      <c r="D551" t="inlineStr">
        <is>
          <t>JÄMTLANDS LÄN</t>
        </is>
      </c>
      <c r="E551" t="inlineStr">
        <is>
          <t>KROKOM</t>
        </is>
      </c>
      <c r="G551" t="n">
        <v>24.2</v>
      </c>
      <c r="H551" t="n">
        <v>0</v>
      </c>
      <c r="I551" t="n">
        <v>0</v>
      </c>
      <c r="J551" t="n">
        <v>0</v>
      </c>
      <c r="K551" t="n">
        <v>0</v>
      </c>
      <c r="L551" t="n">
        <v>0</v>
      </c>
      <c r="M551" t="n">
        <v>0</v>
      </c>
      <c r="N551" t="n">
        <v>0</v>
      </c>
      <c r="O551" t="n">
        <v>0</v>
      </c>
      <c r="P551" t="n">
        <v>0</v>
      </c>
      <c r="Q551" t="n">
        <v>0</v>
      </c>
      <c r="R551" s="2" t="inlineStr"/>
    </row>
    <row r="552" ht="15" customHeight="1">
      <c r="A552" t="inlineStr">
        <is>
          <t>A 50951-2024</t>
        </is>
      </c>
      <c r="B552" s="1" t="n">
        <v>45603.28460648148</v>
      </c>
      <c r="C552" s="1" t="n">
        <v>45923</v>
      </c>
      <c r="D552" t="inlineStr">
        <is>
          <t>JÄMTLANDS LÄN</t>
        </is>
      </c>
      <c r="E552" t="inlineStr">
        <is>
          <t>KROKOM</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23139-2021</t>
        </is>
      </c>
      <c r="B553" s="1" t="n">
        <v>44331</v>
      </c>
      <c r="C553" s="1" t="n">
        <v>45923</v>
      </c>
      <c r="D553" t="inlineStr">
        <is>
          <t>JÄMTLANDS LÄN</t>
        </is>
      </c>
      <c r="E553" t="inlineStr">
        <is>
          <t>KROKOM</t>
        </is>
      </c>
      <c r="G553" t="n">
        <v>0.6</v>
      </c>
      <c r="H553" t="n">
        <v>0</v>
      </c>
      <c r="I553" t="n">
        <v>0</v>
      </c>
      <c r="J553" t="n">
        <v>0</v>
      </c>
      <c r="K553" t="n">
        <v>0</v>
      </c>
      <c r="L553" t="n">
        <v>0</v>
      </c>
      <c r="M553" t="n">
        <v>0</v>
      </c>
      <c r="N553" t="n">
        <v>0</v>
      </c>
      <c r="O553" t="n">
        <v>0</v>
      </c>
      <c r="P553" t="n">
        <v>0</v>
      </c>
      <c r="Q553" t="n">
        <v>0</v>
      </c>
      <c r="R553" s="2" t="inlineStr"/>
    </row>
    <row r="554" ht="15" customHeight="1">
      <c r="A554" t="inlineStr">
        <is>
          <t>A 5356-2025</t>
        </is>
      </c>
      <c r="B554" s="1" t="n">
        <v>45692</v>
      </c>
      <c r="C554" s="1" t="n">
        <v>45923</v>
      </c>
      <c r="D554" t="inlineStr">
        <is>
          <t>JÄMTLANDS LÄN</t>
        </is>
      </c>
      <c r="E554" t="inlineStr">
        <is>
          <t>KROKOM</t>
        </is>
      </c>
      <c r="F554" t="inlineStr">
        <is>
          <t>Övriga Aktiebolag</t>
        </is>
      </c>
      <c r="G554" t="n">
        <v>2.2</v>
      </c>
      <c r="H554" t="n">
        <v>0</v>
      </c>
      <c r="I554" t="n">
        <v>0</v>
      </c>
      <c r="J554" t="n">
        <v>0</v>
      </c>
      <c r="K554" t="n">
        <v>0</v>
      </c>
      <c r="L554" t="n">
        <v>0</v>
      </c>
      <c r="M554" t="n">
        <v>0</v>
      </c>
      <c r="N554" t="n">
        <v>0</v>
      </c>
      <c r="O554" t="n">
        <v>0</v>
      </c>
      <c r="P554" t="n">
        <v>0</v>
      </c>
      <c r="Q554" t="n">
        <v>0</v>
      </c>
      <c r="R554" s="2" t="inlineStr"/>
    </row>
    <row r="555" ht="15" customHeight="1">
      <c r="A555" t="inlineStr">
        <is>
          <t>A 52666-2024</t>
        </is>
      </c>
      <c r="B555" s="1" t="n">
        <v>45610.36561342593</v>
      </c>
      <c r="C555" s="1" t="n">
        <v>45923</v>
      </c>
      <c r="D555" t="inlineStr">
        <is>
          <t>JÄMTLANDS LÄN</t>
        </is>
      </c>
      <c r="E555" t="inlineStr">
        <is>
          <t>KROKOM</t>
        </is>
      </c>
      <c r="G555" t="n">
        <v>2</v>
      </c>
      <c r="H555" t="n">
        <v>0</v>
      </c>
      <c r="I555" t="n">
        <v>0</v>
      </c>
      <c r="J555" t="n">
        <v>0</v>
      </c>
      <c r="K555" t="n">
        <v>0</v>
      </c>
      <c r="L555" t="n">
        <v>0</v>
      </c>
      <c r="M555" t="n">
        <v>0</v>
      </c>
      <c r="N555" t="n">
        <v>0</v>
      </c>
      <c r="O555" t="n">
        <v>0</v>
      </c>
      <c r="P555" t="n">
        <v>0</v>
      </c>
      <c r="Q555" t="n">
        <v>0</v>
      </c>
      <c r="R555" s="2" t="inlineStr"/>
    </row>
    <row r="556" ht="15" customHeight="1">
      <c r="A556" t="inlineStr">
        <is>
          <t>A 32244-2024</t>
        </is>
      </c>
      <c r="B556" s="1" t="n">
        <v>45511.95109953704</v>
      </c>
      <c r="C556" s="1" t="n">
        <v>45923</v>
      </c>
      <c r="D556" t="inlineStr">
        <is>
          <t>JÄMTLANDS LÄN</t>
        </is>
      </c>
      <c r="E556" t="inlineStr">
        <is>
          <t>KROKOM</t>
        </is>
      </c>
      <c r="G556" t="n">
        <v>3.1</v>
      </c>
      <c r="H556" t="n">
        <v>0</v>
      </c>
      <c r="I556" t="n">
        <v>0</v>
      </c>
      <c r="J556" t="n">
        <v>0</v>
      </c>
      <c r="K556" t="n">
        <v>0</v>
      </c>
      <c r="L556" t="n">
        <v>0</v>
      </c>
      <c r="M556" t="n">
        <v>0</v>
      </c>
      <c r="N556" t="n">
        <v>0</v>
      </c>
      <c r="O556" t="n">
        <v>0</v>
      </c>
      <c r="P556" t="n">
        <v>0</v>
      </c>
      <c r="Q556" t="n">
        <v>0</v>
      </c>
      <c r="R556" s="2" t="inlineStr"/>
    </row>
    <row r="557" ht="15" customHeight="1">
      <c r="A557" t="inlineStr">
        <is>
          <t>A 53916-2023</t>
        </is>
      </c>
      <c r="B557" s="1" t="n">
        <v>45231</v>
      </c>
      <c r="C557" s="1" t="n">
        <v>45923</v>
      </c>
      <c r="D557" t="inlineStr">
        <is>
          <t>JÄMTLANDS LÄN</t>
        </is>
      </c>
      <c r="E557" t="inlineStr">
        <is>
          <t>KROKOM</t>
        </is>
      </c>
      <c r="G557" t="n">
        <v>7.3</v>
      </c>
      <c r="H557" t="n">
        <v>0</v>
      </c>
      <c r="I557" t="n">
        <v>0</v>
      </c>
      <c r="J557" t="n">
        <v>0</v>
      </c>
      <c r="K557" t="n">
        <v>0</v>
      </c>
      <c r="L557" t="n">
        <v>0</v>
      </c>
      <c r="M557" t="n">
        <v>0</v>
      </c>
      <c r="N557" t="n">
        <v>0</v>
      </c>
      <c r="O557" t="n">
        <v>0</v>
      </c>
      <c r="P557" t="n">
        <v>0</v>
      </c>
      <c r="Q557" t="n">
        <v>0</v>
      </c>
      <c r="R557" s="2" t="inlineStr"/>
    </row>
    <row r="558" ht="15" customHeight="1">
      <c r="A558" t="inlineStr">
        <is>
          <t>A 52578-2021</t>
        </is>
      </c>
      <c r="B558" s="1" t="n">
        <v>44466.56642361111</v>
      </c>
      <c r="C558" s="1" t="n">
        <v>45923</v>
      </c>
      <c r="D558" t="inlineStr">
        <is>
          <t>JÄMTLANDS LÄN</t>
        </is>
      </c>
      <c r="E558" t="inlineStr">
        <is>
          <t>KROKOM</t>
        </is>
      </c>
      <c r="G558" t="n">
        <v>17.1</v>
      </c>
      <c r="H558" t="n">
        <v>0</v>
      </c>
      <c r="I558" t="n">
        <v>0</v>
      </c>
      <c r="J558" t="n">
        <v>0</v>
      </c>
      <c r="K558" t="n">
        <v>0</v>
      </c>
      <c r="L558" t="n">
        <v>0</v>
      </c>
      <c r="M558" t="n">
        <v>0</v>
      </c>
      <c r="N558" t="n">
        <v>0</v>
      </c>
      <c r="O558" t="n">
        <v>0</v>
      </c>
      <c r="P558" t="n">
        <v>0</v>
      </c>
      <c r="Q558" t="n">
        <v>0</v>
      </c>
      <c r="R558" s="2" t="inlineStr"/>
    </row>
    <row r="559" ht="15" customHeight="1">
      <c r="A559" t="inlineStr">
        <is>
          <t>A 61230-2021</t>
        </is>
      </c>
      <c r="B559" s="1" t="n">
        <v>44498</v>
      </c>
      <c r="C559" s="1" t="n">
        <v>45923</v>
      </c>
      <c r="D559" t="inlineStr">
        <is>
          <t>JÄMTLANDS LÄN</t>
        </is>
      </c>
      <c r="E559" t="inlineStr">
        <is>
          <t>KROKOM</t>
        </is>
      </c>
      <c r="G559" t="n">
        <v>0.9</v>
      </c>
      <c r="H559" t="n">
        <v>0</v>
      </c>
      <c r="I559" t="n">
        <v>0</v>
      </c>
      <c r="J559" t="n">
        <v>0</v>
      </c>
      <c r="K559" t="n">
        <v>0</v>
      </c>
      <c r="L559" t="n">
        <v>0</v>
      </c>
      <c r="M559" t="n">
        <v>0</v>
      </c>
      <c r="N559" t="n">
        <v>0</v>
      </c>
      <c r="O559" t="n">
        <v>0</v>
      </c>
      <c r="P559" t="n">
        <v>0</v>
      </c>
      <c r="Q559" t="n">
        <v>0</v>
      </c>
      <c r="R559" s="2" t="inlineStr"/>
    </row>
    <row r="560" ht="15" customHeight="1">
      <c r="A560" t="inlineStr">
        <is>
          <t>A 34794-2022</t>
        </is>
      </c>
      <c r="B560" s="1" t="n">
        <v>44795</v>
      </c>
      <c r="C560" s="1" t="n">
        <v>45923</v>
      </c>
      <c r="D560" t="inlineStr">
        <is>
          <t>JÄMTLANDS LÄN</t>
        </is>
      </c>
      <c r="E560" t="inlineStr">
        <is>
          <t>KROKOM</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5680-2025</t>
        </is>
      </c>
      <c r="B561" s="1" t="n">
        <v>45694.34268518518</v>
      </c>
      <c r="C561" s="1" t="n">
        <v>45923</v>
      </c>
      <c r="D561" t="inlineStr">
        <is>
          <t>JÄMTLANDS LÄN</t>
        </is>
      </c>
      <c r="E561" t="inlineStr">
        <is>
          <t>KROKOM</t>
        </is>
      </c>
      <c r="F561" t="inlineStr">
        <is>
          <t>Övriga Aktiebolag</t>
        </is>
      </c>
      <c r="G561" t="n">
        <v>48.4</v>
      </c>
      <c r="H561" t="n">
        <v>0</v>
      </c>
      <c r="I561" t="n">
        <v>0</v>
      </c>
      <c r="J561" t="n">
        <v>0</v>
      </c>
      <c r="K561" t="n">
        <v>0</v>
      </c>
      <c r="L561" t="n">
        <v>0</v>
      </c>
      <c r="M561" t="n">
        <v>0</v>
      </c>
      <c r="N561" t="n">
        <v>0</v>
      </c>
      <c r="O561" t="n">
        <v>0</v>
      </c>
      <c r="P561" t="n">
        <v>0</v>
      </c>
      <c r="Q561" t="n">
        <v>0</v>
      </c>
      <c r="R561" s="2" t="inlineStr"/>
    </row>
    <row r="562" ht="15" customHeight="1">
      <c r="A562" t="inlineStr">
        <is>
          <t>A 58734-2024</t>
        </is>
      </c>
      <c r="B562" s="1" t="n">
        <v>45635.67949074074</v>
      </c>
      <c r="C562" s="1" t="n">
        <v>45923</v>
      </c>
      <c r="D562" t="inlineStr">
        <is>
          <t>JÄMTLANDS LÄN</t>
        </is>
      </c>
      <c r="E562" t="inlineStr">
        <is>
          <t>KROKOM</t>
        </is>
      </c>
      <c r="G562" t="n">
        <v>3.4</v>
      </c>
      <c r="H562" t="n">
        <v>0</v>
      </c>
      <c r="I562" t="n">
        <v>0</v>
      </c>
      <c r="J562" t="n">
        <v>0</v>
      </c>
      <c r="K562" t="n">
        <v>0</v>
      </c>
      <c r="L562" t="n">
        <v>0</v>
      </c>
      <c r="M562" t="n">
        <v>0</v>
      </c>
      <c r="N562" t="n">
        <v>0</v>
      </c>
      <c r="O562" t="n">
        <v>0</v>
      </c>
      <c r="P562" t="n">
        <v>0</v>
      </c>
      <c r="Q562" t="n">
        <v>0</v>
      </c>
      <c r="R562" s="2" t="inlineStr"/>
    </row>
    <row r="563" ht="15" customHeight="1">
      <c r="A563" t="inlineStr">
        <is>
          <t>A 58390-2021</t>
        </is>
      </c>
      <c r="B563" s="1" t="n">
        <v>44488.47928240741</v>
      </c>
      <c r="C563" s="1" t="n">
        <v>45923</v>
      </c>
      <c r="D563" t="inlineStr">
        <is>
          <t>JÄMTLANDS LÄN</t>
        </is>
      </c>
      <c r="E563" t="inlineStr">
        <is>
          <t>KROKOM</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52111-2024</t>
        </is>
      </c>
      <c r="B564" s="1" t="n">
        <v>45608.43930555556</v>
      </c>
      <c r="C564" s="1" t="n">
        <v>45923</v>
      </c>
      <c r="D564" t="inlineStr">
        <is>
          <t>JÄMTLANDS LÄN</t>
        </is>
      </c>
      <c r="E564" t="inlineStr">
        <is>
          <t>KROKOM</t>
        </is>
      </c>
      <c r="G564" t="n">
        <v>0.7</v>
      </c>
      <c r="H564" t="n">
        <v>0</v>
      </c>
      <c r="I564" t="n">
        <v>0</v>
      </c>
      <c r="J564" t="n">
        <v>0</v>
      </c>
      <c r="K564" t="n">
        <v>0</v>
      </c>
      <c r="L564" t="n">
        <v>0</v>
      </c>
      <c r="M564" t="n">
        <v>0</v>
      </c>
      <c r="N564" t="n">
        <v>0</v>
      </c>
      <c r="O564" t="n">
        <v>0</v>
      </c>
      <c r="P564" t="n">
        <v>0</v>
      </c>
      <c r="Q564" t="n">
        <v>0</v>
      </c>
      <c r="R564" s="2" t="inlineStr"/>
    </row>
    <row r="565" ht="15" customHeight="1">
      <c r="A565" t="inlineStr">
        <is>
          <t>A 47850-2023</t>
        </is>
      </c>
      <c r="B565" s="1" t="n">
        <v>45204.40770833333</v>
      </c>
      <c r="C565" s="1" t="n">
        <v>45923</v>
      </c>
      <c r="D565" t="inlineStr">
        <is>
          <t>JÄMTLANDS LÄN</t>
        </is>
      </c>
      <c r="E565" t="inlineStr">
        <is>
          <t>KROKOM</t>
        </is>
      </c>
      <c r="G565" t="n">
        <v>1.8</v>
      </c>
      <c r="H565" t="n">
        <v>0</v>
      </c>
      <c r="I565" t="n">
        <v>0</v>
      </c>
      <c r="J565" t="n">
        <v>0</v>
      </c>
      <c r="K565" t="n">
        <v>0</v>
      </c>
      <c r="L565" t="n">
        <v>0</v>
      </c>
      <c r="M565" t="n">
        <v>0</v>
      </c>
      <c r="N565" t="n">
        <v>0</v>
      </c>
      <c r="O565" t="n">
        <v>0</v>
      </c>
      <c r="P565" t="n">
        <v>0</v>
      </c>
      <c r="Q565" t="n">
        <v>0</v>
      </c>
      <c r="R565" s="2" t="inlineStr"/>
    </row>
    <row r="566" ht="15" customHeight="1">
      <c r="A566" t="inlineStr">
        <is>
          <t>A 29224-2023</t>
        </is>
      </c>
      <c r="B566" s="1" t="n">
        <v>45097</v>
      </c>
      <c r="C566" s="1" t="n">
        <v>45923</v>
      </c>
      <c r="D566" t="inlineStr">
        <is>
          <t>JÄMTLANDS LÄN</t>
        </is>
      </c>
      <c r="E566" t="inlineStr">
        <is>
          <t>KROKOM</t>
        </is>
      </c>
      <c r="G566" t="n">
        <v>2.6</v>
      </c>
      <c r="H566" t="n">
        <v>0</v>
      </c>
      <c r="I566" t="n">
        <v>0</v>
      </c>
      <c r="J566" t="n">
        <v>0</v>
      </c>
      <c r="K566" t="n">
        <v>0</v>
      </c>
      <c r="L566" t="n">
        <v>0</v>
      </c>
      <c r="M566" t="n">
        <v>0</v>
      </c>
      <c r="N566" t="n">
        <v>0</v>
      </c>
      <c r="O566" t="n">
        <v>0</v>
      </c>
      <c r="P566" t="n">
        <v>0</v>
      </c>
      <c r="Q566" t="n">
        <v>0</v>
      </c>
      <c r="R566" s="2" t="inlineStr"/>
    </row>
    <row r="567" ht="15" customHeight="1">
      <c r="A567" t="inlineStr">
        <is>
          <t>A 52869-2023</t>
        </is>
      </c>
      <c r="B567" s="1" t="n">
        <v>45226</v>
      </c>
      <c r="C567" s="1" t="n">
        <v>45923</v>
      </c>
      <c r="D567" t="inlineStr">
        <is>
          <t>JÄMTLANDS LÄN</t>
        </is>
      </c>
      <c r="E567" t="inlineStr">
        <is>
          <t>KROKOM</t>
        </is>
      </c>
      <c r="G567" t="n">
        <v>0</v>
      </c>
      <c r="H567" t="n">
        <v>0</v>
      </c>
      <c r="I567" t="n">
        <v>0</v>
      </c>
      <c r="J567" t="n">
        <v>0</v>
      </c>
      <c r="K567" t="n">
        <v>0</v>
      </c>
      <c r="L567" t="n">
        <v>0</v>
      </c>
      <c r="M567" t="n">
        <v>0</v>
      </c>
      <c r="N567" t="n">
        <v>0</v>
      </c>
      <c r="O567" t="n">
        <v>0</v>
      </c>
      <c r="P567" t="n">
        <v>0</v>
      </c>
      <c r="Q567" t="n">
        <v>0</v>
      </c>
      <c r="R567" s="2" t="inlineStr"/>
    </row>
    <row r="568" ht="15" customHeight="1">
      <c r="A568" t="inlineStr">
        <is>
          <t>A 5722-2023</t>
        </is>
      </c>
      <c r="B568" s="1" t="n">
        <v>44961</v>
      </c>
      <c r="C568" s="1" t="n">
        <v>45923</v>
      </c>
      <c r="D568" t="inlineStr">
        <is>
          <t>JÄMTLANDS LÄN</t>
        </is>
      </c>
      <c r="E568" t="inlineStr">
        <is>
          <t>KROKOM</t>
        </is>
      </c>
      <c r="G568" t="n">
        <v>12.3</v>
      </c>
      <c r="H568" t="n">
        <v>0</v>
      </c>
      <c r="I568" t="n">
        <v>0</v>
      </c>
      <c r="J568" t="n">
        <v>0</v>
      </c>
      <c r="K568" t="n">
        <v>0</v>
      </c>
      <c r="L568" t="n">
        <v>0</v>
      </c>
      <c r="M568" t="n">
        <v>0</v>
      </c>
      <c r="N568" t="n">
        <v>0</v>
      </c>
      <c r="O568" t="n">
        <v>0</v>
      </c>
      <c r="P568" t="n">
        <v>0</v>
      </c>
      <c r="Q568" t="n">
        <v>0</v>
      </c>
      <c r="R568" s="2" t="inlineStr"/>
    </row>
    <row r="569" ht="15" customHeight="1">
      <c r="A569" t="inlineStr">
        <is>
          <t>A 26184-2024</t>
        </is>
      </c>
      <c r="B569" s="1" t="n">
        <v>45467</v>
      </c>
      <c r="C569" s="1" t="n">
        <v>45923</v>
      </c>
      <c r="D569" t="inlineStr">
        <is>
          <t>JÄMTLANDS LÄN</t>
        </is>
      </c>
      <c r="E569" t="inlineStr">
        <is>
          <t>KROKOM</t>
        </is>
      </c>
      <c r="G569" t="n">
        <v>65.7</v>
      </c>
      <c r="H569" t="n">
        <v>0</v>
      </c>
      <c r="I569" t="n">
        <v>0</v>
      </c>
      <c r="J569" t="n">
        <v>0</v>
      </c>
      <c r="K569" t="n">
        <v>0</v>
      </c>
      <c r="L569" t="n">
        <v>0</v>
      </c>
      <c r="M569" t="n">
        <v>0</v>
      </c>
      <c r="N569" t="n">
        <v>0</v>
      </c>
      <c r="O569" t="n">
        <v>0</v>
      </c>
      <c r="P569" t="n">
        <v>0</v>
      </c>
      <c r="Q569" t="n">
        <v>0</v>
      </c>
      <c r="R569" s="2" t="inlineStr"/>
    </row>
    <row r="570" ht="15" customHeight="1">
      <c r="A570" t="inlineStr">
        <is>
          <t>A 44138-2025</t>
        </is>
      </c>
      <c r="B570" s="1" t="n">
        <v>45915.58836805556</v>
      </c>
      <c r="C570" s="1" t="n">
        <v>45923</v>
      </c>
      <c r="D570" t="inlineStr">
        <is>
          <t>JÄMTLANDS LÄN</t>
        </is>
      </c>
      <c r="E570" t="inlineStr">
        <is>
          <t>KROKOM</t>
        </is>
      </c>
      <c r="G570" t="n">
        <v>5</v>
      </c>
      <c r="H570" t="n">
        <v>0</v>
      </c>
      <c r="I570" t="n">
        <v>0</v>
      </c>
      <c r="J570" t="n">
        <v>0</v>
      </c>
      <c r="K570" t="n">
        <v>0</v>
      </c>
      <c r="L570" t="n">
        <v>0</v>
      </c>
      <c r="M570" t="n">
        <v>0</v>
      </c>
      <c r="N570" t="n">
        <v>0</v>
      </c>
      <c r="O570" t="n">
        <v>0</v>
      </c>
      <c r="P570" t="n">
        <v>0</v>
      </c>
      <c r="Q570" t="n">
        <v>0</v>
      </c>
      <c r="R570" s="2" t="inlineStr"/>
    </row>
    <row r="571" ht="15" customHeight="1">
      <c r="A571" t="inlineStr">
        <is>
          <t>A 53568-2024</t>
        </is>
      </c>
      <c r="B571" s="1" t="n">
        <v>45614.65925925926</v>
      </c>
      <c r="C571" s="1" t="n">
        <v>45923</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33480-2024</t>
        </is>
      </c>
      <c r="B572" s="1" t="n">
        <v>45519.60965277778</v>
      </c>
      <c r="C572" s="1" t="n">
        <v>45923</v>
      </c>
      <c r="D572" t="inlineStr">
        <is>
          <t>JÄMTLANDS LÄN</t>
        </is>
      </c>
      <c r="E572" t="inlineStr">
        <is>
          <t>KROKOM</t>
        </is>
      </c>
      <c r="G572" t="n">
        <v>2.8</v>
      </c>
      <c r="H572" t="n">
        <v>0</v>
      </c>
      <c r="I572" t="n">
        <v>0</v>
      </c>
      <c r="J572" t="n">
        <v>0</v>
      </c>
      <c r="K572" t="n">
        <v>0</v>
      </c>
      <c r="L572" t="n">
        <v>0</v>
      </c>
      <c r="M572" t="n">
        <v>0</v>
      </c>
      <c r="N572" t="n">
        <v>0</v>
      </c>
      <c r="O572" t="n">
        <v>0</v>
      </c>
      <c r="P572" t="n">
        <v>0</v>
      </c>
      <c r="Q572" t="n">
        <v>0</v>
      </c>
      <c r="R572" s="2" t="inlineStr"/>
    </row>
    <row r="573" ht="15" customHeight="1">
      <c r="A573" t="inlineStr">
        <is>
          <t>A 36567-2021</t>
        </is>
      </c>
      <c r="B573" s="1" t="n">
        <v>44391</v>
      </c>
      <c r="C573" s="1" t="n">
        <v>45923</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37349-2025</t>
        </is>
      </c>
      <c r="B574" s="1" t="n">
        <v>45876</v>
      </c>
      <c r="C574" s="1" t="n">
        <v>45923</v>
      </c>
      <c r="D574" t="inlineStr">
        <is>
          <t>JÄMTLANDS LÄN</t>
        </is>
      </c>
      <c r="E574" t="inlineStr">
        <is>
          <t>KROKOM</t>
        </is>
      </c>
      <c r="G574" t="n">
        <v>7.9</v>
      </c>
      <c r="H574" t="n">
        <v>0</v>
      </c>
      <c r="I574" t="n">
        <v>0</v>
      </c>
      <c r="J574" t="n">
        <v>0</v>
      </c>
      <c r="K574" t="n">
        <v>0</v>
      </c>
      <c r="L574" t="n">
        <v>0</v>
      </c>
      <c r="M574" t="n">
        <v>0</v>
      </c>
      <c r="N574" t="n">
        <v>0</v>
      </c>
      <c r="O574" t="n">
        <v>0</v>
      </c>
      <c r="P574" t="n">
        <v>0</v>
      </c>
      <c r="Q574" t="n">
        <v>0</v>
      </c>
      <c r="R574" s="2" t="inlineStr"/>
    </row>
    <row r="575" ht="15" customHeight="1">
      <c r="A575" t="inlineStr">
        <is>
          <t>A 37350-2025</t>
        </is>
      </c>
      <c r="B575" s="1" t="n">
        <v>45876</v>
      </c>
      <c r="C575" s="1" t="n">
        <v>45923</v>
      </c>
      <c r="D575" t="inlineStr">
        <is>
          <t>JÄMTLANDS LÄN</t>
        </is>
      </c>
      <c r="E575" t="inlineStr">
        <is>
          <t>KROKOM</t>
        </is>
      </c>
      <c r="G575" t="n">
        <v>29.9</v>
      </c>
      <c r="H575" t="n">
        <v>0</v>
      </c>
      <c r="I575" t="n">
        <v>0</v>
      </c>
      <c r="J575" t="n">
        <v>0</v>
      </c>
      <c r="K575" t="n">
        <v>0</v>
      </c>
      <c r="L575" t="n">
        <v>0</v>
      </c>
      <c r="M575" t="n">
        <v>0</v>
      </c>
      <c r="N575" t="n">
        <v>0</v>
      </c>
      <c r="O575" t="n">
        <v>0</v>
      </c>
      <c r="P575" t="n">
        <v>0</v>
      </c>
      <c r="Q575" t="n">
        <v>0</v>
      </c>
      <c r="R575" s="2" t="inlineStr"/>
    </row>
    <row r="576" ht="15" customHeight="1">
      <c r="A576" t="inlineStr">
        <is>
          <t>A 44888-2025</t>
        </is>
      </c>
      <c r="B576" s="1" t="n">
        <v>45918.49489583333</v>
      </c>
      <c r="C576" s="1" t="n">
        <v>45923</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43373-2025</t>
        </is>
      </c>
      <c r="B577" s="1" t="n">
        <v>45911</v>
      </c>
      <c r="C577" s="1" t="n">
        <v>45923</v>
      </c>
      <c r="D577" t="inlineStr">
        <is>
          <t>JÄMTLANDS LÄN</t>
        </is>
      </c>
      <c r="E577" t="inlineStr">
        <is>
          <t>KROKOM</t>
        </is>
      </c>
      <c r="G577" t="n">
        <v>34.9</v>
      </c>
      <c r="H577" t="n">
        <v>0</v>
      </c>
      <c r="I577" t="n">
        <v>0</v>
      </c>
      <c r="J577" t="n">
        <v>0</v>
      </c>
      <c r="K577" t="n">
        <v>0</v>
      </c>
      <c r="L577" t="n">
        <v>0</v>
      </c>
      <c r="M577" t="n">
        <v>0</v>
      </c>
      <c r="N577" t="n">
        <v>0</v>
      </c>
      <c r="O577" t="n">
        <v>0</v>
      </c>
      <c r="P577" t="n">
        <v>0</v>
      </c>
      <c r="Q577" t="n">
        <v>0</v>
      </c>
      <c r="R577" s="2" t="inlineStr"/>
    </row>
    <row r="578" ht="15" customHeight="1">
      <c r="A578" t="inlineStr">
        <is>
          <t>A 31543-2025</t>
        </is>
      </c>
      <c r="B578" s="1" t="n">
        <v>45833</v>
      </c>
      <c r="C578" s="1" t="n">
        <v>45923</v>
      </c>
      <c r="D578" t="inlineStr">
        <is>
          <t>JÄMTLANDS LÄN</t>
        </is>
      </c>
      <c r="E578" t="inlineStr">
        <is>
          <t>KROKOM</t>
        </is>
      </c>
      <c r="G578" t="n">
        <v>0.7</v>
      </c>
      <c r="H578" t="n">
        <v>0</v>
      </c>
      <c r="I578" t="n">
        <v>0</v>
      </c>
      <c r="J578" t="n">
        <v>0</v>
      </c>
      <c r="K578" t="n">
        <v>0</v>
      </c>
      <c r="L578" t="n">
        <v>0</v>
      </c>
      <c r="M578" t="n">
        <v>0</v>
      </c>
      <c r="N578" t="n">
        <v>0</v>
      </c>
      <c r="O578" t="n">
        <v>0</v>
      </c>
      <c r="P578" t="n">
        <v>0</v>
      </c>
      <c r="Q578" t="n">
        <v>0</v>
      </c>
      <c r="R578" s="2" t="inlineStr"/>
    </row>
    <row r="579" ht="15" customHeight="1">
      <c r="A579" t="inlineStr">
        <is>
          <t>A 58482-2024</t>
        </is>
      </c>
      <c r="B579" s="1" t="n">
        <v>45635</v>
      </c>
      <c r="C579" s="1" t="n">
        <v>45923</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29936-2023</t>
        </is>
      </c>
      <c r="B580" s="1" t="n">
        <v>45107</v>
      </c>
      <c r="C580" s="1" t="n">
        <v>45923</v>
      </c>
      <c r="D580" t="inlineStr">
        <is>
          <t>JÄMTLANDS LÄN</t>
        </is>
      </c>
      <c r="E580" t="inlineStr">
        <is>
          <t>KROKOM</t>
        </is>
      </c>
      <c r="G580" t="n">
        <v>77.40000000000001</v>
      </c>
      <c r="H580" t="n">
        <v>0</v>
      </c>
      <c r="I580" t="n">
        <v>0</v>
      </c>
      <c r="J580" t="n">
        <v>0</v>
      </c>
      <c r="K580" t="n">
        <v>0</v>
      </c>
      <c r="L580" t="n">
        <v>0</v>
      </c>
      <c r="M580" t="n">
        <v>0</v>
      </c>
      <c r="N580" t="n">
        <v>0</v>
      </c>
      <c r="O580" t="n">
        <v>0</v>
      </c>
      <c r="P580" t="n">
        <v>0</v>
      </c>
      <c r="Q580" t="n">
        <v>0</v>
      </c>
      <c r="R580" s="2" t="inlineStr"/>
    </row>
    <row r="581" ht="15" customHeight="1">
      <c r="A581" t="inlineStr">
        <is>
          <t>A 28191-2024</t>
        </is>
      </c>
      <c r="B581" s="1" t="n">
        <v>45477.32728009259</v>
      </c>
      <c r="C581" s="1" t="n">
        <v>45923</v>
      </c>
      <c r="D581" t="inlineStr">
        <is>
          <t>JÄMTLANDS LÄN</t>
        </is>
      </c>
      <c r="E581" t="inlineStr">
        <is>
          <t>KROKOM</t>
        </is>
      </c>
      <c r="F581" t="inlineStr">
        <is>
          <t>Övriga Aktiebolag</t>
        </is>
      </c>
      <c r="G581" t="n">
        <v>0.3</v>
      </c>
      <c r="H581" t="n">
        <v>0</v>
      </c>
      <c r="I581" t="n">
        <v>0</v>
      </c>
      <c r="J581" t="n">
        <v>0</v>
      </c>
      <c r="K581" t="n">
        <v>0</v>
      </c>
      <c r="L581" t="n">
        <v>0</v>
      </c>
      <c r="M581" t="n">
        <v>0</v>
      </c>
      <c r="N581" t="n">
        <v>0</v>
      </c>
      <c r="O581" t="n">
        <v>0</v>
      </c>
      <c r="P581" t="n">
        <v>0</v>
      </c>
      <c r="Q581" t="n">
        <v>0</v>
      </c>
      <c r="R581" s="2" t="inlineStr"/>
    </row>
    <row r="582" ht="15" customHeight="1">
      <c r="A582" t="inlineStr">
        <is>
          <t>A 55043-2024</t>
        </is>
      </c>
      <c r="B582" s="1" t="n">
        <v>45621</v>
      </c>
      <c r="C582" s="1" t="n">
        <v>45923</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10533-2025</t>
        </is>
      </c>
      <c r="B583" s="1" t="n">
        <v>45721.45563657407</v>
      </c>
      <c r="C583" s="1" t="n">
        <v>45923</v>
      </c>
      <c r="D583" t="inlineStr">
        <is>
          <t>JÄMTLANDS LÄN</t>
        </is>
      </c>
      <c r="E583" t="inlineStr">
        <is>
          <t>KROKOM</t>
        </is>
      </c>
      <c r="F583" t="inlineStr">
        <is>
          <t>SCA</t>
        </is>
      </c>
      <c r="G583" t="n">
        <v>64.90000000000001</v>
      </c>
      <c r="H583" t="n">
        <v>0</v>
      </c>
      <c r="I583" t="n">
        <v>0</v>
      </c>
      <c r="J583" t="n">
        <v>0</v>
      </c>
      <c r="K583" t="n">
        <v>0</v>
      </c>
      <c r="L583" t="n">
        <v>0</v>
      </c>
      <c r="M583" t="n">
        <v>0</v>
      </c>
      <c r="N583" t="n">
        <v>0</v>
      </c>
      <c r="O583" t="n">
        <v>0</v>
      </c>
      <c r="P583" t="n">
        <v>0</v>
      </c>
      <c r="Q583" t="n">
        <v>0</v>
      </c>
      <c r="R583" s="2" t="inlineStr"/>
    </row>
    <row r="584" ht="15" customHeight="1">
      <c r="A584" t="inlineStr">
        <is>
          <t>A 44645-2025</t>
        </is>
      </c>
      <c r="B584" s="1" t="n">
        <v>45917.53457175926</v>
      </c>
      <c r="C584" s="1" t="n">
        <v>45923</v>
      </c>
      <c r="D584" t="inlineStr">
        <is>
          <t>JÄMTLANDS LÄN</t>
        </is>
      </c>
      <c r="E584" t="inlineStr">
        <is>
          <t>KROKOM</t>
        </is>
      </c>
      <c r="G584" t="n">
        <v>4.7</v>
      </c>
      <c r="H584" t="n">
        <v>0</v>
      </c>
      <c r="I584" t="n">
        <v>0</v>
      </c>
      <c r="J584" t="n">
        <v>0</v>
      </c>
      <c r="K584" t="n">
        <v>0</v>
      </c>
      <c r="L584" t="n">
        <v>0</v>
      </c>
      <c r="M584" t="n">
        <v>0</v>
      </c>
      <c r="N584" t="n">
        <v>0</v>
      </c>
      <c r="O584" t="n">
        <v>0</v>
      </c>
      <c r="P584" t="n">
        <v>0</v>
      </c>
      <c r="Q584" t="n">
        <v>0</v>
      </c>
      <c r="R584" s="2" t="inlineStr"/>
    </row>
    <row r="585" ht="15" customHeight="1">
      <c r="A585" t="inlineStr">
        <is>
          <t>A 33802-2021</t>
        </is>
      </c>
      <c r="B585" s="1" t="n">
        <v>44377</v>
      </c>
      <c r="C585" s="1" t="n">
        <v>45923</v>
      </c>
      <c r="D585" t="inlineStr">
        <is>
          <t>JÄMTLANDS LÄN</t>
        </is>
      </c>
      <c r="E585" t="inlineStr">
        <is>
          <t>KROKOM</t>
        </is>
      </c>
      <c r="G585" t="n">
        <v>2</v>
      </c>
      <c r="H585" t="n">
        <v>0</v>
      </c>
      <c r="I585" t="n">
        <v>0</v>
      </c>
      <c r="J585" t="n">
        <v>0</v>
      </c>
      <c r="K585" t="n">
        <v>0</v>
      </c>
      <c r="L585" t="n">
        <v>0</v>
      </c>
      <c r="M585" t="n">
        <v>0</v>
      </c>
      <c r="N585" t="n">
        <v>0</v>
      </c>
      <c r="O585" t="n">
        <v>0</v>
      </c>
      <c r="P585" t="n">
        <v>0</v>
      </c>
      <c r="Q585" t="n">
        <v>0</v>
      </c>
      <c r="R585" s="2" t="inlineStr"/>
    </row>
    <row r="586" ht="15" customHeight="1">
      <c r="A586" t="inlineStr">
        <is>
          <t>A 44663-2025</t>
        </is>
      </c>
      <c r="B586" s="1" t="n">
        <v>45917</v>
      </c>
      <c r="C586" s="1" t="n">
        <v>45923</v>
      </c>
      <c r="D586" t="inlineStr">
        <is>
          <t>JÄMTLANDS LÄN</t>
        </is>
      </c>
      <c r="E586" t="inlineStr">
        <is>
          <t>KROKOM</t>
        </is>
      </c>
      <c r="G586" t="n">
        <v>1.3</v>
      </c>
      <c r="H586" t="n">
        <v>0</v>
      </c>
      <c r="I586" t="n">
        <v>0</v>
      </c>
      <c r="J586" t="n">
        <v>0</v>
      </c>
      <c r="K586" t="n">
        <v>0</v>
      </c>
      <c r="L586" t="n">
        <v>0</v>
      </c>
      <c r="M586" t="n">
        <v>0</v>
      </c>
      <c r="N586" t="n">
        <v>0</v>
      </c>
      <c r="O586" t="n">
        <v>0</v>
      </c>
      <c r="P586" t="n">
        <v>0</v>
      </c>
      <c r="Q586" t="n">
        <v>0</v>
      </c>
      <c r="R586" s="2" t="inlineStr"/>
    </row>
    <row r="587" ht="15" customHeight="1">
      <c r="A587" t="inlineStr">
        <is>
          <t>A 60173-2024</t>
        </is>
      </c>
      <c r="B587" s="1" t="n">
        <v>45642.63666666667</v>
      </c>
      <c r="C587" s="1" t="n">
        <v>45923</v>
      </c>
      <c r="D587" t="inlineStr">
        <is>
          <t>JÄMTLANDS LÄN</t>
        </is>
      </c>
      <c r="E587" t="inlineStr">
        <is>
          <t>KROKOM</t>
        </is>
      </c>
      <c r="G587" t="n">
        <v>4.3</v>
      </c>
      <c r="H587" t="n">
        <v>0</v>
      </c>
      <c r="I587" t="n">
        <v>0</v>
      </c>
      <c r="J587" t="n">
        <v>0</v>
      </c>
      <c r="K587" t="n">
        <v>0</v>
      </c>
      <c r="L587" t="n">
        <v>0</v>
      </c>
      <c r="M587" t="n">
        <v>0</v>
      </c>
      <c r="N587" t="n">
        <v>0</v>
      </c>
      <c r="O587" t="n">
        <v>0</v>
      </c>
      <c r="P587" t="n">
        <v>0</v>
      </c>
      <c r="Q587" t="n">
        <v>0</v>
      </c>
      <c r="R587" s="2" t="inlineStr"/>
    </row>
    <row r="588" ht="15" customHeight="1">
      <c r="A588" t="inlineStr">
        <is>
          <t>A 9016-2025</t>
        </is>
      </c>
      <c r="B588" s="1" t="n">
        <v>45713.59163194444</v>
      </c>
      <c r="C588" s="1" t="n">
        <v>45923</v>
      </c>
      <c r="D588" t="inlineStr">
        <is>
          <t>JÄMTLANDS LÄN</t>
        </is>
      </c>
      <c r="E588" t="inlineStr">
        <is>
          <t>KROKOM</t>
        </is>
      </c>
      <c r="F588" t="inlineStr">
        <is>
          <t>Övriga Aktiebolag</t>
        </is>
      </c>
      <c r="G588" t="n">
        <v>19.3</v>
      </c>
      <c r="H588" t="n">
        <v>0</v>
      </c>
      <c r="I588" t="n">
        <v>0</v>
      </c>
      <c r="J588" t="n">
        <v>0</v>
      </c>
      <c r="K588" t="n">
        <v>0</v>
      </c>
      <c r="L588" t="n">
        <v>0</v>
      </c>
      <c r="M588" t="n">
        <v>0</v>
      </c>
      <c r="N588" t="n">
        <v>0</v>
      </c>
      <c r="O588" t="n">
        <v>0</v>
      </c>
      <c r="P588" t="n">
        <v>0</v>
      </c>
      <c r="Q588" t="n">
        <v>0</v>
      </c>
      <c r="R588" s="2" t="inlineStr"/>
    </row>
    <row r="589" ht="15" customHeight="1">
      <c r="A589" t="inlineStr">
        <is>
          <t>A 37346-2025</t>
        </is>
      </c>
      <c r="B589" s="1" t="n">
        <v>45876</v>
      </c>
      <c r="C589" s="1" t="n">
        <v>45923</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30065-2024</t>
        </is>
      </c>
      <c r="B590" s="1" t="n">
        <v>45488.94857638889</v>
      </c>
      <c r="C590" s="1" t="n">
        <v>45923</v>
      </c>
      <c r="D590" t="inlineStr">
        <is>
          <t>JÄMTLANDS LÄN</t>
        </is>
      </c>
      <c r="E590" t="inlineStr">
        <is>
          <t>KROKOM</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42439-2023</t>
        </is>
      </c>
      <c r="B591" s="1" t="n">
        <v>45180.6391087963</v>
      </c>
      <c r="C591" s="1" t="n">
        <v>45923</v>
      </c>
      <c r="D591" t="inlineStr">
        <is>
          <t>JÄMTLANDS LÄN</t>
        </is>
      </c>
      <c r="E591" t="inlineStr">
        <is>
          <t>KROKOM</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31905-2021</t>
        </is>
      </c>
      <c r="B592" s="1" t="n">
        <v>44370</v>
      </c>
      <c r="C592" s="1" t="n">
        <v>45923</v>
      </c>
      <c r="D592" t="inlineStr">
        <is>
          <t>JÄMTLANDS LÄN</t>
        </is>
      </c>
      <c r="E592" t="inlineStr">
        <is>
          <t>KROKOM</t>
        </is>
      </c>
      <c r="G592" t="n">
        <v>12.9</v>
      </c>
      <c r="H592" t="n">
        <v>0</v>
      </c>
      <c r="I592" t="n">
        <v>0</v>
      </c>
      <c r="J592" t="n">
        <v>0</v>
      </c>
      <c r="K592" t="n">
        <v>0</v>
      </c>
      <c r="L592" t="n">
        <v>0</v>
      </c>
      <c r="M592" t="n">
        <v>0</v>
      </c>
      <c r="N592" t="n">
        <v>0</v>
      </c>
      <c r="O592" t="n">
        <v>0</v>
      </c>
      <c r="P592" t="n">
        <v>0</v>
      </c>
      <c r="Q592" t="n">
        <v>0</v>
      </c>
      <c r="R592" s="2" t="inlineStr"/>
    </row>
    <row r="593" ht="15" customHeight="1">
      <c r="A593" t="inlineStr">
        <is>
          <t>A 27729-2024</t>
        </is>
      </c>
      <c r="B593" s="1" t="n">
        <v>45475</v>
      </c>
      <c r="C593" s="1" t="n">
        <v>45923</v>
      </c>
      <c r="D593" t="inlineStr">
        <is>
          <t>JÄMTLANDS LÄN</t>
        </is>
      </c>
      <c r="E593" t="inlineStr">
        <is>
          <t>KROKOM</t>
        </is>
      </c>
      <c r="G593" t="n">
        <v>1.5</v>
      </c>
      <c r="H593" t="n">
        <v>0</v>
      </c>
      <c r="I593" t="n">
        <v>0</v>
      </c>
      <c r="J593" t="n">
        <v>0</v>
      </c>
      <c r="K593" t="n">
        <v>0</v>
      </c>
      <c r="L593" t="n">
        <v>0</v>
      </c>
      <c r="M593" t="n">
        <v>0</v>
      </c>
      <c r="N593" t="n">
        <v>0</v>
      </c>
      <c r="O593" t="n">
        <v>0</v>
      </c>
      <c r="P593" t="n">
        <v>0</v>
      </c>
      <c r="Q593" t="n">
        <v>0</v>
      </c>
      <c r="R593" s="2" t="inlineStr"/>
    </row>
    <row r="594" ht="15" customHeight="1">
      <c r="A594" t="inlineStr">
        <is>
          <t>A 37111-2025</t>
        </is>
      </c>
      <c r="B594" s="1" t="n">
        <v>45875.51046296296</v>
      </c>
      <c r="C594" s="1" t="n">
        <v>45923</v>
      </c>
      <c r="D594" t="inlineStr">
        <is>
          <t>JÄMTLANDS LÄN</t>
        </is>
      </c>
      <c r="E594" t="inlineStr">
        <is>
          <t>KROKOM</t>
        </is>
      </c>
      <c r="G594" t="n">
        <v>8.1</v>
      </c>
      <c r="H594" t="n">
        <v>0</v>
      </c>
      <c r="I594" t="n">
        <v>0</v>
      </c>
      <c r="J594" t="n">
        <v>0</v>
      </c>
      <c r="K594" t="n">
        <v>0</v>
      </c>
      <c r="L594" t="n">
        <v>0</v>
      </c>
      <c r="M594" t="n">
        <v>0</v>
      </c>
      <c r="N594" t="n">
        <v>0</v>
      </c>
      <c r="O594" t="n">
        <v>0</v>
      </c>
      <c r="P594" t="n">
        <v>0</v>
      </c>
      <c r="Q594" t="n">
        <v>0</v>
      </c>
      <c r="R594" s="2" t="inlineStr"/>
    </row>
    <row r="595" ht="15" customHeight="1">
      <c r="A595" t="inlineStr">
        <is>
          <t>A 43371-2025</t>
        </is>
      </c>
      <c r="B595" s="1" t="n">
        <v>45911</v>
      </c>
      <c r="C595" s="1" t="n">
        <v>45923</v>
      </c>
      <c r="D595" t="inlineStr">
        <is>
          <t>JÄMTLANDS LÄN</t>
        </is>
      </c>
      <c r="E595" t="inlineStr">
        <is>
          <t>KROKOM</t>
        </is>
      </c>
      <c r="G595" t="n">
        <v>7.3</v>
      </c>
      <c r="H595" t="n">
        <v>0</v>
      </c>
      <c r="I595" t="n">
        <v>0</v>
      </c>
      <c r="J595" t="n">
        <v>0</v>
      </c>
      <c r="K595" t="n">
        <v>0</v>
      </c>
      <c r="L595" t="n">
        <v>0</v>
      </c>
      <c r="M595" t="n">
        <v>0</v>
      </c>
      <c r="N595" t="n">
        <v>0</v>
      </c>
      <c r="O595" t="n">
        <v>0</v>
      </c>
      <c r="P595" t="n">
        <v>0</v>
      </c>
      <c r="Q595" t="n">
        <v>0</v>
      </c>
      <c r="R595" s="2" t="inlineStr"/>
    </row>
    <row r="596" ht="15" customHeight="1">
      <c r="A596" t="inlineStr">
        <is>
          <t>A 42369-2021</t>
        </is>
      </c>
      <c r="B596" s="1" t="n">
        <v>44427</v>
      </c>
      <c r="C596" s="1" t="n">
        <v>45923</v>
      </c>
      <c r="D596" t="inlineStr">
        <is>
          <t>JÄMTLANDS LÄN</t>
        </is>
      </c>
      <c r="E596" t="inlineStr">
        <is>
          <t>KROKOM</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31426-2025</t>
        </is>
      </c>
      <c r="B597" s="1" t="n">
        <v>45833</v>
      </c>
      <c r="C597" s="1" t="n">
        <v>45923</v>
      </c>
      <c r="D597" t="inlineStr">
        <is>
          <t>JÄMTLANDS LÄN</t>
        </is>
      </c>
      <c r="E597" t="inlineStr">
        <is>
          <t>KROKOM</t>
        </is>
      </c>
      <c r="G597" t="n">
        <v>0.9</v>
      </c>
      <c r="H597" t="n">
        <v>0</v>
      </c>
      <c r="I597" t="n">
        <v>0</v>
      </c>
      <c r="J597" t="n">
        <v>0</v>
      </c>
      <c r="K597" t="n">
        <v>0</v>
      </c>
      <c r="L597" t="n">
        <v>0</v>
      </c>
      <c r="M597" t="n">
        <v>0</v>
      </c>
      <c r="N597" t="n">
        <v>0</v>
      </c>
      <c r="O597" t="n">
        <v>0</v>
      </c>
      <c r="P597" t="n">
        <v>0</v>
      </c>
      <c r="Q597" t="n">
        <v>0</v>
      </c>
      <c r="R597" s="2" t="inlineStr"/>
    </row>
    <row r="598" ht="15" customHeight="1">
      <c r="A598" t="inlineStr">
        <is>
          <t>A 51939-2024</t>
        </is>
      </c>
      <c r="B598" s="1" t="n">
        <v>45607.63211805555</v>
      </c>
      <c r="C598" s="1" t="n">
        <v>45923</v>
      </c>
      <c r="D598" t="inlineStr">
        <is>
          <t>JÄMTLANDS LÄN</t>
        </is>
      </c>
      <c r="E598" t="inlineStr">
        <is>
          <t>KROKOM</t>
        </is>
      </c>
      <c r="G598" t="n">
        <v>2.6</v>
      </c>
      <c r="H598" t="n">
        <v>0</v>
      </c>
      <c r="I598" t="n">
        <v>0</v>
      </c>
      <c r="J598" t="n">
        <v>0</v>
      </c>
      <c r="K598" t="n">
        <v>0</v>
      </c>
      <c r="L598" t="n">
        <v>0</v>
      </c>
      <c r="M598" t="n">
        <v>0</v>
      </c>
      <c r="N598" t="n">
        <v>0</v>
      </c>
      <c r="O598" t="n">
        <v>0</v>
      </c>
      <c r="P598" t="n">
        <v>0</v>
      </c>
      <c r="Q598" t="n">
        <v>0</v>
      </c>
      <c r="R598" s="2" t="inlineStr"/>
    </row>
    <row r="599" ht="15" customHeight="1">
      <c r="A599" t="inlineStr">
        <is>
          <t>A 18942-2025</t>
        </is>
      </c>
      <c r="B599" s="1" t="n">
        <v>45764</v>
      </c>
      <c r="C599" s="1" t="n">
        <v>45923</v>
      </c>
      <c r="D599" t="inlineStr">
        <is>
          <t>JÄMTLANDS LÄN</t>
        </is>
      </c>
      <c r="E599" t="inlineStr">
        <is>
          <t>KROKOM</t>
        </is>
      </c>
      <c r="G599" t="n">
        <v>8.9</v>
      </c>
      <c r="H599" t="n">
        <v>0</v>
      </c>
      <c r="I599" t="n">
        <v>0</v>
      </c>
      <c r="J599" t="n">
        <v>0</v>
      </c>
      <c r="K599" t="n">
        <v>0</v>
      </c>
      <c r="L599" t="n">
        <v>0</v>
      </c>
      <c r="M599" t="n">
        <v>0</v>
      </c>
      <c r="N599" t="n">
        <v>0</v>
      </c>
      <c r="O599" t="n">
        <v>0</v>
      </c>
      <c r="P599" t="n">
        <v>0</v>
      </c>
      <c r="Q599" t="n">
        <v>0</v>
      </c>
      <c r="R599" s="2" t="inlineStr"/>
    </row>
    <row r="600" ht="15" customHeight="1">
      <c r="A600" t="inlineStr">
        <is>
          <t>A 41142-2023</t>
        </is>
      </c>
      <c r="B600" s="1" t="n">
        <v>45173</v>
      </c>
      <c r="C600" s="1" t="n">
        <v>45923</v>
      </c>
      <c r="D600" t="inlineStr">
        <is>
          <t>JÄMTLANDS LÄN</t>
        </is>
      </c>
      <c r="E600" t="inlineStr">
        <is>
          <t>KROKOM</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6214-2022</t>
        </is>
      </c>
      <c r="B601" s="1" t="n">
        <v>44600.37212962963</v>
      </c>
      <c r="C601" s="1" t="n">
        <v>45923</v>
      </c>
      <c r="D601" t="inlineStr">
        <is>
          <t>JÄMTLANDS LÄN</t>
        </is>
      </c>
      <c r="E601" t="inlineStr">
        <is>
          <t>KROKOM</t>
        </is>
      </c>
      <c r="G601" t="n">
        <v>1.1</v>
      </c>
      <c r="H601" t="n">
        <v>0</v>
      </c>
      <c r="I601" t="n">
        <v>0</v>
      </c>
      <c r="J601" t="n">
        <v>0</v>
      </c>
      <c r="K601" t="n">
        <v>0</v>
      </c>
      <c r="L601" t="n">
        <v>0</v>
      </c>
      <c r="M601" t="n">
        <v>0</v>
      </c>
      <c r="N601" t="n">
        <v>0</v>
      </c>
      <c r="O601" t="n">
        <v>0</v>
      </c>
      <c r="P601" t="n">
        <v>0</v>
      </c>
      <c r="Q601" t="n">
        <v>0</v>
      </c>
      <c r="R601" s="2" t="inlineStr"/>
    </row>
    <row r="602" ht="15" customHeight="1">
      <c r="A602" t="inlineStr">
        <is>
          <t>A 31427-2025</t>
        </is>
      </c>
      <c r="B602" s="1" t="n">
        <v>45833</v>
      </c>
      <c r="C602" s="1" t="n">
        <v>45923</v>
      </c>
      <c r="D602" t="inlineStr">
        <is>
          <t>JÄMTLANDS LÄN</t>
        </is>
      </c>
      <c r="E602" t="inlineStr">
        <is>
          <t>KROKOM</t>
        </is>
      </c>
      <c r="G602" t="n">
        <v>1</v>
      </c>
      <c r="H602" t="n">
        <v>0</v>
      </c>
      <c r="I602" t="n">
        <v>0</v>
      </c>
      <c r="J602" t="n">
        <v>0</v>
      </c>
      <c r="K602" t="n">
        <v>0</v>
      </c>
      <c r="L602" t="n">
        <v>0</v>
      </c>
      <c r="M602" t="n">
        <v>0</v>
      </c>
      <c r="N602" t="n">
        <v>0</v>
      </c>
      <c r="O602" t="n">
        <v>0</v>
      </c>
      <c r="P602" t="n">
        <v>0</v>
      </c>
      <c r="Q602" t="n">
        <v>0</v>
      </c>
      <c r="R602" s="2" t="inlineStr"/>
    </row>
    <row r="603" ht="15" customHeight="1">
      <c r="A603" t="inlineStr">
        <is>
          <t>A 5798-2025</t>
        </is>
      </c>
      <c r="B603" s="1" t="n">
        <v>45694.65905092593</v>
      </c>
      <c r="C603" s="1" t="n">
        <v>45923</v>
      </c>
      <c r="D603" t="inlineStr">
        <is>
          <t>JÄMTLANDS LÄN</t>
        </is>
      </c>
      <c r="E603" t="inlineStr">
        <is>
          <t>KROKOM</t>
        </is>
      </c>
      <c r="G603" t="n">
        <v>0.7</v>
      </c>
      <c r="H603" t="n">
        <v>0</v>
      </c>
      <c r="I603" t="n">
        <v>0</v>
      </c>
      <c r="J603" t="n">
        <v>0</v>
      </c>
      <c r="K603" t="n">
        <v>0</v>
      </c>
      <c r="L603" t="n">
        <v>0</v>
      </c>
      <c r="M603" t="n">
        <v>0</v>
      </c>
      <c r="N603" t="n">
        <v>0</v>
      </c>
      <c r="O603" t="n">
        <v>0</v>
      </c>
      <c r="P603" t="n">
        <v>0</v>
      </c>
      <c r="Q603" t="n">
        <v>0</v>
      </c>
      <c r="R603" s="2" t="inlineStr"/>
    </row>
    <row r="604" ht="15" customHeight="1">
      <c r="A604" t="inlineStr">
        <is>
          <t>A 29896-2021</t>
        </is>
      </c>
      <c r="B604" s="1" t="n">
        <v>44362</v>
      </c>
      <c r="C604" s="1" t="n">
        <v>45923</v>
      </c>
      <c r="D604" t="inlineStr">
        <is>
          <t>JÄMTLANDS LÄN</t>
        </is>
      </c>
      <c r="E604" t="inlineStr">
        <is>
          <t>KROKOM</t>
        </is>
      </c>
      <c r="G604" t="n">
        <v>0.6</v>
      </c>
      <c r="H604" t="n">
        <v>0</v>
      </c>
      <c r="I604" t="n">
        <v>0</v>
      </c>
      <c r="J604" t="n">
        <v>0</v>
      </c>
      <c r="K604" t="n">
        <v>0</v>
      </c>
      <c r="L604" t="n">
        <v>0</v>
      </c>
      <c r="M604" t="n">
        <v>0</v>
      </c>
      <c r="N604" t="n">
        <v>0</v>
      </c>
      <c r="O604" t="n">
        <v>0</v>
      </c>
      <c r="P604" t="n">
        <v>0</v>
      </c>
      <c r="Q604" t="n">
        <v>0</v>
      </c>
      <c r="R604" s="2" t="inlineStr"/>
    </row>
    <row r="605" ht="15" customHeight="1">
      <c r="A605" t="inlineStr">
        <is>
          <t>A 36929-2024</t>
        </is>
      </c>
      <c r="B605" s="1" t="n">
        <v>45538.68200231482</v>
      </c>
      <c r="C605" s="1" t="n">
        <v>45923</v>
      </c>
      <c r="D605" t="inlineStr">
        <is>
          <t>JÄMTLANDS LÄN</t>
        </is>
      </c>
      <c r="E605" t="inlineStr">
        <is>
          <t>KROKOM</t>
        </is>
      </c>
      <c r="G605" t="n">
        <v>1.1</v>
      </c>
      <c r="H605" t="n">
        <v>0</v>
      </c>
      <c r="I605" t="n">
        <v>0</v>
      </c>
      <c r="J605" t="n">
        <v>0</v>
      </c>
      <c r="K605" t="n">
        <v>0</v>
      </c>
      <c r="L605" t="n">
        <v>0</v>
      </c>
      <c r="M605" t="n">
        <v>0</v>
      </c>
      <c r="N605" t="n">
        <v>0</v>
      </c>
      <c r="O605" t="n">
        <v>0</v>
      </c>
      <c r="P605" t="n">
        <v>0</v>
      </c>
      <c r="Q605" t="n">
        <v>0</v>
      </c>
      <c r="R605" s="2" t="inlineStr"/>
    </row>
    <row r="606" ht="15" customHeight="1">
      <c r="A606" t="inlineStr">
        <is>
          <t>A 36491-2021</t>
        </is>
      </c>
      <c r="B606" s="1" t="n">
        <v>44390</v>
      </c>
      <c r="C606" s="1" t="n">
        <v>45923</v>
      </c>
      <c r="D606" t="inlineStr">
        <is>
          <t>JÄMTLANDS LÄN</t>
        </is>
      </c>
      <c r="E606" t="inlineStr">
        <is>
          <t>KROKOM</t>
        </is>
      </c>
      <c r="G606" t="n">
        <v>5.4</v>
      </c>
      <c r="H606" t="n">
        <v>0</v>
      </c>
      <c r="I606" t="n">
        <v>0</v>
      </c>
      <c r="J606" t="n">
        <v>0</v>
      </c>
      <c r="K606" t="n">
        <v>0</v>
      </c>
      <c r="L606" t="n">
        <v>0</v>
      </c>
      <c r="M606" t="n">
        <v>0</v>
      </c>
      <c r="N606" t="n">
        <v>0</v>
      </c>
      <c r="O606" t="n">
        <v>0</v>
      </c>
      <c r="P606" t="n">
        <v>0</v>
      </c>
      <c r="Q606" t="n">
        <v>0</v>
      </c>
      <c r="R606" s="2" t="inlineStr"/>
    </row>
    <row r="607" ht="15" customHeight="1">
      <c r="A607" t="inlineStr">
        <is>
          <t>A 50881-2024</t>
        </is>
      </c>
      <c r="B607" s="1" t="n">
        <v>45602.65599537037</v>
      </c>
      <c r="C607" s="1" t="n">
        <v>45923</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45462-2025</t>
        </is>
      </c>
      <c r="B608" s="1" t="n">
        <v>45922.49604166667</v>
      </c>
      <c r="C608" s="1" t="n">
        <v>45923</v>
      </c>
      <c r="D608" t="inlineStr">
        <is>
          <t>JÄMTLANDS LÄN</t>
        </is>
      </c>
      <c r="E608" t="inlineStr">
        <is>
          <t>KROKOM</t>
        </is>
      </c>
      <c r="G608" t="n">
        <v>2.4</v>
      </c>
      <c r="H608" t="n">
        <v>0</v>
      </c>
      <c r="I608" t="n">
        <v>0</v>
      </c>
      <c r="J608" t="n">
        <v>0</v>
      </c>
      <c r="K608" t="n">
        <v>0</v>
      </c>
      <c r="L608" t="n">
        <v>0</v>
      </c>
      <c r="M608" t="n">
        <v>0</v>
      </c>
      <c r="N608" t="n">
        <v>0</v>
      </c>
      <c r="O608" t="n">
        <v>0</v>
      </c>
      <c r="P608" t="n">
        <v>0</v>
      </c>
      <c r="Q608" t="n">
        <v>0</v>
      </c>
      <c r="R608" s="2" t="inlineStr"/>
    </row>
    <row r="609" ht="15" customHeight="1">
      <c r="A609" t="inlineStr">
        <is>
          <t>A 45464-2025</t>
        </is>
      </c>
      <c r="B609" s="1" t="n">
        <v>45922.4984837963</v>
      </c>
      <c r="C609" s="1" t="n">
        <v>45923</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9025-2025</t>
        </is>
      </c>
      <c r="B610" s="1" t="n">
        <v>45713.59952546296</v>
      </c>
      <c r="C610" s="1" t="n">
        <v>45923</v>
      </c>
      <c r="D610" t="inlineStr">
        <is>
          <t>JÄMTLANDS LÄN</t>
        </is>
      </c>
      <c r="E610" t="inlineStr">
        <is>
          <t>KROKOM</t>
        </is>
      </c>
      <c r="F610" t="inlineStr">
        <is>
          <t>Övriga Aktiebolag</t>
        </is>
      </c>
      <c r="G610" t="n">
        <v>28.4</v>
      </c>
      <c r="H610" t="n">
        <v>0</v>
      </c>
      <c r="I610" t="n">
        <v>0</v>
      </c>
      <c r="J610" t="n">
        <v>0</v>
      </c>
      <c r="K610" t="n">
        <v>0</v>
      </c>
      <c r="L610" t="n">
        <v>0</v>
      </c>
      <c r="M610" t="n">
        <v>0</v>
      </c>
      <c r="N610" t="n">
        <v>0</v>
      </c>
      <c r="O610" t="n">
        <v>0</v>
      </c>
      <c r="P610" t="n">
        <v>0</v>
      </c>
      <c r="Q610" t="n">
        <v>0</v>
      </c>
      <c r="R610" s="2" t="inlineStr"/>
    </row>
    <row r="611" ht="15" customHeight="1">
      <c r="A611" t="inlineStr">
        <is>
          <t>A 46061-2023</t>
        </is>
      </c>
      <c r="B611" s="1" t="n">
        <v>45190</v>
      </c>
      <c r="C611" s="1" t="n">
        <v>45923</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19478-2023</t>
        </is>
      </c>
      <c r="B612" s="1" t="n">
        <v>45050</v>
      </c>
      <c r="C612" s="1" t="n">
        <v>45923</v>
      </c>
      <c r="D612" t="inlineStr">
        <is>
          <t>JÄMTLANDS LÄN</t>
        </is>
      </c>
      <c r="E612" t="inlineStr">
        <is>
          <t>KROKOM</t>
        </is>
      </c>
      <c r="F612" t="inlineStr">
        <is>
          <t>Övriga Aktiebolag</t>
        </is>
      </c>
      <c r="G612" t="n">
        <v>22.2</v>
      </c>
      <c r="H612" t="n">
        <v>0</v>
      </c>
      <c r="I612" t="n">
        <v>0</v>
      </c>
      <c r="J612" t="n">
        <v>0</v>
      </c>
      <c r="K612" t="n">
        <v>0</v>
      </c>
      <c r="L612" t="n">
        <v>0</v>
      </c>
      <c r="M612" t="n">
        <v>0</v>
      </c>
      <c r="N612" t="n">
        <v>0</v>
      </c>
      <c r="O612" t="n">
        <v>0</v>
      </c>
      <c r="P612" t="n">
        <v>0</v>
      </c>
      <c r="Q612" t="n">
        <v>0</v>
      </c>
      <c r="R612" s="2" t="inlineStr"/>
    </row>
    <row r="613" ht="15" customHeight="1">
      <c r="A613" t="inlineStr">
        <is>
          <t>A 4741-2022</t>
        </is>
      </c>
      <c r="B613" s="1" t="n">
        <v>44592</v>
      </c>
      <c r="C613" s="1" t="n">
        <v>45923</v>
      </c>
      <c r="D613" t="inlineStr">
        <is>
          <t>JÄMTLANDS LÄN</t>
        </is>
      </c>
      <c r="E613" t="inlineStr">
        <is>
          <t>KROKOM</t>
        </is>
      </c>
      <c r="G613" t="n">
        <v>54.2</v>
      </c>
      <c r="H613" t="n">
        <v>0</v>
      </c>
      <c r="I613" t="n">
        <v>0</v>
      </c>
      <c r="J613" t="n">
        <v>0</v>
      </c>
      <c r="K613" t="n">
        <v>0</v>
      </c>
      <c r="L613" t="n">
        <v>0</v>
      </c>
      <c r="M613" t="n">
        <v>0</v>
      </c>
      <c r="N613" t="n">
        <v>0</v>
      </c>
      <c r="O613" t="n">
        <v>0</v>
      </c>
      <c r="P613" t="n">
        <v>0</v>
      </c>
      <c r="Q613" t="n">
        <v>0</v>
      </c>
      <c r="R613" s="2" t="inlineStr"/>
    </row>
    <row r="614" ht="15" customHeight="1">
      <c r="A614" t="inlineStr">
        <is>
          <t>A 37530-2025</t>
        </is>
      </c>
      <c r="B614" s="1" t="n">
        <v>45878</v>
      </c>
      <c r="C614" s="1" t="n">
        <v>45923</v>
      </c>
      <c r="D614" t="inlineStr">
        <is>
          <t>JÄMTLANDS LÄN</t>
        </is>
      </c>
      <c r="E614" t="inlineStr">
        <is>
          <t>KROKOM</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58052-2022</t>
        </is>
      </c>
      <c r="B615" s="1" t="n">
        <v>44893</v>
      </c>
      <c r="C615" s="1" t="n">
        <v>45923</v>
      </c>
      <c r="D615" t="inlineStr">
        <is>
          <t>JÄMTLANDS LÄN</t>
        </is>
      </c>
      <c r="E615" t="inlineStr">
        <is>
          <t>KROKOM</t>
        </is>
      </c>
      <c r="G615" t="n">
        <v>0.6</v>
      </c>
      <c r="H615" t="n">
        <v>0</v>
      </c>
      <c r="I615" t="n">
        <v>0</v>
      </c>
      <c r="J615" t="n">
        <v>0</v>
      </c>
      <c r="K615" t="n">
        <v>0</v>
      </c>
      <c r="L615" t="n">
        <v>0</v>
      </c>
      <c r="M615" t="n">
        <v>0</v>
      </c>
      <c r="N615" t="n">
        <v>0</v>
      </c>
      <c r="O615" t="n">
        <v>0</v>
      </c>
      <c r="P615" t="n">
        <v>0</v>
      </c>
      <c r="Q615" t="n">
        <v>0</v>
      </c>
      <c r="R615" s="2" t="inlineStr"/>
    </row>
    <row r="616" ht="15" customHeight="1">
      <c r="A616" t="inlineStr">
        <is>
          <t>A 61966-2024</t>
        </is>
      </c>
      <c r="B616" s="1" t="n">
        <v>45653.57240740741</v>
      </c>
      <c r="C616" s="1" t="n">
        <v>45923</v>
      </c>
      <c r="D616" t="inlineStr">
        <is>
          <t>JÄMTLANDS LÄN</t>
        </is>
      </c>
      <c r="E616" t="inlineStr">
        <is>
          <t>KROKOM</t>
        </is>
      </c>
      <c r="F616" t="inlineStr">
        <is>
          <t>Övriga Aktiebolag</t>
        </is>
      </c>
      <c r="G616" t="n">
        <v>15.7</v>
      </c>
      <c r="H616" t="n">
        <v>0</v>
      </c>
      <c r="I616" t="n">
        <v>0</v>
      </c>
      <c r="J616" t="n">
        <v>0</v>
      </c>
      <c r="K616" t="n">
        <v>0</v>
      </c>
      <c r="L616" t="n">
        <v>0</v>
      </c>
      <c r="M616" t="n">
        <v>0</v>
      </c>
      <c r="N616" t="n">
        <v>0</v>
      </c>
      <c r="O616" t="n">
        <v>0</v>
      </c>
      <c r="P616" t="n">
        <v>0</v>
      </c>
      <c r="Q616" t="n">
        <v>0</v>
      </c>
      <c r="R616" s="2" t="inlineStr"/>
    </row>
    <row r="617" ht="15" customHeight="1">
      <c r="A617" t="inlineStr">
        <is>
          <t>A 16064-2024</t>
        </is>
      </c>
      <c r="B617" s="1" t="n">
        <v>45406.05033564815</v>
      </c>
      <c r="C617" s="1" t="n">
        <v>45923</v>
      </c>
      <c r="D617" t="inlineStr">
        <is>
          <t>JÄMTLANDS LÄN</t>
        </is>
      </c>
      <c r="E617" t="inlineStr">
        <is>
          <t>KROKOM</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41628-2024</t>
        </is>
      </c>
      <c r="B618" s="1" t="n">
        <v>45560</v>
      </c>
      <c r="C618" s="1" t="n">
        <v>45923</v>
      </c>
      <c r="D618" t="inlineStr">
        <is>
          <t>JÄMTLANDS LÄN</t>
        </is>
      </c>
      <c r="E618" t="inlineStr">
        <is>
          <t>KROKOM</t>
        </is>
      </c>
      <c r="F618" t="inlineStr">
        <is>
          <t>Övriga Aktiebolag</t>
        </is>
      </c>
      <c r="G618" t="n">
        <v>7.3</v>
      </c>
      <c r="H618" t="n">
        <v>0</v>
      </c>
      <c r="I618" t="n">
        <v>0</v>
      </c>
      <c r="J618" t="n">
        <v>0</v>
      </c>
      <c r="K618" t="n">
        <v>0</v>
      </c>
      <c r="L618" t="n">
        <v>0</v>
      </c>
      <c r="M618" t="n">
        <v>0</v>
      </c>
      <c r="N618" t="n">
        <v>0</v>
      </c>
      <c r="O618" t="n">
        <v>0</v>
      </c>
      <c r="P618" t="n">
        <v>0</v>
      </c>
      <c r="Q618" t="n">
        <v>0</v>
      </c>
      <c r="R618" s="2" t="inlineStr"/>
    </row>
    <row r="619" ht="15" customHeight="1">
      <c r="A619" t="inlineStr">
        <is>
          <t>A 59076-2022</t>
        </is>
      </c>
      <c r="B619" s="1" t="n">
        <v>44904</v>
      </c>
      <c r="C619" s="1" t="n">
        <v>45923</v>
      </c>
      <c r="D619" t="inlineStr">
        <is>
          <t>JÄMTLANDS LÄN</t>
        </is>
      </c>
      <c r="E619" t="inlineStr">
        <is>
          <t>KROKOM</t>
        </is>
      </c>
      <c r="G619" t="n">
        <v>3.4</v>
      </c>
      <c r="H619" t="n">
        <v>0</v>
      </c>
      <c r="I619" t="n">
        <v>0</v>
      </c>
      <c r="J619" t="n">
        <v>0</v>
      </c>
      <c r="K619" t="n">
        <v>0</v>
      </c>
      <c r="L619" t="n">
        <v>0</v>
      </c>
      <c r="M619" t="n">
        <v>0</v>
      </c>
      <c r="N619" t="n">
        <v>0</v>
      </c>
      <c r="O619" t="n">
        <v>0</v>
      </c>
      <c r="P619" t="n">
        <v>0</v>
      </c>
      <c r="Q619" t="n">
        <v>0</v>
      </c>
      <c r="R619" s="2" t="inlineStr"/>
    </row>
    <row r="620" ht="15" customHeight="1">
      <c r="A620" t="inlineStr">
        <is>
          <t>A 23319-2024</t>
        </is>
      </c>
      <c r="B620" s="1" t="n">
        <v>45453.45515046296</v>
      </c>
      <c r="C620" s="1" t="n">
        <v>45923</v>
      </c>
      <c r="D620" t="inlineStr">
        <is>
          <t>JÄMTLANDS LÄN</t>
        </is>
      </c>
      <c r="E620" t="inlineStr">
        <is>
          <t>KROKOM</t>
        </is>
      </c>
      <c r="G620" t="n">
        <v>2.9</v>
      </c>
      <c r="H620" t="n">
        <v>0</v>
      </c>
      <c r="I620" t="n">
        <v>0</v>
      </c>
      <c r="J620" t="n">
        <v>0</v>
      </c>
      <c r="K620" t="n">
        <v>0</v>
      </c>
      <c r="L620" t="n">
        <v>0</v>
      </c>
      <c r="M620" t="n">
        <v>0</v>
      </c>
      <c r="N620" t="n">
        <v>0</v>
      </c>
      <c r="O620" t="n">
        <v>0</v>
      </c>
      <c r="P620" t="n">
        <v>0</v>
      </c>
      <c r="Q620" t="n">
        <v>0</v>
      </c>
      <c r="R620" s="2" t="inlineStr"/>
    </row>
    <row r="621" ht="15" customHeight="1">
      <c r="A621" t="inlineStr">
        <is>
          <t>A 20982-2023</t>
        </is>
      </c>
      <c r="B621" s="1" t="n">
        <v>45056</v>
      </c>
      <c r="C621" s="1" t="n">
        <v>45923</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5378-2025</t>
        </is>
      </c>
      <c r="B622" s="1" t="n">
        <v>45692.60364583333</v>
      </c>
      <c r="C622" s="1" t="n">
        <v>45923</v>
      </c>
      <c r="D622" t="inlineStr">
        <is>
          <t>JÄMTLANDS LÄN</t>
        </is>
      </c>
      <c r="E622" t="inlineStr">
        <is>
          <t>KROKOM</t>
        </is>
      </c>
      <c r="G622" t="n">
        <v>11</v>
      </c>
      <c r="H622" t="n">
        <v>0</v>
      </c>
      <c r="I622" t="n">
        <v>0</v>
      </c>
      <c r="J622" t="n">
        <v>0</v>
      </c>
      <c r="K622" t="n">
        <v>0</v>
      </c>
      <c r="L622" t="n">
        <v>0</v>
      </c>
      <c r="M622" t="n">
        <v>0</v>
      </c>
      <c r="N622" t="n">
        <v>0</v>
      </c>
      <c r="O622" t="n">
        <v>0</v>
      </c>
      <c r="P622" t="n">
        <v>0</v>
      </c>
      <c r="Q622" t="n">
        <v>0</v>
      </c>
      <c r="R622" s="2" t="inlineStr"/>
    </row>
    <row r="623" ht="15" customHeight="1">
      <c r="A623" t="inlineStr">
        <is>
          <t>A 69120-2020</t>
        </is>
      </c>
      <c r="B623" s="1" t="n">
        <v>44188</v>
      </c>
      <c r="C623" s="1" t="n">
        <v>45923</v>
      </c>
      <c r="D623" t="inlineStr">
        <is>
          <t>JÄMTLANDS LÄN</t>
        </is>
      </c>
      <c r="E623" t="inlineStr">
        <is>
          <t>KROKOM</t>
        </is>
      </c>
      <c r="G623" t="n">
        <v>4.1</v>
      </c>
      <c r="H623" t="n">
        <v>0</v>
      </c>
      <c r="I623" t="n">
        <v>0</v>
      </c>
      <c r="J623" t="n">
        <v>0</v>
      </c>
      <c r="K623" t="n">
        <v>0</v>
      </c>
      <c r="L623" t="n">
        <v>0</v>
      </c>
      <c r="M623" t="n">
        <v>0</v>
      </c>
      <c r="N623" t="n">
        <v>0</v>
      </c>
      <c r="O623" t="n">
        <v>0</v>
      </c>
      <c r="P623" t="n">
        <v>0</v>
      </c>
      <c r="Q623" t="n">
        <v>0</v>
      </c>
      <c r="R623" s="2" t="inlineStr"/>
    </row>
    <row r="624" ht="15" customHeight="1">
      <c r="A624" t="inlineStr">
        <is>
          <t>A 32676-2023</t>
        </is>
      </c>
      <c r="B624" s="1" t="n">
        <v>45121</v>
      </c>
      <c r="C624" s="1" t="n">
        <v>45923</v>
      </c>
      <c r="D624" t="inlineStr">
        <is>
          <t>JÄMTLANDS LÄN</t>
        </is>
      </c>
      <c r="E624" t="inlineStr">
        <is>
          <t>KROKOM</t>
        </is>
      </c>
      <c r="F624" t="inlineStr">
        <is>
          <t>Övriga Aktiebolag</t>
        </is>
      </c>
      <c r="G624" t="n">
        <v>7.1</v>
      </c>
      <c r="H624" t="n">
        <v>0</v>
      </c>
      <c r="I624" t="n">
        <v>0</v>
      </c>
      <c r="J624" t="n">
        <v>0</v>
      </c>
      <c r="K624" t="n">
        <v>0</v>
      </c>
      <c r="L624" t="n">
        <v>0</v>
      </c>
      <c r="M624" t="n">
        <v>0</v>
      </c>
      <c r="N624" t="n">
        <v>0</v>
      </c>
      <c r="O624" t="n">
        <v>0</v>
      </c>
      <c r="P624" t="n">
        <v>0</v>
      </c>
      <c r="Q624" t="n">
        <v>0</v>
      </c>
      <c r="R624" s="2" t="inlineStr"/>
    </row>
    <row r="625" ht="15" customHeight="1">
      <c r="A625" t="inlineStr">
        <is>
          <t>A 8167-2025</t>
        </is>
      </c>
      <c r="B625" s="1" t="n">
        <v>45708</v>
      </c>
      <c r="C625" s="1" t="n">
        <v>45923</v>
      </c>
      <c r="D625" t="inlineStr">
        <is>
          <t>JÄMTLANDS LÄN</t>
        </is>
      </c>
      <c r="E625" t="inlineStr">
        <is>
          <t>KROKOM</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7079-2025</t>
        </is>
      </c>
      <c r="B626" s="1" t="n">
        <v>45701</v>
      </c>
      <c r="C626" s="1" t="n">
        <v>45923</v>
      </c>
      <c r="D626" t="inlineStr">
        <is>
          <t>JÄMTLANDS LÄN</t>
        </is>
      </c>
      <c r="E626" t="inlineStr">
        <is>
          <t>KROKOM</t>
        </is>
      </c>
      <c r="F626" t="inlineStr">
        <is>
          <t>SCA</t>
        </is>
      </c>
      <c r="G626" t="n">
        <v>7.4</v>
      </c>
      <c r="H626" t="n">
        <v>0</v>
      </c>
      <c r="I626" t="n">
        <v>0</v>
      </c>
      <c r="J626" t="n">
        <v>0</v>
      </c>
      <c r="K626" t="n">
        <v>0</v>
      </c>
      <c r="L626" t="n">
        <v>0</v>
      </c>
      <c r="M626" t="n">
        <v>0</v>
      </c>
      <c r="N626" t="n">
        <v>0</v>
      </c>
      <c r="O626" t="n">
        <v>0</v>
      </c>
      <c r="P626" t="n">
        <v>0</v>
      </c>
      <c r="Q626" t="n">
        <v>0</v>
      </c>
      <c r="R626" s="2" t="inlineStr"/>
    </row>
    <row r="627" ht="15" customHeight="1">
      <c r="A627" t="inlineStr">
        <is>
          <t>A 2480-2025</t>
        </is>
      </c>
      <c r="B627" s="1" t="n">
        <v>45674</v>
      </c>
      <c r="C627" s="1" t="n">
        <v>45923</v>
      </c>
      <c r="D627" t="inlineStr">
        <is>
          <t>JÄMTLANDS LÄN</t>
        </is>
      </c>
      <c r="E627" t="inlineStr">
        <is>
          <t>KROKOM</t>
        </is>
      </c>
      <c r="G627" t="n">
        <v>4</v>
      </c>
      <c r="H627" t="n">
        <v>0</v>
      </c>
      <c r="I627" t="n">
        <v>0</v>
      </c>
      <c r="J627" t="n">
        <v>0</v>
      </c>
      <c r="K627" t="n">
        <v>0</v>
      </c>
      <c r="L627" t="n">
        <v>0</v>
      </c>
      <c r="M627" t="n">
        <v>0</v>
      </c>
      <c r="N627" t="n">
        <v>0</v>
      </c>
      <c r="O627" t="n">
        <v>0</v>
      </c>
      <c r="P627" t="n">
        <v>0</v>
      </c>
      <c r="Q627" t="n">
        <v>0</v>
      </c>
      <c r="R627" s="2" t="inlineStr"/>
    </row>
    <row r="628" ht="15" customHeight="1">
      <c r="A628" t="inlineStr">
        <is>
          <t>A 9023-2025</t>
        </is>
      </c>
      <c r="B628" s="1" t="n">
        <v>45713.59741898148</v>
      </c>
      <c r="C628" s="1" t="n">
        <v>45923</v>
      </c>
      <c r="D628" t="inlineStr">
        <is>
          <t>JÄMTLANDS LÄN</t>
        </is>
      </c>
      <c r="E628" t="inlineStr">
        <is>
          <t>KROKOM</t>
        </is>
      </c>
      <c r="F628" t="inlineStr">
        <is>
          <t>Övriga Aktiebolag</t>
        </is>
      </c>
      <c r="G628" t="n">
        <v>16.8</v>
      </c>
      <c r="H628" t="n">
        <v>0</v>
      </c>
      <c r="I628" t="n">
        <v>0</v>
      </c>
      <c r="J628" t="n">
        <v>0</v>
      </c>
      <c r="K628" t="n">
        <v>0</v>
      </c>
      <c r="L628" t="n">
        <v>0</v>
      </c>
      <c r="M628" t="n">
        <v>0</v>
      </c>
      <c r="N628" t="n">
        <v>0</v>
      </c>
      <c r="O628" t="n">
        <v>0</v>
      </c>
      <c r="P628" t="n">
        <v>0</v>
      </c>
      <c r="Q628" t="n">
        <v>0</v>
      </c>
      <c r="R628" s="2" t="inlineStr"/>
    </row>
    <row r="629" ht="15" customHeight="1">
      <c r="A629" t="inlineStr">
        <is>
          <t>A 37615-2025</t>
        </is>
      </c>
      <c r="B629" s="1" t="n">
        <v>45880</v>
      </c>
      <c r="C629" s="1" t="n">
        <v>45923</v>
      </c>
      <c r="D629" t="inlineStr">
        <is>
          <t>JÄMTLANDS LÄN</t>
        </is>
      </c>
      <c r="E629" t="inlineStr">
        <is>
          <t>KROKOM</t>
        </is>
      </c>
      <c r="G629" t="n">
        <v>33.6</v>
      </c>
      <c r="H629" t="n">
        <v>0</v>
      </c>
      <c r="I629" t="n">
        <v>0</v>
      </c>
      <c r="J629" t="n">
        <v>0</v>
      </c>
      <c r="K629" t="n">
        <v>0</v>
      </c>
      <c r="L629" t="n">
        <v>0</v>
      </c>
      <c r="M629" t="n">
        <v>0</v>
      </c>
      <c r="N629" t="n">
        <v>0</v>
      </c>
      <c r="O629" t="n">
        <v>0</v>
      </c>
      <c r="P629" t="n">
        <v>0</v>
      </c>
      <c r="Q629" t="n">
        <v>0</v>
      </c>
      <c r="R629" s="2" t="inlineStr"/>
    </row>
    <row r="630" ht="15" customHeight="1">
      <c r="A630" t="inlineStr">
        <is>
          <t>A 1473-2025</t>
        </is>
      </c>
      <c r="B630" s="1" t="n">
        <v>45670</v>
      </c>
      <c r="C630" s="1" t="n">
        <v>45923</v>
      </c>
      <c r="D630" t="inlineStr">
        <is>
          <t>JÄMTLANDS LÄN</t>
        </is>
      </c>
      <c r="E630" t="inlineStr">
        <is>
          <t>KROKOM</t>
        </is>
      </c>
      <c r="G630" t="n">
        <v>7.6</v>
      </c>
      <c r="H630" t="n">
        <v>0</v>
      </c>
      <c r="I630" t="n">
        <v>0</v>
      </c>
      <c r="J630" t="n">
        <v>0</v>
      </c>
      <c r="K630" t="n">
        <v>0</v>
      </c>
      <c r="L630" t="n">
        <v>0</v>
      </c>
      <c r="M630" t="n">
        <v>0</v>
      </c>
      <c r="N630" t="n">
        <v>0</v>
      </c>
      <c r="O630" t="n">
        <v>0</v>
      </c>
      <c r="P630" t="n">
        <v>0</v>
      </c>
      <c r="Q630" t="n">
        <v>0</v>
      </c>
      <c r="R630" s="2" t="inlineStr"/>
    </row>
    <row r="631" ht="15" customHeight="1">
      <c r="A631" t="inlineStr">
        <is>
          <t>A 30709-2024</t>
        </is>
      </c>
      <c r="B631" s="1" t="n">
        <v>45496.41289351852</v>
      </c>
      <c r="C631" s="1" t="n">
        <v>45923</v>
      </c>
      <c r="D631" t="inlineStr">
        <is>
          <t>JÄMTLANDS LÄN</t>
        </is>
      </c>
      <c r="E631" t="inlineStr">
        <is>
          <t>KROKOM</t>
        </is>
      </c>
      <c r="F631" t="inlineStr">
        <is>
          <t>Övriga Aktiebolag</t>
        </is>
      </c>
      <c r="G631" t="n">
        <v>1.6</v>
      </c>
      <c r="H631" t="n">
        <v>0</v>
      </c>
      <c r="I631" t="n">
        <v>0</v>
      </c>
      <c r="J631" t="n">
        <v>0</v>
      </c>
      <c r="K631" t="n">
        <v>0</v>
      </c>
      <c r="L631" t="n">
        <v>0</v>
      </c>
      <c r="M631" t="n">
        <v>0</v>
      </c>
      <c r="N631" t="n">
        <v>0</v>
      </c>
      <c r="O631" t="n">
        <v>0</v>
      </c>
      <c r="P631" t="n">
        <v>0</v>
      </c>
      <c r="Q631" t="n">
        <v>0</v>
      </c>
      <c r="R631" s="2" t="inlineStr"/>
    </row>
    <row r="632" ht="15" customHeight="1">
      <c r="A632" t="inlineStr">
        <is>
          <t>A 54817-2024</t>
        </is>
      </c>
      <c r="B632" s="1" t="n">
        <v>45618.53126157408</v>
      </c>
      <c r="C632" s="1" t="n">
        <v>45923</v>
      </c>
      <c r="D632" t="inlineStr">
        <is>
          <t>JÄMTLANDS LÄN</t>
        </is>
      </c>
      <c r="E632" t="inlineStr">
        <is>
          <t>KROKOM</t>
        </is>
      </c>
      <c r="G632" t="n">
        <v>8.4</v>
      </c>
      <c r="H632" t="n">
        <v>0</v>
      </c>
      <c r="I632" t="n">
        <v>0</v>
      </c>
      <c r="J632" t="n">
        <v>0</v>
      </c>
      <c r="K632" t="n">
        <v>0</v>
      </c>
      <c r="L632" t="n">
        <v>0</v>
      </c>
      <c r="M632" t="n">
        <v>0</v>
      </c>
      <c r="N632" t="n">
        <v>0</v>
      </c>
      <c r="O632" t="n">
        <v>0</v>
      </c>
      <c r="P632" t="n">
        <v>0</v>
      </c>
      <c r="Q632" t="n">
        <v>0</v>
      </c>
      <c r="R632" s="2" t="inlineStr"/>
    </row>
    <row r="633" ht="15" customHeight="1">
      <c r="A633" t="inlineStr">
        <is>
          <t>A 54823-2024</t>
        </is>
      </c>
      <c r="B633" s="1" t="n">
        <v>45618.53633101852</v>
      </c>
      <c r="C633" s="1" t="n">
        <v>45923</v>
      </c>
      <c r="D633" t="inlineStr">
        <is>
          <t>JÄMTLANDS LÄN</t>
        </is>
      </c>
      <c r="E633" t="inlineStr">
        <is>
          <t>KROKOM</t>
        </is>
      </c>
      <c r="G633" t="n">
        <v>4</v>
      </c>
      <c r="H633" t="n">
        <v>0</v>
      </c>
      <c r="I633" t="n">
        <v>0</v>
      </c>
      <c r="J633" t="n">
        <v>0</v>
      </c>
      <c r="K633" t="n">
        <v>0</v>
      </c>
      <c r="L633" t="n">
        <v>0</v>
      </c>
      <c r="M633" t="n">
        <v>0</v>
      </c>
      <c r="N633" t="n">
        <v>0</v>
      </c>
      <c r="O633" t="n">
        <v>0</v>
      </c>
      <c r="P633" t="n">
        <v>0</v>
      </c>
      <c r="Q633" t="n">
        <v>0</v>
      </c>
      <c r="R633" s="2" t="inlineStr"/>
    </row>
    <row r="634" ht="15" customHeight="1">
      <c r="A634" t="inlineStr">
        <is>
          <t>A 50417-2024</t>
        </is>
      </c>
      <c r="B634" s="1" t="n">
        <v>45601.38071759259</v>
      </c>
      <c r="C634" s="1" t="n">
        <v>45923</v>
      </c>
      <c r="D634" t="inlineStr">
        <is>
          <t>JÄMTLANDS LÄN</t>
        </is>
      </c>
      <c r="E634" t="inlineStr">
        <is>
          <t>KROKOM</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40213-2024</t>
        </is>
      </c>
      <c r="B635" s="1" t="n">
        <v>45554.59447916667</v>
      </c>
      <c r="C635" s="1" t="n">
        <v>45923</v>
      </c>
      <c r="D635" t="inlineStr">
        <is>
          <t>JÄMTLANDS LÄN</t>
        </is>
      </c>
      <c r="E635" t="inlineStr">
        <is>
          <t>KROKOM</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45253-2025</t>
        </is>
      </c>
      <c r="B636" s="1" t="n">
        <v>45919.61512731481</v>
      </c>
      <c r="C636" s="1" t="n">
        <v>45923</v>
      </c>
      <c r="D636" t="inlineStr">
        <is>
          <t>JÄMTLANDS LÄN</t>
        </is>
      </c>
      <c r="E636" t="inlineStr">
        <is>
          <t>KROKOM</t>
        </is>
      </c>
      <c r="G636" t="n">
        <v>4.1</v>
      </c>
      <c r="H636" t="n">
        <v>0</v>
      </c>
      <c r="I636" t="n">
        <v>0</v>
      </c>
      <c r="J636" t="n">
        <v>0</v>
      </c>
      <c r="K636" t="n">
        <v>0</v>
      </c>
      <c r="L636" t="n">
        <v>0</v>
      </c>
      <c r="M636" t="n">
        <v>0</v>
      </c>
      <c r="N636" t="n">
        <v>0</v>
      </c>
      <c r="O636" t="n">
        <v>0</v>
      </c>
      <c r="P636" t="n">
        <v>0</v>
      </c>
      <c r="Q636" t="n">
        <v>0</v>
      </c>
      <c r="R636" s="2" t="inlineStr"/>
    </row>
    <row r="637" ht="15" customHeight="1">
      <c r="A637" t="inlineStr">
        <is>
          <t>A 39368-2024</t>
        </is>
      </c>
      <c r="B637" s="1" t="n">
        <v>45551.47325231481</v>
      </c>
      <c r="C637" s="1" t="n">
        <v>45923</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6590-2025</t>
        </is>
      </c>
      <c r="B638" s="1" t="n">
        <v>45700.30092592593</v>
      </c>
      <c r="C638" s="1" t="n">
        <v>45923</v>
      </c>
      <c r="D638" t="inlineStr">
        <is>
          <t>JÄMTLANDS LÄN</t>
        </is>
      </c>
      <c r="E638" t="inlineStr">
        <is>
          <t>KROKOM</t>
        </is>
      </c>
      <c r="F638" t="inlineStr">
        <is>
          <t>Övriga Aktiebolag</t>
        </is>
      </c>
      <c r="G638" t="n">
        <v>51.6</v>
      </c>
      <c r="H638" t="n">
        <v>0</v>
      </c>
      <c r="I638" t="n">
        <v>0</v>
      </c>
      <c r="J638" t="n">
        <v>0</v>
      </c>
      <c r="K638" t="n">
        <v>0</v>
      </c>
      <c r="L638" t="n">
        <v>0</v>
      </c>
      <c r="M638" t="n">
        <v>0</v>
      </c>
      <c r="N638" t="n">
        <v>0</v>
      </c>
      <c r="O638" t="n">
        <v>0</v>
      </c>
      <c r="P638" t="n">
        <v>0</v>
      </c>
      <c r="Q638" t="n">
        <v>0</v>
      </c>
      <c r="R638" s="2" t="inlineStr"/>
    </row>
    <row r="639" ht="15" customHeight="1">
      <c r="A639" t="inlineStr">
        <is>
          <t>A 30383-2024</t>
        </is>
      </c>
      <c r="B639" s="1" t="n">
        <v>45491.44971064815</v>
      </c>
      <c r="C639" s="1" t="n">
        <v>45923</v>
      </c>
      <c r="D639" t="inlineStr">
        <is>
          <t>JÄMTLANDS LÄN</t>
        </is>
      </c>
      <c r="E639" t="inlineStr">
        <is>
          <t>KROKOM</t>
        </is>
      </c>
      <c r="G639" t="n">
        <v>22.9</v>
      </c>
      <c r="H639" t="n">
        <v>0</v>
      </c>
      <c r="I639" t="n">
        <v>0</v>
      </c>
      <c r="J639" t="n">
        <v>0</v>
      </c>
      <c r="K639" t="n">
        <v>0</v>
      </c>
      <c r="L639" t="n">
        <v>0</v>
      </c>
      <c r="M639" t="n">
        <v>0</v>
      </c>
      <c r="N639" t="n">
        <v>0</v>
      </c>
      <c r="O639" t="n">
        <v>0</v>
      </c>
      <c r="P639" t="n">
        <v>0</v>
      </c>
      <c r="Q639" t="n">
        <v>0</v>
      </c>
      <c r="R639" s="2" t="inlineStr"/>
    </row>
    <row r="640" ht="15" customHeight="1">
      <c r="A640" t="inlineStr">
        <is>
          <t>A 39230-2024</t>
        </is>
      </c>
      <c r="B640" s="1" t="n">
        <v>45550.66542824074</v>
      </c>
      <c r="C640" s="1" t="n">
        <v>45923</v>
      </c>
      <c r="D640" t="inlineStr">
        <is>
          <t>JÄMTLANDS LÄN</t>
        </is>
      </c>
      <c r="E640" t="inlineStr">
        <is>
          <t>KROKOM</t>
        </is>
      </c>
      <c r="G640" t="n">
        <v>7.9</v>
      </c>
      <c r="H640" t="n">
        <v>0</v>
      </c>
      <c r="I640" t="n">
        <v>0</v>
      </c>
      <c r="J640" t="n">
        <v>0</v>
      </c>
      <c r="K640" t="n">
        <v>0</v>
      </c>
      <c r="L640" t="n">
        <v>0</v>
      </c>
      <c r="M640" t="n">
        <v>0</v>
      </c>
      <c r="N640" t="n">
        <v>0</v>
      </c>
      <c r="O640" t="n">
        <v>0</v>
      </c>
      <c r="P640" t="n">
        <v>0</v>
      </c>
      <c r="Q640" t="n">
        <v>0</v>
      </c>
      <c r="R640" s="2" t="inlineStr"/>
    </row>
    <row r="641" ht="15" customHeight="1">
      <c r="A641" t="inlineStr">
        <is>
          <t>A 2410-2021</t>
        </is>
      </c>
      <c r="B641" s="1" t="n">
        <v>44214</v>
      </c>
      <c r="C641" s="1" t="n">
        <v>45923</v>
      </c>
      <c r="D641" t="inlineStr">
        <is>
          <t>JÄMTLANDS LÄN</t>
        </is>
      </c>
      <c r="E641" t="inlineStr">
        <is>
          <t>KROKOM</t>
        </is>
      </c>
      <c r="G641" t="n">
        <v>32.7</v>
      </c>
      <c r="H641" t="n">
        <v>0</v>
      </c>
      <c r="I641" t="n">
        <v>0</v>
      </c>
      <c r="J641" t="n">
        <v>0</v>
      </c>
      <c r="K641" t="n">
        <v>0</v>
      </c>
      <c r="L641" t="n">
        <v>0</v>
      </c>
      <c r="M641" t="n">
        <v>0</v>
      </c>
      <c r="N641" t="n">
        <v>0</v>
      </c>
      <c r="O641" t="n">
        <v>0</v>
      </c>
      <c r="P641" t="n">
        <v>0</v>
      </c>
      <c r="Q641" t="n">
        <v>0</v>
      </c>
      <c r="R641" s="2" t="inlineStr"/>
    </row>
    <row r="642" ht="15" customHeight="1">
      <c r="A642" t="inlineStr">
        <is>
          <t>A 30158-2022</t>
        </is>
      </c>
      <c r="B642" s="1" t="n">
        <v>44757</v>
      </c>
      <c r="C642" s="1" t="n">
        <v>45923</v>
      </c>
      <c r="D642" t="inlineStr">
        <is>
          <t>JÄMTLANDS LÄN</t>
        </is>
      </c>
      <c r="E642" t="inlineStr">
        <is>
          <t>KROKOM</t>
        </is>
      </c>
      <c r="F642" t="inlineStr">
        <is>
          <t>SCA</t>
        </is>
      </c>
      <c r="G642" t="n">
        <v>9.6</v>
      </c>
      <c r="H642" t="n">
        <v>0</v>
      </c>
      <c r="I642" t="n">
        <v>0</v>
      </c>
      <c r="J642" t="n">
        <v>0</v>
      </c>
      <c r="K642" t="n">
        <v>0</v>
      </c>
      <c r="L642" t="n">
        <v>0</v>
      </c>
      <c r="M642" t="n">
        <v>0</v>
      </c>
      <c r="N642" t="n">
        <v>0</v>
      </c>
      <c r="O642" t="n">
        <v>0</v>
      </c>
      <c r="P642" t="n">
        <v>0</v>
      </c>
      <c r="Q642" t="n">
        <v>0</v>
      </c>
      <c r="R642" s="2" t="inlineStr"/>
    </row>
    <row r="643" ht="15" customHeight="1">
      <c r="A643" t="inlineStr">
        <is>
          <t>A 23507-2024</t>
        </is>
      </c>
      <c r="B643" s="1" t="n">
        <v>45453</v>
      </c>
      <c r="C643" s="1" t="n">
        <v>45923</v>
      </c>
      <c r="D643" t="inlineStr">
        <is>
          <t>JÄMTLANDS LÄN</t>
        </is>
      </c>
      <c r="E643" t="inlineStr">
        <is>
          <t>KROKOM</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12813-2023</t>
        </is>
      </c>
      <c r="B644" s="1" t="n">
        <v>45000</v>
      </c>
      <c r="C644" s="1" t="n">
        <v>45923</v>
      </c>
      <c r="D644" t="inlineStr">
        <is>
          <t>JÄMTLANDS LÄN</t>
        </is>
      </c>
      <c r="E644" t="inlineStr">
        <is>
          <t>KROKOM</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61732-2021</t>
        </is>
      </c>
      <c r="B645" s="1" t="n">
        <v>44498</v>
      </c>
      <c r="C645" s="1" t="n">
        <v>45923</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41972-2024</t>
        </is>
      </c>
      <c r="B646" s="1" t="n">
        <v>45561.61515046296</v>
      </c>
      <c r="C646" s="1" t="n">
        <v>45923</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1877-2023</t>
        </is>
      </c>
      <c r="B647" s="1" t="n">
        <v>44938.93989583333</v>
      </c>
      <c r="C647" s="1" t="n">
        <v>45923</v>
      </c>
      <c r="D647" t="inlineStr">
        <is>
          <t>JÄMTLANDS LÄN</t>
        </is>
      </c>
      <c r="E647" t="inlineStr">
        <is>
          <t>KROKOM</t>
        </is>
      </c>
      <c r="G647" t="n">
        <v>11.1</v>
      </c>
      <c r="H647" t="n">
        <v>0</v>
      </c>
      <c r="I647" t="n">
        <v>0</v>
      </c>
      <c r="J647" t="n">
        <v>0</v>
      </c>
      <c r="K647" t="n">
        <v>0</v>
      </c>
      <c r="L647" t="n">
        <v>0</v>
      </c>
      <c r="M647" t="n">
        <v>0</v>
      </c>
      <c r="N647" t="n">
        <v>0</v>
      </c>
      <c r="O647" t="n">
        <v>0</v>
      </c>
      <c r="P647" t="n">
        <v>0</v>
      </c>
      <c r="Q647" t="n">
        <v>0</v>
      </c>
      <c r="R647" s="2" t="inlineStr"/>
    </row>
    <row r="648" ht="15" customHeight="1">
      <c r="A648" t="inlineStr">
        <is>
          <t>A 30979-2024</t>
        </is>
      </c>
      <c r="B648" s="1" t="n">
        <v>45499.48672453704</v>
      </c>
      <c r="C648" s="1" t="n">
        <v>45923</v>
      </c>
      <c r="D648" t="inlineStr">
        <is>
          <t>JÄMTLANDS LÄN</t>
        </is>
      </c>
      <c r="E648" t="inlineStr">
        <is>
          <t>KROKOM</t>
        </is>
      </c>
      <c r="G648" t="n">
        <v>18.2</v>
      </c>
      <c r="H648" t="n">
        <v>0</v>
      </c>
      <c r="I648" t="n">
        <v>0</v>
      </c>
      <c r="J648" t="n">
        <v>0</v>
      </c>
      <c r="K648" t="n">
        <v>0</v>
      </c>
      <c r="L648" t="n">
        <v>0</v>
      </c>
      <c r="M648" t="n">
        <v>0</v>
      </c>
      <c r="N648" t="n">
        <v>0</v>
      </c>
      <c r="O648" t="n">
        <v>0</v>
      </c>
      <c r="P648" t="n">
        <v>0</v>
      </c>
      <c r="Q648" t="n">
        <v>0</v>
      </c>
      <c r="R648" s="2" t="inlineStr"/>
    </row>
    <row r="649" ht="15" customHeight="1">
      <c r="A649" t="inlineStr">
        <is>
          <t>A 50822-2024</t>
        </is>
      </c>
      <c r="B649" s="1" t="n">
        <v>45602.57827546296</v>
      </c>
      <c r="C649" s="1" t="n">
        <v>45923</v>
      </c>
      <c r="D649" t="inlineStr">
        <is>
          <t>JÄMTLANDS LÄN</t>
        </is>
      </c>
      <c r="E649" t="inlineStr">
        <is>
          <t>KROKOM</t>
        </is>
      </c>
      <c r="G649" t="n">
        <v>5.4</v>
      </c>
      <c r="H649" t="n">
        <v>0</v>
      </c>
      <c r="I649" t="n">
        <v>0</v>
      </c>
      <c r="J649" t="n">
        <v>0</v>
      </c>
      <c r="K649" t="n">
        <v>0</v>
      </c>
      <c r="L649" t="n">
        <v>0</v>
      </c>
      <c r="M649" t="n">
        <v>0</v>
      </c>
      <c r="N649" t="n">
        <v>0</v>
      </c>
      <c r="O649" t="n">
        <v>0</v>
      </c>
      <c r="P649" t="n">
        <v>0</v>
      </c>
      <c r="Q649" t="n">
        <v>0</v>
      </c>
      <c r="R649" s="2" t="inlineStr"/>
    </row>
    <row r="650" ht="15" customHeight="1">
      <c r="A650" t="inlineStr">
        <is>
          <t>A 6711-2025</t>
        </is>
      </c>
      <c r="B650" s="1" t="n">
        <v>45700.56194444445</v>
      </c>
      <c r="C650" s="1" t="n">
        <v>45923</v>
      </c>
      <c r="D650" t="inlineStr">
        <is>
          <t>JÄMTLANDS LÄN</t>
        </is>
      </c>
      <c r="E650" t="inlineStr">
        <is>
          <t>KROKOM</t>
        </is>
      </c>
      <c r="F650" t="inlineStr">
        <is>
          <t>Övriga Aktiebolag</t>
        </is>
      </c>
      <c r="G650" t="n">
        <v>37.6</v>
      </c>
      <c r="H650" t="n">
        <v>0</v>
      </c>
      <c r="I650" t="n">
        <v>0</v>
      </c>
      <c r="J650" t="n">
        <v>0</v>
      </c>
      <c r="K650" t="n">
        <v>0</v>
      </c>
      <c r="L650" t="n">
        <v>0</v>
      </c>
      <c r="M650" t="n">
        <v>0</v>
      </c>
      <c r="N650" t="n">
        <v>0</v>
      </c>
      <c r="O650" t="n">
        <v>0</v>
      </c>
      <c r="P650" t="n">
        <v>0</v>
      </c>
      <c r="Q650" t="n">
        <v>0</v>
      </c>
      <c r="R650" s="2" t="inlineStr"/>
    </row>
    <row r="651" ht="15" customHeight="1">
      <c r="A651" t="inlineStr">
        <is>
          <t>A 16199-2025</t>
        </is>
      </c>
      <c r="B651" s="1" t="n">
        <v>45750.60577546297</v>
      </c>
      <c r="C651" s="1" t="n">
        <v>45923</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4570-2025</t>
        </is>
      </c>
      <c r="B652" s="1" t="n">
        <v>45687</v>
      </c>
      <c r="C652" s="1" t="n">
        <v>45923</v>
      </c>
      <c r="D652" t="inlineStr">
        <is>
          <t>JÄMTLANDS LÄN</t>
        </is>
      </c>
      <c r="E652" t="inlineStr">
        <is>
          <t>KROKOM</t>
        </is>
      </c>
      <c r="G652" t="n">
        <v>4.6</v>
      </c>
      <c r="H652" t="n">
        <v>0</v>
      </c>
      <c r="I652" t="n">
        <v>0</v>
      </c>
      <c r="J652" t="n">
        <v>0</v>
      </c>
      <c r="K652" t="n">
        <v>0</v>
      </c>
      <c r="L652" t="n">
        <v>0</v>
      </c>
      <c r="M652" t="n">
        <v>0</v>
      </c>
      <c r="N652" t="n">
        <v>0</v>
      </c>
      <c r="O652" t="n">
        <v>0</v>
      </c>
      <c r="P652" t="n">
        <v>0</v>
      </c>
      <c r="Q652" t="n">
        <v>0</v>
      </c>
      <c r="R652" s="2" t="inlineStr"/>
    </row>
    <row r="653" ht="15" customHeight="1">
      <c r="A653" t="inlineStr">
        <is>
          <t>A 44156-2024</t>
        </is>
      </c>
      <c r="B653" s="1" t="n">
        <v>45572</v>
      </c>
      <c r="C653" s="1" t="n">
        <v>45923</v>
      </c>
      <c r="D653" t="inlineStr">
        <is>
          <t>JÄMTLANDS LÄN</t>
        </is>
      </c>
      <c r="E653" t="inlineStr">
        <is>
          <t>KROKOM</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15761-2025</t>
        </is>
      </c>
      <c r="B654" s="1" t="n">
        <v>45748.57269675926</v>
      </c>
      <c r="C654" s="1" t="n">
        <v>45923</v>
      </c>
      <c r="D654" t="inlineStr">
        <is>
          <t>JÄMTLANDS LÄN</t>
        </is>
      </c>
      <c r="E654" t="inlineStr">
        <is>
          <t>KROKOM</t>
        </is>
      </c>
      <c r="G654" t="n">
        <v>48.1</v>
      </c>
      <c r="H654" t="n">
        <v>0</v>
      </c>
      <c r="I654" t="n">
        <v>0</v>
      </c>
      <c r="J654" t="n">
        <v>0</v>
      </c>
      <c r="K654" t="n">
        <v>0</v>
      </c>
      <c r="L654" t="n">
        <v>0</v>
      </c>
      <c r="M654" t="n">
        <v>0</v>
      </c>
      <c r="N654" t="n">
        <v>0</v>
      </c>
      <c r="O654" t="n">
        <v>0</v>
      </c>
      <c r="P654" t="n">
        <v>0</v>
      </c>
      <c r="Q654" t="n">
        <v>0</v>
      </c>
      <c r="R654" s="2" t="inlineStr"/>
    </row>
    <row r="655" ht="15" customHeight="1">
      <c r="A655" t="inlineStr">
        <is>
          <t>A 4575-2025</t>
        </is>
      </c>
      <c r="B655" s="1" t="n">
        <v>45687.48931712963</v>
      </c>
      <c r="C655" s="1" t="n">
        <v>45923</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42774-2024</t>
        </is>
      </c>
      <c r="B656" s="1" t="n">
        <v>45566.51501157408</v>
      </c>
      <c r="C656" s="1" t="n">
        <v>45923</v>
      </c>
      <c r="D656" t="inlineStr">
        <is>
          <t>JÄMTLANDS LÄN</t>
        </is>
      </c>
      <c r="E656" t="inlineStr">
        <is>
          <t>KROKOM</t>
        </is>
      </c>
      <c r="G656" t="n">
        <v>32</v>
      </c>
      <c r="H656" t="n">
        <v>0</v>
      </c>
      <c r="I656" t="n">
        <v>0</v>
      </c>
      <c r="J656" t="n">
        <v>0</v>
      </c>
      <c r="K656" t="n">
        <v>0</v>
      </c>
      <c r="L656" t="n">
        <v>0</v>
      </c>
      <c r="M656" t="n">
        <v>0</v>
      </c>
      <c r="N656" t="n">
        <v>0</v>
      </c>
      <c r="O656" t="n">
        <v>0</v>
      </c>
      <c r="P656" t="n">
        <v>0</v>
      </c>
      <c r="Q656" t="n">
        <v>0</v>
      </c>
      <c r="R656" s="2" t="inlineStr"/>
    </row>
    <row r="657" ht="15" customHeight="1">
      <c r="A657" t="inlineStr">
        <is>
          <t>A 61742-2024</t>
        </is>
      </c>
      <c r="B657" s="1" t="n">
        <v>45649.38149305555</v>
      </c>
      <c r="C657" s="1" t="n">
        <v>45923</v>
      </c>
      <c r="D657" t="inlineStr">
        <is>
          <t>JÄMTLANDS LÄN</t>
        </is>
      </c>
      <c r="E657" t="inlineStr">
        <is>
          <t>KROKOM</t>
        </is>
      </c>
      <c r="G657" t="n">
        <v>13.3</v>
      </c>
      <c r="H657" t="n">
        <v>0</v>
      </c>
      <c r="I657" t="n">
        <v>0</v>
      </c>
      <c r="J657" t="n">
        <v>0</v>
      </c>
      <c r="K657" t="n">
        <v>0</v>
      </c>
      <c r="L657" t="n">
        <v>0</v>
      </c>
      <c r="M657" t="n">
        <v>0</v>
      </c>
      <c r="N657" t="n">
        <v>0</v>
      </c>
      <c r="O657" t="n">
        <v>0</v>
      </c>
      <c r="P657" t="n">
        <v>0</v>
      </c>
      <c r="Q657" t="n">
        <v>0</v>
      </c>
      <c r="R657" s="2" t="inlineStr"/>
    </row>
    <row r="658" ht="15" customHeight="1">
      <c r="A658" t="inlineStr">
        <is>
          <t>A 18841-2025</t>
        </is>
      </c>
      <c r="B658" s="1" t="n">
        <v>45764.40834490741</v>
      </c>
      <c r="C658" s="1" t="n">
        <v>45923</v>
      </c>
      <c r="D658" t="inlineStr">
        <is>
          <t>JÄMTLANDS LÄN</t>
        </is>
      </c>
      <c r="E658" t="inlineStr">
        <is>
          <t>KROKOM</t>
        </is>
      </c>
      <c r="G658" t="n">
        <v>2.9</v>
      </c>
      <c r="H658" t="n">
        <v>0</v>
      </c>
      <c r="I658" t="n">
        <v>0</v>
      </c>
      <c r="J658" t="n">
        <v>0</v>
      </c>
      <c r="K658" t="n">
        <v>0</v>
      </c>
      <c r="L658" t="n">
        <v>0</v>
      </c>
      <c r="M658" t="n">
        <v>0</v>
      </c>
      <c r="N658" t="n">
        <v>0</v>
      </c>
      <c r="O658" t="n">
        <v>0</v>
      </c>
      <c r="P658" t="n">
        <v>0</v>
      </c>
      <c r="Q658" t="n">
        <v>0</v>
      </c>
      <c r="R658" s="2" t="inlineStr"/>
    </row>
    <row r="659" ht="15" customHeight="1">
      <c r="A659" t="inlineStr">
        <is>
          <t>A 9963-2025</t>
        </is>
      </c>
      <c r="B659" s="1" t="n">
        <v>45719.37307870371</v>
      </c>
      <c r="C659" s="1" t="n">
        <v>45923</v>
      </c>
      <c r="D659" t="inlineStr">
        <is>
          <t>JÄMTLANDS LÄN</t>
        </is>
      </c>
      <c r="E659" t="inlineStr">
        <is>
          <t>KROKOM</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1287-2021</t>
        </is>
      </c>
      <c r="B660" s="1" t="n">
        <v>44207</v>
      </c>
      <c r="C660" s="1" t="n">
        <v>45923</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10588-2025</t>
        </is>
      </c>
      <c r="B661" s="1" t="n">
        <v>45721.55653935186</v>
      </c>
      <c r="C661" s="1" t="n">
        <v>45923</v>
      </c>
      <c r="D661" t="inlineStr">
        <is>
          <t>JÄMTLANDS LÄN</t>
        </is>
      </c>
      <c r="E661" t="inlineStr">
        <is>
          <t>KROKOM</t>
        </is>
      </c>
      <c r="G661" t="n">
        <v>1</v>
      </c>
      <c r="H661" t="n">
        <v>0</v>
      </c>
      <c r="I661" t="n">
        <v>0</v>
      </c>
      <c r="J661" t="n">
        <v>0</v>
      </c>
      <c r="K661" t="n">
        <v>0</v>
      </c>
      <c r="L661" t="n">
        <v>0</v>
      </c>
      <c r="M661" t="n">
        <v>0</v>
      </c>
      <c r="N661" t="n">
        <v>0</v>
      </c>
      <c r="O661" t="n">
        <v>0</v>
      </c>
      <c r="P661" t="n">
        <v>0</v>
      </c>
      <c r="Q661" t="n">
        <v>0</v>
      </c>
      <c r="R661" s="2" t="inlineStr"/>
    </row>
    <row r="662" ht="15" customHeight="1">
      <c r="A662" t="inlineStr">
        <is>
          <t>A 44453-2023</t>
        </is>
      </c>
      <c r="B662" s="1" t="n">
        <v>45189</v>
      </c>
      <c r="C662" s="1" t="n">
        <v>45923</v>
      </c>
      <c r="D662" t="inlineStr">
        <is>
          <t>JÄMTLANDS LÄN</t>
        </is>
      </c>
      <c r="E662" t="inlineStr">
        <is>
          <t>KROKOM</t>
        </is>
      </c>
      <c r="G662" t="n">
        <v>1.1</v>
      </c>
      <c r="H662" t="n">
        <v>0</v>
      </c>
      <c r="I662" t="n">
        <v>0</v>
      </c>
      <c r="J662" t="n">
        <v>0</v>
      </c>
      <c r="K662" t="n">
        <v>0</v>
      </c>
      <c r="L662" t="n">
        <v>0</v>
      </c>
      <c r="M662" t="n">
        <v>0</v>
      </c>
      <c r="N662" t="n">
        <v>0</v>
      </c>
      <c r="O662" t="n">
        <v>0</v>
      </c>
      <c r="P662" t="n">
        <v>0</v>
      </c>
      <c r="Q662" t="n">
        <v>0</v>
      </c>
      <c r="R662" s="2" t="inlineStr"/>
    </row>
    <row r="663" ht="15" customHeight="1">
      <c r="A663" t="inlineStr">
        <is>
          <t>A 34289-2021</t>
        </is>
      </c>
      <c r="B663" s="1" t="n">
        <v>44379.59675925926</v>
      </c>
      <c r="C663" s="1" t="n">
        <v>45923</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23215-2024</t>
        </is>
      </c>
      <c r="B664" s="1" t="n">
        <v>45452.56446759259</v>
      </c>
      <c r="C664" s="1" t="n">
        <v>45923</v>
      </c>
      <c r="D664" t="inlineStr">
        <is>
          <t>JÄMTLANDS LÄN</t>
        </is>
      </c>
      <c r="E664" t="inlineStr">
        <is>
          <t>KROKOM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3329-2025</t>
        </is>
      </c>
      <c r="B665" s="1" t="n">
        <v>45679.70027777777</v>
      </c>
      <c r="C665" s="1" t="n">
        <v>45923</v>
      </c>
      <c r="D665" t="inlineStr">
        <is>
          <t>JÄMTLANDS LÄN</t>
        </is>
      </c>
      <c r="E665" t="inlineStr">
        <is>
          <t>KROKOM</t>
        </is>
      </c>
      <c r="G665" t="n">
        <v>4.8</v>
      </c>
      <c r="H665" t="n">
        <v>0</v>
      </c>
      <c r="I665" t="n">
        <v>0</v>
      </c>
      <c r="J665" t="n">
        <v>0</v>
      </c>
      <c r="K665" t="n">
        <v>0</v>
      </c>
      <c r="L665" t="n">
        <v>0</v>
      </c>
      <c r="M665" t="n">
        <v>0</v>
      </c>
      <c r="N665" t="n">
        <v>0</v>
      </c>
      <c r="O665" t="n">
        <v>0</v>
      </c>
      <c r="P665" t="n">
        <v>0</v>
      </c>
      <c r="Q665" t="n">
        <v>0</v>
      </c>
      <c r="R665" s="2" t="inlineStr"/>
    </row>
    <row r="666" ht="15" customHeight="1">
      <c r="A666" t="inlineStr">
        <is>
          <t>A 50255-2024</t>
        </is>
      </c>
      <c r="B666" s="1" t="n">
        <v>45600.58076388889</v>
      </c>
      <c r="C666" s="1" t="n">
        <v>45923</v>
      </c>
      <c r="D666" t="inlineStr">
        <is>
          <t>JÄMTLANDS LÄN</t>
        </is>
      </c>
      <c r="E666" t="inlineStr">
        <is>
          <t>KROKOM</t>
        </is>
      </c>
      <c r="G666" t="n">
        <v>4</v>
      </c>
      <c r="H666" t="n">
        <v>0</v>
      </c>
      <c r="I666" t="n">
        <v>0</v>
      </c>
      <c r="J666" t="n">
        <v>0</v>
      </c>
      <c r="K666" t="n">
        <v>0</v>
      </c>
      <c r="L666" t="n">
        <v>0</v>
      </c>
      <c r="M666" t="n">
        <v>0</v>
      </c>
      <c r="N666" t="n">
        <v>0</v>
      </c>
      <c r="O666" t="n">
        <v>0</v>
      </c>
      <c r="P666" t="n">
        <v>0</v>
      </c>
      <c r="Q666" t="n">
        <v>0</v>
      </c>
      <c r="R666" s="2" t="inlineStr"/>
    </row>
    <row r="667" ht="15" customHeight="1">
      <c r="A667" t="inlineStr">
        <is>
          <t>A 54160-2023</t>
        </is>
      </c>
      <c r="B667" s="1" t="n">
        <v>45232.46239583333</v>
      </c>
      <c r="C667" s="1" t="n">
        <v>45923</v>
      </c>
      <c r="D667" t="inlineStr">
        <is>
          <t>JÄMTLANDS LÄN</t>
        </is>
      </c>
      <c r="E667" t="inlineStr">
        <is>
          <t>KROKOM</t>
        </is>
      </c>
      <c r="G667" t="n">
        <v>3</v>
      </c>
      <c r="H667" t="n">
        <v>0</v>
      </c>
      <c r="I667" t="n">
        <v>0</v>
      </c>
      <c r="J667" t="n">
        <v>0</v>
      </c>
      <c r="K667" t="n">
        <v>0</v>
      </c>
      <c r="L667" t="n">
        <v>0</v>
      </c>
      <c r="M667" t="n">
        <v>0</v>
      </c>
      <c r="N667" t="n">
        <v>0</v>
      </c>
      <c r="O667" t="n">
        <v>0</v>
      </c>
      <c r="P667" t="n">
        <v>0</v>
      </c>
      <c r="Q667" t="n">
        <v>0</v>
      </c>
      <c r="R667" s="2" t="inlineStr"/>
    </row>
    <row r="668" ht="15" customHeight="1">
      <c r="A668" t="inlineStr">
        <is>
          <t>A 39753-2024</t>
        </is>
      </c>
      <c r="B668" s="1" t="n">
        <v>45552.67611111111</v>
      </c>
      <c r="C668" s="1" t="n">
        <v>45923</v>
      </c>
      <c r="D668" t="inlineStr">
        <is>
          <t>JÄMTLANDS LÄN</t>
        </is>
      </c>
      <c r="E668" t="inlineStr">
        <is>
          <t>KROKOM</t>
        </is>
      </c>
      <c r="G668" t="n">
        <v>1</v>
      </c>
      <c r="H668" t="n">
        <v>0</v>
      </c>
      <c r="I668" t="n">
        <v>0</v>
      </c>
      <c r="J668" t="n">
        <v>0</v>
      </c>
      <c r="K668" t="n">
        <v>0</v>
      </c>
      <c r="L668" t="n">
        <v>0</v>
      </c>
      <c r="M668" t="n">
        <v>0</v>
      </c>
      <c r="N668" t="n">
        <v>0</v>
      </c>
      <c r="O668" t="n">
        <v>0</v>
      </c>
      <c r="P668" t="n">
        <v>0</v>
      </c>
      <c r="Q668" t="n">
        <v>0</v>
      </c>
      <c r="R668" s="2" t="inlineStr"/>
    </row>
    <row r="669" ht="15" customHeight="1">
      <c r="A669" t="inlineStr">
        <is>
          <t>A 17840-2025</t>
        </is>
      </c>
      <c r="B669" s="1" t="n">
        <v>45758.58943287037</v>
      </c>
      <c r="C669" s="1" t="n">
        <v>45923</v>
      </c>
      <c r="D669" t="inlineStr">
        <is>
          <t>JÄMTLANDS LÄN</t>
        </is>
      </c>
      <c r="E669" t="inlineStr">
        <is>
          <t>KROKOM</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41700-2024</t>
        </is>
      </c>
      <c r="B670" s="1" t="n">
        <v>45560.69164351852</v>
      </c>
      <c r="C670" s="1" t="n">
        <v>45923</v>
      </c>
      <c r="D670" t="inlineStr">
        <is>
          <t>JÄMTLANDS LÄN</t>
        </is>
      </c>
      <c r="E670" t="inlineStr">
        <is>
          <t>KROKOM</t>
        </is>
      </c>
      <c r="G670" t="n">
        <v>2.2</v>
      </c>
      <c r="H670" t="n">
        <v>0</v>
      </c>
      <c r="I670" t="n">
        <v>0</v>
      </c>
      <c r="J670" t="n">
        <v>0</v>
      </c>
      <c r="K670" t="n">
        <v>0</v>
      </c>
      <c r="L670" t="n">
        <v>0</v>
      </c>
      <c r="M670" t="n">
        <v>0</v>
      </c>
      <c r="N670" t="n">
        <v>0</v>
      </c>
      <c r="O670" t="n">
        <v>0</v>
      </c>
      <c r="P670" t="n">
        <v>0</v>
      </c>
      <c r="Q670" t="n">
        <v>0</v>
      </c>
      <c r="R670" s="2" t="inlineStr"/>
    </row>
    <row r="671" ht="15" customHeight="1">
      <c r="A671" t="inlineStr">
        <is>
          <t>A 55479-2022</t>
        </is>
      </c>
      <c r="B671" s="1" t="n">
        <v>44887</v>
      </c>
      <c r="C671" s="1" t="n">
        <v>45923</v>
      </c>
      <c r="D671" t="inlineStr">
        <is>
          <t>JÄMTLANDS LÄN</t>
        </is>
      </c>
      <c r="E671" t="inlineStr">
        <is>
          <t>KROKOM</t>
        </is>
      </c>
      <c r="F671" t="inlineStr">
        <is>
          <t>Övriga Aktiebolag</t>
        </is>
      </c>
      <c r="G671" t="n">
        <v>2.7</v>
      </c>
      <c r="H671" t="n">
        <v>0</v>
      </c>
      <c r="I671" t="n">
        <v>0</v>
      </c>
      <c r="J671" t="n">
        <v>0</v>
      </c>
      <c r="K671" t="n">
        <v>0</v>
      </c>
      <c r="L671" t="n">
        <v>0</v>
      </c>
      <c r="M671" t="n">
        <v>0</v>
      </c>
      <c r="N671" t="n">
        <v>0</v>
      </c>
      <c r="O671" t="n">
        <v>0</v>
      </c>
      <c r="P671" t="n">
        <v>0</v>
      </c>
      <c r="Q671" t="n">
        <v>0</v>
      </c>
      <c r="R671" s="2" t="inlineStr"/>
    </row>
    <row r="672" ht="15" customHeight="1">
      <c r="A672" t="inlineStr">
        <is>
          <t>A 59668-2022</t>
        </is>
      </c>
      <c r="B672" s="1" t="n">
        <v>44908</v>
      </c>
      <c r="C672" s="1" t="n">
        <v>45923</v>
      </c>
      <c r="D672" t="inlineStr">
        <is>
          <t>JÄMTLANDS LÄN</t>
        </is>
      </c>
      <c r="E672" t="inlineStr">
        <is>
          <t>KROKOM</t>
        </is>
      </c>
      <c r="F672" t="inlineStr">
        <is>
          <t>Övriga Aktiebolag</t>
        </is>
      </c>
      <c r="G672" t="n">
        <v>7.8</v>
      </c>
      <c r="H672" t="n">
        <v>0</v>
      </c>
      <c r="I672" t="n">
        <v>0</v>
      </c>
      <c r="J672" t="n">
        <v>0</v>
      </c>
      <c r="K672" t="n">
        <v>0</v>
      </c>
      <c r="L672" t="n">
        <v>0</v>
      </c>
      <c r="M672" t="n">
        <v>0</v>
      </c>
      <c r="N672" t="n">
        <v>0</v>
      </c>
      <c r="O672" t="n">
        <v>0</v>
      </c>
      <c r="P672" t="n">
        <v>0</v>
      </c>
      <c r="Q672" t="n">
        <v>0</v>
      </c>
      <c r="R672" s="2" t="inlineStr"/>
    </row>
    <row r="673" ht="15" customHeight="1">
      <c r="A673" t="inlineStr">
        <is>
          <t>A 1477-2025</t>
        </is>
      </c>
      <c r="B673" s="1" t="n">
        <v>45670</v>
      </c>
      <c r="C673" s="1" t="n">
        <v>45923</v>
      </c>
      <c r="D673" t="inlineStr">
        <is>
          <t>JÄMTLANDS LÄN</t>
        </is>
      </c>
      <c r="E673" t="inlineStr">
        <is>
          <t>KROKOM</t>
        </is>
      </c>
      <c r="G673" t="n">
        <v>7.3</v>
      </c>
      <c r="H673" t="n">
        <v>0</v>
      </c>
      <c r="I673" t="n">
        <v>0</v>
      </c>
      <c r="J673" t="n">
        <v>0</v>
      </c>
      <c r="K673" t="n">
        <v>0</v>
      </c>
      <c r="L673" t="n">
        <v>0</v>
      </c>
      <c r="M673" t="n">
        <v>0</v>
      </c>
      <c r="N673" t="n">
        <v>0</v>
      </c>
      <c r="O673" t="n">
        <v>0</v>
      </c>
      <c r="P673" t="n">
        <v>0</v>
      </c>
      <c r="Q673" t="n">
        <v>0</v>
      </c>
      <c r="R673" s="2" t="inlineStr"/>
    </row>
    <row r="674" ht="15" customHeight="1">
      <c r="A674" t="inlineStr">
        <is>
          <t>A 47098-2024</t>
        </is>
      </c>
      <c r="B674" s="1" t="n">
        <v>45586.53618055556</v>
      </c>
      <c r="C674" s="1" t="n">
        <v>45923</v>
      </c>
      <c r="D674" t="inlineStr">
        <is>
          <t>JÄMTLANDS LÄN</t>
        </is>
      </c>
      <c r="E674" t="inlineStr">
        <is>
          <t>KROKOM</t>
        </is>
      </c>
      <c r="G674" t="n">
        <v>4.1</v>
      </c>
      <c r="H674" t="n">
        <v>0</v>
      </c>
      <c r="I674" t="n">
        <v>0</v>
      </c>
      <c r="J674" t="n">
        <v>0</v>
      </c>
      <c r="K674" t="n">
        <v>0</v>
      </c>
      <c r="L674" t="n">
        <v>0</v>
      </c>
      <c r="M674" t="n">
        <v>0</v>
      </c>
      <c r="N674" t="n">
        <v>0</v>
      </c>
      <c r="O674" t="n">
        <v>0</v>
      </c>
      <c r="P674" t="n">
        <v>0</v>
      </c>
      <c r="Q674" t="n">
        <v>0</v>
      </c>
      <c r="R674" s="2" t="inlineStr"/>
    </row>
    <row r="675" ht="15" customHeight="1">
      <c r="A675" t="inlineStr">
        <is>
          <t>A 24484-2024</t>
        </is>
      </c>
      <c r="B675" s="1" t="n">
        <v>45459.55150462963</v>
      </c>
      <c r="C675" s="1" t="n">
        <v>45923</v>
      </c>
      <c r="D675" t="inlineStr">
        <is>
          <t>JÄMTLANDS LÄN</t>
        </is>
      </c>
      <c r="E675" t="inlineStr">
        <is>
          <t>KROKOM</t>
        </is>
      </c>
      <c r="F675" t="inlineStr">
        <is>
          <t>Övriga Aktiebolag</t>
        </is>
      </c>
      <c r="G675" t="n">
        <v>1.4</v>
      </c>
      <c r="H675" t="n">
        <v>0</v>
      </c>
      <c r="I675" t="n">
        <v>0</v>
      </c>
      <c r="J675" t="n">
        <v>0</v>
      </c>
      <c r="K675" t="n">
        <v>0</v>
      </c>
      <c r="L675" t="n">
        <v>0</v>
      </c>
      <c r="M675" t="n">
        <v>0</v>
      </c>
      <c r="N675" t="n">
        <v>0</v>
      </c>
      <c r="O675" t="n">
        <v>0</v>
      </c>
      <c r="P675" t="n">
        <v>0</v>
      </c>
      <c r="Q675" t="n">
        <v>0</v>
      </c>
      <c r="R675" s="2" t="inlineStr"/>
    </row>
    <row r="676" ht="15" customHeight="1">
      <c r="A676" t="inlineStr">
        <is>
          <t>A 57149-2023</t>
        </is>
      </c>
      <c r="B676" s="1" t="n">
        <v>45245</v>
      </c>
      <c r="C676" s="1" t="n">
        <v>45923</v>
      </c>
      <c r="D676" t="inlineStr">
        <is>
          <t>JÄMTLANDS LÄN</t>
        </is>
      </c>
      <c r="E676" t="inlineStr">
        <is>
          <t>KROKOM</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52213-2024</t>
        </is>
      </c>
      <c r="B677" s="1" t="n">
        <v>45607</v>
      </c>
      <c r="C677" s="1" t="n">
        <v>45923</v>
      </c>
      <c r="D677" t="inlineStr">
        <is>
          <t>JÄMTLANDS LÄN</t>
        </is>
      </c>
      <c r="E677" t="inlineStr">
        <is>
          <t>KROKOM</t>
        </is>
      </c>
      <c r="G677" t="n">
        <v>0.3</v>
      </c>
      <c r="H677" t="n">
        <v>0</v>
      </c>
      <c r="I677" t="n">
        <v>0</v>
      </c>
      <c r="J677" t="n">
        <v>0</v>
      </c>
      <c r="K677" t="n">
        <v>0</v>
      </c>
      <c r="L677" t="n">
        <v>0</v>
      </c>
      <c r="M677" t="n">
        <v>0</v>
      </c>
      <c r="N677" t="n">
        <v>0</v>
      </c>
      <c r="O677" t="n">
        <v>0</v>
      </c>
      <c r="P677" t="n">
        <v>0</v>
      </c>
      <c r="Q677" t="n">
        <v>0</v>
      </c>
      <c r="R677" s="2" t="inlineStr"/>
    </row>
    <row r="678" ht="15" customHeight="1">
      <c r="A678" t="inlineStr">
        <is>
          <t>A 30016-2024</t>
        </is>
      </c>
      <c r="B678" s="1" t="n">
        <v>45485</v>
      </c>
      <c r="C678" s="1" t="n">
        <v>45923</v>
      </c>
      <c r="D678" t="inlineStr">
        <is>
          <t>JÄMTLANDS LÄN</t>
        </is>
      </c>
      <c r="E678" t="inlineStr">
        <is>
          <t>KROKOM</t>
        </is>
      </c>
      <c r="G678" t="n">
        <v>0.7</v>
      </c>
      <c r="H678" t="n">
        <v>0</v>
      </c>
      <c r="I678" t="n">
        <v>0</v>
      </c>
      <c r="J678" t="n">
        <v>0</v>
      </c>
      <c r="K678" t="n">
        <v>0</v>
      </c>
      <c r="L678" t="n">
        <v>0</v>
      </c>
      <c r="M678" t="n">
        <v>0</v>
      </c>
      <c r="N678" t="n">
        <v>0</v>
      </c>
      <c r="O678" t="n">
        <v>0</v>
      </c>
      <c r="P678" t="n">
        <v>0</v>
      </c>
      <c r="Q678" t="n">
        <v>0</v>
      </c>
      <c r="R678" s="2" t="inlineStr"/>
    </row>
    <row r="679" ht="15" customHeight="1">
      <c r="A679" t="inlineStr">
        <is>
          <t>A 826-2025</t>
        </is>
      </c>
      <c r="B679" s="1" t="n">
        <v>45665.57373842593</v>
      </c>
      <c r="C679" s="1" t="n">
        <v>45923</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6185-2025</t>
        </is>
      </c>
      <c r="B680" s="1" t="n">
        <v>45698.45653935185</v>
      </c>
      <c r="C680" s="1" t="n">
        <v>45923</v>
      </c>
      <c r="D680" t="inlineStr">
        <is>
          <t>JÄMTLANDS LÄN</t>
        </is>
      </c>
      <c r="E680" t="inlineStr">
        <is>
          <t>KROKOM</t>
        </is>
      </c>
      <c r="G680" t="n">
        <v>14.7</v>
      </c>
      <c r="H680" t="n">
        <v>0</v>
      </c>
      <c r="I680" t="n">
        <v>0</v>
      </c>
      <c r="J680" t="n">
        <v>0</v>
      </c>
      <c r="K680" t="n">
        <v>0</v>
      </c>
      <c r="L680" t="n">
        <v>0</v>
      </c>
      <c r="M680" t="n">
        <v>0</v>
      </c>
      <c r="N680" t="n">
        <v>0</v>
      </c>
      <c r="O680" t="n">
        <v>0</v>
      </c>
      <c r="P680" t="n">
        <v>0</v>
      </c>
      <c r="Q680" t="n">
        <v>0</v>
      </c>
      <c r="R680" s="2" t="inlineStr"/>
    </row>
    <row r="681" ht="15" customHeight="1">
      <c r="A681" t="inlineStr">
        <is>
          <t>A 19634-2025</t>
        </is>
      </c>
      <c r="B681" s="1" t="n">
        <v>45770.64677083334</v>
      </c>
      <c r="C681" s="1" t="n">
        <v>45923</v>
      </c>
      <c r="D681" t="inlineStr">
        <is>
          <t>JÄMTLANDS LÄN</t>
        </is>
      </c>
      <c r="E681" t="inlineStr">
        <is>
          <t>KROKOM</t>
        </is>
      </c>
      <c r="G681" t="n">
        <v>1.2</v>
      </c>
      <c r="H681" t="n">
        <v>0</v>
      </c>
      <c r="I681" t="n">
        <v>0</v>
      </c>
      <c r="J681" t="n">
        <v>0</v>
      </c>
      <c r="K681" t="n">
        <v>0</v>
      </c>
      <c r="L681" t="n">
        <v>0</v>
      </c>
      <c r="M681" t="n">
        <v>0</v>
      </c>
      <c r="N681" t="n">
        <v>0</v>
      </c>
      <c r="O681" t="n">
        <v>0</v>
      </c>
      <c r="P681" t="n">
        <v>0</v>
      </c>
      <c r="Q681" t="n">
        <v>0</v>
      </c>
      <c r="R681" s="2" t="inlineStr"/>
    </row>
    <row r="682" ht="15" customHeight="1">
      <c r="A682" t="inlineStr">
        <is>
          <t>A 53825-2024</t>
        </is>
      </c>
      <c r="B682" s="1" t="n">
        <v>45615.61121527778</v>
      </c>
      <c r="C682" s="1" t="n">
        <v>45923</v>
      </c>
      <c r="D682" t="inlineStr">
        <is>
          <t>JÄMTLANDS LÄN</t>
        </is>
      </c>
      <c r="E682" t="inlineStr">
        <is>
          <t>KROKOM</t>
        </is>
      </c>
      <c r="F682" t="inlineStr">
        <is>
          <t>Övriga Aktiebolag</t>
        </is>
      </c>
      <c r="G682" t="n">
        <v>3.3</v>
      </c>
      <c r="H682" t="n">
        <v>0</v>
      </c>
      <c r="I682" t="n">
        <v>0</v>
      </c>
      <c r="J682" t="n">
        <v>0</v>
      </c>
      <c r="K682" t="n">
        <v>0</v>
      </c>
      <c r="L682" t="n">
        <v>0</v>
      </c>
      <c r="M682" t="n">
        <v>0</v>
      </c>
      <c r="N682" t="n">
        <v>0</v>
      </c>
      <c r="O682" t="n">
        <v>0</v>
      </c>
      <c r="P682" t="n">
        <v>0</v>
      </c>
      <c r="Q682" t="n">
        <v>0</v>
      </c>
      <c r="R682" s="2" t="inlineStr"/>
    </row>
    <row r="683" ht="15" customHeight="1">
      <c r="A683" t="inlineStr">
        <is>
          <t>A 52237-2024</t>
        </is>
      </c>
      <c r="B683" s="1" t="n">
        <v>45608.61606481481</v>
      </c>
      <c r="C683" s="1" t="n">
        <v>45923</v>
      </c>
      <c r="D683" t="inlineStr">
        <is>
          <t>JÄMTLANDS LÄN</t>
        </is>
      </c>
      <c r="E683" t="inlineStr">
        <is>
          <t>KROKOM</t>
        </is>
      </c>
      <c r="G683" t="n">
        <v>2</v>
      </c>
      <c r="H683" t="n">
        <v>0</v>
      </c>
      <c r="I683" t="n">
        <v>0</v>
      </c>
      <c r="J683" t="n">
        <v>0</v>
      </c>
      <c r="K683" t="n">
        <v>0</v>
      </c>
      <c r="L683" t="n">
        <v>0</v>
      </c>
      <c r="M683" t="n">
        <v>0</v>
      </c>
      <c r="N683" t="n">
        <v>0</v>
      </c>
      <c r="O683" t="n">
        <v>0</v>
      </c>
      <c r="P683" t="n">
        <v>0</v>
      </c>
      <c r="Q683" t="n">
        <v>0</v>
      </c>
      <c r="R683" s="2" t="inlineStr"/>
    </row>
    <row r="684" ht="15" customHeight="1">
      <c r="A684" t="inlineStr">
        <is>
          <t>A 6042-2025</t>
        </is>
      </c>
      <c r="B684" s="1" t="n">
        <v>45695</v>
      </c>
      <c r="C684" s="1" t="n">
        <v>45923</v>
      </c>
      <c r="D684" t="inlineStr">
        <is>
          <t>JÄMTLANDS LÄN</t>
        </is>
      </c>
      <c r="E684" t="inlineStr">
        <is>
          <t>KROKOM</t>
        </is>
      </c>
      <c r="F684" t="inlineStr">
        <is>
          <t>Övriga Aktiebolag</t>
        </is>
      </c>
      <c r="G684" t="n">
        <v>8.9</v>
      </c>
      <c r="H684" t="n">
        <v>0</v>
      </c>
      <c r="I684" t="n">
        <v>0</v>
      </c>
      <c r="J684" t="n">
        <v>0</v>
      </c>
      <c r="K684" t="n">
        <v>0</v>
      </c>
      <c r="L684" t="n">
        <v>0</v>
      </c>
      <c r="M684" t="n">
        <v>0</v>
      </c>
      <c r="N684" t="n">
        <v>0</v>
      </c>
      <c r="O684" t="n">
        <v>0</v>
      </c>
      <c r="P684" t="n">
        <v>0</v>
      </c>
      <c r="Q684" t="n">
        <v>0</v>
      </c>
      <c r="R684" s="2" t="inlineStr"/>
    </row>
    <row r="685" ht="15" customHeight="1">
      <c r="A685" t="inlineStr">
        <is>
          <t>A 48560-2024</t>
        </is>
      </c>
      <c r="B685" s="1" t="n">
        <v>45593.38568287037</v>
      </c>
      <c r="C685" s="1" t="n">
        <v>45923</v>
      </c>
      <c r="D685" t="inlineStr">
        <is>
          <t>JÄMTLANDS LÄN</t>
        </is>
      </c>
      <c r="E685" t="inlineStr">
        <is>
          <t>KROKOM</t>
        </is>
      </c>
      <c r="G685" t="n">
        <v>2.6</v>
      </c>
      <c r="H685" t="n">
        <v>0</v>
      </c>
      <c r="I685" t="n">
        <v>0</v>
      </c>
      <c r="J685" t="n">
        <v>0</v>
      </c>
      <c r="K685" t="n">
        <v>0</v>
      </c>
      <c r="L685" t="n">
        <v>0</v>
      </c>
      <c r="M685" t="n">
        <v>0</v>
      </c>
      <c r="N685" t="n">
        <v>0</v>
      </c>
      <c r="O685" t="n">
        <v>0</v>
      </c>
      <c r="P685" t="n">
        <v>0</v>
      </c>
      <c r="Q685" t="n">
        <v>0</v>
      </c>
      <c r="R685" s="2" t="inlineStr"/>
    </row>
    <row r="686" ht="15" customHeight="1">
      <c r="A686" t="inlineStr">
        <is>
          <t>A 2051-2025</t>
        </is>
      </c>
      <c r="B686" s="1" t="n">
        <v>45672.53806712963</v>
      </c>
      <c r="C686" s="1" t="n">
        <v>45923</v>
      </c>
      <c r="D686" t="inlineStr">
        <is>
          <t>JÄMTLANDS LÄN</t>
        </is>
      </c>
      <c r="E686" t="inlineStr">
        <is>
          <t>KROKOM</t>
        </is>
      </c>
      <c r="F686" t="inlineStr">
        <is>
          <t>Kyrkan</t>
        </is>
      </c>
      <c r="G686" t="n">
        <v>87.90000000000001</v>
      </c>
      <c r="H686" t="n">
        <v>0</v>
      </c>
      <c r="I686" t="n">
        <v>0</v>
      </c>
      <c r="J686" t="n">
        <v>0</v>
      </c>
      <c r="K686" t="n">
        <v>0</v>
      </c>
      <c r="L686" t="n">
        <v>0</v>
      </c>
      <c r="M686" t="n">
        <v>0</v>
      </c>
      <c r="N686" t="n">
        <v>0</v>
      </c>
      <c r="O686" t="n">
        <v>0</v>
      </c>
      <c r="P686" t="n">
        <v>0</v>
      </c>
      <c r="Q686" t="n">
        <v>0</v>
      </c>
      <c r="R686" s="2" t="inlineStr"/>
    </row>
    <row r="687" ht="15" customHeight="1">
      <c r="A687" t="inlineStr">
        <is>
          <t>A 44594-2023</t>
        </is>
      </c>
      <c r="B687" s="1" t="n">
        <v>45189.60987268519</v>
      </c>
      <c r="C687" s="1" t="n">
        <v>45923</v>
      </c>
      <c r="D687" t="inlineStr">
        <is>
          <t>JÄMTLANDS LÄN</t>
        </is>
      </c>
      <c r="E687" t="inlineStr">
        <is>
          <t>KROKOM</t>
        </is>
      </c>
      <c r="G687" t="n">
        <v>5.7</v>
      </c>
      <c r="H687" t="n">
        <v>0</v>
      </c>
      <c r="I687" t="n">
        <v>0</v>
      </c>
      <c r="J687" t="n">
        <v>0</v>
      </c>
      <c r="K687" t="n">
        <v>0</v>
      </c>
      <c r="L687" t="n">
        <v>0</v>
      </c>
      <c r="M687" t="n">
        <v>0</v>
      </c>
      <c r="N687" t="n">
        <v>0</v>
      </c>
      <c r="O687" t="n">
        <v>0</v>
      </c>
      <c r="P687" t="n">
        <v>0</v>
      </c>
      <c r="Q687" t="n">
        <v>0</v>
      </c>
      <c r="R687" s="2" t="inlineStr"/>
    </row>
    <row r="688" ht="15" customHeight="1">
      <c r="A688" t="inlineStr">
        <is>
          <t>A 10581-2025</t>
        </is>
      </c>
      <c r="B688" s="1" t="n">
        <v>45721.54896990741</v>
      </c>
      <c r="C688" s="1" t="n">
        <v>45923</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10632-2025</t>
        </is>
      </c>
      <c r="B689" s="1" t="n">
        <v>45721</v>
      </c>
      <c r="C689" s="1" t="n">
        <v>45923</v>
      </c>
      <c r="D689" t="inlineStr">
        <is>
          <t>JÄMTLANDS LÄN</t>
        </is>
      </c>
      <c r="E689" t="inlineStr">
        <is>
          <t>KROKOM</t>
        </is>
      </c>
      <c r="G689" t="n">
        <v>3.2</v>
      </c>
      <c r="H689" t="n">
        <v>0</v>
      </c>
      <c r="I689" t="n">
        <v>0</v>
      </c>
      <c r="J689" t="n">
        <v>0</v>
      </c>
      <c r="K689" t="n">
        <v>0</v>
      </c>
      <c r="L689" t="n">
        <v>0</v>
      </c>
      <c r="M689" t="n">
        <v>0</v>
      </c>
      <c r="N689" t="n">
        <v>0</v>
      </c>
      <c r="O689" t="n">
        <v>0</v>
      </c>
      <c r="P689" t="n">
        <v>0</v>
      </c>
      <c r="Q689" t="n">
        <v>0</v>
      </c>
      <c r="R689" s="2" t="inlineStr"/>
    </row>
    <row r="690" ht="15" customHeight="1">
      <c r="A690" t="inlineStr">
        <is>
          <t>A 47625-2023</t>
        </is>
      </c>
      <c r="B690" s="1" t="n">
        <v>45203</v>
      </c>
      <c r="C690" s="1" t="n">
        <v>45923</v>
      </c>
      <c r="D690" t="inlineStr">
        <is>
          <t>JÄMTLANDS LÄN</t>
        </is>
      </c>
      <c r="E690" t="inlineStr">
        <is>
          <t>KROKOM</t>
        </is>
      </c>
      <c r="G690" t="n">
        <v>1.1</v>
      </c>
      <c r="H690" t="n">
        <v>0</v>
      </c>
      <c r="I690" t="n">
        <v>0</v>
      </c>
      <c r="J690" t="n">
        <v>0</v>
      </c>
      <c r="K690" t="n">
        <v>0</v>
      </c>
      <c r="L690" t="n">
        <v>0</v>
      </c>
      <c r="M690" t="n">
        <v>0</v>
      </c>
      <c r="N690" t="n">
        <v>0</v>
      </c>
      <c r="O690" t="n">
        <v>0</v>
      </c>
      <c r="P690" t="n">
        <v>0</v>
      </c>
      <c r="Q690" t="n">
        <v>0</v>
      </c>
      <c r="R690" s="2" t="inlineStr"/>
    </row>
    <row r="691" ht="15" customHeight="1">
      <c r="A691" t="inlineStr">
        <is>
          <t>A 61776-2024</t>
        </is>
      </c>
      <c r="B691" s="1" t="n">
        <v>45649.4634375</v>
      </c>
      <c r="C691" s="1" t="n">
        <v>45923</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60491-2024</t>
        </is>
      </c>
      <c r="B692" s="1" t="n">
        <v>45643.65354166667</v>
      </c>
      <c r="C692" s="1" t="n">
        <v>45923</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57575-2024</t>
        </is>
      </c>
      <c r="B693" s="1" t="n">
        <v>45630.47099537037</v>
      </c>
      <c r="C693" s="1" t="n">
        <v>45923</v>
      </c>
      <c r="D693" t="inlineStr">
        <is>
          <t>JÄMTLANDS LÄN</t>
        </is>
      </c>
      <c r="E693" t="inlineStr">
        <is>
          <t>KROKOM</t>
        </is>
      </c>
      <c r="G693" t="n">
        <v>1.6</v>
      </c>
      <c r="H693" t="n">
        <v>0</v>
      </c>
      <c r="I693" t="n">
        <v>0</v>
      </c>
      <c r="J693" t="n">
        <v>0</v>
      </c>
      <c r="K693" t="n">
        <v>0</v>
      </c>
      <c r="L693" t="n">
        <v>0</v>
      </c>
      <c r="M693" t="n">
        <v>0</v>
      </c>
      <c r="N693" t="n">
        <v>0</v>
      </c>
      <c r="O693" t="n">
        <v>0</v>
      </c>
      <c r="P693" t="n">
        <v>0</v>
      </c>
      <c r="Q693" t="n">
        <v>0</v>
      </c>
      <c r="R693" s="2" t="inlineStr"/>
    </row>
    <row r="694" ht="15" customHeight="1">
      <c r="A694" t="inlineStr">
        <is>
          <t>A 2257-2024</t>
        </is>
      </c>
      <c r="B694" s="1" t="n">
        <v>45310</v>
      </c>
      <c r="C694" s="1" t="n">
        <v>45923</v>
      </c>
      <c r="D694" t="inlineStr">
        <is>
          <t>JÄMTLANDS LÄN</t>
        </is>
      </c>
      <c r="E694" t="inlineStr">
        <is>
          <t>KROKOM</t>
        </is>
      </c>
      <c r="G694" t="n">
        <v>14.5</v>
      </c>
      <c r="H694" t="n">
        <v>0</v>
      </c>
      <c r="I694" t="n">
        <v>0</v>
      </c>
      <c r="J694" t="n">
        <v>0</v>
      </c>
      <c r="K694" t="n">
        <v>0</v>
      </c>
      <c r="L694" t="n">
        <v>0</v>
      </c>
      <c r="M694" t="n">
        <v>0</v>
      </c>
      <c r="N694" t="n">
        <v>0</v>
      </c>
      <c r="O694" t="n">
        <v>0</v>
      </c>
      <c r="P694" t="n">
        <v>0</v>
      </c>
      <c r="Q694" t="n">
        <v>0</v>
      </c>
      <c r="R694" s="2" t="inlineStr"/>
    </row>
    <row r="695" ht="15" customHeight="1">
      <c r="A695" t="inlineStr">
        <is>
          <t>A 20742-2023</t>
        </is>
      </c>
      <c r="B695" s="1" t="n">
        <v>45055</v>
      </c>
      <c r="C695" s="1" t="n">
        <v>45923</v>
      </c>
      <c r="D695" t="inlineStr">
        <is>
          <t>JÄMTLANDS LÄN</t>
        </is>
      </c>
      <c r="E695" t="inlineStr">
        <is>
          <t>KROKOM</t>
        </is>
      </c>
      <c r="G695" t="n">
        <v>0.4</v>
      </c>
      <c r="H695" t="n">
        <v>0</v>
      </c>
      <c r="I695" t="n">
        <v>0</v>
      </c>
      <c r="J695" t="n">
        <v>0</v>
      </c>
      <c r="K695" t="n">
        <v>0</v>
      </c>
      <c r="L695" t="n">
        <v>0</v>
      </c>
      <c r="M695" t="n">
        <v>0</v>
      </c>
      <c r="N695" t="n">
        <v>0</v>
      </c>
      <c r="O695" t="n">
        <v>0</v>
      </c>
      <c r="P695" t="n">
        <v>0</v>
      </c>
      <c r="Q695" t="n">
        <v>0</v>
      </c>
      <c r="R695" s="2" t="inlineStr"/>
    </row>
    <row r="696" ht="15" customHeight="1">
      <c r="A696" t="inlineStr">
        <is>
          <t>A 38043-2023</t>
        </is>
      </c>
      <c r="B696" s="1" t="n">
        <v>45160.66704861111</v>
      </c>
      <c r="C696" s="1" t="n">
        <v>45923</v>
      </c>
      <c r="D696" t="inlineStr">
        <is>
          <t>JÄMTLANDS LÄN</t>
        </is>
      </c>
      <c r="E696" t="inlineStr">
        <is>
          <t>KROKOM</t>
        </is>
      </c>
      <c r="F696" t="inlineStr">
        <is>
          <t>Övriga Aktiebolag</t>
        </is>
      </c>
      <c r="G696" t="n">
        <v>10.4</v>
      </c>
      <c r="H696" t="n">
        <v>0</v>
      </c>
      <c r="I696" t="n">
        <v>0</v>
      </c>
      <c r="J696" t="n">
        <v>0</v>
      </c>
      <c r="K696" t="n">
        <v>0</v>
      </c>
      <c r="L696" t="n">
        <v>0</v>
      </c>
      <c r="M696" t="n">
        <v>0</v>
      </c>
      <c r="N696" t="n">
        <v>0</v>
      </c>
      <c r="O696" t="n">
        <v>0</v>
      </c>
      <c r="P696" t="n">
        <v>0</v>
      </c>
      <c r="Q696" t="n">
        <v>0</v>
      </c>
      <c r="R696" s="2" t="inlineStr"/>
    </row>
    <row r="697" ht="15" customHeight="1">
      <c r="A697" t="inlineStr">
        <is>
          <t>A 38747-2024</t>
        </is>
      </c>
      <c r="B697" s="1" t="n">
        <v>45547.42732638889</v>
      </c>
      <c r="C697" s="1" t="n">
        <v>45923</v>
      </c>
      <c r="D697" t="inlineStr">
        <is>
          <t>JÄMTLANDS LÄN</t>
        </is>
      </c>
      <c r="E697" t="inlineStr">
        <is>
          <t>KROKOM</t>
        </is>
      </c>
      <c r="G697" t="n">
        <v>0.3</v>
      </c>
      <c r="H697" t="n">
        <v>0</v>
      </c>
      <c r="I697" t="n">
        <v>0</v>
      </c>
      <c r="J697" t="n">
        <v>0</v>
      </c>
      <c r="K697" t="n">
        <v>0</v>
      </c>
      <c r="L697" t="n">
        <v>0</v>
      </c>
      <c r="M697" t="n">
        <v>0</v>
      </c>
      <c r="N697" t="n">
        <v>0</v>
      </c>
      <c r="O697" t="n">
        <v>0</v>
      </c>
      <c r="P697" t="n">
        <v>0</v>
      </c>
      <c r="Q697" t="n">
        <v>0</v>
      </c>
      <c r="R697" s="2" t="inlineStr"/>
    </row>
    <row r="698" ht="15" customHeight="1">
      <c r="A698" t="inlineStr">
        <is>
          <t>A 18583-2025</t>
        </is>
      </c>
      <c r="B698" s="1" t="n">
        <v>45763.46918981482</v>
      </c>
      <c r="C698" s="1" t="n">
        <v>45923</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7391-2025</t>
        </is>
      </c>
      <c r="B699" s="1" t="n">
        <v>45705.33446759259</v>
      </c>
      <c r="C699" s="1" t="n">
        <v>45923</v>
      </c>
      <c r="D699" t="inlineStr">
        <is>
          <t>JÄMTLANDS LÄN</t>
        </is>
      </c>
      <c r="E699" t="inlineStr">
        <is>
          <t>KROKOM</t>
        </is>
      </c>
      <c r="F699" t="inlineStr">
        <is>
          <t>Övriga Aktiebolag</t>
        </is>
      </c>
      <c r="G699" t="n">
        <v>7.9</v>
      </c>
      <c r="H699" t="n">
        <v>0</v>
      </c>
      <c r="I699" t="n">
        <v>0</v>
      </c>
      <c r="J699" t="n">
        <v>0</v>
      </c>
      <c r="K699" t="n">
        <v>0</v>
      </c>
      <c r="L699" t="n">
        <v>0</v>
      </c>
      <c r="M699" t="n">
        <v>0</v>
      </c>
      <c r="N699" t="n">
        <v>0</v>
      </c>
      <c r="O699" t="n">
        <v>0</v>
      </c>
      <c r="P699" t="n">
        <v>0</v>
      </c>
      <c r="Q699" t="n">
        <v>0</v>
      </c>
      <c r="R699" s="2" t="inlineStr"/>
    </row>
    <row r="700" ht="15" customHeight="1">
      <c r="A700" t="inlineStr">
        <is>
          <t>A 55455-2022</t>
        </is>
      </c>
      <c r="B700" s="1" t="n">
        <v>44887</v>
      </c>
      <c r="C700" s="1" t="n">
        <v>45923</v>
      </c>
      <c r="D700" t="inlineStr">
        <is>
          <t>JÄMTLANDS LÄN</t>
        </is>
      </c>
      <c r="E700" t="inlineStr">
        <is>
          <t>KROKOM</t>
        </is>
      </c>
      <c r="F700" t="inlineStr">
        <is>
          <t>Övriga Aktiebolag</t>
        </is>
      </c>
      <c r="G700" t="n">
        <v>5.2</v>
      </c>
      <c r="H700" t="n">
        <v>0</v>
      </c>
      <c r="I700" t="n">
        <v>0</v>
      </c>
      <c r="J700" t="n">
        <v>0</v>
      </c>
      <c r="K700" t="n">
        <v>0</v>
      </c>
      <c r="L700" t="n">
        <v>0</v>
      </c>
      <c r="M700" t="n">
        <v>0</v>
      </c>
      <c r="N700" t="n">
        <v>0</v>
      </c>
      <c r="O700" t="n">
        <v>0</v>
      </c>
      <c r="P700" t="n">
        <v>0</v>
      </c>
      <c r="Q700" t="n">
        <v>0</v>
      </c>
      <c r="R700" s="2" t="inlineStr"/>
    </row>
    <row r="701" ht="15" customHeight="1">
      <c r="A701" t="inlineStr">
        <is>
          <t>A 16343-2025</t>
        </is>
      </c>
      <c r="B701" s="1" t="n">
        <v>45751.37320601852</v>
      </c>
      <c r="C701" s="1" t="n">
        <v>45923</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57726-2020</t>
        </is>
      </c>
      <c r="B702" s="1" t="n">
        <v>44140</v>
      </c>
      <c r="C702" s="1" t="n">
        <v>45923</v>
      </c>
      <c r="D702" t="inlineStr">
        <is>
          <t>JÄMTLANDS LÄN</t>
        </is>
      </c>
      <c r="E702" t="inlineStr">
        <is>
          <t>KROKOM</t>
        </is>
      </c>
      <c r="G702" t="n">
        <v>3.8</v>
      </c>
      <c r="H702" t="n">
        <v>0</v>
      </c>
      <c r="I702" t="n">
        <v>0</v>
      </c>
      <c r="J702" t="n">
        <v>0</v>
      </c>
      <c r="K702" t="n">
        <v>0</v>
      </c>
      <c r="L702" t="n">
        <v>0</v>
      </c>
      <c r="M702" t="n">
        <v>0</v>
      </c>
      <c r="N702" t="n">
        <v>0</v>
      </c>
      <c r="O702" t="n">
        <v>0</v>
      </c>
      <c r="P702" t="n">
        <v>0</v>
      </c>
      <c r="Q702" t="n">
        <v>0</v>
      </c>
      <c r="R702" s="2" t="inlineStr"/>
    </row>
    <row r="703" ht="15" customHeight="1">
      <c r="A703" t="inlineStr">
        <is>
          <t>A 20735-2023</t>
        </is>
      </c>
      <c r="B703" s="1" t="n">
        <v>45055</v>
      </c>
      <c r="C703" s="1" t="n">
        <v>45923</v>
      </c>
      <c r="D703" t="inlineStr">
        <is>
          <t>JÄMTLANDS LÄN</t>
        </is>
      </c>
      <c r="E703" t="inlineStr">
        <is>
          <t>KROKOM</t>
        </is>
      </c>
      <c r="G703" t="n">
        <v>1.3</v>
      </c>
      <c r="H703" t="n">
        <v>0</v>
      </c>
      <c r="I703" t="n">
        <v>0</v>
      </c>
      <c r="J703" t="n">
        <v>0</v>
      </c>
      <c r="K703" t="n">
        <v>0</v>
      </c>
      <c r="L703" t="n">
        <v>0</v>
      </c>
      <c r="M703" t="n">
        <v>0</v>
      </c>
      <c r="N703" t="n">
        <v>0</v>
      </c>
      <c r="O703" t="n">
        <v>0</v>
      </c>
      <c r="P703" t="n">
        <v>0</v>
      </c>
      <c r="Q703" t="n">
        <v>0</v>
      </c>
      <c r="R703" s="2" t="inlineStr"/>
    </row>
    <row r="704" ht="15" customHeight="1">
      <c r="A704" t="inlineStr">
        <is>
          <t>A 61767-2024</t>
        </is>
      </c>
      <c r="B704" s="1" t="n">
        <v>45649.45143518518</v>
      </c>
      <c r="C704" s="1" t="n">
        <v>45923</v>
      </c>
      <c r="D704" t="inlineStr">
        <is>
          <t>JÄMTLANDS LÄN</t>
        </is>
      </c>
      <c r="E704" t="inlineStr">
        <is>
          <t>KROKOM</t>
        </is>
      </c>
      <c r="G704" t="n">
        <v>3.1</v>
      </c>
      <c r="H704" t="n">
        <v>0</v>
      </c>
      <c r="I704" t="n">
        <v>0</v>
      </c>
      <c r="J704" t="n">
        <v>0</v>
      </c>
      <c r="K704" t="n">
        <v>0</v>
      </c>
      <c r="L704" t="n">
        <v>0</v>
      </c>
      <c r="M704" t="n">
        <v>0</v>
      </c>
      <c r="N704" t="n">
        <v>0</v>
      </c>
      <c r="O704" t="n">
        <v>0</v>
      </c>
      <c r="P704" t="n">
        <v>0</v>
      </c>
      <c r="Q704" t="n">
        <v>0</v>
      </c>
      <c r="R704" s="2" t="inlineStr"/>
    </row>
    <row r="705" ht="15" customHeight="1">
      <c r="A705" t="inlineStr">
        <is>
          <t>A 23214-2024</t>
        </is>
      </c>
      <c r="B705" s="1" t="n">
        <v>45452.55271990741</v>
      </c>
      <c r="C705" s="1" t="n">
        <v>45923</v>
      </c>
      <c r="D705" t="inlineStr">
        <is>
          <t>JÄMTLANDS LÄN</t>
        </is>
      </c>
      <c r="E705" t="inlineStr">
        <is>
          <t>KROKOM</t>
        </is>
      </c>
      <c r="F705" t="inlineStr">
        <is>
          <t>Övriga Aktiebolag</t>
        </is>
      </c>
      <c r="G705" t="n">
        <v>0.4</v>
      </c>
      <c r="H705" t="n">
        <v>0</v>
      </c>
      <c r="I705" t="n">
        <v>0</v>
      </c>
      <c r="J705" t="n">
        <v>0</v>
      </c>
      <c r="K705" t="n">
        <v>0</v>
      </c>
      <c r="L705" t="n">
        <v>0</v>
      </c>
      <c r="M705" t="n">
        <v>0</v>
      </c>
      <c r="N705" t="n">
        <v>0</v>
      </c>
      <c r="O705" t="n">
        <v>0</v>
      </c>
      <c r="P705" t="n">
        <v>0</v>
      </c>
      <c r="Q705" t="n">
        <v>0</v>
      </c>
      <c r="R705" s="2" t="inlineStr"/>
    </row>
    <row r="706" ht="15" customHeight="1">
      <c r="A706" t="inlineStr">
        <is>
          <t>A 50177-2021</t>
        </is>
      </c>
      <c r="B706" s="1" t="n">
        <v>44456</v>
      </c>
      <c r="C706" s="1" t="n">
        <v>45923</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15209-2025</t>
        </is>
      </c>
      <c r="B707" s="1" t="n">
        <v>45744</v>
      </c>
      <c r="C707" s="1" t="n">
        <v>45923</v>
      </c>
      <c r="D707" t="inlineStr">
        <is>
          <t>JÄMTLANDS LÄN</t>
        </is>
      </c>
      <c r="E707" t="inlineStr">
        <is>
          <t>KROKOM</t>
        </is>
      </c>
      <c r="G707" t="n">
        <v>1.6</v>
      </c>
      <c r="H707" t="n">
        <v>0</v>
      </c>
      <c r="I707" t="n">
        <v>0</v>
      </c>
      <c r="J707" t="n">
        <v>0</v>
      </c>
      <c r="K707" t="n">
        <v>0</v>
      </c>
      <c r="L707" t="n">
        <v>0</v>
      </c>
      <c r="M707" t="n">
        <v>0</v>
      </c>
      <c r="N707" t="n">
        <v>0</v>
      </c>
      <c r="O707" t="n">
        <v>0</v>
      </c>
      <c r="P707" t="n">
        <v>0</v>
      </c>
      <c r="Q707" t="n">
        <v>0</v>
      </c>
      <c r="R707" s="2" t="inlineStr"/>
    </row>
    <row r="708" ht="15" customHeight="1">
      <c r="A708" t="inlineStr">
        <is>
          <t>A 14234-2025</t>
        </is>
      </c>
      <c r="B708" s="1" t="n">
        <v>45740.60405092593</v>
      </c>
      <c r="C708" s="1" t="n">
        <v>45923</v>
      </c>
      <c r="D708" t="inlineStr">
        <is>
          <t>JÄMTLANDS LÄN</t>
        </is>
      </c>
      <c r="E708" t="inlineStr">
        <is>
          <t>KROKOM</t>
        </is>
      </c>
      <c r="F708" t="inlineStr">
        <is>
          <t>Övriga statliga verk och myndigheter</t>
        </is>
      </c>
      <c r="G708" t="n">
        <v>1.5</v>
      </c>
      <c r="H708" t="n">
        <v>0</v>
      </c>
      <c r="I708" t="n">
        <v>0</v>
      </c>
      <c r="J708" t="n">
        <v>0</v>
      </c>
      <c r="K708" t="n">
        <v>0</v>
      </c>
      <c r="L708" t="n">
        <v>0</v>
      </c>
      <c r="M708" t="n">
        <v>0</v>
      </c>
      <c r="N708" t="n">
        <v>0</v>
      </c>
      <c r="O708" t="n">
        <v>0</v>
      </c>
      <c r="P708" t="n">
        <v>0</v>
      </c>
      <c r="Q708" t="n">
        <v>0</v>
      </c>
      <c r="R708" s="2" t="inlineStr"/>
    </row>
    <row r="709" ht="15" customHeight="1">
      <c r="A709" t="inlineStr">
        <is>
          <t>A 50821-2024</t>
        </is>
      </c>
      <c r="B709" s="1" t="n">
        <v>45602</v>
      </c>
      <c r="C709" s="1" t="n">
        <v>45923</v>
      </c>
      <c r="D709" t="inlineStr">
        <is>
          <t>JÄMTLANDS LÄN</t>
        </is>
      </c>
      <c r="E709" t="inlineStr">
        <is>
          <t>KROKOM</t>
        </is>
      </c>
      <c r="G709" t="n">
        <v>15</v>
      </c>
      <c r="H709" t="n">
        <v>0</v>
      </c>
      <c r="I709" t="n">
        <v>0</v>
      </c>
      <c r="J709" t="n">
        <v>0</v>
      </c>
      <c r="K709" t="n">
        <v>0</v>
      </c>
      <c r="L709" t="n">
        <v>0</v>
      </c>
      <c r="M709" t="n">
        <v>0</v>
      </c>
      <c r="N709" t="n">
        <v>0</v>
      </c>
      <c r="O709" t="n">
        <v>0</v>
      </c>
      <c r="P709" t="n">
        <v>0</v>
      </c>
      <c r="Q709" t="n">
        <v>0</v>
      </c>
      <c r="R709" s="2" t="inlineStr"/>
    </row>
    <row r="710" ht="15" customHeight="1">
      <c r="A710" t="inlineStr">
        <is>
          <t>A 16548-2025</t>
        </is>
      </c>
      <c r="B710" s="1" t="n">
        <v>45751.6877662037</v>
      </c>
      <c r="C710" s="1" t="n">
        <v>45923</v>
      </c>
      <c r="D710" t="inlineStr">
        <is>
          <t>JÄMTLANDS LÄN</t>
        </is>
      </c>
      <c r="E710" t="inlineStr">
        <is>
          <t>KROKOM</t>
        </is>
      </c>
      <c r="F710" t="inlineStr">
        <is>
          <t>Övriga Aktiebolag</t>
        </is>
      </c>
      <c r="G710" t="n">
        <v>10.9</v>
      </c>
      <c r="H710" t="n">
        <v>0</v>
      </c>
      <c r="I710" t="n">
        <v>0</v>
      </c>
      <c r="J710" t="n">
        <v>0</v>
      </c>
      <c r="K710" t="n">
        <v>0</v>
      </c>
      <c r="L710" t="n">
        <v>0</v>
      </c>
      <c r="M710" t="n">
        <v>0</v>
      </c>
      <c r="N710" t="n">
        <v>0</v>
      </c>
      <c r="O710" t="n">
        <v>0</v>
      </c>
      <c r="P710" t="n">
        <v>0</v>
      </c>
      <c r="Q710" t="n">
        <v>0</v>
      </c>
      <c r="R710" s="2" t="inlineStr"/>
    </row>
    <row r="711" ht="15" customHeight="1">
      <c r="A711" t="inlineStr">
        <is>
          <t>A 16278-2025</t>
        </is>
      </c>
      <c r="B711" s="1" t="n">
        <v>45751.28243055556</v>
      </c>
      <c r="C711" s="1" t="n">
        <v>45923</v>
      </c>
      <c r="D711" t="inlineStr">
        <is>
          <t>JÄMTLANDS LÄN</t>
        </is>
      </c>
      <c r="E711" t="inlineStr">
        <is>
          <t>KROKOM</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14233-2025</t>
        </is>
      </c>
      <c r="B712" s="1" t="n">
        <v>45740.60347222222</v>
      </c>
      <c r="C712" s="1" t="n">
        <v>45923</v>
      </c>
      <c r="D712" t="inlineStr">
        <is>
          <t>JÄMTLANDS LÄN</t>
        </is>
      </c>
      <c r="E712" t="inlineStr">
        <is>
          <t>KROKOM</t>
        </is>
      </c>
      <c r="F712" t="inlineStr">
        <is>
          <t>Övriga statliga verk och myndigheter</t>
        </is>
      </c>
      <c r="G712" t="n">
        <v>2.5</v>
      </c>
      <c r="H712" t="n">
        <v>0</v>
      </c>
      <c r="I712" t="n">
        <v>0</v>
      </c>
      <c r="J712" t="n">
        <v>0</v>
      </c>
      <c r="K712" t="n">
        <v>0</v>
      </c>
      <c r="L712" t="n">
        <v>0</v>
      </c>
      <c r="M712" t="n">
        <v>0</v>
      </c>
      <c r="N712" t="n">
        <v>0</v>
      </c>
      <c r="O712" t="n">
        <v>0</v>
      </c>
      <c r="P712" t="n">
        <v>0</v>
      </c>
      <c r="Q712" t="n">
        <v>0</v>
      </c>
      <c r="R712" s="2" t="inlineStr"/>
    </row>
    <row r="713" ht="15" customHeight="1">
      <c r="A713" t="inlineStr">
        <is>
          <t>A 35767-2024</t>
        </is>
      </c>
      <c r="B713" s="1" t="n">
        <v>45532.58101851852</v>
      </c>
      <c r="C713" s="1" t="n">
        <v>45923</v>
      </c>
      <c r="D713" t="inlineStr">
        <is>
          <t>JÄMTLANDS LÄN</t>
        </is>
      </c>
      <c r="E713" t="inlineStr">
        <is>
          <t>KROKOM</t>
        </is>
      </c>
      <c r="G713" t="n">
        <v>5.1</v>
      </c>
      <c r="H713" t="n">
        <v>0</v>
      </c>
      <c r="I713" t="n">
        <v>0</v>
      </c>
      <c r="J713" t="n">
        <v>0</v>
      </c>
      <c r="K713" t="n">
        <v>0</v>
      </c>
      <c r="L713" t="n">
        <v>0</v>
      </c>
      <c r="M713" t="n">
        <v>0</v>
      </c>
      <c r="N713" t="n">
        <v>0</v>
      </c>
      <c r="O713" t="n">
        <v>0</v>
      </c>
      <c r="P713" t="n">
        <v>0</v>
      </c>
      <c r="Q713" t="n">
        <v>0</v>
      </c>
      <c r="R713" s="2" t="inlineStr"/>
    </row>
    <row r="714" ht="15" customHeight="1">
      <c r="A714" t="inlineStr">
        <is>
          <t>A 17887-2025</t>
        </is>
      </c>
      <c r="B714" s="1" t="n">
        <v>45758.66180555556</v>
      </c>
      <c r="C714" s="1" t="n">
        <v>45923</v>
      </c>
      <c r="D714" t="inlineStr">
        <is>
          <t>JÄMTLANDS LÄN</t>
        </is>
      </c>
      <c r="E714" t="inlineStr">
        <is>
          <t>KROKOM</t>
        </is>
      </c>
      <c r="G714" t="n">
        <v>11.5</v>
      </c>
      <c r="H714" t="n">
        <v>0</v>
      </c>
      <c r="I714" t="n">
        <v>0</v>
      </c>
      <c r="J714" t="n">
        <v>0</v>
      </c>
      <c r="K714" t="n">
        <v>0</v>
      </c>
      <c r="L714" t="n">
        <v>0</v>
      </c>
      <c r="M714" t="n">
        <v>0</v>
      </c>
      <c r="N714" t="n">
        <v>0</v>
      </c>
      <c r="O714" t="n">
        <v>0</v>
      </c>
      <c r="P714" t="n">
        <v>0</v>
      </c>
      <c r="Q714" t="n">
        <v>0</v>
      </c>
      <c r="R714" s="2" t="inlineStr"/>
    </row>
    <row r="715" ht="15" customHeight="1">
      <c r="A715" t="inlineStr">
        <is>
          <t>A 17888-2025</t>
        </is>
      </c>
      <c r="B715" s="1" t="n">
        <v>45758.67065972222</v>
      </c>
      <c r="C715" s="1" t="n">
        <v>45923</v>
      </c>
      <c r="D715" t="inlineStr">
        <is>
          <t>JÄMTLANDS LÄN</t>
        </is>
      </c>
      <c r="E715" t="inlineStr">
        <is>
          <t>KROKOM</t>
        </is>
      </c>
      <c r="G715" t="n">
        <v>0.9</v>
      </c>
      <c r="H715" t="n">
        <v>0</v>
      </c>
      <c r="I715" t="n">
        <v>0</v>
      </c>
      <c r="J715" t="n">
        <v>0</v>
      </c>
      <c r="K715" t="n">
        <v>0</v>
      </c>
      <c r="L715" t="n">
        <v>0</v>
      </c>
      <c r="M715" t="n">
        <v>0</v>
      </c>
      <c r="N715" t="n">
        <v>0</v>
      </c>
      <c r="O715" t="n">
        <v>0</v>
      </c>
      <c r="P715" t="n">
        <v>0</v>
      </c>
      <c r="Q715" t="n">
        <v>0</v>
      </c>
      <c r="R715" s="2" t="inlineStr"/>
    </row>
    <row r="716" ht="15" customHeight="1">
      <c r="A716" t="inlineStr">
        <is>
          <t>A 12188-2024</t>
        </is>
      </c>
      <c r="B716" s="1" t="n">
        <v>45377</v>
      </c>
      <c r="C716" s="1" t="n">
        <v>45923</v>
      </c>
      <c r="D716" t="inlineStr">
        <is>
          <t>JÄMTLANDS LÄN</t>
        </is>
      </c>
      <c r="E716" t="inlineStr">
        <is>
          <t>KROKOM</t>
        </is>
      </c>
      <c r="G716" t="n">
        <v>7.9</v>
      </c>
      <c r="H716" t="n">
        <v>0</v>
      </c>
      <c r="I716" t="n">
        <v>0</v>
      </c>
      <c r="J716" t="n">
        <v>0</v>
      </c>
      <c r="K716" t="n">
        <v>0</v>
      </c>
      <c r="L716" t="n">
        <v>0</v>
      </c>
      <c r="M716" t="n">
        <v>0</v>
      </c>
      <c r="N716" t="n">
        <v>0</v>
      </c>
      <c r="O716" t="n">
        <v>0</v>
      </c>
      <c r="P716" t="n">
        <v>0</v>
      </c>
      <c r="Q716" t="n">
        <v>0</v>
      </c>
      <c r="R716" s="2" t="inlineStr"/>
    </row>
    <row r="717" ht="15" customHeight="1">
      <c r="A717" t="inlineStr">
        <is>
          <t>A 41497-2024</t>
        </is>
      </c>
      <c r="B717" s="1" t="n">
        <v>45560.45841435185</v>
      </c>
      <c r="C717" s="1" t="n">
        <v>45923</v>
      </c>
      <c r="D717" t="inlineStr">
        <is>
          <t>JÄMTLANDS LÄN</t>
        </is>
      </c>
      <c r="E717" t="inlineStr">
        <is>
          <t>KROKOM</t>
        </is>
      </c>
      <c r="F717" t="inlineStr">
        <is>
          <t>Övriga Aktiebolag</t>
        </is>
      </c>
      <c r="G717" t="n">
        <v>2.4</v>
      </c>
      <c r="H717" t="n">
        <v>0</v>
      </c>
      <c r="I717" t="n">
        <v>0</v>
      </c>
      <c r="J717" t="n">
        <v>0</v>
      </c>
      <c r="K717" t="n">
        <v>0</v>
      </c>
      <c r="L717" t="n">
        <v>0</v>
      </c>
      <c r="M717" t="n">
        <v>0</v>
      </c>
      <c r="N717" t="n">
        <v>0</v>
      </c>
      <c r="O717" t="n">
        <v>0</v>
      </c>
      <c r="P717" t="n">
        <v>0</v>
      </c>
      <c r="Q717" t="n">
        <v>0</v>
      </c>
      <c r="R717" s="2" t="inlineStr"/>
    </row>
    <row r="718" ht="15" customHeight="1">
      <c r="A718" t="inlineStr">
        <is>
          <t>A 10773-2024</t>
        </is>
      </c>
      <c r="B718" s="1" t="n">
        <v>45369</v>
      </c>
      <c r="C718" s="1" t="n">
        <v>45923</v>
      </c>
      <c r="D718" t="inlineStr">
        <is>
          <t>JÄMTLANDS LÄN</t>
        </is>
      </c>
      <c r="E718" t="inlineStr">
        <is>
          <t>KROKOM</t>
        </is>
      </c>
      <c r="G718" t="n">
        <v>27.1</v>
      </c>
      <c r="H718" t="n">
        <v>0</v>
      </c>
      <c r="I718" t="n">
        <v>0</v>
      </c>
      <c r="J718" t="n">
        <v>0</v>
      </c>
      <c r="K718" t="n">
        <v>0</v>
      </c>
      <c r="L718" t="n">
        <v>0</v>
      </c>
      <c r="M718" t="n">
        <v>0</v>
      </c>
      <c r="N718" t="n">
        <v>0</v>
      </c>
      <c r="O718" t="n">
        <v>0</v>
      </c>
      <c r="P718" t="n">
        <v>0</v>
      </c>
      <c r="Q718" t="n">
        <v>0</v>
      </c>
      <c r="R718" s="2" t="inlineStr"/>
    </row>
    <row r="719" ht="15" customHeight="1">
      <c r="A719" t="inlineStr">
        <is>
          <t>A 5402-2025</t>
        </is>
      </c>
      <c r="B719" s="1" t="n">
        <v>45692.64298611111</v>
      </c>
      <c r="C719" s="1" t="n">
        <v>45923</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60680-2023</t>
        </is>
      </c>
      <c r="B720" s="1" t="n">
        <v>45260</v>
      </c>
      <c r="C720" s="1" t="n">
        <v>45923</v>
      </c>
      <c r="D720" t="inlineStr">
        <is>
          <t>JÄMTLANDS LÄN</t>
        </is>
      </c>
      <c r="E720" t="inlineStr">
        <is>
          <t>KROKOM</t>
        </is>
      </c>
      <c r="G720" t="n">
        <v>1</v>
      </c>
      <c r="H720" t="n">
        <v>0</v>
      </c>
      <c r="I720" t="n">
        <v>0</v>
      </c>
      <c r="J720" t="n">
        <v>0</v>
      </c>
      <c r="K720" t="n">
        <v>0</v>
      </c>
      <c r="L720" t="n">
        <v>0</v>
      </c>
      <c r="M720" t="n">
        <v>0</v>
      </c>
      <c r="N720" t="n">
        <v>0</v>
      </c>
      <c r="O720" t="n">
        <v>0</v>
      </c>
      <c r="P720" t="n">
        <v>0</v>
      </c>
      <c r="Q720" t="n">
        <v>0</v>
      </c>
      <c r="R720" s="2" t="inlineStr"/>
    </row>
    <row r="721" ht="15" customHeight="1">
      <c r="A721" t="inlineStr">
        <is>
          <t>A 11243-2025</t>
        </is>
      </c>
      <c r="B721" s="1" t="n">
        <v>45726.37850694444</v>
      </c>
      <c r="C721" s="1" t="n">
        <v>45923</v>
      </c>
      <c r="D721" t="inlineStr">
        <is>
          <t>JÄMTLANDS LÄN</t>
        </is>
      </c>
      <c r="E721" t="inlineStr">
        <is>
          <t>KROKOM</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71572-2021</t>
        </is>
      </c>
      <c r="B722" s="1" t="n">
        <v>44540</v>
      </c>
      <c r="C722" s="1" t="n">
        <v>45923</v>
      </c>
      <c r="D722" t="inlineStr">
        <is>
          <t>JÄMTLANDS LÄN</t>
        </is>
      </c>
      <c r="E722" t="inlineStr">
        <is>
          <t>KROKOM</t>
        </is>
      </c>
      <c r="G722" t="n">
        <v>0.9</v>
      </c>
      <c r="H722" t="n">
        <v>0</v>
      </c>
      <c r="I722" t="n">
        <v>0</v>
      </c>
      <c r="J722" t="n">
        <v>0</v>
      </c>
      <c r="K722" t="n">
        <v>0</v>
      </c>
      <c r="L722" t="n">
        <v>0</v>
      </c>
      <c r="M722" t="n">
        <v>0</v>
      </c>
      <c r="N722" t="n">
        <v>0</v>
      </c>
      <c r="O722" t="n">
        <v>0</v>
      </c>
      <c r="P722" t="n">
        <v>0</v>
      </c>
      <c r="Q722" t="n">
        <v>0</v>
      </c>
      <c r="R722" s="2" t="inlineStr"/>
    </row>
    <row r="723" ht="15" customHeight="1">
      <c r="A723" t="inlineStr">
        <is>
          <t>A 49046-2023</t>
        </is>
      </c>
      <c r="B723" s="1" t="n">
        <v>45209</v>
      </c>
      <c r="C723" s="1" t="n">
        <v>45923</v>
      </c>
      <c r="D723" t="inlineStr">
        <is>
          <t>JÄMTLANDS LÄN</t>
        </is>
      </c>
      <c r="E723" t="inlineStr">
        <is>
          <t>KROKOM</t>
        </is>
      </c>
      <c r="G723" t="n">
        <v>2.6</v>
      </c>
      <c r="H723" t="n">
        <v>0</v>
      </c>
      <c r="I723" t="n">
        <v>0</v>
      </c>
      <c r="J723" t="n">
        <v>0</v>
      </c>
      <c r="K723" t="n">
        <v>0</v>
      </c>
      <c r="L723" t="n">
        <v>0</v>
      </c>
      <c r="M723" t="n">
        <v>0</v>
      </c>
      <c r="N723" t="n">
        <v>0</v>
      </c>
      <c r="O723" t="n">
        <v>0</v>
      </c>
      <c r="P723" t="n">
        <v>0</v>
      </c>
      <c r="Q723" t="n">
        <v>0</v>
      </c>
      <c r="R723" s="2" t="inlineStr"/>
    </row>
    <row r="724" ht="15" customHeight="1">
      <c r="A724" t="inlineStr">
        <is>
          <t>A 15422-2025</t>
        </is>
      </c>
      <c r="B724" s="1" t="n">
        <v>45746</v>
      </c>
      <c r="C724" s="1" t="n">
        <v>45923</v>
      </c>
      <c r="D724" t="inlineStr">
        <is>
          <t>JÄMTLANDS LÄN</t>
        </is>
      </c>
      <c r="E724" t="inlineStr">
        <is>
          <t>KROKOM</t>
        </is>
      </c>
      <c r="F724" t="inlineStr">
        <is>
          <t>SCA</t>
        </is>
      </c>
      <c r="G724" t="n">
        <v>12.9</v>
      </c>
      <c r="H724" t="n">
        <v>0</v>
      </c>
      <c r="I724" t="n">
        <v>0</v>
      </c>
      <c r="J724" t="n">
        <v>0</v>
      </c>
      <c r="K724" t="n">
        <v>0</v>
      </c>
      <c r="L724" t="n">
        <v>0</v>
      </c>
      <c r="M724" t="n">
        <v>0</v>
      </c>
      <c r="N724" t="n">
        <v>0</v>
      </c>
      <c r="O724" t="n">
        <v>0</v>
      </c>
      <c r="P724" t="n">
        <v>0</v>
      </c>
      <c r="Q724" t="n">
        <v>0</v>
      </c>
      <c r="R724" s="2" t="inlineStr"/>
    </row>
    <row r="725" ht="15" customHeight="1">
      <c r="A725" t="inlineStr">
        <is>
          <t>A 11197-2024</t>
        </is>
      </c>
      <c r="B725" s="1" t="n">
        <v>45371</v>
      </c>
      <c r="C725" s="1" t="n">
        <v>45923</v>
      </c>
      <c r="D725" t="inlineStr">
        <is>
          <t>JÄMTLANDS LÄN</t>
        </is>
      </c>
      <c r="E725" t="inlineStr">
        <is>
          <t>KROKOM</t>
        </is>
      </c>
      <c r="G725" t="n">
        <v>15.3</v>
      </c>
      <c r="H725" t="n">
        <v>0</v>
      </c>
      <c r="I725" t="n">
        <v>0</v>
      </c>
      <c r="J725" t="n">
        <v>0</v>
      </c>
      <c r="K725" t="n">
        <v>0</v>
      </c>
      <c r="L725" t="n">
        <v>0</v>
      </c>
      <c r="M725" t="n">
        <v>0</v>
      </c>
      <c r="N725" t="n">
        <v>0</v>
      </c>
      <c r="O725" t="n">
        <v>0</v>
      </c>
      <c r="P725" t="n">
        <v>0</v>
      </c>
      <c r="Q725" t="n">
        <v>0</v>
      </c>
      <c r="R725" s="2" t="inlineStr"/>
    </row>
    <row r="726" ht="15" customHeight="1">
      <c r="A726" t="inlineStr">
        <is>
          <t>A 26805-2023</t>
        </is>
      </c>
      <c r="B726" s="1" t="n">
        <v>45090</v>
      </c>
      <c r="C726" s="1" t="n">
        <v>45923</v>
      </c>
      <c r="D726" t="inlineStr">
        <is>
          <t>JÄMTLANDS LÄN</t>
        </is>
      </c>
      <c r="E726" t="inlineStr">
        <is>
          <t>KROKOM</t>
        </is>
      </c>
      <c r="G726" t="n">
        <v>20.4</v>
      </c>
      <c r="H726" t="n">
        <v>0</v>
      </c>
      <c r="I726" t="n">
        <v>0</v>
      </c>
      <c r="J726" t="n">
        <v>0</v>
      </c>
      <c r="K726" t="n">
        <v>0</v>
      </c>
      <c r="L726" t="n">
        <v>0</v>
      </c>
      <c r="M726" t="n">
        <v>0</v>
      </c>
      <c r="N726" t="n">
        <v>0</v>
      </c>
      <c r="O726" t="n">
        <v>0</v>
      </c>
      <c r="P726" t="n">
        <v>0</v>
      </c>
      <c r="Q726" t="n">
        <v>0</v>
      </c>
      <c r="R726" s="2" t="inlineStr"/>
    </row>
    <row r="727" ht="15" customHeight="1">
      <c r="A727" t="inlineStr">
        <is>
          <t>A 4369-2025</t>
        </is>
      </c>
      <c r="B727" s="1" t="n">
        <v>45686.35247685185</v>
      </c>
      <c r="C727" s="1" t="n">
        <v>45923</v>
      </c>
      <c r="D727" t="inlineStr">
        <is>
          <t>JÄMTLANDS LÄN</t>
        </is>
      </c>
      <c r="E727" t="inlineStr">
        <is>
          <t>KROKOM</t>
        </is>
      </c>
      <c r="F727" t="inlineStr">
        <is>
          <t>SCA</t>
        </is>
      </c>
      <c r="G727" t="n">
        <v>45.4</v>
      </c>
      <c r="H727" t="n">
        <v>0</v>
      </c>
      <c r="I727" t="n">
        <v>0</v>
      </c>
      <c r="J727" t="n">
        <v>0</v>
      </c>
      <c r="K727" t="n">
        <v>0</v>
      </c>
      <c r="L727" t="n">
        <v>0</v>
      </c>
      <c r="M727" t="n">
        <v>0</v>
      </c>
      <c r="N727" t="n">
        <v>0</v>
      </c>
      <c r="O727" t="n">
        <v>0</v>
      </c>
      <c r="P727" t="n">
        <v>0</v>
      </c>
      <c r="Q727" t="n">
        <v>0</v>
      </c>
      <c r="R727" s="2" t="inlineStr"/>
    </row>
    <row r="728" ht="15" customHeight="1">
      <c r="A728" t="inlineStr">
        <is>
          <t>A 40219-2024</t>
        </is>
      </c>
      <c r="B728" s="1" t="n">
        <v>45554.59538194445</v>
      </c>
      <c r="C728" s="1" t="n">
        <v>45923</v>
      </c>
      <c r="D728" t="inlineStr">
        <is>
          <t>JÄMTLANDS LÄN</t>
        </is>
      </c>
      <c r="E728" t="inlineStr">
        <is>
          <t>KROKOM</t>
        </is>
      </c>
      <c r="G728" t="n">
        <v>3.7</v>
      </c>
      <c r="H728" t="n">
        <v>0</v>
      </c>
      <c r="I728" t="n">
        <v>0</v>
      </c>
      <c r="J728" t="n">
        <v>0</v>
      </c>
      <c r="K728" t="n">
        <v>0</v>
      </c>
      <c r="L728" t="n">
        <v>0</v>
      </c>
      <c r="M728" t="n">
        <v>0</v>
      </c>
      <c r="N728" t="n">
        <v>0</v>
      </c>
      <c r="O728" t="n">
        <v>0</v>
      </c>
      <c r="P728" t="n">
        <v>0</v>
      </c>
      <c r="Q728" t="n">
        <v>0</v>
      </c>
      <c r="R728" s="2" t="inlineStr"/>
    </row>
    <row r="729" ht="15" customHeight="1">
      <c r="A729" t="inlineStr">
        <is>
          <t>A 11386-2025</t>
        </is>
      </c>
      <c r="B729" s="1" t="n">
        <v>45726.56341435185</v>
      </c>
      <c r="C729" s="1" t="n">
        <v>45923</v>
      </c>
      <c r="D729" t="inlineStr">
        <is>
          <t>JÄMTLANDS LÄN</t>
        </is>
      </c>
      <c r="E729" t="inlineStr">
        <is>
          <t>KROKOM</t>
        </is>
      </c>
      <c r="F729" t="inlineStr">
        <is>
          <t>Övriga Aktiebolag</t>
        </is>
      </c>
      <c r="G729" t="n">
        <v>42.4</v>
      </c>
      <c r="H729" t="n">
        <v>0</v>
      </c>
      <c r="I729" t="n">
        <v>0</v>
      </c>
      <c r="J729" t="n">
        <v>0</v>
      </c>
      <c r="K729" t="n">
        <v>0</v>
      </c>
      <c r="L729" t="n">
        <v>0</v>
      </c>
      <c r="M729" t="n">
        <v>0</v>
      </c>
      <c r="N729" t="n">
        <v>0</v>
      </c>
      <c r="O729" t="n">
        <v>0</v>
      </c>
      <c r="P729" t="n">
        <v>0</v>
      </c>
      <c r="Q729" t="n">
        <v>0</v>
      </c>
      <c r="R729" s="2" t="inlineStr"/>
    </row>
    <row r="730" ht="15" customHeight="1">
      <c r="A730" t="inlineStr">
        <is>
          <t>A 11403-2025</t>
        </is>
      </c>
      <c r="B730" s="1" t="n">
        <v>45726.5827199074</v>
      </c>
      <c r="C730" s="1" t="n">
        <v>45923</v>
      </c>
      <c r="D730" t="inlineStr">
        <is>
          <t>JÄMTLANDS LÄN</t>
        </is>
      </c>
      <c r="E730" t="inlineStr">
        <is>
          <t>KROKOM</t>
        </is>
      </c>
      <c r="G730" t="n">
        <v>4.4</v>
      </c>
      <c r="H730" t="n">
        <v>0</v>
      </c>
      <c r="I730" t="n">
        <v>0</v>
      </c>
      <c r="J730" t="n">
        <v>0</v>
      </c>
      <c r="K730" t="n">
        <v>0</v>
      </c>
      <c r="L730" t="n">
        <v>0</v>
      </c>
      <c r="M730" t="n">
        <v>0</v>
      </c>
      <c r="N730" t="n">
        <v>0</v>
      </c>
      <c r="O730" t="n">
        <v>0</v>
      </c>
      <c r="P730" t="n">
        <v>0</v>
      </c>
      <c r="Q730" t="n">
        <v>0</v>
      </c>
      <c r="R730" s="2" t="inlineStr"/>
    </row>
    <row r="731" ht="15" customHeight="1">
      <c r="A731" t="inlineStr">
        <is>
          <t>A 11436-2025</t>
        </is>
      </c>
      <c r="B731" s="1" t="n">
        <v>45726.61520833334</v>
      </c>
      <c r="C731" s="1" t="n">
        <v>45923</v>
      </c>
      <c r="D731" t="inlineStr">
        <is>
          <t>JÄMTLANDS LÄN</t>
        </is>
      </c>
      <c r="E731" t="inlineStr">
        <is>
          <t>KROKOM</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18826-2023</t>
        </is>
      </c>
      <c r="B732" s="1" t="n">
        <v>45042</v>
      </c>
      <c r="C732" s="1" t="n">
        <v>45923</v>
      </c>
      <c r="D732" t="inlineStr">
        <is>
          <t>JÄMTLANDS LÄN</t>
        </is>
      </c>
      <c r="E732" t="inlineStr">
        <is>
          <t>KROKOM</t>
        </is>
      </c>
      <c r="G732" t="n">
        <v>17.1</v>
      </c>
      <c r="H732" t="n">
        <v>0</v>
      </c>
      <c r="I732" t="n">
        <v>0</v>
      </c>
      <c r="J732" t="n">
        <v>0</v>
      </c>
      <c r="K732" t="n">
        <v>0</v>
      </c>
      <c r="L732" t="n">
        <v>0</v>
      </c>
      <c r="M732" t="n">
        <v>0</v>
      </c>
      <c r="N732" t="n">
        <v>0</v>
      </c>
      <c r="O732" t="n">
        <v>0</v>
      </c>
      <c r="P732" t="n">
        <v>0</v>
      </c>
      <c r="Q732" t="n">
        <v>0</v>
      </c>
      <c r="R732" s="2" t="inlineStr"/>
    </row>
    <row r="733" ht="15" customHeight="1">
      <c r="A733" t="inlineStr">
        <is>
          <t>A 31821-2023</t>
        </is>
      </c>
      <c r="B733" s="1" t="n">
        <v>45118</v>
      </c>
      <c r="C733" s="1" t="n">
        <v>45923</v>
      </c>
      <c r="D733" t="inlineStr">
        <is>
          <t>JÄMTLANDS LÄN</t>
        </is>
      </c>
      <c r="E733" t="inlineStr">
        <is>
          <t>KROKOM</t>
        </is>
      </c>
      <c r="G733" t="n">
        <v>0.1</v>
      </c>
      <c r="H733" t="n">
        <v>0</v>
      </c>
      <c r="I733" t="n">
        <v>0</v>
      </c>
      <c r="J733" t="n">
        <v>0</v>
      </c>
      <c r="K733" t="n">
        <v>0</v>
      </c>
      <c r="L733" t="n">
        <v>0</v>
      </c>
      <c r="M733" t="n">
        <v>0</v>
      </c>
      <c r="N733" t="n">
        <v>0</v>
      </c>
      <c r="O733" t="n">
        <v>0</v>
      </c>
      <c r="P733" t="n">
        <v>0</v>
      </c>
      <c r="Q733" t="n">
        <v>0</v>
      </c>
      <c r="R733" s="2" t="inlineStr"/>
    </row>
    <row r="734" ht="15" customHeight="1">
      <c r="A734" t="inlineStr">
        <is>
          <t>A 49875-2024</t>
        </is>
      </c>
      <c r="B734" s="1" t="n">
        <v>45597.49638888889</v>
      </c>
      <c r="C734" s="1" t="n">
        <v>45923</v>
      </c>
      <c r="D734" t="inlineStr">
        <is>
          <t>JÄMTLANDS LÄN</t>
        </is>
      </c>
      <c r="E734" t="inlineStr">
        <is>
          <t>KROKOM</t>
        </is>
      </c>
      <c r="G734" t="n">
        <v>2.5</v>
      </c>
      <c r="H734" t="n">
        <v>0</v>
      </c>
      <c r="I734" t="n">
        <v>0</v>
      </c>
      <c r="J734" t="n">
        <v>0</v>
      </c>
      <c r="K734" t="n">
        <v>0</v>
      </c>
      <c r="L734" t="n">
        <v>0</v>
      </c>
      <c r="M734" t="n">
        <v>0</v>
      </c>
      <c r="N734" t="n">
        <v>0</v>
      </c>
      <c r="O734" t="n">
        <v>0</v>
      </c>
      <c r="P734" t="n">
        <v>0</v>
      </c>
      <c r="Q734" t="n">
        <v>0</v>
      </c>
      <c r="R734" s="2" t="inlineStr"/>
    </row>
    <row r="735" ht="15" customHeight="1">
      <c r="A735" t="inlineStr">
        <is>
          <t>A 59668-2023</t>
        </is>
      </c>
      <c r="B735" s="1" t="n">
        <v>45254</v>
      </c>
      <c r="C735" s="1" t="n">
        <v>45923</v>
      </c>
      <c r="D735" t="inlineStr">
        <is>
          <t>JÄMTLANDS LÄN</t>
        </is>
      </c>
      <c r="E735" t="inlineStr">
        <is>
          <t>KROKOM</t>
        </is>
      </c>
      <c r="G735" t="n">
        <v>1.8</v>
      </c>
      <c r="H735" t="n">
        <v>0</v>
      </c>
      <c r="I735" t="n">
        <v>0</v>
      </c>
      <c r="J735" t="n">
        <v>0</v>
      </c>
      <c r="K735" t="n">
        <v>0</v>
      </c>
      <c r="L735" t="n">
        <v>0</v>
      </c>
      <c r="M735" t="n">
        <v>0</v>
      </c>
      <c r="N735" t="n">
        <v>0</v>
      </c>
      <c r="O735" t="n">
        <v>0</v>
      </c>
      <c r="P735" t="n">
        <v>0</v>
      </c>
      <c r="Q735" t="n">
        <v>0</v>
      </c>
      <c r="R735" s="2" t="inlineStr"/>
    </row>
    <row r="736" ht="15" customHeight="1">
      <c r="A736" t="inlineStr">
        <is>
          <t>A 64163-2023</t>
        </is>
      </c>
      <c r="B736" s="1" t="n">
        <v>45279</v>
      </c>
      <c r="C736" s="1" t="n">
        <v>45923</v>
      </c>
      <c r="D736" t="inlineStr">
        <is>
          <t>JÄMTLANDS LÄN</t>
        </is>
      </c>
      <c r="E736" t="inlineStr">
        <is>
          <t>KROKOM</t>
        </is>
      </c>
      <c r="G736" t="n">
        <v>15.8</v>
      </c>
      <c r="H736" t="n">
        <v>0</v>
      </c>
      <c r="I736" t="n">
        <v>0</v>
      </c>
      <c r="J736" t="n">
        <v>0</v>
      </c>
      <c r="K736" t="n">
        <v>0</v>
      </c>
      <c r="L736" t="n">
        <v>0</v>
      </c>
      <c r="M736" t="n">
        <v>0</v>
      </c>
      <c r="N736" t="n">
        <v>0</v>
      </c>
      <c r="O736" t="n">
        <v>0</v>
      </c>
      <c r="P736" t="n">
        <v>0</v>
      </c>
      <c r="Q736" t="n">
        <v>0</v>
      </c>
      <c r="R736" s="2" t="inlineStr"/>
    </row>
    <row r="737" ht="15" customHeight="1">
      <c r="A737" t="inlineStr">
        <is>
          <t>A 30771-2023</t>
        </is>
      </c>
      <c r="B737" s="1" t="n">
        <v>45112</v>
      </c>
      <c r="C737" s="1" t="n">
        <v>45923</v>
      </c>
      <c r="D737" t="inlineStr">
        <is>
          <t>JÄMTLANDS LÄN</t>
        </is>
      </c>
      <c r="E737" t="inlineStr">
        <is>
          <t>KROKOM</t>
        </is>
      </c>
      <c r="G737" t="n">
        <v>10.6</v>
      </c>
      <c r="H737" t="n">
        <v>0</v>
      </c>
      <c r="I737" t="n">
        <v>0</v>
      </c>
      <c r="J737" t="n">
        <v>0</v>
      </c>
      <c r="K737" t="n">
        <v>0</v>
      </c>
      <c r="L737" t="n">
        <v>0</v>
      </c>
      <c r="M737" t="n">
        <v>0</v>
      </c>
      <c r="N737" t="n">
        <v>0</v>
      </c>
      <c r="O737" t="n">
        <v>0</v>
      </c>
      <c r="P737" t="n">
        <v>0</v>
      </c>
      <c r="Q737" t="n">
        <v>0</v>
      </c>
      <c r="R737" s="2" t="inlineStr"/>
    </row>
    <row r="738" ht="15" customHeight="1">
      <c r="A738" t="inlineStr">
        <is>
          <t>A 34502-2023</t>
        </is>
      </c>
      <c r="B738" s="1" t="n">
        <v>45133</v>
      </c>
      <c r="C738" s="1" t="n">
        <v>45923</v>
      </c>
      <c r="D738" t="inlineStr">
        <is>
          <t>JÄMTLANDS LÄN</t>
        </is>
      </c>
      <c r="E738" t="inlineStr">
        <is>
          <t>KROKOM</t>
        </is>
      </c>
      <c r="G738" t="n">
        <v>6.9</v>
      </c>
      <c r="H738" t="n">
        <v>0</v>
      </c>
      <c r="I738" t="n">
        <v>0</v>
      </c>
      <c r="J738" t="n">
        <v>0</v>
      </c>
      <c r="K738" t="n">
        <v>0</v>
      </c>
      <c r="L738" t="n">
        <v>0</v>
      </c>
      <c r="M738" t="n">
        <v>0</v>
      </c>
      <c r="N738" t="n">
        <v>0</v>
      </c>
      <c r="O738" t="n">
        <v>0</v>
      </c>
      <c r="P738" t="n">
        <v>0</v>
      </c>
      <c r="Q738" t="n">
        <v>0</v>
      </c>
      <c r="R738" s="2" t="inlineStr"/>
    </row>
    <row r="739" ht="15" customHeight="1">
      <c r="A739" t="inlineStr">
        <is>
          <t>A 71307-2021</t>
        </is>
      </c>
      <c r="B739" s="1" t="n">
        <v>44539</v>
      </c>
      <c r="C739" s="1" t="n">
        <v>45923</v>
      </c>
      <c r="D739" t="inlineStr">
        <is>
          <t>JÄMTLANDS LÄN</t>
        </is>
      </c>
      <c r="E739" t="inlineStr">
        <is>
          <t>KROKOM</t>
        </is>
      </c>
      <c r="G739" t="n">
        <v>21.5</v>
      </c>
      <c r="H739" t="n">
        <v>0</v>
      </c>
      <c r="I739" t="n">
        <v>0</v>
      </c>
      <c r="J739" t="n">
        <v>0</v>
      </c>
      <c r="K739" t="n">
        <v>0</v>
      </c>
      <c r="L739" t="n">
        <v>0</v>
      </c>
      <c r="M739" t="n">
        <v>0</v>
      </c>
      <c r="N739" t="n">
        <v>0</v>
      </c>
      <c r="O739" t="n">
        <v>0</v>
      </c>
      <c r="P739" t="n">
        <v>0</v>
      </c>
      <c r="Q739" t="n">
        <v>0</v>
      </c>
      <c r="R739" s="2" t="inlineStr"/>
    </row>
    <row r="740" ht="15" customHeight="1">
      <c r="A740" t="inlineStr">
        <is>
          <t>A 51345-2022</t>
        </is>
      </c>
      <c r="B740" s="1" t="n">
        <v>44866</v>
      </c>
      <c r="C740" s="1" t="n">
        <v>45923</v>
      </c>
      <c r="D740" t="inlineStr">
        <is>
          <t>JÄMTLANDS LÄN</t>
        </is>
      </c>
      <c r="E740" t="inlineStr">
        <is>
          <t>KROKOM</t>
        </is>
      </c>
      <c r="G740" t="n">
        <v>1.8</v>
      </c>
      <c r="H740" t="n">
        <v>0</v>
      </c>
      <c r="I740" t="n">
        <v>0</v>
      </c>
      <c r="J740" t="n">
        <v>0</v>
      </c>
      <c r="K740" t="n">
        <v>0</v>
      </c>
      <c r="L740" t="n">
        <v>0</v>
      </c>
      <c r="M740" t="n">
        <v>0</v>
      </c>
      <c r="N740" t="n">
        <v>0</v>
      </c>
      <c r="O740" t="n">
        <v>0</v>
      </c>
      <c r="P740" t="n">
        <v>0</v>
      </c>
      <c r="Q740" t="n">
        <v>0</v>
      </c>
      <c r="R740" s="2" t="inlineStr"/>
    </row>
    <row r="741" ht="15" customHeight="1">
      <c r="A741" t="inlineStr">
        <is>
          <t>A 57239-2023</t>
        </is>
      </c>
      <c r="B741" s="1" t="n">
        <v>45245.5478125</v>
      </c>
      <c r="C741" s="1" t="n">
        <v>45923</v>
      </c>
      <c r="D741" t="inlineStr">
        <is>
          <t>JÄMTLANDS LÄN</t>
        </is>
      </c>
      <c r="E741" t="inlineStr">
        <is>
          <t>KROKOM</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16349-2024</t>
        </is>
      </c>
      <c r="B742" s="1" t="n">
        <v>45407</v>
      </c>
      <c r="C742" s="1" t="n">
        <v>45923</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11639-2024</t>
        </is>
      </c>
      <c r="B743" s="1" t="n">
        <v>45373</v>
      </c>
      <c r="C743" s="1" t="n">
        <v>45923</v>
      </c>
      <c r="D743" t="inlineStr">
        <is>
          <t>JÄMTLANDS LÄN</t>
        </is>
      </c>
      <c r="E743" t="inlineStr">
        <is>
          <t>KROKOM</t>
        </is>
      </c>
      <c r="G743" t="n">
        <v>22.2</v>
      </c>
      <c r="H743" t="n">
        <v>0</v>
      </c>
      <c r="I743" t="n">
        <v>0</v>
      </c>
      <c r="J743" t="n">
        <v>0</v>
      </c>
      <c r="K743" t="n">
        <v>0</v>
      </c>
      <c r="L743" t="n">
        <v>0</v>
      </c>
      <c r="M743" t="n">
        <v>0</v>
      </c>
      <c r="N743" t="n">
        <v>0</v>
      </c>
      <c r="O743" t="n">
        <v>0</v>
      </c>
      <c r="P743" t="n">
        <v>0</v>
      </c>
      <c r="Q743" t="n">
        <v>0</v>
      </c>
      <c r="R743" s="2" t="inlineStr"/>
    </row>
    <row r="744" ht="15" customHeight="1">
      <c r="A744" t="inlineStr">
        <is>
          <t>A 15634-2025</t>
        </is>
      </c>
      <c r="B744" s="1" t="n">
        <v>45748.37173611111</v>
      </c>
      <c r="C744" s="1" t="n">
        <v>45923</v>
      </c>
      <c r="D744" t="inlineStr">
        <is>
          <t>JÄMTLANDS LÄN</t>
        </is>
      </c>
      <c r="E744" t="inlineStr">
        <is>
          <t>KROKOM</t>
        </is>
      </c>
      <c r="G744" t="n">
        <v>4.1</v>
      </c>
      <c r="H744" t="n">
        <v>0</v>
      </c>
      <c r="I744" t="n">
        <v>0</v>
      </c>
      <c r="J744" t="n">
        <v>0</v>
      </c>
      <c r="K744" t="n">
        <v>0</v>
      </c>
      <c r="L744" t="n">
        <v>0</v>
      </c>
      <c r="M744" t="n">
        <v>0</v>
      </c>
      <c r="N744" t="n">
        <v>0</v>
      </c>
      <c r="O744" t="n">
        <v>0</v>
      </c>
      <c r="P744" t="n">
        <v>0</v>
      </c>
      <c r="Q744" t="n">
        <v>0</v>
      </c>
      <c r="R744" s="2" t="inlineStr"/>
    </row>
    <row r="745" ht="15" customHeight="1">
      <c r="A745" t="inlineStr">
        <is>
          <t>A 42828-2023</t>
        </is>
      </c>
      <c r="B745" s="1" t="n">
        <v>45182</v>
      </c>
      <c r="C745" s="1" t="n">
        <v>45923</v>
      </c>
      <c r="D745" t="inlineStr">
        <is>
          <t>JÄMTLANDS LÄN</t>
        </is>
      </c>
      <c r="E745" t="inlineStr">
        <is>
          <t>KROKOM</t>
        </is>
      </c>
      <c r="G745" t="n">
        <v>0.2</v>
      </c>
      <c r="H745" t="n">
        <v>0</v>
      </c>
      <c r="I745" t="n">
        <v>0</v>
      </c>
      <c r="J745" t="n">
        <v>0</v>
      </c>
      <c r="K745" t="n">
        <v>0</v>
      </c>
      <c r="L745" t="n">
        <v>0</v>
      </c>
      <c r="M745" t="n">
        <v>0</v>
      </c>
      <c r="N745" t="n">
        <v>0</v>
      </c>
      <c r="O745" t="n">
        <v>0</v>
      </c>
      <c r="P745" t="n">
        <v>0</v>
      </c>
      <c r="Q745" t="n">
        <v>0</v>
      </c>
      <c r="R745" s="2" t="inlineStr"/>
    </row>
    <row r="746" ht="15" customHeight="1">
      <c r="A746" t="inlineStr">
        <is>
          <t>A 11193-2024</t>
        </is>
      </c>
      <c r="B746" s="1" t="n">
        <v>45371</v>
      </c>
      <c r="C746" s="1" t="n">
        <v>45923</v>
      </c>
      <c r="D746" t="inlineStr">
        <is>
          <t>JÄMTLANDS LÄN</t>
        </is>
      </c>
      <c r="E746" t="inlineStr">
        <is>
          <t>KROKOM</t>
        </is>
      </c>
      <c r="G746" t="n">
        <v>6.2</v>
      </c>
      <c r="H746" t="n">
        <v>0</v>
      </c>
      <c r="I746" t="n">
        <v>0</v>
      </c>
      <c r="J746" t="n">
        <v>0</v>
      </c>
      <c r="K746" t="n">
        <v>0</v>
      </c>
      <c r="L746" t="n">
        <v>0</v>
      </c>
      <c r="M746" t="n">
        <v>0</v>
      </c>
      <c r="N746" t="n">
        <v>0</v>
      </c>
      <c r="O746" t="n">
        <v>0</v>
      </c>
      <c r="P746" t="n">
        <v>0</v>
      </c>
      <c r="Q746" t="n">
        <v>0</v>
      </c>
      <c r="R746" s="2" t="inlineStr"/>
    </row>
    <row r="747" ht="15" customHeight="1">
      <c r="A747" t="inlineStr">
        <is>
          <t>A 6347-2023</t>
        </is>
      </c>
      <c r="B747" s="1" t="n">
        <v>44965</v>
      </c>
      <c r="C747" s="1" t="n">
        <v>45923</v>
      </c>
      <c r="D747" t="inlineStr">
        <is>
          <t>JÄMTLANDS LÄN</t>
        </is>
      </c>
      <c r="E747" t="inlineStr">
        <is>
          <t>KROKOM</t>
        </is>
      </c>
      <c r="F747" t="inlineStr">
        <is>
          <t>Övriga Aktiebolag</t>
        </is>
      </c>
      <c r="G747" t="n">
        <v>11</v>
      </c>
      <c r="H747" t="n">
        <v>0</v>
      </c>
      <c r="I747" t="n">
        <v>0</v>
      </c>
      <c r="J747" t="n">
        <v>0</v>
      </c>
      <c r="K747" t="n">
        <v>0</v>
      </c>
      <c r="L747" t="n">
        <v>0</v>
      </c>
      <c r="M747" t="n">
        <v>0</v>
      </c>
      <c r="N747" t="n">
        <v>0</v>
      </c>
      <c r="O747" t="n">
        <v>0</v>
      </c>
      <c r="P747" t="n">
        <v>0</v>
      </c>
      <c r="Q747" t="n">
        <v>0</v>
      </c>
      <c r="R747" s="2" t="inlineStr"/>
    </row>
    <row r="748" ht="15" customHeight="1">
      <c r="A748" t="inlineStr">
        <is>
          <t>A 14184-2024</t>
        </is>
      </c>
      <c r="B748" s="1" t="n">
        <v>45393</v>
      </c>
      <c r="C748" s="1" t="n">
        <v>45923</v>
      </c>
      <c r="D748" t="inlineStr">
        <is>
          <t>JÄMTLANDS LÄN</t>
        </is>
      </c>
      <c r="E748" t="inlineStr">
        <is>
          <t>KROKOM</t>
        </is>
      </c>
      <c r="G748" t="n">
        <v>1.7</v>
      </c>
      <c r="H748" t="n">
        <v>0</v>
      </c>
      <c r="I748" t="n">
        <v>0</v>
      </c>
      <c r="J748" t="n">
        <v>0</v>
      </c>
      <c r="K748" t="n">
        <v>0</v>
      </c>
      <c r="L748" t="n">
        <v>0</v>
      </c>
      <c r="M748" t="n">
        <v>0</v>
      </c>
      <c r="N748" t="n">
        <v>0</v>
      </c>
      <c r="O748" t="n">
        <v>0</v>
      </c>
      <c r="P748" t="n">
        <v>0</v>
      </c>
      <c r="Q748" t="n">
        <v>0</v>
      </c>
      <c r="R748" s="2" t="inlineStr"/>
    </row>
    <row r="749" ht="15" customHeight="1">
      <c r="A749" t="inlineStr">
        <is>
          <t>A 73174-2021</t>
        </is>
      </c>
      <c r="B749" s="1" t="n">
        <v>44550</v>
      </c>
      <c r="C749" s="1" t="n">
        <v>45923</v>
      </c>
      <c r="D749" t="inlineStr">
        <is>
          <t>JÄMTLANDS LÄN</t>
        </is>
      </c>
      <c r="E749" t="inlineStr">
        <is>
          <t>KROKOM</t>
        </is>
      </c>
      <c r="G749" t="n">
        <v>152.9</v>
      </c>
      <c r="H749" t="n">
        <v>0</v>
      </c>
      <c r="I749" t="n">
        <v>0</v>
      </c>
      <c r="J749" t="n">
        <v>0</v>
      </c>
      <c r="K749" t="n">
        <v>0</v>
      </c>
      <c r="L749" t="n">
        <v>0</v>
      </c>
      <c r="M749" t="n">
        <v>0</v>
      </c>
      <c r="N749" t="n">
        <v>0</v>
      </c>
      <c r="O749" t="n">
        <v>0</v>
      </c>
      <c r="P749" t="n">
        <v>0</v>
      </c>
      <c r="Q749" t="n">
        <v>0</v>
      </c>
      <c r="R749" s="2" t="inlineStr"/>
    </row>
    <row r="750" ht="15" customHeight="1">
      <c r="A750" t="inlineStr">
        <is>
          <t>A 9132-2023</t>
        </is>
      </c>
      <c r="B750" s="1" t="n">
        <v>44974</v>
      </c>
      <c r="C750" s="1" t="n">
        <v>45923</v>
      </c>
      <c r="D750" t="inlineStr">
        <is>
          <t>JÄMTLANDS LÄN</t>
        </is>
      </c>
      <c r="E750" t="inlineStr">
        <is>
          <t>KROKOM</t>
        </is>
      </c>
      <c r="F750" t="inlineStr">
        <is>
          <t>SCA</t>
        </is>
      </c>
      <c r="G750" t="n">
        <v>22.7</v>
      </c>
      <c r="H750" t="n">
        <v>0</v>
      </c>
      <c r="I750" t="n">
        <v>0</v>
      </c>
      <c r="J750" t="n">
        <v>0</v>
      </c>
      <c r="K750" t="n">
        <v>0</v>
      </c>
      <c r="L750" t="n">
        <v>0</v>
      </c>
      <c r="M750" t="n">
        <v>0</v>
      </c>
      <c r="N750" t="n">
        <v>0</v>
      </c>
      <c r="O750" t="n">
        <v>0</v>
      </c>
      <c r="P750" t="n">
        <v>0</v>
      </c>
      <c r="Q750" t="n">
        <v>0</v>
      </c>
      <c r="R750" s="2" t="inlineStr"/>
    </row>
    <row r="751" ht="15" customHeight="1">
      <c r="A751" t="inlineStr">
        <is>
          <t>A 62413-2023</t>
        </is>
      </c>
      <c r="B751" s="1" t="n">
        <v>45266</v>
      </c>
      <c r="C751" s="1" t="n">
        <v>45923</v>
      </c>
      <c r="D751" t="inlineStr">
        <is>
          <t>JÄMTLANDS LÄN</t>
        </is>
      </c>
      <c r="E751" t="inlineStr">
        <is>
          <t>KROKOM</t>
        </is>
      </c>
      <c r="G751" t="n">
        <v>12.8</v>
      </c>
      <c r="H751" t="n">
        <v>0</v>
      </c>
      <c r="I751" t="n">
        <v>0</v>
      </c>
      <c r="J751" t="n">
        <v>0</v>
      </c>
      <c r="K751" t="n">
        <v>0</v>
      </c>
      <c r="L751" t="n">
        <v>0</v>
      </c>
      <c r="M751" t="n">
        <v>0</v>
      </c>
      <c r="N751" t="n">
        <v>0</v>
      </c>
      <c r="O751" t="n">
        <v>0</v>
      </c>
      <c r="P751" t="n">
        <v>0</v>
      </c>
      <c r="Q751" t="n">
        <v>0</v>
      </c>
      <c r="R751" s="2" t="inlineStr"/>
    </row>
    <row r="752" ht="15" customHeight="1">
      <c r="A752" t="inlineStr">
        <is>
          <t>A 57304-2021</t>
        </is>
      </c>
      <c r="B752" s="1" t="n">
        <v>44483.42253472222</v>
      </c>
      <c r="C752" s="1" t="n">
        <v>45923</v>
      </c>
      <c r="D752" t="inlineStr">
        <is>
          <t>JÄMTLANDS LÄN</t>
        </is>
      </c>
      <c r="E752" t="inlineStr">
        <is>
          <t>KROKOM</t>
        </is>
      </c>
      <c r="G752" t="n">
        <v>2.9</v>
      </c>
      <c r="H752" t="n">
        <v>0</v>
      </c>
      <c r="I752" t="n">
        <v>0</v>
      </c>
      <c r="J752" t="n">
        <v>0</v>
      </c>
      <c r="K752" t="n">
        <v>0</v>
      </c>
      <c r="L752" t="n">
        <v>0</v>
      </c>
      <c r="M752" t="n">
        <v>0</v>
      </c>
      <c r="N752" t="n">
        <v>0</v>
      </c>
      <c r="O752" t="n">
        <v>0</v>
      </c>
      <c r="P752" t="n">
        <v>0</v>
      </c>
      <c r="Q752" t="n">
        <v>0</v>
      </c>
      <c r="R752" s="2" t="inlineStr"/>
    </row>
    <row r="753" ht="15" customHeight="1">
      <c r="A753" t="inlineStr">
        <is>
          <t>A 57259-2023</t>
        </is>
      </c>
      <c r="B753" s="1" t="n">
        <v>45245</v>
      </c>
      <c r="C753" s="1" t="n">
        <v>45923</v>
      </c>
      <c r="D753" t="inlineStr">
        <is>
          <t>JÄMTLANDS LÄN</t>
        </is>
      </c>
      <c r="E753" t="inlineStr">
        <is>
          <t>KROKOM</t>
        </is>
      </c>
      <c r="G753" t="n">
        <v>9.6</v>
      </c>
      <c r="H753" t="n">
        <v>0</v>
      </c>
      <c r="I753" t="n">
        <v>0</v>
      </c>
      <c r="J753" t="n">
        <v>0</v>
      </c>
      <c r="K753" t="n">
        <v>0</v>
      </c>
      <c r="L753" t="n">
        <v>0</v>
      </c>
      <c r="M753" t="n">
        <v>0</v>
      </c>
      <c r="N753" t="n">
        <v>0</v>
      </c>
      <c r="O753" t="n">
        <v>0</v>
      </c>
      <c r="P753" t="n">
        <v>0</v>
      </c>
      <c r="Q753" t="n">
        <v>0</v>
      </c>
      <c r="R753" s="2" t="inlineStr"/>
    </row>
    <row r="754" ht="15" customHeight="1">
      <c r="A754" t="inlineStr">
        <is>
          <t>A 5173-2025</t>
        </is>
      </c>
      <c r="B754" s="1" t="n">
        <v>45691.61996527778</v>
      </c>
      <c r="C754" s="1" t="n">
        <v>45923</v>
      </c>
      <c r="D754" t="inlineStr">
        <is>
          <t>JÄMTLANDS LÄN</t>
        </is>
      </c>
      <c r="E754" t="inlineStr">
        <is>
          <t>KROKOM</t>
        </is>
      </c>
      <c r="F754" t="inlineStr">
        <is>
          <t>Kyrkan</t>
        </is>
      </c>
      <c r="G754" t="n">
        <v>6.6</v>
      </c>
      <c r="H754" t="n">
        <v>0</v>
      </c>
      <c r="I754" t="n">
        <v>0</v>
      </c>
      <c r="J754" t="n">
        <v>0</v>
      </c>
      <c r="K754" t="n">
        <v>0</v>
      </c>
      <c r="L754" t="n">
        <v>0</v>
      </c>
      <c r="M754" t="n">
        <v>0</v>
      </c>
      <c r="N754" t="n">
        <v>0</v>
      </c>
      <c r="O754" t="n">
        <v>0</v>
      </c>
      <c r="P754" t="n">
        <v>0</v>
      </c>
      <c r="Q754" t="n">
        <v>0</v>
      </c>
      <c r="R754" s="2" t="inlineStr"/>
    </row>
    <row r="755" ht="15" customHeight="1">
      <c r="A755" t="inlineStr">
        <is>
          <t>A 27440-2024</t>
        </is>
      </c>
      <c r="B755" s="1" t="n">
        <v>45474</v>
      </c>
      <c r="C755" s="1" t="n">
        <v>45923</v>
      </c>
      <c r="D755" t="inlineStr">
        <is>
          <t>JÄMTLANDS LÄN</t>
        </is>
      </c>
      <c r="E755" t="inlineStr">
        <is>
          <t>KROKOM</t>
        </is>
      </c>
      <c r="G755" t="n">
        <v>2.9</v>
      </c>
      <c r="H755" t="n">
        <v>0</v>
      </c>
      <c r="I755" t="n">
        <v>0</v>
      </c>
      <c r="J755" t="n">
        <v>0</v>
      </c>
      <c r="K755" t="n">
        <v>0</v>
      </c>
      <c r="L755" t="n">
        <v>0</v>
      </c>
      <c r="M755" t="n">
        <v>0</v>
      </c>
      <c r="N755" t="n">
        <v>0</v>
      </c>
      <c r="O755" t="n">
        <v>0</v>
      </c>
      <c r="P755" t="n">
        <v>0</v>
      </c>
      <c r="Q755" t="n">
        <v>0</v>
      </c>
      <c r="R755" s="2" t="inlineStr"/>
    </row>
    <row r="756" ht="15" customHeight="1">
      <c r="A756" t="inlineStr">
        <is>
          <t>A 64764-2023</t>
        </is>
      </c>
      <c r="B756" s="1" t="n">
        <v>45282</v>
      </c>
      <c r="C756" s="1" t="n">
        <v>45923</v>
      </c>
      <c r="D756" t="inlineStr">
        <is>
          <t>JÄMTLANDS LÄN</t>
        </is>
      </c>
      <c r="E756" t="inlineStr">
        <is>
          <t>KROKOM</t>
        </is>
      </c>
      <c r="G756" t="n">
        <v>1.6</v>
      </c>
      <c r="H756" t="n">
        <v>0</v>
      </c>
      <c r="I756" t="n">
        <v>0</v>
      </c>
      <c r="J756" t="n">
        <v>0</v>
      </c>
      <c r="K756" t="n">
        <v>0</v>
      </c>
      <c r="L756" t="n">
        <v>0</v>
      </c>
      <c r="M756" t="n">
        <v>0</v>
      </c>
      <c r="N756" t="n">
        <v>0</v>
      </c>
      <c r="O756" t="n">
        <v>0</v>
      </c>
      <c r="P756" t="n">
        <v>0</v>
      </c>
      <c r="Q756" t="n">
        <v>0</v>
      </c>
      <c r="R756" s="2" t="inlineStr"/>
    </row>
    <row r="757" ht="15" customHeight="1">
      <c r="A757" t="inlineStr">
        <is>
          <t>A 28595-2024</t>
        </is>
      </c>
      <c r="B757" s="1" t="n">
        <v>45478.42063657408</v>
      </c>
      <c r="C757" s="1" t="n">
        <v>45923</v>
      </c>
      <c r="D757" t="inlineStr">
        <is>
          <t>JÄMTLANDS LÄN</t>
        </is>
      </c>
      <c r="E757" t="inlineStr">
        <is>
          <t>KROKOM</t>
        </is>
      </c>
      <c r="G757" t="n">
        <v>1.4</v>
      </c>
      <c r="H757" t="n">
        <v>0</v>
      </c>
      <c r="I757" t="n">
        <v>0</v>
      </c>
      <c r="J757" t="n">
        <v>0</v>
      </c>
      <c r="K757" t="n">
        <v>0</v>
      </c>
      <c r="L757" t="n">
        <v>0</v>
      </c>
      <c r="M757" t="n">
        <v>0</v>
      </c>
      <c r="N757" t="n">
        <v>0</v>
      </c>
      <c r="O757" t="n">
        <v>0</v>
      </c>
      <c r="P757" t="n">
        <v>0</v>
      </c>
      <c r="Q757" t="n">
        <v>0</v>
      </c>
      <c r="R757" s="2" t="inlineStr"/>
    </row>
    <row r="758" ht="15" customHeight="1">
      <c r="A758" t="inlineStr">
        <is>
          <t>A 65508-2021</t>
        </is>
      </c>
      <c r="B758" s="1" t="n">
        <v>44516</v>
      </c>
      <c r="C758" s="1" t="n">
        <v>45923</v>
      </c>
      <c r="D758" t="inlineStr">
        <is>
          <t>JÄMTLANDS LÄN</t>
        </is>
      </c>
      <c r="E758" t="inlineStr">
        <is>
          <t>KROKOM</t>
        </is>
      </c>
      <c r="G758" t="n">
        <v>0.3</v>
      </c>
      <c r="H758" t="n">
        <v>0</v>
      </c>
      <c r="I758" t="n">
        <v>0</v>
      </c>
      <c r="J758" t="n">
        <v>0</v>
      </c>
      <c r="K758" t="n">
        <v>0</v>
      </c>
      <c r="L758" t="n">
        <v>0</v>
      </c>
      <c r="M758" t="n">
        <v>0</v>
      </c>
      <c r="N758" t="n">
        <v>0</v>
      </c>
      <c r="O758" t="n">
        <v>0</v>
      </c>
      <c r="P758" t="n">
        <v>0</v>
      </c>
      <c r="Q758" t="n">
        <v>0</v>
      </c>
      <c r="R758" s="2" t="inlineStr"/>
    </row>
    <row r="759" ht="15" customHeight="1">
      <c r="A759" t="inlineStr">
        <is>
          <t>A 36439-2023</t>
        </is>
      </c>
      <c r="B759" s="1" t="n">
        <v>45152</v>
      </c>
      <c r="C759" s="1" t="n">
        <v>45923</v>
      </c>
      <c r="D759" t="inlineStr">
        <is>
          <t>JÄMTLANDS LÄN</t>
        </is>
      </c>
      <c r="E759" t="inlineStr">
        <is>
          <t>KROKOM</t>
        </is>
      </c>
      <c r="F759" t="inlineStr">
        <is>
          <t>Övriga Aktiebolag</t>
        </is>
      </c>
      <c r="G759" t="n">
        <v>7.4</v>
      </c>
      <c r="H759" t="n">
        <v>0</v>
      </c>
      <c r="I759" t="n">
        <v>0</v>
      </c>
      <c r="J759" t="n">
        <v>0</v>
      </c>
      <c r="K759" t="n">
        <v>0</v>
      </c>
      <c r="L759" t="n">
        <v>0</v>
      </c>
      <c r="M759" t="n">
        <v>0</v>
      </c>
      <c r="N759" t="n">
        <v>0</v>
      </c>
      <c r="O759" t="n">
        <v>0</v>
      </c>
      <c r="P759" t="n">
        <v>0</v>
      </c>
      <c r="Q759" t="n">
        <v>0</v>
      </c>
      <c r="R759" s="2" t="inlineStr"/>
    </row>
    <row r="760" ht="15" customHeight="1">
      <c r="A760" t="inlineStr">
        <is>
          <t>A 10532-2025</t>
        </is>
      </c>
      <c r="B760" s="1" t="n">
        <v>45721.4546412037</v>
      </c>
      <c r="C760" s="1" t="n">
        <v>45923</v>
      </c>
      <c r="D760" t="inlineStr">
        <is>
          <t>JÄMTLANDS LÄN</t>
        </is>
      </c>
      <c r="E760" t="inlineStr">
        <is>
          <t>KROKOM</t>
        </is>
      </c>
      <c r="G760" t="n">
        <v>1.8</v>
      </c>
      <c r="H760" t="n">
        <v>0</v>
      </c>
      <c r="I760" t="n">
        <v>0</v>
      </c>
      <c r="J760" t="n">
        <v>0</v>
      </c>
      <c r="K760" t="n">
        <v>0</v>
      </c>
      <c r="L760" t="n">
        <v>0</v>
      </c>
      <c r="M760" t="n">
        <v>0</v>
      </c>
      <c r="N760" t="n">
        <v>0</v>
      </c>
      <c r="O760" t="n">
        <v>0</v>
      </c>
      <c r="P760" t="n">
        <v>0</v>
      </c>
      <c r="Q760" t="n">
        <v>0</v>
      </c>
      <c r="R760" s="2" t="inlineStr"/>
    </row>
    <row r="761" ht="15" customHeight="1">
      <c r="A761" t="inlineStr">
        <is>
          <t>A 22258-2024</t>
        </is>
      </c>
      <c r="B761" s="1" t="n">
        <v>45446.47634259259</v>
      </c>
      <c r="C761" s="1" t="n">
        <v>45923</v>
      </c>
      <c r="D761" t="inlineStr">
        <is>
          <t>JÄMTLANDS LÄN</t>
        </is>
      </c>
      <c r="E761" t="inlineStr">
        <is>
          <t>KROKOM</t>
        </is>
      </c>
      <c r="F761" t="inlineStr">
        <is>
          <t>Övriga Aktiebolag</t>
        </is>
      </c>
      <c r="G761" t="n">
        <v>2.2</v>
      </c>
      <c r="H761" t="n">
        <v>0</v>
      </c>
      <c r="I761" t="n">
        <v>0</v>
      </c>
      <c r="J761" t="n">
        <v>0</v>
      </c>
      <c r="K761" t="n">
        <v>0</v>
      </c>
      <c r="L761" t="n">
        <v>0</v>
      </c>
      <c r="M761" t="n">
        <v>0</v>
      </c>
      <c r="N761" t="n">
        <v>0</v>
      </c>
      <c r="O761" t="n">
        <v>0</v>
      </c>
      <c r="P761" t="n">
        <v>0</v>
      </c>
      <c r="Q761" t="n">
        <v>0</v>
      </c>
      <c r="R761" s="2" t="inlineStr"/>
    </row>
    <row r="762" ht="15" customHeight="1">
      <c r="A762" t="inlineStr">
        <is>
          <t>A 62739-2021</t>
        </is>
      </c>
      <c r="B762" s="1" t="n">
        <v>44504</v>
      </c>
      <c r="C762" s="1" t="n">
        <v>45923</v>
      </c>
      <c r="D762" t="inlineStr">
        <is>
          <t>JÄMTLANDS LÄN</t>
        </is>
      </c>
      <c r="E762" t="inlineStr">
        <is>
          <t>KROKOM</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29484-2024</t>
        </is>
      </c>
      <c r="B763" s="1" t="n">
        <v>45484</v>
      </c>
      <c r="C763" s="1" t="n">
        <v>45923</v>
      </c>
      <c r="D763" t="inlineStr">
        <is>
          <t>JÄMTLANDS LÄN</t>
        </is>
      </c>
      <c r="E763" t="inlineStr">
        <is>
          <t>KROKOM</t>
        </is>
      </c>
      <c r="F763" t="inlineStr">
        <is>
          <t>Övriga Aktiebolag</t>
        </is>
      </c>
      <c r="G763" t="n">
        <v>2.9</v>
      </c>
      <c r="H763" t="n">
        <v>0</v>
      </c>
      <c r="I763" t="n">
        <v>0</v>
      </c>
      <c r="J763" t="n">
        <v>0</v>
      </c>
      <c r="K763" t="n">
        <v>0</v>
      </c>
      <c r="L763" t="n">
        <v>0</v>
      </c>
      <c r="M763" t="n">
        <v>0</v>
      </c>
      <c r="N763" t="n">
        <v>0</v>
      </c>
      <c r="O763" t="n">
        <v>0</v>
      </c>
      <c r="P763" t="n">
        <v>0</v>
      </c>
      <c r="Q763" t="n">
        <v>0</v>
      </c>
      <c r="R763" s="2" t="inlineStr"/>
    </row>
    <row r="764" ht="15" customHeight="1">
      <c r="A764" t="inlineStr">
        <is>
          <t>A 34902-2024</t>
        </is>
      </c>
      <c r="B764" s="1" t="n">
        <v>45527.39858796296</v>
      </c>
      <c r="C764" s="1" t="n">
        <v>45923</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2609-2023</t>
        </is>
      </c>
      <c r="B765" s="1" t="n">
        <v>44939</v>
      </c>
      <c r="C765" s="1" t="n">
        <v>45923</v>
      </c>
      <c r="D765" t="inlineStr">
        <is>
          <t>JÄMTLANDS LÄN</t>
        </is>
      </c>
      <c r="E765" t="inlineStr">
        <is>
          <t>KROKOM</t>
        </is>
      </c>
      <c r="G765" t="n">
        <v>16.9</v>
      </c>
      <c r="H765" t="n">
        <v>0</v>
      </c>
      <c r="I765" t="n">
        <v>0</v>
      </c>
      <c r="J765" t="n">
        <v>0</v>
      </c>
      <c r="K765" t="n">
        <v>0</v>
      </c>
      <c r="L765" t="n">
        <v>0</v>
      </c>
      <c r="M765" t="n">
        <v>0</v>
      </c>
      <c r="N765" t="n">
        <v>0</v>
      </c>
      <c r="O765" t="n">
        <v>0</v>
      </c>
      <c r="P765" t="n">
        <v>0</v>
      </c>
      <c r="Q765" t="n">
        <v>0</v>
      </c>
      <c r="R765" s="2" t="inlineStr"/>
    </row>
    <row r="766" ht="15" customHeight="1">
      <c r="A766" t="inlineStr">
        <is>
          <t>A 28780-2024</t>
        </is>
      </c>
      <c r="B766" s="1" t="n">
        <v>45478.60708333334</v>
      </c>
      <c r="C766" s="1" t="n">
        <v>45923</v>
      </c>
      <c r="D766" t="inlineStr">
        <is>
          <t>JÄMTLANDS LÄN</t>
        </is>
      </c>
      <c r="E766" t="inlineStr">
        <is>
          <t>KROKOM</t>
        </is>
      </c>
      <c r="G766" t="n">
        <v>3.7</v>
      </c>
      <c r="H766" t="n">
        <v>0</v>
      </c>
      <c r="I766" t="n">
        <v>0</v>
      </c>
      <c r="J766" t="n">
        <v>0</v>
      </c>
      <c r="K766" t="n">
        <v>0</v>
      </c>
      <c r="L766" t="n">
        <v>0</v>
      </c>
      <c r="M766" t="n">
        <v>0</v>
      </c>
      <c r="N766" t="n">
        <v>0</v>
      </c>
      <c r="O766" t="n">
        <v>0</v>
      </c>
      <c r="P766" t="n">
        <v>0</v>
      </c>
      <c r="Q766" t="n">
        <v>0</v>
      </c>
      <c r="R766" s="2" t="inlineStr"/>
    </row>
    <row r="767" ht="15" customHeight="1">
      <c r="A767" t="inlineStr">
        <is>
          <t>A 39263-2024</t>
        </is>
      </c>
      <c r="B767" s="1" t="n">
        <v>45551.34414351852</v>
      </c>
      <c r="C767" s="1" t="n">
        <v>45923</v>
      </c>
      <c r="D767" t="inlineStr">
        <is>
          <t>JÄMTLANDS LÄN</t>
        </is>
      </c>
      <c r="E767" t="inlineStr">
        <is>
          <t>KROKOM</t>
        </is>
      </c>
      <c r="G767" t="n">
        <v>2.5</v>
      </c>
      <c r="H767" t="n">
        <v>0</v>
      </c>
      <c r="I767" t="n">
        <v>0</v>
      </c>
      <c r="J767" t="n">
        <v>0</v>
      </c>
      <c r="K767" t="n">
        <v>0</v>
      </c>
      <c r="L767" t="n">
        <v>0</v>
      </c>
      <c r="M767" t="n">
        <v>0</v>
      </c>
      <c r="N767" t="n">
        <v>0</v>
      </c>
      <c r="O767" t="n">
        <v>0</v>
      </c>
      <c r="P767" t="n">
        <v>0</v>
      </c>
      <c r="Q767" t="n">
        <v>0</v>
      </c>
      <c r="R767" s="2" t="inlineStr"/>
    </row>
    <row r="768" ht="15" customHeight="1">
      <c r="A768" t="inlineStr">
        <is>
          <t>A 26693-2023</t>
        </is>
      </c>
      <c r="B768" s="1" t="n">
        <v>45090</v>
      </c>
      <c r="C768" s="1" t="n">
        <v>45923</v>
      </c>
      <c r="D768" t="inlineStr">
        <is>
          <t>JÄMTLANDS LÄN</t>
        </is>
      </c>
      <c r="E768" t="inlineStr">
        <is>
          <t>KROKOM</t>
        </is>
      </c>
      <c r="G768" t="n">
        <v>2.7</v>
      </c>
      <c r="H768" t="n">
        <v>0</v>
      </c>
      <c r="I768" t="n">
        <v>0</v>
      </c>
      <c r="J768" t="n">
        <v>0</v>
      </c>
      <c r="K768" t="n">
        <v>0</v>
      </c>
      <c r="L768" t="n">
        <v>0</v>
      </c>
      <c r="M768" t="n">
        <v>0</v>
      </c>
      <c r="N768" t="n">
        <v>0</v>
      </c>
      <c r="O768" t="n">
        <v>0</v>
      </c>
      <c r="P768" t="n">
        <v>0</v>
      </c>
      <c r="Q768" t="n">
        <v>0</v>
      </c>
      <c r="R768" s="2" t="inlineStr"/>
    </row>
    <row r="769" ht="15" customHeight="1">
      <c r="A769" t="inlineStr">
        <is>
          <t>A 52313-2024</t>
        </is>
      </c>
      <c r="B769" s="1" t="n">
        <v>45608.86341435185</v>
      </c>
      <c r="C769" s="1" t="n">
        <v>45923</v>
      </c>
      <c r="D769" t="inlineStr">
        <is>
          <t>JÄMTLANDS LÄN</t>
        </is>
      </c>
      <c r="E769" t="inlineStr">
        <is>
          <t>KROKOM</t>
        </is>
      </c>
      <c r="G769" t="n">
        <v>6.4</v>
      </c>
      <c r="H769" t="n">
        <v>0</v>
      </c>
      <c r="I769" t="n">
        <v>0</v>
      </c>
      <c r="J769" t="n">
        <v>0</v>
      </c>
      <c r="K769" t="n">
        <v>0</v>
      </c>
      <c r="L769" t="n">
        <v>0</v>
      </c>
      <c r="M769" t="n">
        <v>0</v>
      </c>
      <c r="N769" t="n">
        <v>0</v>
      </c>
      <c r="O769" t="n">
        <v>0</v>
      </c>
      <c r="P769" t="n">
        <v>0</v>
      </c>
      <c r="Q769" t="n">
        <v>0</v>
      </c>
      <c r="R769" s="2" t="inlineStr"/>
    </row>
    <row r="770" ht="15" customHeight="1">
      <c r="A770" t="inlineStr">
        <is>
          <t>A 32692-2023</t>
        </is>
      </c>
      <c r="B770" s="1" t="n">
        <v>45112</v>
      </c>
      <c r="C770" s="1" t="n">
        <v>45923</v>
      </c>
      <c r="D770" t="inlineStr">
        <is>
          <t>JÄMTLANDS LÄN</t>
        </is>
      </c>
      <c r="E770" t="inlineStr">
        <is>
          <t>KROKOM</t>
        </is>
      </c>
      <c r="G770" t="n">
        <v>6.6</v>
      </c>
      <c r="H770" t="n">
        <v>0</v>
      </c>
      <c r="I770" t="n">
        <v>0</v>
      </c>
      <c r="J770" t="n">
        <v>0</v>
      </c>
      <c r="K770" t="n">
        <v>0</v>
      </c>
      <c r="L770" t="n">
        <v>0</v>
      </c>
      <c r="M770" t="n">
        <v>0</v>
      </c>
      <c r="N770" t="n">
        <v>0</v>
      </c>
      <c r="O770" t="n">
        <v>0</v>
      </c>
      <c r="P770" t="n">
        <v>0</v>
      </c>
      <c r="Q770" t="n">
        <v>0</v>
      </c>
      <c r="R770" s="2" t="inlineStr"/>
    </row>
    <row r="771" ht="15" customHeight="1">
      <c r="A771" t="inlineStr">
        <is>
          <t>A 17820-2024</t>
        </is>
      </c>
      <c r="B771" s="1" t="n">
        <v>45418.94616898148</v>
      </c>
      <c r="C771" s="1" t="n">
        <v>45923</v>
      </c>
      <c r="D771" t="inlineStr">
        <is>
          <t>JÄMTLANDS LÄN</t>
        </is>
      </c>
      <c r="E771" t="inlineStr">
        <is>
          <t>KROKOM</t>
        </is>
      </c>
      <c r="G771" t="n">
        <v>1.4</v>
      </c>
      <c r="H771" t="n">
        <v>0</v>
      </c>
      <c r="I771" t="n">
        <v>0</v>
      </c>
      <c r="J771" t="n">
        <v>0</v>
      </c>
      <c r="K771" t="n">
        <v>0</v>
      </c>
      <c r="L771" t="n">
        <v>0</v>
      </c>
      <c r="M771" t="n">
        <v>0</v>
      </c>
      <c r="N771" t="n">
        <v>0</v>
      </c>
      <c r="O771" t="n">
        <v>0</v>
      </c>
      <c r="P771" t="n">
        <v>0</v>
      </c>
      <c r="Q771" t="n">
        <v>0</v>
      </c>
      <c r="R771" s="2" t="inlineStr"/>
    </row>
    <row r="772" ht="15" customHeight="1">
      <c r="A772" t="inlineStr">
        <is>
          <t>A 17469-2024</t>
        </is>
      </c>
      <c r="B772" s="1" t="n">
        <v>45415.45006944444</v>
      </c>
      <c r="C772" s="1" t="n">
        <v>45923</v>
      </c>
      <c r="D772" t="inlineStr">
        <is>
          <t>JÄMTLANDS LÄN</t>
        </is>
      </c>
      <c r="E772" t="inlineStr">
        <is>
          <t>KROKOM</t>
        </is>
      </c>
      <c r="G772" t="n">
        <v>4.6</v>
      </c>
      <c r="H772" t="n">
        <v>0</v>
      </c>
      <c r="I772" t="n">
        <v>0</v>
      </c>
      <c r="J772" t="n">
        <v>0</v>
      </c>
      <c r="K772" t="n">
        <v>0</v>
      </c>
      <c r="L772" t="n">
        <v>0</v>
      </c>
      <c r="M772" t="n">
        <v>0</v>
      </c>
      <c r="N772" t="n">
        <v>0</v>
      </c>
      <c r="O772" t="n">
        <v>0</v>
      </c>
      <c r="P772" t="n">
        <v>0</v>
      </c>
      <c r="Q772" t="n">
        <v>0</v>
      </c>
      <c r="R772" s="2" t="inlineStr"/>
    </row>
    <row r="773" ht="15" customHeight="1">
      <c r="A773" t="inlineStr">
        <is>
          <t>A 17950-2025</t>
        </is>
      </c>
      <c r="B773" s="1" t="n">
        <v>45760.81083333334</v>
      </c>
      <c r="C773" s="1" t="n">
        <v>45923</v>
      </c>
      <c r="D773" t="inlineStr">
        <is>
          <t>JÄMTLANDS LÄN</t>
        </is>
      </c>
      <c r="E773" t="inlineStr">
        <is>
          <t>KROKOM</t>
        </is>
      </c>
      <c r="G773" t="n">
        <v>0.5</v>
      </c>
      <c r="H773" t="n">
        <v>0</v>
      </c>
      <c r="I773" t="n">
        <v>0</v>
      </c>
      <c r="J773" t="n">
        <v>0</v>
      </c>
      <c r="K773" t="n">
        <v>0</v>
      </c>
      <c r="L773" t="n">
        <v>0</v>
      </c>
      <c r="M773" t="n">
        <v>0</v>
      </c>
      <c r="N773" t="n">
        <v>0</v>
      </c>
      <c r="O773" t="n">
        <v>0</v>
      </c>
      <c r="P773" t="n">
        <v>0</v>
      </c>
      <c r="Q773" t="n">
        <v>0</v>
      </c>
      <c r="R773" s="2" t="inlineStr"/>
    </row>
    <row r="774" ht="15" customHeight="1">
      <c r="A774" t="inlineStr">
        <is>
          <t>A 50391-2024</t>
        </is>
      </c>
      <c r="B774" s="1" t="n">
        <v>45601.33743055556</v>
      </c>
      <c r="C774" s="1" t="n">
        <v>45923</v>
      </c>
      <c r="D774" t="inlineStr">
        <is>
          <t>JÄMTLANDS LÄN</t>
        </is>
      </c>
      <c r="E774" t="inlineStr">
        <is>
          <t>KROKOM</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56927-2023</t>
        </is>
      </c>
      <c r="B775" s="1" t="n">
        <v>45244</v>
      </c>
      <c r="C775" s="1" t="n">
        <v>45923</v>
      </c>
      <c r="D775" t="inlineStr">
        <is>
          <t>JÄMTLANDS LÄN</t>
        </is>
      </c>
      <c r="E775" t="inlineStr">
        <is>
          <t>KROKOM</t>
        </is>
      </c>
      <c r="G775" t="n">
        <v>14.1</v>
      </c>
      <c r="H775" t="n">
        <v>0</v>
      </c>
      <c r="I775" t="n">
        <v>0</v>
      </c>
      <c r="J775" t="n">
        <v>0</v>
      </c>
      <c r="K775" t="n">
        <v>0</v>
      </c>
      <c r="L775" t="n">
        <v>0</v>
      </c>
      <c r="M775" t="n">
        <v>0</v>
      </c>
      <c r="N775" t="n">
        <v>0</v>
      </c>
      <c r="O775" t="n">
        <v>0</v>
      </c>
      <c r="P775" t="n">
        <v>0</v>
      </c>
      <c r="Q775" t="n">
        <v>0</v>
      </c>
      <c r="R775" s="2" t="inlineStr"/>
    </row>
    <row r="776" ht="15" customHeight="1">
      <c r="A776" t="inlineStr">
        <is>
          <t>A 31601-2023</t>
        </is>
      </c>
      <c r="B776" s="1" t="n">
        <v>45117</v>
      </c>
      <c r="C776" s="1" t="n">
        <v>45923</v>
      </c>
      <c r="D776" t="inlineStr">
        <is>
          <t>JÄMTLANDS LÄN</t>
        </is>
      </c>
      <c r="E776" t="inlineStr">
        <is>
          <t>KROKOM</t>
        </is>
      </c>
      <c r="G776" t="n">
        <v>1.1</v>
      </c>
      <c r="H776" t="n">
        <v>0</v>
      </c>
      <c r="I776" t="n">
        <v>0</v>
      </c>
      <c r="J776" t="n">
        <v>0</v>
      </c>
      <c r="K776" t="n">
        <v>0</v>
      </c>
      <c r="L776" t="n">
        <v>0</v>
      </c>
      <c r="M776" t="n">
        <v>0</v>
      </c>
      <c r="N776" t="n">
        <v>0</v>
      </c>
      <c r="O776" t="n">
        <v>0</v>
      </c>
      <c r="P776" t="n">
        <v>0</v>
      </c>
      <c r="Q776" t="n">
        <v>0</v>
      </c>
      <c r="R776" s="2" t="inlineStr"/>
    </row>
    <row r="777" ht="15" customHeight="1">
      <c r="A777" t="inlineStr">
        <is>
          <t>A 45777-2024</t>
        </is>
      </c>
      <c r="B777" s="1" t="n">
        <v>45579.66459490741</v>
      </c>
      <c r="C777" s="1" t="n">
        <v>45923</v>
      </c>
      <c r="D777" t="inlineStr">
        <is>
          <t>JÄMTLANDS LÄN</t>
        </is>
      </c>
      <c r="E777" t="inlineStr">
        <is>
          <t>KROKOM</t>
        </is>
      </c>
      <c r="G777" t="n">
        <v>5.3</v>
      </c>
      <c r="H777" t="n">
        <v>0</v>
      </c>
      <c r="I777" t="n">
        <v>0</v>
      </c>
      <c r="J777" t="n">
        <v>0</v>
      </c>
      <c r="K777" t="n">
        <v>0</v>
      </c>
      <c r="L777" t="n">
        <v>0</v>
      </c>
      <c r="M777" t="n">
        <v>0</v>
      </c>
      <c r="N777" t="n">
        <v>0</v>
      </c>
      <c r="O777" t="n">
        <v>0</v>
      </c>
      <c r="P777" t="n">
        <v>0</v>
      </c>
      <c r="Q777" t="n">
        <v>0</v>
      </c>
      <c r="R777" s="2" t="inlineStr"/>
    </row>
    <row r="778" ht="15" customHeight="1">
      <c r="A778" t="inlineStr">
        <is>
          <t>A 4355-2024</t>
        </is>
      </c>
      <c r="B778" s="1" t="n">
        <v>45324</v>
      </c>
      <c r="C778" s="1" t="n">
        <v>45923</v>
      </c>
      <c r="D778" t="inlineStr">
        <is>
          <t>JÄMTLANDS LÄN</t>
        </is>
      </c>
      <c r="E778" t="inlineStr">
        <is>
          <t>KROKOM</t>
        </is>
      </c>
      <c r="G778" t="n">
        <v>0.6</v>
      </c>
      <c r="H778" t="n">
        <v>0</v>
      </c>
      <c r="I778" t="n">
        <v>0</v>
      </c>
      <c r="J778" t="n">
        <v>0</v>
      </c>
      <c r="K778" t="n">
        <v>0</v>
      </c>
      <c r="L778" t="n">
        <v>0</v>
      </c>
      <c r="M778" t="n">
        <v>0</v>
      </c>
      <c r="N778" t="n">
        <v>0</v>
      </c>
      <c r="O778" t="n">
        <v>0</v>
      </c>
      <c r="P778" t="n">
        <v>0</v>
      </c>
      <c r="Q778" t="n">
        <v>0</v>
      </c>
      <c r="R778" s="2" t="inlineStr"/>
    </row>
    <row r="779" ht="15" customHeight="1">
      <c r="A779" t="inlineStr">
        <is>
          <t>A 14029-2024</t>
        </is>
      </c>
      <c r="B779" s="1" t="n">
        <v>45392</v>
      </c>
      <c r="C779" s="1" t="n">
        <v>45923</v>
      </c>
      <c r="D779" t="inlineStr">
        <is>
          <t>JÄMTLANDS LÄN</t>
        </is>
      </c>
      <c r="E779" t="inlineStr">
        <is>
          <t>KROKOM</t>
        </is>
      </c>
      <c r="F779" t="inlineStr">
        <is>
          <t>Kyrkan</t>
        </is>
      </c>
      <c r="G779" t="n">
        <v>1.1</v>
      </c>
      <c r="H779" t="n">
        <v>0</v>
      </c>
      <c r="I779" t="n">
        <v>0</v>
      </c>
      <c r="J779" t="n">
        <v>0</v>
      </c>
      <c r="K779" t="n">
        <v>0</v>
      </c>
      <c r="L779" t="n">
        <v>0</v>
      </c>
      <c r="M779" t="n">
        <v>0</v>
      </c>
      <c r="N779" t="n">
        <v>0</v>
      </c>
      <c r="O779" t="n">
        <v>0</v>
      </c>
      <c r="P779" t="n">
        <v>0</v>
      </c>
      <c r="Q779" t="n">
        <v>0</v>
      </c>
      <c r="R779" s="2" t="inlineStr"/>
    </row>
    <row r="780" ht="15" customHeight="1">
      <c r="A780" t="inlineStr">
        <is>
          <t>A 56557-2021</t>
        </is>
      </c>
      <c r="B780" s="1" t="n">
        <v>44480</v>
      </c>
      <c r="C780" s="1" t="n">
        <v>45923</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18980-2025</t>
        </is>
      </c>
      <c r="B781" s="1" t="n">
        <v>45764.55260416667</v>
      </c>
      <c r="C781" s="1" t="n">
        <v>45923</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50782-2023</t>
        </is>
      </c>
      <c r="B782" s="1" t="n">
        <v>45217</v>
      </c>
      <c r="C782" s="1" t="n">
        <v>45923</v>
      </c>
      <c r="D782" t="inlineStr">
        <is>
          <t>JÄMTLANDS LÄN</t>
        </is>
      </c>
      <c r="E782" t="inlineStr">
        <is>
          <t>KROKOM</t>
        </is>
      </c>
      <c r="G782" t="n">
        <v>3.5</v>
      </c>
      <c r="H782" t="n">
        <v>0</v>
      </c>
      <c r="I782" t="n">
        <v>0</v>
      </c>
      <c r="J782" t="n">
        <v>0</v>
      </c>
      <c r="K782" t="n">
        <v>0</v>
      </c>
      <c r="L782" t="n">
        <v>0</v>
      </c>
      <c r="M782" t="n">
        <v>0</v>
      </c>
      <c r="N782" t="n">
        <v>0</v>
      </c>
      <c r="O782" t="n">
        <v>0</v>
      </c>
      <c r="P782" t="n">
        <v>0</v>
      </c>
      <c r="Q782" t="n">
        <v>0</v>
      </c>
      <c r="R782" s="2" t="inlineStr"/>
    </row>
    <row r="783" ht="15" customHeight="1">
      <c r="A783" t="inlineStr">
        <is>
          <t>A 48971-2024</t>
        </is>
      </c>
      <c r="B783" s="1" t="n">
        <v>45594.463125</v>
      </c>
      <c r="C783" s="1" t="n">
        <v>45923</v>
      </c>
      <c r="D783" t="inlineStr">
        <is>
          <t>JÄMTLANDS LÄN</t>
        </is>
      </c>
      <c r="E783" t="inlineStr">
        <is>
          <t>KROKOM</t>
        </is>
      </c>
      <c r="G783" t="n">
        <v>11.8</v>
      </c>
      <c r="H783" t="n">
        <v>0</v>
      </c>
      <c r="I783" t="n">
        <v>0</v>
      </c>
      <c r="J783" t="n">
        <v>0</v>
      </c>
      <c r="K783" t="n">
        <v>0</v>
      </c>
      <c r="L783" t="n">
        <v>0</v>
      </c>
      <c r="M783" t="n">
        <v>0</v>
      </c>
      <c r="N783" t="n">
        <v>0</v>
      </c>
      <c r="O783" t="n">
        <v>0</v>
      </c>
      <c r="P783" t="n">
        <v>0</v>
      </c>
      <c r="Q783" t="n">
        <v>0</v>
      </c>
      <c r="R783" s="2" t="inlineStr"/>
    </row>
    <row r="784" ht="15" customHeight="1">
      <c r="A784" t="inlineStr">
        <is>
          <t>A 33653-2023</t>
        </is>
      </c>
      <c r="B784" s="1" t="n">
        <v>45119</v>
      </c>
      <c r="C784" s="1" t="n">
        <v>45923</v>
      </c>
      <c r="D784" t="inlineStr">
        <is>
          <t>JÄMTLANDS LÄN</t>
        </is>
      </c>
      <c r="E784" t="inlineStr">
        <is>
          <t>KROKOM</t>
        </is>
      </c>
      <c r="G784" t="n">
        <v>0.4</v>
      </c>
      <c r="H784" t="n">
        <v>0</v>
      </c>
      <c r="I784" t="n">
        <v>0</v>
      </c>
      <c r="J784" t="n">
        <v>0</v>
      </c>
      <c r="K784" t="n">
        <v>0</v>
      </c>
      <c r="L784" t="n">
        <v>0</v>
      </c>
      <c r="M784" t="n">
        <v>0</v>
      </c>
      <c r="N784" t="n">
        <v>0</v>
      </c>
      <c r="O784" t="n">
        <v>0</v>
      </c>
      <c r="P784" t="n">
        <v>0</v>
      </c>
      <c r="Q784" t="n">
        <v>0</v>
      </c>
      <c r="R784" s="2" t="inlineStr"/>
    </row>
    <row r="785" ht="15" customHeight="1">
      <c r="A785" t="inlineStr">
        <is>
          <t>A 39126-2023</t>
        </is>
      </c>
      <c r="B785" s="1" t="n">
        <v>45165.69965277778</v>
      </c>
      <c r="C785" s="1" t="n">
        <v>45923</v>
      </c>
      <c r="D785" t="inlineStr">
        <is>
          <t>JÄMTLANDS LÄN</t>
        </is>
      </c>
      <c r="E785" t="inlineStr">
        <is>
          <t>KROKOM</t>
        </is>
      </c>
      <c r="G785" t="n">
        <v>2.6</v>
      </c>
      <c r="H785" t="n">
        <v>0</v>
      </c>
      <c r="I785" t="n">
        <v>0</v>
      </c>
      <c r="J785" t="n">
        <v>0</v>
      </c>
      <c r="K785" t="n">
        <v>0</v>
      </c>
      <c r="L785" t="n">
        <v>0</v>
      </c>
      <c r="M785" t="n">
        <v>0</v>
      </c>
      <c r="N785" t="n">
        <v>0</v>
      </c>
      <c r="O785" t="n">
        <v>0</v>
      </c>
      <c r="P785" t="n">
        <v>0</v>
      </c>
      <c r="Q785" t="n">
        <v>0</v>
      </c>
      <c r="R785" s="2" t="inlineStr"/>
    </row>
    <row r="786" ht="15" customHeight="1">
      <c r="A786" t="inlineStr">
        <is>
          <t>A 47635-2023</t>
        </is>
      </c>
      <c r="B786" s="1" t="n">
        <v>45203</v>
      </c>
      <c r="C786" s="1" t="n">
        <v>45923</v>
      </c>
      <c r="D786" t="inlineStr">
        <is>
          <t>JÄMTLANDS LÄN</t>
        </is>
      </c>
      <c r="E786" t="inlineStr">
        <is>
          <t>KROKOM</t>
        </is>
      </c>
      <c r="G786" t="n">
        <v>1.4</v>
      </c>
      <c r="H786" t="n">
        <v>0</v>
      </c>
      <c r="I786" t="n">
        <v>0</v>
      </c>
      <c r="J786" t="n">
        <v>0</v>
      </c>
      <c r="K786" t="n">
        <v>0</v>
      </c>
      <c r="L786" t="n">
        <v>0</v>
      </c>
      <c r="M786" t="n">
        <v>0</v>
      </c>
      <c r="N786" t="n">
        <v>0</v>
      </c>
      <c r="O786" t="n">
        <v>0</v>
      </c>
      <c r="P786" t="n">
        <v>0</v>
      </c>
      <c r="Q786" t="n">
        <v>0</v>
      </c>
      <c r="R786" s="2" t="inlineStr"/>
    </row>
    <row r="787" ht="15" customHeight="1">
      <c r="A787" t="inlineStr">
        <is>
          <t>A 785-2024</t>
        </is>
      </c>
      <c r="B787" s="1" t="n">
        <v>45300</v>
      </c>
      <c r="C787" s="1" t="n">
        <v>45923</v>
      </c>
      <c r="D787" t="inlineStr">
        <is>
          <t>JÄMTLANDS LÄN</t>
        </is>
      </c>
      <c r="E787" t="inlineStr">
        <is>
          <t>KROKOM</t>
        </is>
      </c>
      <c r="G787" t="n">
        <v>1.3</v>
      </c>
      <c r="H787" t="n">
        <v>0</v>
      </c>
      <c r="I787" t="n">
        <v>0</v>
      </c>
      <c r="J787" t="n">
        <v>0</v>
      </c>
      <c r="K787" t="n">
        <v>0</v>
      </c>
      <c r="L787" t="n">
        <v>0</v>
      </c>
      <c r="M787" t="n">
        <v>0</v>
      </c>
      <c r="N787" t="n">
        <v>0</v>
      </c>
      <c r="O787" t="n">
        <v>0</v>
      </c>
      <c r="P787" t="n">
        <v>0</v>
      </c>
      <c r="Q787" t="n">
        <v>0</v>
      </c>
      <c r="R787" s="2" t="inlineStr"/>
    </row>
    <row r="788" ht="15" customHeight="1">
      <c r="A788" t="inlineStr">
        <is>
          <t>A 4354-2025</t>
        </is>
      </c>
      <c r="B788" s="1" t="n">
        <v>45686.32671296296</v>
      </c>
      <c r="C788" s="1" t="n">
        <v>45923</v>
      </c>
      <c r="D788" t="inlineStr">
        <is>
          <t>JÄMTLANDS LÄN</t>
        </is>
      </c>
      <c r="E788" t="inlineStr">
        <is>
          <t>KROKOM</t>
        </is>
      </c>
      <c r="F788" t="inlineStr">
        <is>
          <t>SCA</t>
        </is>
      </c>
      <c r="G788" t="n">
        <v>12.8</v>
      </c>
      <c r="H788" t="n">
        <v>0</v>
      </c>
      <c r="I788" t="n">
        <v>0</v>
      </c>
      <c r="J788" t="n">
        <v>0</v>
      </c>
      <c r="K788" t="n">
        <v>0</v>
      </c>
      <c r="L788" t="n">
        <v>0</v>
      </c>
      <c r="M788" t="n">
        <v>0</v>
      </c>
      <c r="N788" t="n">
        <v>0</v>
      </c>
      <c r="O788" t="n">
        <v>0</v>
      </c>
      <c r="P788" t="n">
        <v>0</v>
      </c>
      <c r="Q788" t="n">
        <v>0</v>
      </c>
      <c r="R788" s="2" t="inlineStr"/>
    </row>
    <row r="789" ht="15" customHeight="1">
      <c r="A789" t="inlineStr">
        <is>
          <t>A 7072-2025</t>
        </is>
      </c>
      <c r="B789" s="1" t="n">
        <v>45701</v>
      </c>
      <c r="C789" s="1" t="n">
        <v>45923</v>
      </c>
      <c r="D789" t="inlineStr">
        <is>
          <t>JÄMTLANDS LÄN</t>
        </is>
      </c>
      <c r="E789" t="inlineStr">
        <is>
          <t>KROKOM</t>
        </is>
      </c>
      <c r="G789" t="n">
        <v>7.2</v>
      </c>
      <c r="H789" t="n">
        <v>0</v>
      </c>
      <c r="I789" t="n">
        <v>0</v>
      </c>
      <c r="J789" t="n">
        <v>0</v>
      </c>
      <c r="K789" t="n">
        <v>0</v>
      </c>
      <c r="L789" t="n">
        <v>0</v>
      </c>
      <c r="M789" t="n">
        <v>0</v>
      </c>
      <c r="N789" t="n">
        <v>0</v>
      </c>
      <c r="O789" t="n">
        <v>0</v>
      </c>
      <c r="P789" t="n">
        <v>0</v>
      </c>
      <c r="Q789" t="n">
        <v>0</v>
      </c>
      <c r="R789" s="2" t="inlineStr"/>
    </row>
    <row r="790" ht="15" customHeight="1">
      <c r="A790" t="inlineStr">
        <is>
          <t>A 42372-2023</t>
        </is>
      </c>
      <c r="B790" s="1" t="n">
        <v>45180</v>
      </c>
      <c r="C790" s="1" t="n">
        <v>45923</v>
      </c>
      <c r="D790" t="inlineStr">
        <is>
          <t>JÄMTLANDS LÄN</t>
        </is>
      </c>
      <c r="E790" t="inlineStr">
        <is>
          <t>KROKOM</t>
        </is>
      </c>
      <c r="F790" t="inlineStr">
        <is>
          <t>Övriga Aktiebolag</t>
        </is>
      </c>
      <c r="G790" t="n">
        <v>0.2</v>
      </c>
      <c r="H790" t="n">
        <v>0</v>
      </c>
      <c r="I790" t="n">
        <v>0</v>
      </c>
      <c r="J790" t="n">
        <v>0</v>
      </c>
      <c r="K790" t="n">
        <v>0</v>
      </c>
      <c r="L790" t="n">
        <v>0</v>
      </c>
      <c r="M790" t="n">
        <v>0</v>
      </c>
      <c r="N790" t="n">
        <v>0</v>
      </c>
      <c r="O790" t="n">
        <v>0</v>
      </c>
      <c r="P790" t="n">
        <v>0</v>
      </c>
      <c r="Q790" t="n">
        <v>0</v>
      </c>
      <c r="R790" s="2" t="inlineStr"/>
    </row>
    <row r="791" ht="15" customHeight="1">
      <c r="A791" t="inlineStr">
        <is>
          <t>A 7724-2025</t>
        </is>
      </c>
      <c r="B791" s="1" t="n">
        <v>45706</v>
      </c>
      <c r="C791" s="1" t="n">
        <v>45923</v>
      </c>
      <c r="D791" t="inlineStr">
        <is>
          <t>JÄMTLANDS LÄN</t>
        </is>
      </c>
      <c r="E791" t="inlineStr">
        <is>
          <t>KROKOM</t>
        </is>
      </c>
      <c r="G791" t="n">
        <v>1.8</v>
      </c>
      <c r="H791" t="n">
        <v>0</v>
      </c>
      <c r="I791" t="n">
        <v>0</v>
      </c>
      <c r="J791" t="n">
        <v>0</v>
      </c>
      <c r="K791" t="n">
        <v>0</v>
      </c>
      <c r="L791" t="n">
        <v>0</v>
      </c>
      <c r="M791" t="n">
        <v>0</v>
      </c>
      <c r="N791" t="n">
        <v>0</v>
      </c>
      <c r="O791" t="n">
        <v>0</v>
      </c>
      <c r="P791" t="n">
        <v>0</v>
      </c>
      <c r="Q791" t="n">
        <v>0</v>
      </c>
      <c r="R791" s="2" t="inlineStr"/>
    </row>
    <row r="792" ht="15" customHeight="1">
      <c r="A792" t="inlineStr">
        <is>
          <t>A 1119-2025</t>
        </is>
      </c>
      <c r="B792" s="1" t="n">
        <v>45666.65987268519</v>
      </c>
      <c r="C792" s="1" t="n">
        <v>45923</v>
      </c>
      <c r="D792" t="inlineStr">
        <is>
          <t>JÄMTLANDS LÄN</t>
        </is>
      </c>
      <c r="E792" t="inlineStr">
        <is>
          <t>KROKOM</t>
        </is>
      </c>
      <c r="G792" t="n">
        <v>1.6</v>
      </c>
      <c r="H792" t="n">
        <v>0</v>
      </c>
      <c r="I792" t="n">
        <v>0</v>
      </c>
      <c r="J792" t="n">
        <v>0</v>
      </c>
      <c r="K792" t="n">
        <v>0</v>
      </c>
      <c r="L792" t="n">
        <v>0</v>
      </c>
      <c r="M792" t="n">
        <v>0</v>
      </c>
      <c r="N792" t="n">
        <v>0</v>
      </c>
      <c r="O792" t="n">
        <v>0</v>
      </c>
      <c r="P792" t="n">
        <v>0</v>
      </c>
      <c r="Q792" t="n">
        <v>0</v>
      </c>
      <c r="R792" s="2" t="inlineStr"/>
    </row>
    <row r="793" ht="15" customHeight="1">
      <c r="A793" t="inlineStr">
        <is>
          <t>A 9623-2025</t>
        </is>
      </c>
      <c r="B793" s="1" t="n">
        <v>45715</v>
      </c>
      <c r="C793" s="1" t="n">
        <v>45923</v>
      </c>
      <c r="D793" t="inlineStr">
        <is>
          <t>JÄMTLANDS LÄN</t>
        </is>
      </c>
      <c r="E793" t="inlineStr">
        <is>
          <t>KROKOM</t>
        </is>
      </c>
      <c r="F793" t="inlineStr">
        <is>
          <t>Kyrkan</t>
        </is>
      </c>
      <c r="G793" t="n">
        <v>2.8</v>
      </c>
      <c r="H793" t="n">
        <v>0</v>
      </c>
      <c r="I793" t="n">
        <v>0</v>
      </c>
      <c r="J793" t="n">
        <v>0</v>
      </c>
      <c r="K793" t="n">
        <v>0</v>
      </c>
      <c r="L793" t="n">
        <v>0</v>
      </c>
      <c r="M793" t="n">
        <v>0</v>
      </c>
      <c r="N793" t="n">
        <v>0</v>
      </c>
      <c r="O793" t="n">
        <v>0</v>
      </c>
      <c r="P793" t="n">
        <v>0</v>
      </c>
      <c r="Q793" t="n">
        <v>0</v>
      </c>
      <c r="R793" s="2" t="inlineStr"/>
    </row>
    <row r="794" ht="15" customHeight="1">
      <c r="A794" t="inlineStr">
        <is>
          <t>A 20798-2025</t>
        </is>
      </c>
      <c r="B794" s="1" t="n">
        <v>45776</v>
      </c>
      <c r="C794" s="1" t="n">
        <v>45923</v>
      </c>
      <c r="D794" t="inlineStr">
        <is>
          <t>JÄMTLANDS LÄN</t>
        </is>
      </c>
      <c r="E794" t="inlineStr">
        <is>
          <t>KROKOM</t>
        </is>
      </c>
      <c r="G794" t="n">
        <v>2.2</v>
      </c>
      <c r="H794" t="n">
        <v>0</v>
      </c>
      <c r="I794" t="n">
        <v>0</v>
      </c>
      <c r="J794" t="n">
        <v>0</v>
      </c>
      <c r="K794" t="n">
        <v>0</v>
      </c>
      <c r="L794" t="n">
        <v>0</v>
      </c>
      <c r="M794" t="n">
        <v>0</v>
      </c>
      <c r="N794" t="n">
        <v>0</v>
      </c>
      <c r="O794" t="n">
        <v>0</v>
      </c>
      <c r="P794" t="n">
        <v>0</v>
      </c>
      <c r="Q794" t="n">
        <v>0</v>
      </c>
      <c r="R794" s="2" t="inlineStr"/>
    </row>
    <row r="795" ht="15" customHeight="1">
      <c r="A795" t="inlineStr">
        <is>
          <t>A 5498-2025</t>
        </is>
      </c>
      <c r="B795" s="1" t="n">
        <v>45693</v>
      </c>
      <c r="C795" s="1" t="n">
        <v>45923</v>
      </c>
      <c r="D795" t="inlineStr">
        <is>
          <t>JÄMTLANDS LÄN</t>
        </is>
      </c>
      <c r="E795" t="inlineStr">
        <is>
          <t>KROKOM</t>
        </is>
      </c>
      <c r="G795" t="n">
        <v>2.7</v>
      </c>
      <c r="H795" t="n">
        <v>0</v>
      </c>
      <c r="I795" t="n">
        <v>0</v>
      </c>
      <c r="J795" t="n">
        <v>0</v>
      </c>
      <c r="K795" t="n">
        <v>0</v>
      </c>
      <c r="L795" t="n">
        <v>0</v>
      </c>
      <c r="M795" t="n">
        <v>0</v>
      </c>
      <c r="N795" t="n">
        <v>0</v>
      </c>
      <c r="O795" t="n">
        <v>0</v>
      </c>
      <c r="P795" t="n">
        <v>0</v>
      </c>
      <c r="Q795" t="n">
        <v>0</v>
      </c>
      <c r="R795" s="2" t="inlineStr"/>
    </row>
    <row r="796" ht="15" customHeight="1">
      <c r="A796" t="inlineStr">
        <is>
          <t>A 21153-2025</t>
        </is>
      </c>
      <c r="B796" s="1" t="n">
        <v>45777</v>
      </c>
      <c r="C796" s="1" t="n">
        <v>45923</v>
      </c>
      <c r="D796" t="inlineStr">
        <is>
          <t>JÄMTLANDS LÄN</t>
        </is>
      </c>
      <c r="E796" t="inlineStr">
        <is>
          <t>KROKOM</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8784-2025</t>
        </is>
      </c>
      <c r="B797" s="1" t="n">
        <v>45712</v>
      </c>
      <c r="C797" s="1" t="n">
        <v>45923</v>
      </c>
      <c r="D797" t="inlineStr">
        <is>
          <t>JÄMTLANDS LÄN</t>
        </is>
      </c>
      <c r="E797" t="inlineStr">
        <is>
          <t>KROKOM</t>
        </is>
      </c>
      <c r="G797" t="n">
        <v>10.1</v>
      </c>
      <c r="H797" t="n">
        <v>0</v>
      </c>
      <c r="I797" t="n">
        <v>0</v>
      </c>
      <c r="J797" t="n">
        <v>0</v>
      </c>
      <c r="K797" t="n">
        <v>0</v>
      </c>
      <c r="L797" t="n">
        <v>0</v>
      </c>
      <c r="M797" t="n">
        <v>0</v>
      </c>
      <c r="N797" t="n">
        <v>0</v>
      </c>
      <c r="O797" t="n">
        <v>0</v>
      </c>
      <c r="P797" t="n">
        <v>0</v>
      </c>
      <c r="Q797" t="n">
        <v>0</v>
      </c>
      <c r="R797" s="2" t="inlineStr"/>
    </row>
    <row r="798" ht="15" customHeight="1">
      <c r="A798" t="inlineStr">
        <is>
          <t>A 21027-2025</t>
        </is>
      </c>
      <c r="B798" s="1" t="n">
        <v>45777</v>
      </c>
      <c r="C798" s="1" t="n">
        <v>45923</v>
      </c>
      <c r="D798" t="inlineStr">
        <is>
          <t>JÄMTLANDS LÄN</t>
        </is>
      </c>
      <c r="E798" t="inlineStr">
        <is>
          <t>KROKOM</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21029-2025</t>
        </is>
      </c>
      <c r="B799" s="1" t="n">
        <v>45777</v>
      </c>
      <c r="C799" s="1" t="n">
        <v>45923</v>
      </c>
      <c r="D799" t="inlineStr">
        <is>
          <t>JÄMTLANDS LÄN</t>
        </is>
      </c>
      <c r="E799" t="inlineStr">
        <is>
          <t>KROKOM</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29986-2023</t>
        </is>
      </c>
      <c r="B800" s="1" t="n">
        <v>45109.44534722222</v>
      </c>
      <c r="C800" s="1" t="n">
        <v>45923</v>
      </c>
      <c r="D800" t="inlineStr">
        <is>
          <t>JÄMTLANDS LÄN</t>
        </is>
      </c>
      <c r="E800" t="inlineStr">
        <is>
          <t>KROKOM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21239-2025</t>
        </is>
      </c>
      <c r="B801" s="1" t="n">
        <v>45779.56659722222</v>
      </c>
      <c r="C801" s="1" t="n">
        <v>45923</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21276-2025</t>
        </is>
      </c>
      <c r="B802" s="1" t="n">
        <v>45779.63834490741</v>
      </c>
      <c r="C802" s="1" t="n">
        <v>45923</v>
      </c>
      <c r="D802" t="inlineStr">
        <is>
          <t>JÄMTLANDS LÄN</t>
        </is>
      </c>
      <c r="E802" t="inlineStr">
        <is>
          <t>KROKOM</t>
        </is>
      </c>
      <c r="G802" t="n">
        <v>4.3</v>
      </c>
      <c r="H802" t="n">
        <v>0</v>
      </c>
      <c r="I802" t="n">
        <v>0</v>
      </c>
      <c r="J802" t="n">
        <v>0</v>
      </c>
      <c r="K802" t="n">
        <v>0</v>
      </c>
      <c r="L802" t="n">
        <v>0</v>
      </c>
      <c r="M802" t="n">
        <v>0</v>
      </c>
      <c r="N802" t="n">
        <v>0</v>
      </c>
      <c r="O802" t="n">
        <v>0</v>
      </c>
      <c r="P802" t="n">
        <v>0</v>
      </c>
      <c r="Q802" t="n">
        <v>0</v>
      </c>
      <c r="R802" s="2" t="inlineStr"/>
    </row>
    <row r="803" ht="15" customHeight="1">
      <c r="A803" t="inlineStr">
        <is>
          <t>A 21254-2025</t>
        </is>
      </c>
      <c r="B803" s="1" t="n">
        <v>45779.57626157408</v>
      </c>
      <c r="C803" s="1" t="n">
        <v>45923</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21280-2025</t>
        </is>
      </c>
      <c r="B804" s="1" t="n">
        <v>45779.65980324074</v>
      </c>
      <c r="C804" s="1" t="n">
        <v>45923</v>
      </c>
      <c r="D804" t="inlineStr">
        <is>
          <t>JÄMTLANDS LÄN</t>
        </is>
      </c>
      <c r="E804" t="inlineStr">
        <is>
          <t>KROKOM</t>
        </is>
      </c>
      <c r="G804" t="n">
        <v>30.9</v>
      </c>
      <c r="H804" t="n">
        <v>0</v>
      </c>
      <c r="I804" t="n">
        <v>0</v>
      </c>
      <c r="J804" t="n">
        <v>0</v>
      </c>
      <c r="K804" t="n">
        <v>0</v>
      </c>
      <c r="L804" t="n">
        <v>0</v>
      </c>
      <c r="M804" t="n">
        <v>0</v>
      </c>
      <c r="N804" t="n">
        <v>0</v>
      </c>
      <c r="O804" t="n">
        <v>0</v>
      </c>
      <c r="P804" t="n">
        <v>0</v>
      </c>
      <c r="Q804" t="n">
        <v>0</v>
      </c>
      <c r="R804" s="2" t="inlineStr"/>
    </row>
    <row r="805" ht="15" customHeight="1">
      <c r="A805" t="inlineStr">
        <is>
          <t>A 21172-2025</t>
        </is>
      </c>
      <c r="B805" s="1" t="n">
        <v>45779.42630787037</v>
      </c>
      <c r="C805" s="1" t="n">
        <v>45923</v>
      </c>
      <c r="D805" t="inlineStr">
        <is>
          <t>JÄMTLANDS LÄN</t>
        </is>
      </c>
      <c r="E805" t="inlineStr">
        <is>
          <t>KROKOM</t>
        </is>
      </c>
      <c r="G805" t="n">
        <v>3.7</v>
      </c>
      <c r="H805" t="n">
        <v>0</v>
      </c>
      <c r="I805" t="n">
        <v>0</v>
      </c>
      <c r="J805" t="n">
        <v>0</v>
      </c>
      <c r="K805" t="n">
        <v>0</v>
      </c>
      <c r="L805" t="n">
        <v>0</v>
      </c>
      <c r="M805" t="n">
        <v>0</v>
      </c>
      <c r="N805" t="n">
        <v>0</v>
      </c>
      <c r="O805" t="n">
        <v>0</v>
      </c>
      <c r="P805" t="n">
        <v>0</v>
      </c>
      <c r="Q805" t="n">
        <v>0</v>
      </c>
      <c r="R805" s="2" t="inlineStr"/>
    </row>
    <row r="806" ht="15" customHeight="1">
      <c r="A806" t="inlineStr">
        <is>
          <t>A 50719-2024</t>
        </is>
      </c>
      <c r="B806" s="1" t="n">
        <v>45602.38614583333</v>
      </c>
      <c r="C806" s="1" t="n">
        <v>45923</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50738-2024</t>
        </is>
      </c>
      <c r="B807" s="1" t="n">
        <v>45602.39862268518</v>
      </c>
      <c r="C807" s="1" t="n">
        <v>45923</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50755-2024</t>
        </is>
      </c>
      <c r="B808" s="1" t="n">
        <v>45602.42878472222</v>
      </c>
      <c r="C808" s="1" t="n">
        <v>45923</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21240-2025</t>
        </is>
      </c>
      <c r="B809" s="1" t="n">
        <v>45779.5674074074</v>
      </c>
      <c r="C809" s="1" t="n">
        <v>45923</v>
      </c>
      <c r="D809" t="inlineStr">
        <is>
          <t>JÄMTLANDS LÄN</t>
        </is>
      </c>
      <c r="E809" t="inlineStr">
        <is>
          <t>KROKOM</t>
        </is>
      </c>
      <c r="G809" t="n">
        <v>3.3</v>
      </c>
      <c r="H809" t="n">
        <v>0</v>
      </c>
      <c r="I809" t="n">
        <v>0</v>
      </c>
      <c r="J809" t="n">
        <v>0</v>
      </c>
      <c r="K809" t="n">
        <v>0</v>
      </c>
      <c r="L809" t="n">
        <v>0</v>
      </c>
      <c r="M809" t="n">
        <v>0</v>
      </c>
      <c r="N809" t="n">
        <v>0</v>
      </c>
      <c r="O809" t="n">
        <v>0</v>
      </c>
      <c r="P809" t="n">
        <v>0</v>
      </c>
      <c r="Q809" t="n">
        <v>0</v>
      </c>
      <c r="R809" s="2" t="inlineStr"/>
    </row>
    <row r="810" ht="15" customHeight="1">
      <c r="A810" t="inlineStr">
        <is>
          <t>A 8369-2023</t>
        </is>
      </c>
      <c r="B810" s="1" t="n">
        <v>44971</v>
      </c>
      <c r="C810" s="1" t="n">
        <v>45923</v>
      </c>
      <c r="D810" t="inlineStr">
        <is>
          <t>JÄMTLANDS LÄN</t>
        </is>
      </c>
      <c r="E810" t="inlineStr">
        <is>
          <t>KROKOM</t>
        </is>
      </c>
      <c r="G810" t="n">
        <v>47.2</v>
      </c>
      <c r="H810" t="n">
        <v>0</v>
      </c>
      <c r="I810" t="n">
        <v>0</v>
      </c>
      <c r="J810" t="n">
        <v>0</v>
      </c>
      <c r="K810" t="n">
        <v>0</v>
      </c>
      <c r="L810" t="n">
        <v>0</v>
      </c>
      <c r="M810" t="n">
        <v>0</v>
      </c>
      <c r="N810" t="n">
        <v>0</v>
      </c>
      <c r="O810" t="n">
        <v>0</v>
      </c>
      <c r="P810" t="n">
        <v>0</v>
      </c>
      <c r="Q810" t="n">
        <v>0</v>
      </c>
      <c r="R810" s="2" t="inlineStr"/>
    </row>
    <row r="811" ht="15" customHeight="1">
      <c r="A811" t="inlineStr">
        <is>
          <t>A 6068-2025</t>
        </is>
      </c>
      <c r="B811" s="1" t="n">
        <v>45696</v>
      </c>
      <c r="C811" s="1" t="n">
        <v>45923</v>
      </c>
      <c r="D811" t="inlineStr">
        <is>
          <t>JÄMTLANDS LÄN</t>
        </is>
      </c>
      <c r="E811" t="inlineStr">
        <is>
          <t>KROKOM</t>
        </is>
      </c>
      <c r="F811" t="inlineStr">
        <is>
          <t>Övriga Aktiebolag</t>
        </is>
      </c>
      <c r="G811" t="n">
        <v>17.2</v>
      </c>
      <c r="H811" t="n">
        <v>0</v>
      </c>
      <c r="I811" t="n">
        <v>0</v>
      </c>
      <c r="J811" t="n">
        <v>0</v>
      </c>
      <c r="K811" t="n">
        <v>0</v>
      </c>
      <c r="L811" t="n">
        <v>0</v>
      </c>
      <c r="M811" t="n">
        <v>0</v>
      </c>
      <c r="N811" t="n">
        <v>0</v>
      </c>
      <c r="O811" t="n">
        <v>0</v>
      </c>
      <c r="P811" t="n">
        <v>0</v>
      </c>
      <c r="Q811" t="n">
        <v>0</v>
      </c>
      <c r="R811" s="2" t="inlineStr"/>
    </row>
    <row r="812" ht="15" customHeight="1">
      <c r="A812" t="inlineStr">
        <is>
          <t>A 56328-2023</t>
        </is>
      </c>
      <c r="B812" s="1" t="n">
        <v>45243.33297453704</v>
      </c>
      <c r="C812" s="1" t="n">
        <v>45923</v>
      </c>
      <c r="D812" t="inlineStr">
        <is>
          <t>JÄMTLANDS LÄN</t>
        </is>
      </c>
      <c r="E812" t="inlineStr">
        <is>
          <t>KROKOM</t>
        </is>
      </c>
      <c r="F812" t="inlineStr">
        <is>
          <t>Övriga Aktiebolag</t>
        </is>
      </c>
      <c r="G812" t="n">
        <v>0.4</v>
      </c>
      <c r="H812" t="n">
        <v>0</v>
      </c>
      <c r="I812" t="n">
        <v>0</v>
      </c>
      <c r="J812" t="n">
        <v>0</v>
      </c>
      <c r="K812" t="n">
        <v>0</v>
      </c>
      <c r="L812" t="n">
        <v>0</v>
      </c>
      <c r="M812" t="n">
        <v>0</v>
      </c>
      <c r="N812" t="n">
        <v>0</v>
      </c>
      <c r="O812" t="n">
        <v>0</v>
      </c>
      <c r="P812" t="n">
        <v>0</v>
      </c>
      <c r="Q812" t="n">
        <v>0</v>
      </c>
      <c r="R812" s="2" t="inlineStr"/>
    </row>
    <row r="813" ht="15" customHeight="1">
      <c r="A813" t="inlineStr">
        <is>
          <t>A 35257-2023</t>
        </is>
      </c>
      <c r="B813" s="1" t="n">
        <v>45145.95255787037</v>
      </c>
      <c r="C813" s="1" t="n">
        <v>45923</v>
      </c>
      <c r="D813" t="inlineStr">
        <is>
          <t>JÄMTLANDS LÄN</t>
        </is>
      </c>
      <c r="E813" t="inlineStr">
        <is>
          <t>KROKOM</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21654-2025</t>
        </is>
      </c>
      <c r="B814" s="1" t="n">
        <v>45783.45121527778</v>
      </c>
      <c r="C814" s="1" t="n">
        <v>45923</v>
      </c>
      <c r="D814" t="inlineStr">
        <is>
          <t>JÄMTLANDS LÄN</t>
        </is>
      </c>
      <c r="E814" t="inlineStr">
        <is>
          <t>KROKOM</t>
        </is>
      </c>
      <c r="G814" t="n">
        <v>7.4</v>
      </c>
      <c r="H814" t="n">
        <v>0</v>
      </c>
      <c r="I814" t="n">
        <v>0</v>
      </c>
      <c r="J814" t="n">
        <v>0</v>
      </c>
      <c r="K814" t="n">
        <v>0</v>
      </c>
      <c r="L814" t="n">
        <v>0</v>
      </c>
      <c r="M814" t="n">
        <v>0</v>
      </c>
      <c r="N814" t="n">
        <v>0</v>
      </c>
      <c r="O814" t="n">
        <v>0</v>
      </c>
      <c r="P814" t="n">
        <v>0</v>
      </c>
      <c r="Q814" t="n">
        <v>0</v>
      </c>
      <c r="R814" s="2" t="inlineStr"/>
    </row>
    <row r="815" ht="15" customHeight="1">
      <c r="A815" t="inlineStr">
        <is>
          <t>A 21643-2025</t>
        </is>
      </c>
      <c r="B815" s="1" t="n">
        <v>45783.43409722222</v>
      </c>
      <c r="C815" s="1" t="n">
        <v>45923</v>
      </c>
      <c r="D815" t="inlineStr">
        <is>
          <t>JÄMTLANDS LÄN</t>
        </is>
      </c>
      <c r="E815" t="inlineStr">
        <is>
          <t>KROKOM</t>
        </is>
      </c>
      <c r="G815" t="n">
        <v>4.6</v>
      </c>
      <c r="H815" t="n">
        <v>0</v>
      </c>
      <c r="I815" t="n">
        <v>0</v>
      </c>
      <c r="J815" t="n">
        <v>0</v>
      </c>
      <c r="K815" t="n">
        <v>0</v>
      </c>
      <c r="L815" t="n">
        <v>0</v>
      </c>
      <c r="M815" t="n">
        <v>0</v>
      </c>
      <c r="N815" t="n">
        <v>0</v>
      </c>
      <c r="O815" t="n">
        <v>0</v>
      </c>
      <c r="P815" t="n">
        <v>0</v>
      </c>
      <c r="Q815" t="n">
        <v>0</v>
      </c>
      <c r="R815" s="2" t="inlineStr"/>
    </row>
    <row r="816" ht="15" customHeight="1">
      <c r="A816" t="inlineStr">
        <is>
          <t>A 46785-2024</t>
        </is>
      </c>
      <c r="B816" s="1" t="n">
        <v>45583.52885416667</v>
      </c>
      <c r="C816" s="1" t="n">
        <v>45923</v>
      </c>
      <c r="D816" t="inlineStr">
        <is>
          <t>JÄMTLANDS LÄN</t>
        </is>
      </c>
      <c r="E816" t="inlineStr">
        <is>
          <t>KROKOM</t>
        </is>
      </c>
      <c r="G816" t="n">
        <v>3.4</v>
      </c>
      <c r="H816" t="n">
        <v>0</v>
      </c>
      <c r="I816" t="n">
        <v>0</v>
      </c>
      <c r="J816" t="n">
        <v>0</v>
      </c>
      <c r="K816" t="n">
        <v>0</v>
      </c>
      <c r="L816" t="n">
        <v>0</v>
      </c>
      <c r="M816" t="n">
        <v>0</v>
      </c>
      <c r="N816" t="n">
        <v>0</v>
      </c>
      <c r="O816" t="n">
        <v>0</v>
      </c>
      <c r="P816" t="n">
        <v>0</v>
      </c>
      <c r="Q816" t="n">
        <v>0</v>
      </c>
      <c r="R816" s="2" t="inlineStr"/>
    </row>
    <row r="817" ht="15" customHeight="1">
      <c r="A817" t="inlineStr">
        <is>
          <t>A 8872-2025</t>
        </is>
      </c>
      <c r="B817" s="1" t="n">
        <v>45713.37111111111</v>
      </c>
      <c r="C817" s="1" t="n">
        <v>45923</v>
      </c>
      <c r="D817" t="inlineStr">
        <is>
          <t>JÄMTLANDS LÄN</t>
        </is>
      </c>
      <c r="E817" t="inlineStr">
        <is>
          <t>KROKOM</t>
        </is>
      </c>
      <c r="F817" t="inlineStr">
        <is>
          <t>Övriga Aktiebolag</t>
        </is>
      </c>
      <c r="G817" t="n">
        <v>4</v>
      </c>
      <c r="H817" t="n">
        <v>0</v>
      </c>
      <c r="I817" t="n">
        <v>0</v>
      </c>
      <c r="J817" t="n">
        <v>0</v>
      </c>
      <c r="K817" t="n">
        <v>0</v>
      </c>
      <c r="L817" t="n">
        <v>0</v>
      </c>
      <c r="M817" t="n">
        <v>0</v>
      </c>
      <c r="N817" t="n">
        <v>0</v>
      </c>
      <c r="O817" t="n">
        <v>0</v>
      </c>
      <c r="P817" t="n">
        <v>0</v>
      </c>
      <c r="Q817" t="n">
        <v>0</v>
      </c>
      <c r="R817" s="2" t="inlineStr"/>
    </row>
    <row r="818" ht="15" customHeight="1">
      <c r="A818" t="inlineStr">
        <is>
          <t>A 4707-2025</t>
        </is>
      </c>
      <c r="B818" s="1" t="n">
        <v>45688.38393518519</v>
      </c>
      <c r="C818" s="1" t="n">
        <v>45923</v>
      </c>
      <c r="D818" t="inlineStr">
        <is>
          <t>JÄMTLANDS LÄN</t>
        </is>
      </c>
      <c r="E818" t="inlineStr">
        <is>
          <t>KROKOM</t>
        </is>
      </c>
      <c r="G818" t="n">
        <v>8.9</v>
      </c>
      <c r="H818" t="n">
        <v>0</v>
      </c>
      <c r="I818" t="n">
        <v>0</v>
      </c>
      <c r="J818" t="n">
        <v>0</v>
      </c>
      <c r="K818" t="n">
        <v>0</v>
      </c>
      <c r="L818" t="n">
        <v>0</v>
      </c>
      <c r="M818" t="n">
        <v>0</v>
      </c>
      <c r="N818" t="n">
        <v>0</v>
      </c>
      <c r="O818" t="n">
        <v>0</v>
      </c>
      <c r="P818" t="n">
        <v>0</v>
      </c>
      <c r="Q818" t="n">
        <v>0</v>
      </c>
      <c r="R818" s="2" t="inlineStr"/>
    </row>
    <row r="819" ht="15" customHeight="1">
      <c r="A819" t="inlineStr">
        <is>
          <t>A 64299-2021</t>
        </is>
      </c>
      <c r="B819" s="1" t="n">
        <v>44510.9491087963</v>
      </c>
      <c r="C819" s="1" t="n">
        <v>45923</v>
      </c>
      <c r="D819" t="inlineStr">
        <is>
          <t>JÄMTLANDS LÄN</t>
        </is>
      </c>
      <c r="E819" t="inlineStr">
        <is>
          <t>KROKOM</t>
        </is>
      </c>
      <c r="G819" t="n">
        <v>3.7</v>
      </c>
      <c r="H819" t="n">
        <v>0</v>
      </c>
      <c r="I819" t="n">
        <v>0</v>
      </c>
      <c r="J819" t="n">
        <v>0</v>
      </c>
      <c r="K819" t="n">
        <v>0</v>
      </c>
      <c r="L819" t="n">
        <v>0</v>
      </c>
      <c r="M819" t="n">
        <v>0</v>
      </c>
      <c r="N819" t="n">
        <v>0</v>
      </c>
      <c r="O819" t="n">
        <v>0</v>
      </c>
      <c r="P819" t="n">
        <v>0</v>
      </c>
      <c r="Q819" t="n">
        <v>0</v>
      </c>
      <c r="R819" s="2" t="inlineStr"/>
    </row>
    <row r="820" ht="15" customHeight="1">
      <c r="A820" t="inlineStr">
        <is>
          <t>A 7787-2025</t>
        </is>
      </c>
      <c r="B820" s="1" t="n">
        <v>45706.59251157408</v>
      </c>
      <c r="C820" s="1" t="n">
        <v>45923</v>
      </c>
      <c r="D820" t="inlineStr">
        <is>
          <t>JÄMTLANDS LÄN</t>
        </is>
      </c>
      <c r="E820" t="inlineStr">
        <is>
          <t>KROKOM</t>
        </is>
      </c>
      <c r="F820" t="inlineStr">
        <is>
          <t>Övriga Aktiebolag</t>
        </is>
      </c>
      <c r="G820" t="n">
        <v>16.8</v>
      </c>
      <c r="H820" t="n">
        <v>0</v>
      </c>
      <c r="I820" t="n">
        <v>0</v>
      </c>
      <c r="J820" t="n">
        <v>0</v>
      </c>
      <c r="K820" t="n">
        <v>0</v>
      </c>
      <c r="L820" t="n">
        <v>0</v>
      </c>
      <c r="M820" t="n">
        <v>0</v>
      </c>
      <c r="N820" t="n">
        <v>0</v>
      </c>
      <c r="O820" t="n">
        <v>0</v>
      </c>
      <c r="P820" t="n">
        <v>0</v>
      </c>
      <c r="Q820" t="n">
        <v>0</v>
      </c>
      <c r="R820" s="2" t="inlineStr"/>
    </row>
    <row r="821" ht="15" customHeight="1">
      <c r="A821" t="inlineStr">
        <is>
          <t>A 14240-2025</t>
        </is>
      </c>
      <c r="B821" s="1" t="n">
        <v>45740</v>
      </c>
      <c r="C821" s="1" t="n">
        <v>45923</v>
      </c>
      <c r="D821" t="inlineStr">
        <is>
          <t>JÄMTLANDS LÄN</t>
        </is>
      </c>
      <c r="E821" t="inlineStr">
        <is>
          <t>KROKOM</t>
        </is>
      </c>
      <c r="G821" t="n">
        <v>30.3</v>
      </c>
      <c r="H821" t="n">
        <v>0</v>
      </c>
      <c r="I821" t="n">
        <v>0</v>
      </c>
      <c r="J821" t="n">
        <v>0</v>
      </c>
      <c r="K821" t="n">
        <v>0</v>
      </c>
      <c r="L821" t="n">
        <v>0</v>
      </c>
      <c r="M821" t="n">
        <v>0</v>
      </c>
      <c r="N821" t="n">
        <v>0</v>
      </c>
      <c r="O821" t="n">
        <v>0</v>
      </c>
      <c r="P821" t="n">
        <v>0</v>
      </c>
      <c r="Q821" t="n">
        <v>0</v>
      </c>
      <c r="R821" s="2" t="inlineStr"/>
    </row>
    <row r="822" ht="15" customHeight="1">
      <c r="A822" t="inlineStr">
        <is>
          <t>A 58487-2024</t>
        </is>
      </c>
      <c r="B822" s="1" t="n">
        <v>45635.39820601852</v>
      </c>
      <c r="C822" s="1" t="n">
        <v>45923</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22297-2025</t>
        </is>
      </c>
      <c r="B823" s="1" t="n">
        <v>45786.35219907408</v>
      </c>
      <c r="C823" s="1" t="n">
        <v>45923</v>
      </c>
      <c r="D823" t="inlineStr">
        <is>
          <t>JÄMTLANDS LÄN</t>
        </is>
      </c>
      <c r="E823" t="inlineStr">
        <is>
          <t>KROKOM</t>
        </is>
      </c>
      <c r="G823" t="n">
        <v>0.7</v>
      </c>
      <c r="H823" t="n">
        <v>0</v>
      </c>
      <c r="I823" t="n">
        <v>0</v>
      </c>
      <c r="J823" t="n">
        <v>0</v>
      </c>
      <c r="K823" t="n">
        <v>0</v>
      </c>
      <c r="L823" t="n">
        <v>0</v>
      </c>
      <c r="M823" t="n">
        <v>0</v>
      </c>
      <c r="N823" t="n">
        <v>0</v>
      </c>
      <c r="O823" t="n">
        <v>0</v>
      </c>
      <c r="P823" t="n">
        <v>0</v>
      </c>
      <c r="Q823" t="n">
        <v>0</v>
      </c>
      <c r="R823" s="2" t="inlineStr"/>
    </row>
    <row r="824" ht="15" customHeight="1">
      <c r="A824" t="inlineStr">
        <is>
          <t>A 22681-2025</t>
        </is>
      </c>
      <c r="B824" s="1" t="n">
        <v>45786</v>
      </c>
      <c r="C824" s="1" t="n">
        <v>45923</v>
      </c>
      <c r="D824" t="inlineStr">
        <is>
          <t>JÄMTLANDS LÄN</t>
        </is>
      </c>
      <c r="E824" t="inlineStr">
        <is>
          <t>KROKOM</t>
        </is>
      </c>
      <c r="G824" t="n">
        <v>1.9</v>
      </c>
      <c r="H824" t="n">
        <v>0</v>
      </c>
      <c r="I824" t="n">
        <v>0</v>
      </c>
      <c r="J824" t="n">
        <v>0</v>
      </c>
      <c r="K824" t="n">
        <v>0</v>
      </c>
      <c r="L824" t="n">
        <v>0</v>
      </c>
      <c r="M824" t="n">
        <v>0</v>
      </c>
      <c r="N824" t="n">
        <v>0</v>
      </c>
      <c r="O824" t="n">
        <v>0</v>
      </c>
      <c r="P824" t="n">
        <v>0</v>
      </c>
      <c r="Q824" t="n">
        <v>0</v>
      </c>
      <c r="R824" s="2" t="inlineStr"/>
    </row>
    <row r="825" ht="15" customHeight="1">
      <c r="A825" t="inlineStr">
        <is>
          <t>A 3231-2022</t>
        </is>
      </c>
      <c r="B825" s="1" t="n">
        <v>44582</v>
      </c>
      <c r="C825" s="1" t="n">
        <v>45923</v>
      </c>
      <c r="D825" t="inlineStr">
        <is>
          <t>JÄMTLANDS LÄN</t>
        </is>
      </c>
      <c r="E825" t="inlineStr">
        <is>
          <t>KROKOM</t>
        </is>
      </c>
      <c r="G825" t="n">
        <v>23</v>
      </c>
      <c r="H825" t="n">
        <v>0</v>
      </c>
      <c r="I825" t="n">
        <v>0</v>
      </c>
      <c r="J825" t="n">
        <v>0</v>
      </c>
      <c r="K825" t="n">
        <v>0</v>
      </c>
      <c r="L825" t="n">
        <v>0</v>
      </c>
      <c r="M825" t="n">
        <v>0</v>
      </c>
      <c r="N825" t="n">
        <v>0</v>
      </c>
      <c r="O825" t="n">
        <v>0</v>
      </c>
      <c r="P825" t="n">
        <v>0</v>
      </c>
      <c r="Q825" t="n">
        <v>0</v>
      </c>
      <c r="R825" s="2" t="inlineStr"/>
    </row>
    <row r="826" ht="15" customHeight="1">
      <c r="A826" t="inlineStr">
        <is>
          <t>A 10646-2025</t>
        </is>
      </c>
      <c r="B826" s="1" t="n">
        <v>45721.66456018519</v>
      </c>
      <c r="C826" s="1" t="n">
        <v>45923</v>
      </c>
      <c r="D826" t="inlineStr">
        <is>
          <t>JÄMTLANDS LÄN</t>
        </is>
      </c>
      <c r="E826" t="inlineStr">
        <is>
          <t>KROKOM</t>
        </is>
      </c>
      <c r="G826" t="n">
        <v>3.1</v>
      </c>
      <c r="H826" t="n">
        <v>0</v>
      </c>
      <c r="I826" t="n">
        <v>0</v>
      </c>
      <c r="J826" t="n">
        <v>0</v>
      </c>
      <c r="K826" t="n">
        <v>0</v>
      </c>
      <c r="L826" t="n">
        <v>0</v>
      </c>
      <c r="M826" t="n">
        <v>0</v>
      </c>
      <c r="N826" t="n">
        <v>0</v>
      </c>
      <c r="O826" t="n">
        <v>0</v>
      </c>
      <c r="P826" t="n">
        <v>0</v>
      </c>
      <c r="Q826" t="n">
        <v>0</v>
      </c>
      <c r="R826" s="2" t="inlineStr"/>
    </row>
    <row r="827" ht="15" customHeight="1">
      <c r="A827" t="inlineStr">
        <is>
          <t>A 29477-2024</t>
        </is>
      </c>
      <c r="B827" s="1" t="n">
        <v>45484</v>
      </c>
      <c r="C827" s="1" t="n">
        <v>45923</v>
      </c>
      <c r="D827" t="inlineStr">
        <is>
          <t>JÄMTLANDS LÄN</t>
        </is>
      </c>
      <c r="E827" t="inlineStr">
        <is>
          <t>KROKOM</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22122-2025</t>
        </is>
      </c>
      <c r="B828" s="1" t="n">
        <v>45785.52112268518</v>
      </c>
      <c r="C828" s="1" t="n">
        <v>45923</v>
      </c>
      <c r="D828" t="inlineStr">
        <is>
          <t>JÄMTLANDS LÄN</t>
        </is>
      </c>
      <c r="E828" t="inlineStr">
        <is>
          <t>KROKOM</t>
        </is>
      </c>
      <c r="G828" t="n">
        <v>9.6</v>
      </c>
      <c r="H828" t="n">
        <v>0</v>
      </c>
      <c r="I828" t="n">
        <v>0</v>
      </c>
      <c r="J828" t="n">
        <v>0</v>
      </c>
      <c r="K828" t="n">
        <v>0</v>
      </c>
      <c r="L828" t="n">
        <v>0</v>
      </c>
      <c r="M828" t="n">
        <v>0</v>
      </c>
      <c r="N828" t="n">
        <v>0</v>
      </c>
      <c r="O828" t="n">
        <v>0</v>
      </c>
      <c r="P828" t="n">
        <v>0</v>
      </c>
      <c r="Q828" t="n">
        <v>0</v>
      </c>
      <c r="R828" s="2" t="inlineStr"/>
    </row>
    <row r="829" ht="15" customHeight="1">
      <c r="A829" t="inlineStr">
        <is>
          <t>A 53540-2024</t>
        </is>
      </c>
      <c r="B829" s="1" t="n">
        <v>45614.63575231482</v>
      </c>
      <c r="C829" s="1" t="n">
        <v>45923</v>
      </c>
      <c r="D829" t="inlineStr">
        <is>
          <t>JÄMTLANDS LÄN</t>
        </is>
      </c>
      <c r="E829" t="inlineStr">
        <is>
          <t>KROKOM</t>
        </is>
      </c>
      <c r="G829" t="n">
        <v>4.7</v>
      </c>
      <c r="H829" t="n">
        <v>0</v>
      </c>
      <c r="I829" t="n">
        <v>0</v>
      </c>
      <c r="J829" t="n">
        <v>0</v>
      </c>
      <c r="K829" t="n">
        <v>0</v>
      </c>
      <c r="L829" t="n">
        <v>0</v>
      </c>
      <c r="M829" t="n">
        <v>0</v>
      </c>
      <c r="N829" t="n">
        <v>0</v>
      </c>
      <c r="O829" t="n">
        <v>0</v>
      </c>
      <c r="P829" t="n">
        <v>0</v>
      </c>
      <c r="Q829" t="n">
        <v>0</v>
      </c>
      <c r="R829" s="2" t="inlineStr"/>
    </row>
    <row r="830" ht="15" customHeight="1">
      <c r="A830" t="inlineStr">
        <is>
          <t>A 22132-2025</t>
        </is>
      </c>
      <c r="B830" s="1" t="n">
        <v>45785.5403125</v>
      </c>
      <c r="C830" s="1" t="n">
        <v>45923</v>
      </c>
      <c r="D830" t="inlineStr">
        <is>
          <t>JÄMTLANDS LÄN</t>
        </is>
      </c>
      <c r="E830" t="inlineStr">
        <is>
          <t>KROKOM</t>
        </is>
      </c>
      <c r="G830" t="n">
        <v>2.6</v>
      </c>
      <c r="H830" t="n">
        <v>0</v>
      </c>
      <c r="I830" t="n">
        <v>0</v>
      </c>
      <c r="J830" t="n">
        <v>0</v>
      </c>
      <c r="K830" t="n">
        <v>0</v>
      </c>
      <c r="L830" t="n">
        <v>0</v>
      </c>
      <c r="M830" t="n">
        <v>0</v>
      </c>
      <c r="N830" t="n">
        <v>0</v>
      </c>
      <c r="O830" t="n">
        <v>0</v>
      </c>
      <c r="P830" t="n">
        <v>0</v>
      </c>
      <c r="Q830" t="n">
        <v>0</v>
      </c>
      <c r="R830" s="2" t="inlineStr"/>
    </row>
    <row r="831" ht="15" customHeight="1">
      <c r="A831" t="inlineStr">
        <is>
          <t>A 22136-2025</t>
        </is>
      </c>
      <c r="B831" s="1" t="n">
        <v>45785.54635416667</v>
      </c>
      <c r="C831" s="1" t="n">
        <v>45923</v>
      </c>
      <c r="D831" t="inlineStr">
        <is>
          <t>JÄMTLANDS LÄN</t>
        </is>
      </c>
      <c r="E831" t="inlineStr">
        <is>
          <t>KROKOM</t>
        </is>
      </c>
      <c r="G831" t="n">
        <v>2.1</v>
      </c>
      <c r="H831" t="n">
        <v>0</v>
      </c>
      <c r="I831" t="n">
        <v>0</v>
      </c>
      <c r="J831" t="n">
        <v>0</v>
      </c>
      <c r="K831" t="n">
        <v>0</v>
      </c>
      <c r="L831" t="n">
        <v>0</v>
      </c>
      <c r="M831" t="n">
        <v>0</v>
      </c>
      <c r="N831" t="n">
        <v>0</v>
      </c>
      <c r="O831" t="n">
        <v>0</v>
      </c>
      <c r="P831" t="n">
        <v>0</v>
      </c>
      <c r="Q831" t="n">
        <v>0</v>
      </c>
      <c r="R831" s="2" t="inlineStr"/>
    </row>
    <row r="832" ht="15" customHeight="1">
      <c r="A832" t="inlineStr">
        <is>
          <t>A 280-2025</t>
        </is>
      </c>
      <c r="B832" s="1" t="n">
        <v>45660.49618055556</v>
      </c>
      <c r="C832" s="1" t="n">
        <v>45923</v>
      </c>
      <c r="D832" t="inlineStr">
        <is>
          <t>JÄMTLANDS LÄN</t>
        </is>
      </c>
      <c r="E832" t="inlineStr">
        <is>
          <t>KROKOM</t>
        </is>
      </c>
      <c r="G832" t="n">
        <v>2.1</v>
      </c>
      <c r="H832" t="n">
        <v>0</v>
      </c>
      <c r="I832" t="n">
        <v>0</v>
      </c>
      <c r="J832" t="n">
        <v>0</v>
      </c>
      <c r="K832" t="n">
        <v>0</v>
      </c>
      <c r="L832" t="n">
        <v>0</v>
      </c>
      <c r="M832" t="n">
        <v>0</v>
      </c>
      <c r="N832" t="n">
        <v>0</v>
      </c>
      <c r="O832" t="n">
        <v>0</v>
      </c>
      <c r="P832" t="n">
        <v>0</v>
      </c>
      <c r="Q832" t="n">
        <v>0</v>
      </c>
      <c r="R832" s="2" t="inlineStr"/>
    </row>
    <row r="833" ht="15" customHeight="1">
      <c r="A833" t="inlineStr">
        <is>
          <t>A 22304-2025</t>
        </is>
      </c>
      <c r="B833" s="1" t="n">
        <v>45786</v>
      </c>
      <c r="C833" s="1" t="n">
        <v>45923</v>
      </c>
      <c r="D833" t="inlineStr">
        <is>
          <t>JÄMTLANDS LÄN</t>
        </is>
      </c>
      <c r="E833" t="inlineStr">
        <is>
          <t>KROKOM</t>
        </is>
      </c>
      <c r="G833" t="n">
        <v>0.2</v>
      </c>
      <c r="H833" t="n">
        <v>0</v>
      </c>
      <c r="I833" t="n">
        <v>0</v>
      </c>
      <c r="J833" t="n">
        <v>0</v>
      </c>
      <c r="K833" t="n">
        <v>0</v>
      </c>
      <c r="L833" t="n">
        <v>0</v>
      </c>
      <c r="M833" t="n">
        <v>0</v>
      </c>
      <c r="N833" t="n">
        <v>0</v>
      </c>
      <c r="O833" t="n">
        <v>0</v>
      </c>
      <c r="P833" t="n">
        <v>0</v>
      </c>
      <c r="Q833" t="n">
        <v>0</v>
      </c>
      <c r="R833" s="2" t="inlineStr"/>
    </row>
    <row r="834" ht="15" customHeight="1">
      <c r="A834" t="inlineStr">
        <is>
          <t>A 22490-2025</t>
        </is>
      </c>
      <c r="B834" s="1" t="n">
        <v>45786.64972222222</v>
      </c>
      <c r="C834" s="1" t="n">
        <v>45923</v>
      </c>
      <c r="D834" t="inlineStr">
        <is>
          <t>JÄMTLANDS LÄN</t>
        </is>
      </c>
      <c r="E834" t="inlineStr">
        <is>
          <t>KROKOM</t>
        </is>
      </c>
      <c r="G834" t="n">
        <v>6.4</v>
      </c>
      <c r="H834" t="n">
        <v>0</v>
      </c>
      <c r="I834" t="n">
        <v>0</v>
      </c>
      <c r="J834" t="n">
        <v>0</v>
      </c>
      <c r="K834" t="n">
        <v>0</v>
      </c>
      <c r="L834" t="n">
        <v>0</v>
      </c>
      <c r="M834" t="n">
        <v>0</v>
      </c>
      <c r="N834" t="n">
        <v>0</v>
      </c>
      <c r="O834" t="n">
        <v>0</v>
      </c>
      <c r="P834" t="n">
        <v>0</v>
      </c>
      <c r="Q834" t="n">
        <v>0</v>
      </c>
      <c r="R834" s="2" t="inlineStr"/>
    </row>
    <row r="835" ht="15" customHeight="1">
      <c r="A835" t="inlineStr">
        <is>
          <t>A 22499-2025</t>
        </is>
      </c>
      <c r="B835" s="1" t="n">
        <v>45786.65702546296</v>
      </c>
      <c r="C835" s="1" t="n">
        <v>45923</v>
      </c>
      <c r="D835" t="inlineStr">
        <is>
          <t>JÄMTLANDS LÄN</t>
        </is>
      </c>
      <c r="E835" t="inlineStr">
        <is>
          <t>KROKOM</t>
        </is>
      </c>
      <c r="G835" t="n">
        <v>6.6</v>
      </c>
      <c r="H835" t="n">
        <v>0</v>
      </c>
      <c r="I835" t="n">
        <v>0</v>
      </c>
      <c r="J835" t="n">
        <v>0</v>
      </c>
      <c r="K835" t="n">
        <v>0</v>
      </c>
      <c r="L835" t="n">
        <v>0</v>
      </c>
      <c r="M835" t="n">
        <v>0</v>
      </c>
      <c r="N835" t="n">
        <v>0</v>
      </c>
      <c r="O835" t="n">
        <v>0</v>
      </c>
      <c r="P835" t="n">
        <v>0</v>
      </c>
      <c r="Q835" t="n">
        <v>0</v>
      </c>
      <c r="R835" s="2" t="inlineStr"/>
    </row>
    <row r="836" ht="15" customHeight="1">
      <c r="A836" t="inlineStr">
        <is>
          <t>A 22254-2025</t>
        </is>
      </c>
      <c r="B836" s="1" t="n">
        <v>45785</v>
      </c>
      <c r="C836" s="1" t="n">
        <v>45923</v>
      </c>
      <c r="D836" t="inlineStr">
        <is>
          <t>JÄMTLANDS LÄN</t>
        </is>
      </c>
      <c r="E836" t="inlineStr">
        <is>
          <t>KROKOM</t>
        </is>
      </c>
      <c r="G836" t="n">
        <v>4.5</v>
      </c>
      <c r="H836" t="n">
        <v>0</v>
      </c>
      <c r="I836" t="n">
        <v>0</v>
      </c>
      <c r="J836" t="n">
        <v>0</v>
      </c>
      <c r="K836" t="n">
        <v>0</v>
      </c>
      <c r="L836" t="n">
        <v>0</v>
      </c>
      <c r="M836" t="n">
        <v>0</v>
      </c>
      <c r="N836" t="n">
        <v>0</v>
      </c>
      <c r="O836" t="n">
        <v>0</v>
      </c>
      <c r="P836" t="n">
        <v>0</v>
      </c>
      <c r="Q836" t="n">
        <v>0</v>
      </c>
      <c r="R836" s="2" t="inlineStr"/>
    </row>
    <row r="837" ht="15" customHeight="1">
      <c r="A837" t="inlineStr">
        <is>
          <t>A 22503-2025</t>
        </is>
      </c>
      <c r="B837" s="1" t="n">
        <v>45786.66140046297</v>
      </c>
      <c r="C837" s="1" t="n">
        <v>45923</v>
      </c>
      <c r="D837" t="inlineStr">
        <is>
          <t>JÄMTLANDS LÄN</t>
        </is>
      </c>
      <c r="E837" t="inlineStr">
        <is>
          <t>KROKOM</t>
        </is>
      </c>
      <c r="G837" t="n">
        <v>1.7</v>
      </c>
      <c r="H837" t="n">
        <v>0</v>
      </c>
      <c r="I837" t="n">
        <v>0</v>
      </c>
      <c r="J837" t="n">
        <v>0</v>
      </c>
      <c r="K837" t="n">
        <v>0</v>
      </c>
      <c r="L837" t="n">
        <v>0</v>
      </c>
      <c r="M837" t="n">
        <v>0</v>
      </c>
      <c r="N837" t="n">
        <v>0</v>
      </c>
      <c r="O837" t="n">
        <v>0</v>
      </c>
      <c r="P837" t="n">
        <v>0</v>
      </c>
      <c r="Q837" t="n">
        <v>0</v>
      </c>
      <c r="R837" s="2" t="inlineStr"/>
    </row>
    <row r="838" ht="15" customHeight="1">
      <c r="A838" t="inlineStr">
        <is>
          <t>A 9388-2025</t>
        </is>
      </c>
      <c r="B838" s="1" t="n">
        <v>45715</v>
      </c>
      <c r="C838" s="1" t="n">
        <v>45923</v>
      </c>
      <c r="D838" t="inlineStr">
        <is>
          <t>JÄMTLANDS LÄN</t>
        </is>
      </c>
      <c r="E838" t="inlineStr">
        <is>
          <t>KROKOM</t>
        </is>
      </c>
      <c r="F838" t="inlineStr">
        <is>
          <t>Övriga Aktiebolag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39490-2022</t>
        </is>
      </c>
      <c r="B839" s="1" t="n">
        <v>44818</v>
      </c>
      <c r="C839" s="1" t="n">
        <v>45923</v>
      </c>
      <c r="D839" t="inlineStr">
        <is>
          <t>JÄMTLANDS LÄN</t>
        </is>
      </c>
      <c r="E839" t="inlineStr">
        <is>
          <t>KROKOM</t>
        </is>
      </c>
      <c r="G839" t="n">
        <v>11.9</v>
      </c>
      <c r="H839" t="n">
        <v>0</v>
      </c>
      <c r="I839" t="n">
        <v>0</v>
      </c>
      <c r="J839" t="n">
        <v>0</v>
      </c>
      <c r="K839" t="n">
        <v>0</v>
      </c>
      <c r="L839" t="n">
        <v>0</v>
      </c>
      <c r="M839" t="n">
        <v>0</v>
      </c>
      <c r="N839" t="n">
        <v>0</v>
      </c>
      <c r="O839" t="n">
        <v>0</v>
      </c>
      <c r="P839" t="n">
        <v>0</v>
      </c>
      <c r="Q839" t="n">
        <v>0</v>
      </c>
      <c r="R839" s="2" t="inlineStr"/>
    </row>
    <row r="840" ht="15" customHeight="1">
      <c r="A840" t="inlineStr">
        <is>
          <t>A 22115-2025</t>
        </is>
      </c>
      <c r="B840" s="1" t="n">
        <v>45785.51092592593</v>
      </c>
      <c r="C840" s="1" t="n">
        <v>45923</v>
      </c>
      <c r="D840" t="inlineStr">
        <is>
          <t>JÄMTLANDS LÄN</t>
        </is>
      </c>
      <c r="E840" t="inlineStr">
        <is>
          <t>KROKOM</t>
        </is>
      </c>
      <c r="F840" t="inlineStr">
        <is>
          <t>SCA</t>
        </is>
      </c>
      <c r="G840" t="n">
        <v>4.1</v>
      </c>
      <c r="H840" t="n">
        <v>0</v>
      </c>
      <c r="I840" t="n">
        <v>0</v>
      </c>
      <c r="J840" t="n">
        <v>0</v>
      </c>
      <c r="K840" t="n">
        <v>0</v>
      </c>
      <c r="L840" t="n">
        <v>0</v>
      </c>
      <c r="M840" t="n">
        <v>0</v>
      </c>
      <c r="N840" t="n">
        <v>0</v>
      </c>
      <c r="O840" t="n">
        <v>0</v>
      </c>
      <c r="P840" t="n">
        <v>0</v>
      </c>
      <c r="Q840" t="n">
        <v>0</v>
      </c>
      <c r="R840" s="2" t="inlineStr"/>
    </row>
    <row r="841" ht="15" customHeight="1">
      <c r="A841" t="inlineStr">
        <is>
          <t>A 26207-2024</t>
        </is>
      </c>
      <c r="B841" s="1" t="n">
        <v>45467</v>
      </c>
      <c r="C841" s="1" t="n">
        <v>45923</v>
      </c>
      <c r="D841" t="inlineStr">
        <is>
          <t>JÄMTLANDS LÄN</t>
        </is>
      </c>
      <c r="E841" t="inlineStr">
        <is>
          <t>KROKOM</t>
        </is>
      </c>
      <c r="G841" t="n">
        <v>14.4</v>
      </c>
      <c r="H841" t="n">
        <v>0</v>
      </c>
      <c r="I841" t="n">
        <v>0</v>
      </c>
      <c r="J841" t="n">
        <v>0</v>
      </c>
      <c r="K841" t="n">
        <v>0</v>
      </c>
      <c r="L841" t="n">
        <v>0</v>
      </c>
      <c r="M841" t="n">
        <v>0</v>
      </c>
      <c r="N841" t="n">
        <v>0</v>
      </c>
      <c r="O841" t="n">
        <v>0</v>
      </c>
      <c r="P841" t="n">
        <v>0</v>
      </c>
      <c r="Q841" t="n">
        <v>0</v>
      </c>
      <c r="R841" s="2" t="inlineStr"/>
    </row>
    <row r="842" ht="15" customHeight="1">
      <c r="A842" t="inlineStr">
        <is>
          <t>A 9043-2025</t>
        </is>
      </c>
      <c r="B842" s="1" t="n">
        <v>45713</v>
      </c>
      <c r="C842" s="1" t="n">
        <v>45923</v>
      </c>
      <c r="D842" t="inlineStr">
        <is>
          <t>JÄMTLANDS LÄN</t>
        </is>
      </c>
      <c r="E842" t="inlineStr">
        <is>
          <t>KROKOM</t>
        </is>
      </c>
      <c r="F842" t="inlineStr">
        <is>
          <t>Övriga Aktiebolag</t>
        </is>
      </c>
      <c r="G842" t="n">
        <v>43.6</v>
      </c>
      <c r="H842" t="n">
        <v>0</v>
      </c>
      <c r="I842" t="n">
        <v>0</v>
      </c>
      <c r="J842" t="n">
        <v>0</v>
      </c>
      <c r="K842" t="n">
        <v>0</v>
      </c>
      <c r="L842" t="n">
        <v>0</v>
      </c>
      <c r="M842" t="n">
        <v>0</v>
      </c>
      <c r="N842" t="n">
        <v>0</v>
      </c>
      <c r="O842" t="n">
        <v>0</v>
      </c>
      <c r="P842" t="n">
        <v>0</v>
      </c>
      <c r="Q842" t="n">
        <v>0</v>
      </c>
      <c r="R842" s="2" t="inlineStr"/>
    </row>
    <row r="843" ht="15" customHeight="1">
      <c r="A843" t="inlineStr">
        <is>
          <t>A 27954-2024</t>
        </is>
      </c>
      <c r="B843" s="1" t="n">
        <v>45476</v>
      </c>
      <c r="C843" s="1" t="n">
        <v>45923</v>
      </c>
      <c r="D843" t="inlineStr">
        <is>
          <t>JÄMTLANDS LÄN</t>
        </is>
      </c>
      <c r="E843" t="inlineStr">
        <is>
          <t>KROKOM</t>
        </is>
      </c>
      <c r="G843" t="n">
        <v>0.1</v>
      </c>
      <c r="H843" t="n">
        <v>0</v>
      </c>
      <c r="I843" t="n">
        <v>0</v>
      </c>
      <c r="J843" t="n">
        <v>0</v>
      </c>
      <c r="K843" t="n">
        <v>0</v>
      </c>
      <c r="L843" t="n">
        <v>0</v>
      </c>
      <c r="M843" t="n">
        <v>0</v>
      </c>
      <c r="N843" t="n">
        <v>0</v>
      </c>
      <c r="O843" t="n">
        <v>0</v>
      </c>
      <c r="P843" t="n">
        <v>0</v>
      </c>
      <c r="Q843" t="n">
        <v>0</v>
      </c>
      <c r="R843" s="2" t="inlineStr"/>
    </row>
    <row r="844" ht="15" customHeight="1">
      <c r="A844" t="inlineStr">
        <is>
          <t>A 22731-2025</t>
        </is>
      </c>
      <c r="B844" s="1" t="n">
        <v>45789.58238425926</v>
      </c>
      <c r="C844" s="1" t="n">
        <v>45923</v>
      </c>
      <c r="D844" t="inlineStr">
        <is>
          <t>JÄMTLANDS LÄN</t>
        </is>
      </c>
      <c r="E844" t="inlineStr">
        <is>
          <t>KROKOM</t>
        </is>
      </c>
      <c r="G844" t="n">
        <v>0.8</v>
      </c>
      <c r="H844" t="n">
        <v>0</v>
      </c>
      <c r="I844" t="n">
        <v>0</v>
      </c>
      <c r="J844" t="n">
        <v>0</v>
      </c>
      <c r="K844" t="n">
        <v>0</v>
      </c>
      <c r="L844" t="n">
        <v>0</v>
      </c>
      <c r="M844" t="n">
        <v>0</v>
      </c>
      <c r="N844" t="n">
        <v>0</v>
      </c>
      <c r="O844" t="n">
        <v>0</v>
      </c>
      <c r="P844" t="n">
        <v>0</v>
      </c>
      <c r="Q844" t="n">
        <v>0</v>
      </c>
      <c r="R844" s="2" t="inlineStr"/>
    </row>
    <row r="845" ht="15" customHeight="1">
      <c r="A845" t="inlineStr">
        <is>
          <t>A 22751-2025</t>
        </is>
      </c>
      <c r="B845" s="1" t="n">
        <v>45789.61349537037</v>
      </c>
      <c r="C845" s="1" t="n">
        <v>45923</v>
      </c>
      <c r="D845" t="inlineStr">
        <is>
          <t>JÄMTLANDS LÄN</t>
        </is>
      </c>
      <c r="E845" t="inlineStr">
        <is>
          <t>KROKOM</t>
        </is>
      </c>
      <c r="G845" t="n">
        <v>4.5</v>
      </c>
      <c r="H845" t="n">
        <v>0</v>
      </c>
      <c r="I845" t="n">
        <v>0</v>
      </c>
      <c r="J845" t="n">
        <v>0</v>
      </c>
      <c r="K845" t="n">
        <v>0</v>
      </c>
      <c r="L845" t="n">
        <v>0</v>
      </c>
      <c r="M845" t="n">
        <v>0</v>
      </c>
      <c r="N845" t="n">
        <v>0</v>
      </c>
      <c r="O845" t="n">
        <v>0</v>
      </c>
      <c r="P845" t="n">
        <v>0</v>
      </c>
      <c r="Q845" t="n">
        <v>0</v>
      </c>
      <c r="R845" s="2" t="inlineStr"/>
    </row>
    <row r="846" ht="15" customHeight="1">
      <c r="A846" t="inlineStr">
        <is>
          <t>A 51060-2024</t>
        </is>
      </c>
      <c r="B846" s="1" t="n">
        <v>45603.44815972223</v>
      </c>
      <c r="C846" s="1" t="n">
        <v>45923</v>
      </c>
      <c r="D846" t="inlineStr">
        <is>
          <t>JÄMTLANDS LÄN</t>
        </is>
      </c>
      <c r="E846" t="inlineStr">
        <is>
          <t>KROKOM</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60487-2024</t>
        </is>
      </c>
      <c r="B847" s="1" t="n">
        <v>45643.64706018518</v>
      </c>
      <c r="C847" s="1" t="n">
        <v>45923</v>
      </c>
      <c r="D847" t="inlineStr">
        <is>
          <t>JÄMTLANDS LÄN</t>
        </is>
      </c>
      <c r="E847" t="inlineStr">
        <is>
          <t>KROKOM</t>
        </is>
      </c>
      <c r="G847" t="n">
        <v>1</v>
      </c>
      <c r="H847" t="n">
        <v>0</v>
      </c>
      <c r="I847" t="n">
        <v>0</v>
      </c>
      <c r="J847" t="n">
        <v>0</v>
      </c>
      <c r="K847" t="n">
        <v>0</v>
      </c>
      <c r="L847" t="n">
        <v>0</v>
      </c>
      <c r="M847" t="n">
        <v>0</v>
      </c>
      <c r="N847" t="n">
        <v>0</v>
      </c>
      <c r="O847" t="n">
        <v>0</v>
      </c>
      <c r="P847" t="n">
        <v>0</v>
      </c>
      <c r="Q847" t="n">
        <v>0</v>
      </c>
      <c r="R847" s="2" t="inlineStr"/>
    </row>
    <row r="848" ht="15" customHeight="1">
      <c r="A848" t="inlineStr">
        <is>
          <t>A 74011-2021</t>
        </is>
      </c>
      <c r="B848" s="1" t="n">
        <v>44557</v>
      </c>
      <c r="C848" s="1" t="n">
        <v>45923</v>
      </c>
      <c r="D848" t="inlineStr">
        <is>
          <t>JÄMTLANDS LÄN</t>
        </is>
      </c>
      <c r="E848" t="inlineStr">
        <is>
          <t>KROKOM</t>
        </is>
      </c>
      <c r="G848" t="n">
        <v>33.2</v>
      </c>
      <c r="H848" t="n">
        <v>0</v>
      </c>
      <c r="I848" t="n">
        <v>0</v>
      </c>
      <c r="J848" t="n">
        <v>0</v>
      </c>
      <c r="K848" t="n">
        <v>0</v>
      </c>
      <c r="L848" t="n">
        <v>0</v>
      </c>
      <c r="M848" t="n">
        <v>0</v>
      </c>
      <c r="N848" t="n">
        <v>0</v>
      </c>
      <c r="O848" t="n">
        <v>0</v>
      </c>
      <c r="P848" t="n">
        <v>0</v>
      </c>
      <c r="Q848" t="n">
        <v>0</v>
      </c>
      <c r="R848" s="2" t="inlineStr"/>
    </row>
    <row r="849" ht="15" customHeight="1">
      <c r="A849" t="inlineStr">
        <is>
          <t>A 58136-2024</t>
        </is>
      </c>
      <c r="B849" s="1" t="n">
        <v>45632</v>
      </c>
      <c r="C849" s="1" t="n">
        <v>45923</v>
      </c>
      <c r="D849" t="inlineStr">
        <is>
          <t>JÄMTLANDS LÄN</t>
        </is>
      </c>
      <c r="E849" t="inlineStr">
        <is>
          <t>KROKOM</t>
        </is>
      </c>
      <c r="G849" t="n">
        <v>3.3</v>
      </c>
      <c r="H849" t="n">
        <v>0</v>
      </c>
      <c r="I849" t="n">
        <v>0</v>
      </c>
      <c r="J849" t="n">
        <v>0</v>
      </c>
      <c r="K849" t="n">
        <v>0</v>
      </c>
      <c r="L849" t="n">
        <v>0</v>
      </c>
      <c r="M849" t="n">
        <v>0</v>
      </c>
      <c r="N849" t="n">
        <v>0</v>
      </c>
      <c r="O849" t="n">
        <v>0</v>
      </c>
      <c r="P849" t="n">
        <v>0</v>
      </c>
      <c r="Q849" t="n">
        <v>0</v>
      </c>
      <c r="R849" s="2" t="inlineStr"/>
    </row>
    <row r="850" ht="15" customHeight="1">
      <c r="A850" t="inlineStr">
        <is>
          <t>A 9313-2025</t>
        </is>
      </c>
      <c r="B850" s="1" t="n">
        <v>45714.69212962963</v>
      </c>
      <c r="C850" s="1" t="n">
        <v>45923</v>
      </c>
      <c r="D850" t="inlineStr">
        <is>
          <t>JÄMTLANDS LÄN</t>
        </is>
      </c>
      <c r="E850" t="inlineStr">
        <is>
          <t>KROKOM</t>
        </is>
      </c>
      <c r="F850" t="inlineStr">
        <is>
          <t>Kyrkan</t>
        </is>
      </c>
      <c r="G850" t="n">
        <v>3.3</v>
      </c>
      <c r="H850" t="n">
        <v>0</v>
      </c>
      <c r="I850" t="n">
        <v>0</v>
      </c>
      <c r="J850" t="n">
        <v>0</v>
      </c>
      <c r="K850" t="n">
        <v>0</v>
      </c>
      <c r="L850" t="n">
        <v>0</v>
      </c>
      <c r="M850" t="n">
        <v>0</v>
      </c>
      <c r="N850" t="n">
        <v>0</v>
      </c>
      <c r="O850" t="n">
        <v>0</v>
      </c>
      <c r="P850" t="n">
        <v>0</v>
      </c>
      <c r="Q850" t="n">
        <v>0</v>
      </c>
      <c r="R850" s="2" t="inlineStr"/>
    </row>
    <row r="851" ht="15" customHeight="1">
      <c r="A851" t="inlineStr">
        <is>
          <t>A 15231-2022</t>
        </is>
      </c>
      <c r="B851" s="1" t="n">
        <v>44658</v>
      </c>
      <c r="C851" s="1" t="n">
        <v>45923</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47721-2024</t>
        </is>
      </c>
      <c r="B852" s="1" t="n">
        <v>45588</v>
      </c>
      <c r="C852" s="1" t="n">
        <v>45923</v>
      </c>
      <c r="D852" t="inlineStr">
        <is>
          <t>JÄMTLANDS LÄN</t>
        </is>
      </c>
      <c r="E852" t="inlineStr">
        <is>
          <t>KROKOM</t>
        </is>
      </c>
      <c r="G852" t="n">
        <v>19.2</v>
      </c>
      <c r="H852" t="n">
        <v>0</v>
      </c>
      <c r="I852" t="n">
        <v>0</v>
      </c>
      <c r="J852" t="n">
        <v>0</v>
      </c>
      <c r="K852" t="n">
        <v>0</v>
      </c>
      <c r="L852" t="n">
        <v>0</v>
      </c>
      <c r="M852" t="n">
        <v>0</v>
      </c>
      <c r="N852" t="n">
        <v>0</v>
      </c>
      <c r="O852" t="n">
        <v>0</v>
      </c>
      <c r="P852" t="n">
        <v>0</v>
      </c>
      <c r="Q852" t="n">
        <v>0</v>
      </c>
      <c r="R852" s="2" t="inlineStr"/>
    </row>
    <row r="853" ht="15" customHeight="1">
      <c r="A853" t="inlineStr">
        <is>
          <t>A 31655-2025</t>
        </is>
      </c>
      <c r="B853" s="1" t="n">
        <v>45834.34737268519</v>
      </c>
      <c r="C853" s="1" t="n">
        <v>45923</v>
      </c>
      <c r="D853" t="inlineStr">
        <is>
          <t>JÄMTLANDS LÄN</t>
        </is>
      </c>
      <c r="E853" t="inlineStr">
        <is>
          <t>KROKOM</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41675-2024</t>
        </is>
      </c>
      <c r="B854" s="1" t="n">
        <v>45560.6599537037</v>
      </c>
      <c r="C854" s="1" t="n">
        <v>45923</v>
      </c>
      <c r="D854" t="inlineStr">
        <is>
          <t>JÄMTLANDS LÄN</t>
        </is>
      </c>
      <c r="E854" t="inlineStr">
        <is>
          <t>KROKOM</t>
        </is>
      </c>
      <c r="G854" t="n">
        <v>7</v>
      </c>
      <c r="H854" t="n">
        <v>0</v>
      </c>
      <c r="I854" t="n">
        <v>0</v>
      </c>
      <c r="J854" t="n">
        <v>0</v>
      </c>
      <c r="K854" t="n">
        <v>0</v>
      </c>
      <c r="L854" t="n">
        <v>0</v>
      </c>
      <c r="M854" t="n">
        <v>0</v>
      </c>
      <c r="N854" t="n">
        <v>0</v>
      </c>
      <c r="O854" t="n">
        <v>0</v>
      </c>
      <c r="P854" t="n">
        <v>0</v>
      </c>
      <c r="Q854" t="n">
        <v>0</v>
      </c>
      <c r="R854" s="2" t="inlineStr"/>
    </row>
    <row r="855" ht="15" customHeight="1">
      <c r="A855" t="inlineStr">
        <is>
          <t>A 45822-2023</t>
        </is>
      </c>
      <c r="B855" s="1" t="n">
        <v>45195</v>
      </c>
      <c r="C855" s="1" t="n">
        <v>45923</v>
      </c>
      <c r="D855" t="inlineStr">
        <is>
          <t>JÄMTLANDS LÄN</t>
        </is>
      </c>
      <c r="E855" t="inlineStr">
        <is>
          <t>KROKOM</t>
        </is>
      </c>
      <c r="F855" t="inlineStr">
        <is>
          <t>Övriga Aktiebolag</t>
        </is>
      </c>
      <c r="G855" t="n">
        <v>2.8</v>
      </c>
      <c r="H855" t="n">
        <v>0</v>
      </c>
      <c r="I855" t="n">
        <v>0</v>
      </c>
      <c r="J855" t="n">
        <v>0</v>
      </c>
      <c r="K855" t="n">
        <v>0</v>
      </c>
      <c r="L855" t="n">
        <v>0</v>
      </c>
      <c r="M855" t="n">
        <v>0</v>
      </c>
      <c r="N855" t="n">
        <v>0</v>
      </c>
      <c r="O855" t="n">
        <v>0</v>
      </c>
      <c r="P855" t="n">
        <v>0</v>
      </c>
      <c r="Q855" t="n">
        <v>0</v>
      </c>
      <c r="R855" s="2" t="inlineStr"/>
    </row>
    <row r="856" ht="15" customHeight="1">
      <c r="A856" t="inlineStr">
        <is>
          <t>A 57985-2024</t>
        </is>
      </c>
      <c r="B856" s="1" t="n">
        <v>45631.61869212963</v>
      </c>
      <c r="C856" s="1" t="n">
        <v>45923</v>
      </c>
      <c r="D856" t="inlineStr">
        <is>
          <t>JÄMTLANDS LÄN</t>
        </is>
      </c>
      <c r="E856" t="inlineStr">
        <is>
          <t>KROKOM</t>
        </is>
      </c>
      <c r="G856" t="n">
        <v>1.9</v>
      </c>
      <c r="H856" t="n">
        <v>0</v>
      </c>
      <c r="I856" t="n">
        <v>0</v>
      </c>
      <c r="J856" t="n">
        <v>0</v>
      </c>
      <c r="K856" t="n">
        <v>0</v>
      </c>
      <c r="L856" t="n">
        <v>0</v>
      </c>
      <c r="M856" t="n">
        <v>0</v>
      </c>
      <c r="N856" t="n">
        <v>0</v>
      </c>
      <c r="O856" t="n">
        <v>0</v>
      </c>
      <c r="P856" t="n">
        <v>0</v>
      </c>
      <c r="Q856" t="n">
        <v>0</v>
      </c>
      <c r="R856" s="2" t="inlineStr"/>
    </row>
    <row r="857" ht="15" customHeight="1">
      <c r="A857" t="inlineStr">
        <is>
          <t>A 6015-2025</t>
        </is>
      </c>
      <c r="B857" s="1" t="n">
        <v>45695.60015046296</v>
      </c>
      <c r="C857" s="1" t="n">
        <v>45923</v>
      </c>
      <c r="D857" t="inlineStr">
        <is>
          <t>JÄMTLANDS LÄN</t>
        </is>
      </c>
      <c r="E857" t="inlineStr">
        <is>
          <t>KROKOM</t>
        </is>
      </c>
      <c r="F857" t="inlineStr">
        <is>
          <t>Övriga Aktiebolag</t>
        </is>
      </c>
      <c r="G857" t="n">
        <v>15.5</v>
      </c>
      <c r="H857" t="n">
        <v>0</v>
      </c>
      <c r="I857" t="n">
        <v>0</v>
      </c>
      <c r="J857" t="n">
        <v>0</v>
      </c>
      <c r="K857" t="n">
        <v>0</v>
      </c>
      <c r="L857" t="n">
        <v>0</v>
      </c>
      <c r="M857" t="n">
        <v>0</v>
      </c>
      <c r="N857" t="n">
        <v>0</v>
      </c>
      <c r="O857" t="n">
        <v>0</v>
      </c>
      <c r="P857" t="n">
        <v>0</v>
      </c>
      <c r="Q857" t="n">
        <v>0</v>
      </c>
      <c r="R857" s="2" t="inlineStr"/>
    </row>
    <row r="858" ht="15" customHeight="1">
      <c r="A858" t="inlineStr">
        <is>
          <t>A 39169-2023</t>
        </is>
      </c>
      <c r="B858" s="1" t="n">
        <v>45166</v>
      </c>
      <c r="C858" s="1" t="n">
        <v>45923</v>
      </c>
      <c r="D858" t="inlineStr">
        <is>
          <t>JÄMTLANDS LÄN</t>
        </is>
      </c>
      <c r="E858" t="inlineStr">
        <is>
          <t>KROKOM</t>
        </is>
      </c>
      <c r="G858" t="n">
        <v>0.7</v>
      </c>
      <c r="H858" t="n">
        <v>0</v>
      </c>
      <c r="I858" t="n">
        <v>0</v>
      </c>
      <c r="J858" t="n">
        <v>0</v>
      </c>
      <c r="K858" t="n">
        <v>0</v>
      </c>
      <c r="L858" t="n">
        <v>0</v>
      </c>
      <c r="M858" t="n">
        <v>0</v>
      </c>
      <c r="N858" t="n">
        <v>0</v>
      </c>
      <c r="O858" t="n">
        <v>0</v>
      </c>
      <c r="P858" t="n">
        <v>0</v>
      </c>
      <c r="Q858" t="n">
        <v>0</v>
      </c>
      <c r="R858" s="2" t="inlineStr"/>
    </row>
    <row r="859" ht="15" customHeight="1">
      <c r="A859" t="inlineStr">
        <is>
          <t>A 36577-2021</t>
        </is>
      </c>
      <c r="B859" s="1" t="n">
        <v>44391</v>
      </c>
      <c r="C859" s="1" t="n">
        <v>45923</v>
      </c>
      <c r="D859" t="inlineStr">
        <is>
          <t>JÄMTLANDS LÄN</t>
        </is>
      </c>
      <c r="E859" t="inlineStr">
        <is>
          <t>KROKOM</t>
        </is>
      </c>
      <c r="G859" t="n">
        <v>2</v>
      </c>
      <c r="H859" t="n">
        <v>0</v>
      </c>
      <c r="I859" t="n">
        <v>0</v>
      </c>
      <c r="J859" t="n">
        <v>0</v>
      </c>
      <c r="K859" t="n">
        <v>0</v>
      </c>
      <c r="L859" t="n">
        <v>0</v>
      </c>
      <c r="M859" t="n">
        <v>0</v>
      </c>
      <c r="N859" t="n">
        <v>0</v>
      </c>
      <c r="O859" t="n">
        <v>0</v>
      </c>
      <c r="P859" t="n">
        <v>0</v>
      </c>
      <c r="Q859" t="n">
        <v>0</v>
      </c>
      <c r="R859" s="2" t="inlineStr"/>
    </row>
    <row r="860" ht="15" customHeight="1">
      <c r="A860" t="inlineStr">
        <is>
          <t>A 23288-2025</t>
        </is>
      </c>
      <c r="B860" s="1" t="n">
        <v>45791</v>
      </c>
      <c r="C860" s="1" t="n">
        <v>45923</v>
      </c>
      <c r="D860" t="inlineStr">
        <is>
          <t>JÄMTLANDS LÄN</t>
        </is>
      </c>
      <c r="E860" t="inlineStr">
        <is>
          <t>KROKOM</t>
        </is>
      </c>
      <c r="G860" t="n">
        <v>0.5</v>
      </c>
      <c r="H860" t="n">
        <v>0</v>
      </c>
      <c r="I860" t="n">
        <v>0</v>
      </c>
      <c r="J860" t="n">
        <v>0</v>
      </c>
      <c r="K860" t="n">
        <v>0</v>
      </c>
      <c r="L860" t="n">
        <v>0</v>
      </c>
      <c r="M860" t="n">
        <v>0</v>
      </c>
      <c r="N860" t="n">
        <v>0</v>
      </c>
      <c r="O860" t="n">
        <v>0</v>
      </c>
      <c r="P860" t="n">
        <v>0</v>
      </c>
      <c r="Q860" t="n">
        <v>0</v>
      </c>
      <c r="R860" s="2" t="inlineStr"/>
    </row>
    <row r="861" ht="15" customHeight="1">
      <c r="A861" t="inlineStr">
        <is>
          <t>A 23080-2025</t>
        </is>
      </c>
      <c r="B861" s="1" t="n">
        <v>45791.3162037037</v>
      </c>
      <c r="C861" s="1" t="n">
        <v>45923</v>
      </c>
      <c r="D861" t="inlineStr">
        <is>
          <t>JÄMTLANDS LÄN</t>
        </is>
      </c>
      <c r="E861" t="inlineStr">
        <is>
          <t>KROKOM</t>
        </is>
      </c>
      <c r="G861" t="n">
        <v>1.7</v>
      </c>
      <c r="H861" t="n">
        <v>0</v>
      </c>
      <c r="I861" t="n">
        <v>0</v>
      </c>
      <c r="J861" t="n">
        <v>0</v>
      </c>
      <c r="K861" t="n">
        <v>0</v>
      </c>
      <c r="L861" t="n">
        <v>0</v>
      </c>
      <c r="M861" t="n">
        <v>0</v>
      </c>
      <c r="N861" t="n">
        <v>0</v>
      </c>
      <c r="O861" t="n">
        <v>0</v>
      </c>
      <c r="P861" t="n">
        <v>0</v>
      </c>
      <c r="Q861" t="n">
        <v>0</v>
      </c>
      <c r="R861" s="2" t="inlineStr"/>
    </row>
    <row r="862" ht="15" customHeight="1">
      <c r="A862" t="inlineStr">
        <is>
          <t>A 6342-2025</t>
        </is>
      </c>
      <c r="B862" s="1" t="n">
        <v>45699</v>
      </c>
      <c r="C862" s="1" t="n">
        <v>45923</v>
      </c>
      <c r="D862" t="inlineStr">
        <is>
          <t>JÄMTLANDS LÄN</t>
        </is>
      </c>
      <c r="E862" t="inlineStr">
        <is>
          <t>KROKOM</t>
        </is>
      </c>
      <c r="F862" t="inlineStr">
        <is>
          <t>Övriga Aktiebolag</t>
        </is>
      </c>
      <c r="G862" t="n">
        <v>6.5</v>
      </c>
      <c r="H862" t="n">
        <v>0</v>
      </c>
      <c r="I862" t="n">
        <v>0</v>
      </c>
      <c r="J862" t="n">
        <v>0</v>
      </c>
      <c r="K862" t="n">
        <v>0</v>
      </c>
      <c r="L862" t="n">
        <v>0</v>
      </c>
      <c r="M862" t="n">
        <v>0</v>
      </c>
      <c r="N862" t="n">
        <v>0</v>
      </c>
      <c r="O862" t="n">
        <v>0</v>
      </c>
      <c r="P862" t="n">
        <v>0</v>
      </c>
      <c r="Q862" t="n">
        <v>0</v>
      </c>
      <c r="R862" s="2" t="inlineStr"/>
    </row>
    <row r="863" ht="15" customHeight="1">
      <c r="A863" t="inlineStr">
        <is>
          <t>A 10782-2023</t>
        </is>
      </c>
      <c r="B863" s="1" t="n">
        <v>44988.94056712963</v>
      </c>
      <c r="C863" s="1" t="n">
        <v>45923</v>
      </c>
      <c r="D863" t="inlineStr">
        <is>
          <t>JÄMTLANDS LÄN</t>
        </is>
      </c>
      <c r="E863" t="inlineStr">
        <is>
          <t>KROKOM</t>
        </is>
      </c>
      <c r="F863" t="inlineStr">
        <is>
          <t>SCA</t>
        </is>
      </c>
      <c r="G863" t="n">
        <v>68.8</v>
      </c>
      <c r="H863" t="n">
        <v>0</v>
      </c>
      <c r="I863" t="n">
        <v>0</v>
      </c>
      <c r="J863" t="n">
        <v>0</v>
      </c>
      <c r="K863" t="n">
        <v>0</v>
      </c>
      <c r="L863" t="n">
        <v>0</v>
      </c>
      <c r="M863" t="n">
        <v>0</v>
      </c>
      <c r="N863" t="n">
        <v>0</v>
      </c>
      <c r="O863" t="n">
        <v>0</v>
      </c>
      <c r="P863" t="n">
        <v>0</v>
      </c>
      <c r="Q863" t="n">
        <v>0</v>
      </c>
      <c r="R863" s="2" t="inlineStr"/>
    </row>
    <row r="864" ht="15" customHeight="1">
      <c r="A864" t="inlineStr">
        <is>
          <t>A 58569-2020</t>
        </is>
      </c>
      <c r="B864" s="1" t="n">
        <v>44141</v>
      </c>
      <c r="C864" s="1" t="n">
        <v>45923</v>
      </c>
      <c r="D864" t="inlineStr">
        <is>
          <t>JÄMTLANDS LÄN</t>
        </is>
      </c>
      <c r="E864" t="inlineStr">
        <is>
          <t>KROKOM</t>
        </is>
      </c>
      <c r="G864" t="n">
        <v>52.8</v>
      </c>
      <c r="H864" t="n">
        <v>0</v>
      </c>
      <c r="I864" t="n">
        <v>0</v>
      </c>
      <c r="J864" t="n">
        <v>0</v>
      </c>
      <c r="K864" t="n">
        <v>0</v>
      </c>
      <c r="L864" t="n">
        <v>0</v>
      </c>
      <c r="M864" t="n">
        <v>0</v>
      </c>
      <c r="N864" t="n">
        <v>0</v>
      </c>
      <c r="O864" t="n">
        <v>0</v>
      </c>
      <c r="P864" t="n">
        <v>0</v>
      </c>
      <c r="Q864" t="n">
        <v>0</v>
      </c>
      <c r="R864" s="2" t="inlineStr"/>
    </row>
    <row r="865" ht="15" customHeight="1">
      <c r="A865" t="inlineStr">
        <is>
          <t>A 46632-2023</t>
        </is>
      </c>
      <c r="B865" s="1" t="n">
        <v>45198.42734953704</v>
      </c>
      <c r="C865" s="1" t="n">
        <v>45923</v>
      </c>
      <c r="D865" t="inlineStr">
        <is>
          <t>JÄMTLANDS LÄN</t>
        </is>
      </c>
      <c r="E865" t="inlineStr">
        <is>
          <t>KROKOM</t>
        </is>
      </c>
      <c r="F865" t="inlineStr">
        <is>
          <t>Övriga Aktiebolag</t>
        </is>
      </c>
      <c r="G865" t="n">
        <v>1.7</v>
      </c>
      <c r="H865" t="n">
        <v>0</v>
      </c>
      <c r="I865" t="n">
        <v>0</v>
      </c>
      <c r="J865" t="n">
        <v>0</v>
      </c>
      <c r="K865" t="n">
        <v>0</v>
      </c>
      <c r="L865" t="n">
        <v>0</v>
      </c>
      <c r="M865" t="n">
        <v>0</v>
      </c>
      <c r="N865" t="n">
        <v>0</v>
      </c>
      <c r="O865" t="n">
        <v>0</v>
      </c>
      <c r="P865" t="n">
        <v>0</v>
      </c>
      <c r="Q865" t="n">
        <v>0</v>
      </c>
      <c r="R865" s="2" t="inlineStr"/>
    </row>
    <row r="866" ht="15" customHeight="1">
      <c r="A866" t="inlineStr">
        <is>
          <t>A 18476-2022</t>
        </is>
      </c>
      <c r="B866" s="1" t="n">
        <v>44686</v>
      </c>
      <c r="C866" s="1" t="n">
        <v>45923</v>
      </c>
      <c r="D866" t="inlineStr">
        <is>
          <t>JÄMTLANDS LÄN</t>
        </is>
      </c>
      <c r="E866" t="inlineStr">
        <is>
          <t>KROKOM</t>
        </is>
      </c>
      <c r="G866" t="n">
        <v>11.7</v>
      </c>
      <c r="H866" t="n">
        <v>0</v>
      </c>
      <c r="I866" t="n">
        <v>0</v>
      </c>
      <c r="J866" t="n">
        <v>0</v>
      </c>
      <c r="K866" t="n">
        <v>0</v>
      </c>
      <c r="L866" t="n">
        <v>0</v>
      </c>
      <c r="M866" t="n">
        <v>0</v>
      </c>
      <c r="N866" t="n">
        <v>0</v>
      </c>
      <c r="O866" t="n">
        <v>0</v>
      </c>
      <c r="P866" t="n">
        <v>0</v>
      </c>
      <c r="Q866" t="n">
        <v>0</v>
      </c>
      <c r="R866" s="2" t="inlineStr"/>
    </row>
    <row r="867" ht="15" customHeight="1">
      <c r="A867" t="inlineStr">
        <is>
          <t>A 44296-2024</t>
        </is>
      </c>
      <c r="B867" s="1" t="n">
        <v>45573.54893518519</v>
      </c>
      <c r="C867" s="1" t="n">
        <v>45923</v>
      </c>
      <c r="D867" t="inlineStr">
        <is>
          <t>JÄMTLANDS LÄN</t>
        </is>
      </c>
      <c r="E867" t="inlineStr">
        <is>
          <t>KROKOM</t>
        </is>
      </c>
      <c r="G867" t="n">
        <v>6.1</v>
      </c>
      <c r="H867" t="n">
        <v>0</v>
      </c>
      <c r="I867" t="n">
        <v>0</v>
      </c>
      <c r="J867" t="n">
        <v>0</v>
      </c>
      <c r="K867" t="n">
        <v>0</v>
      </c>
      <c r="L867" t="n">
        <v>0</v>
      </c>
      <c r="M867" t="n">
        <v>0</v>
      </c>
      <c r="N867" t="n">
        <v>0</v>
      </c>
      <c r="O867" t="n">
        <v>0</v>
      </c>
      <c r="P867" t="n">
        <v>0</v>
      </c>
      <c r="Q867" t="n">
        <v>0</v>
      </c>
      <c r="R867" s="2" t="inlineStr"/>
    </row>
    <row r="868" ht="15" customHeight="1">
      <c r="A868" t="inlineStr">
        <is>
          <t>A 19698-2024</t>
        </is>
      </c>
      <c r="B868" s="1" t="n">
        <v>45432.54027777778</v>
      </c>
      <c r="C868" s="1" t="n">
        <v>45923</v>
      </c>
      <c r="D868" t="inlineStr">
        <is>
          <t>JÄMTLANDS LÄN</t>
        </is>
      </c>
      <c r="E868" t="inlineStr">
        <is>
          <t>KROKOM</t>
        </is>
      </c>
      <c r="G868" t="n">
        <v>15.9</v>
      </c>
      <c r="H868" t="n">
        <v>0</v>
      </c>
      <c r="I868" t="n">
        <v>0</v>
      </c>
      <c r="J868" t="n">
        <v>0</v>
      </c>
      <c r="K868" t="n">
        <v>0</v>
      </c>
      <c r="L868" t="n">
        <v>0</v>
      </c>
      <c r="M868" t="n">
        <v>0</v>
      </c>
      <c r="N868" t="n">
        <v>0</v>
      </c>
      <c r="O868" t="n">
        <v>0</v>
      </c>
      <c r="P868" t="n">
        <v>0</v>
      </c>
      <c r="Q868" t="n">
        <v>0</v>
      </c>
      <c r="R868" s="2" t="inlineStr"/>
    </row>
    <row r="869" ht="15" customHeight="1">
      <c r="A869" t="inlineStr">
        <is>
          <t>A 42825-2023</t>
        </is>
      </c>
      <c r="B869" s="1" t="n">
        <v>45182</v>
      </c>
      <c r="C869" s="1" t="n">
        <v>45923</v>
      </c>
      <c r="D869" t="inlineStr">
        <is>
          <t>JÄMTLANDS LÄN</t>
        </is>
      </c>
      <c r="E869" t="inlineStr">
        <is>
          <t>KROKOM</t>
        </is>
      </c>
      <c r="G869" t="n">
        <v>0.2</v>
      </c>
      <c r="H869" t="n">
        <v>0</v>
      </c>
      <c r="I869" t="n">
        <v>0</v>
      </c>
      <c r="J869" t="n">
        <v>0</v>
      </c>
      <c r="K869" t="n">
        <v>0</v>
      </c>
      <c r="L869" t="n">
        <v>0</v>
      </c>
      <c r="M869" t="n">
        <v>0</v>
      </c>
      <c r="N869" t="n">
        <v>0</v>
      </c>
      <c r="O869" t="n">
        <v>0</v>
      </c>
      <c r="P869" t="n">
        <v>0</v>
      </c>
      <c r="Q869" t="n">
        <v>0</v>
      </c>
      <c r="R869" s="2" t="inlineStr"/>
    </row>
    <row r="870" ht="15" customHeight="1">
      <c r="A870" t="inlineStr">
        <is>
          <t>A 24062-2025</t>
        </is>
      </c>
      <c r="B870" s="1" t="n">
        <v>45796.52836805556</v>
      </c>
      <c r="C870" s="1" t="n">
        <v>45923</v>
      </c>
      <c r="D870" t="inlineStr">
        <is>
          <t>JÄMTLANDS LÄN</t>
        </is>
      </c>
      <c r="E870" t="inlineStr">
        <is>
          <t>KROKOM</t>
        </is>
      </c>
      <c r="G870" t="n">
        <v>33</v>
      </c>
      <c r="H870" t="n">
        <v>0</v>
      </c>
      <c r="I870" t="n">
        <v>0</v>
      </c>
      <c r="J870" t="n">
        <v>0</v>
      </c>
      <c r="K870" t="n">
        <v>0</v>
      </c>
      <c r="L870" t="n">
        <v>0</v>
      </c>
      <c r="M870" t="n">
        <v>0</v>
      </c>
      <c r="N870" t="n">
        <v>0</v>
      </c>
      <c r="O870" t="n">
        <v>0</v>
      </c>
      <c r="P870" t="n">
        <v>0</v>
      </c>
      <c r="Q870" t="n">
        <v>0</v>
      </c>
      <c r="R870" s="2" t="inlineStr"/>
    </row>
    <row r="871" ht="15" customHeight="1">
      <c r="A871" t="inlineStr">
        <is>
          <t>A 12412-2024</t>
        </is>
      </c>
      <c r="B871" s="1" t="n">
        <v>45378</v>
      </c>
      <c r="C871" s="1" t="n">
        <v>45923</v>
      </c>
      <c r="D871" t="inlineStr">
        <is>
          <t>JÄMTLANDS LÄN</t>
        </is>
      </c>
      <c r="E871" t="inlineStr">
        <is>
          <t>KROKOM</t>
        </is>
      </c>
      <c r="G871" t="n">
        <v>1.9</v>
      </c>
      <c r="H871" t="n">
        <v>0</v>
      </c>
      <c r="I871" t="n">
        <v>0</v>
      </c>
      <c r="J871" t="n">
        <v>0</v>
      </c>
      <c r="K871" t="n">
        <v>0</v>
      </c>
      <c r="L871" t="n">
        <v>0</v>
      </c>
      <c r="M871" t="n">
        <v>0</v>
      </c>
      <c r="N871" t="n">
        <v>0</v>
      </c>
      <c r="O871" t="n">
        <v>0</v>
      </c>
      <c r="P871" t="n">
        <v>0</v>
      </c>
      <c r="Q871" t="n">
        <v>0</v>
      </c>
      <c r="R871" s="2" t="inlineStr"/>
    </row>
    <row r="872" ht="15" customHeight="1">
      <c r="A872" t="inlineStr">
        <is>
          <t>A 52590-2023</t>
        </is>
      </c>
      <c r="B872" s="1" t="n">
        <v>45225.60212962963</v>
      </c>
      <c r="C872" s="1" t="n">
        <v>45923</v>
      </c>
      <c r="D872" t="inlineStr">
        <is>
          <t>JÄMTLANDS LÄN</t>
        </is>
      </c>
      <c r="E872" t="inlineStr">
        <is>
          <t>KROKOM</t>
        </is>
      </c>
      <c r="G872" t="n">
        <v>9</v>
      </c>
      <c r="H872" t="n">
        <v>0</v>
      </c>
      <c r="I872" t="n">
        <v>0</v>
      </c>
      <c r="J872" t="n">
        <v>0</v>
      </c>
      <c r="K872" t="n">
        <v>0</v>
      </c>
      <c r="L872" t="n">
        <v>0</v>
      </c>
      <c r="M872" t="n">
        <v>0</v>
      </c>
      <c r="N872" t="n">
        <v>0</v>
      </c>
      <c r="O872" t="n">
        <v>0</v>
      </c>
      <c r="P872" t="n">
        <v>0</v>
      </c>
      <c r="Q872" t="n">
        <v>0</v>
      </c>
      <c r="R872" s="2" t="inlineStr"/>
    </row>
    <row r="873" ht="15" customHeight="1">
      <c r="A873" t="inlineStr">
        <is>
          <t>A 4361-2025</t>
        </is>
      </c>
      <c r="B873" s="1" t="n">
        <v>45686.33310185185</v>
      </c>
      <c r="C873" s="1" t="n">
        <v>45923</v>
      </c>
      <c r="D873" t="inlineStr">
        <is>
          <t>JÄMTLANDS LÄN</t>
        </is>
      </c>
      <c r="E873" t="inlineStr">
        <is>
          <t>KROKOM</t>
        </is>
      </c>
      <c r="F873" t="inlineStr">
        <is>
          <t>SCA</t>
        </is>
      </c>
      <c r="G873" t="n">
        <v>13.7</v>
      </c>
      <c r="H873" t="n">
        <v>0</v>
      </c>
      <c r="I873" t="n">
        <v>0</v>
      </c>
      <c r="J873" t="n">
        <v>0</v>
      </c>
      <c r="K873" t="n">
        <v>0</v>
      </c>
      <c r="L873" t="n">
        <v>0</v>
      </c>
      <c r="M873" t="n">
        <v>0</v>
      </c>
      <c r="N873" t="n">
        <v>0</v>
      </c>
      <c r="O873" t="n">
        <v>0</v>
      </c>
      <c r="P873" t="n">
        <v>0</v>
      </c>
      <c r="Q873" t="n">
        <v>0</v>
      </c>
      <c r="R873" s="2" t="inlineStr"/>
    </row>
    <row r="874" ht="15" customHeight="1">
      <c r="A874" t="inlineStr">
        <is>
          <t>A 47838-2023</t>
        </is>
      </c>
      <c r="B874" s="1" t="n">
        <v>45204</v>
      </c>
      <c r="C874" s="1" t="n">
        <v>45923</v>
      </c>
      <c r="D874" t="inlineStr">
        <is>
          <t>JÄMTLANDS LÄN</t>
        </is>
      </c>
      <c r="E874" t="inlineStr">
        <is>
          <t>KROKOM</t>
        </is>
      </c>
      <c r="G874" t="n">
        <v>11.8</v>
      </c>
      <c r="H874" t="n">
        <v>0</v>
      </c>
      <c r="I874" t="n">
        <v>0</v>
      </c>
      <c r="J874" t="n">
        <v>0</v>
      </c>
      <c r="K874" t="n">
        <v>0</v>
      </c>
      <c r="L874" t="n">
        <v>0</v>
      </c>
      <c r="M874" t="n">
        <v>0</v>
      </c>
      <c r="N874" t="n">
        <v>0</v>
      </c>
      <c r="O874" t="n">
        <v>0</v>
      </c>
      <c r="P874" t="n">
        <v>0</v>
      </c>
      <c r="Q874" t="n">
        <v>0</v>
      </c>
      <c r="R874" s="2" t="inlineStr"/>
    </row>
    <row r="875" ht="15" customHeight="1">
      <c r="A875" t="inlineStr">
        <is>
          <t>A 23751-2025</t>
        </is>
      </c>
      <c r="B875" s="1" t="n">
        <v>45793.45204861111</v>
      </c>
      <c r="C875" s="1" t="n">
        <v>45923</v>
      </c>
      <c r="D875" t="inlineStr">
        <is>
          <t>JÄMTLANDS LÄN</t>
        </is>
      </c>
      <c r="E875" t="inlineStr">
        <is>
          <t>KROKOM</t>
        </is>
      </c>
      <c r="G875" t="n">
        <v>7.2</v>
      </c>
      <c r="H875" t="n">
        <v>0</v>
      </c>
      <c r="I875" t="n">
        <v>0</v>
      </c>
      <c r="J875" t="n">
        <v>0</v>
      </c>
      <c r="K875" t="n">
        <v>0</v>
      </c>
      <c r="L875" t="n">
        <v>0</v>
      </c>
      <c r="M875" t="n">
        <v>0</v>
      </c>
      <c r="N875" t="n">
        <v>0</v>
      </c>
      <c r="O875" t="n">
        <v>0</v>
      </c>
      <c r="P875" t="n">
        <v>0</v>
      </c>
      <c r="Q875" t="n">
        <v>0</v>
      </c>
      <c r="R875" s="2" t="inlineStr"/>
    </row>
    <row r="876" ht="15" customHeight="1">
      <c r="A876" t="inlineStr">
        <is>
          <t>A 5907-2025</t>
        </is>
      </c>
      <c r="B876" s="1" t="n">
        <v>45695.4046875</v>
      </c>
      <c r="C876" s="1" t="n">
        <v>45923</v>
      </c>
      <c r="D876" t="inlineStr">
        <is>
          <t>JÄMTLANDS LÄN</t>
        </is>
      </c>
      <c r="E876" t="inlineStr">
        <is>
          <t>KROKOM</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5920-2025</t>
        </is>
      </c>
      <c r="B877" s="1" t="n">
        <v>45695.42418981482</v>
      </c>
      <c r="C877" s="1" t="n">
        <v>45923</v>
      </c>
      <c r="D877" t="inlineStr">
        <is>
          <t>JÄMTLANDS LÄN</t>
        </is>
      </c>
      <c r="E877" t="inlineStr">
        <is>
          <t>KROKOM</t>
        </is>
      </c>
      <c r="F877" t="inlineStr">
        <is>
          <t>Övriga Aktiebolag</t>
        </is>
      </c>
      <c r="G877" t="n">
        <v>6.8</v>
      </c>
      <c r="H877" t="n">
        <v>0</v>
      </c>
      <c r="I877" t="n">
        <v>0</v>
      </c>
      <c r="J877" t="n">
        <v>0</v>
      </c>
      <c r="K877" t="n">
        <v>0</v>
      </c>
      <c r="L877" t="n">
        <v>0</v>
      </c>
      <c r="M877" t="n">
        <v>0</v>
      </c>
      <c r="N877" t="n">
        <v>0</v>
      </c>
      <c r="O877" t="n">
        <v>0</v>
      </c>
      <c r="P877" t="n">
        <v>0</v>
      </c>
      <c r="Q877" t="n">
        <v>0</v>
      </c>
      <c r="R877" s="2" t="inlineStr"/>
    </row>
    <row r="878" ht="15" customHeight="1">
      <c r="A878" t="inlineStr">
        <is>
          <t>A 6148-2025</t>
        </is>
      </c>
      <c r="B878" s="1" t="n">
        <v>45698.40146990741</v>
      </c>
      <c r="C878" s="1" t="n">
        <v>45923</v>
      </c>
      <c r="D878" t="inlineStr">
        <is>
          <t>JÄMTLANDS LÄN</t>
        </is>
      </c>
      <c r="E878" t="inlineStr">
        <is>
          <t>KROKOM</t>
        </is>
      </c>
      <c r="G878" t="n">
        <v>43.6</v>
      </c>
      <c r="H878" t="n">
        <v>0</v>
      </c>
      <c r="I878" t="n">
        <v>0</v>
      </c>
      <c r="J878" t="n">
        <v>0</v>
      </c>
      <c r="K878" t="n">
        <v>0</v>
      </c>
      <c r="L878" t="n">
        <v>0</v>
      </c>
      <c r="M878" t="n">
        <v>0</v>
      </c>
      <c r="N878" t="n">
        <v>0</v>
      </c>
      <c r="O878" t="n">
        <v>0</v>
      </c>
      <c r="P878" t="n">
        <v>0</v>
      </c>
      <c r="Q878" t="n">
        <v>0</v>
      </c>
      <c r="R878" s="2" t="inlineStr"/>
    </row>
    <row r="879" ht="15" customHeight="1">
      <c r="A879" t="inlineStr">
        <is>
          <t>A 42393-2024</t>
        </is>
      </c>
      <c r="B879" s="1" t="n">
        <v>45565.32449074074</v>
      </c>
      <c r="C879" s="1" t="n">
        <v>45923</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59706-2020</t>
        </is>
      </c>
      <c r="B880" s="1" t="n">
        <v>44151</v>
      </c>
      <c r="C880" s="1" t="n">
        <v>45923</v>
      </c>
      <c r="D880" t="inlineStr">
        <is>
          <t>JÄMTLANDS LÄN</t>
        </is>
      </c>
      <c r="E880" t="inlineStr">
        <is>
          <t>KROKOM</t>
        </is>
      </c>
      <c r="G880" t="n">
        <v>75</v>
      </c>
      <c r="H880" t="n">
        <v>0</v>
      </c>
      <c r="I880" t="n">
        <v>0</v>
      </c>
      <c r="J880" t="n">
        <v>0</v>
      </c>
      <c r="K880" t="n">
        <v>0</v>
      </c>
      <c r="L880" t="n">
        <v>0</v>
      </c>
      <c r="M880" t="n">
        <v>0</v>
      </c>
      <c r="N880" t="n">
        <v>0</v>
      </c>
      <c r="O880" t="n">
        <v>0</v>
      </c>
      <c r="P880" t="n">
        <v>0</v>
      </c>
      <c r="Q880" t="n">
        <v>0</v>
      </c>
      <c r="R880" s="2" t="inlineStr"/>
    </row>
    <row r="881" ht="15" customHeight="1">
      <c r="A881" t="inlineStr">
        <is>
          <t>A 24103-2025</t>
        </is>
      </c>
      <c r="B881" s="1" t="n">
        <v>45796.59857638889</v>
      </c>
      <c r="C881" s="1" t="n">
        <v>45923</v>
      </c>
      <c r="D881" t="inlineStr">
        <is>
          <t>JÄMTLANDS LÄN</t>
        </is>
      </c>
      <c r="E881" t="inlineStr">
        <is>
          <t>KROKOM</t>
        </is>
      </c>
      <c r="G881" t="n">
        <v>2.1</v>
      </c>
      <c r="H881" t="n">
        <v>0</v>
      </c>
      <c r="I881" t="n">
        <v>0</v>
      </c>
      <c r="J881" t="n">
        <v>0</v>
      </c>
      <c r="K881" t="n">
        <v>0</v>
      </c>
      <c r="L881" t="n">
        <v>0</v>
      </c>
      <c r="M881" t="n">
        <v>0</v>
      </c>
      <c r="N881" t="n">
        <v>0</v>
      </c>
      <c r="O881" t="n">
        <v>0</v>
      </c>
      <c r="P881" t="n">
        <v>0</v>
      </c>
      <c r="Q881" t="n">
        <v>0</v>
      </c>
      <c r="R881" s="2" t="inlineStr"/>
    </row>
    <row r="882" ht="15" customHeight="1">
      <c r="A882" t="inlineStr">
        <is>
          <t>A 7767-2025</t>
        </is>
      </c>
      <c r="B882" s="1" t="n">
        <v>45706.55993055556</v>
      </c>
      <c r="C882" s="1" t="n">
        <v>45923</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40221-2024</t>
        </is>
      </c>
      <c r="B883" s="1" t="n">
        <v>45554.59550925926</v>
      </c>
      <c r="C883" s="1" t="n">
        <v>45923</v>
      </c>
      <c r="D883" t="inlineStr">
        <is>
          <t>JÄMTLANDS LÄN</t>
        </is>
      </c>
      <c r="E883" t="inlineStr">
        <is>
          <t>KROKOM</t>
        </is>
      </c>
      <c r="G883" t="n">
        <v>2.6</v>
      </c>
      <c r="H883" t="n">
        <v>0</v>
      </c>
      <c r="I883" t="n">
        <v>0</v>
      </c>
      <c r="J883" t="n">
        <v>0</v>
      </c>
      <c r="K883" t="n">
        <v>0</v>
      </c>
      <c r="L883" t="n">
        <v>0</v>
      </c>
      <c r="M883" t="n">
        <v>0</v>
      </c>
      <c r="N883" t="n">
        <v>0</v>
      </c>
      <c r="O883" t="n">
        <v>0</v>
      </c>
      <c r="P883" t="n">
        <v>0</v>
      </c>
      <c r="Q883" t="n">
        <v>0</v>
      </c>
      <c r="R883" s="2" t="inlineStr"/>
    </row>
    <row r="884" ht="15" customHeight="1">
      <c r="A884" t="inlineStr">
        <is>
          <t>A 52086-2024</t>
        </is>
      </c>
      <c r="B884" s="1" t="n">
        <v>45608</v>
      </c>
      <c r="C884" s="1" t="n">
        <v>45923</v>
      </c>
      <c r="D884" t="inlineStr">
        <is>
          <t>JÄMTLANDS LÄN</t>
        </is>
      </c>
      <c r="E884" t="inlineStr">
        <is>
          <t>KROKOM</t>
        </is>
      </c>
      <c r="G884" t="n">
        <v>3.3</v>
      </c>
      <c r="H884" t="n">
        <v>0</v>
      </c>
      <c r="I884" t="n">
        <v>0</v>
      </c>
      <c r="J884" t="n">
        <v>0</v>
      </c>
      <c r="K884" t="n">
        <v>0</v>
      </c>
      <c r="L884" t="n">
        <v>0</v>
      </c>
      <c r="M884" t="n">
        <v>0</v>
      </c>
      <c r="N884" t="n">
        <v>0</v>
      </c>
      <c r="O884" t="n">
        <v>0</v>
      </c>
      <c r="P884" t="n">
        <v>0</v>
      </c>
      <c r="Q884" t="n">
        <v>0</v>
      </c>
      <c r="R884" s="2" t="inlineStr"/>
    </row>
    <row r="885" ht="15" customHeight="1">
      <c r="A885" t="inlineStr">
        <is>
          <t>A 5998-2025</t>
        </is>
      </c>
      <c r="B885" s="1" t="n">
        <v>45695.57171296296</v>
      </c>
      <c r="C885" s="1" t="n">
        <v>45923</v>
      </c>
      <c r="D885" t="inlineStr">
        <is>
          <t>JÄMTLANDS LÄN</t>
        </is>
      </c>
      <c r="E885" t="inlineStr">
        <is>
          <t>KROKOM</t>
        </is>
      </c>
      <c r="F885" t="inlineStr">
        <is>
          <t>Övriga Aktiebolag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62131-2024</t>
        </is>
      </c>
      <c r="B886" s="1" t="n">
        <v>45656</v>
      </c>
      <c r="C886" s="1" t="n">
        <v>45923</v>
      </c>
      <c r="D886" t="inlineStr">
        <is>
          <t>JÄMTLANDS LÄN</t>
        </is>
      </c>
      <c r="E886" t="inlineStr">
        <is>
          <t>KROKOM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15310-2025</t>
        </is>
      </c>
      <c r="B887" s="1" t="n">
        <v>45746.79134259259</v>
      </c>
      <c r="C887" s="1" t="n">
        <v>45923</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9796-2025</t>
        </is>
      </c>
      <c r="B888" s="1" t="n">
        <v>45716.55237268518</v>
      </c>
      <c r="C888" s="1" t="n">
        <v>45923</v>
      </c>
      <c r="D888" t="inlineStr">
        <is>
          <t>JÄMTLANDS LÄN</t>
        </is>
      </c>
      <c r="E888" t="inlineStr">
        <is>
          <t>KROKOM</t>
        </is>
      </c>
      <c r="F888" t="inlineStr">
        <is>
          <t>SCA</t>
        </is>
      </c>
      <c r="G888" t="n">
        <v>7.3</v>
      </c>
      <c r="H888" t="n">
        <v>0</v>
      </c>
      <c r="I888" t="n">
        <v>0</v>
      </c>
      <c r="J888" t="n">
        <v>0</v>
      </c>
      <c r="K888" t="n">
        <v>0</v>
      </c>
      <c r="L888" t="n">
        <v>0</v>
      </c>
      <c r="M888" t="n">
        <v>0</v>
      </c>
      <c r="N888" t="n">
        <v>0</v>
      </c>
      <c r="O888" t="n">
        <v>0</v>
      </c>
      <c r="P888" t="n">
        <v>0</v>
      </c>
      <c r="Q888" t="n">
        <v>0</v>
      </c>
      <c r="R888" s="2" t="inlineStr"/>
    </row>
    <row r="889" ht="15" customHeight="1">
      <c r="A889" t="inlineStr">
        <is>
          <t>A 24649-2025</t>
        </is>
      </c>
      <c r="B889" s="1" t="n">
        <v>45798.63611111111</v>
      </c>
      <c r="C889" s="1" t="n">
        <v>45923</v>
      </c>
      <c r="D889" t="inlineStr">
        <is>
          <t>JÄMTLANDS LÄN</t>
        </is>
      </c>
      <c r="E889" t="inlineStr">
        <is>
          <t>KROKOM</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24648-2025</t>
        </is>
      </c>
      <c r="B890" s="1" t="n">
        <v>45798.63596064815</v>
      </c>
      <c r="C890" s="1" t="n">
        <v>45923</v>
      </c>
      <c r="D890" t="inlineStr">
        <is>
          <t>JÄMTLANDS LÄN</t>
        </is>
      </c>
      <c r="E890" t="inlineStr">
        <is>
          <t>KROKOM</t>
        </is>
      </c>
      <c r="F890" t="inlineStr">
        <is>
          <t>SCA</t>
        </is>
      </c>
      <c r="G890" t="n">
        <v>12.5</v>
      </c>
      <c r="H890" t="n">
        <v>0</v>
      </c>
      <c r="I890" t="n">
        <v>0</v>
      </c>
      <c r="J890" t="n">
        <v>0</v>
      </c>
      <c r="K890" t="n">
        <v>0</v>
      </c>
      <c r="L890" t="n">
        <v>0</v>
      </c>
      <c r="M890" t="n">
        <v>0</v>
      </c>
      <c r="N890" t="n">
        <v>0</v>
      </c>
      <c r="O890" t="n">
        <v>0</v>
      </c>
      <c r="P890" t="n">
        <v>0</v>
      </c>
      <c r="Q890" t="n">
        <v>0</v>
      </c>
      <c r="R890" s="2" t="inlineStr"/>
    </row>
    <row r="891" ht="15" customHeight="1">
      <c r="A891" t="inlineStr">
        <is>
          <t>A 1323-2025</t>
        </is>
      </c>
      <c r="B891" s="1" t="n">
        <v>45667.57217592592</v>
      </c>
      <c r="C891" s="1" t="n">
        <v>45923</v>
      </c>
      <c r="D891" t="inlineStr">
        <is>
          <t>JÄMTLANDS LÄN</t>
        </is>
      </c>
      <c r="E891" t="inlineStr">
        <is>
          <t>KROKOM</t>
        </is>
      </c>
      <c r="G891" t="n">
        <v>5.9</v>
      </c>
      <c r="H891" t="n">
        <v>0</v>
      </c>
      <c r="I891" t="n">
        <v>0</v>
      </c>
      <c r="J891" t="n">
        <v>0</v>
      </c>
      <c r="K891" t="n">
        <v>0</v>
      </c>
      <c r="L891" t="n">
        <v>0</v>
      </c>
      <c r="M891" t="n">
        <v>0</v>
      </c>
      <c r="N891" t="n">
        <v>0</v>
      </c>
      <c r="O891" t="n">
        <v>0</v>
      </c>
      <c r="P891" t="n">
        <v>0</v>
      </c>
      <c r="Q891" t="n">
        <v>0</v>
      </c>
      <c r="R891" s="2" t="inlineStr"/>
    </row>
    <row r="892" ht="15" customHeight="1">
      <c r="A892" t="inlineStr">
        <is>
          <t>A 6524-2025</t>
        </is>
      </c>
      <c r="B892" s="1" t="n">
        <v>45699.66576388889</v>
      </c>
      <c r="C892" s="1" t="n">
        <v>45923</v>
      </c>
      <c r="D892" t="inlineStr">
        <is>
          <t>JÄMTLANDS LÄN</t>
        </is>
      </c>
      <c r="E892" t="inlineStr">
        <is>
          <t>KROKOM</t>
        </is>
      </c>
      <c r="F892" t="inlineStr">
        <is>
          <t>Övriga Aktiebolag</t>
        </is>
      </c>
      <c r="G892" t="n">
        <v>51.6</v>
      </c>
      <c r="H892" t="n">
        <v>0</v>
      </c>
      <c r="I892" t="n">
        <v>0</v>
      </c>
      <c r="J892" t="n">
        <v>0</v>
      </c>
      <c r="K892" t="n">
        <v>0</v>
      </c>
      <c r="L892" t="n">
        <v>0</v>
      </c>
      <c r="M892" t="n">
        <v>0</v>
      </c>
      <c r="N892" t="n">
        <v>0</v>
      </c>
      <c r="O892" t="n">
        <v>0</v>
      </c>
      <c r="P892" t="n">
        <v>0</v>
      </c>
      <c r="Q892" t="n">
        <v>0</v>
      </c>
      <c r="R892" s="2" t="inlineStr"/>
    </row>
    <row r="893" ht="15" customHeight="1">
      <c r="A893" t="inlineStr">
        <is>
          <t>A 46046-2023</t>
        </is>
      </c>
      <c r="B893" s="1" t="n">
        <v>45190</v>
      </c>
      <c r="C893" s="1" t="n">
        <v>45923</v>
      </c>
      <c r="D893" t="inlineStr">
        <is>
          <t>JÄMTLANDS LÄN</t>
        </is>
      </c>
      <c r="E893" t="inlineStr">
        <is>
          <t>KROKOM</t>
        </is>
      </c>
      <c r="G893" t="n">
        <v>0.6</v>
      </c>
      <c r="H893" t="n">
        <v>0</v>
      </c>
      <c r="I893" t="n">
        <v>0</v>
      </c>
      <c r="J893" t="n">
        <v>0</v>
      </c>
      <c r="K893" t="n">
        <v>0</v>
      </c>
      <c r="L893" t="n">
        <v>0</v>
      </c>
      <c r="M893" t="n">
        <v>0</v>
      </c>
      <c r="N893" t="n">
        <v>0</v>
      </c>
      <c r="O893" t="n">
        <v>0</v>
      </c>
      <c r="P893" t="n">
        <v>0</v>
      </c>
      <c r="Q893" t="n">
        <v>0</v>
      </c>
      <c r="R893" s="2" t="inlineStr"/>
    </row>
    <row r="894" ht="15" customHeight="1">
      <c r="A894" t="inlineStr">
        <is>
          <t>A 4423-2025</t>
        </is>
      </c>
      <c r="B894" s="1" t="n">
        <v>45686</v>
      </c>
      <c r="C894" s="1" t="n">
        <v>45923</v>
      </c>
      <c r="D894" t="inlineStr">
        <is>
          <t>JÄMTLANDS LÄN</t>
        </is>
      </c>
      <c r="E894" t="inlineStr">
        <is>
          <t>KROKOM</t>
        </is>
      </c>
      <c r="G894" t="n">
        <v>17.3</v>
      </c>
      <c r="H894" t="n">
        <v>0</v>
      </c>
      <c r="I894" t="n">
        <v>0</v>
      </c>
      <c r="J894" t="n">
        <v>0</v>
      </c>
      <c r="K894" t="n">
        <v>0</v>
      </c>
      <c r="L894" t="n">
        <v>0</v>
      </c>
      <c r="M894" t="n">
        <v>0</v>
      </c>
      <c r="N894" t="n">
        <v>0</v>
      </c>
      <c r="O894" t="n">
        <v>0</v>
      </c>
      <c r="P894" t="n">
        <v>0</v>
      </c>
      <c r="Q894" t="n">
        <v>0</v>
      </c>
      <c r="R894" s="2" t="inlineStr"/>
    </row>
    <row r="895" ht="15" customHeight="1">
      <c r="A895" t="inlineStr">
        <is>
          <t>A 25302-2025</t>
        </is>
      </c>
      <c r="B895" s="1" t="n">
        <v>45800.57129629629</v>
      </c>
      <c r="C895" s="1" t="n">
        <v>45923</v>
      </c>
      <c r="D895" t="inlineStr">
        <is>
          <t>JÄMTLANDS LÄN</t>
        </is>
      </c>
      <c r="E895" t="inlineStr">
        <is>
          <t>KROKOM</t>
        </is>
      </c>
      <c r="G895" t="n">
        <v>1.6</v>
      </c>
      <c r="H895" t="n">
        <v>0</v>
      </c>
      <c r="I895" t="n">
        <v>0</v>
      </c>
      <c r="J895" t="n">
        <v>0</v>
      </c>
      <c r="K895" t="n">
        <v>0</v>
      </c>
      <c r="L895" t="n">
        <v>0</v>
      </c>
      <c r="M895" t="n">
        <v>0</v>
      </c>
      <c r="N895" t="n">
        <v>0</v>
      </c>
      <c r="O895" t="n">
        <v>0</v>
      </c>
      <c r="P895" t="n">
        <v>0</v>
      </c>
      <c r="Q895" t="n">
        <v>0</v>
      </c>
      <c r="R895" s="2" t="inlineStr"/>
    </row>
    <row r="896" ht="15" customHeight="1">
      <c r="A896" t="inlineStr">
        <is>
          <t>A 25312-2025</t>
        </is>
      </c>
      <c r="B896" s="1" t="n">
        <v>45800.57461805556</v>
      </c>
      <c r="C896" s="1" t="n">
        <v>45923</v>
      </c>
      <c r="D896" t="inlineStr">
        <is>
          <t>JÄMTLANDS LÄN</t>
        </is>
      </c>
      <c r="E896" t="inlineStr">
        <is>
          <t>KROKOM</t>
        </is>
      </c>
      <c r="G896" t="n">
        <v>3.2</v>
      </c>
      <c r="H896" t="n">
        <v>0</v>
      </c>
      <c r="I896" t="n">
        <v>0</v>
      </c>
      <c r="J896" t="n">
        <v>0</v>
      </c>
      <c r="K896" t="n">
        <v>0</v>
      </c>
      <c r="L896" t="n">
        <v>0</v>
      </c>
      <c r="M896" t="n">
        <v>0</v>
      </c>
      <c r="N896" t="n">
        <v>0</v>
      </c>
      <c r="O896" t="n">
        <v>0</v>
      </c>
      <c r="P896" t="n">
        <v>0</v>
      </c>
      <c r="Q896" t="n">
        <v>0</v>
      </c>
      <c r="R896" s="2" t="inlineStr"/>
    </row>
    <row r="897" ht="15" customHeight="1">
      <c r="A897" t="inlineStr">
        <is>
          <t>A 38748-2024</t>
        </is>
      </c>
      <c r="B897" s="1" t="n">
        <v>45547.42736111111</v>
      </c>
      <c r="C897" s="1" t="n">
        <v>45923</v>
      </c>
      <c r="D897" t="inlineStr">
        <is>
          <t>JÄMTLANDS LÄN</t>
        </is>
      </c>
      <c r="E897" t="inlineStr">
        <is>
          <t>KROKOM</t>
        </is>
      </c>
      <c r="G897" t="n">
        <v>0.1</v>
      </c>
      <c r="H897" t="n">
        <v>0</v>
      </c>
      <c r="I897" t="n">
        <v>0</v>
      </c>
      <c r="J897" t="n">
        <v>0</v>
      </c>
      <c r="K897" t="n">
        <v>0</v>
      </c>
      <c r="L897" t="n">
        <v>0</v>
      </c>
      <c r="M897" t="n">
        <v>0</v>
      </c>
      <c r="N897" t="n">
        <v>0</v>
      </c>
      <c r="O897" t="n">
        <v>0</v>
      </c>
      <c r="P897" t="n">
        <v>0</v>
      </c>
      <c r="Q897" t="n">
        <v>0</v>
      </c>
      <c r="R897" s="2" t="inlineStr"/>
    </row>
    <row r="898" ht="15" customHeight="1">
      <c r="A898" t="inlineStr">
        <is>
          <t>A 25295-2025</t>
        </is>
      </c>
      <c r="B898" s="1" t="n">
        <v>45800.56810185185</v>
      </c>
      <c r="C898" s="1" t="n">
        <v>45923</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23083-2025</t>
        </is>
      </c>
      <c r="B899" s="1" t="n">
        <v>45791</v>
      </c>
      <c r="C899" s="1" t="n">
        <v>45923</v>
      </c>
      <c r="D899" t="inlineStr">
        <is>
          <t>JÄMTLANDS LÄN</t>
        </is>
      </c>
      <c r="E899" t="inlineStr">
        <is>
          <t>KROKOM</t>
        </is>
      </c>
      <c r="G899" t="n">
        <v>0.5</v>
      </c>
      <c r="H899" t="n">
        <v>0</v>
      </c>
      <c r="I899" t="n">
        <v>0</v>
      </c>
      <c r="J899" t="n">
        <v>0</v>
      </c>
      <c r="K899" t="n">
        <v>0</v>
      </c>
      <c r="L899" t="n">
        <v>0</v>
      </c>
      <c r="M899" t="n">
        <v>0</v>
      </c>
      <c r="N899" t="n">
        <v>0</v>
      </c>
      <c r="O899" t="n">
        <v>0</v>
      </c>
      <c r="P899" t="n">
        <v>0</v>
      </c>
      <c r="Q899" t="n">
        <v>0</v>
      </c>
      <c r="R899" s="2" t="inlineStr"/>
    </row>
    <row r="900" ht="15" customHeight="1">
      <c r="A900" t="inlineStr">
        <is>
          <t>A 41784-2023</t>
        </is>
      </c>
      <c r="B900" s="1" t="n">
        <v>45176</v>
      </c>
      <c r="C900" s="1" t="n">
        <v>45923</v>
      </c>
      <c r="D900" t="inlineStr">
        <is>
          <t>JÄMTLANDS LÄN</t>
        </is>
      </c>
      <c r="E900" t="inlineStr">
        <is>
          <t>KROKOM</t>
        </is>
      </c>
      <c r="F900" t="inlineStr">
        <is>
          <t>Övriga Aktiebolag</t>
        </is>
      </c>
      <c r="G900" t="n">
        <v>3.1</v>
      </c>
      <c r="H900" t="n">
        <v>0</v>
      </c>
      <c r="I900" t="n">
        <v>0</v>
      </c>
      <c r="J900" t="n">
        <v>0</v>
      </c>
      <c r="K900" t="n">
        <v>0</v>
      </c>
      <c r="L900" t="n">
        <v>0</v>
      </c>
      <c r="M900" t="n">
        <v>0</v>
      </c>
      <c r="N900" t="n">
        <v>0</v>
      </c>
      <c r="O900" t="n">
        <v>0</v>
      </c>
      <c r="P900" t="n">
        <v>0</v>
      </c>
      <c r="Q900" t="n">
        <v>0</v>
      </c>
      <c r="R900" s="2" t="inlineStr"/>
    </row>
    <row r="901" ht="15" customHeight="1">
      <c r="A901" t="inlineStr">
        <is>
          <t>A 5785-2025</t>
        </is>
      </c>
      <c r="B901" s="1" t="n">
        <v>45694.64416666667</v>
      </c>
      <c r="C901" s="1" t="n">
        <v>45923</v>
      </c>
      <c r="D901" t="inlineStr">
        <is>
          <t>JÄMTLANDS LÄN</t>
        </is>
      </c>
      <c r="E901" t="inlineStr">
        <is>
          <t>KROKOM</t>
        </is>
      </c>
      <c r="F901" t="inlineStr">
        <is>
          <t>Övriga Aktiebolag</t>
        </is>
      </c>
      <c r="G901" t="n">
        <v>4.2</v>
      </c>
      <c r="H901" t="n">
        <v>0</v>
      </c>
      <c r="I901" t="n">
        <v>0</v>
      </c>
      <c r="J901" t="n">
        <v>0</v>
      </c>
      <c r="K901" t="n">
        <v>0</v>
      </c>
      <c r="L901" t="n">
        <v>0</v>
      </c>
      <c r="M901" t="n">
        <v>0</v>
      </c>
      <c r="N901" t="n">
        <v>0</v>
      </c>
      <c r="O901" t="n">
        <v>0</v>
      </c>
      <c r="P901" t="n">
        <v>0</v>
      </c>
      <c r="Q901" t="n">
        <v>0</v>
      </c>
      <c r="R901" s="2" t="inlineStr"/>
    </row>
    <row r="902" ht="15" customHeight="1">
      <c r="A902" t="inlineStr">
        <is>
          <t>A 25398-2025</t>
        </is>
      </c>
      <c r="B902" s="1" t="n">
        <v>45800.65177083333</v>
      </c>
      <c r="C902" s="1" t="n">
        <v>45923</v>
      </c>
      <c r="D902" t="inlineStr">
        <is>
          <t>JÄMTLANDS LÄN</t>
        </is>
      </c>
      <c r="E902" t="inlineStr">
        <is>
          <t>KROKOM</t>
        </is>
      </c>
      <c r="G902" t="n">
        <v>3.4</v>
      </c>
      <c r="H902" t="n">
        <v>0</v>
      </c>
      <c r="I902" t="n">
        <v>0</v>
      </c>
      <c r="J902" t="n">
        <v>0</v>
      </c>
      <c r="K902" t="n">
        <v>0</v>
      </c>
      <c r="L902" t="n">
        <v>0</v>
      </c>
      <c r="M902" t="n">
        <v>0</v>
      </c>
      <c r="N902" t="n">
        <v>0</v>
      </c>
      <c r="O902" t="n">
        <v>0</v>
      </c>
      <c r="P902" t="n">
        <v>0</v>
      </c>
      <c r="Q902" t="n">
        <v>0</v>
      </c>
      <c r="R902" s="2" t="inlineStr"/>
    </row>
    <row r="903" ht="15" customHeight="1">
      <c r="A903" t="inlineStr">
        <is>
          <t>A 25386-2025</t>
        </is>
      </c>
      <c r="B903" s="1" t="n">
        <v>45800.64319444444</v>
      </c>
      <c r="C903" s="1" t="n">
        <v>45923</v>
      </c>
      <c r="D903" t="inlineStr">
        <is>
          <t>JÄMTLANDS LÄN</t>
        </is>
      </c>
      <c r="E903" t="inlineStr">
        <is>
          <t>KROKOM</t>
        </is>
      </c>
      <c r="G903" t="n">
        <v>11.9</v>
      </c>
      <c r="H903" t="n">
        <v>0</v>
      </c>
      <c r="I903" t="n">
        <v>0</v>
      </c>
      <c r="J903" t="n">
        <v>0</v>
      </c>
      <c r="K903" t="n">
        <v>0</v>
      </c>
      <c r="L903" t="n">
        <v>0</v>
      </c>
      <c r="M903" t="n">
        <v>0</v>
      </c>
      <c r="N903" t="n">
        <v>0</v>
      </c>
      <c r="O903" t="n">
        <v>0</v>
      </c>
      <c r="P903" t="n">
        <v>0</v>
      </c>
      <c r="Q903" t="n">
        <v>0</v>
      </c>
      <c r="R903" s="2" t="inlineStr"/>
    </row>
    <row r="904" ht="15" customHeight="1">
      <c r="A904" t="inlineStr">
        <is>
          <t>A 4058-2025</t>
        </is>
      </c>
      <c r="B904" s="1" t="n">
        <v>45684.62510416667</v>
      </c>
      <c r="C904" s="1" t="n">
        <v>45923</v>
      </c>
      <c r="D904" t="inlineStr">
        <is>
          <t>JÄMTLANDS LÄN</t>
        </is>
      </c>
      <c r="E904" t="inlineStr">
        <is>
          <t>KROKOM</t>
        </is>
      </c>
      <c r="F904" t="inlineStr">
        <is>
          <t>Kyrkan</t>
        </is>
      </c>
      <c r="G904" t="n">
        <v>7.8</v>
      </c>
      <c r="H904" t="n">
        <v>0</v>
      </c>
      <c r="I904" t="n">
        <v>0</v>
      </c>
      <c r="J904" t="n">
        <v>0</v>
      </c>
      <c r="K904" t="n">
        <v>0</v>
      </c>
      <c r="L904" t="n">
        <v>0</v>
      </c>
      <c r="M904" t="n">
        <v>0</v>
      </c>
      <c r="N904" t="n">
        <v>0</v>
      </c>
      <c r="O904" t="n">
        <v>0</v>
      </c>
      <c r="P904" t="n">
        <v>0</v>
      </c>
      <c r="Q904" t="n">
        <v>0</v>
      </c>
      <c r="R904" s="2" t="inlineStr"/>
    </row>
    <row r="905" ht="15" customHeight="1">
      <c r="A905" t="inlineStr">
        <is>
          <t>A 15341-2025</t>
        </is>
      </c>
      <c r="B905" s="1" t="n">
        <v>45746</v>
      </c>
      <c r="C905" s="1" t="n">
        <v>45923</v>
      </c>
      <c r="D905" t="inlineStr">
        <is>
          <t>JÄMTLANDS LÄN</t>
        </is>
      </c>
      <c r="E905" t="inlineStr">
        <is>
          <t>KROKOM</t>
        </is>
      </c>
      <c r="F905" t="inlineStr">
        <is>
          <t>SCA</t>
        </is>
      </c>
      <c r="G905" t="n">
        <v>8</v>
      </c>
      <c r="H905" t="n">
        <v>0</v>
      </c>
      <c r="I905" t="n">
        <v>0</v>
      </c>
      <c r="J905" t="n">
        <v>0</v>
      </c>
      <c r="K905" t="n">
        <v>0</v>
      </c>
      <c r="L905" t="n">
        <v>0</v>
      </c>
      <c r="M905" t="n">
        <v>0</v>
      </c>
      <c r="N905" t="n">
        <v>0</v>
      </c>
      <c r="O905" t="n">
        <v>0</v>
      </c>
      <c r="P905" t="n">
        <v>0</v>
      </c>
      <c r="Q905" t="n">
        <v>0</v>
      </c>
      <c r="R905" s="2" t="inlineStr"/>
    </row>
    <row r="906" ht="15" customHeight="1">
      <c r="A906" t="inlineStr">
        <is>
          <t>A 54975-2024</t>
        </is>
      </c>
      <c r="B906" s="1" t="n">
        <v>45620.67667824074</v>
      </c>
      <c r="C906" s="1" t="n">
        <v>45923</v>
      </c>
      <c r="D906" t="inlineStr">
        <is>
          <t>JÄMTLANDS LÄN</t>
        </is>
      </c>
      <c r="E906" t="inlineStr">
        <is>
          <t>KROKOM</t>
        </is>
      </c>
      <c r="G906" t="n">
        <v>24.1</v>
      </c>
      <c r="H906" t="n">
        <v>0</v>
      </c>
      <c r="I906" t="n">
        <v>0</v>
      </c>
      <c r="J906" t="n">
        <v>0</v>
      </c>
      <c r="K906" t="n">
        <v>0</v>
      </c>
      <c r="L906" t="n">
        <v>0</v>
      </c>
      <c r="M906" t="n">
        <v>0</v>
      </c>
      <c r="N906" t="n">
        <v>0</v>
      </c>
      <c r="O906" t="n">
        <v>0</v>
      </c>
      <c r="P906" t="n">
        <v>0</v>
      </c>
      <c r="Q906" t="n">
        <v>0</v>
      </c>
      <c r="R906" s="2" t="inlineStr"/>
    </row>
    <row r="907" ht="15" customHeight="1">
      <c r="A907" t="inlineStr">
        <is>
          <t>A 25681-2025</t>
        </is>
      </c>
      <c r="B907" s="1" t="n">
        <v>45800</v>
      </c>
      <c r="C907" s="1" t="n">
        <v>45923</v>
      </c>
      <c r="D907" t="inlineStr">
        <is>
          <t>JÄMTLANDS LÄN</t>
        </is>
      </c>
      <c r="E907" t="inlineStr">
        <is>
          <t>KROKOM</t>
        </is>
      </c>
      <c r="G907" t="n">
        <v>12</v>
      </c>
      <c r="H907" t="n">
        <v>0</v>
      </c>
      <c r="I907" t="n">
        <v>0</v>
      </c>
      <c r="J907" t="n">
        <v>0</v>
      </c>
      <c r="K907" t="n">
        <v>0</v>
      </c>
      <c r="L907" t="n">
        <v>0</v>
      </c>
      <c r="M907" t="n">
        <v>0</v>
      </c>
      <c r="N907" t="n">
        <v>0</v>
      </c>
      <c r="O907" t="n">
        <v>0</v>
      </c>
      <c r="P907" t="n">
        <v>0</v>
      </c>
      <c r="Q907" t="n">
        <v>0</v>
      </c>
      <c r="R907" s="2" t="inlineStr"/>
    </row>
    <row r="908" ht="15" customHeight="1">
      <c r="A908" t="inlineStr">
        <is>
          <t>A 54043-2023</t>
        </is>
      </c>
      <c r="B908" s="1" t="n">
        <v>45231</v>
      </c>
      <c r="C908" s="1" t="n">
        <v>45923</v>
      </c>
      <c r="D908" t="inlineStr">
        <is>
          <t>JÄMTLANDS LÄN</t>
        </is>
      </c>
      <c r="E908" t="inlineStr">
        <is>
          <t>KROKOM</t>
        </is>
      </c>
      <c r="F908" t="inlineStr">
        <is>
          <t>SCA</t>
        </is>
      </c>
      <c r="G908" t="n">
        <v>6.5</v>
      </c>
      <c r="H908" t="n">
        <v>0</v>
      </c>
      <c r="I908" t="n">
        <v>0</v>
      </c>
      <c r="J908" t="n">
        <v>0</v>
      </c>
      <c r="K908" t="n">
        <v>0</v>
      </c>
      <c r="L908" t="n">
        <v>0</v>
      </c>
      <c r="M908" t="n">
        <v>0</v>
      </c>
      <c r="N908" t="n">
        <v>0</v>
      </c>
      <c r="O908" t="n">
        <v>0</v>
      </c>
      <c r="P908" t="n">
        <v>0</v>
      </c>
      <c r="Q908" t="n">
        <v>0</v>
      </c>
      <c r="R908" s="2" t="inlineStr"/>
    </row>
    <row r="909" ht="15" customHeight="1">
      <c r="A909" t="inlineStr">
        <is>
          <t>A 692-2025</t>
        </is>
      </c>
      <c r="B909" s="1" t="n">
        <v>45662</v>
      </c>
      <c r="C909" s="1" t="n">
        <v>45923</v>
      </c>
      <c r="D909" t="inlineStr">
        <is>
          <t>JÄMTLANDS LÄN</t>
        </is>
      </c>
      <c r="E909" t="inlineStr">
        <is>
          <t>KROKOM</t>
        </is>
      </c>
      <c r="G909" t="n">
        <v>20</v>
      </c>
      <c r="H909" t="n">
        <v>0</v>
      </c>
      <c r="I909" t="n">
        <v>0</v>
      </c>
      <c r="J909" t="n">
        <v>0</v>
      </c>
      <c r="K909" t="n">
        <v>0</v>
      </c>
      <c r="L909" t="n">
        <v>0</v>
      </c>
      <c r="M909" t="n">
        <v>0</v>
      </c>
      <c r="N909" t="n">
        <v>0</v>
      </c>
      <c r="O909" t="n">
        <v>0</v>
      </c>
      <c r="P909" t="n">
        <v>0</v>
      </c>
      <c r="Q909" t="n">
        <v>0</v>
      </c>
      <c r="R909" s="2" t="inlineStr"/>
    </row>
    <row r="910" ht="15" customHeight="1">
      <c r="A910" t="inlineStr">
        <is>
          <t>A 25710-2025</t>
        </is>
      </c>
      <c r="B910" s="1" t="n">
        <v>45803.6837962963</v>
      </c>
      <c r="C910" s="1" t="n">
        <v>45923</v>
      </c>
      <c r="D910" t="inlineStr">
        <is>
          <t>JÄMTLANDS LÄN</t>
        </is>
      </c>
      <c r="E910" t="inlineStr">
        <is>
          <t>KROKOM</t>
        </is>
      </c>
      <c r="G910" t="n">
        <v>1</v>
      </c>
      <c r="H910" t="n">
        <v>0</v>
      </c>
      <c r="I910" t="n">
        <v>0</v>
      </c>
      <c r="J910" t="n">
        <v>0</v>
      </c>
      <c r="K910" t="n">
        <v>0</v>
      </c>
      <c r="L910" t="n">
        <v>0</v>
      </c>
      <c r="M910" t="n">
        <v>0</v>
      </c>
      <c r="N910" t="n">
        <v>0</v>
      </c>
      <c r="O910" t="n">
        <v>0</v>
      </c>
      <c r="P910" t="n">
        <v>0</v>
      </c>
      <c r="Q910" t="n">
        <v>0</v>
      </c>
      <c r="R910" s="2" t="inlineStr"/>
    </row>
    <row r="911" ht="15" customHeight="1">
      <c r="A911" t="inlineStr">
        <is>
          <t>A 15524-2024</t>
        </is>
      </c>
      <c r="B911" s="1" t="n">
        <v>45401.59133101852</v>
      </c>
      <c r="C911" s="1" t="n">
        <v>45923</v>
      </c>
      <c r="D911" t="inlineStr">
        <is>
          <t>JÄMTLANDS LÄN</t>
        </is>
      </c>
      <c r="E911" t="inlineStr">
        <is>
          <t>KROKOM</t>
        </is>
      </c>
      <c r="G911" t="n">
        <v>2.4</v>
      </c>
      <c r="H911" t="n">
        <v>0</v>
      </c>
      <c r="I911" t="n">
        <v>0</v>
      </c>
      <c r="J911" t="n">
        <v>0</v>
      </c>
      <c r="K911" t="n">
        <v>0</v>
      </c>
      <c r="L911" t="n">
        <v>0</v>
      </c>
      <c r="M911" t="n">
        <v>0</v>
      </c>
      <c r="N911" t="n">
        <v>0</v>
      </c>
      <c r="O911" t="n">
        <v>0</v>
      </c>
      <c r="P911" t="n">
        <v>0</v>
      </c>
      <c r="Q911" t="n">
        <v>0</v>
      </c>
      <c r="R911" s="2" t="inlineStr"/>
    </row>
    <row r="912" ht="15" customHeight="1">
      <c r="A912" t="inlineStr">
        <is>
          <t>A 25715-2025</t>
        </is>
      </c>
      <c r="B912" s="1" t="n">
        <v>45803.69828703703</v>
      </c>
      <c r="C912" s="1" t="n">
        <v>45923</v>
      </c>
      <c r="D912" t="inlineStr">
        <is>
          <t>JÄMTLANDS LÄN</t>
        </is>
      </c>
      <c r="E912" t="inlineStr">
        <is>
          <t>KROKOM</t>
        </is>
      </c>
      <c r="G912" t="n">
        <v>8.9</v>
      </c>
      <c r="H912" t="n">
        <v>0</v>
      </c>
      <c r="I912" t="n">
        <v>0</v>
      </c>
      <c r="J912" t="n">
        <v>0</v>
      </c>
      <c r="K912" t="n">
        <v>0</v>
      </c>
      <c r="L912" t="n">
        <v>0</v>
      </c>
      <c r="M912" t="n">
        <v>0</v>
      </c>
      <c r="N912" t="n">
        <v>0</v>
      </c>
      <c r="O912" t="n">
        <v>0</v>
      </c>
      <c r="P912" t="n">
        <v>0</v>
      </c>
      <c r="Q912" t="n">
        <v>0</v>
      </c>
      <c r="R912" s="2" t="inlineStr"/>
    </row>
    <row r="913" ht="15" customHeight="1">
      <c r="A913" t="inlineStr">
        <is>
          <t>A 5637-2025</t>
        </is>
      </c>
      <c r="B913" s="1" t="n">
        <v>45693.67361111111</v>
      </c>
      <c r="C913" s="1" t="n">
        <v>45923</v>
      </c>
      <c r="D913" t="inlineStr">
        <is>
          <t>JÄMTLANDS LÄN</t>
        </is>
      </c>
      <c r="E913" t="inlineStr">
        <is>
          <t>KROKOM</t>
        </is>
      </c>
      <c r="F913" t="inlineStr">
        <is>
          <t>Övriga Aktiebolag</t>
        </is>
      </c>
      <c r="G913" t="n">
        <v>57.8</v>
      </c>
      <c r="H913" t="n">
        <v>0</v>
      </c>
      <c r="I913" t="n">
        <v>0</v>
      </c>
      <c r="J913" t="n">
        <v>0</v>
      </c>
      <c r="K913" t="n">
        <v>0</v>
      </c>
      <c r="L913" t="n">
        <v>0</v>
      </c>
      <c r="M913" t="n">
        <v>0</v>
      </c>
      <c r="N913" t="n">
        <v>0</v>
      </c>
      <c r="O913" t="n">
        <v>0</v>
      </c>
      <c r="P913" t="n">
        <v>0</v>
      </c>
      <c r="Q913" t="n">
        <v>0</v>
      </c>
      <c r="R913" s="2" t="inlineStr"/>
    </row>
    <row r="914" ht="15" customHeight="1">
      <c r="A914" t="inlineStr">
        <is>
          <t>A 59620-2024</t>
        </is>
      </c>
      <c r="B914" s="1" t="n">
        <v>45638.81385416666</v>
      </c>
      <c r="C914" s="1" t="n">
        <v>45923</v>
      </c>
      <c r="D914" t="inlineStr">
        <is>
          <t>JÄMTLANDS LÄN</t>
        </is>
      </c>
      <c r="E914" t="inlineStr">
        <is>
          <t>KROKOM</t>
        </is>
      </c>
      <c r="G914" t="n">
        <v>0.4</v>
      </c>
      <c r="H914" t="n">
        <v>0</v>
      </c>
      <c r="I914" t="n">
        <v>0</v>
      </c>
      <c r="J914" t="n">
        <v>0</v>
      </c>
      <c r="K914" t="n">
        <v>0</v>
      </c>
      <c r="L914" t="n">
        <v>0</v>
      </c>
      <c r="M914" t="n">
        <v>0</v>
      </c>
      <c r="N914" t="n">
        <v>0</v>
      </c>
      <c r="O914" t="n">
        <v>0</v>
      </c>
      <c r="P914" t="n">
        <v>0</v>
      </c>
      <c r="Q914" t="n">
        <v>0</v>
      </c>
      <c r="R914" s="2" t="inlineStr"/>
    </row>
    <row r="915" ht="15" customHeight="1">
      <c r="A915" t="inlineStr">
        <is>
          <t>A 4608-2025</t>
        </is>
      </c>
      <c r="B915" s="1" t="n">
        <v>45687</v>
      </c>
      <c r="C915" s="1" t="n">
        <v>45923</v>
      </c>
      <c r="D915" t="inlineStr">
        <is>
          <t>JÄMTLANDS LÄN</t>
        </is>
      </c>
      <c r="E915" t="inlineStr">
        <is>
          <t>KROKOM</t>
        </is>
      </c>
      <c r="F915" t="inlineStr">
        <is>
          <t>SCA</t>
        </is>
      </c>
      <c r="G915" t="n">
        <v>16.6</v>
      </c>
      <c r="H915" t="n">
        <v>0</v>
      </c>
      <c r="I915" t="n">
        <v>0</v>
      </c>
      <c r="J915" t="n">
        <v>0</v>
      </c>
      <c r="K915" t="n">
        <v>0</v>
      </c>
      <c r="L915" t="n">
        <v>0</v>
      </c>
      <c r="M915" t="n">
        <v>0</v>
      </c>
      <c r="N915" t="n">
        <v>0</v>
      </c>
      <c r="O915" t="n">
        <v>0</v>
      </c>
      <c r="P915" t="n">
        <v>0</v>
      </c>
      <c r="Q915" t="n">
        <v>0</v>
      </c>
      <c r="R915" s="2" t="inlineStr"/>
    </row>
    <row r="916" ht="15" customHeight="1">
      <c r="A916" t="inlineStr">
        <is>
          <t>A 61078-2023</t>
        </is>
      </c>
      <c r="B916" s="1" t="n">
        <v>45261</v>
      </c>
      <c r="C916" s="1" t="n">
        <v>45923</v>
      </c>
      <c r="D916" t="inlineStr">
        <is>
          <t>JÄMTLANDS LÄN</t>
        </is>
      </c>
      <c r="E916" t="inlineStr">
        <is>
          <t>KROKOM</t>
        </is>
      </c>
      <c r="G916" t="n">
        <v>5.7</v>
      </c>
      <c r="H916" t="n">
        <v>0</v>
      </c>
      <c r="I916" t="n">
        <v>0</v>
      </c>
      <c r="J916" t="n">
        <v>0</v>
      </c>
      <c r="K916" t="n">
        <v>0</v>
      </c>
      <c r="L916" t="n">
        <v>0</v>
      </c>
      <c r="M916" t="n">
        <v>0</v>
      </c>
      <c r="N916" t="n">
        <v>0</v>
      </c>
      <c r="O916" t="n">
        <v>0</v>
      </c>
      <c r="P916" t="n">
        <v>0</v>
      </c>
      <c r="Q916" t="n">
        <v>0</v>
      </c>
      <c r="R916" s="2" t="inlineStr"/>
    </row>
    <row r="917" ht="15" customHeight="1">
      <c r="A917" t="inlineStr">
        <is>
          <t>A 10498-2025</t>
        </is>
      </c>
      <c r="B917" s="1" t="n">
        <v>45721</v>
      </c>
      <c r="C917" s="1" t="n">
        <v>45923</v>
      </c>
      <c r="D917" t="inlineStr">
        <is>
          <t>JÄMTLANDS LÄN</t>
        </is>
      </c>
      <c r="E917" t="inlineStr">
        <is>
          <t>KROKOM</t>
        </is>
      </c>
      <c r="G917" t="n">
        <v>1</v>
      </c>
      <c r="H917" t="n">
        <v>0</v>
      </c>
      <c r="I917" t="n">
        <v>0</v>
      </c>
      <c r="J917" t="n">
        <v>0</v>
      </c>
      <c r="K917" t="n">
        <v>0</v>
      </c>
      <c r="L917" t="n">
        <v>0</v>
      </c>
      <c r="M917" t="n">
        <v>0</v>
      </c>
      <c r="N917" t="n">
        <v>0</v>
      </c>
      <c r="O917" t="n">
        <v>0</v>
      </c>
      <c r="P917" t="n">
        <v>0</v>
      </c>
      <c r="Q917" t="n">
        <v>0</v>
      </c>
      <c r="R917" s="2" t="inlineStr"/>
    </row>
    <row r="918" ht="15" customHeight="1">
      <c r="A918" t="inlineStr">
        <is>
          <t>A 7366-2025</t>
        </is>
      </c>
      <c r="B918" s="1" t="n">
        <v>45704.71069444445</v>
      </c>
      <c r="C918" s="1" t="n">
        <v>45923</v>
      </c>
      <c r="D918" t="inlineStr">
        <is>
          <t>JÄMTLANDS LÄN</t>
        </is>
      </c>
      <c r="E918" t="inlineStr">
        <is>
          <t>KROKOM</t>
        </is>
      </c>
      <c r="F918" t="inlineStr">
        <is>
          <t>Övriga Aktiebolag</t>
        </is>
      </c>
      <c r="G918" t="n">
        <v>7.8</v>
      </c>
      <c r="H918" t="n">
        <v>0</v>
      </c>
      <c r="I918" t="n">
        <v>0</v>
      </c>
      <c r="J918" t="n">
        <v>0</v>
      </c>
      <c r="K918" t="n">
        <v>0</v>
      </c>
      <c r="L918" t="n">
        <v>0</v>
      </c>
      <c r="M918" t="n">
        <v>0</v>
      </c>
      <c r="N918" t="n">
        <v>0</v>
      </c>
      <c r="O918" t="n">
        <v>0</v>
      </c>
      <c r="P918" t="n">
        <v>0</v>
      </c>
      <c r="Q918" t="n">
        <v>0</v>
      </c>
      <c r="R918" s="2" t="inlineStr"/>
    </row>
    <row r="919" ht="15" customHeight="1">
      <c r="A919" t="inlineStr">
        <is>
          <t>A 26212-2025</t>
        </is>
      </c>
      <c r="B919" s="1" t="n">
        <v>45805.54185185185</v>
      </c>
      <c r="C919" s="1" t="n">
        <v>45923</v>
      </c>
      <c r="D919" t="inlineStr">
        <is>
          <t>JÄMTLANDS LÄN</t>
        </is>
      </c>
      <c r="E919" t="inlineStr">
        <is>
          <t>KROKOM</t>
        </is>
      </c>
      <c r="G919" t="n">
        <v>1.5</v>
      </c>
      <c r="H919" t="n">
        <v>0</v>
      </c>
      <c r="I919" t="n">
        <v>0</v>
      </c>
      <c r="J919" t="n">
        <v>0</v>
      </c>
      <c r="K919" t="n">
        <v>0</v>
      </c>
      <c r="L919" t="n">
        <v>0</v>
      </c>
      <c r="M919" t="n">
        <v>0</v>
      </c>
      <c r="N919" t="n">
        <v>0</v>
      </c>
      <c r="O919" t="n">
        <v>0</v>
      </c>
      <c r="P919" t="n">
        <v>0</v>
      </c>
      <c r="Q919" t="n">
        <v>0</v>
      </c>
      <c r="R919" s="2" t="inlineStr"/>
    </row>
    <row r="920" ht="15" customHeight="1">
      <c r="A920" t="inlineStr">
        <is>
          <t>A 16345-2025</t>
        </is>
      </c>
      <c r="B920" s="1" t="n">
        <v>45751.3734837963</v>
      </c>
      <c r="C920" s="1" t="n">
        <v>45923</v>
      </c>
      <c r="D920" t="inlineStr">
        <is>
          <t>JÄMTLANDS LÄN</t>
        </is>
      </c>
      <c r="E920" t="inlineStr">
        <is>
          <t>KROKOM</t>
        </is>
      </c>
      <c r="G920" t="n">
        <v>1.4</v>
      </c>
      <c r="H920" t="n">
        <v>0</v>
      </c>
      <c r="I920" t="n">
        <v>0</v>
      </c>
      <c r="J920" t="n">
        <v>0</v>
      </c>
      <c r="K920" t="n">
        <v>0</v>
      </c>
      <c r="L920" t="n">
        <v>0</v>
      </c>
      <c r="M920" t="n">
        <v>0</v>
      </c>
      <c r="N920" t="n">
        <v>0</v>
      </c>
      <c r="O920" t="n">
        <v>0</v>
      </c>
      <c r="P920" t="n">
        <v>0</v>
      </c>
      <c r="Q920" t="n">
        <v>0</v>
      </c>
      <c r="R920" s="2" t="inlineStr"/>
    </row>
    <row r="921" ht="15" customHeight="1">
      <c r="A921" t="inlineStr">
        <is>
          <t>A 16481-2025</t>
        </is>
      </c>
      <c r="B921" s="1" t="n">
        <v>45751.57877314815</v>
      </c>
      <c r="C921" s="1" t="n">
        <v>45923</v>
      </c>
      <c r="D921" t="inlineStr">
        <is>
          <t>JÄMTLANDS LÄN</t>
        </is>
      </c>
      <c r="E921" t="inlineStr">
        <is>
          <t>KROKOM</t>
        </is>
      </c>
      <c r="G921" t="n">
        <v>8.4</v>
      </c>
      <c r="H921" t="n">
        <v>0</v>
      </c>
      <c r="I921" t="n">
        <v>0</v>
      </c>
      <c r="J921" t="n">
        <v>0</v>
      </c>
      <c r="K921" t="n">
        <v>0</v>
      </c>
      <c r="L921" t="n">
        <v>0</v>
      </c>
      <c r="M921" t="n">
        <v>0</v>
      </c>
      <c r="N921" t="n">
        <v>0</v>
      </c>
      <c r="O921" t="n">
        <v>0</v>
      </c>
      <c r="P921" t="n">
        <v>0</v>
      </c>
      <c r="Q921" t="n">
        <v>0</v>
      </c>
      <c r="R921" s="2" t="inlineStr"/>
    </row>
    <row r="922" ht="15" customHeight="1">
      <c r="A922" t="inlineStr">
        <is>
          <t>A 5364-2025</t>
        </is>
      </c>
      <c r="B922" s="1" t="n">
        <v>45692.58106481482</v>
      </c>
      <c r="C922" s="1" t="n">
        <v>45923</v>
      </c>
      <c r="D922" t="inlineStr">
        <is>
          <t>JÄMTLANDS LÄN</t>
        </is>
      </c>
      <c r="E922" t="inlineStr">
        <is>
          <t>KROKOM</t>
        </is>
      </c>
      <c r="G922" t="n">
        <v>25.4</v>
      </c>
      <c r="H922" t="n">
        <v>0</v>
      </c>
      <c r="I922" t="n">
        <v>0</v>
      </c>
      <c r="J922" t="n">
        <v>0</v>
      </c>
      <c r="K922" t="n">
        <v>0</v>
      </c>
      <c r="L922" t="n">
        <v>0</v>
      </c>
      <c r="M922" t="n">
        <v>0</v>
      </c>
      <c r="N922" t="n">
        <v>0</v>
      </c>
      <c r="O922" t="n">
        <v>0</v>
      </c>
      <c r="P922" t="n">
        <v>0</v>
      </c>
      <c r="Q922" t="n">
        <v>0</v>
      </c>
      <c r="R922" s="2" t="inlineStr"/>
    </row>
    <row r="923" ht="15" customHeight="1">
      <c r="A923" t="inlineStr">
        <is>
          <t>A 27616-2023</t>
        </is>
      </c>
      <c r="B923" s="1" t="n">
        <v>45097</v>
      </c>
      <c r="C923" s="1" t="n">
        <v>45923</v>
      </c>
      <c r="D923" t="inlineStr">
        <is>
          <t>JÄMTLANDS LÄN</t>
        </is>
      </c>
      <c r="E923" t="inlineStr">
        <is>
          <t>KROKOM</t>
        </is>
      </c>
      <c r="F923" t="inlineStr">
        <is>
          <t>Övriga Aktiebolag</t>
        </is>
      </c>
      <c r="G923" t="n">
        <v>13.3</v>
      </c>
      <c r="H923" t="n">
        <v>0</v>
      </c>
      <c r="I923" t="n">
        <v>0</v>
      </c>
      <c r="J923" t="n">
        <v>0</v>
      </c>
      <c r="K923" t="n">
        <v>0</v>
      </c>
      <c r="L923" t="n">
        <v>0</v>
      </c>
      <c r="M923" t="n">
        <v>0</v>
      </c>
      <c r="N923" t="n">
        <v>0</v>
      </c>
      <c r="O923" t="n">
        <v>0</v>
      </c>
      <c r="P923" t="n">
        <v>0</v>
      </c>
      <c r="Q923" t="n">
        <v>0</v>
      </c>
      <c r="R923" s="2" t="inlineStr"/>
    </row>
    <row r="924" ht="15" customHeight="1">
      <c r="A924" t="inlineStr">
        <is>
          <t>A 12838-2025</t>
        </is>
      </c>
      <c r="B924" s="1" t="n">
        <v>45733</v>
      </c>
      <c r="C924" s="1" t="n">
        <v>45923</v>
      </c>
      <c r="D924" t="inlineStr">
        <is>
          <t>JÄMTLANDS LÄN</t>
        </is>
      </c>
      <c r="E924" t="inlineStr">
        <is>
          <t>KROKOM</t>
        </is>
      </c>
      <c r="G924" t="n">
        <v>59.3</v>
      </c>
      <c r="H924" t="n">
        <v>0</v>
      </c>
      <c r="I924" t="n">
        <v>0</v>
      </c>
      <c r="J924" t="n">
        <v>0</v>
      </c>
      <c r="K924" t="n">
        <v>0</v>
      </c>
      <c r="L924" t="n">
        <v>0</v>
      </c>
      <c r="M924" t="n">
        <v>0</v>
      </c>
      <c r="N924" t="n">
        <v>0</v>
      </c>
      <c r="O924" t="n">
        <v>0</v>
      </c>
      <c r="P924" t="n">
        <v>0</v>
      </c>
      <c r="Q924" t="n">
        <v>0</v>
      </c>
      <c r="R924" s="2" t="inlineStr"/>
    </row>
    <row r="925" ht="15" customHeight="1">
      <c r="A925" t="inlineStr">
        <is>
          <t>A 26272-2025</t>
        </is>
      </c>
      <c r="B925" s="1" t="n">
        <v>45805</v>
      </c>
      <c r="C925" s="1" t="n">
        <v>45923</v>
      </c>
      <c r="D925" t="inlineStr">
        <is>
          <t>JÄMTLANDS LÄN</t>
        </is>
      </c>
      <c r="E925" t="inlineStr">
        <is>
          <t>KROKOM</t>
        </is>
      </c>
      <c r="G925" t="n">
        <v>22.4</v>
      </c>
      <c r="H925" t="n">
        <v>0</v>
      </c>
      <c r="I925" t="n">
        <v>0</v>
      </c>
      <c r="J925" t="n">
        <v>0</v>
      </c>
      <c r="K925" t="n">
        <v>0</v>
      </c>
      <c r="L925" t="n">
        <v>0</v>
      </c>
      <c r="M925" t="n">
        <v>0</v>
      </c>
      <c r="N925" t="n">
        <v>0</v>
      </c>
      <c r="O925" t="n">
        <v>0</v>
      </c>
      <c r="P925" t="n">
        <v>0</v>
      </c>
      <c r="Q925" t="n">
        <v>0</v>
      </c>
      <c r="R925" s="2" t="inlineStr"/>
    </row>
    <row r="926" ht="15" customHeight="1">
      <c r="A926" t="inlineStr">
        <is>
          <t>A 6585-2025</t>
        </is>
      </c>
      <c r="B926" s="1" t="n">
        <v>45700.27895833334</v>
      </c>
      <c r="C926" s="1" t="n">
        <v>45923</v>
      </c>
      <c r="D926" t="inlineStr">
        <is>
          <t>JÄMTLANDS LÄN</t>
        </is>
      </c>
      <c r="E926" t="inlineStr">
        <is>
          <t>KROKOM</t>
        </is>
      </c>
      <c r="F926" t="inlineStr">
        <is>
          <t>Övriga Aktiebolag</t>
        </is>
      </c>
      <c r="G926" t="n">
        <v>2</v>
      </c>
      <c r="H926" t="n">
        <v>0</v>
      </c>
      <c r="I926" t="n">
        <v>0</v>
      </c>
      <c r="J926" t="n">
        <v>0</v>
      </c>
      <c r="K926" t="n">
        <v>0</v>
      </c>
      <c r="L926" t="n">
        <v>0</v>
      </c>
      <c r="M926" t="n">
        <v>0</v>
      </c>
      <c r="N926" t="n">
        <v>0</v>
      </c>
      <c r="O926" t="n">
        <v>0</v>
      </c>
      <c r="P926" t="n">
        <v>0</v>
      </c>
      <c r="Q926" t="n">
        <v>0</v>
      </c>
      <c r="R926" s="2" t="inlineStr"/>
    </row>
    <row r="927" ht="15" customHeight="1">
      <c r="A927" t="inlineStr">
        <is>
          <t>A 55831-2024</t>
        </is>
      </c>
      <c r="B927" s="1" t="n">
        <v>45623.48571759259</v>
      </c>
      <c r="C927" s="1" t="n">
        <v>45923</v>
      </c>
      <c r="D927" t="inlineStr">
        <is>
          <t>JÄMTLANDS LÄN</t>
        </is>
      </c>
      <c r="E927" t="inlineStr">
        <is>
          <t>KROKOM</t>
        </is>
      </c>
      <c r="G927" t="n">
        <v>1.6</v>
      </c>
      <c r="H927" t="n">
        <v>0</v>
      </c>
      <c r="I927" t="n">
        <v>0</v>
      </c>
      <c r="J927" t="n">
        <v>0</v>
      </c>
      <c r="K927" t="n">
        <v>0</v>
      </c>
      <c r="L927" t="n">
        <v>0</v>
      </c>
      <c r="M927" t="n">
        <v>0</v>
      </c>
      <c r="N927" t="n">
        <v>0</v>
      </c>
      <c r="O927" t="n">
        <v>0</v>
      </c>
      <c r="P927" t="n">
        <v>0</v>
      </c>
      <c r="Q927" t="n">
        <v>0</v>
      </c>
      <c r="R927" s="2" t="inlineStr"/>
    </row>
    <row r="928" ht="15" customHeight="1">
      <c r="A928" t="inlineStr">
        <is>
          <t>A 5409-2025</t>
        </is>
      </c>
      <c r="B928" s="1" t="n">
        <v>45692</v>
      </c>
      <c r="C928" s="1" t="n">
        <v>45923</v>
      </c>
      <c r="D928" t="inlineStr">
        <is>
          <t>JÄMTLANDS LÄN</t>
        </is>
      </c>
      <c r="E928" t="inlineStr">
        <is>
          <t>KROKOM</t>
        </is>
      </c>
      <c r="F928" t="inlineStr">
        <is>
          <t>SCA</t>
        </is>
      </c>
      <c r="G928" t="n">
        <v>7.8</v>
      </c>
      <c r="H928" t="n">
        <v>0</v>
      </c>
      <c r="I928" t="n">
        <v>0</v>
      </c>
      <c r="J928" t="n">
        <v>0</v>
      </c>
      <c r="K928" t="n">
        <v>0</v>
      </c>
      <c r="L928" t="n">
        <v>0</v>
      </c>
      <c r="M928" t="n">
        <v>0</v>
      </c>
      <c r="N928" t="n">
        <v>0</v>
      </c>
      <c r="O928" t="n">
        <v>0</v>
      </c>
      <c r="P928" t="n">
        <v>0</v>
      </c>
      <c r="Q928" t="n">
        <v>0</v>
      </c>
      <c r="R928" s="2" t="inlineStr"/>
    </row>
    <row r="929" ht="15" customHeight="1">
      <c r="A929" t="inlineStr">
        <is>
          <t>A 6024-2025</t>
        </is>
      </c>
      <c r="B929" s="1" t="n">
        <v>45695.61160879629</v>
      </c>
      <c r="C929" s="1" t="n">
        <v>45923</v>
      </c>
      <c r="D929" t="inlineStr">
        <is>
          <t>JÄMTLANDS LÄN</t>
        </is>
      </c>
      <c r="E929" t="inlineStr">
        <is>
          <t>KROKOM</t>
        </is>
      </c>
      <c r="F929" t="inlineStr">
        <is>
          <t>Övriga Aktiebolag</t>
        </is>
      </c>
      <c r="G929" t="n">
        <v>3.1</v>
      </c>
      <c r="H929" t="n">
        <v>0</v>
      </c>
      <c r="I929" t="n">
        <v>0</v>
      </c>
      <c r="J929" t="n">
        <v>0</v>
      </c>
      <c r="K929" t="n">
        <v>0</v>
      </c>
      <c r="L929" t="n">
        <v>0</v>
      </c>
      <c r="M929" t="n">
        <v>0</v>
      </c>
      <c r="N929" t="n">
        <v>0</v>
      </c>
      <c r="O929" t="n">
        <v>0</v>
      </c>
      <c r="P929" t="n">
        <v>0</v>
      </c>
      <c r="Q929" t="n">
        <v>0</v>
      </c>
      <c r="R929" s="2" t="inlineStr"/>
    </row>
    <row r="930" ht="15" customHeight="1">
      <c r="A930" t="inlineStr">
        <is>
          <t>A 50919-2024</t>
        </is>
      </c>
      <c r="B930" s="1" t="n">
        <v>45602</v>
      </c>
      <c r="C930" s="1" t="n">
        <v>45923</v>
      </c>
      <c r="D930" t="inlineStr">
        <is>
          <t>JÄMTLANDS LÄN</t>
        </is>
      </c>
      <c r="E930" t="inlineStr">
        <is>
          <t>KROKOM</t>
        </is>
      </c>
      <c r="G930" t="n">
        <v>33.7</v>
      </c>
      <c r="H930" t="n">
        <v>0</v>
      </c>
      <c r="I930" t="n">
        <v>0</v>
      </c>
      <c r="J930" t="n">
        <v>0</v>
      </c>
      <c r="K930" t="n">
        <v>0</v>
      </c>
      <c r="L930" t="n">
        <v>0</v>
      </c>
      <c r="M930" t="n">
        <v>0</v>
      </c>
      <c r="N930" t="n">
        <v>0</v>
      </c>
      <c r="O930" t="n">
        <v>0</v>
      </c>
      <c r="P930" t="n">
        <v>0</v>
      </c>
      <c r="Q930" t="n">
        <v>0</v>
      </c>
      <c r="R930" s="2" t="inlineStr"/>
    </row>
    <row r="931" ht="15" customHeight="1">
      <c r="A931" t="inlineStr">
        <is>
          <t>A 7013-2025</t>
        </is>
      </c>
      <c r="B931" s="1" t="n">
        <v>45701.60901620371</v>
      </c>
      <c r="C931" s="1" t="n">
        <v>45923</v>
      </c>
      <c r="D931" t="inlineStr">
        <is>
          <t>JÄMTLANDS LÄN</t>
        </is>
      </c>
      <c r="E931" t="inlineStr">
        <is>
          <t>KROKOM</t>
        </is>
      </c>
      <c r="G931" t="n">
        <v>4.3</v>
      </c>
      <c r="H931" t="n">
        <v>0</v>
      </c>
      <c r="I931" t="n">
        <v>0</v>
      </c>
      <c r="J931" t="n">
        <v>0</v>
      </c>
      <c r="K931" t="n">
        <v>0</v>
      </c>
      <c r="L931" t="n">
        <v>0</v>
      </c>
      <c r="M931" t="n">
        <v>0</v>
      </c>
      <c r="N931" t="n">
        <v>0</v>
      </c>
      <c r="O931" t="n">
        <v>0</v>
      </c>
      <c r="P931" t="n">
        <v>0</v>
      </c>
      <c r="Q931" t="n">
        <v>0</v>
      </c>
      <c r="R931" s="2" t="inlineStr"/>
    </row>
    <row r="932" ht="15" customHeight="1">
      <c r="A932" t="inlineStr">
        <is>
          <t>A 5704-2025</t>
        </is>
      </c>
      <c r="B932" s="1" t="n">
        <v>45694.43806712963</v>
      </c>
      <c r="C932" s="1" t="n">
        <v>45923</v>
      </c>
      <c r="D932" t="inlineStr">
        <is>
          <t>JÄMTLANDS LÄN</t>
        </is>
      </c>
      <c r="E932" t="inlineStr">
        <is>
          <t>KROKOM</t>
        </is>
      </c>
      <c r="G932" t="n">
        <v>1.8</v>
      </c>
      <c r="H932" t="n">
        <v>0</v>
      </c>
      <c r="I932" t="n">
        <v>0</v>
      </c>
      <c r="J932" t="n">
        <v>0</v>
      </c>
      <c r="K932" t="n">
        <v>0</v>
      </c>
      <c r="L932" t="n">
        <v>0</v>
      </c>
      <c r="M932" t="n">
        <v>0</v>
      </c>
      <c r="N932" t="n">
        <v>0</v>
      </c>
      <c r="O932" t="n">
        <v>0</v>
      </c>
      <c r="P932" t="n">
        <v>0</v>
      </c>
      <c r="Q932" t="n">
        <v>0</v>
      </c>
      <c r="R932" s="2" t="inlineStr"/>
    </row>
    <row r="933" ht="15" customHeight="1">
      <c r="A933" t="inlineStr">
        <is>
          <t>A 2782-2025</t>
        </is>
      </c>
      <c r="B933" s="1" t="n">
        <v>45676</v>
      </c>
      <c r="C933" s="1" t="n">
        <v>45923</v>
      </c>
      <c r="D933" t="inlineStr">
        <is>
          <t>JÄMTLANDS LÄN</t>
        </is>
      </c>
      <c r="E933" t="inlineStr">
        <is>
          <t>KROKOM</t>
        </is>
      </c>
      <c r="G933" t="n">
        <v>18.6</v>
      </c>
      <c r="H933" t="n">
        <v>0</v>
      </c>
      <c r="I933" t="n">
        <v>0</v>
      </c>
      <c r="J933" t="n">
        <v>0</v>
      </c>
      <c r="K933" t="n">
        <v>0</v>
      </c>
      <c r="L933" t="n">
        <v>0</v>
      </c>
      <c r="M933" t="n">
        <v>0</v>
      </c>
      <c r="N933" t="n">
        <v>0</v>
      </c>
      <c r="O933" t="n">
        <v>0</v>
      </c>
      <c r="P933" t="n">
        <v>0</v>
      </c>
      <c r="Q933" t="n">
        <v>0</v>
      </c>
      <c r="R933" s="2" t="inlineStr"/>
    </row>
    <row r="934" ht="15" customHeight="1">
      <c r="A934" t="inlineStr">
        <is>
          <t>A 18080-2025</t>
        </is>
      </c>
      <c r="B934" s="1" t="n">
        <v>45761.50909722222</v>
      </c>
      <c r="C934" s="1" t="n">
        <v>45923</v>
      </c>
      <c r="D934" t="inlineStr">
        <is>
          <t>JÄMTLANDS LÄN</t>
        </is>
      </c>
      <c r="E934" t="inlineStr">
        <is>
          <t>KROKOM</t>
        </is>
      </c>
      <c r="G934" t="n">
        <v>21.9</v>
      </c>
      <c r="H934" t="n">
        <v>0</v>
      </c>
      <c r="I934" t="n">
        <v>0</v>
      </c>
      <c r="J934" t="n">
        <v>0</v>
      </c>
      <c r="K934" t="n">
        <v>0</v>
      </c>
      <c r="L934" t="n">
        <v>0</v>
      </c>
      <c r="M934" t="n">
        <v>0</v>
      </c>
      <c r="N934" t="n">
        <v>0</v>
      </c>
      <c r="O934" t="n">
        <v>0</v>
      </c>
      <c r="P934" t="n">
        <v>0</v>
      </c>
      <c r="Q934" t="n">
        <v>0</v>
      </c>
      <c r="R934" s="2" t="inlineStr"/>
    </row>
    <row r="935" ht="15" customHeight="1">
      <c r="A935" t="inlineStr">
        <is>
          <t>A 688-2021</t>
        </is>
      </c>
      <c r="B935" s="1" t="n">
        <v>44203</v>
      </c>
      <c r="C935" s="1" t="n">
        <v>45923</v>
      </c>
      <c r="D935" t="inlineStr">
        <is>
          <t>JÄMTLANDS LÄN</t>
        </is>
      </c>
      <c r="E935" t="inlineStr">
        <is>
          <t>KROKOM</t>
        </is>
      </c>
      <c r="G935" t="n">
        <v>7.8</v>
      </c>
      <c r="H935" t="n">
        <v>0</v>
      </c>
      <c r="I935" t="n">
        <v>0</v>
      </c>
      <c r="J935" t="n">
        <v>0</v>
      </c>
      <c r="K935" t="n">
        <v>0</v>
      </c>
      <c r="L935" t="n">
        <v>0</v>
      </c>
      <c r="M935" t="n">
        <v>0</v>
      </c>
      <c r="N935" t="n">
        <v>0</v>
      </c>
      <c r="O935" t="n">
        <v>0</v>
      </c>
      <c r="P935" t="n">
        <v>0</v>
      </c>
      <c r="Q935" t="n">
        <v>0</v>
      </c>
      <c r="R935" s="2" t="inlineStr"/>
    </row>
    <row r="936" ht="15" customHeight="1">
      <c r="A936" t="inlineStr">
        <is>
          <t>A 51929-2023</t>
        </is>
      </c>
      <c r="B936" s="1" t="n">
        <v>45216</v>
      </c>
      <c r="C936" s="1" t="n">
        <v>45923</v>
      </c>
      <c r="D936" t="inlineStr">
        <is>
          <t>JÄMTLANDS LÄN</t>
        </is>
      </c>
      <c r="E936" t="inlineStr">
        <is>
          <t>KROKOM</t>
        </is>
      </c>
      <c r="G936" t="n">
        <v>0.8</v>
      </c>
      <c r="H936" t="n">
        <v>0</v>
      </c>
      <c r="I936" t="n">
        <v>0</v>
      </c>
      <c r="J936" t="n">
        <v>0</v>
      </c>
      <c r="K936" t="n">
        <v>0</v>
      </c>
      <c r="L936" t="n">
        <v>0</v>
      </c>
      <c r="M936" t="n">
        <v>0</v>
      </c>
      <c r="N936" t="n">
        <v>0</v>
      </c>
      <c r="O936" t="n">
        <v>0</v>
      </c>
      <c r="P936" t="n">
        <v>0</v>
      </c>
      <c r="Q936" t="n">
        <v>0</v>
      </c>
      <c r="R936" s="2" t="inlineStr"/>
    </row>
    <row r="937" ht="15" customHeight="1">
      <c r="A937" t="inlineStr">
        <is>
          <t>A 57728-2020</t>
        </is>
      </c>
      <c r="B937" s="1" t="n">
        <v>44140</v>
      </c>
      <c r="C937" s="1" t="n">
        <v>45923</v>
      </c>
      <c r="D937" t="inlineStr">
        <is>
          <t>JÄMTLANDS LÄN</t>
        </is>
      </c>
      <c r="E937" t="inlineStr">
        <is>
          <t>KROKOM</t>
        </is>
      </c>
      <c r="G937" t="n">
        <v>5</v>
      </c>
      <c r="H937" t="n">
        <v>0</v>
      </c>
      <c r="I937" t="n">
        <v>0</v>
      </c>
      <c r="J937" t="n">
        <v>0</v>
      </c>
      <c r="K937" t="n">
        <v>0</v>
      </c>
      <c r="L937" t="n">
        <v>0</v>
      </c>
      <c r="M937" t="n">
        <v>0</v>
      </c>
      <c r="N937" t="n">
        <v>0</v>
      </c>
      <c r="O937" t="n">
        <v>0</v>
      </c>
      <c r="P937" t="n">
        <v>0</v>
      </c>
      <c r="Q937" t="n">
        <v>0</v>
      </c>
      <c r="R937" s="2" t="inlineStr"/>
    </row>
    <row r="938" ht="15" customHeight="1">
      <c r="A938" t="inlineStr">
        <is>
          <t>A 10552-2025</t>
        </is>
      </c>
      <c r="B938" s="1" t="n">
        <v>45721.5113425926</v>
      </c>
      <c r="C938" s="1" t="n">
        <v>45923</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7556-2025</t>
        </is>
      </c>
      <c r="B939" s="1" t="n">
        <v>45705</v>
      </c>
      <c r="C939" s="1" t="n">
        <v>45923</v>
      </c>
      <c r="D939" t="inlineStr">
        <is>
          <t>JÄMTLANDS LÄN</t>
        </is>
      </c>
      <c r="E939" t="inlineStr">
        <is>
          <t>KROKOM</t>
        </is>
      </c>
      <c r="G939" t="n">
        <v>2.9</v>
      </c>
      <c r="H939" t="n">
        <v>0</v>
      </c>
      <c r="I939" t="n">
        <v>0</v>
      </c>
      <c r="J939" t="n">
        <v>0</v>
      </c>
      <c r="K939" t="n">
        <v>0</v>
      </c>
      <c r="L939" t="n">
        <v>0</v>
      </c>
      <c r="M939" t="n">
        <v>0</v>
      </c>
      <c r="N939" t="n">
        <v>0</v>
      </c>
      <c r="O939" t="n">
        <v>0</v>
      </c>
      <c r="P939" t="n">
        <v>0</v>
      </c>
      <c r="Q939" t="n">
        <v>0</v>
      </c>
      <c r="R939" s="2" t="inlineStr"/>
    </row>
    <row r="940" ht="15" customHeight="1">
      <c r="A940" t="inlineStr">
        <is>
          <t>A 53543-2024</t>
        </is>
      </c>
      <c r="B940" s="1" t="n">
        <v>45614.63697916667</v>
      </c>
      <c r="C940" s="1" t="n">
        <v>45923</v>
      </c>
      <c r="D940" t="inlineStr">
        <is>
          <t>JÄMTLANDS LÄN</t>
        </is>
      </c>
      <c r="E940" t="inlineStr">
        <is>
          <t>KROKOM</t>
        </is>
      </c>
      <c r="G940" t="n">
        <v>2.7</v>
      </c>
      <c r="H940" t="n">
        <v>0</v>
      </c>
      <c r="I940" t="n">
        <v>0</v>
      </c>
      <c r="J940" t="n">
        <v>0</v>
      </c>
      <c r="K940" t="n">
        <v>0</v>
      </c>
      <c r="L940" t="n">
        <v>0</v>
      </c>
      <c r="M940" t="n">
        <v>0</v>
      </c>
      <c r="N940" t="n">
        <v>0</v>
      </c>
      <c r="O940" t="n">
        <v>0</v>
      </c>
      <c r="P940" t="n">
        <v>0</v>
      </c>
      <c r="Q940" t="n">
        <v>0</v>
      </c>
      <c r="R940" s="2" t="inlineStr"/>
    </row>
    <row r="941" ht="15" customHeight="1">
      <c r="A941" t="inlineStr">
        <is>
          <t>A 22865-2022</t>
        </is>
      </c>
      <c r="B941" s="1" t="n">
        <v>44715.48863425926</v>
      </c>
      <c r="C941" s="1" t="n">
        <v>45923</v>
      </c>
      <c r="D941" t="inlineStr">
        <is>
          <t>JÄMTLANDS LÄN</t>
        </is>
      </c>
      <c r="E941" t="inlineStr">
        <is>
          <t>KROKOM</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26544-2025</t>
        </is>
      </c>
      <c r="B942" s="1" t="n">
        <v>45807.58930555556</v>
      </c>
      <c r="C942" s="1" t="n">
        <v>45923</v>
      </c>
      <c r="D942" t="inlineStr">
        <is>
          <t>JÄMTLANDS LÄN</t>
        </is>
      </c>
      <c r="E942" t="inlineStr">
        <is>
          <t>KROKOM</t>
        </is>
      </c>
      <c r="G942" t="n">
        <v>1.3</v>
      </c>
      <c r="H942" t="n">
        <v>0</v>
      </c>
      <c r="I942" t="n">
        <v>0</v>
      </c>
      <c r="J942" t="n">
        <v>0</v>
      </c>
      <c r="K942" t="n">
        <v>0</v>
      </c>
      <c r="L942" t="n">
        <v>0</v>
      </c>
      <c r="M942" t="n">
        <v>0</v>
      </c>
      <c r="N942" t="n">
        <v>0</v>
      </c>
      <c r="O942" t="n">
        <v>0</v>
      </c>
      <c r="P942" t="n">
        <v>0</v>
      </c>
      <c r="Q942" t="n">
        <v>0</v>
      </c>
      <c r="R942" s="2" t="inlineStr"/>
    </row>
    <row r="943" ht="15" customHeight="1">
      <c r="A943" t="inlineStr">
        <is>
          <t>A 16545-2024</t>
        </is>
      </c>
      <c r="B943" s="1" t="n">
        <v>45408</v>
      </c>
      <c r="C943" s="1" t="n">
        <v>45923</v>
      </c>
      <c r="D943" t="inlineStr">
        <is>
          <t>JÄMTLANDS LÄN</t>
        </is>
      </c>
      <c r="E943" t="inlineStr">
        <is>
          <t>KROKOM</t>
        </is>
      </c>
      <c r="G943" t="n">
        <v>46.1</v>
      </c>
      <c r="H943" t="n">
        <v>0</v>
      </c>
      <c r="I943" t="n">
        <v>0</v>
      </c>
      <c r="J943" t="n">
        <v>0</v>
      </c>
      <c r="K943" t="n">
        <v>0</v>
      </c>
      <c r="L943" t="n">
        <v>0</v>
      </c>
      <c r="M943" t="n">
        <v>0</v>
      </c>
      <c r="N943" t="n">
        <v>0</v>
      </c>
      <c r="O943" t="n">
        <v>0</v>
      </c>
      <c r="P943" t="n">
        <v>0</v>
      </c>
      <c r="Q943" t="n">
        <v>0</v>
      </c>
      <c r="R943" s="2" t="inlineStr"/>
    </row>
    <row r="944" ht="15" customHeight="1">
      <c r="A944" t="inlineStr">
        <is>
          <t>A 5558-2025</t>
        </is>
      </c>
      <c r="B944" s="1" t="n">
        <v>45693.48239583334</v>
      </c>
      <c r="C944" s="1" t="n">
        <v>45923</v>
      </c>
      <c r="D944" t="inlineStr">
        <is>
          <t>JÄMTLANDS LÄN</t>
        </is>
      </c>
      <c r="E944" t="inlineStr">
        <is>
          <t>KROKOM</t>
        </is>
      </c>
      <c r="G944" t="n">
        <v>31.1</v>
      </c>
      <c r="H944" t="n">
        <v>0</v>
      </c>
      <c r="I944" t="n">
        <v>0</v>
      </c>
      <c r="J944" t="n">
        <v>0</v>
      </c>
      <c r="K944" t="n">
        <v>0</v>
      </c>
      <c r="L944" t="n">
        <v>0</v>
      </c>
      <c r="M944" t="n">
        <v>0</v>
      </c>
      <c r="N944" t="n">
        <v>0</v>
      </c>
      <c r="O944" t="n">
        <v>0</v>
      </c>
      <c r="P944" t="n">
        <v>0</v>
      </c>
      <c r="Q944" t="n">
        <v>0</v>
      </c>
      <c r="R944" s="2" t="inlineStr"/>
    </row>
    <row r="945" ht="15" customHeight="1">
      <c r="A945" t="inlineStr">
        <is>
          <t>A 26621-2025</t>
        </is>
      </c>
      <c r="B945" s="1" t="n">
        <v>45810.32105324074</v>
      </c>
      <c r="C945" s="1" t="n">
        <v>45923</v>
      </c>
      <c r="D945" t="inlineStr">
        <is>
          <t>JÄMTLANDS LÄN</t>
        </is>
      </c>
      <c r="E945" t="inlineStr">
        <is>
          <t>KROKOM</t>
        </is>
      </c>
      <c r="G945" t="n">
        <v>0.8</v>
      </c>
      <c r="H945" t="n">
        <v>0</v>
      </c>
      <c r="I945" t="n">
        <v>0</v>
      </c>
      <c r="J945" t="n">
        <v>0</v>
      </c>
      <c r="K945" t="n">
        <v>0</v>
      </c>
      <c r="L945" t="n">
        <v>0</v>
      </c>
      <c r="M945" t="n">
        <v>0</v>
      </c>
      <c r="N945" t="n">
        <v>0</v>
      </c>
      <c r="O945" t="n">
        <v>0</v>
      </c>
      <c r="P945" t="n">
        <v>0</v>
      </c>
      <c r="Q945" t="n">
        <v>0</v>
      </c>
      <c r="R945" s="2" t="inlineStr"/>
    </row>
    <row r="946" ht="15" customHeight="1">
      <c r="A946" t="inlineStr">
        <is>
          <t>A 6208-2025</t>
        </is>
      </c>
      <c r="B946" s="1" t="n">
        <v>45698.4930787037</v>
      </c>
      <c r="C946" s="1" t="n">
        <v>45923</v>
      </c>
      <c r="D946" t="inlineStr">
        <is>
          <t>JÄMTLANDS LÄN</t>
        </is>
      </c>
      <c r="E946" t="inlineStr">
        <is>
          <t>KROKOM</t>
        </is>
      </c>
      <c r="G946" t="n">
        <v>7.6</v>
      </c>
      <c r="H946" t="n">
        <v>0</v>
      </c>
      <c r="I946" t="n">
        <v>0</v>
      </c>
      <c r="J946" t="n">
        <v>0</v>
      </c>
      <c r="K946" t="n">
        <v>0</v>
      </c>
      <c r="L946" t="n">
        <v>0</v>
      </c>
      <c r="M946" t="n">
        <v>0</v>
      </c>
      <c r="N946" t="n">
        <v>0</v>
      </c>
      <c r="O946" t="n">
        <v>0</v>
      </c>
      <c r="P946" t="n">
        <v>0</v>
      </c>
      <c r="Q946" t="n">
        <v>0</v>
      </c>
      <c r="R946" s="2" t="inlineStr"/>
    </row>
    <row r="947" ht="15" customHeight="1">
      <c r="A947" t="inlineStr">
        <is>
          <t>A 61609-2020</t>
        </is>
      </c>
      <c r="B947" s="1" t="n">
        <v>44154</v>
      </c>
      <c r="C947" s="1" t="n">
        <v>45923</v>
      </c>
      <c r="D947" t="inlineStr">
        <is>
          <t>JÄMTLANDS LÄN</t>
        </is>
      </c>
      <c r="E947" t="inlineStr">
        <is>
          <t>KROKOM</t>
        </is>
      </c>
      <c r="G947" t="n">
        <v>6.4</v>
      </c>
      <c r="H947" t="n">
        <v>0</v>
      </c>
      <c r="I947" t="n">
        <v>0</v>
      </c>
      <c r="J947" t="n">
        <v>0</v>
      </c>
      <c r="K947" t="n">
        <v>0</v>
      </c>
      <c r="L947" t="n">
        <v>0</v>
      </c>
      <c r="M947" t="n">
        <v>0</v>
      </c>
      <c r="N947" t="n">
        <v>0</v>
      </c>
      <c r="O947" t="n">
        <v>0</v>
      </c>
      <c r="P947" t="n">
        <v>0</v>
      </c>
      <c r="Q947" t="n">
        <v>0</v>
      </c>
      <c r="R947" s="2" t="inlineStr"/>
    </row>
    <row r="948" ht="15" customHeight="1">
      <c r="A948" t="inlineStr">
        <is>
          <t>A 6245-2025</t>
        </is>
      </c>
      <c r="B948" s="1" t="n">
        <v>45698.57129629629</v>
      </c>
      <c r="C948" s="1" t="n">
        <v>45923</v>
      </c>
      <c r="D948" t="inlineStr">
        <is>
          <t>JÄMTLANDS LÄN</t>
        </is>
      </c>
      <c r="E948" t="inlineStr">
        <is>
          <t>KROKOM</t>
        </is>
      </c>
      <c r="G948" t="n">
        <v>9.9</v>
      </c>
      <c r="H948" t="n">
        <v>0</v>
      </c>
      <c r="I948" t="n">
        <v>0</v>
      </c>
      <c r="J948" t="n">
        <v>0</v>
      </c>
      <c r="K948" t="n">
        <v>0</v>
      </c>
      <c r="L948" t="n">
        <v>0</v>
      </c>
      <c r="M948" t="n">
        <v>0</v>
      </c>
      <c r="N948" t="n">
        <v>0</v>
      </c>
      <c r="O948" t="n">
        <v>0</v>
      </c>
      <c r="P948" t="n">
        <v>0</v>
      </c>
      <c r="Q948" t="n">
        <v>0</v>
      </c>
      <c r="R948" s="2" t="inlineStr"/>
    </row>
    <row r="949" ht="15" customHeight="1">
      <c r="A949" t="inlineStr">
        <is>
          <t>A 4383-2025</t>
        </is>
      </c>
      <c r="B949" s="1" t="n">
        <v>45686.39777777778</v>
      </c>
      <c r="C949" s="1" t="n">
        <v>45923</v>
      </c>
      <c r="D949" t="inlineStr">
        <is>
          <t>JÄMTLANDS LÄN</t>
        </is>
      </c>
      <c r="E949" t="inlineStr">
        <is>
          <t>KROKOM</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56538-2023</t>
        </is>
      </c>
      <c r="B950" s="1" t="n">
        <v>45238</v>
      </c>
      <c r="C950" s="1" t="n">
        <v>45923</v>
      </c>
      <c r="D950" t="inlineStr">
        <is>
          <t>JÄMTLANDS LÄN</t>
        </is>
      </c>
      <c r="E950" t="inlineStr">
        <is>
          <t>KROKOM</t>
        </is>
      </c>
      <c r="G950" t="n">
        <v>17.7</v>
      </c>
      <c r="H950" t="n">
        <v>0</v>
      </c>
      <c r="I950" t="n">
        <v>0</v>
      </c>
      <c r="J950" t="n">
        <v>0</v>
      </c>
      <c r="K950" t="n">
        <v>0</v>
      </c>
      <c r="L950" t="n">
        <v>0</v>
      </c>
      <c r="M950" t="n">
        <v>0</v>
      </c>
      <c r="N950" t="n">
        <v>0</v>
      </c>
      <c r="O950" t="n">
        <v>0</v>
      </c>
      <c r="P950" t="n">
        <v>0</v>
      </c>
      <c r="Q950" t="n">
        <v>0</v>
      </c>
      <c r="R950" s="2" t="inlineStr"/>
    </row>
    <row r="951" ht="15" customHeight="1">
      <c r="A951" t="inlineStr">
        <is>
          <t>A 15776-2025</t>
        </is>
      </c>
      <c r="B951" s="1" t="n">
        <v>45748.59744212963</v>
      </c>
      <c r="C951" s="1" t="n">
        <v>45923</v>
      </c>
      <c r="D951" t="inlineStr">
        <is>
          <t>JÄMTLANDS LÄN</t>
        </is>
      </c>
      <c r="E951" t="inlineStr">
        <is>
          <t>KROKOM</t>
        </is>
      </c>
      <c r="G951" t="n">
        <v>46.5</v>
      </c>
      <c r="H951" t="n">
        <v>0</v>
      </c>
      <c r="I951" t="n">
        <v>0</v>
      </c>
      <c r="J951" t="n">
        <v>0</v>
      </c>
      <c r="K951" t="n">
        <v>0</v>
      </c>
      <c r="L951" t="n">
        <v>0</v>
      </c>
      <c r="M951" t="n">
        <v>0</v>
      </c>
      <c r="N951" t="n">
        <v>0</v>
      </c>
      <c r="O951" t="n">
        <v>0</v>
      </c>
      <c r="P951" t="n">
        <v>0</v>
      </c>
      <c r="Q951" t="n">
        <v>0</v>
      </c>
      <c r="R951" s="2" t="inlineStr"/>
    </row>
    <row r="952" ht="15" customHeight="1">
      <c r="A952" t="inlineStr">
        <is>
          <t>A 26527-2025</t>
        </is>
      </c>
      <c r="B952" s="1" t="n">
        <v>45807.56728009259</v>
      </c>
      <c r="C952" s="1" t="n">
        <v>45923</v>
      </c>
      <c r="D952" t="inlineStr">
        <is>
          <t>JÄMTLANDS LÄN</t>
        </is>
      </c>
      <c r="E952" t="inlineStr">
        <is>
          <t>KROKOM</t>
        </is>
      </c>
      <c r="G952" t="n">
        <v>13.3</v>
      </c>
      <c r="H952" t="n">
        <v>0</v>
      </c>
      <c r="I952" t="n">
        <v>0</v>
      </c>
      <c r="J952" t="n">
        <v>0</v>
      </c>
      <c r="K952" t="n">
        <v>0</v>
      </c>
      <c r="L952" t="n">
        <v>0</v>
      </c>
      <c r="M952" t="n">
        <v>0</v>
      </c>
      <c r="N952" t="n">
        <v>0</v>
      </c>
      <c r="O952" t="n">
        <v>0</v>
      </c>
      <c r="P952" t="n">
        <v>0</v>
      </c>
      <c r="Q952" t="n">
        <v>0</v>
      </c>
      <c r="R952" s="2" t="inlineStr"/>
    </row>
    <row r="953" ht="15" customHeight="1">
      <c r="A953" t="inlineStr">
        <is>
          <t>A 31927-2023</t>
        </is>
      </c>
      <c r="B953" s="1" t="n">
        <v>45118.94061342593</v>
      </c>
      <c r="C953" s="1" t="n">
        <v>45923</v>
      </c>
      <c r="D953" t="inlineStr">
        <is>
          <t>JÄMTLANDS LÄN</t>
        </is>
      </c>
      <c r="E953" t="inlineStr">
        <is>
          <t>KROKOM</t>
        </is>
      </c>
      <c r="G953" t="n">
        <v>56.6</v>
      </c>
      <c r="H953" t="n">
        <v>0</v>
      </c>
      <c r="I953" t="n">
        <v>0</v>
      </c>
      <c r="J953" t="n">
        <v>0</v>
      </c>
      <c r="K953" t="n">
        <v>0</v>
      </c>
      <c r="L953" t="n">
        <v>0</v>
      </c>
      <c r="M953" t="n">
        <v>0</v>
      </c>
      <c r="N953" t="n">
        <v>0</v>
      </c>
      <c r="O953" t="n">
        <v>0</v>
      </c>
      <c r="P953" t="n">
        <v>0</v>
      </c>
      <c r="Q953" t="n">
        <v>0</v>
      </c>
      <c r="R953" s="2" t="inlineStr"/>
    </row>
    <row r="954" ht="15" customHeight="1">
      <c r="A954" t="inlineStr">
        <is>
          <t>A 27431-2024</t>
        </is>
      </c>
      <c r="B954" s="1" t="n">
        <v>45474.3981712963</v>
      </c>
      <c r="C954" s="1" t="n">
        <v>45923</v>
      </c>
      <c r="D954" t="inlineStr">
        <is>
          <t>JÄMTLANDS LÄN</t>
        </is>
      </c>
      <c r="E954" t="inlineStr">
        <is>
          <t>KROKOM</t>
        </is>
      </c>
      <c r="G954" t="n">
        <v>4.2</v>
      </c>
      <c r="H954" t="n">
        <v>0</v>
      </c>
      <c r="I954" t="n">
        <v>0</v>
      </c>
      <c r="J954" t="n">
        <v>0</v>
      </c>
      <c r="K954" t="n">
        <v>0</v>
      </c>
      <c r="L954" t="n">
        <v>0</v>
      </c>
      <c r="M954" t="n">
        <v>0</v>
      </c>
      <c r="N954" t="n">
        <v>0</v>
      </c>
      <c r="O954" t="n">
        <v>0</v>
      </c>
      <c r="P954" t="n">
        <v>0</v>
      </c>
      <c r="Q954" t="n">
        <v>0</v>
      </c>
      <c r="R954" s="2" t="inlineStr"/>
    </row>
    <row r="955" ht="15" customHeight="1">
      <c r="A955" t="inlineStr">
        <is>
          <t>A 13722-2025</t>
        </is>
      </c>
      <c r="B955" s="1" t="n">
        <v>45737.36873842592</v>
      </c>
      <c r="C955" s="1" t="n">
        <v>45923</v>
      </c>
      <c r="D955" t="inlineStr">
        <is>
          <t>JÄMTLANDS LÄN</t>
        </is>
      </c>
      <c r="E955" t="inlineStr">
        <is>
          <t>KROKOM</t>
        </is>
      </c>
      <c r="G955" t="n">
        <v>1.6</v>
      </c>
      <c r="H955" t="n">
        <v>0</v>
      </c>
      <c r="I955" t="n">
        <v>0</v>
      </c>
      <c r="J955" t="n">
        <v>0</v>
      </c>
      <c r="K955" t="n">
        <v>0</v>
      </c>
      <c r="L955" t="n">
        <v>0</v>
      </c>
      <c r="M955" t="n">
        <v>0</v>
      </c>
      <c r="N955" t="n">
        <v>0</v>
      </c>
      <c r="O955" t="n">
        <v>0</v>
      </c>
      <c r="P955" t="n">
        <v>0</v>
      </c>
      <c r="Q955" t="n">
        <v>0</v>
      </c>
      <c r="R955" s="2" t="inlineStr"/>
    </row>
    <row r="956" ht="15" customHeight="1">
      <c r="A956" t="inlineStr">
        <is>
          <t>A 67730-2020</t>
        </is>
      </c>
      <c r="B956" s="1" t="n">
        <v>44179</v>
      </c>
      <c r="C956" s="1" t="n">
        <v>45923</v>
      </c>
      <c r="D956" t="inlineStr">
        <is>
          <t>JÄMTLANDS LÄN</t>
        </is>
      </c>
      <c r="E956" t="inlineStr">
        <is>
          <t>KROKOM</t>
        </is>
      </c>
      <c r="G956" t="n">
        <v>7.5</v>
      </c>
      <c r="H956" t="n">
        <v>0</v>
      </c>
      <c r="I956" t="n">
        <v>0</v>
      </c>
      <c r="J956" t="n">
        <v>0</v>
      </c>
      <c r="K956" t="n">
        <v>0</v>
      </c>
      <c r="L956" t="n">
        <v>0</v>
      </c>
      <c r="M956" t="n">
        <v>0</v>
      </c>
      <c r="N956" t="n">
        <v>0</v>
      </c>
      <c r="O956" t="n">
        <v>0</v>
      </c>
      <c r="P956" t="n">
        <v>0</v>
      </c>
      <c r="Q956" t="n">
        <v>0</v>
      </c>
      <c r="R956" s="2" t="inlineStr"/>
    </row>
    <row r="957" ht="15" customHeight="1">
      <c r="A957" t="inlineStr">
        <is>
          <t>A 10279-2025</t>
        </is>
      </c>
      <c r="B957" s="1" t="n">
        <v>45720.40268518519</v>
      </c>
      <c r="C957" s="1" t="n">
        <v>45923</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27003-2025</t>
        </is>
      </c>
      <c r="B958" s="1" t="n">
        <v>45811.54760416667</v>
      </c>
      <c r="C958" s="1" t="n">
        <v>45923</v>
      </c>
      <c r="D958" t="inlineStr">
        <is>
          <t>JÄMTLANDS LÄN</t>
        </is>
      </c>
      <c r="E958" t="inlineStr">
        <is>
          <t>KROKOM</t>
        </is>
      </c>
      <c r="G958" t="n">
        <v>2.8</v>
      </c>
      <c r="H958" t="n">
        <v>0</v>
      </c>
      <c r="I958" t="n">
        <v>0</v>
      </c>
      <c r="J958" t="n">
        <v>0</v>
      </c>
      <c r="K958" t="n">
        <v>0</v>
      </c>
      <c r="L958" t="n">
        <v>0</v>
      </c>
      <c r="M958" t="n">
        <v>0</v>
      </c>
      <c r="N958" t="n">
        <v>0</v>
      </c>
      <c r="O958" t="n">
        <v>0</v>
      </c>
      <c r="P958" t="n">
        <v>0</v>
      </c>
      <c r="Q958" t="n">
        <v>0</v>
      </c>
      <c r="R958" s="2" t="inlineStr"/>
    </row>
    <row r="959" ht="15" customHeight="1">
      <c r="A959" t="inlineStr">
        <is>
          <t>A 26619-2025</t>
        </is>
      </c>
      <c r="B959" s="1" t="n">
        <v>45810.31376157407</v>
      </c>
      <c r="C959" s="1" t="n">
        <v>45923</v>
      </c>
      <c r="D959" t="inlineStr">
        <is>
          <t>JÄMTLANDS LÄN</t>
        </is>
      </c>
      <c r="E959" t="inlineStr">
        <is>
          <t>KROKOM</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27153-2025</t>
        </is>
      </c>
      <c r="B960" s="1" t="n">
        <v>45812.32266203704</v>
      </c>
      <c r="C960" s="1" t="n">
        <v>45923</v>
      </c>
      <c r="D960" t="inlineStr">
        <is>
          <t>JÄMTLANDS LÄN</t>
        </is>
      </c>
      <c r="E960" t="inlineStr">
        <is>
          <t>KROKOM</t>
        </is>
      </c>
      <c r="G960" t="n">
        <v>15.8</v>
      </c>
      <c r="H960" t="n">
        <v>0</v>
      </c>
      <c r="I960" t="n">
        <v>0</v>
      </c>
      <c r="J960" t="n">
        <v>0</v>
      </c>
      <c r="K960" t="n">
        <v>0</v>
      </c>
      <c r="L960" t="n">
        <v>0</v>
      </c>
      <c r="M960" t="n">
        <v>0</v>
      </c>
      <c r="N960" t="n">
        <v>0</v>
      </c>
      <c r="O960" t="n">
        <v>0</v>
      </c>
      <c r="P960" t="n">
        <v>0</v>
      </c>
      <c r="Q960" t="n">
        <v>0</v>
      </c>
      <c r="R960" s="2" t="inlineStr"/>
    </row>
    <row r="961" ht="15" customHeight="1">
      <c r="A961" t="inlineStr">
        <is>
          <t>A 27104-2025</t>
        </is>
      </c>
      <c r="B961" s="1" t="n">
        <v>45811.69912037037</v>
      </c>
      <c r="C961" s="1" t="n">
        <v>45923</v>
      </c>
      <c r="D961" t="inlineStr">
        <is>
          <t>JÄMTLANDS LÄN</t>
        </is>
      </c>
      <c r="E961" t="inlineStr">
        <is>
          <t>KROKOM</t>
        </is>
      </c>
      <c r="G961" t="n">
        <v>14.4</v>
      </c>
      <c r="H961" t="n">
        <v>0</v>
      </c>
      <c r="I961" t="n">
        <v>0</v>
      </c>
      <c r="J961" t="n">
        <v>0</v>
      </c>
      <c r="K961" t="n">
        <v>0</v>
      </c>
      <c r="L961" t="n">
        <v>0</v>
      </c>
      <c r="M961" t="n">
        <v>0</v>
      </c>
      <c r="N961" t="n">
        <v>0</v>
      </c>
      <c r="O961" t="n">
        <v>0</v>
      </c>
      <c r="P961" t="n">
        <v>0</v>
      </c>
      <c r="Q961" t="n">
        <v>0</v>
      </c>
      <c r="R961" s="2" t="inlineStr"/>
    </row>
    <row r="962" ht="15" customHeight="1">
      <c r="A962" t="inlineStr">
        <is>
          <t>A 5533-2025</t>
        </is>
      </c>
      <c r="B962" s="1" t="n">
        <v>45693</v>
      </c>
      <c r="C962" s="1" t="n">
        <v>45923</v>
      </c>
      <c r="D962" t="inlineStr">
        <is>
          <t>JÄMTLANDS LÄN</t>
        </is>
      </c>
      <c r="E962" t="inlineStr">
        <is>
          <t>KROKOM</t>
        </is>
      </c>
      <c r="G962" t="n">
        <v>109</v>
      </c>
      <c r="H962" t="n">
        <v>0</v>
      </c>
      <c r="I962" t="n">
        <v>0</v>
      </c>
      <c r="J962" t="n">
        <v>0</v>
      </c>
      <c r="K962" t="n">
        <v>0</v>
      </c>
      <c r="L962" t="n">
        <v>0</v>
      </c>
      <c r="M962" t="n">
        <v>0</v>
      </c>
      <c r="N962" t="n">
        <v>0</v>
      </c>
      <c r="O962" t="n">
        <v>0</v>
      </c>
      <c r="P962" t="n">
        <v>0</v>
      </c>
      <c r="Q962" t="n">
        <v>0</v>
      </c>
      <c r="R962" s="2" t="inlineStr"/>
    </row>
    <row r="963" ht="15" customHeight="1">
      <c r="A963" t="inlineStr">
        <is>
          <t>A 40364-2023</t>
        </is>
      </c>
      <c r="B963" s="1" t="n">
        <v>45168</v>
      </c>
      <c r="C963" s="1" t="n">
        <v>45923</v>
      </c>
      <c r="D963" t="inlineStr">
        <is>
          <t>JÄMTLANDS LÄN</t>
        </is>
      </c>
      <c r="E963" t="inlineStr">
        <is>
          <t>KROKOM</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34278-2022</t>
        </is>
      </c>
      <c r="B964" s="1" t="n">
        <v>44792.27644675926</v>
      </c>
      <c r="C964" s="1" t="n">
        <v>45923</v>
      </c>
      <c r="D964" t="inlineStr">
        <is>
          <t>JÄMTLANDS LÄN</t>
        </is>
      </c>
      <c r="E964" t="inlineStr">
        <is>
          <t>KROKOM</t>
        </is>
      </c>
      <c r="G964" t="n">
        <v>19.5</v>
      </c>
      <c r="H964" t="n">
        <v>0</v>
      </c>
      <c r="I964" t="n">
        <v>0</v>
      </c>
      <c r="J964" t="n">
        <v>0</v>
      </c>
      <c r="K964" t="n">
        <v>0</v>
      </c>
      <c r="L964" t="n">
        <v>0</v>
      </c>
      <c r="M964" t="n">
        <v>0</v>
      </c>
      <c r="N964" t="n">
        <v>0</v>
      </c>
      <c r="O964" t="n">
        <v>0</v>
      </c>
      <c r="P964" t="n">
        <v>0</v>
      </c>
      <c r="Q964" t="n">
        <v>0</v>
      </c>
      <c r="R964" s="2" t="inlineStr"/>
    </row>
    <row r="965" ht="15" customHeight="1">
      <c r="A965" t="inlineStr">
        <is>
          <t>A 27522-2025</t>
        </is>
      </c>
      <c r="B965" s="1" t="n">
        <v>45813.44443287037</v>
      </c>
      <c r="C965" s="1" t="n">
        <v>45923</v>
      </c>
      <c r="D965" t="inlineStr">
        <is>
          <t>JÄMTLANDS LÄN</t>
        </is>
      </c>
      <c r="E965" t="inlineStr">
        <is>
          <t>KROKOM</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27547-2025</t>
        </is>
      </c>
      <c r="B966" s="1" t="n">
        <v>45813.46969907408</v>
      </c>
      <c r="C966" s="1" t="n">
        <v>45923</v>
      </c>
      <c r="D966" t="inlineStr">
        <is>
          <t>JÄMTLANDS LÄN</t>
        </is>
      </c>
      <c r="E966" t="inlineStr">
        <is>
          <t>KROKOM</t>
        </is>
      </c>
      <c r="G966" t="n">
        <v>3.1</v>
      </c>
      <c r="H966" t="n">
        <v>0</v>
      </c>
      <c r="I966" t="n">
        <v>0</v>
      </c>
      <c r="J966" t="n">
        <v>0</v>
      </c>
      <c r="K966" t="n">
        <v>0</v>
      </c>
      <c r="L966" t="n">
        <v>0</v>
      </c>
      <c r="M966" t="n">
        <v>0</v>
      </c>
      <c r="N966" t="n">
        <v>0</v>
      </c>
      <c r="O966" t="n">
        <v>0</v>
      </c>
      <c r="P966" t="n">
        <v>0</v>
      </c>
      <c r="Q966" t="n">
        <v>0</v>
      </c>
      <c r="R966" s="2" t="inlineStr"/>
    </row>
    <row r="967" ht="15" customHeight="1">
      <c r="A967" t="inlineStr">
        <is>
          <t>A 27833-2025</t>
        </is>
      </c>
      <c r="B967" s="1" t="n">
        <v>45814</v>
      </c>
      <c r="C967" s="1" t="n">
        <v>45923</v>
      </c>
      <c r="D967" t="inlineStr">
        <is>
          <t>JÄMTLANDS LÄN</t>
        </is>
      </c>
      <c r="E967" t="inlineStr">
        <is>
          <t>KROKOM</t>
        </is>
      </c>
      <c r="G967" t="n">
        <v>1.9</v>
      </c>
      <c r="H967" t="n">
        <v>0</v>
      </c>
      <c r="I967" t="n">
        <v>0</v>
      </c>
      <c r="J967" t="n">
        <v>0</v>
      </c>
      <c r="K967" t="n">
        <v>0</v>
      </c>
      <c r="L967" t="n">
        <v>0</v>
      </c>
      <c r="M967" t="n">
        <v>0</v>
      </c>
      <c r="N967" t="n">
        <v>0</v>
      </c>
      <c r="O967" t="n">
        <v>0</v>
      </c>
      <c r="P967" t="n">
        <v>0</v>
      </c>
      <c r="Q967" t="n">
        <v>0</v>
      </c>
      <c r="R967" s="2" t="inlineStr"/>
    </row>
    <row r="968" ht="15" customHeight="1">
      <c r="A968" t="inlineStr">
        <is>
          <t>A 27851-2025</t>
        </is>
      </c>
      <c r="B968" s="1" t="n">
        <v>45814</v>
      </c>
      <c r="C968" s="1" t="n">
        <v>45923</v>
      </c>
      <c r="D968" t="inlineStr">
        <is>
          <t>JÄMTLANDS LÄN</t>
        </is>
      </c>
      <c r="E968" t="inlineStr">
        <is>
          <t>KROKOM</t>
        </is>
      </c>
      <c r="G968" t="n">
        <v>13.9</v>
      </c>
      <c r="H968" t="n">
        <v>0</v>
      </c>
      <c r="I968" t="n">
        <v>0</v>
      </c>
      <c r="J968" t="n">
        <v>0</v>
      </c>
      <c r="K968" t="n">
        <v>0</v>
      </c>
      <c r="L968" t="n">
        <v>0</v>
      </c>
      <c r="M968" t="n">
        <v>0</v>
      </c>
      <c r="N968" t="n">
        <v>0</v>
      </c>
      <c r="O968" t="n">
        <v>0</v>
      </c>
      <c r="P968" t="n">
        <v>0</v>
      </c>
      <c r="Q968" t="n">
        <v>0</v>
      </c>
      <c r="R968" s="2" t="inlineStr"/>
    </row>
    <row r="969" ht="15" customHeight="1">
      <c r="A969" t="inlineStr">
        <is>
          <t>A 29238-2022</t>
        </is>
      </c>
      <c r="B969" s="1" t="n">
        <v>44750</v>
      </c>
      <c r="C969" s="1" t="n">
        <v>45923</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23512-2022</t>
        </is>
      </c>
      <c r="B970" s="1" t="n">
        <v>44721.39003472222</v>
      </c>
      <c r="C970" s="1" t="n">
        <v>45923</v>
      </c>
      <c r="D970" t="inlineStr">
        <is>
          <t>JÄMTLANDS LÄN</t>
        </is>
      </c>
      <c r="E970" t="inlineStr">
        <is>
          <t>KROKOM</t>
        </is>
      </c>
      <c r="F970" t="inlineStr">
        <is>
          <t>Övriga Aktiebolag</t>
        </is>
      </c>
      <c r="G970" t="n">
        <v>4.8</v>
      </c>
      <c r="H970" t="n">
        <v>0</v>
      </c>
      <c r="I970" t="n">
        <v>0</v>
      </c>
      <c r="J970" t="n">
        <v>0</v>
      </c>
      <c r="K970" t="n">
        <v>0</v>
      </c>
      <c r="L970" t="n">
        <v>0</v>
      </c>
      <c r="M970" t="n">
        <v>0</v>
      </c>
      <c r="N970" t="n">
        <v>0</v>
      </c>
      <c r="O970" t="n">
        <v>0</v>
      </c>
      <c r="P970" t="n">
        <v>0</v>
      </c>
      <c r="Q970" t="n">
        <v>0</v>
      </c>
      <c r="R970" s="2" t="inlineStr"/>
    </row>
    <row r="971" ht="15" customHeight="1">
      <c r="A971" t="inlineStr">
        <is>
          <t>A 27703-2025</t>
        </is>
      </c>
      <c r="B971" s="1" t="n">
        <v>45813.68361111111</v>
      </c>
      <c r="C971" s="1" t="n">
        <v>45923</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24441-2022</t>
        </is>
      </c>
      <c r="B972" s="1" t="n">
        <v>44726</v>
      </c>
      <c r="C972" s="1" t="n">
        <v>45923</v>
      </c>
      <c r="D972" t="inlineStr">
        <is>
          <t>JÄMTLANDS LÄN</t>
        </is>
      </c>
      <c r="E972" t="inlineStr">
        <is>
          <t>KROKOM</t>
        </is>
      </c>
      <c r="G972" t="n">
        <v>12.1</v>
      </c>
      <c r="H972" t="n">
        <v>0</v>
      </c>
      <c r="I972" t="n">
        <v>0</v>
      </c>
      <c r="J972" t="n">
        <v>0</v>
      </c>
      <c r="K972" t="n">
        <v>0</v>
      </c>
      <c r="L972" t="n">
        <v>0</v>
      </c>
      <c r="M972" t="n">
        <v>0</v>
      </c>
      <c r="N972" t="n">
        <v>0</v>
      </c>
      <c r="O972" t="n">
        <v>0</v>
      </c>
      <c r="P972" t="n">
        <v>0</v>
      </c>
      <c r="Q972" t="n">
        <v>0</v>
      </c>
      <c r="R972" s="2" t="inlineStr"/>
    </row>
    <row r="973" ht="15" customHeight="1">
      <c r="A973" t="inlineStr">
        <is>
          <t>A 22236-2025</t>
        </is>
      </c>
      <c r="B973" s="1" t="n">
        <v>45785.67431712963</v>
      </c>
      <c r="C973" s="1" t="n">
        <v>45923</v>
      </c>
      <c r="D973" t="inlineStr">
        <is>
          <t>JÄMTLANDS LÄN</t>
        </is>
      </c>
      <c r="E973" t="inlineStr">
        <is>
          <t>KROKOM</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8695-2025</t>
        </is>
      </c>
      <c r="B974" s="1" t="n">
        <v>45709</v>
      </c>
      <c r="C974" s="1" t="n">
        <v>45923</v>
      </c>
      <c r="D974" t="inlineStr">
        <is>
          <t>JÄMTLANDS LÄN</t>
        </is>
      </c>
      <c r="E974" t="inlineStr">
        <is>
          <t>KROKOM</t>
        </is>
      </c>
      <c r="G974" t="n">
        <v>21.4</v>
      </c>
      <c r="H974" t="n">
        <v>0</v>
      </c>
      <c r="I974" t="n">
        <v>0</v>
      </c>
      <c r="J974" t="n">
        <v>0</v>
      </c>
      <c r="K974" t="n">
        <v>0</v>
      </c>
      <c r="L974" t="n">
        <v>0</v>
      </c>
      <c r="M974" t="n">
        <v>0</v>
      </c>
      <c r="N974" t="n">
        <v>0</v>
      </c>
      <c r="O974" t="n">
        <v>0</v>
      </c>
      <c r="P974" t="n">
        <v>0</v>
      </c>
      <c r="Q974" t="n">
        <v>0</v>
      </c>
      <c r="R974" s="2" t="inlineStr"/>
    </row>
    <row r="975" ht="15" customHeight="1">
      <c r="A975" t="inlineStr">
        <is>
          <t>A 28155-2025</t>
        </is>
      </c>
      <c r="B975" s="1" t="n">
        <v>45818.36246527778</v>
      </c>
      <c r="C975" s="1" t="n">
        <v>45923</v>
      </c>
      <c r="D975" t="inlineStr">
        <is>
          <t>JÄMTLANDS LÄN</t>
        </is>
      </c>
      <c r="E975" t="inlineStr">
        <is>
          <t>KROKOM</t>
        </is>
      </c>
      <c r="F975" t="inlineStr">
        <is>
          <t>Kyrkan</t>
        </is>
      </c>
      <c r="G975" t="n">
        <v>6.1</v>
      </c>
      <c r="H975" t="n">
        <v>0</v>
      </c>
      <c r="I975" t="n">
        <v>0</v>
      </c>
      <c r="J975" t="n">
        <v>0</v>
      </c>
      <c r="K975" t="n">
        <v>0</v>
      </c>
      <c r="L975" t="n">
        <v>0</v>
      </c>
      <c r="M975" t="n">
        <v>0</v>
      </c>
      <c r="N975" t="n">
        <v>0</v>
      </c>
      <c r="O975" t="n">
        <v>0</v>
      </c>
      <c r="P975" t="n">
        <v>0</v>
      </c>
      <c r="Q975" t="n">
        <v>0</v>
      </c>
      <c r="R975" s="2" t="inlineStr"/>
    </row>
    <row r="976" ht="15" customHeight="1">
      <c r="A976" t="inlineStr">
        <is>
          <t>A 28130-2025</t>
        </is>
      </c>
      <c r="B976" s="1" t="n">
        <v>45818.3293287037</v>
      </c>
      <c r="C976" s="1" t="n">
        <v>45923</v>
      </c>
      <c r="D976" t="inlineStr">
        <is>
          <t>JÄMTLANDS LÄN</t>
        </is>
      </c>
      <c r="E976" t="inlineStr">
        <is>
          <t>KROKOM</t>
        </is>
      </c>
      <c r="F976" t="inlineStr">
        <is>
          <t>Kyrkan</t>
        </is>
      </c>
      <c r="G976" t="n">
        <v>10.2</v>
      </c>
      <c r="H976" t="n">
        <v>0</v>
      </c>
      <c r="I976" t="n">
        <v>0</v>
      </c>
      <c r="J976" t="n">
        <v>0</v>
      </c>
      <c r="K976" t="n">
        <v>0</v>
      </c>
      <c r="L976" t="n">
        <v>0</v>
      </c>
      <c r="M976" t="n">
        <v>0</v>
      </c>
      <c r="N976" t="n">
        <v>0</v>
      </c>
      <c r="O976" t="n">
        <v>0</v>
      </c>
      <c r="P976" t="n">
        <v>0</v>
      </c>
      <c r="Q976" t="n">
        <v>0</v>
      </c>
      <c r="R976" s="2" t="inlineStr"/>
    </row>
    <row r="977" ht="15" customHeight="1">
      <c r="A977" t="inlineStr">
        <is>
          <t>A 27973-2025</t>
        </is>
      </c>
      <c r="B977" s="1" t="n">
        <v>45817.56761574074</v>
      </c>
      <c r="C977" s="1" t="n">
        <v>45923</v>
      </c>
      <c r="D977" t="inlineStr">
        <is>
          <t>JÄMTLANDS LÄN</t>
        </is>
      </c>
      <c r="E977" t="inlineStr">
        <is>
          <t>KROKOM</t>
        </is>
      </c>
      <c r="G977" t="n">
        <v>1.4</v>
      </c>
      <c r="H977" t="n">
        <v>0</v>
      </c>
      <c r="I977" t="n">
        <v>0</v>
      </c>
      <c r="J977" t="n">
        <v>0</v>
      </c>
      <c r="K977" t="n">
        <v>0</v>
      </c>
      <c r="L977" t="n">
        <v>0</v>
      </c>
      <c r="M977" t="n">
        <v>0</v>
      </c>
      <c r="N977" t="n">
        <v>0</v>
      </c>
      <c r="O977" t="n">
        <v>0</v>
      </c>
      <c r="P977" t="n">
        <v>0</v>
      </c>
      <c r="Q977" t="n">
        <v>0</v>
      </c>
      <c r="R977" s="2" t="inlineStr"/>
    </row>
    <row r="978" ht="15" customHeight="1">
      <c r="A978" t="inlineStr">
        <is>
          <t>A 27740-2025</t>
        </is>
      </c>
      <c r="B978" s="1" t="n">
        <v>45815.50844907408</v>
      </c>
      <c r="C978" s="1" t="n">
        <v>45923</v>
      </c>
      <c r="D978" t="inlineStr">
        <is>
          <t>JÄMTLANDS LÄN</t>
        </is>
      </c>
      <c r="E978" t="inlineStr">
        <is>
          <t>KROKOM</t>
        </is>
      </c>
      <c r="G978" t="n">
        <v>9.1</v>
      </c>
      <c r="H978" t="n">
        <v>0</v>
      </c>
      <c r="I978" t="n">
        <v>0</v>
      </c>
      <c r="J978" t="n">
        <v>0</v>
      </c>
      <c r="K978" t="n">
        <v>0</v>
      </c>
      <c r="L978" t="n">
        <v>0</v>
      </c>
      <c r="M978" t="n">
        <v>0</v>
      </c>
      <c r="N978" t="n">
        <v>0</v>
      </c>
      <c r="O978" t="n">
        <v>0</v>
      </c>
      <c r="P978" t="n">
        <v>0</v>
      </c>
      <c r="Q978" t="n">
        <v>0</v>
      </c>
      <c r="R978" s="2" t="inlineStr"/>
    </row>
    <row r="979" ht="15" customHeight="1">
      <c r="A979" t="inlineStr">
        <is>
          <t>A 48769-2022</t>
        </is>
      </c>
      <c r="B979" s="1" t="n">
        <v>44855</v>
      </c>
      <c r="C979" s="1" t="n">
        <v>45923</v>
      </c>
      <c r="D979" t="inlineStr">
        <is>
          <t>JÄMTLANDS LÄN</t>
        </is>
      </c>
      <c r="E979" t="inlineStr">
        <is>
          <t>KROKOM</t>
        </is>
      </c>
      <c r="G979" t="n">
        <v>7.5</v>
      </c>
      <c r="H979" t="n">
        <v>0</v>
      </c>
      <c r="I979" t="n">
        <v>0</v>
      </c>
      <c r="J979" t="n">
        <v>0</v>
      </c>
      <c r="K979" t="n">
        <v>0</v>
      </c>
      <c r="L979" t="n">
        <v>0</v>
      </c>
      <c r="M979" t="n">
        <v>0</v>
      </c>
      <c r="N979" t="n">
        <v>0</v>
      </c>
      <c r="O979" t="n">
        <v>0</v>
      </c>
      <c r="P979" t="n">
        <v>0</v>
      </c>
      <c r="Q979" t="n">
        <v>0</v>
      </c>
      <c r="R979" s="2" t="inlineStr"/>
    </row>
    <row r="980" ht="15" customHeight="1">
      <c r="A980" t="inlineStr">
        <is>
          <t>A 48777-2022</t>
        </is>
      </c>
      <c r="B980" s="1" t="n">
        <v>44855</v>
      </c>
      <c r="C980" s="1" t="n">
        <v>45923</v>
      </c>
      <c r="D980" t="inlineStr">
        <is>
          <t>JÄMTLANDS LÄN</t>
        </is>
      </c>
      <c r="E980" t="inlineStr">
        <is>
          <t>KROKOM</t>
        </is>
      </c>
      <c r="G980" t="n">
        <v>5.3</v>
      </c>
      <c r="H980" t="n">
        <v>0</v>
      </c>
      <c r="I980" t="n">
        <v>0</v>
      </c>
      <c r="J980" t="n">
        <v>0</v>
      </c>
      <c r="K980" t="n">
        <v>0</v>
      </c>
      <c r="L980" t="n">
        <v>0</v>
      </c>
      <c r="M980" t="n">
        <v>0</v>
      </c>
      <c r="N980" t="n">
        <v>0</v>
      </c>
      <c r="O980" t="n">
        <v>0</v>
      </c>
      <c r="P980" t="n">
        <v>0</v>
      </c>
      <c r="Q980" t="n">
        <v>0</v>
      </c>
      <c r="R980" s="2" t="inlineStr"/>
    </row>
    <row r="981" ht="15" customHeight="1">
      <c r="A981" t="inlineStr">
        <is>
          <t>A 54491-2022</t>
        </is>
      </c>
      <c r="B981" s="1" t="n">
        <v>44880</v>
      </c>
      <c r="C981" s="1" t="n">
        <v>45923</v>
      </c>
      <c r="D981" t="inlineStr">
        <is>
          <t>JÄMTLANDS LÄN</t>
        </is>
      </c>
      <c r="E981" t="inlineStr">
        <is>
          <t>KROKOM</t>
        </is>
      </c>
      <c r="G981" t="n">
        <v>0.2</v>
      </c>
      <c r="H981" t="n">
        <v>0</v>
      </c>
      <c r="I981" t="n">
        <v>0</v>
      </c>
      <c r="J981" t="n">
        <v>0</v>
      </c>
      <c r="K981" t="n">
        <v>0</v>
      </c>
      <c r="L981" t="n">
        <v>0</v>
      </c>
      <c r="M981" t="n">
        <v>0</v>
      </c>
      <c r="N981" t="n">
        <v>0</v>
      </c>
      <c r="O981" t="n">
        <v>0</v>
      </c>
      <c r="P981" t="n">
        <v>0</v>
      </c>
      <c r="Q981" t="n">
        <v>0</v>
      </c>
      <c r="R981" s="2" t="inlineStr"/>
    </row>
    <row r="982" ht="15" customHeight="1">
      <c r="A982" t="inlineStr">
        <is>
          <t>A 28137-2025</t>
        </is>
      </c>
      <c r="B982" s="1" t="n">
        <v>45818.34474537037</v>
      </c>
      <c r="C982" s="1" t="n">
        <v>45923</v>
      </c>
      <c r="D982" t="inlineStr">
        <is>
          <t>JÄMTLANDS LÄN</t>
        </is>
      </c>
      <c r="E982" t="inlineStr">
        <is>
          <t>KROKOM</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27178-2022</t>
        </is>
      </c>
      <c r="B983" s="1" t="n">
        <v>44741</v>
      </c>
      <c r="C983" s="1" t="n">
        <v>45923</v>
      </c>
      <c r="D983" t="inlineStr">
        <is>
          <t>JÄMTLANDS LÄN</t>
        </is>
      </c>
      <c r="E983" t="inlineStr">
        <is>
          <t>KROKOM</t>
        </is>
      </c>
      <c r="G983" t="n">
        <v>1.5</v>
      </c>
      <c r="H983" t="n">
        <v>0</v>
      </c>
      <c r="I983" t="n">
        <v>0</v>
      </c>
      <c r="J983" t="n">
        <v>0</v>
      </c>
      <c r="K983" t="n">
        <v>0</v>
      </c>
      <c r="L983" t="n">
        <v>0</v>
      </c>
      <c r="M983" t="n">
        <v>0</v>
      </c>
      <c r="N983" t="n">
        <v>0</v>
      </c>
      <c r="O983" t="n">
        <v>0</v>
      </c>
      <c r="P983" t="n">
        <v>0</v>
      </c>
      <c r="Q983" t="n">
        <v>0</v>
      </c>
      <c r="R983" s="2" t="inlineStr"/>
    </row>
    <row r="984" ht="15" customHeight="1">
      <c r="A984" t="inlineStr">
        <is>
          <t>A 28136-2025</t>
        </is>
      </c>
      <c r="B984" s="1" t="n">
        <v>45818.34473379629</v>
      </c>
      <c r="C984" s="1" t="n">
        <v>45923</v>
      </c>
      <c r="D984" t="inlineStr">
        <is>
          <t>JÄMTLANDS LÄN</t>
        </is>
      </c>
      <c r="E984" t="inlineStr">
        <is>
          <t>KROKOM</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16129-2025</t>
        </is>
      </c>
      <c r="B985" s="1" t="n">
        <v>45750.42650462963</v>
      </c>
      <c r="C985" s="1" t="n">
        <v>45923</v>
      </c>
      <c r="D985" t="inlineStr">
        <is>
          <t>JÄMTLANDS LÄN</t>
        </is>
      </c>
      <c r="E985" t="inlineStr">
        <is>
          <t>KROKOM</t>
        </is>
      </c>
      <c r="G985" t="n">
        <v>3</v>
      </c>
      <c r="H985" t="n">
        <v>0</v>
      </c>
      <c r="I985" t="n">
        <v>0</v>
      </c>
      <c r="J985" t="n">
        <v>0</v>
      </c>
      <c r="K985" t="n">
        <v>0</v>
      </c>
      <c r="L985" t="n">
        <v>0</v>
      </c>
      <c r="M985" t="n">
        <v>0</v>
      </c>
      <c r="N985" t="n">
        <v>0</v>
      </c>
      <c r="O985" t="n">
        <v>0</v>
      </c>
      <c r="P985" t="n">
        <v>0</v>
      </c>
      <c r="Q985" t="n">
        <v>0</v>
      </c>
      <c r="R985" s="2" t="inlineStr"/>
    </row>
    <row r="986" ht="15" customHeight="1">
      <c r="A986" t="inlineStr">
        <is>
          <t>A 24402-2022</t>
        </is>
      </c>
      <c r="B986" s="1" t="n">
        <v>44726</v>
      </c>
      <c r="C986" s="1" t="n">
        <v>45923</v>
      </c>
      <c r="D986" t="inlineStr">
        <is>
          <t>JÄMTLANDS LÄN</t>
        </is>
      </c>
      <c r="E986" t="inlineStr">
        <is>
          <t>KROKOM</t>
        </is>
      </c>
      <c r="G986" t="n">
        <v>13.3</v>
      </c>
      <c r="H986" t="n">
        <v>0</v>
      </c>
      <c r="I986" t="n">
        <v>0</v>
      </c>
      <c r="J986" t="n">
        <v>0</v>
      </c>
      <c r="K986" t="n">
        <v>0</v>
      </c>
      <c r="L986" t="n">
        <v>0</v>
      </c>
      <c r="M986" t="n">
        <v>0</v>
      </c>
      <c r="N986" t="n">
        <v>0</v>
      </c>
      <c r="O986" t="n">
        <v>0</v>
      </c>
      <c r="P986" t="n">
        <v>0</v>
      </c>
      <c r="Q986" t="n">
        <v>0</v>
      </c>
      <c r="R986" s="2" t="inlineStr"/>
    </row>
    <row r="987" ht="15" customHeight="1">
      <c r="A987" t="inlineStr">
        <is>
          <t>A 773-2024</t>
        </is>
      </c>
      <c r="B987" s="1" t="n">
        <v>45300</v>
      </c>
      <c r="C987" s="1" t="n">
        <v>45923</v>
      </c>
      <c r="D987" t="inlineStr">
        <is>
          <t>JÄMTLANDS LÄN</t>
        </is>
      </c>
      <c r="E987" t="inlineStr">
        <is>
          <t>KROKOM</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28132-2025</t>
        </is>
      </c>
      <c r="B988" s="1" t="n">
        <v>45818.33532407408</v>
      </c>
      <c r="C988" s="1" t="n">
        <v>45923</v>
      </c>
      <c r="D988" t="inlineStr">
        <is>
          <t>JÄMTLANDS LÄN</t>
        </is>
      </c>
      <c r="E988" t="inlineStr">
        <is>
          <t>KROKOM</t>
        </is>
      </c>
      <c r="F988" t="inlineStr">
        <is>
          <t>Kyrkan</t>
        </is>
      </c>
      <c r="G988" t="n">
        <v>4.5</v>
      </c>
      <c r="H988" t="n">
        <v>0</v>
      </c>
      <c r="I988" t="n">
        <v>0</v>
      </c>
      <c r="J988" t="n">
        <v>0</v>
      </c>
      <c r="K988" t="n">
        <v>0</v>
      </c>
      <c r="L988" t="n">
        <v>0</v>
      </c>
      <c r="M988" t="n">
        <v>0</v>
      </c>
      <c r="N988" t="n">
        <v>0</v>
      </c>
      <c r="O988" t="n">
        <v>0</v>
      </c>
      <c r="P988" t="n">
        <v>0</v>
      </c>
      <c r="Q988" t="n">
        <v>0</v>
      </c>
      <c r="R988" s="2" t="inlineStr"/>
    </row>
    <row r="989" ht="15" customHeight="1">
      <c r="A989" t="inlineStr">
        <is>
          <t>A 28147-2025</t>
        </is>
      </c>
      <c r="B989" s="1" t="n">
        <v>45818.34833333334</v>
      </c>
      <c r="C989" s="1" t="n">
        <v>45923</v>
      </c>
      <c r="D989" t="inlineStr">
        <is>
          <t>JÄMTLANDS LÄN</t>
        </is>
      </c>
      <c r="E989" t="inlineStr">
        <is>
          <t>KROKOM</t>
        </is>
      </c>
      <c r="F989" t="inlineStr">
        <is>
          <t>Kyrkan</t>
        </is>
      </c>
      <c r="G989" t="n">
        <v>10.8</v>
      </c>
      <c r="H989" t="n">
        <v>0</v>
      </c>
      <c r="I989" t="n">
        <v>0</v>
      </c>
      <c r="J989" t="n">
        <v>0</v>
      </c>
      <c r="K989" t="n">
        <v>0</v>
      </c>
      <c r="L989" t="n">
        <v>0</v>
      </c>
      <c r="M989" t="n">
        <v>0</v>
      </c>
      <c r="N989" t="n">
        <v>0</v>
      </c>
      <c r="O989" t="n">
        <v>0</v>
      </c>
      <c r="P989" t="n">
        <v>0</v>
      </c>
      <c r="Q989" t="n">
        <v>0</v>
      </c>
      <c r="R989" s="2" t="inlineStr"/>
    </row>
    <row r="990" ht="15" customHeight="1">
      <c r="A990" t="inlineStr">
        <is>
          <t>A 28162-2025</t>
        </is>
      </c>
      <c r="B990" s="1" t="n">
        <v>45818.37056712963</v>
      </c>
      <c r="C990" s="1" t="n">
        <v>45923</v>
      </c>
      <c r="D990" t="inlineStr">
        <is>
          <t>JÄMTLANDS LÄN</t>
        </is>
      </c>
      <c r="E990" t="inlineStr">
        <is>
          <t>KROKOM</t>
        </is>
      </c>
      <c r="F990" t="inlineStr">
        <is>
          <t>Kyrkan</t>
        </is>
      </c>
      <c r="G990" t="n">
        <v>4</v>
      </c>
      <c r="H990" t="n">
        <v>0</v>
      </c>
      <c r="I990" t="n">
        <v>0</v>
      </c>
      <c r="J990" t="n">
        <v>0</v>
      </c>
      <c r="K990" t="n">
        <v>0</v>
      </c>
      <c r="L990" t="n">
        <v>0</v>
      </c>
      <c r="M990" t="n">
        <v>0</v>
      </c>
      <c r="N990" t="n">
        <v>0</v>
      </c>
      <c r="O990" t="n">
        <v>0</v>
      </c>
      <c r="P990" t="n">
        <v>0</v>
      </c>
      <c r="Q990" t="n">
        <v>0</v>
      </c>
      <c r="R990" s="2" t="inlineStr"/>
    </row>
    <row r="991" ht="15" customHeight="1">
      <c r="A991" t="inlineStr">
        <is>
          <t>A 8880-2025</t>
        </is>
      </c>
      <c r="B991" s="1" t="n">
        <v>45713.38028935185</v>
      </c>
      <c r="C991" s="1" t="n">
        <v>45923</v>
      </c>
      <c r="D991" t="inlineStr">
        <is>
          <t>JÄMTLANDS LÄN</t>
        </is>
      </c>
      <c r="E991" t="inlineStr">
        <is>
          <t>KROKOM</t>
        </is>
      </c>
      <c r="F991" t="inlineStr">
        <is>
          <t>Övriga Aktiebolag</t>
        </is>
      </c>
      <c r="G991" t="n">
        <v>5.1</v>
      </c>
      <c r="H991" t="n">
        <v>0</v>
      </c>
      <c r="I991" t="n">
        <v>0</v>
      </c>
      <c r="J991" t="n">
        <v>0</v>
      </c>
      <c r="K991" t="n">
        <v>0</v>
      </c>
      <c r="L991" t="n">
        <v>0</v>
      </c>
      <c r="M991" t="n">
        <v>0</v>
      </c>
      <c r="N991" t="n">
        <v>0</v>
      </c>
      <c r="O991" t="n">
        <v>0</v>
      </c>
      <c r="P991" t="n">
        <v>0</v>
      </c>
      <c r="Q991" t="n">
        <v>0</v>
      </c>
      <c r="R991" s="2" t="inlineStr"/>
    </row>
    <row r="992" ht="15" customHeight="1">
      <c r="A992" t="inlineStr">
        <is>
          <t>A 28843-2025</t>
        </is>
      </c>
      <c r="B992" s="1" t="n">
        <v>45820</v>
      </c>
      <c r="C992" s="1" t="n">
        <v>45923</v>
      </c>
      <c r="D992" t="inlineStr">
        <is>
          <t>JÄMTLANDS LÄN</t>
        </is>
      </c>
      <c r="E992" t="inlineStr">
        <is>
          <t>KROKOM</t>
        </is>
      </c>
      <c r="G992" t="n">
        <v>1.2</v>
      </c>
      <c r="H992" t="n">
        <v>0</v>
      </c>
      <c r="I992" t="n">
        <v>0</v>
      </c>
      <c r="J992" t="n">
        <v>0</v>
      </c>
      <c r="K992" t="n">
        <v>0</v>
      </c>
      <c r="L992" t="n">
        <v>0</v>
      </c>
      <c r="M992" t="n">
        <v>0</v>
      </c>
      <c r="N992" t="n">
        <v>0</v>
      </c>
      <c r="O992" t="n">
        <v>0</v>
      </c>
      <c r="P992" t="n">
        <v>0</v>
      </c>
      <c r="Q992" t="n">
        <v>0</v>
      </c>
      <c r="R992" s="2" t="inlineStr"/>
    </row>
    <row r="993" ht="15" customHeight="1">
      <c r="A993" t="inlineStr">
        <is>
          <t>A 6804-2025</t>
        </is>
      </c>
      <c r="B993" s="1" t="n">
        <v>45700.6833912037</v>
      </c>
      <c r="C993" s="1" t="n">
        <v>45923</v>
      </c>
      <c r="D993" t="inlineStr">
        <is>
          <t>JÄMTLANDS LÄN</t>
        </is>
      </c>
      <c r="E993" t="inlineStr">
        <is>
          <t>KROKOM</t>
        </is>
      </c>
      <c r="G993" t="n">
        <v>2.2</v>
      </c>
      <c r="H993" t="n">
        <v>0</v>
      </c>
      <c r="I993" t="n">
        <v>0</v>
      </c>
      <c r="J993" t="n">
        <v>0</v>
      </c>
      <c r="K993" t="n">
        <v>0</v>
      </c>
      <c r="L993" t="n">
        <v>0</v>
      </c>
      <c r="M993" t="n">
        <v>0</v>
      </c>
      <c r="N993" t="n">
        <v>0</v>
      </c>
      <c r="O993" t="n">
        <v>0</v>
      </c>
      <c r="P993" t="n">
        <v>0</v>
      </c>
      <c r="Q993" t="n">
        <v>0</v>
      </c>
      <c r="R993" s="2" t="inlineStr"/>
    </row>
    <row r="994" ht="15" customHeight="1">
      <c r="A994" t="inlineStr">
        <is>
          <t>A 15231-2025</t>
        </is>
      </c>
      <c r="B994" s="1" t="n">
        <v>45744.59894675926</v>
      </c>
      <c r="C994" s="1" t="n">
        <v>45923</v>
      </c>
      <c r="D994" t="inlineStr">
        <is>
          <t>JÄMTLANDS LÄN</t>
        </is>
      </c>
      <c r="E994" t="inlineStr">
        <is>
          <t>KROKOM</t>
        </is>
      </c>
      <c r="F994" t="inlineStr">
        <is>
          <t>Övriga Aktiebolag</t>
        </is>
      </c>
      <c r="G994" t="n">
        <v>11.8</v>
      </c>
      <c r="H994" t="n">
        <v>0</v>
      </c>
      <c r="I994" t="n">
        <v>0</v>
      </c>
      <c r="J994" t="n">
        <v>0</v>
      </c>
      <c r="K994" t="n">
        <v>0</v>
      </c>
      <c r="L994" t="n">
        <v>0</v>
      </c>
      <c r="M994" t="n">
        <v>0</v>
      </c>
      <c r="N994" t="n">
        <v>0</v>
      </c>
      <c r="O994" t="n">
        <v>0</v>
      </c>
      <c r="P994" t="n">
        <v>0</v>
      </c>
      <c r="Q994" t="n">
        <v>0</v>
      </c>
      <c r="R994" s="2" t="inlineStr"/>
    </row>
    <row r="995" ht="15" customHeight="1">
      <c r="A995" t="inlineStr">
        <is>
          <t>A 64174-2023</t>
        </is>
      </c>
      <c r="B995" s="1" t="n">
        <v>45279</v>
      </c>
      <c r="C995" s="1" t="n">
        <v>45923</v>
      </c>
      <c r="D995" t="inlineStr">
        <is>
          <t>JÄMTLANDS LÄN</t>
        </is>
      </c>
      <c r="E995" t="inlineStr">
        <is>
          <t>KROKOM</t>
        </is>
      </c>
      <c r="G995" t="n">
        <v>1.9</v>
      </c>
      <c r="H995" t="n">
        <v>0</v>
      </c>
      <c r="I995" t="n">
        <v>0</v>
      </c>
      <c r="J995" t="n">
        <v>0</v>
      </c>
      <c r="K995" t="n">
        <v>0</v>
      </c>
      <c r="L995" t="n">
        <v>0</v>
      </c>
      <c r="M995" t="n">
        <v>0</v>
      </c>
      <c r="N995" t="n">
        <v>0</v>
      </c>
      <c r="O995" t="n">
        <v>0</v>
      </c>
      <c r="P995" t="n">
        <v>0</v>
      </c>
      <c r="Q995" t="n">
        <v>0</v>
      </c>
      <c r="R995" s="2" t="inlineStr"/>
    </row>
    <row r="996" ht="15" customHeight="1">
      <c r="A996" t="inlineStr">
        <is>
          <t>A 55660-2023</t>
        </is>
      </c>
      <c r="B996" s="1" t="n">
        <v>45238</v>
      </c>
      <c r="C996" s="1" t="n">
        <v>45923</v>
      </c>
      <c r="D996" t="inlineStr">
        <is>
          <t>JÄMTLANDS LÄN</t>
        </is>
      </c>
      <c r="E996" t="inlineStr">
        <is>
          <t>KROKOM</t>
        </is>
      </c>
      <c r="F996" t="inlineStr">
        <is>
          <t>SCA</t>
        </is>
      </c>
      <c r="G996" t="n">
        <v>7.7</v>
      </c>
      <c r="H996" t="n">
        <v>0</v>
      </c>
      <c r="I996" t="n">
        <v>0</v>
      </c>
      <c r="J996" t="n">
        <v>0</v>
      </c>
      <c r="K996" t="n">
        <v>0</v>
      </c>
      <c r="L996" t="n">
        <v>0</v>
      </c>
      <c r="M996" t="n">
        <v>0</v>
      </c>
      <c r="N996" t="n">
        <v>0</v>
      </c>
      <c r="O996" t="n">
        <v>0</v>
      </c>
      <c r="P996" t="n">
        <v>0</v>
      </c>
      <c r="Q996" t="n">
        <v>0</v>
      </c>
      <c r="R996" s="2" t="inlineStr"/>
    </row>
    <row r="997" ht="15" customHeight="1">
      <c r="A997" t="inlineStr">
        <is>
          <t>A 59973-2023</t>
        </is>
      </c>
      <c r="B997" s="1" t="n">
        <v>45257</v>
      </c>
      <c r="C997" s="1" t="n">
        <v>45923</v>
      </c>
      <c r="D997" t="inlineStr">
        <is>
          <t>JÄMTLANDS LÄN</t>
        </is>
      </c>
      <c r="E997" t="inlineStr">
        <is>
          <t>KROKOM</t>
        </is>
      </c>
      <c r="G997" t="n">
        <v>2.1</v>
      </c>
      <c r="H997" t="n">
        <v>0</v>
      </c>
      <c r="I997" t="n">
        <v>0</v>
      </c>
      <c r="J997" t="n">
        <v>0</v>
      </c>
      <c r="K997" t="n">
        <v>0</v>
      </c>
      <c r="L997" t="n">
        <v>0</v>
      </c>
      <c r="M997" t="n">
        <v>0</v>
      </c>
      <c r="N997" t="n">
        <v>0</v>
      </c>
      <c r="O997" t="n">
        <v>0</v>
      </c>
      <c r="P997" t="n">
        <v>0</v>
      </c>
      <c r="Q997" t="n">
        <v>0</v>
      </c>
      <c r="R997" s="2" t="inlineStr"/>
    </row>
    <row r="998" ht="15" customHeight="1">
      <c r="A998" t="inlineStr">
        <is>
          <t>A 57856-2023</t>
        </is>
      </c>
      <c r="B998" s="1" t="n">
        <v>45247</v>
      </c>
      <c r="C998" s="1" t="n">
        <v>45923</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9022-2025</t>
        </is>
      </c>
      <c r="B999" s="1" t="n">
        <v>45713.59623842593</v>
      </c>
      <c r="C999" s="1" t="n">
        <v>45923</v>
      </c>
      <c r="D999" t="inlineStr">
        <is>
          <t>JÄMTLANDS LÄN</t>
        </is>
      </c>
      <c r="E999" t="inlineStr">
        <is>
          <t>KROKOM</t>
        </is>
      </c>
      <c r="F999" t="inlineStr">
        <is>
          <t>Övriga Aktiebolag</t>
        </is>
      </c>
      <c r="G999" t="n">
        <v>29.9</v>
      </c>
      <c r="H999" t="n">
        <v>0</v>
      </c>
      <c r="I999" t="n">
        <v>0</v>
      </c>
      <c r="J999" t="n">
        <v>0</v>
      </c>
      <c r="K999" t="n">
        <v>0</v>
      </c>
      <c r="L999" t="n">
        <v>0</v>
      </c>
      <c r="M999" t="n">
        <v>0</v>
      </c>
      <c r="N999" t="n">
        <v>0</v>
      </c>
      <c r="O999" t="n">
        <v>0</v>
      </c>
      <c r="P999" t="n">
        <v>0</v>
      </c>
      <c r="Q999" t="n">
        <v>0</v>
      </c>
      <c r="R999" s="2" t="inlineStr"/>
    </row>
    <row r="1000" ht="15" customHeight="1">
      <c r="A1000" t="inlineStr">
        <is>
          <t>A 30160-2022</t>
        </is>
      </c>
      <c r="B1000" s="1" t="n">
        <v>44757</v>
      </c>
      <c r="C1000" s="1" t="n">
        <v>45923</v>
      </c>
      <c r="D1000" t="inlineStr">
        <is>
          <t>JÄMTLANDS LÄN</t>
        </is>
      </c>
      <c r="E1000" t="inlineStr">
        <is>
          <t>KROKOM</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1852-2025</t>
        </is>
      </c>
      <c r="B1001" s="1" t="n">
        <v>45671.59114583334</v>
      </c>
      <c r="C1001" s="1" t="n">
        <v>45923</v>
      </c>
      <c r="D1001" t="inlineStr">
        <is>
          <t>JÄMTLANDS LÄN</t>
        </is>
      </c>
      <c r="E1001" t="inlineStr">
        <is>
          <t>KROKOM</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21990-2022</t>
        </is>
      </c>
      <c r="B1002" s="1" t="n">
        <v>44711</v>
      </c>
      <c r="C1002" s="1" t="n">
        <v>45923</v>
      </c>
      <c r="D1002" t="inlineStr">
        <is>
          <t>JÄMTLANDS LÄN</t>
        </is>
      </c>
      <c r="E1002" t="inlineStr">
        <is>
          <t>KROKOM</t>
        </is>
      </c>
      <c r="F1002" t="inlineStr">
        <is>
          <t>Övriga Aktiebolag</t>
        </is>
      </c>
      <c r="G1002" t="n">
        <v>26.3</v>
      </c>
      <c r="H1002" t="n">
        <v>0</v>
      </c>
      <c r="I1002" t="n">
        <v>0</v>
      </c>
      <c r="J1002" t="n">
        <v>0</v>
      </c>
      <c r="K1002" t="n">
        <v>0</v>
      </c>
      <c r="L1002" t="n">
        <v>0</v>
      </c>
      <c r="M1002" t="n">
        <v>0</v>
      </c>
      <c r="N1002" t="n">
        <v>0</v>
      </c>
      <c r="O1002" t="n">
        <v>0</v>
      </c>
      <c r="P1002" t="n">
        <v>0</v>
      </c>
      <c r="Q1002" t="n">
        <v>0</v>
      </c>
      <c r="R1002" s="2" t="inlineStr"/>
    </row>
    <row r="1003" ht="15" customHeight="1">
      <c r="A1003" t="inlineStr">
        <is>
          <t>A 10842-2024</t>
        </is>
      </c>
      <c r="B1003" s="1" t="n">
        <v>45369</v>
      </c>
      <c r="C1003" s="1" t="n">
        <v>45923</v>
      </c>
      <c r="D1003" t="inlineStr">
        <is>
          <t>JÄMTLANDS LÄN</t>
        </is>
      </c>
      <c r="E1003" t="inlineStr">
        <is>
          <t>KROKOM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63532-2023</t>
        </is>
      </c>
      <c r="B1004" s="1" t="n">
        <v>45274</v>
      </c>
      <c r="C1004" s="1" t="n">
        <v>45923</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28752-2025</t>
        </is>
      </c>
      <c r="B1005" s="1" t="n">
        <v>45820</v>
      </c>
      <c r="C1005" s="1" t="n">
        <v>45923</v>
      </c>
      <c r="D1005" t="inlineStr">
        <is>
          <t>JÄMTLANDS LÄN</t>
        </is>
      </c>
      <c r="E1005" t="inlineStr">
        <is>
          <t>KROKOM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28729-2025</t>
        </is>
      </c>
      <c r="B1006" s="1" t="n">
        <v>45820.36512731481</v>
      </c>
      <c r="C1006" s="1" t="n">
        <v>45923</v>
      </c>
      <c r="D1006" t="inlineStr">
        <is>
          <t>JÄMTLANDS LÄN</t>
        </is>
      </c>
      <c r="E1006" t="inlineStr">
        <is>
          <t>KROKOM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28789-2025</t>
        </is>
      </c>
      <c r="B1007" s="1" t="n">
        <v>45820.47200231482</v>
      </c>
      <c r="C1007" s="1" t="n">
        <v>45923</v>
      </c>
      <c r="D1007" t="inlineStr">
        <is>
          <t>JÄMTLANDS LÄN</t>
        </is>
      </c>
      <c r="E1007" t="inlineStr">
        <is>
          <t>KROKOM</t>
        </is>
      </c>
      <c r="F1007" t="inlineStr">
        <is>
          <t>Kyrkan</t>
        </is>
      </c>
      <c r="G1007" t="n">
        <v>28.4</v>
      </c>
      <c r="H1007" t="n">
        <v>0</v>
      </c>
      <c r="I1007" t="n">
        <v>0</v>
      </c>
      <c r="J1007" t="n">
        <v>0</v>
      </c>
      <c r="K1007" t="n">
        <v>0</v>
      </c>
      <c r="L1007" t="n">
        <v>0</v>
      </c>
      <c r="M1007" t="n">
        <v>0</v>
      </c>
      <c r="N1007" t="n">
        <v>0</v>
      </c>
      <c r="O1007" t="n">
        <v>0</v>
      </c>
      <c r="P1007" t="n">
        <v>0</v>
      </c>
      <c r="Q1007" t="n">
        <v>0</v>
      </c>
      <c r="R1007" s="2" t="inlineStr"/>
    </row>
    <row r="1008" ht="15" customHeight="1">
      <c r="A1008" t="inlineStr">
        <is>
          <t>A 28848-2025</t>
        </is>
      </c>
      <c r="B1008" s="1" t="n">
        <v>45820</v>
      </c>
      <c r="C1008" s="1" t="n">
        <v>45923</v>
      </c>
      <c r="D1008" t="inlineStr">
        <is>
          <t>JÄMTLANDS LÄN</t>
        </is>
      </c>
      <c r="E1008" t="inlineStr">
        <is>
          <t>KROKOM</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28727-2025</t>
        </is>
      </c>
      <c r="B1009" s="1" t="n">
        <v>45820.36498842593</v>
      </c>
      <c r="C1009" s="1" t="n">
        <v>45923</v>
      </c>
      <c r="D1009" t="inlineStr">
        <is>
          <t>JÄMTLANDS LÄN</t>
        </is>
      </c>
      <c r="E1009" t="inlineStr">
        <is>
          <t>KROKOM</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28728-2025</t>
        </is>
      </c>
      <c r="B1010" s="1" t="n">
        <v>45820.36506944444</v>
      </c>
      <c r="C1010" s="1" t="n">
        <v>45923</v>
      </c>
      <c r="D1010" t="inlineStr">
        <is>
          <t>JÄMTLANDS LÄN</t>
        </is>
      </c>
      <c r="E1010" t="inlineStr">
        <is>
          <t>KROKOM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29001-2025</t>
        </is>
      </c>
      <c r="B1011" s="1" t="n">
        <v>45821.39026620371</v>
      </c>
      <c r="C1011" s="1" t="n">
        <v>45923</v>
      </c>
      <c r="D1011" t="inlineStr">
        <is>
          <t>JÄMTLANDS LÄN</t>
        </is>
      </c>
      <c r="E1011" t="inlineStr">
        <is>
          <t>KROKOM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47587-2023</t>
        </is>
      </c>
      <c r="B1012" s="1" t="n">
        <v>45203.44248842593</v>
      </c>
      <c r="C1012" s="1" t="n">
        <v>45923</v>
      </c>
      <c r="D1012" t="inlineStr">
        <is>
          <t>JÄMTLANDS LÄN</t>
        </is>
      </c>
      <c r="E1012" t="inlineStr">
        <is>
          <t>KROKOM</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39127-2023</t>
        </is>
      </c>
      <c r="B1013" s="1" t="n">
        <v>45165.70483796296</v>
      </c>
      <c r="C1013" s="1" t="n">
        <v>45923</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29956-2025</t>
        </is>
      </c>
      <c r="B1014" s="1" t="n">
        <v>45826.4705787037</v>
      </c>
      <c r="C1014" s="1" t="n">
        <v>45923</v>
      </c>
      <c r="D1014" t="inlineStr">
        <is>
          <t>JÄMTLANDS LÄN</t>
        </is>
      </c>
      <c r="E1014" t="inlineStr">
        <is>
          <t>KROKOM</t>
        </is>
      </c>
      <c r="F1014" t="inlineStr">
        <is>
          <t>SCA</t>
        </is>
      </c>
      <c r="G1014" t="n">
        <v>16.1</v>
      </c>
      <c r="H1014" t="n">
        <v>0</v>
      </c>
      <c r="I1014" t="n">
        <v>0</v>
      </c>
      <c r="J1014" t="n">
        <v>0</v>
      </c>
      <c r="K1014" t="n">
        <v>0</v>
      </c>
      <c r="L1014" t="n">
        <v>0</v>
      </c>
      <c r="M1014" t="n">
        <v>0</v>
      </c>
      <c r="N1014" t="n">
        <v>0</v>
      </c>
      <c r="O1014" t="n">
        <v>0</v>
      </c>
      <c r="P1014" t="n">
        <v>0</v>
      </c>
      <c r="Q1014" t="n">
        <v>0</v>
      </c>
      <c r="R1014" s="2" t="inlineStr"/>
    </row>
    <row r="1015" ht="15" customHeight="1">
      <c r="A1015" t="inlineStr">
        <is>
          <t>A 22890-2024</t>
        </is>
      </c>
      <c r="B1015" s="1" t="n">
        <v>45448.67574074074</v>
      </c>
      <c r="C1015" s="1" t="n">
        <v>45923</v>
      </c>
      <c r="D1015" t="inlineStr">
        <is>
          <t>JÄMTLANDS LÄN</t>
        </is>
      </c>
      <c r="E1015" t="inlineStr">
        <is>
          <t>KROKOM</t>
        </is>
      </c>
      <c r="F1015" t="inlineStr">
        <is>
          <t>Övriga Aktiebolag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46753-2022</t>
        </is>
      </c>
      <c r="B1016" s="1" t="n">
        <v>44847</v>
      </c>
      <c r="C1016" s="1" t="n">
        <v>45923</v>
      </c>
      <c r="D1016" t="inlineStr">
        <is>
          <t>JÄMTLANDS LÄN</t>
        </is>
      </c>
      <c r="E1016" t="inlineStr">
        <is>
          <t>KROKOM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46761-2022</t>
        </is>
      </c>
      <c r="B1017" s="1" t="n">
        <v>44847</v>
      </c>
      <c r="C1017" s="1" t="n">
        <v>45923</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48417-2022</t>
        </is>
      </c>
      <c r="B1018" s="1" t="n">
        <v>44858</v>
      </c>
      <c r="C1018" s="1" t="n">
        <v>45923</v>
      </c>
      <c r="D1018" t="inlineStr">
        <is>
          <t>JÄMTLANDS LÄN</t>
        </is>
      </c>
      <c r="E1018" t="inlineStr">
        <is>
          <t>KROKOM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42369-2023</t>
        </is>
      </c>
      <c r="B1019" s="1" t="n">
        <v>45180</v>
      </c>
      <c r="C1019" s="1" t="n">
        <v>45923</v>
      </c>
      <c r="D1019" t="inlineStr">
        <is>
          <t>JÄMTLANDS LÄN</t>
        </is>
      </c>
      <c r="E1019" t="inlineStr">
        <is>
          <t>KROKOM</t>
        </is>
      </c>
      <c r="F1019" t="inlineStr">
        <is>
          <t>Övriga Aktiebolag</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18556-2025</t>
        </is>
      </c>
      <c r="B1020" s="1" t="n">
        <v>45763.44112268519</v>
      </c>
      <c r="C1020" s="1" t="n">
        <v>45923</v>
      </c>
      <c r="D1020" t="inlineStr">
        <is>
          <t>JÄMTLANDS LÄN</t>
        </is>
      </c>
      <c r="E1020" t="inlineStr">
        <is>
          <t>KROKOM</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36588-2025</t>
        </is>
      </c>
      <c r="B1021" s="1" t="n">
        <v>45870</v>
      </c>
      <c r="C1021" s="1" t="n">
        <v>45923</v>
      </c>
      <c r="D1021" t="inlineStr">
        <is>
          <t>JÄMTLANDS LÄN</t>
        </is>
      </c>
      <c r="E1021" t="inlineStr">
        <is>
          <t>KROKOM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30175-2025</t>
        </is>
      </c>
      <c r="B1022" s="1" t="n">
        <v>45827.34488425926</v>
      </c>
      <c r="C1022" s="1" t="n">
        <v>45923</v>
      </c>
      <c r="D1022" t="inlineStr">
        <is>
          <t>JÄMTLANDS LÄN</t>
        </is>
      </c>
      <c r="E1022" t="inlineStr">
        <is>
          <t>KROKOM</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16225-2025</t>
        </is>
      </c>
      <c r="B1023" s="1" t="n">
        <v>45750.6447800926</v>
      </c>
      <c r="C1023" s="1" t="n">
        <v>45923</v>
      </c>
      <c r="D1023" t="inlineStr">
        <is>
          <t>JÄMTLANDS LÄN</t>
        </is>
      </c>
      <c r="E1023" t="inlineStr">
        <is>
          <t>KROKOM</t>
        </is>
      </c>
      <c r="F1023" t="inlineStr">
        <is>
          <t>Övriga Aktiebolag</t>
        </is>
      </c>
      <c r="G1023" t="n">
        <v>11.5</v>
      </c>
      <c r="H1023" t="n">
        <v>0</v>
      </c>
      <c r="I1023" t="n">
        <v>0</v>
      </c>
      <c r="J1023" t="n">
        <v>0</v>
      </c>
      <c r="K1023" t="n">
        <v>0</v>
      </c>
      <c r="L1023" t="n">
        <v>0</v>
      </c>
      <c r="M1023" t="n">
        <v>0</v>
      </c>
      <c r="N1023" t="n">
        <v>0</v>
      </c>
      <c r="O1023" t="n">
        <v>0</v>
      </c>
      <c r="P1023" t="n">
        <v>0</v>
      </c>
      <c r="Q1023" t="n">
        <v>0</v>
      </c>
      <c r="R1023" s="2" t="inlineStr"/>
    </row>
    <row r="1024" ht="15" customHeight="1">
      <c r="A1024" t="inlineStr">
        <is>
          <t>A 17510-2025</t>
        </is>
      </c>
      <c r="B1024" s="1" t="n">
        <v>45757.56491898148</v>
      </c>
      <c r="C1024" s="1" t="n">
        <v>45923</v>
      </c>
      <c r="D1024" t="inlineStr">
        <is>
          <t>JÄMTLANDS LÄN</t>
        </is>
      </c>
      <c r="E1024" t="inlineStr">
        <is>
          <t>KROKOM</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15885-2023</t>
        </is>
      </c>
      <c r="B1025" s="1" t="n">
        <v>45022</v>
      </c>
      <c r="C1025" s="1" t="n">
        <v>45923</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31026-2025</t>
        </is>
      </c>
      <c r="B1026" s="1" t="n">
        <v>45832</v>
      </c>
      <c r="C1026" s="1" t="n">
        <v>45923</v>
      </c>
      <c r="D1026" t="inlineStr">
        <is>
          <t>JÄMTLANDS LÄN</t>
        </is>
      </c>
      <c r="E1026" t="inlineStr">
        <is>
          <t>KROKOM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30890-2025</t>
        </is>
      </c>
      <c r="B1027" s="1" t="n">
        <v>45832.34630787037</v>
      </c>
      <c r="C1027" s="1" t="n">
        <v>45923</v>
      </c>
      <c r="D1027" t="inlineStr">
        <is>
          <t>JÄMTLANDS LÄN</t>
        </is>
      </c>
      <c r="E1027" t="inlineStr">
        <is>
          <t>KROKOM</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60102-2023</t>
        </is>
      </c>
      <c r="B1028" s="1" t="n">
        <v>45257</v>
      </c>
      <c r="C1028" s="1" t="n">
        <v>45923</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7763-2024</t>
        </is>
      </c>
      <c r="B1029" s="1" t="n">
        <v>45348</v>
      </c>
      <c r="C1029" s="1" t="n">
        <v>45923</v>
      </c>
      <c r="D1029" t="inlineStr">
        <is>
          <t>JÄMTLANDS LÄN</t>
        </is>
      </c>
      <c r="E1029" t="inlineStr">
        <is>
          <t>KROKOM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31032-2025</t>
        </is>
      </c>
      <c r="B1030" s="1" t="n">
        <v>45832.53935185185</v>
      </c>
      <c r="C1030" s="1" t="n">
        <v>45923</v>
      </c>
      <c r="D1030" t="inlineStr">
        <is>
          <t>JÄMTLANDS LÄN</t>
        </is>
      </c>
      <c r="E1030" t="inlineStr">
        <is>
          <t>KROKOM</t>
        </is>
      </c>
      <c r="F1030" t="inlineStr">
        <is>
          <t>Övriga Aktiebolag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31027-2025</t>
        </is>
      </c>
      <c r="B1031" s="1" t="n">
        <v>45832.53225694445</v>
      </c>
      <c r="C1031" s="1" t="n">
        <v>45923</v>
      </c>
      <c r="D1031" t="inlineStr">
        <is>
          <t>JÄMTLANDS LÄN</t>
        </is>
      </c>
      <c r="E1031" t="inlineStr">
        <is>
          <t>KROKOM</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50433-2024</t>
        </is>
      </c>
      <c r="B1032" s="1" t="n">
        <v>45601</v>
      </c>
      <c r="C1032" s="1" t="n">
        <v>45923</v>
      </c>
      <c r="D1032" t="inlineStr">
        <is>
          <t>JÄMTLANDS LÄN</t>
        </is>
      </c>
      <c r="E1032" t="inlineStr">
        <is>
          <t>KROKOM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42398-2024</t>
        </is>
      </c>
      <c r="B1033" s="1" t="n">
        <v>45565.33152777778</v>
      </c>
      <c r="C1033" s="1" t="n">
        <v>45923</v>
      </c>
      <c r="D1033" t="inlineStr">
        <is>
          <t>JÄMTLANDS LÄN</t>
        </is>
      </c>
      <c r="E1033" t="inlineStr">
        <is>
          <t>KROKOM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31277-2025</t>
        </is>
      </c>
      <c r="B1034" s="1" t="n">
        <v>45833.34490740741</v>
      </c>
      <c r="C1034" s="1" t="n">
        <v>45923</v>
      </c>
      <c r="D1034" t="inlineStr">
        <is>
          <t>JÄMTLANDS LÄN</t>
        </is>
      </c>
      <c r="E1034" t="inlineStr">
        <is>
          <t>KROKOM</t>
        </is>
      </c>
      <c r="F1034" t="inlineStr">
        <is>
          <t>SCA</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31290-2025</t>
        </is>
      </c>
      <c r="B1035" s="1" t="n">
        <v>45833.36050925926</v>
      </c>
      <c r="C1035" s="1" t="n">
        <v>45923</v>
      </c>
      <c r="D1035" t="inlineStr">
        <is>
          <t>JÄMTLANDS LÄN</t>
        </is>
      </c>
      <c r="E1035" t="inlineStr">
        <is>
          <t>KROKOM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31291-2025</t>
        </is>
      </c>
      <c r="B1036" s="1" t="n">
        <v>45833.36083333333</v>
      </c>
      <c r="C1036" s="1" t="n">
        <v>45923</v>
      </c>
      <c r="D1036" t="inlineStr">
        <is>
          <t>JÄMTLANDS LÄN</t>
        </is>
      </c>
      <c r="E1036" t="inlineStr">
        <is>
          <t>KROKOM</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31654-2025</t>
        </is>
      </c>
      <c r="B1037" s="1" t="n">
        <v>45834.34726851852</v>
      </c>
      <c r="C1037" s="1" t="n">
        <v>45923</v>
      </c>
      <c r="D1037" t="inlineStr">
        <is>
          <t>JÄMTLANDS LÄN</t>
        </is>
      </c>
      <c r="E1037" t="inlineStr">
        <is>
          <t>KROKOM</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34720-2023</t>
        </is>
      </c>
      <c r="B1038" s="1" t="n">
        <v>45139</v>
      </c>
      <c r="C1038" s="1" t="n">
        <v>45923</v>
      </c>
      <c r="D1038" t="inlineStr">
        <is>
          <t>JÄMTLANDS LÄN</t>
        </is>
      </c>
      <c r="E1038" t="inlineStr">
        <is>
          <t>KROKOM</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44154-2024</t>
        </is>
      </c>
      <c r="B1039" s="1" t="n">
        <v>45572</v>
      </c>
      <c r="C1039" s="1" t="n">
        <v>45923</v>
      </c>
      <c r="D1039" t="inlineStr">
        <is>
          <t>JÄMTLANDS LÄN</t>
        </is>
      </c>
      <c r="E1039" t="inlineStr">
        <is>
          <t>KROKOM</t>
        </is>
      </c>
      <c r="F1039" t="inlineStr">
        <is>
          <t>SCA</t>
        </is>
      </c>
      <c r="G1039" t="n">
        <v>28.9</v>
      </c>
      <c r="H1039" t="n">
        <v>0</v>
      </c>
      <c r="I1039" t="n">
        <v>0</v>
      </c>
      <c r="J1039" t="n">
        <v>0</v>
      </c>
      <c r="K1039" t="n">
        <v>0</v>
      </c>
      <c r="L1039" t="n">
        <v>0</v>
      </c>
      <c r="M1039" t="n">
        <v>0</v>
      </c>
      <c r="N1039" t="n">
        <v>0</v>
      </c>
      <c r="O1039" t="n">
        <v>0</v>
      </c>
      <c r="P1039" t="n">
        <v>0</v>
      </c>
      <c r="Q1039" t="n">
        <v>0</v>
      </c>
      <c r="R1039" s="2" t="inlineStr"/>
    </row>
    <row r="1040" ht="15" customHeight="1">
      <c r="A1040" t="inlineStr">
        <is>
          <t>A 31852-2025</t>
        </is>
      </c>
      <c r="B1040" s="1" t="n">
        <v>45834.61517361111</v>
      </c>
      <c r="C1040" s="1" t="n">
        <v>45923</v>
      </c>
      <c r="D1040" t="inlineStr">
        <is>
          <t>JÄMTLANDS LÄN</t>
        </is>
      </c>
      <c r="E1040" t="inlineStr">
        <is>
          <t>KROKOM</t>
        </is>
      </c>
      <c r="F1040" t="inlineStr">
        <is>
          <t>SCA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31292-2025</t>
        </is>
      </c>
      <c r="B1041" s="1" t="n">
        <v>45833.36111111111</v>
      </c>
      <c r="C1041" s="1" t="n">
        <v>45923</v>
      </c>
      <c r="D1041" t="inlineStr">
        <is>
          <t>JÄMTLANDS LÄN</t>
        </is>
      </c>
      <c r="E1041" t="inlineStr">
        <is>
          <t>KROKOM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32038-2025</t>
        </is>
      </c>
      <c r="B1042" s="1" t="n">
        <v>45835.42712962963</v>
      </c>
      <c r="C1042" s="1" t="n">
        <v>45923</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32318-2025</t>
        </is>
      </c>
      <c r="B1043" s="1" t="n">
        <v>45836.34413194445</v>
      </c>
      <c r="C1043" s="1" t="n">
        <v>45923</v>
      </c>
      <c r="D1043" t="inlineStr">
        <is>
          <t>JÄMTLANDS LÄN</t>
        </is>
      </c>
      <c r="E1043" t="inlineStr">
        <is>
          <t>KROKOM</t>
        </is>
      </c>
      <c r="F1043" t="inlineStr">
        <is>
          <t>SCA</t>
        </is>
      </c>
      <c r="G1043" t="n">
        <v>13.8</v>
      </c>
      <c r="H1043" t="n">
        <v>0</v>
      </c>
      <c r="I1043" t="n">
        <v>0</v>
      </c>
      <c r="J1043" t="n">
        <v>0</v>
      </c>
      <c r="K1043" t="n">
        <v>0</v>
      </c>
      <c r="L1043" t="n">
        <v>0</v>
      </c>
      <c r="M1043" t="n">
        <v>0</v>
      </c>
      <c r="N1043" t="n">
        <v>0</v>
      </c>
      <c r="O1043" t="n">
        <v>0</v>
      </c>
      <c r="P1043" t="n">
        <v>0</v>
      </c>
      <c r="Q1043" t="n">
        <v>0</v>
      </c>
      <c r="R1043" s="2" t="inlineStr"/>
    </row>
    <row r="1044" ht="15" customHeight="1">
      <c r="A1044" t="inlineStr">
        <is>
          <t>A 37465-2025</t>
        </is>
      </c>
      <c r="B1044" s="1" t="n">
        <v>45877.57403935185</v>
      </c>
      <c r="C1044" s="1" t="n">
        <v>45923</v>
      </c>
      <c r="D1044" t="inlineStr">
        <is>
          <t>JÄMTLANDS LÄN</t>
        </is>
      </c>
      <c r="E1044" t="inlineStr">
        <is>
          <t>KROKOM</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38024-2025</t>
        </is>
      </c>
      <c r="B1045" s="1" t="n">
        <v>45882.34510416666</v>
      </c>
      <c r="C1045" s="1" t="n">
        <v>45923</v>
      </c>
      <c r="D1045" t="inlineStr">
        <is>
          <t>JÄMTLANDS LÄN</t>
        </is>
      </c>
      <c r="E1045" t="inlineStr">
        <is>
          <t>KROKOM</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33045-2025</t>
        </is>
      </c>
      <c r="B1046" s="1" t="n">
        <v>45840.40717592592</v>
      </c>
      <c r="C1046" s="1" t="n">
        <v>45923</v>
      </c>
      <c r="D1046" t="inlineStr">
        <is>
          <t>JÄMTLANDS LÄN</t>
        </is>
      </c>
      <c r="E1046" t="inlineStr">
        <is>
          <t>KROKOM</t>
        </is>
      </c>
      <c r="F1046" t="inlineStr">
        <is>
          <t>SCA</t>
        </is>
      </c>
      <c r="G1046" t="n">
        <v>18.7</v>
      </c>
      <c r="H1046" t="n">
        <v>0</v>
      </c>
      <c r="I1046" t="n">
        <v>0</v>
      </c>
      <c r="J1046" t="n">
        <v>0</v>
      </c>
      <c r="K1046" t="n">
        <v>0</v>
      </c>
      <c r="L1046" t="n">
        <v>0</v>
      </c>
      <c r="M1046" t="n">
        <v>0</v>
      </c>
      <c r="N1046" t="n">
        <v>0</v>
      </c>
      <c r="O1046" t="n">
        <v>0</v>
      </c>
      <c r="P1046" t="n">
        <v>0</v>
      </c>
      <c r="Q1046" t="n">
        <v>0</v>
      </c>
      <c r="R1046" s="2" t="inlineStr"/>
    </row>
    <row r="1047" ht="15" customHeight="1">
      <c r="A1047" t="inlineStr">
        <is>
          <t>A 32896-2025</t>
        </is>
      </c>
      <c r="B1047" s="1" t="n">
        <v>45839.61541666667</v>
      </c>
      <c r="C1047" s="1" t="n">
        <v>45923</v>
      </c>
      <c r="D1047" t="inlineStr">
        <is>
          <t>JÄMTLANDS LÄN</t>
        </is>
      </c>
      <c r="E1047" t="inlineStr">
        <is>
          <t>KROKOM</t>
        </is>
      </c>
      <c r="F1047" t="inlineStr">
        <is>
          <t>SCA</t>
        </is>
      </c>
      <c r="G1047" t="n">
        <v>17.9</v>
      </c>
      <c r="H1047" t="n">
        <v>0</v>
      </c>
      <c r="I1047" t="n">
        <v>0</v>
      </c>
      <c r="J1047" t="n">
        <v>0</v>
      </c>
      <c r="K1047" t="n">
        <v>0</v>
      </c>
      <c r="L1047" t="n">
        <v>0</v>
      </c>
      <c r="M1047" t="n">
        <v>0</v>
      </c>
      <c r="N1047" t="n">
        <v>0</v>
      </c>
      <c r="O1047" t="n">
        <v>0</v>
      </c>
      <c r="P1047" t="n">
        <v>0</v>
      </c>
      <c r="Q1047" t="n">
        <v>0</v>
      </c>
      <c r="R1047" s="2" t="inlineStr"/>
    </row>
    <row r="1048" ht="15" customHeight="1">
      <c r="A1048" t="inlineStr">
        <is>
          <t>A 32897-2025</t>
        </is>
      </c>
      <c r="B1048" s="1" t="n">
        <v>45839.61563657408</v>
      </c>
      <c r="C1048" s="1" t="n">
        <v>45923</v>
      </c>
      <c r="D1048" t="inlineStr">
        <is>
          <t>JÄMTLANDS LÄN</t>
        </is>
      </c>
      <c r="E1048" t="inlineStr">
        <is>
          <t>KROKOM</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37820-2025</t>
        </is>
      </c>
      <c r="B1049" s="1" t="n">
        <v>45881.39909722222</v>
      </c>
      <c r="C1049" s="1" t="n">
        <v>45923</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10133-2025</t>
        </is>
      </c>
      <c r="B1050" s="1" t="n">
        <v>45719</v>
      </c>
      <c r="C1050" s="1" t="n">
        <v>45923</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38205-2025</t>
        </is>
      </c>
      <c r="B1051" s="1" t="n">
        <v>45882.69851851852</v>
      </c>
      <c r="C1051" s="1" t="n">
        <v>45923</v>
      </c>
      <c r="D1051" t="inlineStr">
        <is>
          <t>JÄMTLANDS LÄN</t>
        </is>
      </c>
      <c r="E1051" t="inlineStr">
        <is>
          <t>KROKOM</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32966-2025</t>
        </is>
      </c>
      <c r="B1052" s="1" t="n">
        <v>45839.72320601852</v>
      </c>
      <c r="C1052" s="1" t="n">
        <v>45923</v>
      </c>
      <c r="D1052" t="inlineStr">
        <is>
          <t>JÄMTLANDS LÄN</t>
        </is>
      </c>
      <c r="E1052" t="inlineStr">
        <is>
          <t>KROKOM</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32898-2025</t>
        </is>
      </c>
      <c r="B1053" s="1" t="n">
        <v>45839.61582175926</v>
      </c>
      <c r="C1053" s="1" t="n">
        <v>45923</v>
      </c>
      <c r="D1053" t="inlineStr">
        <is>
          <t>JÄMTLANDS LÄN</t>
        </is>
      </c>
      <c r="E1053" t="inlineStr">
        <is>
          <t>KROKOM</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32899-2025</t>
        </is>
      </c>
      <c r="B1054" s="1" t="n">
        <v>45839.61594907408</v>
      </c>
      <c r="C1054" s="1" t="n">
        <v>45923</v>
      </c>
      <c r="D1054" t="inlineStr">
        <is>
          <t>JÄMTLANDS LÄN</t>
        </is>
      </c>
      <c r="E1054" t="inlineStr">
        <is>
          <t>KROKOM</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37821-2025</t>
        </is>
      </c>
      <c r="B1055" s="1" t="n">
        <v>45881.40521990741</v>
      </c>
      <c r="C1055" s="1" t="n">
        <v>45923</v>
      </c>
      <c r="D1055" t="inlineStr">
        <is>
          <t>JÄMTLANDS LÄN</t>
        </is>
      </c>
      <c r="E1055" t="inlineStr">
        <is>
          <t>KROKOM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37886-2025</t>
        </is>
      </c>
      <c r="B1056" s="1" t="n">
        <v>45881.51081018519</v>
      </c>
      <c r="C1056" s="1" t="n">
        <v>45923</v>
      </c>
      <c r="D1056" t="inlineStr">
        <is>
          <t>JÄMTLANDS LÄN</t>
        </is>
      </c>
      <c r="E1056" t="inlineStr">
        <is>
          <t>KROKOM</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38416-2025</t>
        </is>
      </c>
      <c r="B1057" s="1" t="n">
        <v>45883.61028935185</v>
      </c>
      <c r="C1057" s="1" t="n">
        <v>45923</v>
      </c>
      <c r="D1057" t="inlineStr">
        <is>
          <t>JÄMTLANDS LÄN</t>
        </is>
      </c>
      <c r="E1057" t="inlineStr">
        <is>
          <t>KROKOM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33677-2025</t>
        </is>
      </c>
      <c r="B1058" s="1" t="n">
        <v>45841.67834490741</v>
      </c>
      <c r="C1058" s="1" t="n">
        <v>45923</v>
      </c>
      <c r="D1058" t="inlineStr">
        <is>
          <t>JÄMTLANDS LÄN</t>
        </is>
      </c>
      <c r="E1058" t="inlineStr">
        <is>
          <t>KROKOM</t>
        </is>
      </c>
      <c r="F1058" t="inlineStr">
        <is>
          <t>SCA</t>
        </is>
      </c>
      <c r="G1058" t="n">
        <v>13.7</v>
      </c>
      <c r="H1058" t="n">
        <v>0</v>
      </c>
      <c r="I1058" t="n">
        <v>0</v>
      </c>
      <c r="J1058" t="n">
        <v>0</v>
      </c>
      <c r="K1058" t="n">
        <v>0</v>
      </c>
      <c r="L1058" t="n">
        <v>0</v>
      </c>
      <c r="M1058" t="n">
        <v>0</v>
      </c>
      <c r="N1058" t="n">
        <v>0</v>
      </c>
      <c r="O1058" t="n">
        <v>0</v>
      </c>
      <c r="P1058" t="n">
        <v>0</v>
      </c>
      <c r="Q1058" t="n">
        <v>0</v>
      </c>
      <c r="R1058" s="2" t="inlineStr"/>
    </row>
    <row r="1059" ht="15" customHeight="1">
      <c r="A1059" t="inlineStr">
        <is>
          <t>A 33777-2025</t>
        </is>
      </c>
      <c r="B1059" s="1" t="n">
        <v>45842.39587962963</v>
      </c>
      <c r="C1059" s="1" t="n">
        <v>45923</v>
      </c>
      <c r="D1059" t="inlineStr">
        <is>
          <t>JÄMTLANDS LÄN</t>
        </is>
      </c>
      <c r="E1059" t="inlineStr">
        <is>
          <t>KROKOM</t>
        </is>
      </c>
      <c r="F1059" t="inlineStr">
        <is>
          <t>Övriga Aktiebolag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33779-2025</t>
        </is>
      </c>
      <c r="B1060" s="1" t="n">
        <v>45842.40013888889</v>
      </c>
      <c r="C1060" s="1" t="n">
        <v>45923</v>
      </c>
      <c r="D1060" t="inlineStr">
        <is>
          <t>JÄMTLANDS LÄN</t>
        </is>
      </c>
      <c r="E1060" t="inlineStr">
        <is>
          <t>KROKOM</t>
        </is>
      </c>
      <c r="F1060" t="inlineStr">
        <is>
          <t>Övriga Aktiebolag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38253-2025</t>
        </is>
      </c>
      <c r="B1061" s="1" t="n">
        <v>45883.37883101852</v>
      </c>
      <c r="C1061" s="1" t="n">
        <v>45923</v>
      </c>
      <c r="D1061" t="inlineStr">
        <is>
          <t>JÄMTLANDS LÄN</t>
        </is>
      </c>
      <c r="E1061" t="inlineStr">
        <is>
          <t>KROKOM</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33451-2025</t>
        </is>
      </c>
      <c r="B1062" s="1" t="n">
        <v>45841.46925925926</v>
      </c>
      <c r="C1062" s="1" t="n">
        <v>45923</v>
      </c>
      <c r="D1062" t="inlineStr">
        <is>
          <t>JÄMTLANDS LÄN</t>
        </is>
      </c>
      <c r="E1062" t="inlineStr">
        <is>
          <t>KROKOM</t>
        </is>
      </c>
      <c r="F1062" t="inlineStr">
        <is>
          <t>SCA</t>
        </is>
      </c>
      <c r="G1062" t="n">
        <v>17.5</v>
      </c>
      <c r="H1062" t="n">
        <v>0</v>
      </c>
      <c r="I1062" t="n">
        <v>0</v>
      </c>
      <c r="J1062" t="n">
        <v>0</v>
      </c>
      <c r="K1062" t="n">
        <v>0</v>
      </c>
      <c r="L1062" t="n">
        <v>0</v>
      </c>
      <c r="M1062" t="n">
        <v>0</v>
      </c>
      <c r="N1062" t="n">
        <v>0</v>
      </c>
      <c r="O1062" t="n">
        <v>0</v>
      </c>
      <c r="P1062" t="n">
        <v>0</v>
      </c>
      <c r="Q1062" t="n">
        <v>0</v>
      </c>
      <c r="R1062" s="2" t="inlineStr"/>
    </row>
    <row r="1063" ht="15" customHeight="1">
      <c r="A1063" t="inlineStr">
        <is>
          <t>A 33915-2025</t>
        </is>
      </c>
      <c r="B1063" s="1" t="n">
        <v>45842.6099537037</v>
      </c>
      <c r="C1063" s="1" t="n">
        <v>45923</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33418-2025</t>
        </is>
      </c>
      <c r="B1064" s="1" t="n">
        <v>45841.43987268519</v>
      </c>
      <c r="C1064" s="1" t="n">
        <v>45923</v>
      </c>
      <c r="D1064" t="inlineStr">
        <is>
          <t>JÄMTLANDS LÄN</t>
        </is>
      </c>
      <c r="E1064" t="inlineStr">
        <is>
          <t>KROKOM</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38789-2025</t>
        </is>
      </c>
      <c r="B1065" s="1" t="n">
        <v>45887.44883101852</v>
      </c>
      <c r="C1065" s="1" t="n">
        <v>45923</v>
      </c>
      <c r="D1065" t="inlineStr">
        <is>
          <t>JÄMTLANDS LÄN</t>
        </is>
      </c>
      <c r="E1065" t="inlineStr">
        <is>
          <t>KROKOM</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38894-2025</t>
        </is>
      </c>
      <c r="B1066" s="1" t="n">
        <v>45887.59064814815</v>
      </c>
      <c r="C1066" s="1" t="n">
        <v>45923</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33945-2025</t>
        </is>
      </c>
      <c r="B1067" s="1" t="n">
        <v>45842</v>
      </c>
      <c r="C1067" s="1" t="n">
        <v>45923</v>
      </c>
      <c r="D1067" t="inlineStr">
        <is>
          <t>JÄMTLANDS LÄN</t>
        </is>
      </c>
      <c r="E1067" t="inlineStr">
        <is>
          <t>KROKOM</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38885-2025</t>
        </is>
      </c>
      <c r="B1068" s="1" t="n">
        <v>45887.58372685185</v>
      </c>
      <c r="C1068" s="1" t="n">
        <v>45923</v>
      </c>
      <c r="D1068" t="inlineStr">
        <is>
          <t>JÄMTLANDS LÄN</t>
        </is>
      </c>
      <c r="E1068" t="inlineStr">
        <is>
          <t>KROKOM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39206-2025</t>
        </is>
      </c>
      <c r="B1069" s="1" t="n">
        <v>45888.72766203704</v>
      </c>
      <c r="C1069" s="1" t="n">
        <v>45923</v>
      </c>
      <c r="D1069" t="inlineStr">
        <is>
          <t>JÄMTLANDS LÄN</t>
        </is>
      </c>
      <c r="E1069" t="inlineStr">
        <is>
          <t>KROKOM</t>
        </is>
      </c>
      <c r="F1069" t="inlineStr">
        <is>
          <t>Kyrkan</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38850-2025</t>
        </is>
      </c>
      <c r="B1070" s="1" t="n">
        <v>45887.55252314815</v>
      </c>
      <c r="C1070" s="1" t="n">
        <v>45923</v>
      </c>
      <c r="D1070" t="inlineStr">
        <is>
          <t>JÄMTLANDS LÄN</t>
        </is>
      </c>
      <c r="E1070" t="inlineStr">
        <is>
          <t>KROKOM</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33925-2025</t>
        </is>
      </c>
      <c r="B1071" s="1" t="n">
        <v>45842</v>
      </c>
      <c r="C1071" s="1" t="n">
        <v>45923</v>
      </c>
      <c r="D1071" t="inlineStr">
        <is>
          <t>JÄMTLANDS LÄN</t>
        </is>
      </c>
      <c r="E1071" t="inlineStr">
        <is>
          <t>KROKOM</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5935-2025</t>
        </is>
      </c>
      <c r="B1072" s="1" t="n">
        <v>45695.45013888889</v>
      </c>
      <c r="C1072" s="1" t="n">
        <v>45923</v>
      </c>
      <c r="D1072" t="inlineStr">
        <is>
          <t>JÄMTLANDS LÄN</t>
        </is>
      </c>
      <c r="E1072" t="inlineStr">
        <is>
          <t>KROKOM</t>
        </is>
      </c>
      <c r="F1072" t="inlineStr">
        <is>
          <t>Övriga Aktiebolag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39205-2025</t>
        </is>
      </c>
      <c r="B1073" s="1" t="n">
        <v>45888.72445601852</v>
      </c>
      <c r="C1073" s="1" t="n">
        <v>45923</v>
      </c>
      <c r="D1073" t="inlineStr">
        <is>
          <t>JÄMTLANDS LÄN</t>
        </is>
      </c>
      <c r="E1073" t="inlineStr">
        <is>
          <t>KROKOM</t>
        </is>
      </c>
      <c r="F1073" t="inlineStr">
        <is>
          <t>Kyrkan</t>
        </is>
      </c>
      <c r="G1073" t="n">
        <v>20.6</v>
      </c>
      <c r="H1073" t="n">
        <v>0</v>
      </c>
      <c r="I1073" t="n">
        <v>0</v>
      </c>
      <c r="J1073" t="n">
        <v>0</v>
      </c>
      <c r="K1073" t="n">
        <v>0</v>
      </c>
      <c r="L1073" t="n">
        <v>0</v>
      </c>
      <c r="M1073" t="n">
        <v>0</v>
      </c>
      <c r="N1073" t="n">
        <v>0</v>
      </c>
      <c r="O1073" t="n">
        <v>0</v>
      </c>
      <c r="P1073" t="n">
        <v>0</v>
      </c>
      <c r="Q1073" t="n">
        <v>0</v>
      </c>
      <c r="R1073" s="2" t="inlineStr"/>
    </row>
    <row r="1074" ht="15" customHeight="1">
      <c r="A1074" t="inlineStr">
        <is>
          <t>A 34701-2025</t>
        </is>
      </c>
      <c r="B1074" s="1" t="n">
        <v>45848.48070601852</v>
      </c>
      <c r="C1074" s="1" t="n">
        <v>45923</v>
      </c>
      <c r="D1074" t="inlineStr">
        <is>
          <t>JÄMTLANDS LÄN</t>
        </is>
      </c>
      <c r="E1074" t="inlineStr">
        <is>
          <t>KROKOM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34698-2025</t>
        </is>
      </c>
      <c r="B1075" s="1" t="n">
        <v>45848</v>
      </c>
      <c r="C1075" s="1" t="n">
        <v>45923</v>
      </c>
      <c r="D1075" t="inlineStr">
        <is>
          <t>JÄMTLANDS LÄN</t>
        </is>
      </c>
      <c r="E1075" t="inlineStr">
        <is>
          <t>KROKOM</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34535-2025</t>
        </is>
      </c>
      <c r="B1076" s="1" t="n">
        <v>45847.51106481482</v>
      </c>
      <c r="C1076" s="1" t="n">
        <v>45923</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34608-2025</t>
        </is>
      </c>
      <c r="B1077" s="1" t="n">
        <v>45847.65717592592</v>
      </c>
      <c r="C1077" s="1" t="n">
        <v>45923</v>
      </c>
      <c r="D1077" t="inlineStr">
        <is>
          <t>JÄMTLANDS LÄN</t>
        </is>
      </c>
      <c r="E1077" t="inlineStr">
        <is>
          <t>KROKOM</t>
        </is>
      </c>
      <c r="F1077" t="inlineStr">
        <is>
          <t>SCA</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39271-2025</t>
        </is>
      </c>
      <c r="B1078" s="1" t="n">
        <v>45889.38626157407</v>
      </c>
      <c r="C1078" s="1" t="n">
        <v>45923</v>
      </c>
      <c r="D1078" t="inlineStr">
        <is>
          <t>JÄMTLANDS LÄN</t>
        </is>
      </c>
      <c r="E1078" t="inlineStr">
        <is>
          <t>KROKOM</t>
        </is>
      </c>
      <c r="F1078" t="inlineStr">
        <is>
          <t>SCA</t>
        </is>
      </c>
      <c r="G1078" t="n">
        <v>5.1</v>
      </c>
      <c r="H1078" t="n">
        <v>0</v>
      </c>
      <c r="I1078" t="n">
        <v>0</v>
      </c>
      <c r="J1078" t="n">
        <v>0</v>
      </c>
      <c r="K1078" t="n">
        <v>0</v>
      </c>
      <c r="L1078" t="n">
        <v>0</v>
      </c>
      <c r="M1078" t="n">
        <v>0</v>
      </c>
      <c r="N1078" t="n">
        <v>0</v>
      </c>
      <c r="O1078" t="n">
        <v>0</v>
      </c>
      <c r="P1078" t="n">
        <v>0</v>
      </c>
      <c r="Q1078" t="n">
        <v>0</v>
      </c>
      <c r="R1078" s="2" t="inlineStr"/>
    </row>
    <row r="1079">
      <c r="A1079" t="inlineStr">
        <is>
          <t>A 39265-2025</t>
        </is>
      </c>
      <c r="B1079" s="1" t="n">
        <v>45889.37520833333</v>
      </c>
      <c r="C1079" s="1" t="n">
        <v>45923</v>
      </c>
      <c r="D1079" t="inlineStr">
        <is>
          <t>JÄMTLANDS LÄN</t>
        </is>
      </c>
      <c r="E1079" t="inlineStr">
        <is>
          <t>KROKOM</t>
        </is>
      </c>
      <c r="F1079" t="inlineStr">
        <is>
          <t>Övriga Aktiebolag</t>
        </is>
      </c>
      <c r="G1079" t="n">
        <v>3.9</v>
      </c>
      <c r="H1079" t="n">
        <v>0</v>
      </c>
      <c r="I1079" t="n">
        <v>0</v>
      </c>
      <c r="J1079" t="n">
        <v>0</v>
      </c>
      <c r="K1079" t="n">
        <v>0</v>
      </c>
      <c r="L1079" t="n">
        <v>0</v>
      </c>
      <c r="M1079" t="n">
        <v>0</v>
      </c>
      <c r="N1079" t="n">
        <v>0</v>
      </c>
      <c r="O1079" t="n">
        <v>0</v>
      </c>
      <c r="P1079" t="n">
        <v>0</v>
      </c>
      <c r="Q1079" t="n">
        <v>0</v>
      </c>
      <c r="R1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2025-09-23T10:23:23Z</dcterms:created>
  <dcterms:modified xmlns:dcterms="http://purl.org/dc/terms/" xmlns:xsi="http://www.w3.org/2001/XMLSchema-instance" xsi:type="dcterms:W3CDTF">2025-09-23T10:23:24Z</dcterms:modified>
</cp:coreProperties>
</file>