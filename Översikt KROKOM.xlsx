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45627</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45627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45627</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45627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45627</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45627</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45627</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45627</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45627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45627</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45627</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45627</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45627</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45627</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45627</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45627</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45627</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45627</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45627</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45627</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45627</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45627</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45627</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45627</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45627</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45627</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45627</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45627</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45627</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45627</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45627</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45627</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45627</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45627</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45627</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45627</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45627</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45627</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45627</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45627</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45627</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45627</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45627</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45627</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31899-2020</t>
        </is>
      </c>
      <c r="B46" s="1" t="n">
        <v>44014</v>
      </c>
      <c r="C46" s="1" t="n">
        <v>45627</v>
      </c>
      <c r="D46" t="inlineStr">
        <is>
          <t>JÄMTLANDS LÄN</t>
        </is>
      </c>
      <c r="E46" t="inlineStr">
        <is>
          <t>KROKOM</t>
        </is>
      </c>
      <c r="G46" t="n">
        <v>12.8</v>
      </c>
      <c r="H46" t="n">
        <v>0</v>
      </c>
      <c r="I46" t="n">
        <v>0</v>
      </c>
      <c r="J46" t="n">
        <v>7</v>
      </c>
      <c r="K46" t="n">
        <v>3</v>
      </c>
      <c r="L46" t="n">
        <v>0</v>
      </c>
      <c r="M46" t="n">
        <v>0</v>
      </c>
      <c r="N46" t="n">
        <v>0</v>
      </c>
      <c r="O46" t="n">
        <v>10</v>
      </c>
      <c r="P46" t="n">
        <v>3</v>
      </c>
      <c r="Q46" t="n">
        <v>10</v>
      </c>
      <c r="R46" s="2" t="inlineStr">
        <is>
          <t>Lappticka
Liten hornflikmossa
Rynkskinn
Gränsticka
Harticka
Rosenticka
Skrovellav
Ullticka
Vedtrappmossa
Vitgrynig nållav</t>
        </is>
      </c>
      <c r="S46">
        <f>HYPERLINK("https://klasma.github.io/Logging_2309/artfynd/A 31899-2020 artfynd.xlsx", "A 31899-2020")</f>
        <v/>
      </c>
      <c r="T46">
        <f>HYPERLINK("https://klasma.github.io/Logging_2309/kartor/A 31899-2020 karta.png", "A 31899-2020")</f>
        <v/>
      </c>
      <c r="V46">
        <f>HYPERLINK("https://klasma.github.io/Logging_2309/klagomål/A 31899-2020 FSC-klagomål.docx", "A 31899-2020")</f>
        <v/>
      </c>
      <c r="W46">
        <f>HYPERLINK("https://klasma.github.io/Logging_2309/klagomålsmail/A 31899-2020 FSC-klagomål mail.docx", "A 31899-2020")</f>
        <v/>
      </c>
      <c r="X46">
        <f>HYPERLINK("https://klasma.github.io/Logging_2309/tillsyn/A 31899-2020 tillsynsbegäran.docx", "A 31899-2020")</f>
        <v/>
      </c>
      <c r="Y46">
        <f>HYPERLINK("https://klasma.github.io/Logging_2309/tillsynsmail/A 31899-2020 tillsynsbegäran mail.docx", "A 31899-2020")</f>
        <v/>
      </c>
    </row>
    <row r="47" ht="15" customHeight="1">
      <c r="A47" t="inlineStr">
        <is>
          <t>A 34678-2022</t>
        </is>
      </c>
      <c r="B47" s="1" t="n">
        <v>44795</v>
      </c>
      <c r="C47" s="1" t="n">
        <v>45627</v>
      </c>
      <c r="D47" t="inlineStr">
        <is>
          <t>JÄMTLANDS LÄN</t>
        </is>
      </c>
      <c r="E47" t="inlineStr">
        <is>
          <t>KROKOM</t>
        </is>
      </c>
      <c r="F47" t="inlineStr">
        <is>
          <t>Övriga Aktiebolag</t>
        </is>
      </c>
      <c r="G47" t="n">
        <v>16.9</v>
      </c>
      <c r="H47" t="n">
        <v>1</v>
      </c>
      <c r="I47" t="n">
        <v>2</v>
      </c>
      <c r="J47" t="n">
        <v>6</v>
      </c>
      <c r="K47" t="n">
        <v>2</v>
      </c>
      <c r="L47" t="n">
        <v>0</v>
      </c>
      <c r="M47" t="n">
        <v>0</v>
      </c>
      <c r="N47" t="n">
        <v>0</v>
      </c>
      <c r="O47" t="n">
        <v>8</v>
      </c>
      <c r="P47" t="n">
        <v>2</v>
      </c>
      <c r="Q47" t="n">
        <v>10</v>
      </c>
      <c r="R47" s="2" t="inlineStr">
        <is>
          <t>Goliatmusseron
Ulltickeporing
Blå taggsvamp
Doftskinn
Grantaggsvamp
Nordlig nållav
Skrovlig taggsvamp
Stjärntagging
Grönpyrola
Plattlummer</t>
        </is>
      </c>
      <c r="S47">
        <f>HYPERLINK("https://klasma.github.io/Logging_2309/artfynd/A 34678-2022 artfynd.xlsx", "A 34678-2022")</f>
        <v/>
      </c>
      <c r="T47">
        <f>HYPERLINK("https://klasma.github.io/Logging_2309/kartor/A 34678-2022 karta.png", "A 34678-2022")</f>
        <v/>
      </c>
      <c r="V47">
        <f>HYPERLINK("https://klasma.github.io/Logging_2309/klagomål/A 34678-2022 FSC-klagomål.docx", "A 34678-2022")</f>
        <v/>
      </c>
      <c r="W47">
        <f>HYPERLINK("https://klasma.github.io/Logging_2309/klagomålsmail/A 34678-2022 FSC-klagomål mail.docx", "A 34678-2022")</f>
        <v/>
      </c>
      <c r="X47">
        <f>HYPERLINK("https://klasma.github.io/Logging_2309/tillsyn/A 34678-2022 tillsynsbegäran.docx", "A 34678-2022")</f>
        <v/>
      </c>
      <c r="Y47">
        <f>HYPERLINK("https://klasma.github.io/Logging_2309/tillsynsmail/A 34678-2022 tillsynsbegäran mail.docx", "A 34678-2022")</f>
        <v/>
      </c>
    </row>
    <row r="48" ht="15" customHeight="1">
      <c r="A48" t="inlineStr">
        <is>
          <t>A 18460-2023</t>
        </is>
      </c>
      <c r="B48" s="1" t="n">
        <v>45041</v>
      </c>
      <c r="C48" s="1" t="n">
        <v>45627</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29997-2024</t>
        </is>
      </c>
      <c r="B49" s="1" t="n">
        <v>45488</v>
      </c>
      <c r="C49" s="1" t="n">
        <v>45627</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32351-2024</t>
        </is>
      </c>
      <c r="B50" s="1" t="n">
        <v>45512</v>
      </c>
      <c r="C50" s="1" t="n">
        <v>45627</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45627</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22472-2019</t>
        </is>
      </c>
      <c r="B52" s="1" t="n">
        <v>43587</v>
      </c>
      <c r="C52" s="1" t="n">
        <v>45627</v>
      </c>
      <c r="D52" t="inlineStr">
        <is>
          <t>JÄMTLANDS LÄN</t>
        </is>
      </c>
      <c r="E52" t="inlineStr">
        <is>
          <t>KROKOM</t>
        </is>
      </c>
      <c r="G52" t="n">
        <v>11.1</v>
      </c>
      <c r="H52" t="n">
        <v>1</v>
      </c>
      <c r="I52" t="n">
        <v>4</v>
      </c>
      <c r="J52" t="n">
        <v>5</v>
      </c>
      <c r="K52" t="n">
        <v>0</v>
      </c>
      <c r="L52" t="n">
        <v>0</v>
      </c>
      <c r="M52" t="n">
        <v>0</v>
      </c>
      <c r="N52" t="n">
        <v>0</v>
      </c>
      <c r="O52" t="n">
        <v>5</v>
      </c>
      <c r="P52" t="n">
        <v>0</v>
      </c>
      <c r="Q52" t="n">
        <v>9</v>
      </c>
      <c r="R52" s="2" t="inlineStr">
        <is>
          <t>Brunpudrad nållav
Lunglav
Skrovellav
Tretåig hackspett
Vitskaftad svartspik
Bårdlav
Korallblylav
Luddlav
Stuplav</t>
        </is>
      </c>
      <c r="S52">
        <f>HYPERLINK("https://klasma.github.io/Logging_2309/artfynd/A 22472-2019 artfynd.xlsx", "A 22472-2019")</f>
        <v/>
      </c>
      <c r="T52">
        <f>HYPERLINK("https://klasma.github.io/Logging_2309/kartor/A 22472-2019 karta.png", "A 22472-2019")</f>
        <v/>
      </c>
      <c r="V52">
        <f>HYPERLINK("https://klasma.github.io/Logging_2309/klagomål/A 22472-2019 FSC-klagomål.docx", "A 22472-2019")</f>
        <v/>
      </c>
      <c r="W52">
        <f>HYPERLINK("https://klasma.github.io/Logging_2309/klagomålsmail/A 22472-2019 FSC-klagomål mail.docx", "A 22472-2019")</f>
        <v/>
      </c>
      <c r="X52">
        <f>HYPERLINK("https://klasma.github.io/Logging_2309/tillsyn/A 22472-2019 tillsynsbegäran.docx", "A 22472-2019")</f>
        <v/>
      </c>
      <c r="Y52">
        <f>HYPERLINK("https://klasma.github.io/Logging_2309/tillsynsmail/A 22472-2019 tillsynsbegäran mail.docx", "A 22472-2019")</f>
        <v/>
      </c>
      <c r="Z52">
        <f>HYPERLINK("https://klasma.github.io/Logging_2309/fåglar/A 22472-2019 prioriterade fågelarter.docx", "A 22472-2019")</f>
        <v/>
      </c>
    </row>
    <row r="53" ht="15" customHeight="1">
      <c r="A53" t="inlineStr">
        <is>
          <t>A 28319-2019</t>
        </is>
      </c>
      <c r="B53" s="1" t="n">
        <v>43623</v>
      </c>
      <c r="C53" s="1" t="n">
        <v>45627</v>
      </c>
      <c r="D53" t="inlineStr">
        <is>
          <t>JÄMTLANDS LÄN</t>
        </is>
      </c>
      <c r="E53" t="inlineStr">
        <is>
          <t>KROKOM</t>
        </is>
      </c>
      <c r="G53" t="n">
        <v>11.1</v>
      </c>
      <c r="H53" t="n">
        <v>1</v>
      </c>
      <c r="I53" t="n">
        <v>3</v>
      </c>
      <c r="J53" t="n">
        <v>6</v>
      </c>
      <c r="K53" t="n">
        <v>0</v>
      </c>
      <c r="L53" t="n">
        <v>0</v>
      </c>
      <c r="M53" t="n">
        <v>0</v>
      </c>
      <c r="N53" t="n">
        <v>0</v>
      </c>
      <c r="O53" t="n">
        <v>6</v>
      </c>
      <c r="P53" t="n">
        <v>0</v>
      </c>
      <c r="Q53" t="n">
        <v>9</v>
      </c>
      <c r="R53" s="2" t="inlineStr">
        <is>
          <t>Garnlav
Harticka
Lunglav
Skrovellav
Tretåig hackspett
Ullticka
Kransrams
Luddlav
Trådticka</t>
        </is>
      </c>
      <c r="S53">
        <f>HYPERLINK("https://klasma.github.io/Logging_2309/artfynd/A 28319-2019 artfynd.xlsx", "A 28319-2019")</f>
        <v/>
      </c>
      <c r="T53">
        <f>HYPERLINK("https://klasma.github.io/Logging_2309/kartor/A 28319-2019 karta.png", "A 28319-2019")</f>
        <v/>
      </c>
      <c r="V53">
        <f>HYPERLINK("https://klasma.github.io/Logging_2309/klagomål/A 28319-2019 FSC-klagomål.docx", "A 28319-2019")</f>
        <v/>
      </c>
      <c r="W53">
        <f>HYPERLINK("https://klasma.github.io/Logging_2309/klagomålsmail/A 28319-2019 FSC-klagomål mail.docx", "A 28319-2019")</f>
        <v/>
      </c>
      <c r="X53">
        <f>HYPERLINK("https://klasma.github.io/Logging_2309/tillsyn/A 28319-2019 tillsynsbegäran.docx", "A 28319-2019")</f>
        <v/>
      </c>
      <c r="Y53">
        <f>HYPERLINK("https://klasma.github.io/Logging_2309/tillsynsmail/A 28319-2019 tillsynsbegäran mail.docx", "A 28319-2019")</f>
        <v/>
      </c>
      <c r="Z53">
        <f>HYPERLINK("https://klasma.github.io/Logging_2309/fåglar/A 28319-2019 prioriterade fågelarter.docx", "A 28319-2019")</f>
        <v/>
      </c>
    </row>
    <row r="54" ht="15" customHeight="1">
      <c r="A54" t="inlineStr">
        <is>
          <t>A 52574-2020</t>
        </is>
      </c>
      <c r="B54" s="1" t="n">
        <v>44118</v>
      </c>
      <c r="C54" s="1" t="n">
        <v>45627</v>
      </c>
      <c r="D54" t="inlineStr">
        <is>
          <t>JÄMTLANDS LÄN</t>
        </is>
      </c>
      <c r="E54" t="inlineStr">
        <is>
          <t>KROKOM</t>
        </is>
      </c>
      <c r="G54" t="n">
        <v>80.5</v>
      </c>
      <c r="H54" t="n">
        <v>1</v>
      </c>
      <c r="I54" t="n">
        <v>5</v>
      </c>
      <c r="J54" t="n">
        <v>3</v>
      </c>
      <c r="K54" t="n">
        <v>0</v>
      </c>
      <c r="L54" t="n">
        <v>0</v>
      </c>
      <c r="M54" t="n">
        <v>0</v>
      </c>
      <c r="N54" t="n">
        <v>0</v>
      </c>
      <c r="O54" t="n">
        <v>3</v>
      </c>
      <c r="P54" t="n">
        <v>0</v>
      </c>
      <c r="Q54" t="n">
        <v>9</v>
      </c>
      <c r="R54" s="2" t="inlineStr">
        <is>
          <t>Garnlav
Granticka
Rödbrun blekspik
Gulnål
Mörk husmossa
Norrlandslav
Stuplav
Trådticka
Revlummer</t>
        </is>
      </c>
      <c r="S54">
        <f>HYPERLINK("https://klasma.github.io/Logging_2309/artfynd/A 52574-2020 artfynd.xlsx", "A 52574-2020")</f>
        <v/>
      </c>
      <c r="T54">
        <f>HYPERLINK("https://klasma.github.io/Logging_2309/kartor/A 52574-2020 karta.png", "A 52574-2020")</f>
        <v/>
      </c>
      <c r="V54">
        <f>HYPERLINK("https://klasma.github.io/Logging_2309/klagomål/A 52574-2020 FSC-klagomål.docx", "A 52574-2020")</f>
        <v/>
      </c>
      <c r="W54">
        <f>HYPERLINK("https://klasma.github.io/Logging_2309/klagomålsmail/A 52574-2020 FSC-klagomål mail.docx", "A 52574-2020")</f>
        <v/>
      </c>
      <c r="X54">
        <f>HYPERLINK("https://klasma.github.io/Logging_2309/tillsyn/A 52574-2020 tillsynsbegäran.docx", "A 52574-2020")</f>
        <v/>
      </c>
      <c r="Y54">
        <f>HYPERLINK("https://klasma.github.io/Logging_2309/tillsynsmail/A 52574-2020 tillsynsbegäran mail.docx", "A 52574-2020")</f>
        <v/>
      </c>
    </row>
    <row r="55" ht="15" customHeight="1">
      <c r="A55" t="inlineStr">
        <is>
          <t>A 61749-2021</t>
        </is>
      </c>
      <c r="B55" s="1" t="n">
        <v>44498</v>
      </c>
      <c r="C55" s="1" t="n">
        <v>45627</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25189-2023</t>
        </is>
      </c>
      <c r="B56" s="1" t="n">
        <v>45086</v>
      </c>
      <c r="C56" s="1" t="n">
        <v>45627</v>
      </c>
      <c r="D56" t="inlineStr">
        <is>
          <t>JÄMTLANDS LÄN</t>
        </is>
      </c>
      <c r="E56" t="inlineStr">
        <is>
          <t>KROKOM</t>
        </is>
      </c>
      <c r="F56" t="inlineStr">
        <is>
          <t>Övriga Aktiebolag</t>
        </is>
      </c>
      <c r="G56" t="n">
        <v>27</v>
      </c>
      <c r="H56" t="n">
        <v>1</v>
      </c>
      <c r="I56" t="n">
        <v>2</v>
      </c>
      <c r="J56" t="n">
        <v>6</v>
      </c>
      <c r="K56" t="n">
        <v>1</v>
      </c>
      <c r="L56" t="n">
        <v>0</v>
      </c>
      <c r="M56" t="n">
        <v>0</v>
      </c>
      <c r="N56" t="n">
        <v>0</v>
      </c>
      <c r="O56" t="n">
        <v>7</v>
      </c>
      <c r="P56" t="n">
        <v>1</v>
      </c>
      <c r="Q56" t="n">
        <v>9</v>
      </c>
      <c r="R56" s="2" t="inlineStr">
        <is>
          <t>Doftticka
Garnlav
Nordtagging
Skrovellav
Vedflamlav
Vedskivlav
Violmussling
Luddlav
Slanklav</t>
        </is>
      </c>
      <c r="S56">
        <f>HYPERLINK("https://klasma.github.io/Logging_2309/artfynd/A 25189-2023 artfynd.xlsx", "A 25189-2023")</f>
        <v/>
      </c>
      <c r="T56">
        <f>HYPERLINK("https://klasma.github.io/Logging_2309/kartor/A 25189-2023 karta.png", "A 25189-2023")</f>
        <v/>
      </c>
      <c r="V56">
        <f>HYPERLINK("https://klasma.github.io/Logging_2309/klagomål/A 25189-2023 FSC-klagomål.docx", "A 25189-2023")</f>
        <v/>
      </c>
      <c r="W56">
        <f>HYPERLINK("https://klasma.github.io/Logging_2309/klagomålsmail/A 25189-2023 FSC-klagomål mail.docx", "A 25189-2023")</f>
        <v/>
      </c>
      <c r="X56">
        <f>HYPERLINK("https://klasma.github.io/Logging_2309/tillsyn/A 25189-2023 tillsynsbegäran.docx", "A 25189-2023")</f>
        <v/>
      </c>
      <c r="Y56">
        <f>HYPERLINK("https://klasma.github.io/Logging_2309/tillsynsmail/A 25189-2023 tillsynsbegäran mail.docx", "A 25189-2023")</f>
        <v/>
      </c>
    </row>
    <row r="57" ht="15" customHeight="1">
      <c r="A57" t="inlineStr">
        <is>
          <t>A 7735-2024</t>
        </is>
      </c>
      <c r="B57" s="1" t="n">
        <v>45349</v>
      </c>
      <c r="C57" s="1" t="n">
        <v>45627</v>
      </c>
      <c r="D57" t="inlineStr">
        <is>
          <t>JÄMTLANDS LÄN</t>
        </is>
      </c>
      <c r="E57" t="inlineStr">
        <is>
          <t>KROKOM</t>
        </is>
      </c>
      <c r="F57" t="inlineStr">
        <is>
          <t>Allmännings- och besparingsskogar</t>
        </is>
      </c>
      <c r="G57" t="n">
        <v>36.1</v>
      </c>
      <c r="H57" t="n">
        <v>5</v>
      </c>
      <c r="I57" t="n">
        <v>1</v>
      </c>
      <c r="J57" t="n">
        <v>6</v>
      </c>
      <c r="K57" t="n">
        <v>1</v>
      </c>
      <c r="L57" t="n">
        <v>0</v>
      </c>
      <c r="M57" t="n">
        <v>0</v>
      </c>
      <c r="N57" t="n">
        <v>0</v>
      </c>
      <c r="O57" t="n">
        <v>7</v>
      </c>
      <c r="P57" t="n">
        <v>1</v>
      </c>
      <c r="Q57" t="n">
        <v>9</v>
      </c>
      <c r="R57" s="2" t="inlineStr">
        <is>
          <t>Rynkskinn
Garnlav
Granticka
Järpe
Spillkråka
Stjärntagging
Tretåig hackspett
Spindelblomster
Lavskrika</t>
        </is>
      </c>
      <c r="S57">
        <f>HYPERLINK("https://klasma.github.io/Logging_2309/artfynd/A 7735-2024 artfynd.xlsx", "A 7735-2024")</f>
        <v/>
      </c>
      <c r="T57">
        <f>HYPERLINK("https://klasma.github.io/Logging_2309/kartor/A 7735-2024 karta.png", "A 7735-2024")</f>
        <v/>
      </c>
      <c r="V57">
        <f>HYPERLINK("https://klasma.github.io/Logging_2309/klagomål/A 7735-2024 FSC-klagomål.docx", "A 7735-2024")</f>
        <v/>
      </c>
      <c r="W57">
        <f>HYPERLINK("https://klasma.github.io/Logging_2309/klagomålsmail/A 7735-2024 FSC-klagomål mail.docx", "A 7735-2024")</f>
        <v/>
      </c>
      <c r="X57">
        <f>HYPERLINK("https://klasma.github.io/Logging_2309/tillsyn/A 7735-2024 tillsynsbegäran.docx", "A 7735-2024")</f>
        <v/>
      </c>
      <c r="Y57">
        <f>HYPERLINK("https://klasma.github.io/Logging_2309/tillsynsmail/A 7735-2024 tillsynsbegäran mail.docx", "A 7735-2024")</f>
        <v/>
      </c>
      <c r="Z57">
        <f>HYPERLINK("https://klasma.github.io/Logging_2309/fåglar/A 7735-2024 prioriterade fågelarter.docx", "A 7735-2024")</f>
        <v/>
      </c>
    </row>
    <row r="58" ht="15" customHeight="1">
      <c r="A58" t="inlineStr">
        <is>
          <t>A 23661-2024</t>
        </is>
      </c>
      <c r="B58" s="1" t="n">
        <v>45454</v>
      </c>
      <c r="C58" s="1" t="n">
        <v>45627</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28823-2024</t>
        </is>
      </c>
      <c r="B59" s="1" t="n">
        <v>45478</v>
      </c>
      <c r="C59" s="1" t="n">
        <v>45627</v>
      </c>
      <c r="D59" t="inlineStr">
        <is>
          <t>JÄMTLANDS LÄN</t>
        </is>
      </c>
      <c r="E59" t="inlineStr">
        <is>
          <t>KROKOM</t>
        </is>
      </c>
      <c r="G59" t="n">
        <v>4.7</v>
      </c>
      <c r="H59" t="n">
        <v>0</v>
      </c>
      <c r="I59" t="n">
        <v>3</v>
      </c>
      <c r="J59" t="n">
        <v>5</v>
      </c>
      <c r="K59" t="n">
        <v>1</v>
      </c>
      <c r="L59" t="n">
        <v>0</v>
      </c>
      <c r="M59" t="n">
        <v>0</v>
      </c>
      <c r="N59" t="n">
        <v>0</v>
      </c>
      <c r="O59" t="n">
        <v>6</v>
      </c>
      <c r="P59" t="n">
        <v>1</v>
      </c>
      <c r="Q59" t="n">
        <v>9</v>
      </c>
      <c r="R59" s="2" t="inlineStr">
        <is>
          <t>Skuggnål
Gammelgransskål
Garnlav
Granticka
Rödbrun blekspik
Vitgrynig nållav
Mörk husmossa
Svavelriska
Ögonpyrola</t>
        </is>
      </c>
      <c r="S59">
        <f>HYPERLINK("https://klasma.github.io/Logging_2309/artfynd/A 28823-2024 artfynd.xlsx", "A 28823-2024")</f>
        <v/>
      </c>
      <c r="T59">
        <f>HYPERLINK("https://klasma.github.io/Logging_2309/kartor/A 28823-2024 karta.png", "A 28823-2024")</f>
        <v/>
      </c>
      <c r="V59">
        <f>HYPERLINK("https://klasma.github.io/Logging_2309/klagomål/A 28823-2024 FSC-klagomål.docx", "A 28823-2024")</f>
        <v/>
      </c>
      <c r="W59">
        <f>HYPERLINK("https://klasma.github.io/Logging_2309/klagomålsmail/A 28823-2024 FSC-klagomål mail.docx", "A 28823-2024")</f>
        <v/>
      </c>
      <c r="X59">
        <f>HYPERLINK("https://klasma.github.io/Logging_2309/tillsyn/A 28823-2024 tillsynsbegäran.docx", "A 28823-2024")</f>
        <v/>
      </c>
      <c r="Y59">
        <f>HYPERLINK("https://klasma.github.io/Logging_2309/tillsynsmail/A 28823-2024 tillsynsbegäran mail.docx", "A 28823-2024")</f>
        <v/>
      </c>
    </row>
    <row r="60" ht="15" customHeight="1">
      <c r="A60" t="inlineStr">
        <is>
          <t>A 35063-2024</t>
        </is>
      </c>
      <c r="B60" s="1" t="n">
        <v>45527</v>
      </c>
      <c r="C60" s="1" t="n">
        <v>45627</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36205-2024</t>
        </is>
      </c>
      <c r="B61" s="1" t="n">
        <v>45534</v>
      </c>
      <c r="C61" s="1" t="n">
        <v>45627</v>
      </c>
      <c r="D61" t="inlineStr">
        <is>
          <t>JÄMTLANDS LÄN</t>
        </is>
      </c>
      <c r="E61" t="inlineStr">
        <is>
          <t>KROKOM</t>
        </is>
      </c>
      <c r="G61" t="n">
        <v>27.4</v>
      </c>
      <c r="H61" t="n">
        <v>2</v>
      </c>
      <c r="I61" t="n">
        <v>0</v>
      </c>
      <c r="J61" t="n">
        <v>8</v>
      </c>
      <c r="K61" t="n">
        <v>1</v>
      </c>
      <c r="L61" t="n">
        <v>0</v>
      </c>
      <c r="M61" t="n">
        <v>0</v>
      </c>
      <c r="N61" t="n">
        <v>0</v>
      </c>
      <c r="O61" t="n">
        <v>9</v>
      </c>
      <c r="P61" t="n">
        <v>1</v>
      </c>
      <c r="Q61" t="n">
        <v>9</v>
      </c>
      <c r="R61" s="2" t="inlineStr">
        <is>
          <t>Doftticka
Doftskinn
Garnlav
Granticka
Harticka
Lunglav
Skrovellav
Tretåig hackspett
Ullticka</t>
        </is>
      </c>
      <c r="S61">
        <f>HYPERLINK("https://klasma.github.io/Logging_2309/artfynd/A 36205-2024 artfynd.xlsx", "A 36205-2024")</f>
        <v/>
      </c>
      <c r="T61">
        <f>HYPERLINK("https://klasma.github.io/Logging_2309/kartor/A 36205-2024 karta.png", "A 36205-2024")</f>
        <v/>
      </c>
      <c r="V61">
        <f>HYPERLINK("https://klasma.github.io/Logging_2309/klagomål/A 36205-2024 FSC-klagomål.docx", "A 36205-2024")</f>
        <v/>
      </c>
      <c r="W61">
        <f>HYPERLINK("https://klasma.github.io/Logging_2309/klagomålsmail/A 36205-2024 FSC-klagomål mail.docx", "A 36205-2024")</f>
        <v/>
      </c>
      <c r="X61">
        <f>HYPERLINK("https://klasma.github.io/Logging_2309/tillsyn/A 36205-2024 tillsynsbegäran.docx", "A 36205-2024")</f>
        <v/>
      </c>
      <c r="Y61">
        <f>HYPERLINK("https://klasma.github.io/Logging_2309/tillsynsmail/A 36205-2024 tillsynsbegäran mail.docx", "A 36205-2024")</f>
        <v/>
      </c>
      <c r="Z61">
        <f>HYPERLINK("https://klasma.github.io/Logging_2309/fåglar/A 36205-2024 prioriterade fågelarter.docx", "A 36205-2024")</f>
        <v/>
      </c>
    </row>
    <row r="62" ht="15" customHeight="1">
      <c r="A62" t="inlineStr">
        <is>
          <t>A 46038-2024</t>
        </is>
      </c>
      <c r="B62" s="1" t="n">
        <v>45580</v>
      </c>
      <c r="C62" s="1" t="n">
        <v>45627</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32023-2020</t>
        </is>
      </c>
      <c r="B63" s="1" t="n">
        <v>44015</v>
      </c>
      <c r="C63" s="1" t="n">
        <v>45627</v>
      </c>
      <c r="D63" t="inlineStr">
        <is>
          <t>JÄMTLANDS LÄN</t>
        </is>
      </c>
      <c r="E63" t="inlineStr">
        <is>
          <t>KROKOM</t>
        </is>
      </c>
      <c r="G63" t="n">
        <v>4.3</v>
      </c>
      <c r="H63" t="n">
        <v>4</v>
      </c>
      <c r="I63" t="n">
        <v>2</v>
      </c>
      <c r="J63" t="n">
        <v>4</v>
      </c>
      <c r="K63" t="n">
        <v>1</v>
      </c>
      <c r="L63" t="n">
        <v>0</v>
      </c>
      <c r="M63" t="n">
        <v>0</v>
      </c>
      <c r="N63" t="n">
        <v>0</v>
      </c>
      <c r="O63" t="n">
        <v>5</v>
      </c>
      <c r="P63" t="n">
        <v>1</v>
      </c>
      <c r="Q63" t="n">
        <v>8</v>
      </c>
      <c r="R63" s="2" t="inlineStr">
        <is>
          <t>Knärot
Granticka
Rosenticka
Tretåig hackspett
Ullticka
Korallrot
Stuplav
Sparvuggla</t>
        </is>
      </c>
      <c r="S63">
        <f>HYPERLINK("https://klasma.github.io/Logging_2309/artfynd/A 32023-2020 artfynd.xlsx", "A 32023-2020")</f>
        <v/>
      </c>
      <c r="T63">
        <f>HYPERLINK("https://klasma.github.io/Logging_2309/kartor/A 32023-2020 karta.png", "A 32023-2020")</f>
        <v/>
      </c>
      <c r="U63">
        <f>HYPERLINK("https://klasma.github.io/Logging_2309/knärot/A 32023-2020 karta knärot.png", "A 32023-2020")</f>
        <v/>
      </c>
      <c r="V63">
        <f>HYPERLINK("https://klasma.github.io/Logging_2309/klagomål/A 32023-2020 FSC-klagomål.docx", "A 32023-2020")</f>
        <v/>
      </c>
      <c r="W63">
        <f>HYPERLINK("https://klasma.github.io/Logging_2309/klagomålsmail/A 32023-2020 FSC-klagomål mail.docx", "A 32023-2020")</f>
        <v/>
      </c>
      <c r="X63">
        <f>HYPERLINK("https://klasma.github.io/Logging_2309/tillsyn/A 32023-2020 tillsynsbegäran.docx", "A 32023-2020")</f>
        <v/>
      </c>
      <c r="Y63">
        <f>HYPERLINK("https://klasma.github.io/Logging_2309/tillsynsmail/A 32023-2020 tillsynsbegäran mail.docx", "A 32023-2020")</f>
        <v/>
      </c>
      <c r="Z63">
        <f>HYPERLINK("https://klasma.github.io/Logging_2309/fåglar/A 32023-2020 prioriterade fågelarter.docx", "A 32023-2020")</f>
        <v/>
      </c>
    </row>
    <row r="64" ht="15" customHeight="1">
      <c r="A64" t="inlineStr">
        <is>
          <t>A 56568-2020</t>
        </is>
      </c>
      <c r="B64" s="1" t="n">
        <v>44133</v>
      </c>
      <c r="C64" s="1" t="n">
        <v>45627</v>
      </c>
      <c r="D64" t="inlineStr">
        <is>
          <t>JÄMTLANDS LÄN</t>
        </is>
      </c>
      <c r="E64" t="inlineStr">
        <is>
          <t>KROKOM</t>
        </is>
      </c>
      <c r="G64" t="n">
        <v>45.2</v>
      </c>
      <c r="H64" t="n">
        <v>2</v>
      </c>
      <c r="I64" t="n">
        <v>1</v>
      </c>
      <c r="J64" t="n">
        <v>7</v>
      </c>
      <c r="K64" t="n">
        <v>0</v>
      </c>
      <c r="L64" t="n">
        <v>0</v>
      </c>
      <c r="M64" t="n">
        <v>0</v>
      </c>
      <c r="N64" t="n">
        <v>0</v>
      </c>
      <c r="O64" t="n">
        <v>7</v>
      </c>
      <c r="P64" t="n">
        <v>0</v>
      </c>
      <c r="Q64" t="n">
        <v>8</v>
      </c>
      <c r="R64" s="2" t="inlineStr">
        <is>
          <t>Garnlav
Granticka
Gränsticka
Lunglav
Spillkråka
Tretåig hackspett
Ullticka
Trådticka</t>
        </is>
      </c>
      <c r="S64">
        <f>HYPERLINK("https://klasma.github.io/Logging_2309/artfynd/A 56568-2020 artfynd.xlsx", "A 56568-2020")</f>
        <v/>
      </c>
      <c r="T64">
        <f>HYPERLINK("https://klasma.github.io/Logging_2309/kartor/A 56568-2020 karta.png", "A 56568-2020")</f>
        <v/>
      </c>
      <c r="V64">
        <f>HYPERLINK("https://klasma.github.io/Logging_2309/klagomål/A 56568-2020 FSC-klagomål.docx", "A 56568-2020")</f>
        <v/>
      </c>
      <c r="W64">
        <f>HYPERLINK("https://klasma.github.io/Logging_2309/klagomålsmail/A 56568-2020 FSC-klagomål mail.docx", "A 56568-2020")</f>
        <v/>
      </c>
      <c r="X64">
        <f>HYPERLINK("https://klasma.github.io/Logging_2309/tillsyn/A 56568-2020 tillsynsbegäran.docx", "A 56568-2020")</f>
        <v/>
      </c>
      <c r="Y64">
        <f>HYPERLINK("https://klasma.github.io/Logging_2309/tillsynsmail/A 56568-2020 tillsynsbegäran mail.docx", "A 56568-2020")</f>
        <v/>
      </c>
      <c r="Z64">
        <f>HYPERLINK("https://klasma.github.io/Logging_2309/fåglar/A 56568-2020 prioriterade fågelarter.docx", "A 56568-2020")</f>
        <v/>
      </c>
    </row>
    <row r="65" ht="15" customHeight="1">
      <c r="A65" t="inlineStr">
        <is>
          <t>A 19014-2021</t>
        </is>
      </c>
      <c r="B65" s="1" t="n">
        <v>44308</v>
      </c>
      <c r="C65" s="1" t="n">
        <v>45627</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73840-2021</t>
        </is>
      </c>
      <c r="B66" s="1" t="n">
        <v>44552</v>
      </c>
      <c r="C66" s="1" t="n">
        <v>45627</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40206-2023</t>
        </is>
      </c>
      <c r="B67" s="1" t="n">
        <v>45169</v>
      </c>
      <c r="C67" s="1" t="n">
        <v>45627</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45627</v>
      </c>
      <c r="D68" t="inlineStr">
        <is>
          <t>JÄMTLANDS LÄN</t>
        </is>
      </c>
      <c r="E68" t="inlineStr">
        <is>
          <t>KROKOM</t>
        </is>
      </c>
      <c r="G68" t="n">
        <v>14.2</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12432-2024</t>
        </is>
      </c>
      <c r="B69" s="1" t="n">
        <v>45378</v>
      </c>
      <c r="C69" s="1" t="n">
        <v>45627</v>
      </c>
      <c r="D69" t="inlineStr">
        <is>
          <t>JÄMTLANDS LÄN</t>
        </is>
      </c>
      <c r="E69" t="inlineStr">
        <is>
          <t>KROKOM</t>
        </is>
      </c>
      <c r="F69" t="inlineStr">
        <is>
          <t>Kommuner</t>
        </is>
      </c>
      <c r="G69" t="n">
        <v>9.5</v>
      </c>
      <c r="H69" t="n">
        <v>7</v>
      </c>
      <c r="I69" t="n">
        <v>1</v>
      </c>
      <c r="J69" t="n">
        <v>4</v>
      </c>
      <c r="K69" t="n">
        <v>0</v>
      </c>
      <c r="L69" t="n">
        <v>1</v>
      </c>
      <c r="M69" t="n">
        <v>0</v>
      </c>
      <c r="N69" t="n">
        <v>0</v>
      </c>
      <c r="O69" t="n">
        <v>5</v>
      </c>
      <c r="P69" t="n">
        <v>1</v>
      </c>
      <c r="Q69" t="n">
        <v>8</v>
      </c>
      <c r="R69" s="2" t="inlineStr">
        <is>
          <t>Grönfink
Björktrast
Fiskmås
Gulsparv
Rödvingetrast
Svart trolldruva
Grönsiska
Kungsfågel</t>
        </is>
      </c>
      <c r="S69">
        <f>HYPERLINK("https://klasma.github.io/Logging_2309/artfynd/A 12432-2024 artfynd.xlsx", "A 12432-2024")</f>
        <v/>
      </c>
      <c r="T69">
        <f>HYPERLINK("https://klasma.github.io/Logging_2309/kartor/A 12432-2024 karta.png", "A 12432-2024")</f>
        <v/>
      </c>
      <c r="V69">
        <f>HYPERLINK("https://klasma.github.io/Logging_2309/klagomål/A 12432-2024 FSC-klagomål.docx", "A 12432-2024")</f>
        <v/>
      </c>
      <c r="W69">
        <f>HYPERLINK("https://klasma.github.io/Logging_2309/klagomålsmail/A 12432-2024 FSC-klagomål mail.docx", "A 12432-2024")</f>
        <v/>
      </c>
      <c r="X69">
        <f>HYPERLINK("https://klasma.github.io/Logging_2309/tillsyn/A 12432-2024 tillsynsbegäran.docx", "A 12432-2024")</f>
        <v/>
      </c>
      <c r="Y69">
        <f>HYPERLINK("https://klasma.github.io/Logging_2309/tillsynsmail/A 12432-2024 tillsynsbegäran mail.docx", "A 12432-2024")</f>
        <v/>
      </c>
      <c r="Z69">
        <f>HYPERLINK("https://klasma.github.io/Logging_2309/fåglar/A 12432-2024 prioriterade fågelarter.docx", "A 12432-2024")</f>
        <v/>
      </c>
    </row>
    <row r="70" ht="15" customHeight="1">
      <c r="A70" t="inlineStr">
        <is>
          <t>A 21848-2024</t>
        </is>
      </c>
      <c r="B70" s="1" t="n">
        <v>45443</v>
      </c>
      <c r="C70" s="1" t="n">
        <v>45627</v>
      </c>
      <c r="D70" t="inlineStr">
        <is>
          <t>JÄMTLANDS LÄN</t>
        </is>
      </c>
      <c r="E70" t="inlineStr">
        <is>
          <t>KROKOM</t>
        </is>
      </c>
      <c r="G70" t="n">
        <v>1.4</v>
      </c>
      <c r="H70" t="n">
        <v>1</v>
      </c>
      <c r="I70" t="n">
        <v>2</v>
      </c>
      <c r="J70" t="n">
        <v>6</v>
      </c>
      <c r="K70" t="n">
        <v>0</v>
      </c>
      <c r="L70" t="n">
        <v>0</v>
      </c>
      <c r="M70" t="n">
        <v>0</v>
      </c>
      <c r="N70" t="n">
        <v>0</v>
      </c>
      <c r="O70" t="n">
        <v>6</v>
      </c>
      <c r="P70" t="n">
        <v>0</v>
      </c>
      <c r="Q70" t="n">
        <v>8</v>
      </c>
      <c r="R70" s="2" t="inlineStr">
        <is>
          <t>Gammelgransskål
Garnlav
Kavernularia
Liten svartspik
Ullticka
Vitgrynig nållav
Kransrams
Spindelblomster</t>
        </is>
      </c>
      <c r="S70">
        <f>HYPERLINK("https://klasma.github.io/Logging_2309/artfynd/A 21848-2024 artfynd.xlsx", "A 21848-2024")</f>
        <v/>
      </c>
      <c r="T70">
        <f>HYPERLINK("https://klasma.github.io/Logging_2309/kartor/A 21848-2024 karta.png", "A 21848-2024")</f>
        <v/>
      </c>
      <c r="V70">
        <f>HYPERLINK("https://klasma.github.io/Logging_2309/klagomål/A 21848-2024 FSC-klagomål.docx", "A 21848-2024")</f>
        <v/>
      </c>
      <c r="W70">
        <f>HYPERLINK("https://klasma.github.io/Logging_2309/klagomålsmail/A 21848-2024 FSC-klagomål mail.docx", "A 21848-2024")</f>
        <v/>
      </c>
      <c r="X70">
        <f>HYPERLINK("https://klasma.github.io/Logging_2309/tillsyn/A 21848-2024 tillsynsbegäran.docx", "A 21848-2024")</f>
        <v/>
      </c>
      <c r="Y70">
        <f>HYPERLINK("https://klasma.github.io/Logging_2309/tillsynsmail/A 21848-2024 tillsynsbegäran mail.docx", "A 21848-2024")</f>
        <v/>
      </c>
    </row>
    <row r="71" ht="15" customHeight="1">
      <c r="A71" t="inlineStr">
        <is>
          <t>A 24370-2024</t>
        </is>
      </c>
      <c r="B71" s="1" t="n">
        <v>45457</v>
      </c>
      <c r="C71" s="1" t="n">
        <v>45627</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24437-2024</t>
        </is>
      </c>
      <c r="B72" s="1" t="n">
        <v>45458</v>
      </c>
      <c r="C72" s="1" t="n">
        <v>45627</v>
      </c>
      <c r="D72" t="inlineStr">
        <is>
          <t>JÄMTLANDS LÄN</t>
        </is>
      </c>
      <c r="E72" t="inlineStr">
        <is>
          <t>KROKOM</t>
        </is>
      </c>
      <c r="F72" t="inlineStr">
        <is>
          <t>SCA</t>
        </is>
      </c>
      <c r="G72" t="n">
        <v>18.2</v>
      </c>
      <c r="H72" t="n">
        <v>0</v>
      </c>
      <c r="I72" t="n">
        <v>2</v>
      </c>
      <c r="J72" t="n">
        <v>5</v>
      </c>
      <c r="K72" t="n">
        <v>1</v>
      </c>
      <c r="L72" t="n">
        <v>0</v>
      </c>
      <c r="M72" t="n">
        <v>0</v>
      </c>
      <c r="N72" t="n">
        <v>0</v>
      </c>
      <c r="O72" t="n">
        <v>6</v>
      </c>
      <c r="P72" t="n">
        <v>1</v>
      </c>
      <c r="Q72" t="n">
        <v>8</v>
      </c>
      <c r="R72" s="2" t="inlineStr">
        <is>
          <t>Gräddporing
Dvärgbägarlav
Kolflarnlav
Mörk kolflarnlav
Vedflamlav
Vedskivlav
Dropptaggsvamp
Skinnlav</t>
        </is>
      </c>
      <c r="S72">
        <f>HYPERLINK("https://klasma.github.io/Logging_2309/artfynd/A 24437-2024 artfynd.xlsx", "A 24437-2024")</f>
        <v/>
      </c>
      <c r="T72">
        <f>HYPERLINK("https://klasma.github.io/Logging_2309/kartor/A 24437-2024 karta.png", "A 24437-2024")</f>
        <v/>
      </c>
      <c r="V72">
        <f>HYPERLINK("https://klasma.github.io/Logging_2309/klagomål/A 24437-2024 FSC-klagomål.docx", "A 24437-2024")</f>
        <v/>
      </c>
      <c r="W72">
        <f>HYPERLINK("https://klasma.github.io/Logging_2309/klagomålsmail/A 24437-2024 FSC-klagomål mail.docx", "A 24437-2024")</f>
        <v/>
      </c>
      <c r="X72">
        <f>HYPERLINK("https://klasma.github.io/Logging_2309/tillsyn/A 24437-2024 tillsynsbegäran.docx", "A 24437-2024")</f>
        <v/>
      </c>
      <c r="Y72">
        <f>HYPERLINK("https://klasma.github.io/Logging_2309/tillsynsmail/A 24437-2024 tillsynsbegäran mail.docx", "A 24437-2024")</f>
        <v/>
      </c>
    </row>
    <row r="73" ht="15" customHeight="1">
      <c r="A73" t="inlineStr">
        <is>
          <t>A 27492-2024</t>
        </is>
      </c>
      <c r="B73" s="1" t="n">
        <v>45474</v>
      </c>
      <c r="C73" s="1" t="n">
        <v>45627</v>
      </c>
      <c r="D73" t="inlineStr">
        <is>
          <t>JÄMTLANDS LÄN</t>
        </is>
      </c>
      <c r="E73" t="inlineStr">
        <is>
          <t>KROKOM</t>
        </is>
      </c>
      <c r="G73" t="n">
        <v>5.4</v>
      </c>
      <c r="H73" t="n">
        <v>1</v>
      </c>
      <c r="I73" t="n">
        <v>2</v>
      </c>
      <c r="J73" t="n">
        <v>5</v>
      </c>
      <c r="K73" t="n">
        <v>0</v>
      </c>
      <c r="L73" t="n">
        <v>0</v>
      </c>
      <c r="M73" t="n">
        <v>0</v>
      </c>
      <c r="N73" t="n">
        <v>0</v>
      </c>
      <c r="O73" t="n">
        <v>5</v>
      </c>
      <c r="P73" t="n">
        <v>0</v>
      </c>
      <c r="Q73" t="n">
        <v>8</v>
      </c>
      <c r="R73" s="2" t="inlineStr">
        <is>
          <t>Garnlav
Liten svartspik
Skrovellav
Småflikig brosklav
Vitgrynig nållav
Bårdlav
Skinnlav
Blåsippa</t>
        </is>
      </c>
      <c r="S73">
        <f>HYPERLINK("https://klasma.github.io/Logging_2309/artfynd/A 27492-2024 artfynd.xlsx", "A 27492-2024")</f>
        <v/>
      </c>
      <c r="T73">
        <f>HYPERLINK("https://klasma.github.io/Logging_2309/kartor/A 27492-2024 karta.png", "A 27492-2024")</f>
        <v/>
      </c>
      <c r="V73">
        <f>HYPERLINK("https://klasma.github.io/Logging_2309/klagomål/A 27492-2024 FSC-klagomål.docx", "A 27492-2024")</f>
        <v/>
      </c>
      <c r="W73">
        <f>HYPERLINK("https://klasma.github.io/Logging_2309/klagomålsmail/A 27492-2024 FSC-klagomål mail.docx", "A 27492-2024")</f>
        <v/>
      </c>
      <c r="X73">
        <f>HYPERLINK("https://klasma.github.io/Logging_2309/tillsyn/A 27492-2024 tillsynsbegäran.docx", "A 27492-2024")</f>
        <v/>
      </c>
      <c r="Y73">
        <f>HYPERLINK("https://klasma.github.io/Logging_2309/tillsynsmail/A 27492-2024 tillsynsbegäran mail.docx", "A 27492-2024")</f>
        <v/>
      </c>
    </row>
    <row r="74" ht="15" customHeight="1">
      <c r="A74" t="inlineStr">
        <is>
          <t>A 34953-2020</t>
        </is>
      </c>
      <c r="B74" s="1" t="n">
        <v>44038</v>
      </c>
      <c r="C74" s="1" t="n">
        <v>45627</v>
      </c>
      <c r="D74" t="inlineStr">
        <is>
          <t>JÄMTLANDS LÄN</t>
        </is>
      </c>
      <c r="E74" t="inlineStr">
        <is>
          <t>KROKOM</t>
        </is>
      </c>
      <c r="G74" t="n">
        <v>42.9</v>
      </c>
      <c r="H74" t="n">
        <v>0</v>
      </c>
      <c r="I74" t="n">
        <v>4</v>
      </c>
      <c r="J74" t="n">
        <v>3</v>
      </c>
      <c r="K74" t="n">
        <v>0</v>
      </c>
      <c r="L74" t="n">
        <v>0</v>
      </c>
      <c r="M74" t="n">
        <v>0</v>
      </c>
      <c r="N74" t="n">
        <v>0</v>
      </c>
      <c r="O74" t="n">
        <v>3</v>
      </c>
      <c r="P74" t="n">
        <v>0</v>
      </c>
      <c r="Q74" t="n">
        <v>7</v>
      </c>
      <c r="R74" s="2" t="inlineStr">
        <is>
          <t>Gammelgransskål
Garnlav
Granticka
Bårdlav
Kransrams
Luddlav
Stuplav</t>
        </is>
      </c>
      <c r="S74">
        <f>HYPERLINK("https://klasma.github.io/Logging_2309/artfynd/A 34953-2020 artfynd.xlsx", "A 34953-2020")</f>
        <v/>
      </c>
      <c r="T74">
        <f>HYPERLINK("https://klasma.github.io/Logging_2309/kartor/A 34953-2020 karta.png", "A 34953-2020")</f>
        <v/>
      </c>
      <c r="V74">
        <f>HYPERLINK("https://klasma.github.io/Logging_2309/klagomål/A 34953-2020 FSC-klagomål.docx", "A 34953-2020")</f>
        <v/>
      </c>
      <c r="W74">
        <f>HYPERLINK("https://klasma.github.io/Logging_2309/klagomålsmail/A 34953-2020 FSC-klagomål mail.docx", "A 34953-2020")</f>
        <v/>
      </c>
      <c r="X74">
        <f>HYPERLINK("https://klasma.github.io/Logging_2309/tillsyn/A 34953-2020 tillsynsbegäran.docx", "A 34953-2020")</f>
        <v/>
      </c>
      <c r="Y74">
        <f>HYPERLINK("https://klasma.github.io/Logging_2309/tillsynsmail/A 34953-2020 tillsynsbegäran mail.docx", "A 34953-2020")</f>
        <v/>
      </c>
    </row>
    <row r="75" ht="15" customHeight="1">
      <c r="A75" t="inlineStr">
        <is>
          <t>A 54547-2021</t>
        </is>
      </c>
      <c r="B75" s="1" t="n">
        <v>44473</v>
      </c>
      <c r="C75" s="1" t="n">
        <v>45627</v>
      </c>
      <c r="D75" t="inlineStr">
        <is>
          <t>JÄMTLANDS LÄN</t>
        </is>
      </c>
      <c r="E75" t="inlineStr">
        <is>
          <t>KROKOM</t>
        </is>
      </c>
      <c r="G75" t="n">
        <v>8</v>
      </c>
      <c r="H75" t="n">
        <v>4</v>
      </c>
      <c r="I75" t="n">
        <v>3</v>
      </c>
      <c r="J75" t="n">
        <v>1</v>
      </c>
      <c r="K75" t="n">
        <v>0</v>
      </c>
      <c r="L75" t="n">
        <v>0</v>
      </c>
      <c r="M75" t="n">
        <v>0</v>
      </c>
      <c r="N75" t="n">
        <v>0</v>
      </c>
      <c r="O75" t="n">
        <v>1</v>
      </c>
      <c r="P75" t="n">
        <v>0</v>
      </c>
      <c r="Q75" t="n">
        <v>7</v>
      </c>
      <c r="R75" s="2" t="inlineStr">
        <is>
          <t>Luddfingersvamp
Korallrot
Trådfräken
Ögonpyrola
Dactylorhiza incarnata subsp. incarnata
Fläcknycklar
Revlummer</t>
        </is>
      </c>
      <c r="S75">
        <f>HYPERLINK("https://klasma.github.io/Logging_2309/artfynd/A 54547-2021 artfynd.xlsx", "A 54547-2021")</f>
        <v/>
      </c>
      <c r="T75">
        <f>HYPERLINK("https://klasma.github.io/Logging_2309/kartor/A 54547-2021 karta.png", "A 54547-2021")</f>
        <v/>
      </c>
      <c r="V75">
        <f>HYPERLINK("https://klasma.github.io/Logging_2309/klagomål/A 54547-2021 FSC-klagomål.docx", "A 54547-2021")</f>
        <v/>
      </c>
      <c r="W75">
        <f>HYPERLINK("https://klasma.github.io/Logging_2309/klagomålsmail/A 54547-2021 FSC-klagomål mail.docx", "A 54547-2021")</f>
        <v/>
      </c>
      <c r="X75">
        <f>HYPERLINK("https://klasma.github.io/Logging_2309/tillsyn/A 54547-2021 tillsynsbegäran.docx", "A 54547-2021")</f>
        <v/>
      </c>
      <c r="Y75">
        <f>HYPERLINK("https://klasma.github.io/Logging_2309/tillsynsmail/A 54547-2021 tillsynsbegäran mail.docx", "A 54547-2021")</f>
        <v/>
      </c>
    </row>
    <row r="76" ht="15" customHeight="1">
      <c r="A76" t="inlineStr">
        <is>
          <t>A 61448-2021</t>
        </is>
      </c>
      <c r="B76" s="1" t="n">
        <v>44500</v>
      </c>
      <c r="C76" s="1" t="n">
        <v>45627</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3433-2022</t>
        </is>
      </c>
      <c r="B77" s="1" t="n">
        <v>44585</v>
      </c>
      <c r="C77" s="1" t="n">
        <v>45627</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20169-2022</t>
        </is>
      </c>
      <c r="B78" s="1" t="n">
        <v>44698</v>
      </c>
      <c r="C78" s="1" t="n">
        <v>45627</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23991-2022</t>
        </is>
      </c>
      <c r="B79" s="1" t="n">
        <v>44722</v>
      </c>
      <c r="C79" s="1" t="n">
        <v>45627</v>
      </c>
      <c r="D79" t="inlineStr">
        <is>
          <t>JÄMTLANDS LÄN</t>
        </is>
      </c>
      <c r="E79" t="inlineStr">
        <is>
          <t>KROKOM</t>
        </is>
      </c>
      <c r="F79" t="inlineStr">
        <is>
          <t>SCA</t>
        </is>
      </c>
      <c r="G79" t="n">
        <v>9</v>
      </c>
      <c r="H79" t="n">
        <v>3</v>
      </c>
      <c r="I79" t="n">
        <v>1</v>
      </c>
      <c r="J79" t="n">
        <v>5</v>
      </c>
      <c r="K79" t="n">
        <v>1</v>
      </c>
      <c r="L79" t="n">
        <v>0</v>
      </c>
      <c r="M79" t="n">
        <v>0</v>
      </c>
      <c r="N79" t="n">
        <v>0</v>
      </c>
      <c r="O79" t="n">
        <v>6</v>
      </c>
      <c r="P79" t="n">
        <v>1</v>
      </c>
      <c r="Q79" t="n">
        <v>7</v>
      </c>
      <c r="R79" s="2" t="inlineStr">
        <is>
          <t>Knärot
Doftskinn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36373-2023</t>
        </is>
      </c>
      <c r="B80" s="1" t="n">
        <v>45149</v>
      </c>
      <c r="C80" s="1" t="n">
        <v>45627</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62118-2023</t>
        </is>
      </c>
      <c r="B81" s="1" t="n">
        <v>45267</v>
      </c>
      <c r="C81" s="1" t="n">
        <v>45627</v>
      </c>
      <c r="D81" t="inlineStr">
        <is>
          <t>JÄMTLANDS LÄN</t>
        </is>
      </c>
      <c r="E81" t="inlineStr">
        <is>
          <t>KROKOM</t>
        </is>
      </c>
      <c r="G81" t="n">
        <v>5.3</v>
      </c>
      <c r="H81" t="n">
        <v>4</v>
      </c>
      <c r="I81" t="n">
        <v>1</v>
      </c>
      <c r="J81" t="n">
        <v>4</v>
      </c>
      <c r="K81" t="n">
        <v>2</v>
      </c>
      <c r="L81" t="n">
        <v>0</v>
      </c>
      <c r="M81" t="n">
        <v>0</v>
      </c>
      <c r="N81" t="n">
        <v>0</v>
      </c>
      <c r="O81" t="n">
        <v>6</v>
      </c>
      <c r="P81" t="n">
        <v>2</v>
      </c>
      <c r="Q81" t="n">
        <v>7</v>
      </c>
      <c r="R81" s="2" t="inlineStr">
        <is>
          <t>Doftticka
Knärot
Garnlav
Lunglav
Spillkråka
Talltita
Skinnlav</t>
        </is>
      </c>
      <c r="S81">
        <f>HYPERLINK("https://klasma.github.io/Logging_2309/artfynd/A 62118-2023 artfynd.xlsx", "A 62118-2023")</f>
        <v/>
      </c>
      <c r="T81">
        <f>HYPERLINK("https://klasma.github.io/Logging_2309/kartor/A 62118-2023 karta.png", "A 62118-2023")</f>
        <v/>
      </c>
      <c r="U81">
        <f>HYPERLINK("https://klasma.github.io/Logging_2309/knärot/A 62118-2023 karta knärot.png", "A 62118-2023")</f>
        <v/>
      </c>
      <c r="V81">
        <f>HYPERLINK("https://klasma.github.io/Logging_2309/klagomål/A 62118-2023 FSC-klagomål.docx", "A 62118-2023")</f>
        <v/>
      </c>
      <c r="W81">
        <f>HYPERLINK("https://klasma.github.io/Logging_2309/klagomålsmail/A 62118-2023 FSC-klagomål mail.docx", "A 62118-2023")</f>
        <v/>
      </c>
      <c r="X81">
        <f>HYPERLINK("https://klasma.github.io/Logging_2309/tillsyn/A 62118-2023 tillsynsbegäran.docx", "A 62118-2023")</f>
        <v/>
      </c>
      <c r="Y81">
        <f>HYPERLINK("https://klasma.github.io/Logging_2309/tillsynsmail/A 62118-2023 tillsynsbegäran mail.docx", "A 62118-2023")</f>
        <v/>
      </c>
      <c r="Z81">
        <f>HYPERLINK("https://klasma.github.io/Logging_2309/fåglar/A 62118-2023 prioriterade fågelarter.docx", "A 62118-2023")</f>
        <v/>
      </c>
    </row>
    <row r="82" ht="15" customHeight="1">
      <c r="A82" t="inlineStr">
        <is>
          <t>A 3134-2024</t>
        </is>
      </c>
      <c r="B82" s="1" t="n">
        <v>45316</v>
      </c>
      <c r="C82" s="1" t="n">
        <v>45627</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23632-2024</t>
        </is>
      </c>
      <c r="B83" s="1" t="n">
        <v>45454</v>
      </c>
      <c r="C83" s="1" t="n">
        <v>45627</v>
      </c>
      <c r="D83" t="inlineStr">
        <is>
          <t>JÄMTLANDS LÄN</t>
        </is>
      </c>
      <c r="E83" t="inlineStr">
        <is>
          <t>KROKOM</t>
        </is>
      </c>
      <c r="G83" t="n">
        <v>9.5</v>
      </c>
      <c r="H83" t="n">
        <v>2</v>
      </c>
      <c r="I83" t="n">
        <v>0</v>
      </c>
      <c r="J83" t="n">
        <v>6</v>
      </c>
      <c r="K83" t="n">
        <v>1</v>
      </c>
      <c r="L83" t="n">
        <v>0</v>
      </c>
      <c r="M83" t="n">
        <v>0</v>
      </c>
      <c r="N83" t="n">
        <v>0</v>
      </c>
      <c r="O83" t="n">
        <v>7</v>
      </c>
      <c r="P83" t="n">
        <v>1</v>
      </c>
      <c r="Q83" t="n">
        <v>7</v>
      </c>
      <c r="R83" s="2" t="inlineStr">
        <is>
          <t>Rynkskinn
Garnlav
Granticka
Harticka
Spillkråka
Tretåig hackspett
Ullticka</t>
        </is>
      </c>
      <c r="S83">
        <f>HYPERLINK("https://klasma.github.io/Logging_2309/artfynd/A 23632-2024 artfynd.xlsx", "A 23632-2024")</f>
        <v/>
      </c>
      <c r="T83">
        <f>HYPERLINK("https://klasma.github.io/Logging_2309/kartor/A 23632-2024 karta.png", "A 23632-2024")</f>
        <v/>
      </c>
      <c r="V83">
        <f>HYPERLINK("https://klasma.github.io/Logging_2309/klagomål/A 23632-2024 FSC-klagomål.docx", "A 23632-2024")</f>
        <v/>
      </c>
      <c r="W83">
        <f>HYPERLINK("https://klasma.github.io/Logging_2309/klagomålsmail/A 23632-2024 FSC-klagomål mail.docx", "A 23632-2024")</f>
        <v/>
      </c>
      <c r="X83">
        <f>HYPERLINK("https://klasma.github.io/Logging_2309/tillsyn/A 23632-2024 tillsynsbegäran.docx", "A 23632-2024")</f>
        <v/>
      </c>
      <c r="Y83">
        <f>HYPERLINK("https://klasma.github.io/Logging_2309/tillsynsmail/A 23632-2024 tillsynsbegäran mail.docx", "A 23632-2024")</f>
        <v/>
      </c>
      <c r="Z83">
        <f>HYPERLINK("https://klasma.github.io/Logging_2309/fåglar/A 23632-2024 prioriterade fågelarter.docx", "A 23632-2024")</f>
        <v/>
      </c>
    </row>
    <row r="84" ht="15" customHeight="1">
      <c r="A84" t="inlineStr">
        <is>
          <t>A 26425-2024</t>
        </is>
      </c>
      <c r="B84" s="1" t="n">
        <v>45469</v>
      </c>
      <c r="C84" s="1" t="n">
        <v>45627</v>
      </c>
      <c r="D84" t="inlineStr">
        <is>
          <t>JÄMTLANDS LÄN</t>
        </is>
      </c>
      <c r="E84" t="inlineStr">
        <is>
          <t>KROKOM</t>
        </is>
      </c>
      <c r="F84" t="inlineStr">
        <is>
          <t>Övriga Aktiebolag</t>
        </is>
      </c>
      <c r="G84" t="n">
        <v>23.5</v>
      </c>
      <c r="H84" t="n">
        <v>1</v>
      </c>
      <c r="I84" t="n">
        <v>0</v>
      </c>
      <c r="J84" t="n">
        <v>7</v>
      </c>
      <c r="K84" t="n">
        <v>0</v>
      </c>
      <c r="L84" t="n">
        <v>0</v>
      </c>
      <c r="M84" t="n">
        <v>0</v>
      </c>
      <c r="N84" t="n">
        <v>0</v>
      </c>
      <c r="O84" t="n">
        <v>7</v>
      </c>
      <c r="P84" t="n">
        <v>0</v>
      </c>
      <c r="Q84" t="n">
        <v>7</v>
      </c>
      <c r="R84" s="2" t="inlineStr">
        <is>
          <t>Garnlav
Granticka
Harticka
Lunglav
Skrovellav
Tretåig hackspett
Ullticka</t>
        </is>
      </c>
      <c r="S84">
        <f>HYPERLINK("https://klasma.github.io/Logging_2309/artfynd/A 26425-2024 artfynd.xlsx", "A 26425-2024")</f>
        <v/>
      </c>
      <c r="T84">
        <f>HYPERLINK("https://klasma.github.io/Logging_2309/kartor/A 26425-2024 karta.png", "A 26425-2024")</f>
        <v/>
      </c>
      <c r="V84">
        <f>HYPERLINK("https://klasma.github.io/Logging_2309/klagomål/A 26425-2024 FSC-klagomål.docx", "A 26425-2024")</f>
        <v/>
      </c>
      <c r="W84">
        <f>HYPERLINK("https://klasma.github.io/Logging_2309/klagomålsmail/A 26425-2024 FSC-klagomål mail.docx", "A 26425-2024")</f>
        <v/>
      </c>
      <c r="X84">
        <f>HYPERLINK("https://klasma.github.io/Logging_2309/tillsyn/A 26425-2024 tillsynsbegäran.docx", "A 26425-2024")</f>
        <v/>
      </c>
      <c r="Y84">
        <f>HYPERLINK("https://klasma.github.io/Logging_2309/tillsynsmail/A 26425-2024 tillsynsbegäran mail.docx", "A 26425-2024")</f>
        <v/>
      </c>
      <c r="Z84">
        <f>HYPERLINK("https://klasma.github.io/Logging_2309/fåglar/A 26425-2024 prioriterade fågelarter.docx", "A 26425-2024")</f>
        <v/>
      </c>
    </row>
    <row r="85" ht="15" customHeight="1">
      <c r="A85" t="inlineStr">
        <is>
          <t>A 27771-2024</t>
        </is>
      </c>
      <c r="B85" s="1" t="n">
        <v>45475</v>
      </c>
      <c r="C85" s="1" t="n">
        <v>45627</v>
      </c>
      <c r="D85" t="inlineStr">
        <is>
          <t>JÄMTLANDS LÄN</t>
        </is>
      </c>
      <c r="E85" t="inlineStr">
        <is>
          <t>KROKOM</t>
        </is>
      </c>
      <c r="F85" t="inlineStr">
        <is>
          <t>Allmännings- och besparingsskogar</t>
        </is>
      </c>
      <c r="G85" t="n">
        <v>42.5</v>
      </c>
      <c r="H85" t="n">
        <v>4</v>
      </c>
      <c r="I85" t="n">
        <v>2</v>
      </c>
      <c r="J85" t="n">
        <v>4</v>
      </c>
      <c r="K85" t="n">
        <v>1</v>
      </c>
      <c r="L85" t="n">
        <v>0</v>
      </c>
      <c r="M85" t="n">
        <v>0</v>
      </c>
      <c r="N85" t="n">
        <v>0</v>
      </c>
      <c r="O85" t="n">
        <v>5</v>
      </c>
      <c r="P85" t="n">
        <v>1</v>
      </c>
      <c r="Q85" t="n">
        <v>7</v>
      </c>
      <c r="R85" s="2" t="inlineStr">
        <is>
          <t>Knärot
Garnlav
Granticka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49972-2024</t>
        </is>
      </c>
      <c r="B86" s="1" t="n">
        <v>45597</v>
      </c>
      <c r="C86" s="1" t="n">
        <v>45627</v>
      </c>
      <c r="D86" t="inlineStr">
        <is>
          <t>JÄMTLANDS LÄN</t>
        </is>
      </c>
      <c r="E86" t="inlineStr">
        <is>
          <t>KROKOM</t>
        </is>
      </c>
      <c r="G86" t="n">
        <v>13.4</v>
      </c>
      <c r="H86" t="n">
        <v>5</v>
      </c>
      <c r="I86" t="n">
        <v>0</v>
      </c>
      <c r="J86" t="n">
        <v>6</v>
      </c>
      <c r="K86" t="n">
        <v>0</v>
      </c>
      <c r="L86" t="n">
        <v>0</v>
      </c>
      <c r="M86" t="n">
        <v>0</v>
      </c>
      <c r="N86" t="n">
        <v>0</v>
      </c>
      <c r="O86" t="n">
        <v>6</v>
      </c>
      <c r="P86" t="n">
        <v>0</v>
      </c>
      <c r="Q86" t="n">
        <v>7</v>
      </c>
      <c r="R86" s="2" t="inlineStr">
        <is>
          <t>Garnlav
Granticka
Järpe
Spillkråka
Talltita
Tretåig hackspett
Brudsporre</t>
        </is>
      </c>
      <c r="S86">
        <f>HYPERLINK("https://klasma.github.io/Logging_2309/artfynd/A 49972-2024 artfynd.xlsx", "A 49972-2024")</f>
        <v/>
      </c>
      <c r="T86">
        <f>HYPERLINK("https://klasma.github.io/Logging_2309/kartor/A 49972-2024 karta.png", "A 49972-2024")</f>
        <v/>
      </c>
      <c r="V86">
        <f>HYPERLINK("https://klasma.github.io/Logging_2309/klagomål/A 49972-2024 FSC-klagomål.docx", "A 49972-2024")</f>
        <v/>
      </c>
      <c r="W86">
        <f>HYPERLINK("https://klasma.github.io/Logging_2309/klagomålsmail/A 49972-2024 FSC-klagomål mail.docx", "A 49972-2024")</f>
        <v/>
      </c>
      <c r="X86">
        <f>HYPERLINK("https://klasma.github.io/Logging_2309/tillsyn/A 49972-2024 tillsynsbegäran.docx", "A 49972-2024")</f>
        <v/>
      </c>
      <c r="Y86">
        <f>HYPERLINK("https://klasma.github.io/Logging_2309/tillsynsmail/A 49972-2024 tillsynsbegäran mail.docx", "A 49972-2024")</f>
        <v/>
      </c>
      <c r="Z86">
        <f>HYPERLINK("https://klasma.github.io/Logging_2309/fåglar/A 49972-2024 prioriterade fågelarter.docx", "A 49972-2024")</f>
        <v/>
      </c>
    </row>
    <row r="87" ht="15" customHeight="1">
      <c r="A87" t="inlineStr">
        <is>
          <t>A 68314-2019</t>
        </is>
      </c>
      <c r="B87" s="1" t="n">
        <v>43817</v>
      </c>
      <c r="C87" s="1" t="n">
        <v>45627</v>
      </c>
      <c r="D87" t="inlineStr">
        <is>
          <t>JÄMTLANDS LÄN</t>
        </is>
      </c>
      <c r="E87" t="inlineStr">
        <is>
          <t>KROKOM</t>
        </is>
      </c>
      <c r="F87" t="inlineStr">
        <is>
          <t>SCA</t>
        </is>
      </c>
      <c r="G87" t="n">
        <v>12.6</v>
      </c>
      <c r="H87" t="n">
        <v>0</v>
      </c>
      <c r="I87" t="n">
        <v>1</v>
      </c>
      <c r="J87" t="n">
        <v>3</v>
      </c>
      <c r="K87" t="n">
        <v>2</v>
      </c>
      <c r="L87" t="n">
        <v>0</v>
      </c>
      <c r="M87" t="n">
        <v>0</v>
      </c>
      <c r="N87" t="n">
        <v>0</v>
      </c>
      <c r="O87" t="n">
        <v>5</v>
      </c>
      <c r="P87" t="n">
        <v>2</v>
      </c>
      <c r="Q87" t="n">
        <v>6</v>
      </c>
      <c r="R87" s="2" t="inlineStr">
        <is>
          <t>Gräddporing
Rynkskinn
Doftskinn
Tallticka
Vedtrappmossa
Korallblylav</t>
        </is>
      </c>
      <c r="S87">
        <f>HYPERLINK("https://klasma.github.io/Logging_2309/artfynd/A 68314-2019 artfynd.xlsx", "A 68314-2019")</f>
        <v/>
      </c>
      <c r="T87">
        <f>HYPERLINK("https://klasma.github.io/Logging_2309/kartor/A 68314-2019 karta.png", "A 68314-2019")</f>
        <v/>
      </c>
      <c r="V87">
        <f>HYPERLINK("https://klasma.github.io/Logging_2309/klagomål/A 68314-2019 FSC-klagomål.docx", "A 68314-2019")</f>
        <v/>
      </c>
      <c r="W87">
        <f>HYPERLINK("https://klasma.github.io/Logging_2309/klagomålsmail/A 68314-2019 FSC-klagomål mail.docx", "A 68314-2019")</f>
        <v/>
      </c>
      <c r="X87">
        <f>HYPERLINK("https://klasma.github.io/Logging_2309/tillsyn/A 68314-2019 tillsynsbegäran.docx", "A 68314-2019")</f>
        <v/>
      </c>
      <c r="Y87">
        <f>HYPERLINK("https://klasma.github.io/Logging_2309/tillsynsmail/A 68314-2019 tillsynsbegäran mail.docx", "A 68314-2019")</f>
        <v/>
      </c>
    </row>
    <row r="88" ht="15" customHeight="1">
      <c r="A88" t="inlineStr">
        <is>
          <t>A 31537-2020</t>
        </is>
      </c>
      <c r="B88" s="1" t="n">
        <v>44013</v>
      </c>
      <c r="C88" s="1" t="n">
        <v>45627</v>
      </c>
      <c r="D88" t="inlineStr">
        <is>
          <t>JÄMTLANDS LÄN</t>
        </is>
      </c>
      <c r="E88" t="inlineStr">
        <is>
          <t>KROKOM</t>
        </is>
      </c>
      <c r="G88" t="n">
        <v>5</v>
      </c>
      <c r="H88" t="n">
        <v>2</v>
      </c>
      <c r="I88" t="n">
        <v>1</v>
      </c>
      <c r="J88" t="n">
        <v>4</v>
      </c>
      <c r="K88" t="n">
        <v>1</v>
      </c>
      <c r="L88" t="n">
        <v>0</v>
      </c>
      <c r="M88" t="n">
        <v>0</v>
      </c>
      <c r="N88" t="n">
        <v>0</v>
      </c>
      <c r="O88" t="n">
        <v>5</v>
      </c>
      <c r="P88" t="n">
        <v>1</v>
      </c>
      <c r="Q88" t="n">
        <v>6</v>
      </c>
      <c r="R88" s="2" t="inlineStr">
        <is>
          <t>Knärot
Garnlav
Gränsticka
Tretåig hackspett
Ullticka
Korallblylav</t>
        </is>
      </c>
      <c r="S88">
        <f>HYPERLINK("https://klasma.github.io/Logging_2309/artfynd/A 31537-2020 artfynd.xlsx", "A 31537-2020")</f>
        <v/>
      </c>
      <c r="T88">
        <f>HYPERLINK("https://klasma.github.io/Logging_2309/kartor/A 31537-2020 karta.png", "A 31537-2020")</f>
        <v/>
      </c>
      <c r="U88">
        <f>HYPERLINK("https://klasma.github.io/Logging_2309/knärot/A 31537-2020 karta knärot.png", "A 31537-2020")</f>
        <v/>
      </c>
      <c r="V88">
        <f>HYPERLINK("https://klasma.github.io/Logging_2309/klagomål/A 31537-2020 FSC-klagomål.docx", "A 31537-2020")</f>
        <v/>
      </c>
      <c r="W88">
        <f>HYPERLINK("https://klasma.github.io/Logging_2309/klagomålsmail/A 31537-2020 FSC-klagomål mail.docx", "A 31537-2020")</f>
        <v/>
      </c>
      <c r="X88">
        <f>HYPERLINK("https://klasma.github.io/Logging_2309/tillsyn/A 31537-2020 tillsynsbegäran.docx", "A 31537-2020")</f>
        <v/>
      </c>
      <c r="Y88">
        <f>HYPERLINK("https://klasma.github.io/Logging_2309/tillsynsmail/A 31537-2020 tillsynsbegäran mail.docx", "A 31537-2020")</f>
        <v/>
      </c>
      <c r="Z88">
        <f>HYPERLINK("https://klasma.github.io/Logging_2309/fåglar/A 31537-2020 prioriterade fågelarter.docx", "A 31537-2020")</f>
        <v/>
      </c>
    </row>
    <row r="89" ht="15" customHeight="1">
      <c r="A89" t="inlineStr">
        <is>
          <t>A 61315-2020</t>
        </is>
      </c>
      <c r="B89" s="1" t="n">
        <v>44155</v>
      </c>
      <c r="C89" s="1" t="n">
        <v>45627</v>
      </c>
      <c r="D89" t="inlineStr">
        <is>
          <t>JÄMTLANDS LÄN</t>
        </is>
      </c>
      <c r="E89" t="inlineStr">
        <is>
          <t>KROKOM</t>
        </is>
      </c>
      <c r="F89" t="inlineStr">
        <is>
          <t>Övriga Aktiebolag</t>
        </is>
      </c>
      <c r="G89" t="n">
        <v>56.4</v>
      </c>
      <c r="H89" t="n">
        <v>0</v>
      </c>
      <c r="I89" t="n">
        <v>3</v>
      </c>
      <c r="J89" t="n">
        <v>3</v>
      </c>
      <c r="K89" t="n">
        <v>0</v>
      </c>
      <c r="L89" t="n">
        <v>0</v>
      </c>
      <c r="M89" t="n">
        <v>0</v>
      </c>
      <c r="N89" t="n">
        <v>0</v>
      </c>
      <c r="O89" t="n">
        <v>3</v>
      </c>
      <c r="P89" t="n">
        <v>0</v>
      </c>
      <c r="Q89" t="n">
        <v>6</v>
      </c>
      <c r="R89" s="2" t="inlineStr">
        <is>
          <t>Gammelgransskål
Granticka
Vitgrynig nållav
Barkkornlav
Skinnlav
Vedticka</t>
        </is>
      </c>
      <c r="S89">
        <f>HYPERLINK("https://klasma.github.io/Logging_2309/artfynd/A 61315-2020 artfynd.xlsx", "A 61315-2020")</f>
        <v/>
      </c>
      <c r="T89">
        <f>HYPERLINK("https://klasma.github.io/Logging_2309/kartor/A 61315-2020 karta.png", "A 61315-2020")</f>
        <v/>
      </c>
      <c r="V89">
        <f>HYPERLINK("https://klasma.github.io/Logging_2309/klagomål/A 61315-2020 FSC-klagomål.docx", "A 61315-2020")</f>
        <v/>
      </c>
      <c r="W89">
        <f>HYPERLINK("https://klasma.github.io/Logging_2309/klagomålsmail/A 61315-2020 FSC-klagomål mail.docx", "A 61315-2020")</f>
        <v/>
      </c>
      <c r="X89">
        <f>HYPERLINK("https://klasma.github.io/Logging_2309/tillsyn/A 61315-2020 tillsynsbegäran.docx", "A 61315-2020")</f>
        <v/>
      </c>
      <c r="Y89">
        <f>HYPERLINK("https://klasma.github.io/Logging_2309/tillsynsmail/A 61315-2020 tillsynsbegäran mail.docx", "A 61315-2020")</f>
        <v/>
      </c>
    </row>
    <row r="90" ht="15" customHeight="1">
      <c r="A90" t="inlineStr">
        <is>
          <t>A 11786-2021</t>
        </is>
      </c>
      <c r="B90" s="1" t="n">
        <v>44265</v>
      </c>
      <c r="C90" s="1" t="n">
        <v>45627</v>
      </c>
      <c r="D90" t="inlineStr">
        <is>
          <t>JÄMTLANDS LÄN</t>
        </is>
      </c>
      <c r="E90" t="inlineStr">
        <is>
          <t>KROKOM</t>
        </is>
      </c>
      <c r="G90" t="n">
        <v>6.1</v>
      </c>
      <c r="H90" t="n">
        <v>2</v>
      </c>
      <c r="I90" t="n">
        <v>1</v>
      </c>
      <c r="J90" t="n">
        <v>4</v>
      </c>
      <c r="K90" t="n">
        <v>1</v>
      </c>
      <c r="L90" t="n">
        <v>0</v>
      </c>
      <c r="M90" t="n">
        <v>0</v>
      </c>
      <c r="N90" t="n">
        <v>0</v>
      </c>
      <c r="O90" t="n">
        <v>5</v>
      </c>
      <c r="P90" t="n">
        <v>1</v>
      </c>
      <c r="Q90" t="n">
        <v>6</v>
      </c>
      <c r="R90" s="2" t="inlineStr">
        <is>
          <t>Sprickporing
Garnlav
Granticka
Spillkråka
Tretåig hackspett
Vedticka</t>
        </is>
      </c>
      <c r="S90">
        <f>HYPERLINK("https://klasma.github.io/Logging_2309/artfynd/A 11786-2021 artfynd.xlsx", "A 11786-2021")</f>
        <v/>
      </c>
      <c r="T90">
        <f>HYPERLINK("https://klasma.github.io/Logging_2309/kartor/A 11786-2021 karta.png", "A 11786-2021")</f>
        <v/>
      </c>
      <c r="V90">
        <f>HYPERLINK("https://klasma.github.io/Logging_2309/klagomål/A 11786-2021 FSC-klagomål.docx", "A 11786-2021")</f>
        <v/>
      </c>
      <c r="W90">
        <f>HYPERLINK("https://klasma.github.io/Logging_2309/klagomålsmail/A 11786-2021 FSC-klagomål mail.docx", "A 11786-2021")</f>
        <v/>
      </c>
      <c r="X90">
        <f>HYPERLINK("https://klasma.github.io/Logging_2309/tillsyn/A 11786-2021 tillsynsbegäran.docx", "A 11786-2021")</f>
        <v/>
      </c>
      <c r="Y90">
        <f>HYPERLINK("https://klasma.github.io/Logging_2309/tillsynsmail/A 11786-2021 tillsynsbegäran mail.docx", "A 11786-2021")</f>
        <v/>
      </c>
      <c r="Z90">
        <f>HYPERLINK("https://klasma.github.io/Logging_2309/fåglar/A 11786-2021 prioriterade fågelarter.docx", "A 11786-2021")</f>
        <v/>
      </c>
    </row>
    <row r="91" ht="15" customHeight="1">
      <c r="A91" t="inlineStr">
        <is>
          <t>A 12925-2021</t>
        </is>
      </c>
      <c r="B91" s="1" t="n">
        <v>44271</v>
      </c>
      <c r="C91" s="1" t="n">
        <v>45627</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56194-2021</t>
        </is>
      </c>
      <c r="B92" s="1" t="n">
        <v>44477</v>
      </c>
      <c r="C92" s="1" t="n">
        <v>45627</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60004-2021</t>
        </is>
      </c>
      <c r="B93" s="1" t="n">
        <v>44494</v>
      </c>
      <c r="C93" s="1" t="n">
        <v>45627</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70205-2021</t>
        </is>
      </c>
      <c r="B94" s="1" t="n">
        <v>44534</v>
      </c>
      <c r="C94" s="1" t="n">
        <v>45627</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35158-2022</t>
        </is>
      </c>
      <c r="B95" s="1" t="n">
        <v>44797</v>
      </c>
      <c r="C95" s="1" t="n">
        <v>45627</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45627</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56247-2022</t>
        </is>
      </c>
      <c r="B97" s="1" t="n">
        <v>44890</v>
      </c>
      <c r="C97" s="1" t="n">
        <v>45627</v>
      </c>
      <c r="D97" t="inlineStr">
        <is>
          <t>JÄMTLANDS LÄN</t>
        </is>
      </c>
      <c r="E97" t="inlineStr">
        <is>
          <t>KROKOM</t>
        </is>
      </c>
      <c r="F97" t="inlineStr">
        <is>
          <t>Övriga Aktiebolag</t>
        </is>
      </c>
      <c r="G97" t="n">
        <v>40.3</v>
      </c>
      <c r="H97" t="n">
        <v>3</v>
      </c>
      <c r="I97" t="n">
        <v>2</v>
      </c>
      <c r="J97" t="n">
        <v>4</v>
      </c>
      <c r="K97" t="n">
        <v>0</v>
      </c>
      <c r="L97" t="n">
        <v>0</v>
      </c>
      <c r="M97" t="n">
        <v>0</v>
      </c>
      <c r="N97" t="n">
        <v>0</v>
      </c>
      <c r="O97" t="n">
        <v>4</v>
      </c>
      <c r="P97" t="n">
        <v>0</v>
      </c>
      <c r="Q97" t="n">
        <v>6</v>
      </c>
      <c r="R97" s="2" t="inlineStr">
        <is>
          <t>Gammelgransskål
Granticka
Spillkråka
Tretåig hackspett
Spindelblomster
Trådticka</t>
        </is>
      </c>
      <c r="S97">
        <f>HYPERLINK("https://klasma.github.io/Logging_2309/artfynd/A 56247-2022 artfynd.xlsx", "A 56247-2022")</f>
        <v/>
      </c>
      <c r="T97">
        <f>HYPERLINK("https://klasma.github.io/Logging_2309/kartor/A 56247-2022 karta.png", "A 56247-2022")</f>
        <v/>
      </c>
      <c r="V97">
        <f>HYPERLINK("https://klasma.github.io/Logging_2309/klagomål/A 56247-2022 FSC-klagomål.docx", "A 56247-2022")</f>
        <v/>
      </c>
      <c r="W97">
        <f>HYPERLINK("https://klasma.github.io/Logging_2309/klagomålsmail/A 56247-2022 FSC-klagomål mail.docx", "A 56247-2022")</f>
        <v/>
      </c>
      <c r="X97">
        <f>HYPERLINK("https://klasma.github.io/Logging_2309/tillsyn/A 56247-2022 tillsynsbegäran.docx", "A 56247-2022")</f>
        <v/>
      </c>
      <c r="Y97">
        <f>HYPERLINK("https://klasma.github.io/Logging_2309/tillsynsmail/A 56247-2022 tillsynsbegäran mail.docx", "A 56247-2022")</f>
        <v/>
      </c>
      <c r="Z97">
        <f>HYPERLINK("https://klasma.github.io/Logging_2309/fåglar/A 56247-2022 prioriterade fågelarter.docx", "A 56247-2022")</f>
        <v/>
      </c>
    </row>
    <row r="98" ht="15" customHeight="1">
      <c r="A98" t="inlineStr">
        <is>
          <t>A 42385-2023</t>
        </is>
      </c>
      <c r="B98" s="1" t="n">
        <v>45180</v>
      </c>
      <c r="C98" s="1" t="n">
        <v>45627</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48219-2023</t>
        </is>
      </c>
      <c r="B99" s="1" t="n">
        <v>45200</v>
      </c>
      <c r="C99" s="1" t="n">
        <v>45627</v>
      </c>
      <c r="D99" t="inlineStr">
        <is>
          <t>JÄMTLANDS LÄN</t>
        </is>
      </c>
      <c r="E99" t="inlineStr">
        <is>
          <t>KROKOM</t>
        </is>
      </c>
      <c r="G99" t="n">
        <v>2</v>
      </c>
      <c r="H99" t="n">
        <v>1</v>
      </c>
      <c r="I99" t="n">
        <v>0</v>
      </c>
      <c r="J99" t="n">
        <v>5</v>
      </c>
      <c r="K99" t="n">
        <v>1</v>
      </c>
      <c r="L99" t="n">
        <v>0</v>
      </c>
      <c r="M99" t="n">
        <v>0</v>
      </c>
      <c r="N99" t="n">
        <v>0</v>
      </c>
      <c r="O99" t="n">
        <v>6</v>
      </c>
      <c r="P99" t="n">
        <v>1</v>
      </c>
      <c r="Q99" t="n">
        <v>6</v>
      </c>
      <c r="R99" s="2" t="inlineStr">
        <is>
          <t>Doftticka
Doftskinn
Liten svartspik
Lunglav
Rödbrun blekspik
Vitgrynig nållav</t>
        </is>
      </c>
      <c r="S99">
        <f>HYPERLINK("https://klasma.github.io/Logging_2309/artfynd/A 48219-2023 artfynd.xlsx", "A 48219-2023")</f>
        <v/>
      </c>
      <c r="T99">
        <f>HYPERLINK("https://klasma.github.io/Logging_2309/kartor/A 48219-2023 karta.png", "A 48219-2023")</f>
        <v/>
      </c>
      <c r="V99">
        <f>HYPERLINK("https://klasma.github.io/Logging_2309/klagomål/A 48219-2023 FSC-klagomål.docx", "A 48219-2023")</f>
        <v/>
      </c>
      <c r="W99">
        <f>HYPERLINK("https://klasma.github.io/Logging_2309/klagomålsmail/A 48219-2023 FSC-klagomål mail.docx", "A 48219-2023")</f>
        <v/>
      </c>
      <c r="X99">
        <f>HYPERLINK("https://klasma.github.io/Logging_2309/tillsyn/A 48219-2023 tillsynsbegäran.docx", "A 48219-2023")</f>
        <v/>
      </c>
      <c r="Y99">
        <f>HYPERLINK("https://klasma.github.io/Logging_2309/tillsynsmail/A 48219-2023 tillsynsbegäran mail.docx", "A 48219-2023")</f>
        <v/>
      </c>
    </row>
    <row r="100" ht="15" customHeight="1">
      <c r="A100" t="inlineStr">
        <is>
          <t>A 50389-2023</t>
        </is>
      </c>
      <c r="B100" s="1" t="n">
        <v>45209</v>
      </c>
      <c r="C100" s="1" t="n">
        <v>45627</v>
      </c>
      <c r="D100" t="inlineStr">
        <is>
          <t>JÄMTLANDS LÄN</t>
        </is>
      </c>
      <c r="E100" t="inlineStr">
        <is>
          <t>KROKOM</t>
        </is>
      </c>
      <c r="G100" t="n">
        <v>14.7</v>
      </c>
      <c r="H100" t="n">
        <v>2</v>
      </c>
      <c r="I100" t="n">
        <v>1</v>
      </c>
      <c r="J100" t="n">
        <v>5</v>
      </c>
      <c r="K100" t="n">
        <v>0</v>
      </c>
      <c r="L100" t="n">
        <v>0</v>
      </c>
      <c r="M100" t="n">
        <v>0</v>
      </c>
      <c r="N100" t="n">
        <v>0</v>
      </c>
      <c r="O100" t="n">
        <v>5</v>
      </c>
      <c r="P100" t="n">
        <v>0</v>
      </c>
      <c r="Q100" t="n">
        <v>6</v>
      </c>
      <c r="R100" s="2" t="inlineStr">
        <is>
          <t>Doftskinn
Garnlav
Harticka
Spillkråka
Tretåig hackspett
Trådticka</t>
        </is>
      </c>
      <c r="S100">
        <f>HYPERLINK("https://klasma.github.io/Logging_2309/artfynd/A 50389-2023 artfynd.xlsx", "A 50389-2023")</f>
        <v/>
      </c>
      <c r="T100">
        <f>HYPERLINK("https://klasma.github.io/Logging_2309/kartor/A 50389-2023 karta.png", "A 50389-2023")</f>
        <v/>
      </c>
      <c r="V100">
        <f>HYPERLINK("https://klasma.github.io/Logging_2309/klagomål/A 50389-2023 FSC-klagomål.docx", "A 50389-2023")</f>
        <v/>
      </c>
      <c r="W100">
        <f>HYPERLINK("https://klasma.github.io/Logging_2309/klagomålsmail/A 50389-2023 FSC-klagomål mail.docx", "A 50389-2023")</f>
        <v/>
      </c>
      <c r="X100">
        <f>HYPERLINK("https://klasma.github.io/Logging_2309/tillsyn/A 50389-2023 tillsynsbegäran.docx", "A 50389-2023")</f>
        <v/>
      </c>
      <c r="Y100">
        <f>HYPERLINK("https://klasma.github.io/Logging_2309/tillsynsmail/A 50389-2023 tillsynsbegäran mail.docx", "A 50389-2023")</f>
        <v/>
      </c>
      <c r="Z100">
        <f>HYPERLINK("https://klasma.github.io/Logging_2309/fåglar/A 50389-2023 prioriterade fågelarter.docx", "A 50389-2023")</f>
        <v/>
      </c>
    </row>
    <row r="101" ht="15" customHeight="1">
      <c r="A101" t="inlineStr">
        <is>
          <t>A 58951-2023</t>
        </is>
      </c>
      <c r="B101" s="1" t="n">
        <v>45252</v>
      </c>
      <c r="C101" s="1" t="n">
        <v>45627</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24451-2024</t>
        </is>
      </c>
      <c r="B102" s="1" t="n">
        <v>45458</v>
      </c>
      <c r="C102" s="1" t="n">
        <v>45627</v>
      </c>
      <c r="D102" t="inlineStr">
        <is>
          <t>JÄMTLANDS LÄN</t>
        </is>
      </c>
      <c r="E102" t="inlineStr">
        <is>
          <t>KROKOM</t>
        </is>
      </c>
      <c r="F102" t="inlineStr">
        <is>
          <t>SCA</t>
        </is>
      </c>
      <c r="G102" t="n">
        <v>8.1</v>
      </c>
      <c r="H102" t="n">
        <v>0</v>
      </c>
      <c r="I102" t="n">
        <v>2</v>
      </c>
      <c r="J102" t="n">
        <v>4</v>
      </c>
      <c r="K102" t="n">
        <v>0</v>
      </c>
      <c r="L102" t="n">
        <v>0</v>
      </c>
      <c r="M102" t="n">
        <v>0</v>
      </c>
      <c r="N102" t="n">
        <v>0</v>
      </c>
      <c r="O102" t="n">
        <v>4</v>
      </c>
      <c r="P102" t="n">
        <v>0</v>
      </c>
      <c r="Q102" t="n">
        <v>6</v>
      </c>
      <c r="R102" s="2" t="inlineStr">
        <is>
          <t>Dvärgbägarlav
Kolflarnlav
Kortskaftad ärgspik
Nordtagging
Dropptaggsvamp
Skinnlav</t>
        </is>
      </c>
      <c r="S102">
        <f>HYPERLINK("https://klasma.github.io/Logging_2309/artfynd/A 24451-2024 artfynd.xlsx", "A 24451-2024")</f>
        <v/>
      </c>
      <c r="T102">
        <f>HYPERLINK("https://klasma.github.io/Logging_2309/kartor/A 24451-2024 karta.png", "A 24451-2024")</f>
        <v/>
      </c>
      <c r="V102">
        <f>HYPERLINK("https://klasma.github.io/Logging_2309/klagomål/A 24451-2024 FSC-klagomål.docx", "A 24451-2024")</f>
        <v/>
      </c>
      <c r="W102">
        <f>HYPERLINK("https://klasma.github.io/Logging_2309/klagomålsmail/A 24451-2024 FSC-klagomål mail.docx", "A 24451-2024")</f>
        <v/>
      </c>
      <c r="X102">
        <f>HYPERLINK("https://klasma.github.io/Logging_2309/tillsyn/A 24451-2024 tillsynsbegäran.docx", "A 24451-2024")</f>
        <v/>
      </c>
      <c r="Y102">
        <f>HYPERLINK("https://klasma.github.io/Logging_2309/tillsynsmail/A 24451-2024 tillsynsbegäran mail.docx", "A 24451-2024")</f>
        <v/>
      </c>
    </row>
    <row r="103" ht="15" customHeight="1">
      <c r="A103" t="inlineStr">
        <is>
          <t>A 27490-2024</t>
        </is>
      </c>
      <c r="B103" s="1" t="n">
        <v>45474</v>
      </c>
      <c r="C103" s="1" t="n">
        <v>45627</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52018-2019</t>
        </is>
      </c>
      <c r="B104" s="1" t="n">
        <v>43734</v>
      </c>
      <c r="C104" s="1" t="n">
        <v>45627</v>
      </c>
      <c r="D104" t="inlineStr">
        <is>
          <t>JÄMTLANDS LÄN</t>
        </is>
      </c>
      <c r="E104" t="inlineStr">
        <is>
          <t>KROKOM</t>
        </is>
      </c>
      <c r="G104" t="n">
        <v>1.5</v>
      </c>
      <c r="H104" t="n">
        <v>0</v>
      </c>
      <c r="I104" t="n">
        <v>0</v>
      </c>
      <c r="J104" t="n">
        <v>5</v>
      </c>
      <c r="K104" t="n">
        <v>0</v>
      </c>
      <c r="L104" t="n">
        <v>0</v>
      </c>
      <c r="M104" t="n">
        <v>0</v>
      </c>
      <c r="N104" t="n">
        <v>0</v>
      </c>
      <c r="O104" t="n">
        <v>5</v>
      </c>
      <c r="P104" t="n">
        <v>0</v>
      </c>
      <c r="Q104" t="n">
        <v>5</v>
      </c>
      <c r="R104" s="2" t="inlineStr">
        <is>
          <t>Doftskinn
Garnlav
Kavernularia
Liten svartspik
Vitgrynig nållav</t>
        </is>
      </c>
      <c r="S104">
        <f>HYPERLINK("https://klasma.github.io/Logging_2309/artfynd/A 52018-2019 artfynd.xlsx", "A 52018-2019")</f>
        <v/>
      </c>
      <c r="T104">
        <f>HYPERLINK("https://klasma.github.io/Logging_2309/kartor/A 52018-2019 karta.png", "A 52018-2019")</f>
        <v/>
      </c>
      <c r="V104">
        <f>HYPERLINK("https://klasma.github.io/Logging_2309/klagomål/A 52018-2019 FSC-klagomål.docx", "A 52018-2019")</f>
        <v/>
      </c>
      <c r="W104">
        <f>HYPERLINK("https://klasma.github.io/Logging_2309/klagomålsmail/A 52018-2019 FSC-klagomål mail.docx", "A 52018-2019")</f>
        <v/>
      </c>
      <c r="X104">
        <f>HYPERLINK("https://klasma.github.io/Logging_2309/tillsyn/A 52018-2019 tillsynsbegäran.docx", "A 52018-2019")</f>
        <v/>
      </c>
      <c r="Y104">
        <f>HYPERLINK("https://klasma.github.io/Logging_2309/tillsynsmail/A 52018-2019 tillsynsbegäran mail.docx", "A 52018-2019")</f>
        <v/>
      </c>
    </row>
    <row r="105" ht="15" customHeight="1">
      <c r="A105" t="inlineStr">
        <is>
          <t>A 68086-2019</t>
        </is>
      </c>
      <c r="B105" s="1" t="n">
        <v>43816</v>
      </c>
      <c r="C105" s="1" t="n">
        <v>45627</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68086-2019 artfynd.xlsx", "A 68086-2019")</f>
        <v/>
      </c>
      <c r="T105">
        <f>HYPERLINK("https://klasma.github.io/Logging_2309/kartor/A 68086-2019 karta.png", "A 68086-2019")</f>
        <v/>
      </c>
      <c r="V105">
        <f>HYPERLINK("https://klasma.github.io/Logging_2309/klagomål/A 68086-2019 FSC-klagomål.docx", "A 68086-2019")</f>
        <v/>
      </c>
      <c r="W105">
        <f>HYPERLINK("https://klasma.github.io/Logging_2309/klagomålsmail/A 68086-2019 FSC-klagomål mail.docx", "A 68086-2019")</f>
        <v/>
      </c>
      <c r="X105">
        <f>HYPERLINK("https://klasma.github.io/Logging_2309/tillsyn/A 68086-2019 tillsynsbegäran.docx", "A 68086-2019")</f>
        <v/>
      </c>
      <c r="Y105">
        <f>HYPERLINK("https://klasma.github.io/Logging_2309/tillsynsmail/A 68086-2019 tillsynsbegäran mail.docx", "A 68086-2019")</f>
        <v/>
      </c>
      <c r="Z105">
        <f>HYPERLINK("https://klasma.github.io/Logging_2309/fåglar/A 68086-2019 prioriterade fågelarter.docx", "A 68086-2019")</f>
        <v/>
      </c>
    </row>
    <row r="106" ht="15" customHeight="1">
      <c r="A106" t="inlineStr">
        <is>
          <t>A 68312-2019</t>
        </is>
      </c>
      <c r="B106" s="1" t="n">
        <v>43817</v>
      </c>
      <c r="C106" s="1" t="n">
        <v>45627</v>
      </c>
      <c r="D106" t="inlineStr">
        <is>
          <t>JÄMTLANDS LÄN</t>
        </is>
      </c>
      <c r="E106" t="inlineStr">
        <is>
          <t>KROKOM</t>
        </is>
      </c>
      <c r="F106" t="inlineStr">
        <is>
          <t>SCA</t>
        </is>
      </c>
      <c r="G106" t="n">
        <v>4.4</v>
      </c>
      <c r="H106" t="n">
        <v>1</v>
      </c>
      <c r="I106" t="n">
        <v>2</v>
      </c>
      <c r="J106" t="n">
        <v>2</v>
      </c>
      <c r="K106" t="n">
        <v>1</v>
      </c>
      <c r="L106" t="n">
        <v>0</v>
      </c>
      <c r="M106" t="n">
        <v>0</v>
      </c>
      <c r="N106" t="n">
        <v>0</v>
      </c>
      <c r="O106" t="n">
        <v>3</v>
      </c>
      <c r="P106" t="n">
        <v>1</v>
      </c>
      <c r="Q106" t="n">
        <v>5</v>
      </c>
      <c r="R106" s="2" t="inlineStr">
        <is>
          <t>Goliatmusseron
Lunglav
Skrovellav
Bårdlav
Plattlummer</t>
        </is>
      </c>
      <c r="S106">
        <f>HYPERLINK("https://klasma.github.io/Logging_2309/artfynd/A 68312-2019 artfynd.xlsx", "A 68312-2019")</f>
        <v/>
      </c>
      <c r="T106">
        <f>HYPERLINK("https://klasma.github.io/Logging_2309/kartor/A 68312-2019 karta.png", "A 68312-2019")</f>
        <v/>
      </c>
      <c r="V106">
        <f>HYPERLINK("https://klasma.github.io/Logging_2309/klagomål/A 68312-2019 FSC-klagomål.docx", "A 68312-2019")</f>
        <v/>
      </c>
      <c r="W106">
        <f>HYPERLINK("https://klasma.github.io/Logging_2309/klagomålsmail/A 68312-2019 FSC-klagomål mail.docx", "A 68312-2019")</f>
        <v/>
      </c>
      <c r="X106">
        <f>HYPERLINK("https://klasma.github.io/Logging_2309/tillsyn/A 68312-2019 tillsynsbegäran.docx", "A 68312-2019")</f>
        <v/>
      </c>
      <c r="Y106">
        <f>HYPERLINK("https://klasma.github.io/Logging_2309/tillsynsmail/A 68312-2019 tillsynsbegäran mail.docx", "A 68312-2019")</f>
        <v/>
      </c>
    </row>
    <row r="107" ht="15" customHeight="1">
      <c r="A107" t="inlineStr">
        <is>
          <t>A 16575-2020</t>
        </is>
      </c>
      <c r="B107" s="1" t="n">
        <v>43920</v>
      </c>
      <c r="C107" s="1" t="n">
        <v>45627</v>
      </c>
      <c r="D107" t="inlineStr">
        <is>
          <t>JÄMTLANDS LÄN</t>
        </is>
      </c>
      <c r="E107" t="inlineStr">
        <is>
          <t>KROKOM</t>
        </is>
      </c>
      <c r="G107" t="n">
        <v>14.6</v>
      </c>
      <c r="H107" t="n">
        <v>0</v>
      </c>
      <c r="I107" t="n">
        <v>2</v>
      </c>
      <c r="J107" t="n">
        <v>3</v>
      </c>
      <c r="K107" t="n">
        <v>0</v>
      </c>
      <c r="L107" t="n">
        <v>0</v>
      </c>
      <c r="M107" t="n">
        <v>0</v>
      </c>
      <c r="N107" t="n">
        <v>0</v>
      </c>
      <c r="O107" t="n">
        <v>3</v>
      </c>
      <c r="P107" t="n">
        <v>0</v>
      </c>
      <c r="Q107" t="n">
        <v>5</v>
      </c>
      <c r="R107" s="2" t="inlineStr">
        <is>
          <t>Garnlav
Lunglav
Skrovellav
Bårdlav
Norrlandslav</t>
        </is>
      </c>
      <c r="S107">
        <f>HYPERLINK("https://klasma.github.io/Logging_2309/artfynd/A 16575-2020 artfynd.xlsx", "A 16575-2020")</f>
        <v/>
      </c>
      <c r="T107">
        <f>HYPERLINK("https://klasma.github.io/Logging_2309/kartor/A 16575-2020 karta.png", "A 16575-2020")</f>
        <v/>
      </c>
      <c r="V107">
        <f>HYPERLINK("https://klasma.github.io/Logging_2309/klagomål/A 16575-2020 FSC-klagomål.docx", "A 16575-2020")</f>
        <v/>
      </c>
      <c r="W107">
        <f>HYPERLINK("https://klasma.github.io/Logging_2309/klagomålsmail/A 16575-2020 FSC-klagomål mail.docx", "A 16575-2020")</f>
        <v/>
      </c>
      <c r="X107">
        <f>HYPERLINK("https://klasma.github.io/Logging_2309/tillsyn/A 16575-2020 tillsynsbegäran.docx", "A 16575-2020")</f>
        <v/>
      </c>
      <c r="Y107">
        <f>HYPERLINK("https://klasma.github.io/Logging_2309/tillsynsmail/A 16575-2020 tillsynsbegäran mail.docx", "A 16575-2020")</f>
        <v/>
      </c>
    </row>
    <row r="108" ht="15" customHeight="1">
      <c r="A108" t="inlineStr">
        <is>
          <t>A 59619-2020</t>
        </is>
      </c>
      <c r="B108" s="1" t="n">
        <v>44150</v>
      </c>
      <c r="C108" s="1" t="n">
        <v>45627</v>
      </c>
      <c r="D108" t="inlineStr">
        <is>
          <t>JÄMTLANDS LÄN</t>
        </is>
      </c>
      <c r="E108" t="inlineStr">
        <is>
          <t>KROKOM</t>
        </is>
      </c>
      <c r="G108" t="n">
        <v>11.3</v>
      </c>
      <c r="H108" t="n">
        <v>1</v>
      </c>
      <c r="I108" t="n">
        <v>0</v>
      </c>
      <c r="J108" t="n">
        <v>5</v>
      </c>
      <c r="K108" t="n">
        <v>0</v>
      </c>
      <c r="L108" t="n">
        <v>0</v>
      </c>
      <c r="M108" t="n">
        <v>0</v>
      </c>
      <c r="N108" t="n">
        <v>0</v>
      </c>
      <c r="O108" t="n">
        <v>5</v>
      </c>
      <c r="P108" t="n">
        <v>0</v>
      </c>
      <c r="Q108" t="n">
        <v>5</v>
      </c>
      <c r="R108" s="2" t="inlineStr">
        <is>
          <t>Brunpudrad nållav
Granticka
Liten svartspik
Tretåig hackspett
Vitgrynig nållav</t>
        </is>
      </c>
      <c r="S108">
        <f>HYPERLINK("https://klasma.github.io/Logging_2309/artfynd/A 59619-2020 artfynd.xlsx", "A 59619-2020")</f>
        <v/>
      </c>
      <c r="T108">
        <f>HYPERLINK("https://klasma.github.io/Logging_2309/kartor/A 59619-2020 karta.png", "A 59619-2020")</f>
        <v/>
      </c>
      <c r="V108">
        <f>HYPERLINK("https://klasma.github.io/Logging_2309/klagomål/A 59619-2020 FSC-klagomål.docx", "A 59619-2020")</f>
        <v/>
      </c>
      <c r="W108">
        <f>HYPERLINK("https://klasma.github.io/Logging_2309/klagomålsmail/A 59619-2020 FSC-klagomål mail.docx", "A 59619-2020")</f>
        <v/>
      </c>
      <c r="X108">
        <f>HYPERLINK("https://klasma.github.io/Logging_2309/tillsyn/A 59619-2020 tillsynsbegäran.docx", "A 59619-2020")</f>
        <v/>
      </c>
      <c r="Y108">
        <f>HYPERLINK("https://klasma.github.io/Logging_2309/tillsynsmail/A 59619-2020 tillsynsbegäran mail.docx", "A 59619-2020")</f>
        <v/>
      </c>
      <c r="Z108">
        <f>HYPERLINK("https://klasma.github.io/Logging_2309/fåglar/A 59619-2020 prioriterade fågelarter.docx", "A 59619-2020")</f>
        <v/>
      </c>
    </row>
    <row r="109" ht="15" customHeight="1">
      <c r="A109" t="inlineStr">
        <is>
          <t>A 68491-2020</t>
        </is>
      </c>
      <c r="B109" s="1" t="n">
        <v>44183</v>
      </c>
      <c r="C109" s="1" t="n">
        <v>45627</v>
      </c>
      <c r="D109" t="inlineStr">
        <is>
          <t>JÄMTLANDS LÄN</t>
        </is>
      </c>
      <c r="E109" t="inlineStr">
        <is>
          <t>KROKOM</t>
        </is>
      </c>
      <c r="G109" t="n">
        <v>30.6</v>
      </c>
      <c r="H109" t="n">
        <v>1</v>
      </c>
      <c r="I109" t="n">
        <v>4</v>
      </c>
      <c r="J109" t="n">
        <v>1</v>
      </c>
      <c r="K109" t="n">
        <v>0</v>
      </c>
      <c r="L109" t="n">
        <v>0</v>
      </c>
      <c r="M109" t="n">
        <v>0</v>
      </c>
      <c r="N109" t="n">
        <v>0</v>
      </c>
      <c r="O109" t="n">
        <v>1</v>
      </c>
      <c r="P109" t="n">
        <v>0</v>
      </c>
      <c r="Q109" t="n">
        <v>5</v>
      </c>
      <c r="R109" s="2" t="inlineStr">
        <is>
          <t>Grynig filtlav
Bårdlav
Platt fjädermossa
Plattlummer
Vedticka</t>
        </is>
      </c>
      <c r="S109">
        <f>HYPERLINK("https://klasma.github.io/Logging_2309/artfynd/A 68491-2020 artfynd.xlsx", "A 68491-2020")</f>
        <v/>
      </c>
      <c r="T109">
        <f>HYPERLINK("https://klasma.github.io/Logging_2309/kartor/A 68491-2020 karta.png", "A 68491-2020")</f>
        <v/>
      </c>
      <c r="V109">
        <f>HYPERLINK("https://klasma.github.io/Logging_2309/klagomål/A 68491-2020 FSC-klagomål.docx", "A 68491-2020")</f>
        <v/>
      </c>
      <c r="W109">
        <f>HYPERLINK("https://klasma.github.io/Logging_2309/klagomålsmail/A 68491-2020 FSC-klagomål mail.docx", "A 68491-2020")</f>
        <v/>
      </c>
      <c r="X109">
        <f>HYPERLINK("https://klasma.github.io/Logging_2309/tillsyn/A 68491-2020 tillsynsbegäran.docx", "A 68491-2020")</f>
        <v/>
      </c>
      <c r="Y109">
        <f>HYPERLINK("https://klasma.github.io/Logging_2309/tillsynsmail/A 68491-2020 tillsynsbegäran mail.docx", "A 68491-2020")</f>
        <v/>
      </c>
    </row>
    <row r="110" ht="15" customHeight="1">
      <c r="A110" t="inlineStr">
        <is>
          <t>A 69486-2020</t>
        </is>
      </c>
      <c r="B110" s="1" t="n">
        <v>44194</v>
      </c>
      <c r="C110" s="1" t="n">
        <v>45627</v>
      </c>
      <c r="D110" t="inlineStr">
        <is>
          <t>JÄMTLANDS LÄN</t>
        </is>
      </c>
      <c r="E110" t="inlineStr">
        <is>
          <t>KROKOM</t>
        </is>
      </c>
      <c r="G110" t="n">
        <v>26.3</v>
      </c>
      <c r="H110" t="n">
        <v>2</v>
      </c>
      <c r="I110" t="n">
        <v>4</v>
      </c>
      <c r="J110" t="n">
        <v>0</v>
      </c>
      <c r="K110" t="n">
        <v>0</v>
      </c>
      <c r="L110" t="n">
        <v>0</v>
      </c>
      <c r="M110" t="n">
        <v>0</v>
      </c>
      <c r="N110" t="n">
        <v>0</v>
      </c>
      <c r="O110" t="n">
        <v>0</v>
      </c>
      <c r="P110" t="n">
        <v>0</v>
      </c>
      <c r="Q110" t="n">
        <v>5</v>
      </c>
      <c r="R110" s="2" t="inlineStr">
        <is>
          <t>Axag
Gräsull
Tvåblad
Ögonpyrola
Brudsporre</t>
        </is>
      </c>
      <c r="S110">
        <f>HYPERLINK("https://klasma.github.io/Logging_2309/artfynd/A 69486-2020 artfynd.xlsx", "A 69486-2020")</f>
        <v/>
      </c>
      <c r="T110">
        <f>HYPERLINK("https://klasma.github.io/Logging_2309/kartor/A 69486-2020 karta.png", "A 69486-2020")</f>
        <v/>
      </c>
      <c r="V110">
        <f>HYPERLINK("https://klasma.github.io/Logging_2309/klagomål/A 69486-2020 FSC-klagomål.docx", "A 69486-2020")</f>
        <v/>
      </c>
      <c r="W110">
        <f>HYPERLINK("https://klasma.github.io/Logging_2309/klagomålsmail/A 69486-2020 FSC-klagomål mail.docx", "A 69486-2020")</f>
        <v/>
      </c>
      <c r="X110">
        <f>HYPERLINK("https://klasma.github.io/Logging_2309/tillsyn/A 69486-2020 tillsynsbegäran.docx", "A 69486-2020")</f>
        <v/>
      </c>
      <c r="Y110">
        <f>HYPERLINK("https://klasma.github.io/Logging_2309/tillsynsmail/A 69486-2020 tillsynsbegäran mail.docx", "A 69486-2020")</f>
        <v/>
      </c>
    </row>
    <row r="111" ht="15" customHeight="1">
      <c r="A111" t="inlineStr">
        <is>
          <t>A 48914-2021</t>
        </is>
      </c>
      <c r="B111" s="1" t="n">
        <v>44452</v>
      </c>
      <c r="C111" s="1" t="n">
        <v>45627</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64303-2021</t>
        </is>
      </c>
      <c r="B112" s="1" t="n">
        <v>44510</v>
      </c>
      <c r="C112" s="1" t="n">
        <v>45627</v>
      </c>
      <c r="D112" t="inlineStr">
        <is>
          <t>JÄMTLANDS LÄN</t>
        </is>
      </c>
      <c r="E112" t="inlineStr">
        <is>
          <t>KROKOM</t>
        </is>
      </c>
      <c r="G112" t="n">
        <v>9.4</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64303-2021 artfynd.xlsx", "A 64303-2021")</f>
        <v/>
      </c>
      <c r="T112">
        <f>HYPERLINK("https://klasma.github.io/Logging_2309/kartor/A 64303-2021 karta.png", "A 64303-2021")</f>
        <v/>
      </c>
      <c r="V112">
        <f>HYPERLINK("https://klasma.github.io/Logging_2309/klagomål/A 64303-2021 FSC-klagomål.docx", "A 64303-2021")</f>
        <v/>
      </c>
      <c r="W112">
        <f>HYPERLINK("https://klasma.github.io/Logging_2309/klagomålsmail/A 64303-2021 FSC-klagomål mail.docx", "A 64303-2021")</f>
        <v/>
      </c>
      <c r="X112">
        <f>HYPERLINK("https://klasma.github.io/Logging_2309/tillsyn/A 64303-2021 tillsynsbegäran.docx", "A 64303-2021")</f>
        <v/>
      </c>
      <c r="Y112">
        <f>HYPERLINK("https://klasma.github.io/Logging_2309/tillsynsmail/A 64303-2021 tillsynsbegäran mail.docx", "A 64303-2021")</f>
        <v/>
      </c>
      <c r="Z112">
        <f>HYPERLINK("https://klasma.github.io/Logging_2309/fåglar/A 64303-2021 prioriterade fågelarter.docx", "A 64303-2021")</f>
        <v/>
      </c>
    </row>
    <row r="113" ht="15" customHeight="1">
      <c r="A113" t="inlineStr">
        <is>
          <t>A 65187-2021</t>
        </is>
      </c>
      <c r="B113" s="1" t="n">
        <v>44515</v>
      </c>
      <c r="C113" s="1" t="n">
        <v>45627</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71570-2021</t>
        </is>
      </c>
      <c r="B114" s="1" t="n">
        <v>44540</v>
      </c>
      <c r="C114" s="1" t="n">
        <v>45627</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72538-2021</t>
        </is>
      </c>
      <c r="B115" s="1" t="n">
        <v>44546</v>
      </c>
      <c r="C115" s="1" t="n">
        <v>45627</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74005-2021</t>
        </is>
      </c>
      <c r="B116" s="1" t="n">
        <v>44557</v>
      </c>
      <c r="C116" s="1" t="n">
        <v>45627</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58784-2022</t>
        </is>
      </c>
      <c r="B117" s="1" t="n">
        <v>44895</v>
      </c>
      <c r="C117" s="1" t="n">
        <v>45627</v>
      </c>
      <c r="D117" t="inlineStr">
        <is>
          <t>JÄMTLANDS LÄN</t>
        </is>
      </c>
      <c r="E117" t="inlineStr">
        <is>
          <t>KROKOM</t>
        </is>
      </c>
      <c r="G117" t="n">
        <v>19.9</v>
      </c>
      <c r="H117" t="n">
        <v>3</v>
      </c>
      <c r="I117" t="n">
        <v>0</v>
      </c>
      <c r="J117" t="n">
        <v>4</v>
      </c>
      <c r="K117" t="n">
        <v>1</v>
      </c>
      <c r="L117" t="n">
        <v>0</v>
      </c>
      <c r="M117" t="n">
        <v>0</v>
      </c>
      <c r="N117" t="n">
        <v>0</v>
      </c>
      <c r="O117" t="n">
        <v>5</v>
      </c>
      <c r="P117" t="n">
        <v>1</v>
      </c>
      <c r="Q117" t="n">
        <v>5</v>
      </c>
      <c r="R117" s="2" t="inlineStr">
        <is>
          <t>Tallbit
Garnlav
Lunglav
Spillkråka
Tretåig hackspett</t>
        </is>
      </c>
      <c r="S117">
        <f>HYPERLINK("https://klasma.github.io/Logging_2309/artfynd/A 58784-2022 artfynd.xlsx", "A 58784-2022")</f>
        <v/>
      </c>
      <c r="T117">
        <f>HYPERLINK("https://klasma.github.io/Logging_2309/kartor/A 58784-2022 karta.png", "A 58784-2022")</f>
        <v/>
      </c>
      <c r="V117">
        <f>HYPERLINK("https://klasma.github.io/Logging_2309/klagomål/A 58784-2022 FSC-klagomål.docx", "A 58784-2022")</f>
        <v/>
      </c>
      <c r="W117">
        <f>HYPERLINK("https://klasma.github.io/Logging_2309/klagomålsmail/A 58784-2022 FSC-klagomål mail.docx", "A 58784-2022")</f>
        <v/>
      </c>
      <c r="X117">
        <f>HYPERLINK("https://klasma.github.io/Logging_2309/tillsyn/A 58784-2022 tillsynsbegäran.docx", "A 58784-2022")</f>
        <v/>
      </c>
      <c r="Y117">
        <f>HYPERLINK("https://klasma.github.io/Logging_2309/tillsynsmail/A 58784-2022 tillsynsbegäran mail.docx", "A 58784-2022")</f>
        <v/>
      </c>
      <c r="Z117">
        <f>HYPERLINK("https://klasma.github.io/Logging_2309/fåglar/A 58784-2022 prioriterade fågelarter.docx", "A 58784-2022")</f>
        <v/>
      </c>
    </row>
    <row r="118" ht="15" customHeight="1">
      <c r="A118" t="inlineStr">
        <is>
          <t>A 59039-2022</t>
        </is>
      </c>
      <c r="B118" s="1" t="n">
        <v>44903</v>
      </c>
      <c r="C118" s="1" t="n">
        <v>45627</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25286-2023</t>
        </is>
      </c>
      <c r="B119" s="1" t="n">
        <v>45079</v>
      </c>
      <c r="C119" s="1" t="n">
        <v>45627</v>
      </c>
      <c r="D119" t="inlineStr">
        <is>
          <t>JÄMTLANDS LÄN</t>
        </is>
      </c>
      <c r="E119" t="inlineStr">
        <is>
          <t>KROKOM</t>
        </is>
      </c>
      <c r="G119" t="n">
        <v>11.4</v>
      </c>
      <c r="H119" t="n">
        <v>1</v>
      </c>
      <c r="I119" t="n">
        <v>2</v>
      </c>
      <c r="J119" t="n">
        <v>3</v>
      </c>
      <c r="K119" t="n">
        <v>0</v>
      </c>
      <c r="L119" t="n">
        <v>0</v>
      </c>
      <c r="M119" t="n">
        <v>0</v>
      </c>
      <c r="N119" t="n">
        <v>0</v>
      </c>
      <c r="O119" t="n">
        <v>3</v>
      </c>
      <c r="P119" t="n">
        <v>0</v>
      </c>
      <c r="Q119" t="n">
        <v>5</v>
      </c>
      <c r="R119" s="2" t="inlineStr">
        <is>
          <t>Garnlav
Gränsticka
Spillkråka
Blodticka
Trådticka</t>
        </is>
      </c>
      <c r="S119">
        <f>HYPERLINK("https://klasma.github.io/Logging_2309/artfynd/A 25286-2023 artfynd.xlsx", "A 25286-2023")</f>
        <v/>
      </c>
      <c r="T119">
        <f>HYPERLINK("https://klasma.github.io/Logging_2309/kartor/A 25286-2023 karta.png", "A 25286-2023")</f>
        <v/>
      </c>
      <c r="V119">
        <f>HYPERLINK("https://klasma.github.io/Logging_2309/klagomål/A 25286-2023 FSC-klagomål.docx", "A 25286-2023")</f>
        <v/>
      </c>
      <c r="W119">
        <f>HYPERLINK("https://klasma.github.io/Logging_2309/klagomålsmail/A 25286-2023 FSC-klagomål mail.docx", "A 25286-2023")</f>
        <v/>
      </c>
      <c r="X119">
        <f>HYPERLINK("https://klasma.github.io/Logging_2309/tillsyn/A 25286-2023 tillsynsbegäran.docx", "A 25286-2023")</f>
        <v/>
      </c>
      <c r="Y119">
        <f>HYPERLINK("https://klasma.github.io/Logging_2309/tillsynsmail/A 25286-2023 tillsynsbegäran mail.docx", "A 25286-2023")</f>
        <v/>
      </c>
      <c r="Z119">
        <f>HYPERLINK("https://klasma.github.io/Logging_2309/fåglar/A 25286-2023 prioriterade fågelarter.docx", "A 25286-2023")</f>
        <v/>
      </c>
    </row>
    <row r="120" ht="15" customHeight="1">
      <c r="A120" t="inlineStr">
        <is>
          <t>A 10723-2024</t>
        </is>
      </c>
      <c r="B120" s="1" t="n">
        <v>45369</v>
      </c>
      <c r="C120" s="1" t="n">
        <v>45627</v>
      </c>
      <c r="D120" t="inlineStr">
        <is>
          <t>JÄMTLANDS LÄN</t>
        </is>
      </c>
      <c r="E120" t="inlineStr">
        <is>
          <t>KROKOM</t>
        </is>
      </c>
      <c r="G120" t="n">
        <v>42</v>
      </c>
      <c r="H120" t="n">
        <v>2</v>
      </c>
      <c r="I120" t="n">
        <v>0</v>
      </c>
      <c r="J120" t="n">
        <v>4</v>
      </c>
      <c r="K120" t="n">
        <v>0</v>
      </c>
      <c r="L120" t="n">
        <v>0</v>
      </c>
      <c r="M120" t="n">
        <v>0</v>
      </c>
      <c r="N120" t="n">
        <v>0</v>
      </c>
      <c r="O120" t="n">
        <v>4</v>
      </c>
      <c r="P120" t="n">
        <v>0</v>
      </c>
      <c r="Q120" t="n">
        <v>5</v>
      </c>
      <c r="R120" s="2" t="inlineStr">
        <is>
          <t>Garnlav
Granticka
Lunglav
Tretåig hackspett
Tjäder</t>
        </is>
      </c>
      <c r="S120">
        <f>HYPERLINK("https://klasma.github.io/Logging_2309/artfynd/A 10723-2024 artfynd.xlsx", "A 10723-2024")</f>
        <v/>
      </c>
      <c r="T120">
        <f>HYPERLINK("https://klasma.github.io/Logging_2309/kartor/A 10723-2024 karta.png", "A 10723-2024")</f>
        <v/>
      </c>
      <c r="V120">
        <f>HYPERLINK("https://klasma.github.io/Logging_2309/klagomål/A 10723-2024 FSC-klagomål.docx", "A 10723-2024")</f>
        <v/>
      </c>
      <c r="W120">
        <f>HYPERLINK("https://klasma.github.io/Logging_2309/klagomålsmail/A 10723-2024 FSC-klagomål mail.docx", "A 10723-2024")</f>
        <v/>
      </c>
      <c r="X120">
        <f>HYPERLINK("https://klasma.github.io/Logging_2309/tillsyn/A 10723-2024 tillsynsbegäran.docx", "A 10723-2024")</f>
        <v/>
      </c>
      <c r="Y120">
        <f>HYPERLINK("https://klasma.github.io/Logging_2309/tillsynsmail/A 10723-2024 tillsynsbegäran mail.docx", "A 10723-2024")</f>
        <v/>
      </c>
      <c r="Z120">
        <f>HYPERLINK("https://klasma.github.io/Logging_2309/fåglar/A 10723-2024 prioriterade fågelarter.docx", "A 10723-2024")</f>
        <v/>
      </c>
    </row>
    <row r="121" ht="15" customHeight="1">
      <c r="A121" t="inlineStr">
        <is>
          <t>A 26256-2024</t>
        </is>
      </c>
      <c r="B121" s="1" t="n">
        <v>45467</v>
      </c>
      <c r="C121" s="1" t="n">
        <v>45627</v>
      </c>
      <c r="D121" t="inlineStr">
        <is>
          <t>JÄMTLANDS LÄN</t>
        </is>
      </c>
      <c r="E121" t="inlineStr">
        <is>
          <t>KROKOM</t>
        </is>
      </c>
      <c r="G121" t="n">
        <v>68.8</v>
      </c>
      <c r="H121" t="n">
        <v>2</v>
      </c>
      <c r="I121" t="n">
        <v>0</v>
      </c>
      <c r="J121" t="n">
        <v>4</v>
      </c>
      <c r="K121" t="n">
        <v>0</v>
      </c>
      <c r="L121" t="n">
        <v>0</v>
      </c>
      <c r="M121" t="n">
        <v>0</v>
      </c>
      <c r="N121" t="n">
        <v>0</v>
      </c>
      <c r="O121" t="n">
        <v>4</v>
      </c>
      <c r="P121" t="n">
        <v>0</v>
      </c>
      <c r="Q121" t="n">
        <v>5</v>
      </c>
      <c r="R121" s="2" t="inlineStr">
        <is>
          <t>Garnlav
Granticka
Tretåig hackspett
Ullticka
Lavskrika</t>
        </is>
      </c>
      <c r="S121">
        <f>HYPERLINK("https://klasma.github.io/Logging_2309/artfynd/A 26256-2024 artfynd.xlsx", "A 26256-2024")</f>
        <v/>
      </c>
      <c r="T121">
        <f>HYPERLINK("https://klasma.github.io/Logging_2309/kartor/A 26256-2024 karta.png", "A 26256-2024")</f>
        <v/>
      </c>
      <c r="V121">
        <f>HYPERLINK("https://klasma.github.io/Logging_2309/klagomål/A 26256-2024 FSC-klagomål.docx", "A 26256-2024")</f>
        <v/>
      </c>
      <c r="W121">
        <f>HYPERLINK("https://klasma.github.io/Logging_2309/klagomålsmail/A 26256-2024 FSC-klagomål mail.docx", "A 26256-2024")</f>
        <v/>
      </c>
      <c r="X121">
        <f>HYPERLINK("https://klasma.github.io/Logging_2309/tillsyn/A 26256-2024 tillsynsbegäran.docx", "A 26256-2024")</f>
        <v/>
      </c>
      <c r="Y121">
        <f>HYPERLINK("https://klasma.github.io/Logging_2309/tillsynsmail/A 26256-2024 tillsynsbegäran mail.docx", "A 26256-2024")</f>
        <v/>
      </c>
      <c r="Z121">
        <f>HYPERLINK("https://klasma.github.io/Logging_2309/fåglar/A 26256-2024 prioriterade fågelarter.docx", "A 26256-2024")</f>
        <v/>
      </c>
    </row>
    <row r="122" ht="15" customHeight="1">
      <c r="A122" t="inlineStr">
        <is>
          <t>A 26233-2024</t>
        </is>
      </c>
      <c r="B122" s="1" t="n">
        <v>45467</v>
      </c>
      <c r="C122" s="1" t="n">
        <v>45627</v>
      </c>
      <c r="D122" t="inlineStr">
        <is>
          <t>JÄMTLANDS LÄN</t>
        </is>
      </c>
      <c r="E122" t="inlineStr">
        <is>
          <t>KROKOM</t>
        </is>
      </c>
      <c r="G122" t="n">
        <v>11.8</v>
      </c>
      <c r="H122" t="n">
        <v>2</v>
      </c>
      <c r="I122" t="n">
        <v>0</v>
      </c>
      <c r="J122" t="n">
        <v>4</v>
      </c>
      <c r="K122" t="n">
        <v>0</v>
      </c>
      <c r="L122" t="n">
        <v>0</v>
      </c>
      <c r="M122" t="n">
        <v>0</v>
      </c>
      <c r="N122" t="n">
        <v>0</v>
      </c>
      <c r="O122" t="n">
        <v>4</v>
      </c>
      <c r="P122" t="n">
        <v>0</v>
      </c>
      <c r="Q122" t="n">
        <v>5</v>
      </c>
      <c r="R122" s="2" t="inlineStr">
        <is>
          <t>Doftskinn
Garnlav
Granticka
Tretåig hackspett
Lavskrika</t>
        </is>
      </c>
      <c r="S122">
        <f>HYPERLINK("https://klasma.github.io/Logging_2309/artfynd/A 26233-2024 artfynd.xlsx", "A 26233-2024")</f>
        <v/>
      </c>
      <c r="T122">
        <f>HYPERLINK("https://klasma.github.io/Logging_2309/kartor/A 26233-2024 karta.png", "A 26233-2024")</f>
        <v/>
      </c>
      <c r="V122">
        <f>HYPERLINK("https://klasma.github.io/Logging_2309/klagomål/A 26233-2024 FSC-klagomål.docx", "A 26233-2024")</f>
        <v/>
      </c>
      <c r="W122">
        <f>HYPERLINK("https://klasma.github.io/Logging_2309/klagomålsmail/A 26233-2024 FSC-klagomål mail.docx", "A 26233-2024")</f>
        <v/>
      </c>
      <c r="X122">
        <f>HYPERLINK("https://klasma.github.io/Logging_2309/tillsyn/A 26233-2024 tillsynsbegäran.docx", "A 26233-2024")</f>
        <v/>
      </c>
      <c r="Y122">
        <f>HYPERLINK("https://klasma.github.io/Logging_2309/tillsynsmail/A 26233-2024 tillsynsbegäran mail.docx", "A 26233-2024")</f>
        <v/>
      </c>
      <c r="Z122">
        <f>HYPERLINK("https://klasma.github.io/Logging_2309/fåglar/A 26233-2024 prioriterade fågelarter.docx", "A 26233-2024")</f>
        <v/>
      </c>
    </row>
    <row r="123" ht="15" customHeight="1">
      <c r="A123" t="inlineStr">
        <is>
          <t>A 35749-2024</t>
        </is>
      </c>
      <c r="B123" s="1" t="n">
        <v>45532</v>
      </c>
      <c r="C123" s="1" t="n">
        <v>45627</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39487-2024</t>
        </is>
      </c>
      <c r="B124" s="1" t="n">
        <v>45551</v>
      </c>
      <c r="C124" s="1" t="n">
        <v>45627</v>
      </c>
      <c r="D124" t="inlineStr">
        <is>
          <t>JÄMTLANDS LÄN</t>
        </is>
      </c>
      <c r="E124" t="inlineStr">
        <is>
          <t>KROKOM</t>
        </is>
      </c>
      <c r="G124" t="n">
        <v>8</v>
      </c>
      <c r="H124" t="n">
        <v>2</v>
      </c>
      <c r="I124" t="n">
        <v>0</v>
      </c>
      <c r="J124" t="n">
        <v>4</v>
      </c>
      <c r="K124" t="n">
        <v>1</v>
      </c>
      <c r="L124" t="n">
        <v>0</v>
      </c>
      <c r="M124" t="n">
        <v>0</v>
      </c>
      <c r="N124" t="n">
        <v>0</v>
      </c>
      <c r="O124" t="n">
        <v>5</v>
      </c>
      <c r="P124" t="n">
        <v>1</v>
      </c>
      <c r="Q124" t="n">
        <v>5</v>
      </c>
      <c r="R124" s="2" t="inlineStr">
        <is>
          <t>Knärot
Granticka
Harticka
Tretåig hackspett
Ullticka</t>
        </is>
      </c>
      <c r="S124">
        <f>HYPERLINK("https://klasma.github.io/Logging_2309/artfynd/A 39487-2024 artfynd.xlsx", "A 39487-2024")</f>
        <v/>
      </c>
      <c r="T124">
        <f>HYPERLINK("https://klasma.github.io/Logging_2309/kartor/A 39487-2024 karta.png", "A 39487-2024")</f>
        <v/>
      </c>
      <c r="U124">
        <f>HYPERLINK("https://klasma.github.io/Logging_2309/knärot/A 39487-2024 karta knärot.png", "A 39487-2024")</f>
        <v/>
      </c>
      <c r="V124">
        <f>HYPERLINK("https://klasma.github.io/Logging_2309/klagomål/A 39487-2024 FSC-klagomål.docx", "A 39487-2024")</f>
        <v/>
      </c>
      <c r="W124">
        <f>HYPERLINK("https://klasma.github.io/Logging_2309/klagomålsmail/A 39487-2024 FSC-klagomål mail.docx", "A 39487-2024")</f>
        <v/>
      </c>
      <c r="X124">
        <f>HYPERLINK("https://klasma.github.io/Logging_2309/tillsyn/A 39487-2024 tillsynsbegäran.docx", "A 39487-2024")</f>
        <v/>
      </c>
      <c r="Y124">
        <f>HYPERLINK("https://klasma.github.io/Logging_2309/tillsynsmail/A 39487-2024 tillsynsbegäran mail.docx", "A 39487-2024")</f>
        <v/>
      </c>
      <c r="Z124">
        <f>HYPERLINK("https://klasma.github.io/Logging_2309/fåglar/A 39487-2024 prioriterade fågelarter.docx", "A 39487-2024")</f>
        <v/>
      </c>
    </row>
    <row r="125" ht="15" customHeight="1">
      <c r="A125" t="inlineStr">
        <is>
          <t>A 36192-2019</t>
        </is>
      </c>
      <c r="B125" s="1" t="n">
        <v>43669</v>
      </c>
      <c r="C125" s="1" t="n">
        <v>45627</v>
      </c>
      <c r="D125" t="inlineStr">
        <is>
          <t>JÄMTLANDS LÄN</t>
        </is>
      </c>
      <c r="E125" t="inlineStr">
        <is>
          <t>KROKOM</t>
        </is>
      </c>
      <c r="G125" t="n">
        <v>2.6</v>
      </c>
      <c r="H125" t="n">
        <v>3</v>
      </c>
      <c r="I125" t="n">
        <v>1</v>
      </c>
      <c r="J125" t="n">
        <v>1</v>
      </c>
      <c r="K125" t="n">
        <v>0</v>
      </c>
      <c r="L125" t="n">
        <v>0</v>
      </c>
      <c r="M125" t="n">
        <v>0</v>
      </c>
      <c r="N125" t="n">
        <v>0</v>
      </c>
      <c r="O125" t="n">
        <v>1</v>
      </c>
      <c r="P125" t="n">
        <v>0</v>
      </c>
      <c r="Q125" t="n">
        <v>4</v>
      </c>
      <c r="R125" s="2" t="inlineStr">
        <is>
          <t>Rosenfink
Svart trolldruva
Blåsippa
Gullviva</t>
        </is>
      </c>
      <c r="S125">
        <f>HYPERLINK("https://klasma.github.io/Logging_2309/artfynd/A 36192-2019 artfynd.xlsx", "A 36192-2019")</f>
        <v/>
      </c>
      <c r="T125">
        <f>HYPERLINK("https://klasma.github.io/Logging_2309/kartor/A 36192-2019 karta.png", "A 36192-2019")</f>
        <v/>
      </c>
      <c r="V125">
        <f>HYPERLINK("https://klasma.github.io/Logging_2309/klagomål/A 36192-2019 FSC-klagomål.docx", "A 36192-2019")</f>
        <v/>
      </c>
      <c r="W125">
        <f>HYPERLINK("https://klasma.github.io/Logging_2309/klagomålsmail/A 36192-2019 FSC-klagomål mail.docx", "A 36192-2019")</f>
        <v/>
      </c>
      <c r="X125">
        <f>HYPERLINK("https://klasma.github.io/Logging_2309/tillsyn/A 36192-2019 tillsynsbegäran.docx", "A 36192-2019")</f>
        <v/>
      </c>
      <c r="Y125">
        <f>HYPERLINK("https://klasma.github.io/Logging_2309/tillsynsmail/A 36192-2019 tillsynsbegäran mail.docx", "A 36192-2019")</f>
        <v/>
      </c>
      <c r="Z125">
        <f>HYPERLINK("https://klasma.github.io/Logging_2309/fåglar/A 36192-2019 prioriterade fågelarter.docx", "A 36192-2019")</f>
        <v/>
      </c>
    </row>
    <row r="126" ht="15" customHeight="1">
      <c r="A126" t="inlineStr">
        <is>
          <t>A 36209-2019</t>
        </is>
      </c>
      <c r="B126" s="1" t="n">
        <v>43669</v>
      </c>
      <c r="C126" s="1" t="n">
        <v>45627</v>
      </c>
      <c r="D126" t="inlineStr">
        <is>
          <t>JÄMTLANDS LÄN</t>
        </is>
      </c>
      <c r="E126" t="inlineStr">
        <is>
          <t>KROKOM</t>
        </is>
      </c>
      <c r="G126" t="n">
        <v>2.6</v>
      </c>
      <c r="H126" t="n">
        <v>3</v>
      </c>
      <c r="I126" t="n">
        <v>1</v>
      </c>
      <c r="J126" t="n">
        <v>1</v>
      </c>
      <c r="K126" t="n">
        <v>0</v>
      </c>
      <c r="L126" t="n">
        <v>0</v>
      </c>
      <c r="M126" t="n">
        <v>0</v>
      </c>
      <c r="N126" t="n">
        <v>0</v>
      </c>
      <c r="O126" t="n">
        <v>1</v>
      </c>
      <c r="P126" t="n">
        <v>0</v>
      </c>
      <c r="Q126" t="n">
        <v>4</v>
      </c>
      <c r="R126" s="2" t="inlineStr">
        <is>
          <t>Rosenfink
Svart trolldruva
Blåsippa
Gullviva</t>
        </is>
      </c>
      <c r="S126">
        <f>HYPERLINK("https://klasma.github.io/Logging_2309/artfynd/A 36209-2019 artfynd.xlsx", "A 36209-2019")</f>
        <v/>
      </c>
      <c r="T126">
        <f>HYPERLINK("https://klasma.github.io/Logging_2309/kartor/A 36209-2019 karta.png", "A 36209-2019")</f>
        <v/>
      </c>
      <c r="V126">
        <f>HYPERLINK("https://klasma.github.io/Logging_2309/klagomål/A 36209-2019 FSC-klagomål.docx", "A 36209-2019")</f>
        <v/>
      </c>
      <c r="W126">
        <f>HYPERLINK("https://klasma.github.io/Logging_2309/klagomålsmail/A 36209-2019 FSC-klagomål mail.docx", "A 36209-2019")</f>
        <v/>
      </c>
      <c r="X126">
        <f>HYPERLINK("https://klasma.github.io/Logging_2309/tillsyn/A 36209-2019 tillsynsbegäran.docx", "A 36209-2019")</f>
        <v/>
      </c>
      <c r="Y126">
        <f>HYPERLINK("https://klasma.github.io/Logging_2309/tillsynsmail/A 36209-2019 tillsynsbegäran mail.docx", "A 36209-2019")</f>
        <v/>
      </c>
      <c r="Z126">
        <f>HYPERLINK("https://klasma.github.io/Logging_2309/fåglar/A 36209-2019 prioriterade fågelarter.docx", "A 36209-2019")</f>
        <v/>
      </c>
    </row>
    <row r="127" ht="15" customHeight="1">
      <c r="A127" t="inlineStr">
        <is>
          <t>A 36377-2019</t>
        </is>
      </c>
      <c r="B127" s="1" t="n">
        <v>43670</v>
      </c>
      <c r="C127" s="1" t="n">
        <v>45627</v>
      </c>
      <c r="D127" t="inlineStr">
        <is>
          <t>JÄMTLANDS LÄN</t>
        </is>
      </c>
      <c r="E127" t="inlineStr">
        <is>
          <t>KROKOM</t>
        </is>
      </c>
      <c r="G127" t="n">
        <v>36.9</v>
      </c>
      <c r="H127" t="n">
        <v>0</v>
      </c>
      <c r="I127" t="n">
        <v>3</v>
      </c>
      <c r="J127" t="n">
        <v>1</v>
      </c>
      <c r="K127" t="n">
        <v>0</v>
      </c>
      <c r="L127" t="n">
        <v>0</v>
      </c>
      <c r="M127" t="n">
        <v>0</v>
      </c>
      <c r="N127" t="n">
        <v>0</v>
      </c>
      <c r="O127" t="n">
        <v>1</v>
      </c>
      <c r="P127" t="n">
        <v>0</v>
      </c>
      <c r="Q127" t="n">
        <v>4</v>
      </c>
      <c r="R127" s="2" t="inlineStr">
        <is>
          <t>Doftskinn
Dvärghäxört
Kambräken
Mörk husmossa</t>
        </is>
      </c>
      <c r="S127">
        <f>HYPERLINK("https://klasma.github.io/Logging_2309/artfynd/A 36377-2019 artfynd.xlsx", "A 36377-2019")</f>
        <v/>
      </c>
      <c r="T127">
        <f>HYPERLINK("https://klasma.github.io/Logging_2309/kartor/A 36377-2019 karta.png", "A 36377-2019")</f>
        <v/>
      </c>
      <c r="V127">
        <f>HYPERLINK("https://klasma.github.io/Logging_2309/klagomål/A 36377-2019 FSC-klagomål.docx", "A 36377-2019")</f>
        <v/>
      </c>
      <c r="W127">
        <f>HYPERLINK("https://klasma.github.io/Logging_2309/klagomålsmail/A 36377-2019 FSC-klagomål mail.docx", "A 36377-2019")</f>
        <v/>
      </c>
      <c r="X127">
        <f>HYPERLINK("https://klasma.github.io/Logging_2309/tillsyn/A 36377-2019 tillsynsbegäran.docx", "A 36377-2019")</f>
        <v/>
      </c>
      <c r="Y127">
        <f>HYPERLINK("https://klasma.github.io/Logging_2309/tillsynsmail/A 36377-2019 tillsynsbegäran mail.docx", "A 36377-2019")</f>
        <v/>
      </c>
    </row>
    <row r="128" ht="15" customHeight="1">
      <c r="A128" t="inlineStr">
        <is>
          <t>A 43202-2019</t>
        </is>
      </c>
      <c r="B128" s="1" t="n">
        <v>43705</v>
      </c>
      <c r="C128" s="1" t="n">
        <v>45627</v>
      </c>
      <c r="D128" t="inlineStr">
        <is>
          <t>JÄMTLANDS LÄN</t>
        </is>
      </c>
      <c r="E128" t="inlineStr">
        <is>
          <t>KROKOM</t>
        </is>
      </c>
      <c r="F128" t="inlineStr">
        <is>
          <t>SCA</t>
        </is>
      </c>
      <c r="G128" t="n">
        <v>4.3</v>
      </c>
      <c r="H128" t="n">
        <v>0</v>
      </c>
      <c r="I128" t="n">
        <v>1</v>
      </c>
      <c r="J128" t="n">
        <v>2</v>
      </c>
      <c r="K128" t="n">
        <v>1</v>
      </c>
      <c r="L128" t="n">
        <v>0</v>
      </c>
      <c r="M128" t="n">
        <v>0</v>
      </c>
      <c r="N128" t="n">
        <v>0</v>
      </c>
      <c r="O128" t="n">
        <v>3</v>
      </c>
      <c r="P128" t="n">
        <v>1</v>
      </c>
      <c r="Q128" t="n">
        <v>4</v>
      </c>
      <c r="R128" s="2" t="inlineStr">
        <is>
          <t>Gräddporing
Nordtagging
Vedtrappmossa
Luddlav</t>
        </is>
      </c>
      <c r="S128">
        <f>HYPERLINK("https://klasma.github.io/Logging_2309/artfynd/A 43202-2019 artfynd.xlsx", "A 43202-2019")</f>
        <v/>
      </c>
      <c r="T128">
        <f>HYPERLINK("https://klasma.github.io/Logging_2309/kartor/A 43202-2019 karta.png", "A 43202-2019")</f>
        <v/>
      </c>
      <c r="V128">
        <f>HYPERLINK("https://klasma.github.io/Logging_2309/klagomål/A 43202-2019 FSC-klagomål.docx", "A 43202-2019")</f>
        <v/>
      </c>
      <c r="W128">
        <f>HYPERLINK("https://klasma.github.io/Logging_2309/klagomålsmail/A 43202-2019 FSC-klagomål mail.docx", "A 43202-2019")</f>
        <v/>
      </c>
      <c r="X128">
        <f>HYPERLINK("https://klasma.github.io/Logging_2309/tillsyn/A 43202-2019 tillsynsbegäran.docx", "A 43202-2019")</f>
        <v/>
      </c>
      <c r="Y128">
        <f>HYPERLINK("https://klasma.github.io/Logging_2309/tillsynsmail/A 43202-2019 tillsynsbegäran mail.docx", "A 43202-2019")</f>
        <v/>
      </c>
    </row>
    <row r="129" ht="15" customHeight="1">
      <c r="A129" t="inlineStr">
        <is>
          <t>A 49140-2019</t>
        </is>
      </c>
      <c r="B129" s="1" t="n">
        <v>43731</v>
      </c>
      <c r="C129" s="1" t="n">
        <v>45627</v>
      </c>
      <c r="D129" t="inlineStr">
        <is>
          <t>JÄMTLANDS LÄN</t>
        </is>
      </c>
      <c r="E129" t="inlineStr">
        <is>
          <t>KROKOM</t>
        </is>
      </c>
      <c r="G129" t="n">
        <v>13.3</v>
      </c>
      <c r="H129" t="n">
        <v>1</v>
      </c>
      <c r="I129" t="n">
        <v>1</v>
      </c>
      <c r="J129" t="n">
        <v>3</v>
      </c>
      <c r="K129" t="n">
        <v>0</v>
      </c>
      <c r="L129" t="n">
        <v>0</v>
      </c>
      <c r="M129" t="n">
        <v>0</v>
      </c>
      <c r="N129" t="n">
        <v>0</v>
      </c>
      <c r="O129" t="n">
        <v>3</v>
      </c>
      <c r="P129" t="n">
        <v>0</v>
      </c>
      <c r="Q129" t="n">
        <v>4</v>
      </c>
      <c r="R129" s="2" t="inlineStr">
        <is>
          <t>Granticka
Skogshare
Tretåig hackspett
Trådticka</t>
        </is>
      </c>
      <c r="S129">
        <f>HYPERLINK("https://klasma.github.io/Logging_2309/artfynd/A 49140-2019 artfynd.xlsx", "A 49140-2019")</f>
        <v/>
      </c>
      <c r="T129">
        <f>HYPERLINK("https://klasma.github.io/Logging_2309/kartor/A 49140-2019 karta.png", "A 49140-2019")</f>
        <v/>
      </c>
      <c r="V129">
        <f>HYPERLINK("https://klasma.github.io/Logging_2309/klagomål/A 49140-2019 FSC-klagomål.docx", "A 49140-2019")</f>
        <v/>
      </c>
      <c r="W129">
        <f>HYPERLINK("https://klasma.github.io/Logging_2309/klagomålsmail/A 49140-2019 FSC-klagomål mail.docx", "A 49140-2019")</f>
        <v/>
      </c>
      <c r="X129">
        <f>HYPERLINK("https://klasma.github.io/Logging_2309/tillsyn/A 49140-2019 tillsynsbegäran.docx", "A 49140-2019")</f>
        <v/>
      </c>
      <c r="Y129">
        <f>HYPERLINK("https://klasma.github.io/Logging_2309/tillsynsmail/A 49140-2019 tillsynsbegäran mail.docx", "A 49140-2019")</f>
        <v/>
      </c>
      <c r="Z129">
        <f>HYPERLINK("https://klasma.github.io/Logging_2309/fåglar/A 49140-2019 prioriterade fågelarter.docx", "A 49140-2019")</f>
        <v/>
      </c>
    </row>
    <row r="130" ht="15" customHeight="1">
      <c r="A130" t="inlineStr">
        <is>
          <t>A 49169-2019</t>
        </is>
      </c>
      <c r="B130" s="1" t="n">
        <v>43731</v>
      </c>
      <c r="C130" s="1" t="n">
        <v>45627</v>
      </c>
      <c r="D130" t="inlineStr">
        <is>
          <t>JÄMTLANDS LÄN</t>
        </is>
      </c>
      <c r="E130" t="inlineStr">
        <is>
          <t>KROKOM</t>
        </is>
      </c>
      <c r="G130" t="n">
        <v>3.5</v>
      </c>
      <c r="H130" t="n">
        <v>1</v>
      </c>
      <c r="I130" t="n">
        <v>1</v>
      </c>
      <c r="J130" t="n">
        <v>3</v>
      </c>
      <c r="K130" t="n">
        <v>0</v>
      </c>
      <c r="L130" t="n">
        <v>0</v>
      </c>
      <c r="M130" t="n">
        <v>0</v>
      </c>
      <c r="N130" t="n">
        <v>0</v>
      </c>
      <c r="O130" t="n">
        <v>3</v>
      </c>
      <c r="P130" t="n">
        <v>0</v>
      </c>
      <c r="Q130" t="n">
        <v>4</v>
      </c>
      <c r="R130" s="2" t="inlineStr">
        <is>
          <t>Granticka
Tretåig hackspett
Ullticka
Trådticka</t>
        </is>
      </c>
      <c r="S130">
        <f>HYPERLINK("https://klasma.github.io/Logging_2309/artfynd/A 49169-2019 artfynd.xlsx", "A 49169-2019")</f>
        <v/>
      </c>
      <c r="T130">
        <f>HYPERLINK("https://klasma.github.io/Logging_2309/kartor/A 49169-2019 karta.png", "A 49169-2019")</f>
        <v/>
      </c>
      <c r="V130">
        <f>HYPERLINK("https://klasma.github.io/Logging_2309/klagomål/A 49169-2019 FSC-klagomål.docx", "A 49169-2019")</f>
        <v/>
      </c>
      <c r="W130">
        <f>HYPERLINK("https://klasma.github.io/Logging_2309/klagomålsmail/A 49169-2019 FSC-klagomål mail.docx", "A 49169-2019")</f>
        <v/>
      </c>
      <c r="X130">
        <f>HYPERLINK("https://klasma.github.io/Logging_2309/tillsyn/A 49169-2019 tillsynsbegäran.docx", "A 49169-2019")</f>
        <v/>
      </c>
      <c r="Y130">
        <f>HYPERLINK("https://klasma.github.io/Logging_2309/tillsynsmail/A 49169-2019 tillsynsbegäran mail.docx", "A 49169-2019")</f>
        <v/>
      </c>
      <c r="Z130">
        <f>HYPERLINK("https://klasma.github.io/Logging_2309/fåglar/A 49169-2019 prioriterade fågelarter.docx", "A 49169-2019")</f>
        <v/>
      </c>
    </row>
    <row r="131" ht="15" customHeight="1">
      <c r="A131" t="inlineStr">
        <is>
          <t>A 49097-2019</t>
        </is>
      </c>
      <c r="B131" s="1" t="n">
        <v>43731</v>
      </c>
      <c r="C131" s="1" t="n">
        <v>45627</v>
      </c>
      <c r="D131" t="inlineStr">
        <is>
          <t>JÄMTLANDS LÄN</t>
        </is>
      </c>
      <c r="E131" t="inlineStr">
        <is>
          <t>KROKOM</t>
        </is>
      </c>
      <c r="G131" t="n">
        <v>31.3</v>
      </c>
      <c r="H131" t="n">
        <v>0</v>
      </c>
      <c r="I131" t="n">
        <v>0</v>
      </c>
      <c r="J131" t="n">
        <v>4</v>
      </c>
      <c r="K131" t="n">
        <v>0</v>
      </c>
      <c r="L131" t="n">
        <v>0</v>
      </c>
      <c r="M131" t="n">
        <v>0</v>
      </c>
      <c r="N131" t="n">
        <v>0</v>
      </c>
      <c r="O131" t="n">
        <v>4</v>
      </c>
      <c r="P131" t="n">
        <v>0</v>
      </c>
      <c r="Q131" t="n">
        <v>4</v>
      </c>
      <c r="R131" s="2" t="inlineStr">
        <is>
          <t>Garnlav
Granticka
Gränsticka
Vitgrynig nållav</t>
        </is>
      </c>
      <c r="S131">
        <f>HYPERLINK("https://klasma.github.io/Logging_2309/artfynd/A 49097-2019 artfynd.xlsx", "A 49097-2019")</f>
        <v/>
      </c>
      <c r="T131">
        <f>HYPERLINK("https://klasma.github.io/Logging_2309/kartor/A 49097-2019 karta.png", "A 49097-2019")</f>
        <v/>
      </c>
      <c r="V131">
        <f>HYPERLINK("https://klasma.github.io/Logging_2309/klagomål/A 49097-2019 FSC-klagomål.docx", "A 49097-2019")</f>
        <v/>
      </c>
      <c r="W131">
        <f>HYPERLINK("https://klasma.github.io/Logging_2309/klagomålsmail/A 49097-2019 FSC-klagomål mail.docx", "A 49097-2019")</f>
        <v/>
      </c>
      <c r="X131">
        <f>HYPERLINK("https://klasma.github.io/Logging_2309/tillsyn/A 49097-2019 tillsynsbegäran.docx", "A 49097-2019")</f>
        <v/>
      </c>
      <c r="Y131">
        <f>HYPERLINK("https://klasma.github.io/Logging_2309/tillsynsmail/A 49097-2019 tillsynsbegäran mail.docx", "A 49097-2019")</f>
        <v/>
      </c>
    </row>
    <row r="132" ht="15" customHeight="1">
      <c r="A132" t="inlineStr">
        <is>
          <t>A 67215-2019</t>
        </is>
      </c>
      <c r="B132" s="1" t="n">
        <v>43811</v>
      </c>
      <c r="C132" s="1" t="n">
        <v>45627</v>
      </c>
      <c r="D132" t="inlineStr">
        <is>
          <t>JÄMTLANDS LÄN</t>
        </is>
      </c>
      <c r="E132" t="inlineStr">
        <is>
          <t>KROKOM</t>
        </is>
      </c>
      <c r="G132" t="n">
        <v>6.7</v>
      </c>
      <c r="H132" t="n">
        <v>0</v>
      </c>
      <c r="I132" t="n">
        <v>1</v>
      </c>
      <c r="J132" t="n">
        <v>2</v>
      </c>
      <c r="K132" t="n">
        <v>1</v>
      </c>
      <c r="L132" t="n">
        <v>0</v>
      </c>
      <c r="M132" t="n">
        <v>0</v>
      </c>
      <c r="N132" t="n">
        <v>0</v>
      </c>
      <c r="O132" t="n">
        <v>3</v>
      </c>
      <c r="P132" t="n">
        <v>1</v>
      </c>
      <c r="Q132" t="n">
        <v>4</v>
      </c>
      <c r="R132" s="2" t="inlineStr">
        <is>
          <t>Blåfotad fagerspindling
Garnlav
Liten svartspik
Svavelriska</t>
        </is>
      </c>
      <c r="S132">
        <f>HYPERLINK("https://klasma.github.io/Logging_2309/artfynd/A 67215-2019 artfynd.xlsx", "A 67215-2019")</f>
        <v/>
      </c>
      <c r="T132">
        <f>HYPERLINK("https://klasma.github.io/Logging_2309/kartor/A 67215-2019 karta.png", "A 67215-2019")</f>
        <v/>
      </c>
      <c r="V132">
        <f>HYPERLINK("https://klasma.github.io/Logging_2309/klagomål/A 67215-2019 FSC-klagomål.docx", "A 67215-2019")</f>
        <v/>
      </c>
      <c r="W132">
        <f>HYPERLINK("https://klasma.github.io/Logging_2309/klagomålsmail/A 67215-2019 FSC-klagomål mail.docx", "A 67215-2019")</f>
        <v/>
      </c>
      <c r="X132">
        <f>HYPERLINK("https://klasma.github.io/Logging_2309/tillsyn/A 67215-2019 tillsynsbegäran.docx", "A 67215-2019")</f>
        <v/>
      </c>
      <c r="Y132">
        <f>HYPERLINK("https://klasma.github.io/Logging_2309/tillsynsmail/A 67215-2019 tillsynsbegäran mail.docx", "A 67215-2019")</f>
        <v/>
      </c>
    </row>
    <row r="133" ht="15" customHeight="1">
      <c r="A133" t="inlineStr">
        <is>
          <t>A 68311-2019</t>
        </is>
      </c>
      <c r="B133" s="1" t="n">
        <v>43817</v>
      </c>
      <c r="C133" s="1" t="n">
        <v>45627</v>
      </c>
      <c r="D133" t="inlineStr">
        <is>
          <t>JÄMTLANDS LÄN</t>
        </is>
      </c>
      <c r="E133" t="inlineStr">
        <is>
          <t>KROKOM</t>
        </is>
      </c>
      <c r="F133" t="inlineStr">
        <is>
          <t>SCA</t>
        </is>
      </c>
      <c r="G133" t="n">
        <v>5.7</v>
      </c>
      <c r="H133" t="n">
        <v>0</v>
      </c>
      <c r="I133" t="n">
        <v>1</v>
      </c>
      <c r="J133" t="n">
        <v>3</v>
      </c>
      <c r="K133" t="n">
        <v>0</v>
      </c>
      <c r="L133" t="n">
        <v>0</v>
      </c>
      <c r="M133" t="n">
        <v>0</v>
      </c>
      <c r="N133" t="n">
        <v>0</v>
      </c>
      <c r="O133" t="n">
        <v>3</v>
      </c>
      <c r="P133" t="n">
        <v>0</v>
      </c>
      <c r="Q133" t="n">
        <v>4</v>
      </c>
      <c r="R133" s="2" t="inlineStr">
        <is>
          <t>Garnlav
Kolflarnlav
Vedskivlav
Norrlandslav</t>
        </is>
      </c>
      <c r="S133">
        <f>HYPERLINK("https://klasma.github.io/Logging_2309/artfynd/A 68311-2019 artfynd.xlsx", "A 68311-2019")</f>
        <v/>
      </c>
      <c r="T133">
        <f>HYPERLINK("https://klasma.github.io/Logging_2309/kartor/A 68311-2019 karta.png", "A 68311-2019")</f>
        <v/>
      </c>
      <c r="V133">
        <f>HYPERLINK("https://klasma.github.io/Logging_2309/klagomål/A 68311-2019 FSC-klagomål.docx", "A 68311-2019")</f>
        <v/>
      </c>
      <c r="W133">
        <f>HYPERLINK("https://klasma.github.io/Logging_2309/klagomålsmail/A 68311-2019 FSC-klagomål mail.docx", "A 68311-2019")</f>
        <v/>
      </c>
      <c r="X133">
        <f>HYPERLINK("https://klasma.github.io/Logging_2309/tillsyn/A 68311-2019 tillsynsbegäran.docx", "A 68311-2019")</f>
        <v/>
      </c>
      <c r="Y133">
        <f>HYPERLINK("https://klasma.github.io/Logging_2309/tillsynsmail/A 68311-2019 tillsynsbegäran mail.docx", "A 68311-2019")</f>
        <v/>
      </c>
    </row>
    <row r="134" ht="15" customHeight="1">
      <c r="A134" t="inlineStr">
        <is>
          <t>A 65901-2020</t>
        </is>
      </c>
      <c r="B134" s="1" t="n">
        <v>44174</v>
      </c>
      <c r="C134" s="1" t="n">
        <v>45627</v>
      </c>
      <c r="D134" t="inlineStr">
        <is>
          <t>JÄMTLANDS LÄN</t>
        </is>
      </c>
      <c r="E134" t="inlineStr">
        <is>
          <t>KROKOM</t>
        </is>
      </c>
      <c r="G134" t="n">
        <v>9.699999999999999</v>
      </c>
      <c r="H134" t="n">
        <v>0</v>
      </c>
      <c r="I134" t="n">
        <v>4</v>
      </c>
      <c r="J134" t="n">
        <v>0</v>
      </c>
      <c r="K134" t="n">
        <v>0</v>
      </c>
      <c r="L134" t="n">
        <v>0</v>
      </c>
      <c r="M134" t="n">
        <v>0</v>
      </c>
      <c r="N134" t="n">
        <v>0</v>
      </c>
      <c r="O134" t="n">
        <v>0</v>
      </c>
      <c r="P134" t="n">
        <v>0</v>
      </c>
      <c r="Q134" t="n">
        <v>4</v>
      </c>
      <c r="R134" s="2" t="inlineStr">
        <is>
          <t>Barrfagerspindling
Diskvaxskivling
Kryddspindling
Tibast</t>
        </is>
      </c>
      <c r="S134">
        <f>HYPERLINK("https://klasma.github.io/Logging_2309/artfynd/A 65901-2020 artfynd.xlsx", "A 65901-2020")</f>
        <v/>
      </c>
      <c r="T134">
        <f>HYPERLINK("https://klasma.github.io/Logging_2309/kartor/A 65901-2020 karta.png", "A 65901-2020")</f>
        <v/>
      </c>
      <c r="V134">
        <f>HYPERLINK("https://klasma.github.io/Logging_2309/klagomål/A 65901-2020 FSC-klagomål.docx", "A 65901-2020")</f>
        <v/>
      </c>
      <c r="W134">
        <f>HYPERLINK("https://klasma.github.io/Logging_2309/klagomålsmail/A 65901-2020 FSC-klagomål mail.docx", "A 65901-2020")</f>
        <v/>
      </c>
      <c r="X134">
        <f>HYPERLINK("https://klasma.github.io/Logging_2309/tillsyn/A 65901-2020 tillsynsbegäran.docx", "A 65901-2020")</f>
        <v/>
      </c>
      <c r="Y134">
        <f>HYPERLINK("https://klasma.github.io/Logging_2309/tillsynsmail/A 65901-2020 tillsynsbegäran mail.docx", "A 65901-2020")</f>
        <v/>
      </c>
    </row>
    <row r="135" ht="15" customHeight="1">
      <c r="A135" t="inlineStr">
        <is>
          <t>A 64302-2021</t>
        </is>
      </c>
      <c r="B135" s="1" t="n">
        <v>44510</v>
      </c>
      <c r="C135" s="1" t="n">
        <v>45627</v>
      </c>
      <c r="D135" t="inlineStr">
        <is>
          <t>JÄMTLANDS LÄN</t>
        </is>
      </c>
      <c r="E135" t="inlineStr">
        <is>
          <t>KROKOM</t>
        </is>
      </c>
      <c r="G135" t="n">
        <v>2.4</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64302-2021 artfynd.xlsx", "A 64302-2021")</f>
        <v/>
      </c>
      <c r="T135">
        <f>HYPERLINK("https://klasma.github.io/Logging_2309/kartor/A 64302-2021 karta.png", "A 64302-2021")</f>
        <v/>
      </c>
      <c r="V135">
        <f>HYPERLINK("https://klasma.github.io/Logging_2309/klagomål/A 64302-2021 FSC-klagomål.docx", "A 64302-2021")</f>
        <v/>
      </c>
      <c r="W135">
        <f>HYPERLINK("https://klasma.github.io/Logging_2309/klagomålsmail/A 64302-2021 FSC-klagomål mail.docx", "A 64302-2021")</f>
        <v/>
      </c>
      <c r="X135">
        <f>HYPERLINK("https://klasma.github.io/Logging_2309/tillsyn/A 64302-2021 tillsynsbegäran.docx", "A 64302-2021")</f>
        <v/>
      </c>
      <c r="Y135">
        <f>HYPERLINK("https://klasma.github.io/Logging_2309/tillsynsmail/A 64302-2021 tillsynsbegäran mail.docx", "A 64302-2021")</f>
        <v/>
      </c>
      <c r="Z135">
        <f>HYPERLINK("https://klasma.github.io/Logging_2309/fåglar/A 64302-2021 prioriterade fågelarter.docx", "A 64302-2021")</f>
        <v/>
      </c>
    </row>
    <row r="136" ht="15" customHeight="1">
      <c r="A136" t="inlineStr">
        <is>
          <t>A 73935-2021</t>
        </is>
      </c>
      <c r="B136" s="1" t="n">
        <v>44553</v>
      </c>
      <c r="C136" s="1" t="n">
        <v>45627</v>
      </c>
      <c r="D136" t="inlineStr">
        <is>
          <t>JÄMTLANDS LÄN</t>
        </is>
      </c>
      <c r="E136" t="inlineStr">
        <is>
          <t>KROKOM</t>
        </is>
      </c>
      <c r="G136" t="n">
        <v>391.3</v>
      </c>
      <c r="H136" t="n">
        <v>3</v>
      </c>
      <c r="I136" t="n">
        <v>0</v>
      </c>
      <c r="J136" t="n">
        <v>2</v>
      </c>
      <c r="K136" t="n">
        <v>0</v>
      </c>
      <c r="L136" t="n">
        <v>0</v>
      </c>
      <c r="M136" t="n">
        <v>0</v>
      </c>
      <c r="N136" t="n">
        <v>0</v>
      </c>
      <c r="O136" t="n">
        <v>2</v>
      </c>
      <c r="P136" t="n">
        <v>0</v>
      </c>
      <c r="Q136" t="n">
        <v>4</v>
      </c>
      <c r="R136" s="2" t="inlineStr">
        <is>
          <t>Doftskinn
Tretåig hackspett
Nattviol
Revlummer</t>
        </is>
      </c>
      <c r="S136">
        <f>HYPERLINK("https://klasma.github.io/Logging_2309/artfynd/A 73935-2021 artfynd.xlsx", "A 73935-2021")</f>
        <v/>
      </c>
      <c r="T136">
        <f>HYPERLINK("https://klasma.github.io/Logging_2309/kartor/A 73935-2021 karta.png", "A 73935-2021")</f>
        <v/>
      </c>
      <c r="V136">
        <f>HYPERLINK("https://klasma.github.io/Logging_2309/klagomål/A 73935-2021 FSC-klagomål.docx", "A 73935-2021")</f>
        <v/>
      </c>
      <c r="W136">
        <f>HYPERLINK("https://klasma.github.io/Logging_2309/klagomålsmail/A 73935-2021 FSC-klagomål mail.docx", "A 73935-2021")</f>
        <v/>
      </c>
      <c r="X136">
        <f>HYPERLINK("https://klasma.github.io/Logging_2309/tillsyn/A 73935-2021 tillsynsbegäran.docx", "A 73935-2021")</f>
        <v/>
      </c>
      <c r="Y136">
        <f>HYPERLINK("https://klasma.github.io/Logging_2309/tillsynsmail/A 73935-2021 tillsynsbegäran mail.docx", "A 73935-2021")</f>
        <v/>
      </c>
      <c r="Z136">
        <f>HYPERLINK("https://klasma.github.io/Logging_2309/fåglar/A 73935-2021 prioriterade fågelarter.docx", "A 73935-2021")</f>
        <v/>
      </c>
    </row>
    <row r="137" ht="15" customHeight="1">
      <c r="A137" t="inlineStr">
        <is>
          <t>A 23994-2022</t>
        </is>
      </c>
      <c r="B137" s="1" t="n">
        <v>44722</v>
      </c>
      <c r="C137" s="1" t="n">
        <v>45627</v>
      </c>
      <c r="D137" t="inlineStr">
        <is>
          <t>JÄMTLANDS LÄN</t>
        </is>
      </c>
      <c r="E137" t="inlineStr">
        <is>
          <t>KROKOM</t>
        </is>
      </c>
      <c r="F137" t="inlineStr">
        <is>
          <t>SCA</t>
        </is>
      </c>
      <c r="G137" t="n">
        <v>13.4</v>
      </c>
      <c r="H137" t="n">
        <v>0</v>
      </c>
      <c r="I137" t="n">
        <v>1</v>
      </c>
      <c r="J137" t="n">
        <v>3</v>
      </c>
      <c r="K137" t="n">
        <v>0</v>
      </c>
      <c r="L137" t="n">
        <v>0</v>
      </c>
      <c r="M137" t="n">
        <v>0</v>
      </c>
      <c r="N137" t="n">
        <v>0</v>
      </c>
      <c r="O137" t="n">
        <v>3</v>
      </c>
      <c r="P137" t="n">
        <v>0</v>
      </c>
      <c r="Q137" t="n">
        <v>4</v>
      </c>
      <c r="R137" s="2" t="inlineStr">
        <is>
          <t>Garnlav
Lunglav
Skrovellav
Korallblylav</t>
        </is>
      </c>
      <c r="S137">
        <f>HYPERLINK("https://klasma.github.io/Logging_2309/artfynd/A 23994-2022 artfynd.xlsx", "A 23994-2022")</f>
        <v/>
      </c>
      <c r="T137">
        <f>HYPERLINK("https://klasma.github.io/Logging_2309/kartor/A 23994-2022 karta.png", "A 23994-2022")</f>
        <v/>
      </c>
      <c r="V137">
        <f>HYPERLINK("https://klasma.github.io/Logging_2309/klagomål/A 23994-2022 FSC-klagomål.docx", "A 23994-2022")</f>
        <v/>
      </c>
      <c r="W137">
        <f>HYPERLINK("https://klasma.github.io/Logging_2309/klagomålsmail/A 23994-2022 FSC-klagomål mail.docx", "A 23994-2022")</f>
        <v/>
      </c>
      <c r="X137">
        <f>HYPERLINK("https://klasma.github.io/Logging_2309/tillsyn/A 23994-2022 tillsynsbegäran.docx", "A 23994-2022")</f>
        <v/>
      </c>
      <c r="Y137">
        <f>HYPERLINK("https://klasma.github.io/Logging_2309/tillsynsmail/A 23994-2022 tillsynsbegäran mail.docx", "A 23994-2022")</f>
        <v/>
      </c>
    </row>
    <row r="138" ht="15" customHeight="1">
      <c r="A138" t="inlineStr">
        <is>
          <t>A 25029-2022</t>
        </is>
      </c>
      <c r="B138" s="1" t="n">
        <v>44728</v>
      </c>
      <c r="C138" s="1" t="n">
        <v>45627</v>
      </c>
      <c r="D138" t="inlineStr">
        <is>
          <t>JÄMTLANDS LÄN</t>
        </is>
      </c>
      <c r="E138" t="inlineStr">
        <is>
          <t>KROKOM</t>
        </is>
      </c>
      <c r="F138" t="inlineStr">
        <is>
          <t>SCA</t>
        </is>
      </c>
      <c r="G138" t="n">
        <v>41.5</v>
      </c>
      <c r="H138" t="n">
        <v>3</v>
      </c>
      <c r="I138" t="n">
        <v>0</v>
      </c>
      <c r="J138" t="n">
        <v>2</v>
      </c>
      <c r="K138" t="n">
        <v>1</v>
      </c>
      <c r="L138" t="n">
        <v>0</v>
      </c>
      <c r="M138" t="n">
        <v>0</v>
      </c>
      <c r="N138" t="n">
        <v>0</v>
      </c>
      <c r="O138" t="n">
        <v>3</v>
      </c>
      <c r="P138" t="n">
        <v>1</v>
      </c>
      <c r="Q138" t="n">
        <v>4</v>
      </c>
      <c r="R138" s="2" t="inlineStr">
        <is>
          <t>Knärot
Skrovellav
Spillkråka
Fläcknycklar</t>
        </is>
      </c>
      <c r="S138">
        <f>HYPERLINK("https://klasma.github.io/Logging_2309/artfynd/A 25029-2022 artfynd.xlsx", "A 25029-2022")</f>
        <v/>
      </c>
      <c r="T138">
        <f>HYPERLINK("https://klasma.github.io/Logging_2309/kartor/A 25029-2022 karta.png", "A 25029-2022")</f>
        <v/>
      </c>
      <c r="U138">
        <f>HYPERLINK("https://klasma.github.io/Logging_2309/knärot/A 25029-2022 karta knärot.png", "A 25029-2022")</f>
        <v/>
      </c>
      <c r="V138">
        <f>HYPERLINK("https://klasma.github.io/Logging_2309/klagomål/A 25029-2022 FSC-klagomål.docx", "A 25029-2022")</f>
        <v/>
      </c>
      <c r="W138">
        <f>HYPERLINK("https://klasma.github.io/Logging_2309/klagomålsmail/A 25029-2022 FSC-klagomål mail.docx", "A 25029-2022")</f>
        <v/>
      </c>
      <c r="X138">
        <f>HYPERLINK("https://klasma.github.io/Logging_2309/tillsyn/A 25029-2022 tillsynsbegäran.docx", "A 25029-2022")</f>
        <v/>
      </c>
      <c r="Y138">
        <f>HYPERLINK("https://klasma.github.io/Logging_2309/tillsynsmail/A 25029-2022 tillsynsbegäran mail.docx", "A 25029-2022")</f>
        <v/>
      </c>
      <c r="Z138">
        <f>HYPERLINK("https://klasma.github.io/Logging_2309/fåglar/A 25029-2022 prioriterade fågelarter.docx", "A 25029-2022")</f>
        <v/>
      </c>
    </row>
    <row r="139" ht="15" customHeight="1">
      <c r="A139" t="inlineStr">
        <is>
          <t>A 53363-2022</t>
        </is>
      </c>
      <c r="B139" s="1" t="n">
        <v>44879</v>
      </c>
      <c r="C139" s="1" t="n">
        <v>45627</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57295-2022</t>
        </is>
      </c>
      <c r="B140" s="1" t="n">
        <v>44895</v>
      </c>
      <c r="C140" s="1" t="n">
        <v>45627</v>
      </c>
      <c r="D140" t="inlineStr">
        <is>
          <t>JÄMTLANDS LÄN</t>
        </is>
      </c>
      <c r="E140" t="inlineStr">
        <is>
          <t>KROKOM</t>
        </is>
      </c>
      <c r="G140" t="n">
        <v>36.3</v>
      </c>
      <c r="H140" t="n">
        <v>2</v>
      </c>
      <c r="I140" t="n">
        <v>0</v>
      </c>
      <c r="J140" t="n">
        <v>3</v>
      </c>
      <c r="K140" t="n">
        <v>1</v>
      </c>
      <c r="L140" t="n">
        <v>0</v>
      </c>
      <c r="M140" t="n">
        <v>0</v>
      </c>
      <c r="N140" t="n">
        <v>0</v>
      </c>
      <c r="O140" t="n">
        <v>4</v>
      </c>
      <c r="P140" t="n">
        <v>1</v>
      </c>
      <c r="Q140" t="n">
        <v>4</v>
      </c>
      <c r="R140" s="2" t="inlineStr">
        <is>
          <t>Doftticka
Garnlav
Lunglav
Tretåig hackspett</t>
        </is>
      </c>
      <c r="S140">
        <f>HYPERLINK("https://klasma.github.io/Logging_2309/artfynd/A 57295-2022 artfynd.xlsx", "A 57295-2022")</f>
        <v/>
      </c>
      <c r="T140">
        <f>HYPERLINK("https://klasma.github.io/Logging_2309/kartor/A 57295-2022 karta.png", "A 57295-2022")</f>
        <v/>
      </c>
      <c r="V140">
        <f>HYPERLINK("https://klasma.github.io/Logging_2309/klagomål/A 57295-2022 FSC-klagomål.docx", "A 57295-2022")</f>
        <v/>
      </c>
      <c r="W140">
        <f>HYPERLINK("https://klasma.github.io/Logging_2309/klagomålsmail/A 57295-2022 FSC-klagomål mail.docx", "A 57295-2022")</f>
        <v/>
      </c>
      <c r="X140">
        <f>HYPERLINK("https://klasma.github.io/Logging_2309/tillsyn/A 57295-2022 tillsynsbegäran.docx", "A 57295-2022")</f>
        <v/>
      </c>
      <c r="Y140">
        <f>HYPERLINK("https://klasma.github.io/Logging_2309/tillsynsmail/A 57295-2022 tillsynsbegäran mail.docx", "A 57295-2022")</f>
        <v/>
      </c>
      <c r="Z140">
        <f>HYPERLINK("https://klasma.github.io/Logging_2309/fåglar/A 57295-2022 prioriterade fågelarter.docx", "A 57295-2022")</f>
        <v/>
      </c>
    </row>
    <row r="141" ht="15" customHeight="1">
      <c r="A141" t="inlineStr">
        <is>
          <t>A 60566-2022</t>
        </is>
      </c>
      <c r="B141" s="1" t="n">
        <v>44904</v>
      </c>
      <c r="C141" s="1" t="n">
        <v>45627</v>
      </c>
      <c r="D141" t="inlineStr">
        <is>
          <t>JÄMTLANDS LÄN</t>
        </is>
      </c>
      <c r="E141" t="inlineStr">
        <is>
          <t>KROKOM</t>
        </is>
      </c>
      <c r="G141" t="n">
        <v>7.1</v>
      </c>
      <c r="H141" t="n">
        <v>1</v>
      </c>
      <c r="I141" t="n">
        <v>0</v>
      </c>
      <c r="J141" t="n">
        <v>3</v>
      </c>
      <c r="K141" t="n">
        <v>1</v>
      </c>
      <c r="L141" t="n">
        <v>0</v>
      </c>
      <c r="M141" t="n">
        <v>0</v>
      </c>
      <c r="N141" t="n">
        <v>0</v>
      </c>
      <c r="O141" t="n">
        <v>4</v>
      </c>
      <c r="P141" t="n">
        <v>1</v>
      </c>
      <c r="Q141" t="n">
        <v>4</v>
      </c>
      <c r="R141" s="2" t="inlineStr">
        <is>
          <t>Fjällfotad fingersvamp
Lunglav
Småflikig brosklav
Talltita</t>
        </is>
      </c>
      <c r="S141">
        <f>HYPERLINK("https://klasma.github.io/Logging_2309/artfynd/A 60566-2022 artfynd.xlsx", "A 60566-2022")</f>
        <v/>
      </c>
      <c r="T141">
        <f>HYPERLINK("https://klasma.github.io/Logging_2309/kartor/A 60566-2022 karta.png", "A 60566-2022")</f>
        <v/>
      </c>
      <c r="V141">
        <f>HYPERLINK("https://klasma.github.io/Logging_2309/klagomål/A 60566-2022 FSC-klagomål.docx", "A 60566-2022")</f>
        <v/>
      </c>
      <c r="W141">
        <f>HYPERLINK("https://klasma.github.io/Logging_2309/klagomålsmail/A 60566-2022 FSC-klagomål mail.docx", "A 60566-2022")</f>
        <v/>
      </c>
      <c r="X141">
        <f>HYPERLINK("https://klasma.github.io/Logging_2309/tillsyn/A 60566-2022 tillsynsbegäran.docx", "A 60566-2022")</f>
        <v/>
      </c>
      <c r="Y141">
        <f>HYPERLINK("https://klasma.github.io/Logging_2309/tillsynsmail/A 60566-2022 tillsynsbegäran mail.docx", "A 60566-2022")</f>
        <v/>
      </c>
      <c r="Z141">
        <f>HYPERLINK("https://klasma.github.io/Logging_2309/fåglar/A 60566-2022 prioriterade fågelarter.docx", "A 60566-2022")</f>
        <v/>
      </c>
    </row>
    <row r="142" ht="15" customHeight="1">
      <c r="A142" t="inlineStr">
        <is>
          <t>A 6682-2023</t>
        </is>
      </c>
      <c r="B142" s="1" t="n">
        <v>44966</v>
      </c>
      <c r="C142" s="1" t="n">
        <v>45627</v>
      </c>
      <c r="D142" t="inlineStr">
        <is>
          <t>JÄMTLANDS LÄN</t>
        </is>
      </c>
      <c r="E142" t="inlineStr">
        <is>
          <t>KROKOM</t>
        </is>
      </c>
      <c r="G142" t="n">
        <v>22.8</v>
      </c>
      <c r="H142" t="n">
        <v>1</v>
      </c>
      <c r="I142" t="n">
        <v>0</v>
      </c>
      <c r="J142" t="n">
        <v>4</v>
      </c>
      <c r="K142" t="n">
        <v>0</v>
      </c>
      <c r="L142" t="n">
        <v>0</v>
      </c>
      <c r="M142" t="n">
        <v>0</v>
      </c>
      <c r="N142" t="n">
        <v>0</v>
      </c>
      <c r="O142" t="n">
        <v>4</v>
      </c>
      <c r="P142" t="n">
        <v>0</v>
      </c>
      <c r="Q142" t="n">
        <v>4</v>
      </c>
      <c r="R142" s="2" t="inlineStr">
        <is>
          <t>Garnlav
Granticka
Lunglav
Tretåig hackspett</t>
        </is>
      </c>
      <c r="S142">
        <f>HYPERLINK("https://klasma.github.io/Logging_2309/artfynd/A 6682-2023 artfynd.xlsx", "A 6682-2023")</f>
        <v/>
      </c>
      <c r="T142">
        <f>HYPERLINK("https://klasma.github.io/Logging_2309/kartor/A 6682-2023 karta.png", "A 6682-2023")</f>
        <v/>
      </c>
      <c r="V142">
        <f>HYPERLINK("https://klasma.github.io/Logging_2309/klagomål/A 6682-2023 FSC-klagomål.docx", "A 6682-2023")</f>
        <v/>
      </c>
      <c r="W142">
        <f>HYPERLINK("https://klasma.github.io/Logging_2309/klagomålsmail/A 6682-2023 FSC-klagomål mail.docx", "A 6682-2023")</f>
        <v/>
      </c>
      <c r="X142">
        <f>HYPERLINK("https://klasma.github.io/Logging_2309/tillsyn/A 6682-2023 tillsynsbegäran.docx", "A 6682-2023")</f>
        <v/>
      </c>
      <c r="Y142">
        <f>HYPERLINK("https://klasma.github.io/Logging_2309/tillsynsmail/A 6682-2023 tillsynsbegäran mail.docx", "A 6682-2023")</f>
        <v/>
      </c>
      <c r="Z142">
        <f>HYPERLINK("https://klasma.github.io/Logging_2309/fåglar/A 6682-2023 prioriterade fågelarter.docx", "A 6682-2023")</f>
        <v/>
      </c>
    </row>
    <row r="143" ht="15" customHeight="1">
      <c r="A143" t="inlineStr">
        <is>
          <t>A 40179-2023</t>
        </is>
      </c>
      <c r="B143" s="1" t="n">
        <v>45169</v>
      </c>
      <c r="C143" s="1" t="n">
        <v>45627</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46055-2023</t>
        </is>
      </c>
      <c r="B144" s="1" t="n">
        <v>45190</v>
      </c>
      <c r="C144" s="1" t="n">
        <v>45627</v>
      </c>
      <c r="D144" t="inlineStr">
        <is>
          <t>JÄMTLANDS LÄN</t>
        </is>
      </c>
      <c r="E144" t="inlineStr">
        <is>
          <t>KROKOM</t>
        </is>
      </c>
      <c r="G144" t="n">
        <v>11.8</v>
      </c>
      <c r="H144" t="n">
        <v>2</v>
      </c>
      <c r="I144" t="n">
        <v>0</v>
      </c>
      <c r="J144" t="n">
        <v>3</v>
      </c>
      <c r="K144" t="n">
        <v>0</v>
      </c>
      <c r="L144" t="n">
        <v>0</v>
      </c>
      <c r="M144" t="n">
        <v>0</v>
      </c>
      <c r="N144" t="n">
        <v>0</v>
      </c>
      <c r="O144" t="n">
        <v>3</v>
      </c>
      <c r="P144" t="n">
        <v>0</v>
      </c>
      <c r="Q144" t="n">
        <v>4</v>
      </c>
      <c r="R144" s="2" t="inlineStr">
        <is>
          <t>Garnlav
Lunglav
Tretåig hackspett
Lavskrika</t>
        </is>
      </c>
      <c r="S144">
        <f>HYPERLINK("https://klasma.github.io/Logging_2309/artfynd/A 46055-2023 artfynd.xlsx", "A 46055-2023")</f>
        <v/>
      </c>
      <c r="T144">
        <f>HYPERLINK("https://klasma.github.io/Logging_2309/kartor/A 46055-2023 karta.png", "A 46055-2023")</f>
        <v/>
      </c>
      <c r="V144">
        <f>HYPERLINK("https://klasma.github.io/Logging_2309/klagomål/A 46055-2023 FSC-klagomål.docx", "A 46055-2023")</f>
        <v/>
      </c>
      <c r="W144">
        <f>HYPERLINK("https://klasma.github.io/Logging_2309/klagomålsmail/A 46055-2023 FSC-klagomål mail.docx", "A 46055-2023")</f>
        <v/>
      </c>
      <c r="X144">
        <f>HYPERLINK("https://klasma.github.io/Logging_2309/tillsyn/A 46055-2023 tillsynsbegäran.docx", "A 46055-2023")</f>
        <v/>
      </c>
      <c r="Y144">
        <f>HYPERLINK("https://klasma.github.io/Logging_2309/tillsynsmail/A 46055-2023 tillsynsbegäran mail.docx", "A 46055-2023")</f>
        <v/>
      </c>
      <c r="Z144">
        <f>HYPERLINK("https://klasma.github.io/Logging_2309/fåglar/A 46055-2023 prioriterade fågelarter.docx", "A 46055-2023")</f>
        <v/>
      </c>
    </row>
    <row r="145" ht="15" customHeight="1">
      <c r="A145" t="inlineStr">
        <is>
          <t>A 50218-2023</t>
        </is>
      </c>
      <c r="B145" s="1" t="n">
        <v>45215</v>
      </c>
      <c r="C145" s="1" t="n">
        <v>45627</v>
      </c>
      <c r="D145" t="inlineStr">
        <is>
          <t>JÄMTLANDS LÄN</t>
        </is>
      </c>
      <c r="E145" t="inlineStr">
        <is>
          <t>KROKOM</t>
        </is>
      </c>
      <c r="G145" t="n">
        <v>5.6</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50218-2023 artfynd.xlsx", "A 50218-2023")</f>
        <v/>
      </c>
      <c r="T145">
        <f>HYPERLINK("https://klasma.github.io/Logging_2309/kartor/A 50218-2023 karta.png", "A 50218-2023")</f>
        <v/>
      </c>
      <c r="V145">
        <f>HYPERLINK("https://klasma.github.io/Logging_2309/klagomål/A 50218-2023 FSC-klagomål.docx", "A 50218-2023")</f>
        <v/>
      </c>
      <c r="W145">
        <f>HYPERLINK("https://klasma.github.io/Logging_2309/klagomålsmail/A 50218-2023 FSC-klagomål mail.docx", "A 50218-2023")</f>
        <v/>
      </c>
      <c r="X145">
        <f>HYPERLINK("https://klasma.github.io/Logging_2309/tillsyn/A 50218-2023 tillsynsbegäran.docx", "A 50218-2023")</f>
        <v/>
      </c>
      <c r="Y145">
        <f>HYPERLINK("https://klasma.github.io/Logging_2309/tillsynsmail/A 50218-2023 tillsynsbegäran mail.docx", "A 50218-2023")</f>
        <v/>
      </c>
      <c r="Z145">
        <f>HYPERLINK("https://klasma.github.io/Logging_2309/fåglar/A 50218-2023 prioriterade fågelarter.docx", "A 50218-2023")</f>
        <v/>
      </c>
    </row>
    <row r="146" ht="15" customHeight="1">
      <c r="A146" t="inlineStr">
        <is>
          <t>A 2256-2024</t>
        </is>
      </c>
      <c r="B146" s="1" t="n">
        <v>45310</v>
      </c>
      <c r="C146" s="1" t="n">
        <v>45627</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30498-2024</t>
        </is>
      </c>
      <c r="B147" s="1" t="n">
        <v>45492</v>
      </c>
      <c r="C147" s="1" t="n">
        <v>45627</v>
      </c>
      <c r="D147" t="inlineStr">
        <is>
          <t>JÄMTLANDS LÄN</t>
        </is>
      </c>
      <c r="E147" t="inlineStr">
        <is>
          <t>KROKOM</t>
        </is>
      </c>
      <c r="G147" t="n">
        <v>9.4</v>
      </c>
      <c r="H147" t="n">
        <v>3</v>
      </c>
      <c r="I147" t="n">
        <v>2</v>
      </c>
      <c r="J147" t="n">
        <v>1</v>
      </c>
      <c r="K147" t="n">
        <v>0</v>
      </c>
      <c r="L147" t="n">
        <v>0</v>
      </c>
      <c r="M147" t="n">
        <v>0</v>
      </c>
      <c r="N147" t="n">
        <v>0</v>
      </c>
      <c r="O147" t="n">
        <v>1</v>
      </c>
      <c r="P147" t="n">
        <v>0</v>
      </c>
      <c r="Q147" t="n">
        <v>4</v>
      </c>
      <c r="R147" s="2" t="inlineStr">
        <is>
          <t>Lunglav
Grönkulla
Tvåblad
Blåsippa</t>
        </is>
      </c>
      <c r="S147">
        <f>HYPERLINK("https://klasma.github.io/Logging_2309/artfynd/A 30498-2024 artfynd.xlsx", "A 30498-2024")</f>
        <v/>
      </c>
      <c r="T147">
        <f>HYPERLINK("https://klasma.github.io/Logging_2309/kartor/A 30498-2024 karta.png", "A 30498-2024")</f>
        <v/>
      </c>
      <c r="V147">
        <f>HYPERLINK("https://klasma.github.io/Logging_2309/klagomål/A 30498-2024 FSC-klagomål.docx", "A 30498-2024")</f>
        <v/>
      </c>
      <c r="W147">
        <f>HYPERLINK("https://klasma.github.io/Logging_2309/klagomålsmail/A 30498-2024 FSC-klagomål mail.docx", "A 30498-2024")</f>
        <v/>
      </c>
      <c r="X147">
        <f>HYPERLINK("https://klasma.github.io/Logging_2309/tillsyn/A 30498-2024 tillsynsbegäran.docx", "A 30498-2024")</f>
        <v/>
      </c>
      <c r="Y147">
        <f>HYPERLINK("https://klasma.github.io/Logging_2309/tillsynsmail/A 30498-2024 tillsynsbegäran mail.docx", "A 30498-2024")</f>
        <v/>
      </c>
    </row>
    <row r="148" ht="15" customHeight="1">
      <c r="A148" t="inlineStr">
        <is>
          <t>A 35023-2024</t>
        </is>
      </c>
      <c r="B148" s="1" t="n">
        <v>45527</v>
      </c>
      <c r="C148" s="1" t="n">
        <v>45627</v>
      </c>
      <c r="D148" t="inlineStr">
        <is>
          <t>JÄMTLANDS LÄN</t>
        </is>
      </c>
      <c r="E148" t="inlineStr">
        <is>
          <t>KROKOM</t>
        </is>
      </c>
      <c r="F148" t="inlineStr">
        <is>
          <t>Övriga Aktiebolag</t>
        </is>
      </c>
      <c r="G148" t="n">
        <v>14</v>
      </c>
      <c r="H148" t="n">
        <v>1</v>
      </c>
      <c r="I148" t="n">
        <v>0</v>
      </c>
      <c r="J148" t="n">
        <v>4</v>
      </c>
      <c r="K148" t="n">
        <v>0</v>
      </c>
      <c r="L148" t="n">
        <v>0</v>
      </c>
      <c r="M148" t="n">
        <v>0</v>
      </c>
      <c r="N148" t="n">
        <v>0</v>
      </c>
      <c r="O148" t="n">
        <v>4</v>
      </c>
      <c r="P148" t="n">
        <v>0</v>
      </c>
      <c r="Q148" t="n">
        <v>4</v>
      </c>
      <c r="R148" s="2" t="inlineStr">
        <is>
          <t>Garnlav
Granticka
Harticka
Tretåig hackspett</t>
        </is>
      </c>
      <c r="S148">
        <f>HYPERLINK("https://klasma.github.io/Logging_2309/artfynd/A 35023-2024 artfynd.xlsx", "A 35023-2024")</f>
        <v/>
      </c>
      <c r="T148">
        <f>HYPERLINK("https://klasma.github.io/Logging_2309/kartor/A 35023-2024 karta.png", "A 35023-2024")</f>
        <v/>
      </c>
      <c r="V148">
        <f>HYPERLINK("https://klasma.github.io/Logging_2309/klagomål/A 35023-2024 FSC-klagomål.docx", "A 35023-2024")</f>
        <v/>
      </c>
      <c r="W148">
        <f>HYPERLINK("https://klasma.github.io/Logging_2309/klagomålsmail/A 35023-2024 FSC-klagomål mail.docx", "A 35023-2024")</f>
        <v/>
      </c>
      <c r="X148">
        <f>HYPERLINK("https://klasma.github.io/Logging_2309/tillsyn/A 35023-2024 tillsynsbegäran.docx", "A 35023-2024")</f>
        <v/>
      </c>
      <c r="Y148">
        <f>HYPERLINK("https://klasma.github.io/Logging_2309/tillsynsmail/A 35023-2024 tillsynsbegäran mail.docx", "A 35023-2024")</f>
        <v/>
      </c>
      <c r="Z148">
        <f>HYPERLINK("https://klasma.github.io/Logging_2309/fåglar/A 35023-2024 prioriterade fågelarter.docx", "A 35023-2024")</f>
        <v/>
      </c>
    </row>
    <row r="149" ht="15" customHeight="1">
      <c r="A149" t="inlineStr">
        <is>
          <t>A 49178-2024</t>
        </is>
      </c>
      <c r="B149" s="1" t="n">
        <v>45595</v>
      </c>
      <c r="C149" s="1" t="n">
        <v>45627</v>
      </c>
      <c r="D149" t="inlineStr">
        <is>
          <t>JÄMTLANDS LÄN</t>
        </is>
      </c>
      <c r="E149" t="inlineStr">
        <is>
          <t>KROKOM</t>
        </is>
      </c>
      <c r="G149" t="n">
        <v>96.8</v>
      </c>
      <c r="H149" t="n">
        <v>0</v>
      </c>
      <c r="I149" t="n">
        <v>0</v>
      </c>
      <c r="J149" t="n">
        <v>4</v>
      </c>
      <c r="K149" t="n">
        <v>0</v>
      </c>
      <c r="L149" t="n">
        <v>0</v>
      </c>
      <c r="M149" t="n">
        <v>0</v>
      </c>
      <c r="N149" t="n">
        <v>0</v>
      </c>
      <c r="O149" t="n">
        <v>4</v>
      </c>
      <c r="P149" t="n">
        <v>0</v>
      </c>
      <c r="Q149" t="n">
        <v>4</v>
      </c>
      <c r="R149" s="2" t="inlineStr">
        <is>
          <t>Gammelgransskål
Gränsticka
Rosenticka
Skrovellav</t>
        </is>
      </c>
      <c r="S149">
        <f>HYPERLINK("https://klasma.github.io/Logging_2309/artfynd/A 49178-2024 artfynd.xlsx", "A 49178-2024")</f>
        <v/>
      </c>
      <c r="T149">
        <f>HYPERLINK("https://klasma.github.io/Logging_2309/kartor/A 49178-2024 karta.png", "A 49178-2024")</f>
        <v/>
      </c>
      <c r="V149">
        <f>HYPERLINK("https://klasma.github.io/Logging_2309/klagomål/A 49178-2024 FSC-klagomål.docx", "A 49178-2024")</f>
        <v/>
      </c>
      <c r="W149">
        <f>HYPERLINK("https://klasma.github.io/Logging_2309/klagomålsmail/A 49178-2024 FSC-klagomål mail.docx", "A 49178-2024")</f>
        <v/>
      </c>
      <c r="X149">
        <f>HYPERLINK("https://klasma.github.io/Logging_2309/tillsyn/A 49178-2024 tillsynsbegäran.docx", "A 49178-2024")</f>
        <v/>
      </c>
      <c r="Y149">
        <f>HYPERLINK("https://klasma.github.io/Logging_2309/tillsynsmail/A 49178-2024 tillsynsbegäran mail.docx", "A 49178-2024")</f>
        <v/>
      </c>
    </row>
    <row r="150" ht="15" customHeight="1">
      <c r="A150" t="inlineStr">
        <is>
          <t>A 55224-2024</t>
        </is>
      </c>
      <c r="B150" s="1" t="n">
        <v>45621</v>
      </c>
      <c r="C150" s="1" t="n">
        <v>45627</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55985-2024</t>
        </is>
      </c>
      <c r="B151" s="1" t="n">
        <v>45623</v>
      </c>
      <c r="C151" s="1" t="n">
        <v>45627</v>
      </c>
      <c r="D151" t="inlineStr">
        <is>
          <t>JÄMTLANDS LÄN</t>
        </is>
      </c>
      <c r="E151" t="inlineStr">
        <is>
          <t>KROKOM</t>
        </is>
      </c>
      <c r="G151" t="n">
        <v>19.2</v>
      </c>
      <c r="H151" t="n">
        <v>1</v>
      </c>
      <c r="I151" t="n">
        <v>0</v>
      </c>
      <c r="J151" t="n">
        <v>4</v>
      </c>
      <c r="K151" t="n">
        <v>0</v>
      </c>
      <c r="L151" t="n">
        <v>0</v>
      </c>
      <c r="M151" t="n">
        <v>0</v>
      </c>
      <c r="N151" t="n">
        <v>0</v>
      </c>
      <c r="O151" t="n">
        <v>4</v>
      </c>
      <c r="P151" t="n">
        <v>0</v>
      </c>
      <c r="Q151" t="n">
        <v>4</v>
      </c>
      <c r="R151" s="2" t="inlineStr">
        <is>
          <t>Gammelgransskål
Garnlav
Harticka
Tretåig hackspett</t>
        </is>
      </c>
      <c r="S151">
        <f>HYPERLINK("https://klasma.github.io/Logging_2309/artfynd/A 55985-2024 artfynd.xlsx", "A 55985-2024")</f>
        <v/>
      </c>
      <c r="T151">
        <f>HYPERLINK("https://klasma.github.io/Logging_2309/kartor/A 55985-2024 karta.png", "A 55985-2024")</f>
        <v/>
      </c>
      <c r="V151">
        <f>HYPERLINK("https://klasma.github.io/Logging_2309/klagomål/A 55985-2024 FSC-klagomål.docx", "A 55985-2024")</f>
        <v/>
      </c>
      <c r="W151">
        <f>HYPERLINK("https://klasma.github.io/Logging_2309/klagomålsmail/A 55985-2024 FSC-klagomål mail.docx", "A 55985-2024")</f>
        <v/>
      </c>
      <c r="X151">
        <f>HYPERLINK("https://klasma.github.io/Logging_2309/tillsyn/A 55985-2024 tillsynsbegäran.docx", "A 55985-2024")</f>
        <v/>
      </c>
      <c r="Y151">
        <f>HYPERLINK("https://klasma.github.io/Logging_2309/tillsynsmail/A 55985-2024 tillsynsbegäran mail.docx", "A 55985-2024")</f>
        <v/>
      </c>
      <c r="Z151">
        <f>HYPERLINK("https://klasma.github.io/Logging_2309/fåglar/A 55985-2024 prioriterade fågelarter.docx", "A 55985-2024")</f>
        <v/>
      </c>
    </row>
    <row r="152" ht="15" customHeight="1">
      <c r="A152" t="inlineStr">
        <is>
          <t>A 45683-2019</t>
        </is>
      </c>
      <c r="B152" s="1" t="n">
        <v>43717</v>
      </c>
      <c r="C152" s="1" t="n">
        <v>45627</v>
      </c>
      <c r="D152" t="inlineStr">
        <is>
          <t>JÄMTLANDS LÄN</t>
        </is>
      </c>
      <c r="E152" t="inlineStr">
        <is>
          <t>KROKOM</t>
        </is>
      </c>
      <c r="G152" t="n">
        <v>4.6</v>
      </c>
      <c r="H152" t="n">
        <v>2</v>
      </c>
      <c r="I152" t="n">
        <v>0</v>
      </c>
      <c r="J152" t="n">
        <v>2</v>
      </c>
      <c r="K152" t="n">
        <v>1</v>
      </c>
      <c r="L152" t="n">
        <v>0</v>
      </c>
      <c r="M152" t="n">
        <v>0</v>
      </c>
      <c r="N152" t="n">
        <v>0</v>
      </c>
      <c r="O152" t="n">
        <v>3</v>
      </c>
      <c r="P152" t="n">
        <v>1</v>
      </c>
      <c r="Q152" t="n">
        <v>3</v>
      </c>
      <c r="R152" s="2" t="inlineStr">
        <is>
          <t>Knärot
Gränsticka
Tretåig hackspett</t>
        </is>
      </c>
      <c r="S152">
        <f>HYPERLINK("https://klasma.github.io/Logging_2309/artfynd/A 45683-2019 artfynd.xlsx", "A 45683-2019")</f>
        <v/>
      </c>
      <c r="T152">
        <f>HYPERLINK("https://klasma.github.io/Logging_2309/kartor/A 45683-2019 karta.png", "A 45683-2019")</f>
        <v/>
      </c>
      <c r="U152">
        <f>HYPERLINK("https://klasma.github.io/Logging_2309/knärot/A 45683-2019 karta knärot.png", "A 45683-2019")</f>
        <v/>
      </c>
      <c r="V152">
        <f>HYPERLINK("https://klasma.github.io/Logging_2309/klagomål/A 45683-2019 FSC-klagomål.docx", "A 45683-2019")</f>
        <v/>
      </c>
      <c r="W152">
        <f>HYPERLINK("https://klasma.github.io/Logging_2309/klagomålsmail/A 45683-2019 FSC-klagomål mail.docx", "A 45683-2019")</f>
        <v/>
      </c>
      <c r="X152">
        <f>HYPERLINK("https://klasma.github.io/Logging_2309/tillsyn/A 45683-2019 tillsynsbegäran.docx", "A 45683-2019")</f>
        <v/>
      </c>
      <c r="Y152">
        <f>HYPERLINK("https://klasma.github.io/Logging_2309/tillsynsmail/A 45683-2019 tillsynsbegäran mail.docx", "A 45683-2019")</f>
        <v/>
      </c>
      <c r="Z152">
        <f>HYPERLINK("https://klasma.github.io/Logging_2309/fåglar/A 45683-2019 prioriterade fågelarter.docx", "A 45683-2019")</f>
        <v/>
      </c>
    </row>
    <row r="153" ht="15" customHeight="1">
      <c r="A153" t="inlineStr">
        <is>
          <t>A 57028-2019</t>
        </is>
      </c>
      <c r="B153" s="1" t="n">
        <v>43766</v>
      </c>
      <c r="C153" s="1" t="n">
        <v>45627</v>
      </c>
      <c r="D153" t="inlineStr">
        <is>
          <t>JÄMTLANDS LÄN</t>
        </is>
      </c>
      <c r="E153" t="inlineStr">
        <is>
          <t>KROKOM</t>
        </is>
      </c>
      <c r="G153" t="n">
        <v>13.6</v>
      </c>
      <c r="H153" t="n">
        <v>0</v>
      </c>
      <c r="I153" t="n">
        <v>1</v>
      </c>
      <c r="J153" t="n">
        <v>1</v>
      </c>
      <c r="K153" t="n">
        <v>1</v>
      </c>
      <c r="L153" t="n">
        <v>0</v>
      </c>
      <c r="M153" t="n">
        <v>0</v>
      </c>
      <c r="N153" t="n">
        <v>0</v>
      </c>
      <c r="O153" t="n">
        <v>2</v>
      </c>
      <c r="P153" t="n">
        <v>1</v>
      </c>
      <c r="Q153" t="n">
        <v>3</v>
      </c>
      <c r="R153" s="2" t="inlineStr">
        <is>
          <t>Liten sotlav
Rödbrun blekspik
Rostfläck</t>
        </is>
      </c>
      <c r="S153">
        <f>HYPERLINK("https://klasma.github.io/Logging_2309/artfynd/A 57028-2019 artfynd.xlsx", "A 57028-2019")</f>
        <v/>
      </c>
      <c r="T153">
        <f>HYPERLINK("https://klasma.github.io/Logging_2309/kartor/A 57028-2019 karta.png", "A 57028-2019")</f>
        <v/>
      </c>
      <c r="V153">
        <f>HYPERLINK("https://klasma.github.io/Logging_2309/klagomål/A 57028-2019 FSC-klagomål.docx", "A 57028-2019")</f>
        <v/>
      </c>
      <c r="W153">
        <f>HYPERLINK("https://klasma.github.io/Logging_2309/klagomålsmail/A 57028-2019 FSC-klagomål mail.docx", "A 57028-2019")</f>
        <v/>
      </c>
      <c r="X153">
        <f>HYPERLINK("https://klasma.github.io/Logging_2309/tillsyn/A 57028-2019 tillsynsbegäran.docx", "A 57028-2019")</f>
        <v/>
      </c>
      <c r="Y153">
        <f>HYPERLINK("https://klasma.github.io/Logging_2309/tillsynsmail/A 57028-2019 tillsynsbegäran mail.docx", "A 57028-2019")</f>
        <v/>
      </c>
    </row>
    <row r="154" ht="15" customHeight="1">
      <c r="A154" t="inlineStr">
        <is>
          <t>A 9091-2020</t>
        </is>
      </c>
      <c r="B154" s="1" t="n">
        <v>43879</v>
      </c>
      <c r="C154" s="1" t="n">
        <v>45627</v>
      </c>
      <c r="D154" t="inlineStr">
        <is>
          <t>JÄMTLANDS LÄN</t>
        </is>
      </c>
      <c r="E154" t="inlineStr">
        <is>
          <t>KROKOM</t>
        </is>
      </c>
      <c r="G154" t="n">
        <v>13.4</v>
      </c>
      <c r="H154" t="n">
        <v>1</v>
      </c>
      <c r="I154" t="n">
        <v>0</v>
      </c>
      <c r="J154" t="n">
        <v>3</v>
      </c>
      <c r="K154" t="n">
        <v>0</v>
      </c>
      <c r="L154" t="n">
        <v>0</v>
      </c>
      <c r="M154" t="n">
        <v>0</v>
      </c>
      <c r="N154" t="n">
        <v>0</v>
      </c>
      <c r="O154" t="n">
        <v>3</v>
      </c>
      <c r="P154" t="n">
        <v>0</v>
      </c>
      <c r="Q154" t="n">
        <v>3</v>
      </c>
      <c r="R154" s="2" t="inlineStr">
        <is>
          <t>Garnlav
Tretåig hackspett
Ullticka</t>
        </is>
      </c>
      <c r="S154">
        <f>HYPERLINK("https://klasma.github.io/Logging_2309/artfynd/A 9091-2020 artfynd.xlsx", "A 9091-2020")</f>
        <v/>
      </c>
      <c r="T154">
        <f>HYPERLINK("https://klasma.github.io/Logging_2309/kartor/A 9091-2020 karta.png", "A 9091-2020")</f>
        <v/>
      </c>
      <c r="V154">
        <f>HYPERLINK("https://klasma.github.io/Logging_2309/klagomål/A 9091-2020 FSC-klagomål.docx", "A 9091-2020")</f>
        <v/>
      </c>
      <c r="W154">
        <f>HYPERLINK("https://klasma.github.io/Logging_2309/klagomålsmail/A 9091-2020 FSC-klagomål mail.docx", "A 9091-2020")</f>
        <v/>
      </c>
      <c r="X154">
        <f>HYPERLINK("https://klasma.github.io/Logging_2309/tillsyn/A 9091-2020 tillsynsbegäran.docx", "A 9091-2020")</f>
        <v/>
      </c>
      <c r="Y154">
        <f>HYPERLINK("https://klasma.github.io/Logging_2309/tillsynsmail/A 9091-2020 tillsynsbegäran mail.docx", "A 9091-2020")</f>
        <v/>
      </c>
      <c r="Z154">
        <f>HYPERLINK("https://klasma.github.io/Logging_2309/fåglar/A 9091-2020 prioriterade fågelarter.docx", "A 9091-2020")</f>
        <v/>
      </c>
    </row>
    <row r="155" ht="15" customHeight="1">
      <c r="A155" t="inlineStr">
        <is>
          <t>A 53354-2021</t>
        </is>
      </c>
      <c r="B155" s="1" t="n">
        <v>44468</v>
      </c>
      <c r="C155" s="1" t="n">
        <v>45627</v>
      </c>
      <c r="D155" t="inlineStr">
        <is>
          <t>JÄMTLANDS LÄN</t>
        </is>
      </c>
      <c r="E155" t="inlineStr">
        <is>
          <t>KROKOM</t>
        </is>
      </c>
      <c r="F155" t="inlineStr">
        <is>
          <t>Kyrkan</t>
        </is>
      </c>
      <c r="G155" t="n">
        <v>7.8</v>
      </c>
      <c r="H155" t="n">
        <v>0</v>
      </c>
      <c r="I155" t="n">
        <v>1</v>
      </c>
      <c r="J155" t="n">
        <v>2</v>
      </c>
      <c r="K155" t="n">
        <v>0</v>
      </c>
      <c r="L155" t="n">
        <v>0</v>
      </c>
      <c r="M155" t="n">
        <v>0</v>
      </c>
      <c r="N155" t="n">
        <v>0</v>
      </c>
      <c r="O155" t="n">
        <v>2</v>
      </c>
      <c r="P155" t="n">
        <v>0</v>
      </c>
      <c r="Q155" t="n">
        <v>3</v>
      </c>
      <c r="R155" s="2" t="inlineStr">
        <is>
          <t>Granticka
Lunglav
Stuplav</t>
        </is>
      </c>
      <c r="S155">
        <f>HYPERLINK("https://klasma.github.io/Logging_2309/artfynd/A 53354-2021 artfynd.xlsx", "A 53354-2021")</f>
        <v/>
      </c>
      <c r="T155">
        <f>HYPERLINK("https://klasma.github.io/Logging_2309/kartor/A 53354-2021 karta.png", "A 53354-2021")</f>
        <v/>
      </c>
      <c r="V155">
        <f>HYPERLINK("https://klasma.github.io/Logging_2309/klagomål/A 53354-2021 FSC-klagomål.docx", "A 53354-2021")</f>
        <v/>
      </c>
      <c r="W155">
        <f>HYPERLINK("https://klasma.github.io/Logging_2309/klagomålsmail/A 53354-2021 FSC-klagomål mail.docx", "A 53354-2021")</f>
        <v/>
      </c>
      <c r="X155">
        <f>HYPERLINK("https://klasma.github.io/Logging_2309/tillsyn/A 53354-2021 tillsynsbegäran.docx", "A 53354-2021")</f>
        <v/>
      </c>
      <c r="Y155">
        <f>HYPERLINK("https://klasma.github.io/Logging_2309/tillsynsmail/A 53354-2021 tillsynsbegäran mail.docx", "A 53354-2021")</f>
        <v/>
      </c>
    </row>
    <row r="156" ht="15" customHeight="1">
      <c r="A156" t="inlineStr">
        <is>
          <t>A 64300-2021</t>
        </is>
      </c>
      <c r="B156" s="1" t="n">
        <v>44510</v>
      </c>
      <c r="C156" s="1" t="n">
        <v>45627</v>
      </c>
      <c r="D156" t="inlineStr">
        <is>
          <t>JÄMTLANDS LÄN</t>
        </is>
      </c>
      <c r="E156" t="inlineStr">
        <is>
          <t>KROKOM</t>
        </is>
      </c>
      <c r="G156" t="n">
        <v>8.6</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HYPERLINK("https://klasma.github.io/Logging_2309/artfynd/A 64300-2021 artfynd.xlsx", "A 64300-2021")</f>
        <v/>
      </c>
      <c r="T156">
        <f>HYPERLINK("https://klasma.github.io/Logging_2309/kartor/A 64300-2021 karta.png", "A 64300-2021")</f>
        <v/>
      </c>
      <c r="V156">
        <f>HYPERLINK("https://klasma.github.io/Logging_2309/klagomål/A 64300-2021 FSC-klagomål.docx", "A 64300-2021")</f>
        <v/>
      </c>
      <c r="W156">
        <f>HYPERLINK("https://klasma.github.io/Logging_2309/klagomålsmail/A 64300-2021 FSC-klagomål mail.docx", "A 64300-2021")</f>
        <v/>
      </c>
      <c r="X156">
        <f>HYPERLINK("https://klasma.github.io/Logging_2309/tillsyn/A 64300-2021 tillsynsbegäran.docx", "A 64300-2021")</f>
        <v/>
      </c>
      <c r="Y156">
        <f>HYPERLINK("https://klasma.github.io/Logging_2309/tillsynsmail/A 64300-2021 tillsynsbegäran mail.docx", "A 64300-2021")</f>
        <v/>
      </c>
    </row>
    <row r="157" ht="15" customHeight="1">
      <c r="A157" t="inlineStr">
        <is>
          <t>A 71573-2021</t>
        </is>
      </c>
      <c r="B157" s="1" t="n">
        <v>44540</v>
      </c>
      <c r="C157" s="1" t="n">
        <v>45627</v>
      </c>
      <c r="D157" t="inlineStr">
        <is>
          <t>JÄMTLANDS LÄN</t>
        </is>
      </c>
      <c r="E157" t="inlineStr">
        <is>
          <t>KROKOM</t>
        </is>
      </c>
      <c r="G157" t="n">
        <v>1</v>
      </c>
      <c r="H157" t="n">
        <v>0</v>
      </c>
      <c r="I157" t="n">
        <v>2</v>
      </c>
      <c r="J157" t="n">
        <v>1</v>
      </c>
      <c r="K157" t="n">
        <v>0</v>
      </c>
      <c r="L157" t="n">
        <v>0</v>
      </c>
      <c r="M157" t="n">
        <v>0</v>
      </c>
      <c r="N157" t="n">
        <v>0</v>
      </c>
      <c r="O157" t="n">
        <v>1</v>
      </c>
      <c r="P157" t="n">
        <v>0</v>
      </c>
      <c r="Q157" t="n">
        <v>3</v>
      </c>
      <c r="R157" s="2" t="inlineStr">
        <is>
          <t>Doftskinn
Fjällig taggsvamp s.str.
Svavelriska</t>
        </is>
      </c>
      <c r="S157">
        <f>HYPERLINK("https://klasma.github.io/Logging_2309/artfynd/A 71573-2021 artfynd.xlsx", "A 71573-2021")</f>
        <v/>
      </c>
      <c r="T157">
        <f>HYPERLINK("https://klasma.github.io/Logging_2309/kartor/A 71573-2021 karta.png", "A 71573-2021")</f>
        <v/>
      </c>
      <c r="V157">
        <f>HYPERLINK("https://klasma.github.io/Logging_2309/klagomål/A 71573-2021 FSC-klagomål.docx", "A 71573-2021")</f>
        <v/>
      </c>
      <c r="W157">
        <f>HYPERLINK("https://klasma.github.io/Logging_2309/klagomålsmail/A 71573-2021 FSC-klagomål mail.docx", "A 71573-2021")</f>
        <v/>
      </c>
      <c r="X157">
        <f>HYPERLINK("https://klasma.github.io/Logging_2309/tillsyn/A 71573-2021 tillsynsbegäran.docx", "A 71573-2021")</f>
        <v/>
      </c>
      <c r="Y157">
        <f>HYPERLINK("https://klasma.github.io/Logging_2309/tillsynsmail/A 71573-2021 tillsynsbegäran mail.docx", "A 71573-2021")</f>
        <v/>
      </c>
    </row>
    <row r="158" ht="15" customHeight="1">
      <c r="A158" t="inlineStr">
        <is>
          <t>A 30068-2022</t>
        </is>
      </c>
      <c r="B158" s="1" t="n">
        <v>44757</v>
      </c>
      <c r="C158" s="1" t="n">
        <v>45627</v>
      </c>
      <c r="D158" t="inlineStr">
        <is>
          <t>JÄMTLANDS LÄN</t>
        </is>
      </c>
      <c r="E158" t="inlineStr">
        <is>
          <t>KROKOM</t>
        </is>
      </c>
      <c r="G158" t="n">
        <v>5</v>
      </c>
      <c r="H158" t="n">
        <v>1</v>
      </c>
      <c r="I158" t="n">
        <v>0</v>
      </c>
      <c r="J158" t="n">
        <v>3</v>
      </c>
      <c r="K158" t="n">
        <v>0</v>
      </c>
      <c r="L158" t="n">
        <v>0</v>
      </c>
      <c r="M158" t="n">
        <v>0</v>
      </c>
      <c r="N158" t="n">
        <v>0</v>
      </c>
      <c r="O158" t="n">
        <v>3</v>
      </c>
      <c r="P158" t="n">
        <v>0</v>
      </c>
      <c r="Q158" t="n">
        <v>3</v>
      </c>
      <c r="R158" s="2" t="inlineStr">
        <is>
          <t>Gränsticka
Tretåig hackspett
Ullticka</t>
        </is>
      </c>
      <c r="S158">
        <f>HYPERLINK("https://klasma.github.io/Logging_2309/artfynd/A 30068-2022 artfynd.xlsx", "A 30068-2022")</f>
        <v/>
      </c>
      <c r="T158">
        <f>HYPERLINK("https://klasma.github.io/Logging_2309/kartor/A 30068-2022 karta.png", "A 30068-2022")</f>
        <v/>
      </c>
      <c r="V158">
        <f>HYPERLINK("https://klasma.github.io/Logging_2309/klagomål/A 30068-2022 FSC-klagomål.docx", "A 30068-2022")</f>
        <v/>
      </c>
      <c r="W158">
        <f>HYPERLINK("https://klasma.github.io/Logging_2309/klagomålsmail/A 30068-2022 FSC-klagomål mail.docx", "A 30068-2022")</f>
        <v/>
      </c>
      <c r="X158">
        <f>HYPERLINK("https://klasma.github.io/Logging_2309/tillsyn/A 30068-2022 tillsynsbegäran.docx", "A 30068-2022")</f>
        <v/>
      </c>
      <c r="Y158">
        <f>HYPERLINK("https://klasma.github.io/Logging_2309/tillsynsmail/A 30068-2022 tillsynsbegäran mail.docx", "A 30068-2022")</f>
        <v/>
      </c>
      <c r="Z158">
        <f>HYPERLINK("https://klasma.github.io/Logging_2309/fåglar/A 30068-2022 prioriterade fågelarter.docx", "A 30068-2022")</f>
        <v/>
      </c>
    </row>
    <row r="159" ht="15" customHeight="1">
      <c r="A159" t="inlineStr">
        <is>
          <t>A 30069-2022</t>
        </is>
      </c>
      <c r="B159" s="1" t="n">
        <v>44757</v>
      </c>
      <c r="C159" s="1" t="n">
        <v>45627</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44869-2022</t>
        </is>
      </c>
      <c r="B160" s="1" t="n">
        <v>44841</v>
      </c>
      <c r="C160" s="1" t="n">
        <v>45627</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51663-2022</t>
        </is>
      </c>
      <c r="B161" s="1" t="n">
        <v>44867</v>
      </c>
      <c r="C161" s="1" t="n">
        <v>45627</v>
      </c>
      <c r="D161" t="inlineStr">
        <is>
          <t>JÄMTLANDS LÄN</t>
        </is>
      </c>
      <c r="E161" t="inlineStr">
        <is>
          <t>KROKOM</t>
        </is>
      </c>
      <c r="G161" t="n">
        <v>28.5</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51663-2022 artfynd.xlsx", "A 51663-2022")</f>
        <v/>
      </c>
      <c r="T161">
        <f>HYPERLINK("https://klasma.github.io/Logging_2309/kartor/A 51663-2022 karta.png", "A 51663-2022")</f>
        <v/>
      </c>
      <c r="V161">
        <f>HYPERLINK("https://klasma.github.io/Logging_2309/klagomål/A 51663-2022 FSC-klagomål.docx", "A 51663-2022")</f>
        <v/>
      </c>
      <c r="W161">
        <f>HYPERLINK("https://klasma.github.io/Logging_2309/klagomålsmail/A 51663-2022 FSC-klagomål mail.docx", "A 51663-2022")</f>
        <v/>
      </c>
      <c r="X161">
        <f>HYPERLINK("https://klasma.github.io/Logging_2309/tillsyn/A 51663-2022 tillsynsbegäran.docx", "A 51663-2022")</f>
        <v/>
      </c>
      <c r="Y161">
        <f>HYPERLINK("https://klasma.github.io/Logging_2309/tillsynsmail/A 51663-2022 tillsynsbegäran mail.docx", "A 51663-2022")</f>
        <v/>
      </c>
      <c r="Z161">
        <f>HYPERLINK("https://klasma.github.io/Logging_2309/fåglar/A 51663-2022 prioriterade fågelarter.docx", "A 51663-2022")</f>
        <v/>
      </c>
    </row>
    <row r="162" ht="15" customHeight="1">
      <c r="A162" t="inlineStr">
        <is>
          <t>A 52264-2022</t>
        </is>
      </c>
      <c r="B162" s="1" t="n">
        <v>44873</v>
      </c>
      <c r="C162" s="1" t="n">
        <v>45627</v>
      </c>
      <c r="D162" t="inlineStr">
        <is>
          <t>JÄMTLANDS LÄN</t>
        </is>
      </c>
      <c r="E162" t="inlineStr">
        <is>
          <t>KROKOM</t>
        </is>
      </c>
      <c r="G162" t="n">
        <v>4.1</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HYPERLINK("https://klasma.github.io/Logging_2309/artfynd/A 52264-2022 artfynd.xlsx", "A 52264-2022")</f>
        <v/>
      </c>
      <c r="T162">
        <f>HYPERLINK("https://klasma.github.io/Logging_2309/kartor/A 52264-2022 karta.png", "A 52264-2022")</f>
        <v/>
      </c>
      <c r="U162">
        <f>HYPERLINK("https://klasma.github.io/Logging_2309/knärot/A 52264-2022 karta knärot.png", "A 52264-2022")</f>
        <v/>
      </c>
      <c r="V162">
        <f>HYPERLINK("https://klasma.github.io/Logging_2309/klagomål/A 52264-2022 FSC-klagomål.docx", "A 52264-2022")</f>
        <v/>
      </c>
      <c r="W162">
        <f>HYPERLINK("https://klasma.github.io/Logging_2309/klagomålsmail/A 52264-2022 FSC-klagomål mail.docx", "A 52264-2022")</f>
        <v/>
      </c>
      <c r="X162">
        <f>HYPERLINK("https://klasma.github.io/Logging_2309/tillsyn/A 52264-2022 tillsynsbegäran.docx", "A 52264-2022")</f>
        <v/>
      </c>
      <c r="Y162">
        <f>HYPERLINK("https://klasma.github.io/Logging_2309/tillsynsmail/A 52264-2022 tillsynsbegäran mail.docx", "A 52264-2022")</f>
        <v/>
      </c>
      <c r="Z162">
        <f>HYPERLINK("https://klasma.github.io/Logging_2309/fåglar/A 52264-2022 prioriterade fågelarter.docx", "A 52264-2022")</f>
        <v/>
      </c>
    </row>
    <row r="163" ht="15" customHeight="1">
      <c r="A163" t="inlineStr">
        <is>
          <t>A 41404-2023</t>
        </is>
      </c>
      <c r="B163" s="1" t="n">
        <v>45174</v>
      </c>
      <c r="C163" s="1" t="n">
        <v>45627</v>
      </c>
      <c r="D163" t="inlineStr">
        <is>
          <t>JÄMTLANDS LÄN</t>
        </is>
      </c>
      <c r="E163" t="inlineStr">
        <is>
          <t>KROKOM</t>
        </is>
      </c>
      <c r="G163" t="n">
        <v>17.2</v>
      </c>
      <c r="H163" t="n">
        <v>2</v>
      </c>
      <c r="I163" t="n">
        <v>0</v>
      </c>
      <c r="J163" t="n">
        <v>2</v>
      </c>
      <c r="K163" t="n">
        <v>0</v>
      </c>
      <c r="L163" t="n">
        <v>0</v>
      </c>
      <c r="M163" t="n">
        <v>0</v>
      </c>
      <c r="N163" t="n">
        <v>0</v>
      </c>
      <c r="O163" t="n">
        <v>2</v>
      </c>
      <c r="P163" t="n">
        <v>0</v>
      </c>
      <c r="Q163" t="n">
        <v>3</v>
      </c>
      <c r="R163" s="2" t="inlineStr">
        <is>
          <t>Lunglav
Tretåig hackspett
Fläcknycklar</t>
        </is>
      </c>
      <c r="S163">
        <f>HYPERLINK("https://klasma.github.io/Logging_2309/artfynd/A 41404-2023 artfynd.xlsx", "A 41404-2023")</f>
        <v/>
      </c>
      <c r="T163">
        <f>HYPERLINK("https://klasma.github.io/Logging_2309/kartor/A 41404-2023 karta.png", "A 41404-2023")</f>
        <v/>
      </c>
      <c r="V163">
        <f>HYPERLINK("https://klasma.github.io/Logging_2309/klagomål/A 41404-2023 FSC-klagomål.docx", "A 41404-2023")</f>
        <v/>
      </c>
      <c r="W163">
        <f>HYPERLINK("https://klasma.github.io/Logging_2309/klagomålsmail/A 41404-2023 FSC-klagomål mail.docx", "A 41404-2023")</f>
        <v/>
      </c>
      <c r="X163">
        <f>HYPERLINK("https://klasma.github.io/Logging_2309/tillsyn/A 41404-2023 tillsynsbegäran.docx", "A 41404-2023")</f>
        <v/>
      </c>
      <c r="Y163">
        <f>HYPERLINK("https://klasma.github.io/Logging_2309/tillsynsmail/A 41404-2023 tillsynsbegäran mail.docx", "A 41404-2023")</f>
        <v/>
      </c>
      <c r="Z163">
        <f>HYPERLINK("https://klasma.github.io/Logging_2309/fåglar/A 41404-2023 prioriterade fågelarter.docx", "A 41404-2023")</f>
        <v/>
      </c>
    </row>
    <row r="164" ht="15" customHeight="1">
      <c r="A164" t="inlineStr">
        <is>
          <t>A 46013-2023</t>
        </is>
      </c>
      <c r="B164" s="1" t="n">
        <v>45196</v>
      </c>
      <c r="C164" s="1" t="n">
        <v>45627</v>
      </c>
      <c r="D164" t="inlineStr">
        <is>
          <t>JÄMTLANDS LÄN</t>
        </is>
      </c>
      <c r="E164" t="inlineStr">
        <is>
          <t>KROKOM</t>
        </is>
      </c>
      <c r="G164" t="n">
        <v>8.1</v>
      </c>
      <c r="H164" t="n">
        <v>1</v>
      </c>
      <c r="I164" t="n">
        <v>2</v>
      </c>
      <c r="J164" t="n">
        <v>0</v>
      </c>
      <c r="K164" t="n">
        <v>0</v>
      </c>
      <c r="L164" t="n">
        <v>0</v>
      </c>
      <c r="M164" t="n">
        <v>0</v>
      </c>
      <c r="N164" t="n">
        <v>0</v>
      </c>
      <c r="O164" t="n">
        <v>0</v>
      </c>
      <c r="P164" t="n">
        <v>0</v>
      </c>
      <c r="Q164" t="n">
        <v>3</v>
      </c>
      <c r="R164" s="2" t="inlineStr">
        <is>
          <t>Svavelriska
Underviol
Blåsippa</t>
        </is>
      </c>
      <c r="S164">
        <f>HYPERLINK("https://klasma.github.io/Logging_2309/artfynd/A 46013-2023 artfynd.xlsx", "A 46013-2023")</f>
        <v/>
      </c>
      <c r="T164">
        <f>HYPERLINK("https://klasma.github.io/Logging_2309/kartor/A 46013-2023 karta.png", "A 46013-2023")</f>
        <v/>
      </c>
      <c r="V164">
        <f>HYPERLINK("https://klasma.github.io/Logging_2309/klagomål/A 46013-2023 FSC-klagomål.docx", "A 46013-2023")</f>
        <v/>
      </c>
      <c r="W164">
        <f>HYPERLINK("https://klasma.github.io/Logging_2309/klagomålsmail/A 46013-2023 FSC-klagomål mail.docx", "A 46013-2023")</f>
        <v/>
      </c>
      <c r="X164">
        <f>HYPERLINK("https://klasma.github.io/Logging_2309/tillsyn/A 46013-2023 tillsynsbegäran.docx", "A 46013-2023")</f>
        <v/>
      </c>
      <c r="Y164">
        <f>HYPERLINK("https://klasma.github.io/Logging_2309/tillsynsmail/A 46013-2023 tillsynsbegäran mail.docx", "A 46013-2023")</f>
        <v/>
      </c>
    </row>
    <row r="165" ht="15" customHeight="1">
      <c r="A165" t="inlineStr">
        <is>
          <t>A 50431-2023</t>
        </is>
      </c>
      <c r="B165" s="1" t="n">
        <v>45216</v>
      </c>
      <c r="C165" s="1" t="n">
        <v>45627</v>
      </c>
      <c r="D165" t="inlineStr">
        <is>
          <t>JÄMTLANDS LÄN</t>
        </is>
      </c>
      <c r="E165" t="inlineStr">
        <is>
          <t>KROKOM</t>
        </is>
      </c>
      <c r="G165" t="n">
        <v>6.9</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50431-2023 artfynd.xlsx", "A 50431-2023")</f>
        <v/>
      </c>
      <c r="T165">
        <f>HYPERLINK("https://klasma.github.io/Logging_2309/kartor/A 50431-2023 karta.png", "A 50431-2023")</f>
        <v/>
      </c>
      <c r="V165">
        <f>HYPERLINK("https://klasma.github.io/Logging_2309/klagomål/A 50431-2023 FSC-klagomål.docx", "A 50431-2023")</f>
        <v/>
      </c>
      <c r="W165">
        <f>HYPERLINK("https://klasma.github.io/Logging_2309/klagomålsmail/A 50431-2023 FSC-klagomål mail.docx", "A 50431-2023")</f>
        <v/>
      </c>
      <c r="X165">
        <f>HYPERLINK("https://klasma.github.io/Logging_2309/tillsyn/A 50431-2023 tillsynsbegäran.docx", "A 50431-2023")</f>
        <v/>
      </c>
      <c r="Y165">
        <f>HYPERLINK("https://klasma.github.io/Logging_2309/tillsynsmail/A 50431-2023 tillsynsbegäran mail.docx", "A 50431-2023")</f>
        <v/>
      </c>
      <c r="Z165">
        <f>HYPERLINK("https://klasma.github.io/Logging_2309/fåglar/A 50431-2023 prioriterade fågelarter.docx", "A 50431-2023")</f>
        <v/>
      </c>
    </row>
    <row r="166" ht="15" customHeight="1">
      <c r="A166" t="inlineStr">
        <is>
          <t>A 50345-2023</t>
        </is>
      </c>
      <c r="B166" s="1" t="n">
        <v>45216</v>
      </c>
      <c r="C166" s="1" t="n">
        <v>45627</v>
      </c>
      <c r="D166" t="inlineStr">
        <is>
          <t>JÄMTLANDS LÄN</t>
        </is>
      </c>
      <c r="E166" t="inlineStr">
        <is>
          <t>KROKOM</t>
        </is>
      </c>
      <c r="F166" t="inlineStr">
        <is>
          <t>Övriga Aktiebolag</t>
        </is>
      </c>
      <c r="G166" t="n">
        <v>0.6</v>
      </c>
      <c r="H166" t="n">
        <v>2</v>
      </c>
      <c r="I166" t="n">
        <v>0</v>
      </c>
      <c r="J166" t="n">
        <v>3</v>
      </c>
      <c r="K166" t="n">
        <v>0</v>
      </c>
      <c r="L166" t="n">
        <v>0</v>
      </c>
      <c r="M166" t="n">
        <v>0</v>
      </c>
      <c r="N166" t="n">
        <v>0</v>
      </c>
      <c r="O166" t="n">
        <v>3</v>
      </c>
      <c r="P166" t="n">
        <v>0</v>
      </c>
      <c r="Q166" t="n">
        <v>3</v>
      </c>
      <c r="R166" s="2" t="inlineStr">
        <is>
          <t>Garnlav
Järpe
Tretåig hackspett</t>
        </is>
      </c>
      <c r="S166">
        <f>HYPERLINK("https://klasma.github.io/Logging_2309/artfynd/A 50345-2023 artfynd.xlsx", "A 50345-2023")</f>
        <v/>
      </c>
      <c r="T166">
        <f>HYPERLINK("https://klasma.github.io/Logging_2309/kartor/A 50345-2023 karta.png", "A 50345-2023")</f>
        <v/>
      </c>
      <c r="V166">
        <f>HYPERLINK("https://klasma.github.io/Logging_2309/klagomål/A 50345-2023 FSC-klagomål.docx", "A 50345-2023")</f>
        <v/>
      </c>
      <c r="W166">
        <f>HYPERLINK("https://klasma.github.io/Logging_2309/klagomålsmail/A 50345-2023 FSC-klagomål mail.docx", "A 50345-2023")</f>
        <v/>
      </c>
      <c r="X166">
        <f>HYPERLINK("https://klasma.github.io/Logging_2309/tillsyn/A 50345-2023 tillsynsbegäran.docx", "A 50345-2023")</f>
        <v/>
      </c>
      <c r="Y166">
        <f>HYPERLINK("https://klasma.github.io/Logging_2309/tillsynsmail/A 50345-2023 tillsynsbegäran mail.docx", "A 50345-2023")</f>
        <v/>
      </c>
      <c r="Z166">
        <f>HYPERLINK("https://klasma.github.io/Logging_2309/fåglar/A 50345-2023 prioriterade fågelarter.docx", "A 50345-2023")</f>
        <v/>
      </c>
    </row>
    <row r="167" ht="15" customHeight="1">
      <c r="A167" t="inlineStr">
        <is>
          <t>A 54494-2023</t>
        </is>
      </c>
      <c r="B167" s="1" t="n">
        <v>45233</v>
      </c>
      <c r="C167" s="1" t="n">
        <v>45627</v>
      </c>
      <c r="D167" t="inlineStr">
        <is>
          <t>JÄMTLANDS LÄN</t>
        </is>
      </c>
      <c r="E167" t="inlineStr">
        <is>
          <t>KROKOM</t>
        </is>
      </c>
      <c r="G167" t="n">
        <v>6.2</v>
      </c>
      <c r="H167" t="n">
        <v>1</v>
      </c>
      <c r="I167" t="n">
        <v>2</v>
      </c>
      <c r="J167" t="n">
        <v>0</v>
      </c>
      <c r="K167" t="n">
        <v>0</v>
      </c>
      <c r="L167" t="n">
        <v>0</v>
      </c>
      <c r="M167" t="n">
        <v>0</v>
      </c>
      <c r="N167" t="n">
        <v>0</v>
      </c>
      <c r="O167" t="n">
        <v>0</v>
      </c>
      <c r="P167" t="n">
        <v>0</v>
      </c>
      <c r="Q167" t="n">
        <v>3</v>
      </c>
      <c r="R167" s="2" t="inlineStr">
        <is>
          <t>Finbräken
Tibast
Blåsippa</t>
        </is>
      </c>
      <c r="S167">
        <f>HYPERLINK("https://klasma.github.io/Logging_2309/artfynd/A 54494-2023 artfynd.xlsx", "A 54494-2023")</f>
        <v/>
      </c>
      <c r="T167">
        <f>HYPERLINK("https://klasma.github.io/Logging_2309/kartor/A 54494-2023 karta.png", "A 54494-2023")</f>
        <v/>
      </c>
      <c r="V167">
        <f>HYPERLINK("https://klasma.github.io/Logging_2309/klagomål/A 54494-2023 FSC-klagomål.docx", "A 54494-2023")</f>
        <v/>
      </c>
      <c r="W167">
        <f>HYPERLINK("https://klasma.github.io/Logging_2309/klagomålsmail/A 54494-2023 FSC-klagomål mail.docx", "A 54494-2023")</f>
        <v/>
      </c>
      <c r="X167">
        <f>HYPERLINK("https://klasma.github.io/Logging_2309/tillsyn/A 54494-2023 tillsynsbegäran.docx", "A 54494-2023")</f>
        <v/>
      </c>
      <c r="Y167">
        <f>HYPERLINK("https://klasma.github.io/Logging_2309/tillsynsmail/A 54494-2023 tillsynsbegäran mail.docx", "A 54494-2023")</f>
        <v/>
      </c>
    </row>
    <row r="168" ht="15" customHeight="1">
      <c r="A168" t="inlineStr">
        <is>
          <t>A 57727-2023</t>
        </is>
      </c>
      <c r="B168" s="1" t="n">
        <v>45243</v>
      </c>
      <c r="C168" s="1" t="n">
        <v>45627</v>
      </c>
      <c r="D168" t="inlineStr">
        <is>
          <t>JÄMTLANDS LÄN</t>
        </is>
      </c>
      <c r="E168" t="inlineStr">
        <is>
          <t>KROKOM</t>
        </is>
      </c>
      <c r="G168" t="n">
        <v>32.9</v>
      </c>
      <c r="H168" t="n">
        <v>1</v>
      </c>
      <c r="I168" t="n">
        <v>0</v>
      </c>
      <c r="J168" t="n">
        <v>3</v>
      </c>
      <c r="K168" t="n">
        <v>0</v>
      </c>
      <c r="L168" t="n">
        <v>0</v>
      </c>
      <c r="M168" t="n">
        <v>0</v>
      </c>
      <c r="N168" t="n">
        <v>0</v>
      </c>
      <c r="O168" t="n">
        <v>3</v>
      </c>
      <c r="P168" t="n">
        <v>0</v>
      </c>
      <c r="Q168" t="n">
        <v>3</v>
      </c>
      <c r="R168" s="2" t="inlineStr">
        <is>
          <t>Granticka
Tretåig hackspett
Ullticka</t>
        </is>
      </c>
      <c r="S168">
        <f>HYPERLINK("https://klasma.github.io/Logging_2309/artfynd/A 57727-2023 artfynd.xlsx", "A 57727-2023")</f>
        <v/>
      </c>
      <c r="T168">
        <f>HYPERLINK("https://klasma.github.io/Logging_2309/kartor/A 57727-2023 karta.png", "A 57727-2023")</f>
        <v/>
      </c>
      <c r="V168">
        <f>HYPERLINK("https://klasma.github.io/Logging_2309/klagomål/A 57727-2023 FSC-klagomål.docx", "A 57727-2023")</f>
        <v/>
      </c>
      <c r="W168">
        <f>HYPERLINK("https://klasma.github.io/Logging_2309/klagomålsmail/A 57727-2023 FSC-klagomål mail.docx", "A 57727-2023")</f>
        <v/>
      </c>
      <c r="X168">
        <f>HYPERLINK("https://klasma.github.io/Logging_2309/tillsyn/A 57727-2023 tillsynsbegäran.docx", "A 57727-2023")</f>
        <v/>
      </c>
      <c r="Y168">
        <f>HYPERLINK("https://klasma.github.io/Logging_2309/tillsynsmail/A 57727-2023 tillsynsbegäran mail.docx", "A 57727-2023")</f>
        <v/>
      </c>
      <c r="Z168">
        <f>HYPERLINK("https://klasma.github.io/Logging_2309/fåglar/A 57727-2023 prioriterade fågelarter.docx", "A 57727-2023")</f>
        <v/>
      </c>
    </row>
    <row r="169" ht="15" customHeight="1">
      <c r="A169" t="inlineStr">
        <is>
          <t>A 62731-2023</t>
        </is>
      </c>
      <c r="B169" s="1" t="n">
        <v>45271</v>
      </c>
      <c r="C169" s="1" t="n">
        <v>45627</v>
      </c>
      <c r="D169" t="inlineStr">
        <is>
          <t>JÄMTLANDS LÄN</t>
        </is>
      </c>
      <c r="E169" t="inlineStr">
        <is>
          <t>KROKOM</t>
        </is>
      </c>
      <c r="F169" t="inlineStr">
        <is>
          <t>Övriga Aktiebolag</t>
        </is>
      </c>
      <c r="G169" t="n">
        <v>12.1</v>
      </c>
      <c r="H169" t="n">
        <v>1</v>
      </c>
      <c r="I169" t="n">
        <v>0</v>
      </c>
      <c r="J169" t="n">
        <v>3</v>
      </c>
      <c r="K169" t="n">
        <v>0</v>
      </c>
      <c r="L169" t="n">
        <v>0</v>
      </c>
      <c r="M169" t="n">
        <v>0</v>
      </c>
      <c r="N169" t="n">
        <v>0</v>
      </c>
      <c r="O169" t="n">
        <v>3</v>
      </c>
      <c r="P169" t="n">
        <v>0</v>
      </c>
      <c r="Q169" t="n">
        <v>3</v>
      </c>
      <c r="R169" s="2" t="inlineStr">
        <is>
          <t>Granticka
Harticka
Tretåig hackspett</t>
        </is>
      </c>
      <c r="S169">
        <f>HYPERLINK("https://klasma.github.io/Logging_2309/artfynd/A 62731-2023 artfynd.xlsx", "A 62731-2023")</f>
        <v/>
      </c>
      <c r="T169">
        <f>HYPERLINK("https://klasma.github.io/Logging_2309/kartor/A 62731-2023 karta.png", "A 62731-2023")</f>
        <v/>
      </c>
      <c r="V169">
        <f>HYPERLINK("https://klasma.github.io/Logging_2309/klagomål/A 62731-2023 FSC-klagomål.docx", "A 62731-2023")</f>
        <v/>
      </c>
      <c r="W169">
        <f>HYPERLINK("https://klasma.github.io/Logging_2309/klagomålsmail/A 62731-2023 FSC-klagomål mail.docx", "A 62731-2023")</f>
        <v/>
      </c>
      <c r="X169">
        <f>HYPERLINK("https://klasma.github.io/Logging_2309/tillsyn/A 62731-2023 tillsynsbegäran.docx", "A 62731-2023")</f>
        <v/>
      </c>
      <c r="Y169">
        <f>HYPERLINK("https://klasma.github.io/Logging_2309/tillsynsmail/A 62731-2023 tillsynsbegäran mail.docx", "A 62731-2023")</f>
        <v/>
      </c>
      <c r="Z169">
        <f>HYPERLINK("https://klasma.github.io/Logging_2309/fåglar/A 62731-2023 prioriterade fågelarter.docx", "A 62731-2023")</f>
        <v/>
      </c>
    </row>
    <row r="170" ht="15" customHeight="1">
      <c r="A170" t="inlineStr">
        <is>
          <t>A 2592-2024</t>
        </is>
      </c>
      <c r="B170" s="1" t="n">
        <v>45313</v>
      </c>
      <c r="C170" s="1" t="n">
        <v>45627</v>
      </c>
      <c r="D170" t="inlineStr">
        <is>
          <t>JÄMTLANDS LÄN</t>
        </is>
      </c>
      <c r="E170" t="inlineStr">
        <is>
          <t>KROKOM</t>
        </is>
      </c>
      <c r="G170" t="n">
        <v>28.5</v>
      </c>
      <c r="H170" t="n">
        <v>2</v>
      </c>
      <c r="I170" t="n">
        <v>0</v>
      </c>
      <c r="J170" t="n">
        <v>2</v>
      </c>
      <c r="K170" t="n">
        <v>1</v>
      </c>
      <c r="L170" t="n">
        <v>0</v>
      </c>
      <c r="M170" t="n">
        <v>0</v>
      </c>
      <c r="N170" t="n">
        <v>0</v>
      </c>
      <c r="O170" t="n">
        <v>3</v>
      </c>
      <c r="P170" t="n">
        <v>1</v>
      </c>
      <c r="Q170" t="n">
        <v>3</v>
      </c>
      <c r="R170" s="2" t="inlineStr">
        <is>
          <t>Doftticka
Granticka
Tretåig hackspett</t>
        </is>
      </c>
      <c r="S170">
        <f>HYPERLINK("https://klasma.github.io/Logging_2309/artfynd/A 2592-2024 artfynd.xlsx", "A 2592-2024")</f>
        <v/>
      </c>
      <c r="T170">
        <f>HYPERLINK("https://klasma.github.io/Logging_2309/kartor/A 2592-2024 karta.png", "A 2592-2024")</f>
        <v/>
      </c>
      <c r="V170">
        <f>HYPERLINK("https://klasma.github.io/Logging_2309/klagomål/A 2592-2024 FSC-klagomål.docx", "A 2592-2024")</f>
        <v/>
      </c>
      <c r="W170">
        <f>HYPERLINK("https://klasma.github.io/Logging_2309/klagomålsmail/A 2592-2024 FSC-klagomål mail.docx", "A 2592-2024")</f>
        <v/>
      </c>
      <c r="X170">
        <f>HYPERLINK("https://klasma.github.io/Logging_2309/tillsyn/A 2592-2024 tillsynsbegäran.docx", "A 2592-2024")</f>
        <v/>
      </c>
      <c r="Y170">
        <f>HYPERLINK("https://klasma.github.io/Logging_2309/tillsynsmail/A 2592-2024 tillsynsbegäran mail.docx", "A 2592-2024")</f>
        <v/>
      </c>
      <c r="Z170">
        <f>HYPERLINK("https://klasma.github.io/Logging_2309/fåglar/A 2592-2024 prioriterade fågelarter.docx", "A 2592-2024")</f>
        <v/>
      </c>
    </row>
    <row r="171" ht="15" customHeight="1">
      <c r="A171" t="inlineStr">
        <is>
          <t>A 11439-2024</t>
        </is>
      </c>
      <c r="B171" s="1" t="n">
        <v>45372</v>
      </c>
      <c r="C171" s="1" t="n">
        <v>45627</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13344-2024</t>
        </is>
      </c>
      <c r="B172" s="1" t="n">
        <v>45386</v>
      </c>
      <c r="C172" s="1" t="n">
        <v>45627</v>
      </c>
      <c r="D172" t="inlineStr">
        <is>
          <t>JÄMTLANDS LÄN</t>
        </is>
      </c>
      <c r="E172" t="inlineStr">
        <is>
          <t>KROKOM</t>
        </is>
      </c>
      <c r="G172" t="n">
        <v>10.6</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13344-2024 artfynd.xlsx", "A 13344-2024")</f>
        <v/>
      </c>
      <c r="T172">
        <f>HYPERLINK("https://klasma.github.io/Logging_2309/kartor/A 13344-2024 karta.png", "A 13344-2024")</f>
        <v/>
      </c>
      <c r="V172">
        <f>HYPERLINK("https://klasma.github.io/Logging_2309/klagomål/A 13344-2024 FSC-klagomål.docx", "A 13344-2024")</f>
        <v/>
      </c>
      <c r="W172">
        <f>HYPERLINK("https://klasma.github.io/Logging_2309/klagomålsmail/A 13344-2024 FSC-klagomål mail.docx", "A 13344-2024")</f>
        <v/>
      </c>
      <c r="X172">
        <f>HYPERLINK("https://klasma.github.io/Logging_2309/tillsyn/A 13344-2024 tillsynsbegäran.docx", "A 13344-2024")</f>
        <v/>
      </c>
      <c r="Y172">
        <f>HYPERLINK("https://klasma.github.io/Logging_2309/tillsynsmail/A 13344-2024 tillsynsbegäran mail.docx", "A 13344-2024")</f>
        <v/>
      </c>
      <c r="Z172">
        <f>HYPERLINK("https://klasma.github.io/Logging_2309/fåglar/A 13344-2024 prioriterade fågelarter.docx", "A 13344-2024")</f>
        <v/>
      </c>
    </row>
    <row r="173" ht="15" customHeight="1">
      <c r="A173" t="inlineStr">
        <is>
          <t>A 18238-2024</t>
        </is>
      </c>
      <c r="B173" s="1" t="n">
        <v>45421</v>
      </c>
      <c r="C173" s="1" t="n">
        <v>45627</v>
      </c>
      <c r="D173" t="inlineStr">
        <is>
          <t>JÄMTLANDS LÄN</t>
        </is>
      </c>
      <c r="E173" t="inlineStr">
        <is>
          <t>KROKOM</t>
        </is>
      </c>
      <c r="G173" t="n">
        <v>5</v>
      </c>
      <c r="H173" t="n">
        <v>0</v>
      </c>
      <c r="I173" t="n">
        <v>0</v>
      </c>
      <c r="J173" t="n">
        <v>2</v>
      </c>
      <c r="K173" t="n">
        <v>1</v>
      </c>
      <c r="L173" t="n">
        <v>0</v>
      </c>
      <c r="M173" t="n">
        <v>0</v>
      </c>
      <c r="N173" t="n">
        <v>0</v>
      </c>
      <c r="O173" t="n">
        <v>3</v>
      </c>
      <c r="P173" t="n">
        <v>1</v>
      </c>
      <c r="Q173" t="n">
        <v>3</v>
      </c>
      <c r="R173" s="2" t="inlineStr">
        <is>
          <t>Borsttagging
Garnlav
Gränsticka</t>
        </is>
      </c>
      <c r="S173">
        <f>HYPERLINK("https://klasma.github.io/Logging_2309/artfynd/A 18238-2024 artfynd.xlsx", "A 18238-2024")</f>
        <v/>
      </c>
      <c r="T173">
        <f>HYPERLINK("https://klasma.github.io/Logging_2309/kartor/A 18238-2024 karta.png", "A 18238-2024")</f>
        <v/>
      </c>
      <c r="V173">
        <f>HYPERLINK("https://klasma.github.io/Logging_2309/klagomål/A 18238-2024 FSC-klagomål.docx", "A 18238-2024")</f>
        <v/>
      </c>
      <c r="W173">
        <f>HYPERLINK("https://klasma.github.io/Logging_2309/klagomålsmail/A 18238-2024 FSC-klagomål mail.docx", "A 18238-2024")</f>
        <v/>
      </c>
      <c r="X173">
        <f>HYPERLINK("https://klasma.github.io/Logging_2309/tillsyn/A 18238-2024 tillsynsbegäran.docx", "A 18238-2024")</f>
        <v/>
      </c>
      <c r="Y173">
        <f>HYPERLINK("https://klasma.github.io/Logging_2309/tillsynsmail/A 18238-2024 tillsynsbegäran mail.docx", "A 18238-2024")</f>
        <v/>
      </c>
    </row>
    <row r="174" ht="15" customHeight="1">
      <c r="A174" t="inlineStr">
        <is>
          <t>A 20732-2024</t>
        </is>
      </c>
      <c r="B174" s="1" t="n">
        <v>45436</v>
      </c>
      <c r="C174" s="1" t="n">
        <v>45627</v>
      </c>
      <c r="D174" t="inlineStr">
        <is>
          <t>JÄMTLANDS LÄN</t>
        </is>
      </c>
      <c r="E174" t="inlineStr">
        <is>
          <t>KROKOM</t>
        </is>
      </c>
      <c r="G174" t="n">
        <v>27.2</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20732-2024 artfynd.xlsx", "A 20732-2024")</f>
        <v/>
      </c>
      <c r="T174">
        <f>HYPERLINK("https://klasma.github.io/Logging_2309/kartor/A 20732-2024 karta.png", "A 20732-2024")</f>
        <v/>
      </c>
      <c r="V174">
        <f>HYPERLINK("https://klasma.github.io/Logging_2309/klagomål/A 20732-2024 FSC-klagomål.docx", "A 20732-2024")</f>
        <v/>
      </c>
      <c r="W174">
        <f>HYPERLINK("https://klasma.github.io/Logging_2309/klagomålsmail/A 20732-2024 FSC-klagomål mail.docx", "A 20732-2024")</f>
        <v/>
      </c>
      <c r="X174">
        <f>HYPERLINK("https://klasma.github.io/Logging_2309/tillsyn/A 20732-2024 tillsynsbegäran.docx", "A 20732-2024")</f>
        <v/>
      </c>
      <c r="Y174">
        <f>HYPERLINK("https://klasma.github.io/Logging_2309/tillsynsmail/A 20732-2024 tillsynsbegäran mail.docx", "A 20732-2024")</f>
        <v/>
      </c>
    </row>
    <row r="175" ht="15" customHeight="1">
      <c r="A175" t="inlineStr">
        <is>
          <t>A 23439-2024</t>
        </is>
      </c>
      <c r="B175" s="1" t="n">
        <v>45453</v>
      </c>
      <c r="C175" s="1" t="n">
        <v>45627</v>
      </c>
      <c r="D175" t="inlineStr">
        <is>
          <t>JÄMTLANDS LÄN</t>
        </is>
      </c>
      <c r="E175" t="inlineStr">
        <is>
          <t>KROKOM</t>
        </is>
      </c>
      <c r="G175" t="n">
        <v>15.7</v>
      </c>
      <c r="H175" t="n">
        <v>2</v>
      </c>
      <c r="I175" t="n">
        <v>0</v>
      </c>
      <c r="J175" t="n">
        <v>2</v>
      </c>
      <c r="K175" t="n">
        <v>0</v>
      </c>
      <c r="L175" t="n">
        <v>0</v>
      </c>
      <c r="M175" t="n">
        <v>0</v>
      </c>
      <c r="N175" t="n">
        <v>0</v>
      </c>
      <c r="O175" t="n">
        <v>2</v>
      </c>
      <c r="P175" t="n">
        <v>0</v>
      </c>
      <c r="Q175" t="n">
        <v>3</v>
      </c>
      <c r="R175" s="2" t="inlineStr">
        <is>
          <t>Granticka
Tretåig hackspett
Lavskrika</t>
        </is>
      </c>
      <c r="S175">
        <f>HYPERLINK("https://klasma.github.io/Logging_2309/artfynd/A 23439-2024 artfynd.xlsx", "A 23439-2024")</f>
        <v/>
      </c>
      <c r="T175">
        <f>HYPERLINK("https://klasma.github.io/Logging_2309/kartor/A 23439-2024 karta.png", "A 23439-2024")</f>
        <v/>
      </c>
      <c r="V175">
        <f>HYPERLINK("https://klasma.github.io/Logging_2309/klagomål/A 23439-2024 FSC-klagomål.docx", "A 23439-2024")</f>
        <v/>
      </c>
      <c r="W175">
        <f>HYPERLINK("https://klasma.github.io/Logging_2309/klagomålsmail/A 23439-2024 FSC-klagomål mail.docx", "A 23439-2024")</f>
        <v/>
      </c>
      <c r="X175">
        <f>HYPERLINK("https://klasma.github.io/Logging_2309/tillsyn/A 23439-2024 tillsynsbegäran.docx", "A 23439-2024")</f>
        <v/>
      </c>
      <c r="Y175">
        <f>HYPERLINK("https://klasma.github.io/Logging_2309/tillsynsmail/A 23439-2024 tillsynsbegäran mail.docx", "A 23439-2024")</f>
        <v/>
      </c>
      <c r="Z175">
        <f>HYPERLINK("https://klasma.github.io/Logging_2309/fåglar/A 23439-2024 prioriterade fågelarter.docx", "A 23439-2024")</f>
        <v/>
      </c>
    </row>
    <row r="176" ht="15" customHeight="1">
      <c r="A176" t="inlineStr">
        <is>
          <t>A 27598-2024</t>
        </is>
      </c>
      <c r="B176" s="1" t="n">
        <v>45474</v>
      </c>
      <c r="C176" s="1" t="n">
        <v>45627</v>
      </c>
      <c r="D176" t="inlineStr">
        <is>
          <t>JÄMTLANDS LÄN</t>
        </is>
      </c>
      <c r="E176" t="inlineStr">
        <is>
          <t>KROKOM</t>
        </is>
      </c>
      <c r="G176" t="n">
        <v>7</v>
      </c>
      <c r="H176" t="n">
        <v>2</v>
      </c>
      <c r="I176" t="n">
        <v>1</v>
      </c>
      <c r="J176" t="n">
        <v>1</v>
      </c>
      <c r="K176" t="n">
        <v>0</v>
      </c>
      <c r="L176" t="n">
        <v>0</v>
      </c>
      <c r="M176" t="n">
        <v>0</v>
      </c>
      <c r="N176" t="n">
        <v>0</v>
      </c>
      <c r="O176" t="n">
        <v>1</v>
      </c>
      <c r="P176" t="n">
        <v>0</v>
      </c>
      <c r="Q176" t="n">
        <v>3</v>
      </c>
      <c r="R176" s="2" t="inlineStr">
        <is>
          <t>Garnlav
Spindelblomster
Tjäder</t>
        </is>
      </c>
      <c r="S176">
        <f>HYPERLINK("https://klasma.github.io/Logging_2309/artfynd/A 27598-2024 artfynd.xlsx", "A 27598-2024")</f>
        <v/>
      </c>
      <c r="T176">
        <f>HYPERLINK("https://klasma.github.io/Logging_2309/kartor/A 27598-2024 karta.png", "A 27598-2024")</f>
        <v/>
      </c>
      <c r="V176">
        <f>HYPERLINK("https://klasma.github.io/Logging_2309/klagomål/A 27598-2024 FSC-klagomål.docx", "A 27598-2024")</f>
        <v/>
      </c>
      <c r="W176">
        <f>HYPERLINK("https://klasma.github.io/Logging_2309/klagomålsmail/A 27598-2024 FSC-klagomål mail.docx", "A 27598-2024")</f>
        <v/>
      </c>
      <c r="X176">
        <f>HYPERLINK("https://klasma.github.io/Logging_2309/tillsyn/A 27598-2024 tillsynsbegäran.docx", "A 27598-2024")</f>
        <v/>
      </c>
      <c r="Y176">
        <f>HYPERLINK("https://klasma.github.io/Logging_2309/tillsynsmail/A 27598-2024 tillsynsbegäran mail.docx", "A 27598-2024")</f>
        <v/>
      </c>
      <c r="Z176">
        <f>HYPERLINK("https://klasma.github.io/Logging_2309/fåglar/A 27598-2024 prioriterade fågelarter.docx", "A 27598-2024")</f>
        <v/>
      </c>
    </row>
    <row r="177" ht="15" customHeight="1">
      <c r="A177" t="inlineStr">
        <is>
          <t>A 32148-2024</t>
        </is>
      </c>
      <c r="B177" s="1" t="n">
        <v>45511</v>
      </c>
      <c r="C177" s="1" t="n">
        <v>45627</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34582-2024</t>
        </is>
      </c>
      <c r="B178" s="1" t="n">
        <v>45526</v>
      </c>
      <c r="C178" s="1" t="n">
        <v>45627</v>
      </c>
      <c r="D178" t="inlineStr">
        <is>
          <t>JÄMTLANDS LÄN</t>
        </is>
      </c>
      <c r="E178" t="inlineStr">
        <is>
          <t>KROKOM</t>
        </is>
      </c>
      <c r="G178" t="n">
        <v>8.1</v>
      </c>
      <c r="H178" t="n">
        <v>1</v>
      </c>
      <c r="I178" t="n">
        <v>0</v>
      </c>
      <c r="J178" t="n">
        <v>3</v>
      </c>
      <c r="K178" t="n">
        <v>0</v>
      </c>
      <c r="L178" t="n">
        <v>0</v>
      </c>
      <c r="M178" t="n">
        <v>0</v>
      </c>
      <c r="N178" t="n">
        <v>0</v>
      </c>
      <c r="O178" t="n">
        <v>3</v>
      </c>
      <c r="P178" t="n">
        <v>0</v>
      </c>
      <c r="Q178" t="n">
        <v>3</v>
      </c>
      <c r="R178" s="2" t="inlineStr">
        <is>
          <t>Granticka
Tretåig hackspett
Ullticka</t>
        </is>
      </c>
      <c r="S178">
        <f>HYPERLINK("https://klasma.github.io/Logging_2309/artfynd/A 34582-2024 artfynd.xlsx", "A 34582-2024")</f>
        <v/>
      </c>
      <c r="T178">
        <f>HYPERLINK("https://klasma.github.io/Logging_2309/kartor/A 34582-2024 karta.png", "A 34582-2024")</f>
        <v/>
      </c>
      <c r="V178">
        <f>HYPERLINK("https://klasma.github.io/Logging_2309/klagomål/A 34582-2024 FSC-klagomål.docx", "A 34582-2024")</f>
        <v/>
      </c>
      <c r="W178">
        <f>HYPERLINK("https://klasma.github.io/Logging_2309/klagomålsmail/A 34582-2024 FSC-klagomål mail.docx", "A 34582-2024")</f>
        <v/>
      </c>
      <c r="X178">
        <f>HYPERLINK("https://klasma.github.io/Logging_2309/tillsyn/A 34582-2024 tillsynsbegäran.docx", "A 34582-2024")</f>
        <v/>
      </c>
      <c r="Y178">
        <f>HYPERLINK("https://klasma.github.io/Logging_2309/tillsynsmail/A 34582-2024 tillsynsbegäran mail.docx", "A 34582-2024")</f>
        <v/>
      </c>
      <c r="Z178">
        <f>HYPERLINK("https://klasma.github.io/Logging_2309/fåglar/A 34582-2024 prioriterade fågelarter.docx", "A 34582-2024")</f>
        <v/>
      </c>
    </row>
    <row r="179" ht="15" customHeight="1">
      <c r="A179" t="inlineStr">
        <is>
          <t>A 48018-2024</t>
        </is>
      </c>
      <c r="B179" s="1" t="n">
        <v>45589</v>
      </c>
      <c r="C179" s="1" t="n">
        <v>45627</v>
      </c>
      <c r="D179" t="inlineStr">
        <is>
          <t>JÄMTLANDS LÄN</t>
        </is>
      </c>
      <c r="E179" t="inlineStr">
        <is>
          <t>KROKOM</t>
        </is>
      </c>
      <c r="G179" t="n">
        <v>9.9</v>
      </c>
      <c r="H179" t="n">
        <v>1</v>
      </c>
      <c r="I179" t="n">
        <v>3</v>
      </c>
      <c r="J179" t="n">
        <v>0</v>
      </c>
      <c r="K179" t="n">
        <v>0</v>
      </c>
      <c r="L179" t="n">
        <v>0</v>
      </c>
      <c r="M179" t="n">
        <v>0</v>
      </c>
      <c r="N179" t="n">
        <v>0</v>
      </c>
      <c r="O179" t="n">
        <v>0</v>
      </c>
      <c r="P179" t="n">
        <v>0</v>
      </c>
      <c r="Q179" t="n">
        <v>3</v>
      </c>
      <c r="R179" s="2" t="inlineStr">
        <is>
          <t>Kransrams
Tibast
Tvåblad</t>
        </is>
      </c>
      <c r="S179">
        <f>HYPERLINK("https://klasma.github.io/Logging_2309/artfynd/A 48018-2024 artfynd.xlsx", "A 48018-2024")</f>
        <v/>
      </c>
      <c r="T179">
        <f>HYPERLINK("https://klasma.github.io/Logging_2309/kartor/A 48018-2024 karta.png", "A 48018-2024")</f>
        <v/>
      </c>
      <c r="V179">
        <f>HYPERLINK("https://klasma.github.io/Logging_2309/klagomål/A 48018-2024 FSC-klagomål.docx", "A 48018-2024")</f>
        <v/>
      </c>
      <c r="W179">
        <f>HYPERLINK("https://klasma.github.io/Logging_2309/klagomålsmail/A 48018-2024 FSC-klagomål mail.docx", "A 48018-2024")</f>
        <v/>
      </c>
      <c r="X179">
        <f>HYPERLINK("https://klasma.github.io/Logging_2309/tillsyn/A 48018-2024 tillsynsbegäran.docx", "A 48018-2024")</f>
        <v/>
      </c>
      <c r="Y179">
        <f>HYPERLINK("https://klasma.github.io/Logging_2309/tillsynsmail/A 48018-2024 tillsynsbegäran mail.docx", "A 48018-2024")</f>
        <v/>
      </c>
    </row>
    <row r="180" ht="15" customHeight="1">
      <c r="A180" t="inlineStr">
        <is>
          <t>A 55850-2024</t>
        </is>
      </c>
      <c r="B180" s="1" t="n">
        <v>45623</v>
      </c>
      <c r="C180" s="1" t="n">
        <v>45627</v>
      </c>
      <c r="D180" t="inlineStr">
        <is>
          <t>JÄMTLANDS LÄN</t>
        </is>
      </c>
      <c r="E180" t="inlineStr">
        <is>
          <t>KROKOM</t>
        </is>
      </c>
      <c r="G180" t="n">
        <v>8.4</v>
      </c>
      <c r="H180" t="n">
        <v>1</v>
      </c>
      <c r="I180" t="n">
        <v>1</v>
      </c>
      <c r="J180" t="n">
        <v>1</v>
      </c>
      <c r="K180" t="n">
        <v>0</v>
      </c>
      <c r="L180" t="n">
        <v>0</v>
      </c>
      <c r="M180" t="n">
        <v>0</v>
      </c>
      <c r="N180" t="n">
        <v>0</v>
      </c>
      <c r="O180" t="n">
        <v>1</v>
      </c>
      <c r="P180" t="n">
        <v>0</v>
      </c>
      <c r="Q180" t="n">
        <v>3</v>
      </c>
      <c r="R180" s="2" t="inlineStr">
        <is>
          <t>Flattoppad klubbsvamp
Stuplav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row>
    <row r="181" ht="15" customHeight="1">
      <c r="A181" t="inlineStr">
        <is>
          <t>A 25930-2019</t>
        </is>
      </c>
      <c r="B181" s="1" t="n">
        <v>43608</v>
      </c>
      <c r="C181" s="1" t="n">
        <v>45627</v>
      </c>
      <c r="D181" t="inlineStr">
        <is>
          <t>JÄMTLANDS LÄN</t>
        </is>
      </c>
      <c r="E181" t="inlineStr">
        <is>
          <t>KROKOM</t>
        </is>
      </c>
      <c r="F181" t="inlineStr">
        <is>
          <t>Övriga Aktiebolag</t>
        </is>
      </c>
      <c r="G181" t="n">
        <v>34.6</v>
      </c>
      <c r="H181" t="n">
        <v>0</v>
      </c>
      <c r="I181" t="n">
        <v>2</v>
      </c>
      <c r="J181" t="n">
        <v>0</v>
      </c>
      <c r="K181" t="n">
        <v>0</v>
      </c>
      <c r="L181" t="n">
        <v>0</v>
      </c>
      <c r="M181" t="n">
        <v>0</v>
      </c>
      <c r="N181" t="n">
        <v>0</v>
      </c>
      <c r="O181" t="n">
        <v>0</v>
      </c>
      <c r="P181" t="n">
        <v>0</v>
      </c>
      <c r="Q181" t="n">
        <v>2</v>
      </c>
      <c r="R181" s="2" t="inlineStr">
        <is>
          <t>Finbräken
Kransrams</t>
        </is>
      </c>
      <c r="S181">
        <f>HYPERLINK("https://klasma.github.io/Logging_2309/artfynd/A 25930-2019 artfynd.xlsx", "A 25930-2019")</f>
        <v/>
      </c>
      <c r="T181">
        <f>HYPERLINK("https://klasma.github.io/Logging_2309/kartor/A 25930-2019 karta.png", "A 25930-2019")</f>
        <v/>
      </c>
      <c r="V181">
        <f>HYPERLINK("https://klasma.github.io/Logging_2309/klagomål/A 25930-2019 FSC-klagomål.docx", "A 25930-2019")</f>
        <v/>
      </c>
      <c r="W181">
        <f>HYPERLINK("https://klasma.github.io/Logging_2309/klagomålsmail/A 25930-2019 FSC-klagomål mail.docx", "A 25930-2019")</f>
        <v/>
      </c>
      <c r="X181">
        <f>HYPERLINK("https://klasma.github.io/Logging_2309/tillsyn/A 25930-2019 tillsynsbegäran.docx", "A 25930-2019")</f>
        <v/>
      </c>
      <c r="Y181">
        <f>HYPERLINK("https://klasma.github.io/Logging_2309/tillsynsmail/A 25930-2019 tillsynsbegäran mail.docx", "A 25930-2019")</f>
        <v/>
      </c>
    </row>
    <row r="182" ht="15" customHeight="1">
      <c r="A182" t="inlineStr">
        <is>
          <t>A 37877-2019</t>
        </is>
      </c>
      <c r="B182" s="1" t="n">
        <v>43682</v>
      </c>
      <c r="C182" s="1" t="n">
        <v>45627</v>
      </c>
      <c r="D182" t="inlineStr">
        <is>
          <t>JÄMTLANDS LÄN</t>
        </is>
      </c>
      <c r="E182" t="inlineStr">
        <is>
          <t>KROKOM</t>
        </is>
      </c>
      <c r="F182" t="inlineStr">
        <is>
          <t>SCA</t>
        </is>
      </c>
      <c r="G182" t="n">
        <v>4.1</v>
      </c>
      <c r="H182" t="n">
        <v>0</v>
      </c>
      <c r="I182" t="n">
        <v>1</v>
      </c>
      <c r="J182" t="n">
        <v>1</v>
      </c>
      <c r="K182" t="n">
        <v>0</v>
      </c>
      <c r="L182" t="n">
        <v>0</v>
      </c>
      <c r="M182" t="n">
        <v>0</v>
      </c>
      <c r="N182" t="n">
        <v>0</v>
      </c>
      <c r="O182" t="n">
        <v>1</v>
      </c>
      <c r="P182" t="n">
        <v>0</v>
      </c>
      <c r="Q182" t="n">
        <v>2</v>
      </c>
      <c r="R182" s="2" t="inlineStr">
        <is>
          <t>Skrovellav
Luddlav</t>
        </is>
      </c>
      <c r="S182">
        <f>HYPERLINK("https://klasma.github.io/Logging_2309/artfynd/A 37877-2019 artfynd.xlsx", "A 37877-2019")</f>
        <v/>
      </c>
      <c r="T182">
        <f>HYPERLINK("https://klasma.github.io/Logging_2309/kartor/A 37877-2019 karta.png", "A 37877-2019")</f>
        <v/>
      </c>
      <c r="V182">
        <f>HYPERLINK("https://klasma.github.io/Logging_2309/klagomål/A 37877-2019 FSC-klagomål.docx", "A 37877-2019")</f>
        <v/>
      </c>
      <c r="W182">
        <f>HYPERLINK("https://klasma.github.io/Logging_2309/klagomålsmail/A 37877-2019 FSC-klagomål mail.docx", "A 37877-2019")</f>
        <v/>
      </c>
      <c r="X182">
        <f>HYPERLINK("https://klasma.github.io/Logging_2309/tillsyn/A 37877-2019 tillsynsbegäran.docx", "A 37877-2019")</f>
        <v/>
      </c>
      <c r="Y182">
        <f>HYPERLINK("https://klasma.github.io/Logging_2309/tillsynsmail/A 37877-2019 tillsynsbegäran mail.docx", "A 37877-2019")</f>
        <v/>
      </c>
    </row>
    <row r="183" ht="15" customHeight="1">
      <c r="A183" t="inlineStr">
        <is>
          <t>A 68075-2019</t>
        </is>
      </c>
      <c r="B183" s="1" t="n">
        <v>43816</v>
      </c>
      <c r="C183" s="1" t="n">
        <v>45627</v>
      </c>
      <c r="D183" t="inlineStr">
        <is>
          <t>JÄMTLANDS LÄN</t>
        </is>
      </c>
      <c r="E183" t="inlineStr">
        <is>
          <t>KROKOM</t>
        </is>
      </c>
      <c r="F183" t="inlineStr">
        <is>
          <t>SCA</t>
        </is>
      </c>
      <c r="G183" t="n">
        <v>11.3</v>
      </c>
      <c r="H183" t="n">
        <v>0</v>
      </c>
      <c r="I183" t="n">
        <v>0</v>
      </c>
      <c r="J183" t="n">
        <v>2</v>
      </c>
      <c r="K183" t="n">
        <v>0</v>
      </c>
      <c r="L183" t="n">
        <v>0</v>
      </c>
      <c r="M183" t="n">
        <v>0</v>
      </c>
      <c r="N183" t="n">
        <v>0</v>
      </c>
      <c r="O183" t="n">
        <v>2</v>
      </c>
      <c r="P183" t="n">
        <v>0</v>
      </c>
      <c r="Q183" t="n">
        <v>2</v>
      </c>
      <c r="R183" s="2" t="inlineStr">
        <is>
          <t>Garnlav
Lunglav</t>
        </is>
      </c>
      <c r="S183">
        <f>HYPERLINK("https://klasma.github.io/Logging_2309/artfynd/A 68075-2019 artfynd.xlsx", "A 68075-2019")</f>
        <v/>
      </c>
      <c r="T183">
        <f>HYPERLINK("https://klasma.github.io/Logging_2309/kartor/A 68075-2019 karta.png", "A 68075-2019")</f>
        <v/>
      </c>
      <c r="V183">
        <f>HYPERLINK("https://klasma.github.io/Logging_2309/klagomål/A 68075-2019 FSC-klagomål.docx", "A 68075-2019")</f>
        <v/>
      </c>
      <c r="W183">
        <f>HYPERLINK("https://klasma.github.io/Logging_2309/klagomålsmail/A 68075-2019 FSC-klagomål mail.docx", "A 68075-2019")</f>
        <v/>
      </c>
      <c r="X183">
        <f>HYPERLINK("https://klasma.github.io/Logging_2309/tillsyn/A 68075-2019 tillsynsbegäran.docx", "A 68075-2019")</f>
        <v/>
      </c>
      <c r="Y183">
        <f>HYPERLINK("https://klasma.github.io/Logging_2309/tillsynsmail/A 68075-2019 tillsynsbegäran mail.docx", "A 68075-2019")</f>
        <v/>
      </c>
    </row>
    <row r="184" ht="15" customHeight="1">
      <c r="A184" t="inlineStr">
        <is>
          <t>A 54387-2020</t>
        </is>
      </c>
      <c r="B184" s="1" t="n">
        <v>44123</v>
      </c>
      <c r="C184" s="1" t="n">
        <v>45627</v>
      </c>
      <c r="D184" t="inlineStr">
        <is>
          <t>JÄMTLANDS LÄN</t>
        </is>
      </c>
      <c r="E184" t="inlineStr">
        <is>
          <t>KROKOM</t>
        </is>
      </c>
      <c r="G184" t="n">
        <v>4.3</v>
      </c>
      <c r="H184" t="n">
        <v>1</v>
      </c>
      <c r="I184" t="n">
        <v>1</v>
      </c>
      <c r="J184" t="n">
        <v>0</v>
      </c>
      <c r="K184" t="n">
        <v>0</v>
      </c>
      <c r="L184" t="n">
        <v>1</v>
      </c>
      <c r="M184" t="n">
        <v>0</v>
      </c>
      <c r="N184" t="n">
        <v>0</v>
      </c>
      <c r="O184" t="n">
        <v>1</v>
      </c>
      <c r="P184" t="n">
        <v>1</v>
      </c>
      <c r="Q184" t="n">
        <v>2</v>
      </c>
      <c r="R184" s="2" t="inlineStr">
        <is>
          <t>Violett guldvinge
Luddlav</t>
        </is>
      </c>
      <c r="S184">
        <f>HYPERLINK("https://klasma.github.io/Logging_2309/artfynd/A 54387-2020 artfynd.xlsx", "A 54387-2020")</f>
        <v/>
      </c>
      <c r="T184">
        <f>HYPERLINK("https://klasma.github.io/Logging_2309/kartor/A 54387-2020 karta.png", "A 54387-2020")</f>
        <v/>
      </c>
      <c r="V184">
        <f>HYPERLINK("https://klasma.github.io/Logging_2309/klagomål/A 54387-2020 FSC-klagomål.docx", "A 54387-2020")</f>
        <v/>
      </c>
      <c r="W184">
        <f>HYPERLINK("https://klasma.github.io/Logging_2309/klagomålsmail/A 54387-2020 FSC-klagomål mail.docx", "A 54387-2020")</f>
        <v/>
      </c>
      <c r="X184">
        <f>HYPERLINK("https://klasma.github.io/Logging_2309/tillsyn/A 54387-2020 tillsynsbegäran.docx", "A 54387-2020")</f>
        <v/>
      </c>
      <c r="Y184">
        <f>HYPERLINK("https://klasma.github.io/Logging_2309/tillsynsmail/A 54387-2020 tillsynsbegäran mail.docx", "A 54387-2020")</f>
        <v/>
      </c>
    </row>
    <row r="185" ht="15" customHeight="1">
      <c r="A185" t="inlineStr">
        <is>
          <t>A 62641-2020</t>
        </is>
      </c>
      <c r="B185" s="1" t="n">
        <v>44161</v>
      </c>
      <c r="C185" s="1" t="n">
        <v>45627</v>
      </c>
      <c r="D185" t="inlineStr">
        <is>
          <t>JÄMTLANDS LÄN</t>
        </is>
      </c>
      <c r="E185" t="inlineStr">
        <is>
          <t>KROKOM</t>
        </is>
      </c>
      <c r="G185" t="n">
        <v>5.3</v>
      </c>
      <c r="H185" t="n">
        <v>1</v>
      </c>
      <c r="I185" t="n">
        <v>1</v>
      </c>
      <c r="J185" t="n">
        <v>0</v>
      </c>
      <c r="K185" t="n">
        <v>0</v>
      </c>
      <c r="L185" t="n">
        <v>0</v>
      </c>
      <c r="M185" t="n">
        <v>0</v>
      </c>
      <c r="N185" t="n">
        <v>0</v>
      </c>
      <c r="O185" t="n">
        <v>0</v>
      </c>
      <c r="P185" t="n">
        <v>0</v>
      </c>
      <c r="Q185" t="n">
        <v>2</v>
      </c>
      <c r="R185" s="2" t="inlineStr">
        <is>
          <t>Svavelriska
Blåsippa</t>
        </is>
      </c>
      <c r="S185">
        <f>HYPERLINK("https://klasma.github.io/Logging_2309/artfynd/A 62641-2020 artfynd.xlsx", "A 62641-2020")</f>
        <v/>
      </c>
      <c r="T185">
        <f>HYPERLINK("https://klasma.github.io/Logging_2309/kartor/A 62641-2020 karta.png", "A 62641-2020")</f>
        <v/>
      </c>
      <c r="V185">
        <f>HYPERLINK("https://klasma.github.io/Logging_2309/klagomål/A 62641-2020 FSC-klagomål.docx", "A 62641-2020")</f>
        <v/>
      </c>
      <c r="W185">
        <f>HYPERLINK("https://klasma.github.io/Logging_2309/klagomålsmail/A 62641-2020 FSC-klagomål mail.docx", "A 62641-2020")</f>
        <v/>
      </c>
      <c r="X185">
        <f>HYPERLINK("https://klasma.github.io/Logging_2309/tillsyn/A 62641-2020 tillsynsbegäran.docx", "A 62641-2020")</f>
        <v/>
      </c>
      <c r="Y185">
        <f>HYPERLINK("https://klasma.github.io/Logging_2309/tillsynsmail/A 62641-2020 tillsynsbegäran mail.docx", "A 62641-2020")</f>
        <v/>
      </c>
    </row>
    <row r="186" ht="15" customHeight="1">
      <c r="A186" t="inlineStr">
        <is>
          <t>A 1698-2021</t>
        </is>
      </c>
      <c r="B186" s="1" t="n">
        <v>44209</v>
      </c>
      <c r="C186" s="1" t="n">
        <v>45627</v>
      </c>
      <c r="D186" t="inlineStr">
        <is>
          <t>JÄMTLANDS LÄN</t>
        </is>
      </c>
      <c r="E186" t="inlineStr">
        <is>
          <t>KROKOM</t>
        </is>
      </c>
      <c r="G186" t="n">
        <v>21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1698-2021 artfynd.xlsx", "A 1698-2021")</f>
        <v/>
      </c>
      <c r="T186">
        <f>HYPERLINK("https://klasma.github.io/Logging_2309/kartor/A 1698-2021 karta.png", "A 1698-2021")</f>
        <v/>
      </c>
      <c r="V186">
        <f>HYPERLINK("https://klasma.github.io/Logging_2309/klagomål/A 1698-2021 FSC-klagomål.docx", "A 1698-2021")</f>
        <v/>
      </c>
      <c r="W186">
        <f>HYPERLINK("https://klasma.github.io/Logging_2309/klagomålsmail/A 1698-2021 FSC-klagomål mail.docx", "A 1698-2021")</f>
        <v/>
      </c>
      <c r="X186">
        <f>HYPERLINK("https://klasma.github.io/Logging_2309/tillsyn/A 1698-2021 tillsynsbegäran.docx", "A 1698-2021")</f>
        <v/>
      </c>
      <c r="Y186">
        <f>HYPERLINK("https://klasma.github.io/Logging_2309/tillsynsmail/A 1698-2021 tillsynsbegäran mail.docx", "A 1698-2021")</f>
        <v/>
      </c>
      <c r="Z186">
        <f>HYPERLINK("https://klasma.github.io/Logging_2309/fåglar/A 1698-2021 prioriterade fågelarter.docx", "A 1698-2021")</f>
        <v/>
      </c>
    </row>
    <row r="187" ht="15" customHeight="1">
      <c r="A187" t="inlineStr">
        <is>
          <t>A 5527-2021</t>
        </is>
      </c>
      <c r="B187" s="1" t="n">
        <v>44230</v>
      </c>
      <c r="C187" s="1" t="n">
        <v>45627</v>
      </c>
      <c r="D187" t="inlineStr">
        <is>
          <t>JÄMTLANDS LÄN</t>
        </is>
      </c>
      <c r="E187" t="inlineStr">
        <is>
          <t>KROKOM</t>
        </is>
      </c>
      <c r="G187" t="n">
        <v>17.8</v>
      </c>
      <c r="H187" t="n">
        <v>2</v>
      </c>
      <c r="I187" t="n">
        <v>1</v>
      </c>
      <c r="J187" t="n">
        <v>0</v>
      </c>
      <c r="K187" t="n">
        <v>0</v>
      </c>
      <c r="L187" t="n">
        <v>0</v>
      </c>
      <c r="M187" t="n">
        <v>0</v>
      </c>
      <c r="N187" t="n">
        <v>0</v>
      </c>
      <c r="O187" t="n">
        <v>0</v>
      </c>
      <c r="P187" t="n">
        <v>0</v>
      </c>
      <c r="Q187" t="n">
        <v>2</v>
      </c>
      <c r="R187" s="2" t="inlineStr">
        <is>
          <t>Guckusko
Hökuggla</t>
        </is>
      </c>
      <c r="S187">
        <f>HYPERLINK("https://klasma.github.io/Logging_2309/artfynd/A 5527-2021 artfynd.xlsx", "A 5527-2021")</f>
        <v/>
      </c>
      <c r="T187">
        <f>HYPERLINK("https://klasma.github.io/Logging_2309/kartor/A 5527-2021 karta.png", "A 5527-2021")</f>
        <v/>
      </c>
      <c r="V187">
        <f>HYPERLINK("https://klasma.github.io/Logging_2309/klagomål/A 5527-2021 FSC-klagomål.docx", "A 5527-2021")</f>
        <v/>
      </c>
      <c r="W187">
        <f>HYPERLINK("https://klasma.github.io/Logging_2309/klagomålsmail/A 5527-2021 FSC-klagomål mail.docx", "A 5527-2021")</f>
        <v/>
      </c>
      <c r="X187">
        <f>HYPERLINK("https://klasma.github.io/Logging_2309/tillsyn/A 5527-2021 tillsynsbegäran.docx", "A 5527-2021")</f>
        <v/>
      </c>
      <c r="Y187">
        <f>HYPERLINK("https://klasma.github.io/Logging_2309/tillsynsmail/A 5527-2021 tillsynsbegäran mail.docx", "A 5527-2021")</f>
        <v/>
      </c>
      <c r="Z187">
        <f>HYPERLINK("https://klasma.github.io/Logging_2309/fåglar/A 5527-2021 prioriterade fågelarter.docx", "A 5527-2021")</f>
        <v/>
      </c>
    </row>
    <row r="188" ht="15" customHeight="1">
      <c r="A188" t="inlineStr">
        <is>
          <t>A 14589-2021</t>
        </is>
      </c>
      <c r="B188" s="1" t="n">
        <v>44279</v>
      </c>
      <c r="C188" s="1" t="n">
        <v>45627</v>
      </c>
      <c r="D188" t="inlineStr">
        <is>
          <t>JÄMTLANDS LÄN</t>
        </is>
      </c>
      <c r="E188" t="inlineStr">
        <is>
          <t>KROKOM</t>
        </is>
      </c>
      <c r="G188" t="n">
        <v>8.800000000000001</v>
      </c>
      <c r="H188" t="n">
        <v>2</v>
      </c>
      <c r="I188" t="n">
        <v>0</v>
      </c>
      <c r="J188" t="n">
        <v>1</v>
      </c>
      <c r="K188" t="n">
        <v>0</v>
      </c>
      <c r="L188" t="n">
        <v>0</v>
      </c>
      <c r="M188" t="n">
        <v>0</v>
      </c>
      <c r="N188" t="n">
        <v>0</v>
      </c>
      <c r="O188" t="n">
        <v>1</v>
      </c>
      <c r="P188" t="n">
        <v>0</v>
      </c>
      <c r="Q188" t="n">
        <v>2</v>
      </c>
      <c r="R188" s="2" t="inlineStr">
        <is>
          <t>Utter
Fläcknycklar</t>
        </is>
      </c>
      <c r="S188">
        <f>HYPERLINK("https://klasma.github.io/Logging_2309/artfynd/A 14589-2021 artfynd.xlsx", "A 14589-2021")</f>
        <v/>
      </c>
      <c r="T188">
        <f>HYPERLINK("https://klasma.github.io/Logging_2309/kartor/A 14589-2021 karta.png", "A 14589-2021")</f>
        <v/>
      </c>
      <c r="V188">
        <f>HYPERLINK("https://klasma.github.io/Logging_2309/klagomål/A 14589-2021 FSC-klagomål.docx", "A 14589-2021")</f>
        <v/>
      </c>
      <c r="W188">
        <f>HYPERLINK("https://klasma.github.io/Logging_2309/klagomålsmail/A 14589-2021 FSC-klagomål mail.docx", "A 14589-2021")</f>
        <v/>
      </c>
      <c r="X188">
        <f>HYPERLINK("https://klasma.github.io/Logging_2309/tillsyn/A 14589-2021 tillsynsbegäran.docx", "A 14589-2021")</f>
        <v/>
      </c>
      <c r="Y188">
        <f>HYPERLINK("https://klasma.github.io/Logging_2309/tillsynsmail/A 14589-2021 tillsynsbegäran mail.docx", "A 14589-2021")</f>
        <v/>
      </c>
    </row>
    <row r="189" ht="15" customHeight="1">
      <c r="A189" t="inlineStr">
        <is>
          <t>A 20981-2021</t>
        </is>
      </c>
      <c r="B189" s="1" t="n">
        <v>44316</v>
      </c>
      <c r="C189" s="1" t="n">
        <v>45627</v>
      </c>
      <c r="D189" t="inlineStr">
        <is>
          <t>JÄMTLANDS LÄN</t>
        </is>
      </c>
      <c r="E189" t="inlineStr">
        <is>
          <t>KROKOM</t>
        </is>
      </c>
      <c r="G189" t="n">
        <v>27.4</v>
      </c>
      <c r="H189" t="n">
        <v>0</v>
      </c>
      <c r="I189" t="n">
        <v>1</v>
      </c>
      <c r="J189" t="n">
        <v>1</v>
      </c>
      <c r="K189" t="n">
        <v>0</v>
      </c>
      <c r="L189" t="n">
        <v>0</v>
      </c>
      <c r="M189" t="n">
        <v>0</v>
      </c>
      <c r="N189" t="n">
        <v>0</v>
      </c>
      <c r="O189" t="n">
        <v>1</v>
      </c>
      <c r="P189" t="n">
        <v>0</v>
      </c>
      <c r="Q189" t="n">
        <v>2</v>
      </c>
      <c r="R189" s="2" t="inlineStr">
        <is>
          <t>Harticka
Trådticka</t>
        </is>
      </c>
      <c r="S189">
        <f>HYPERLINK("https://klasma.github.io/Logging_2309/artfynd/A 20981-2021 artfynd.xlsx", "A 20981-2021")</f>
        <v/>
      </c>
      <c r="T189">
        <f>HYPERLINK("https://klasma.github.io/Logging_2309/kartor/A 20981-2021 karta.png", "A 20981-2021")</f>
        <v/>
      </c>
      <c r="V189">
        <f>HYPERLINK("https://klasma.github.io/Logging_2309/klagomål/A 20981-2021 FSC-klagomål.docx", "A 20981-2021")</f>
        <v/>
      </c>
      <c r="W189">
        <f>HYPERLINK("https://klasma.github.io/Logging_2309/klagomålsmail/A 20981-2021 FSC-klagomål mail.docx", "A 20981-2021")</f>
        <v/>
      </c>
      <c r="X189">
        <f>HYPERLINK("https://klasma.github.io/Logging_2309/tillsyn/A 20981-2021 tillsynsbegäran.docx", "A 20981-2021")</f>
        <v/>
      </c>
      <c r="Y189">
        <f>HYPERLINK("https://klasma.github.io/Logging_2309/tillsynsmail/A 20981-2021 tillsynsbegäran mail.docx", "A 20981-2021")</f>
        <v/>
      </c>
    </row>
    <row r="190" ht="15" customHeight="1">
      <c r="A190" t="inlineStr">
        <is>
          <t>A 28151-2021</t>
        </is>
      </c>
      <c r="B190" s="1" t="n">
        <v>44355</v>
      </c>
      <c r="C190" s="1" t="n">
        <v>45627</v>
      </c>
      <c r="D190" t="inlineStr">
        <is>
          <t>JÄMTLANDS LÄN</t>
        </is>
      </c>
      <c r="E190" t="inlineStr">
        <is>
          <t>KROKOM</t>
        </is>
      </c>
      <c r="G190" t="n">
        <v>19.6</v>
      </c>
      <c r="H190" t="n">
        <v>0</v>
      </c>
      <c r="I190" t="n">
        <v>0</v>
      </c>
      <c r="J190" t="n">
        <v>2</v>
      </c>
      <c r="K190" t="n">
        <v>0</v>
      </c>
      <c r="L190" t="n">
        <v>0</v>
      </c>
      <c r="M190" t="n">
        <v>0</v>
      </c>
      <c r="N190" t="n">
        <v>0</v>
      </c>
      <c r="O190" t="n">
        <v>2</v>
      </c>
      <c r="P190" t="n">
        <v>0</v>
      </c>
      <c r="Q190" t="n">
        <v>2</v>
      </c>
      <c r="R190" s="2" t="inlineStr">
        <is>
          <t>Granticka
Lunglav</t>
        </is>
      </c>
      <c r="S190">
        <f>HYPERLINK("https://klasma.github.io/Logging_2309/artfynd/A 28151-2021 artfynd.xlsx", "A 28151-2021")</f>
        <v/>
      </c>
      <c r="T190">
        <f>HYPERLINK("https://klasma.github.io/Logging_2309/kartor/A 28151-2021 karta.png", "A 28151-2021")</f>
        <v/>
      </c>
      <c r="V190">
        <f>HYPERLINK("https://klasma.github.io/Logging_2309/klagomål/A 28151-2021 FSC-klagomål.docx", "A 28151-2021")</f>
        <v/>
      </c>
      <c r="W190">
        <f>HYPERLINK("https://klasma.github.io/Logging_2309/klagomålsmail/A 28151-2021 FSC-klagomål mail.docx", "A 28151-2021")</f>
        <v/>
      </c>
      <c r="X190">
        <f>HYPERLINK("https://klasma.github.io/Logging_2309/tillsyn/A 28151-2021 tillsynsbegäran.docx", "A 28151-2021")</f>
        <v/>
      </c>
      <c r="Y190">
        <f>HYPERLINK("https://klasma.github.io/Logging_2309/tillsynsmail/A 28151-2021 tillsynsbegäran mail.docx", "A 28151-2021")</f>
        <v/>
      </c>
    </row>
    <row r="191" ht="15" customHeight="1">
      <c r="A191" t="inlineStr">
        <is>
          <t>A 33874-2021</t>
        </is>
      </c>
      <c r="B191" s="1" t="n">
        <v>44378</v>
      </c>
      <c r="C191" s="1" t="n">
        <v>45627</v>
      </c>
      <c r="D191" t="inlineStr">
        <is>
          <t>JÄMTLANDS LÄN</t>
        </is>
      </c>
      <c r="E191" t="inlineStr">
        <is>
          <t>KROKOM</t>
        </is>
      </c>
      <c r="G191" t="n">
        <v>5.9</v>
      </c>
      <c r="H191" t="n">
        <v>1</v>
      </c>
      <c r="I191" t="n">
        <v>2</v>
      </c>
      <c r="J191" t="n">
        <v>0</v>
      </c>
      <c r="K191" t="n">
        <v>0</v>
      </c>
      <c r="L191" t="n">
        <v>0</v>
      </c>
      <c r="M191" t="n">
        <v>0</v>
      </c>
      <c r="N191" t="n">
        <v>0</v>
      </c>
      <c r="O191" t="n">
        <v>0</v>
      </c>
      <c r="P191" t="n">
        <v>0</v>
      </c>
      <c r="Q191" t="n">
        <v>2</v>
      </c>
      <c r="R191" s="2" t="inlineStr">
        <is>
          <t>Kransrams
Tvåblad</t>
        </is>
      </c>
      <c r="S191">
        <f>HYPERLINK("https://klasma.github.io/Logging_2309/artfynd/A 33874-2021 artfynd.xlsx", "A 33874-2021")</f>
        <v/>
      </c>
      <c r="T191">
        <f>HYPERLINK("https://klasma.github.io/Logging_2309/kartor/A 33874-2021 karta.png", "A 33874-2021")</f>
        <v/>
      </c>
      <c r="V191">
        <f>HYPERLINK("https://klasma.github.io/Logging_2309/klagomål/A 33874-2021 FSC-klagomål.docx", "A 33874-2021")</f>
        <v/>
      </c>
      <c r="W191">
        <f>HYPERLINK("https://klasma.github.io/Logging_2309/klagomålsmail/A 33874-2021 FSC-klagomål mail.docx", "A 33874-2021")</f>
        <v/>
      </c>
      <c r="X191">
        <f>HYPERLINK("https://klasma.github.io/Logging_2309/tillsyn/A 33874-2021 tillsynsbegäran.docx", "A 33874-2021")</f>
        <v/>
      </c>
      <c r="Y191">
        <f>HYPERLINK("https://klasma.github.io/Logging_2309/tillsynsmail/A 33874-2021 tillsynsbegäran mail.docx", "A 33874-2021")</f>
        <v/>
      </c>
    </row>
    <row r="192" ht="15" customHeight="1">
      <c r="A192" t="inlineStr">
        <is>
          <t>A 67700-2021</t>
        </is>
      </c>
      <c r="B192" s="1" t="n">
        <v>44524</v>
      </c>
      <c r="C192" s="1" t="n">
        <v>45627</v>
      </c>
      <c r="D192" t="inlineStr">
        <is>
          <t>JÄMTLANDS LÄN</t>
        </is>
      </c>
      <c r="E192" t="inlineStr">
        <is>
          <t>KROKOM</t>
        </is>
      </c>
      <c r="F192" t="inlineStr">
        <is>
          <t>SCA</t>
        </is>
      </c>
      <c r="G192" t="n">
        <v>1.3</v>
      </c>
      <c r="H192" t="n">
        <v>1</v>
      </c>
      <c r="I192" t="n">
        <v>0</v>
      </c>
      <c r="J192" t="n">
        <v>1</v>
      </c>
      <c r="K192" t="n">
        <v>0</v>
      </c>
      <c r="L192" t="n">
        <v>0</v>
      </c>
      <c r="M192" t="n">
        <v>0</v>
      </c>
      <c r="N192" t="n">
        <v>0</v>
      </c>
      <c r="O192" t="n">
        <v>1</v>
      </c>
      <c r="P192" t="n">
        <v>0</v>
      </c>
      <c r="Q192" t="n">
        <v>2</v>
      </c>
      <c r="R192" s="2" t="inlineStr">
        <is>
          <t>Lunglav
Blåsippa</t>
        </is>
      </c>
      <c r="S192">
        <f>HYPERLINK("https://klasma.github.io/Logging_2309/artfynd/A 67700-2021 artfynd.xlsx", "A 67700-2021")</f>
        <v/>
      </c>
      <c r="T192">
        <f>HYPERLINK("https://klasma.github.io/Logging_2309/kartor/A 67700-2021 karta.png", "A 67700-2021")</f>
        <v/>
      </c>
      <c r="V192">
        <f>HYPERLINK("https://klasma.github.io/Logging_2309/klagomål/A 67700-2021 FSC-klagomål.docx", "A 67700-2021")</f>
        <v/>
      </c>
      <c r="W192">
        <f>HYPERLINK("https://klasma.github.io/Logging_2309/klagomålsmail/A 67700-2021 FSC-klagomål mail.docx", "A 67700-2021")</f>
        <v/>
      </c>
      <c r="X192">
        <f>HYPERLINK("https://klasma.github.io/Logging_2309/tillsyn/A 67700-2021 tillsynsbegäran.docx", "A 67700-2021")</f>
        <v/>
      </c>
      <c r="Y192">
        <f>HYPERLINK("https://klasma.github.io/Logging_2309/tillsynsmail/A 67700-2021 tillsynsbegäran mail.docx", "A 67700-2021")</f>
        <v/>
      </c>
    </row>
    <row r="193" ht="15" customHeight="1">
      <c r="A193" t="inlineStr">
        <is>
          <t>A 67738-2021</t>
        </is>
      </c>
      <c r="B193" s="1" t="n">
        <v>44524</v>
      </c>
      <c r="C193" s="1" t="n">
        <v>45627</v>
      </c>
      <c r="D193" t="inlineStr">
        <is>
          <t>JÄMTLANDS LÄN</t>
        </is>
      </c>
      <c r="E193" t="inlineStr">
        <is>
          <t>KROKOM</t>
        </is>
      </c>
      <c r="G193" t="n">
        <v>3.1</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HYPERLINK("https://klasma.github.io/Logging_2309/artfynd/A 67738-2021 artfynd.xlsx", "A 67738-2021")</f>
        <v/>
      </c>
      <c r="T193">
        <f>HYPERLINK("https://klasma.github.io/Logging_2309/kartor/A 67738-2021 karta.png", "A 67738-2021")</f>
        <v/>
      </c>
      <c r="V193">
        <f>HYPERLINK("https://klasma.github.io/Logging_2309/klagomål/A 67738-2021 FSC-klagomål.docx", "A 67738-2021")</f>
        <v/>
      </c>
      <c r="W193">
        <f>HYPERLINK("https://klasma.github.io/Logging_2309/klagomålsmail/A 67738-2021 FSC-klagomål mail.docx", "A 67738-2021")</f>
        <v/>
      </c>
      <c r="X193">
        <f>HYPERLINK("https://klasma.github.io/Logging_2309/tillsyn/A 67738-2021 tillsynsbegäran.docx", "A 67738-2021")</f>
        <v/>
      </c>
      <c r="Y193">
        <f>HYPERLINK("https://klasma.github.io/Logging_2309/tillsynsmail/A 67738-2021 tillsynsbegäran mail.docx", "A 67738-2021")</f>
        <v/>
      </c>
      <c r="Z193">
        <f>HYPERLINK("https://klasma.github.io/Logging_2309/fåglar/A 67738-2021 prioriterade fågelarter.docx", "A 67738-2021")</f>
        <v/>
      </c>
    </row>
    <row r="194" ht="15" customHeight="1">
      <c r="A194" t="inlineStr">
        <is>
          <t>A 71571-2021</t>
        </is>
      </c>
      <c r="B194" s="1" t="n">
        <v>44540</v>
      </c>
      <c r="C194" s="1" t="n">
        <v>45627</v>
      </c>
      <c r="D194" t="inlineStr">
        <is>
          <t>JÄMTLANDS LÄN</t>
        </is>
      </c>
      <c r="E194" t="inlineStr">
        <is>
          <t>KROKOM</t>
        </is>
      </c>
      <c r="G194" t="n">
        <v>0.7</v>
      </c>
      <c r="H194" t="n">
        <v>0</v>
      </c>
      <c r="I194" t="n">
        <v>1</v>
      </c>
      <c r="J194" t="n">
        <v>1</v>
      </c>
      <c r="K194" t="n">
        <v>0</v>
      </c>
      <c r="L194" t="n">
        <v>0</v>
      </c>
      <c r="M194" t="n">
        <v>0</v>
      </c>
      <c r="N194" t="n">
        <v>0</v>
      </c>
      <c r="O194" t="n">
        <v>1</v>
      </c>
      <c r="P194" t="n">
        <v>0</v>
      </c>
      <c r="Q194" t="n">
        <v>2</v>
      </c>
      <c r="R194" s="2" t="inlineStr">
        <is>
          <t>Skrovellav
Kryddspindling</t>
        </is>
      </c>
      <c r="S194">
        <f>HYPERLINK("https://klasma.github.io/Logging_2309/artfynd/A 71571-2021 artfynd.xlsx", "A 71571-2021")</f>
        <v/>
      </c>
      <c r="T194">
        <f>HYPERLINK("https://klasma.github.io/Logging_2309/kartor/A 71571-2021 karta.png", "A 71571-2021")</f>
        <v/>
      </c>
      <c r="V194">
        <f>HYPERLINK("https://klasma.github.io/Logging_2309/klagomål/A 71571-2021 FSC-klagomål.docx", "A 71571-2021")</f>
        <v/>
      </c>
      <c r="W194">
        <f>HYPERLINK("https://klasma.github.io/Logging_2309/klagomålsmail/A 71571-2021 FSC-klagomål mail.docx", "A 71571-2021")</f>
        <v/>
      </c>
      <c r="X194">
        <f>HYPERLINK("https://klasma.github.io/Logging_2309/tillsyn/A 71571-2021 tillsynsbegäran.docx", "A 71571-2021")</f>
        <v/>
      </c>
      <c r="Y194">
        <f>HYPERLINK("https://klasma.github.io/Logging_2309/tillsynsmail/A 71571-2021 tillsynsbegäran mail.docx", "A 71571-2021")</f>
        <v/>
      </c>
    </row>
    <row r="195" ht="15" customHeight="1">
      <c r="A195" t="inlineStr">
        <is>
          <t>A 30060-2022</t>
        </is>
      </c>
      <c r="B195" s="1" t="n">
        <v>44757</v>
      </c>
      <c r="C195" s="1" t="n">
        <v>45627</v>
      </c>
      <c r="D195" t="inlineStr">
        <is>
          <t>JÄMTLANDS LÄN</t>
        </is>
      </c>
      <c r="E195" t="inlineStr">
        <is>
          <t>KROKOM</t>
        </is>
      </c>
      <c r="G195" t="n">
        <v>0.6</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HYPERLINK("https://klasma.github.io/Logging_2309/artfynd/A 30060-2022 artfynd.xlsx", "A 30060-2022")</f>
        <v/>
      </c>
      <c r="T195">
        <f>HYPERLINK("https://klasma.github.io/Logging_2309/kartor/A 30060-2022 karta.png", "A 30060-2022")</f>
        <v/>
      </c>
      <c r="V195">
        <f>HYPERLINK("https://klasma.github.io/Logging_2309/klagomål/A 30060-2022 FSC-klagomål.docx", "A 30060-2022")</f>
        <v/>
      </c>
      <c r="W195">
        <f>HYPERLINK("https://klasma.github.io/Logging_2309/klagomålsmail/A 30060-2022 FSC-klagomål mail.docx", "A 30060-2022")</f>
        <v/>
      </c>
      <c r="X195">
        <f>HYPERLINK("https://klasma.github.io/Logging_2309/tillsyn/A 30060-2022 tillsynsbegäran.docx", "A 30060-2022")</f>
        <v/>
      </c>
      <c r="Y195">
        <f>HYPERLINK("https://klasma.github.io/Logging_2309/tillsynsmail/A 30060-2022 tillsynsbegäran mail.docx", "A 30060-2022")</f>
        <v/>
      </c>
      <c r="Z195">
        <f>HYPERLINK("https://klasma.github.io/Logging_2309/fåglar/A 30060-2022 prioriterade fågelarter.docx", "A 30060-2022")</f>
        <v/>
      </c>
    </row>
    <row r="196" ht="15" customHeight="1">
      <c r="A196" t="inlineStr">
        <is>
          <t>A 33507-2022</t>
        </is>
      </c>
      <c r="B196" s="1" t="n">
        <v>44788</v>
      </c>
      <c r="C196" s="1" t="n">
        <v>45627</v>
      </c>
      <c r="D196" t="inlineStr">
        <is>
          <t>JÄMTLANDS LÄN</t>
        </is>
      </c>
      <c r="E196" t="inlineStr">
        <is>
          <t>KROKOM</t>
        </is>
      </c>
      <c r="F196" t="inlineStr">
        <is>
          <t>SCA</t>
        </is>
      </c>
      <c r="G196" t="n">
        <v>4.2</v>
      </c>
      <c r="H196" t="n">
        <v>2</v>
      </c>
      <c r="I196" t="n">
        <v>0</v>
      </c>
      <c r="J196" t="n">
        <v>2</v>
      </c>
      <c r="K196" t="n">
        <v>0</v>
      </c>
      <c r="L196" t="n">
        <v>0</v>
      </c>
      <c r="M196" t="n">
        <v>0</v>
      </c>
      <c r="N196" t="n">
        <v>0</v>
      </c>
      <c r="O196" t="n">
        <v>2</v>
      </c>
      <c r="P196" t="n">
        <v>0</v>
      </c>
      <c r="Q196" t="n">
        <v>2</v>
      </c>
      <c r="R196" s="2" t="inlineStr">
        <is>
          <t>Spillkråka
Tretåig hackspett</t>
        </is>
      </c>
      <c r="S196">
        <f>HYPERLINK("https://klasma.github.io/Logging_2309/artfynd/A 33507-2022 artfynd.xlsx", "A 33507-2022")</f>
        <v/>
      </c>
      <c r="T196">
        <f>HYPERLINK("https://klasma.github.io/Logging_2309/kartor/A 33507-2022 karta.png", "A 33507-2022")</f>
        <v/>
      </c>
      <c r="V196">
        <f>HYPERLINK("https://klasma.github.io/Logging_2309/klagomål/A 33507-2022 FSC-klagomål.docx", "A 33507-2022")</f>
        <v/>
      </c>
      <c r="W196">
        <f>HYPERLINK("https://klasma.github.io/Logging_2309/klagomålsmail/A 33507-2022 FSC-klagomål mail.docx", "A 33507-2022")</f>
        <v/>
      </c>
      <c r="X196">
        <f>HYPERLINK("https://klasma.github.io/Logging_2309/tillsyn/A 33507-2022 tillsynsbegäran.docx", "A 33507-2022")</f>
        <v/>
      </c>
      <c r="Y196">
        <f>HYPERLINK("https://klasma.github.io/Logging_2309/tillsynsmail/A 33507-2022 tillsynsbegäran mail.docx", "A 33507-2022")</f>
        <v/>
      </c>
      <c r="Z196">
        <f>HYPERLINK("https://klasma.github.io/Logging_2309/fåglar/A 33507-2022 prioriterade fågelarter.docx", "A 33507-2022")</f>
        <v/>
      </c>
    </row>
    <row r="197" ht="15" customHeight="1">
      <c r="A197" t="inlineStr">
        <is>
          <t>A 54189-2022</t>
        </is>
      </c>
      <c r="B197" s="1" t="n">
        <v>44879</v>
      </c>
      <c r="C197" s="1" t="n">
        <v>45627</v>
      </c>
      <c r="D197" t="inlineStr">
        <is>
          <t>JÄMTLANDS LÄN</t>
        </is>
      </c>
      <c r="E197" t="inlineStr">
        <is>
          <t>KROKOM</t>
        </is>
      </c>
      <c r="G197" t="n">
        <v>24.1</v>
      </c>
      <c r="H197" t="n">
        <v>0</v>
      </c>
      <c r="I197" t="n">
        <v>0</v>
      </c>
      <c r="J197" t="n">
        <v>1</v>
      </c>
      <c r="K197" t="n">
        <v>1</v>
      </c>
      <c r="L197" t="n">
        <v>0</v>
      </c>
      <c r="M197" t="n">
        <v>0</v>
      </c>
      <c r="N197" t="n">
        <v>0</v>
      </c>
      <c r="O197" t="n">
        <v>2</v>
      </c>
      <c r="P197" t="n">
        <v>1</v>
      </c>
      <c r="Q197" t="n">
        <v>2</v>
      </c>
      <c r="R197" s="2" t="inlineStr">
        <is>
          <t>Ulltickeporing
Ullticka</t>
        </is>
      </c>
      <c r="S197">
        <f>HYPERLINK("https://klasma.github.io/Logging_2309/artfynd/A 54189-2022 artfynd.xlsx", "A 54189-2022")</f>
        <v/>
      </c>
      <c r="T197">
        <f>HYPERLINK("https://klasma.github.io/Logging_2309/kartor/A 54189-2022 karta.png", "A 54189-2022")</f>
        <v/>
      </c>
      <c r="V197">
        <f>HYPERLINK("https://klasma.github.io/Logging_2309/klagomål/A 54189-2022 FSC-klagomål.docx", "A 54189-2022")</f>
        <v/>
      </c>
      <c r="W197">
        <f>HYPERLINK("https://klasma.github.io/Logging_2309/klagomålsmail/A 54189-2022 FSC-klagomål mail.docx", "A 54189-2022")</f>
        <v/>
      </c>
      <c r="X197">
        <f>HYPERLINK("https://klasma.github.io/Logging_2309/tillsyn/A 54189-2022 tillsynsbegäran.docx", "A 54189-2022")</f>
        <v/>
      </c>
      <c r="Y197">
        <f>HYPERLINK("https://klasma.github.io/Logging_2309/tillsynsmail/A 54189-2022 tillsynsbegäran mail.docx", "A 54189-2022")</f>
        <v/>
      </c>
    </row>
    <row r="198" ht="15" customHeight="1">
      <c r="A198" t="inlineStr">
        <is>
          <t>A 52021-2023</t>
        </is>
      </c>
      <c r="B198" s="1" t="n">
        <v>45223</v>
      </c>
      <c r="C198" s="1" t="n">
        <v>45627</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56476-2023</t>
        </is>
      </c>
      <c r="B199" s="1" t="n">
        <v>45243</v>
      </c>
      <c r="C199" s="1" t="n">
        <v>45627</v>
      </c>
      <c r="D199" t="inlineStr">
        <is>
          <t>JÄMTLANDS LÄN</t>
        </is>
      </c>
      <c r="E199" t="inlineStr">
        <is>
          <t>KROKOM</t>
        </is>
      </c>
      <c r="G199" t="n">
        <v>19.8</v>
      </c>
      <c r="H199" t="n">
        <v>0</v>
      </c>
      <c r="I199" t="n">
        <v>0</v>
      </c>
      <c r="J199" t="n">
        <v>2</v>
      </c>
      <c r="K199" t="n">
        <v>0</v>
      </c>
      <c r="L199" t="n">
        <v>0</v>
      </c>
      <c r="M199" t="n">
        <v>0</v>
      </c>
      <c r="N199" t="n">
        <v>0</v>
      </c>
      <c r="O199" t="n">
        <v>2</v>
      </c>
      <c r="P199" t="n">
        <v>0</v>
      </c>
      <c r="Q199" t="n">
        <v>2</v>
      </c>
      <c r="R199" s="2" t="inlineStr">
        <is>
          <t>Gammelgransskål
Gränsticka</t>
        </is>
      </c>
      <c r="S199">
        <f>HYPERLINK("https://klasma.github.io/Logging_2309/artfynd/A 56476-2023 artfynd.xlsx", "A 56476-2023")</f>
        <v/>
      </c>
      <c r="T199">
        <f>HYPERLINK("https://klasma.github.io/Logging_2309/kartor/A 56476-2023 karta.png", "A 56476-2023")</f>
        <v/>
      </c>
      <c r="V199">
        <f>HYPERLINK("https://klasma.github.io/Logging_2309/klagomål/A 56476-2023 FSC-klagomål.docx", "A 56476-2023")</f>
        <v/>
      </c>
      <c r="W199">
        <f>HYPERLINK("https://klasma.github.io/Logging_2309/klagomålsmail/A 56476-2023 FSC-klagomål mail.docx", "A 56476-2023")</f>
        <v/>
      </c>
      <c r="X199">
        <f>HYPERLINK("https://klasma.github.io/Logging_2309/tillsyn/A 56476-2023 tillsynsbegäran.docx", "A 56476-2023")</f>
        <v/>
      </c>
      <c r="Y199">
        <f>HYPERLINK("https://klasma.github.io/Logging_2309/tillsynsmail/A 56476-2023 tillsynsbegäran mail.docx", "A 56476-2023")</f>
        <v/>
      </c>
    </row>
    <row r="200" ht="15" customHeight="1">
      <c r="A200" t="inlineStr">
        <is>
          <t>A 62453-2023</t>
        </is>
      </c>
      <c r="B200" s="1" t="n">
        <v>45268</v>
      </c>
      <c r="C200" s="1" t="n">
        <v>45627</v>
      </c>
      <c r="D200" t="inlineStr">
        <is>
          <t>JÄMTLANDS LÄN</t>
        </is>
      </c>
      <c r="E200" t="inlineStr">
        <is>
          <t>KROKOM</t>
        </is>
      </c>
      <c r="F200" t="inlineStr">
        <is>
          <t>Övriga Aktiebolag</t>
        </is>
      </c>
      <c r="G200" t="n">
        <v>2.2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62453-2023 artfynd.xlsx", "A 62453-2023")</f>
        <v/>
      </c>
      <c r="T200">
        <f>HYPERLINK("https://klasma.github.io/Logging_2309/kartor/A 62453-2023 karta.png", "A 62453-2023")</f>
        <v/>
      </c>
      <c r="V200">
        <f>HYPERLINK("https://klasma.github.io/Logging_2309/klagomål/A 62453-2023 FSC-klagomål.docx", "A 62453-2023")</f>
        <v/>
      </c>
      <c r="W200">
        <f>HYPERLINK("https://klasma.github.io/Logging_2309/klagomålsmail/A 62453-2023 FSC-klagomål mail.docx", "A 62453-2023")</f>
        <v/>
      </c>
      <c r="X200">
        <f>HYPERLINK("https://klasma.github.io/Logging_2309/tillsyn/A 62453-2023 tillsynsbegäran.docx", "A 62453-2023")</f>
        <v/>
      </c>
      <c r="Y200">
        <f>HYPERLINK("https://klasma.github.io/Logging_2309/tillsynsmail/A 62453-2023 tillsynsbegäran mail.docx", "A 62453-2023")</f>
        <v/>
      </c>
      <c r="Z200">
        <f>HYPERLINK("https://klasma.github.io/Logging_2309/fåglar/A 62453-2023 prioriterade fågelarter.docx", "A 62453-2023")</f>
        <v/>
      </c>
    </row>
    <row r="201" ht="15" customHeight="1">
      <c r="A201" t="inlineStr">
        <is>
          <t>A 7575-2024</t>
        </is>
      </c>
      <c r="B201" s="1" t="n">
        <v>45348</v>
      </c>
      <c r="C201" s="1" t="n">
        <v>45627</v>
      </c>
      <c r="D201" t="inlineStr">
        <is>
          <t>JÄMTLANDS LÄN</t>
        </is>
      </c>
      <c r="E201" t="inlineStr">
        <is>
          <t>KROKOM</t>
        </is>
      </c>
      <c r="G201" t="n">
        <v>25.1</v>
      </c>
      <c r="H201" t="n">
        <v>2</v>
      </c>
      <c r="I201" t="n">
        <v>0</v>
      </c>
      <c r="J201" t="n">
        <v>1</v>
      </c>
      <c r="K201" t="n">
        <v>0</v>
      </c>
      <c r="L201" t="n">
        <v>0</v>
      </c>
      <c r="M201" t="n">
        <v>0</v>
      </c>
      <c r="N201" t="n">
        <v>0</v>
      </c>
      <c r="O201" t="n">
        <v>1</v>
      </c>
      <c r="P201" t="n">
        <v>0</v>
      </c>
      <c r="Q201" t="n">
        <v>2</v>
      </c>
      <c r="R201" s="2" t="inlineStr">
        <is>
          <t>Tretåig hackspett
Fläcknycklar</t>
        </is>
      </c>
      <c r="S201">
        <f>HYPERLINK("https://klasma.github.io/Logging_2309/artfynd/A 7575-2024 artfynd.xlsx", "A 7575-2024")</f>
        <v/>
      </c>
      <c r="T201">
        <f>HYPERLINK("https://klasma.github.io/Logging_2309/kartor/A 7575-2024 karta.png", "A 7575-2024")</f>
        <v/>
      </c>
      <c r="V201">
        <f>HYPERLINK("https://klasma.github.io/Logging_2309/klagomål/A 7575-2024 FSC-klagomål.docx", "A 7575-2024")</f>
        <v/>
      </c>
      <c r="W201">
        <f>HYPERLINK("https://klasma.github.io/Logging_2309/klagomålsmail/A 7575-2024 FSC-klagomål mail.docx", "A 7575-2024")</f>
        <v/>
      </c>
      <c r="X201">
        <f>HYPERLINK("https://klasma.github.io/Logging_2309/tillsyn/A 7575-2024 tillsynsbegäran.docx", "A 7575-2024")</f>
        <v/>
      </c>
      <c r="Y201">
        <f>HYPERLINK("https://klasma.github.io/Logging_2309/tillsynsmail/A 7575-2024 tillsynsbegäran mail.docx", "A 7575-2024")</f>
        <v/>
      </c>
      <c r="Z201">
        <f>HYPERLINK("https://klasma.github.io/Logging_2309/fåglar/A 7575-2024 prioriterade fågelarter.docx", "A 7575-2024")</f>
        <v/>
      </c>
    </row>
    <row r="202" ht="15" customHeight="1">
      <c r="A202" t="inlineStr">
        <is>
          <t>A 11984-2024</t>
        </is>
      </c>
      <c r="B202" s="1" t="n">
        <v>45376</v>
      </c>
      <c r="C202" s="1" t="n">
        <v>45627</v>
      </c>
      <c r="D202" t="inlineStr">
        <is>
          <t>JÄMTLANDS LÄN</t>
        </is>
      </c>
      <c r="E202" t="inlineStr">
        <is>
          <t>KROKOM</t>
        </is>
      </c>
      <c r="F202" t="inlineStr">
        <is>
          <t>SCA</t>
        </is>
      </c>
      <c r="G202" t="n">
        <v>11.8</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11984-2024 artfynd.xlsx", "A 11984-2024")</f>
        <v/>
      </c>
      <c r="T202">
        <f>HYPERLINK("https://klasma.github.io/Logging_2309/kartor/A 11984-2024 karta.png", "A 11984-2024")</f>
        <v/>
      </c>
      <c r="V202">
        <f>HYPERLINK("https://klasma.github.io/Logging_2309/klagomål/A 11984-2024 FSC-klagomål.docx", "A 11984-2024")</f>
        <v/>
      </c>
      <c r="W202">
        <f>HYPERLINK("https://klasma.github.io/Logging_2309/klagomålsmail/A 11984-2024 FSC-klagomål mail.docx", "A 11984-2024")</f>
        <v/>
      </c>
      <c r="X202">
        <f>HYPERLINK("https://klasma.github.io/Logging_2309/tillsyn/A 11984-2024 tillsynsbegäran.docx", "A 11984-2024")</f>
        <v/>
      </c>
      <c r="Y202">
        <f>HYPERLINK("https://klasma.github.io/Logging_2309/tillsynsmail/A 11984-2024 tillsynsbegäran mail.docx", "A 11984-2024")</f>
        <v/>
      </c>
    </row>
    <row r="203" ht="15" customHeight="1">
      <c r="A203" t="inlineStr">
        <is>
          <t>A 23020-2024</t>
        </is>
      </c>
      <c r="B203" s="1" t="n">
        <v>45450</v>
      </c>
      <c r="C203" s="1" t="n">
        <v>45627</v>
      </c>
      <c r="D203" t="inlineStr">
        <is>
          <t>JÄMTLANDS LÄN</t>
        </is>
      </c>
      <c r="E203" t="inlineStr">
        <is>
          <t>KROKOM</t>
        </is>
      </c>
      <c r="G203" t="n">
        <v>6.5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23020-2024 artfynd.xlsx", "A 23020-2024")</f>
        <v/>
      </c>
      <c r="T203">
        <f>HYPERLINK("https://klasma.github.io/Logging_2309/kartor/A 23020-2024 karta.png", "A 23020-2024")</f>
        <v/>
      </c>
      <c r="V203">
        <f>HYPERLINK("https://klasma.github.io/Logging_2309/klagomål/A 23020-2024 FSC-klagomål.docx", "A 23020-2024")</f>
        <v/>
      </c>
      <c r="W203">
        <f>HYPERLINK("https://klasma.github.io/Logging_2309/klagomålsmail/A 23020-2024 FSC-klagomål mail.docx", "A 23020-2024")</f>
        <v/>
      </c>
      <c r="X203">
        <f>HYPERLINK("https://klasma.github.io/Logging_2309/tillsyn/A 23020-2024 tillsynsbegäran.docx", "A 23020-2024")</f>
        <v/>
      </c>
      <c r="Y203">
        <f>HYPERLINK("https://klasma.github.io/Logging_2309/tillsynsmail/A 23020-2024 tillsynsbegäran mail.docx", "A 23020-2024")</f>
        <v/>
      </c>
      <c r="Z203">
        <f>HYPERLINK("https://klasma.github.io/Logging_2309/fåglar/A 23020-2024 prioriterade fågelarter.docx", "A 23020-2024")</f>
        <v/>
      </c>
    </row>
    <row r="204" ht="15" customHeight="1">
      <c r="A204" t="inlineStr">
        <is>
          <t>A 27594-2024</t>
        </is>
      </c>
      <c r="B204" s="1" t="n">
        <v>45474</v>
      </c>
      <c r="C204" s="1" t="n">
        <v>45627</v>
      </c>
      <c r="D204" t="inlineStr">
        <is>
          <t>JÄMTLANDS LÄN</t>
        </is>
      </c>
      <c r="E204" t="inlineStr">
        <is>
          <t>KROKOM</t>
        </is>
      </c>
      <c r="G204" t="n">
        <v>4.9</v>
      </c>
      <c r="H204" t="n">
        <v>0</v>
      </c>
      <c r="I204" t="n">
        <v>0</v>
      </c>
      <c r="J204" t="n">
        <v>1</v>
      </c>
      <c r="K204" t="n">
        <v>1</v>
      </c>
      <c r="L204" t="n">
        <v>0</v>
      </c>
      <c r="M204" t="n">
        <v>0</v>
      </c>
      <c r="N204" t="n">
        <v>0</v>
      </c>
      <c r="O204" t="n">
        <v>2</v>
      </c>
      <c r="P204" t="n">
        <v>1</v>
      </c>
      <c r="Q204" t="n">
        <v>2</v>
      </c>
      <c r="R204" s="2" t="inlineStr">
        <is>
          <t>Siljansspindling
Persiljespindling</t>
        </is>
      </c>
      <c r="S204">
        <f>HYPERLINK("https://klasma.github.io/Logging_2309/artfynd/A 27594-2024 artfynd.xlsx", "A 27594-2024")</f>
        <v/>
      </c>
      <c r="T204">
        <f>HYPERLINK("https://klasma.github.io/Logging_2309/kartor/A 27594-2024 karta.png", "A 27594-2024")</f>
        <v/>
      </c>
      <c r="V204">
        <f>HYPERLINK("https://klasma.github.io/Logging_2309/klagomål/A 27594-2024 FSC-klagomål.docx", "A 27594-2024")</f>
        <v/>
      </c>
      <c r="W204">
        <f>HYPERLINK("https://klasma.github.io/Logging_2309/klagomålsmail/A 27594-2024 FSC-klagomål mail.docx", "A 27594-2024")</f>
        <v/>
      </c>
      <c r="X204">
        <f>HYPERLINK("https://klasma.github.io/Logging_2309/tillsyn/A 27594-2024 tillsynsbegäran.docx", "A 27594-2024")</f>
        <v/>
      </c>
      <c r="Y204">
        <f>HYPERLINK("https://klasma.github.io/Logging_2309/tillsynsmail/A 27594-2024 tillsynsbegäran mail.docx", "A 27594-2024")</f>
        <v/>
      </c>
    </row>
    <row r="205" ht="15" customHeight="1">
      <c r="A205" t="inlineStr">
        <is>
          <t>A 38630-2024</t>
        </is>
      </c>
      <c r="B205" s="1" t="n">
        <v>45546</v>
      </c>
      <c r="C205" s="1" t="n">
        <v>45627</v>
      </c>
      <c r="D205" t="inlineStr">
        <is>
          <t>JÄMTLANDS LÄN</t>
        </is>
      </c>
      <c r="E205" t="inlineStr">
        <is>
          <t>KROKOM</t>
        </is>
      </c>
      <c r="F205" t="inlineStr">
        <is>
          <t>SCA</t>
        </is>
      </c>
      <c r="G205" t="n">
        <v>19</v>
      </c>
      <c r="H205" t="n">
        <v>2</v>
      </c>
      <c r="I205" t="n">
        <v>0</v>
      </c>
      <c r="J205" t="n">
        <v>2</v>
      </c>
      <c r="K205" t="n">
        <v>0</v>
      </c>
      <c r="L205" t="n">
        <v>0</v>
      </c>
      <c r="M205" t="n">
        <v>0</v>
      </c>
      <c r="N205" t="n">
        <v>0</v>
      </c>
      <c r="O205" t="n">
        <v>2</v>
      </c>
      <c r="P205" t="n">
        <v>0</v>
      </c>
      <c r="Q205" t="n">
        <v>2</v>
      </c>
      <c r="R205" s="2" t="inlineStr">
        <is>
          <t>Talltita
Tretåig hackspett</t>
        </is>
      </c>
      <c r="S205">
        <f>HYPERLINK("https://klasma.github.io/Logging_2309/artfynd/A 38630-2024 artfynd.xlsx", "A 38630-2024")</f>
        <v/>
      </c>
      <c r="T205">
        <f>HYPERLINK("https://klasma.github.io/Logging_2309/kartor/A 38630-2024 karta.png", "A 38630-2024")</f>
        <v/>
      </c>
      <c r="V205">
        <f>HYPERLINK("https://klasma.github.io/Logging_2309/klagomål/A 38630-2024 FSC-klagomål.docx", "A 38630-2024")</f>
        <v/>
      </c>
      <c r="W205">
        <f>HYPERLINK("https://klasma.github.io/Logging_2309/klagomålsmail/A 38630-2024 FSC-klagomål mail.docx", "A 38630-2024")</f>
        <v/>
      </c>
      <c r="X205">
        <f>HYPERLINK("https://klasma.github.io/Logging_2309/tillsyn/A 38630-2024 tillsynsbegäran.docx", "A 38630-2024")</f>
        <v/>
      </c>
      <c r="Y205">
        <f>HYPERLINK("https://klasma.github.io/Logging_2309/tillsynsmail/A 38630-2024 tillsynsbegäran mail.docx", "A 38630-2024")</f>
        <v/>
      </c>
      <c r="Z205">
        <f>HYPERLINK("https://klasma.github.io/Logging_2309/fåglar/A 38630-2024 prioriterade fågelarter.docx", "A 38630-2024")</f>
        <v/>
      </c>
    </row>
    <row r="206" ht="15" customHeight="1">
      <c r="A206" t="inlineStr">
        <is>
          <t>A 40236-2024</t>
        </is>
      </c>
      <c r="B206" s="1" t="n">
        <v>45554</v>
      </c>
      <c r="C206" s="1" t="n">
        <v>45627</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30819-2019</t>
        </is>
      </c>
      <c r="B207" s="1" t="n">
        <v>43636</v>
      </c>
      <c r="C207" s="1" t="n">
        <v>45627</v>
      </c>
      <c r="D207" t="inlineStr">
        <is>
          <t>JÄMTLANDS LÄN</t>
        </is>
      </c>
      <c r="E207" t="inlineStr">
        <is>
          <t>KROKOM</t>
        </is>
      </c>
      <c r="G207" t="n">
        <v>18.8</v>
      </c>
      <c r="H207" t="n">
        <v>0</v>
      </c>
      <c r="I207" t="n">
        <v>1</v>
      </c>
      <c r="J207" t="n">
        <v>0</v>
      </c>
      <c r="K207" t="n">
        <v>0</v>
      </c>
      <c r="L207" t="n">
        <v>0</v>
      </c>
      <c r="M207" t="n">
        <v>0</v>
      </c>
      <c r="N207" t="n">
        <v>0</v>
      </c>
      <c r="O207" t="n">
        <v>0</v>
      </c>
      <c r="P207" t="n">
        <v>0</v>
      </c>
      <c r="Q207" t="n">
        <v>1</v>
      </c>
      <c r="R207" s="2" t="inlineStr">
        <is>
          <t>Ögonpyrola</t>
        </is>
      </c>
      <c r="S207">
        <f>HYPERLINK("https://klasma.github.io/Logging_2309/artfynd/A 30819-2019 artfynd.xlsx", "A 30819-2019")</f>
        <v/>
      </c>
      <c r="T207">
        <f>HYPERLINK("https://klasma.github.io/Logging_2309/kartor/A 30819-2019 karta.png", "A 30819-2019")</f>
        <v/>
      </c>
      <c r="V207">
        <f>HYPERLINK("https://klasma.github.io/Logging_2309/klagomål/A 30819-2019 FSC-klagomål.docx", "A 30819-2019")</f>
        <v/>
      </c>
      <c r="W207">
        <f>HYPERLINK("https://klasma.github.io/Logging_2309/klagomålsmail/A 30819-2019 FSC-klagomål mail.docx", "A 30819-2019")</f>
        <v/>
      </c>
      <c r="X207">
        <f>HYPERLINK("https://klasma.github.io/Logging_2309/tillsyn/A 30819-2019 tillsynsbegäran.docx", "A 30819-2019")</f>
        <v/>
      </c>
      <c r="Y207">
        <f>HYPERLINK("https://klasma.github.io/Logging_2309/tillsynsmail/A 30819-2019 tillsynsbegäran mail.docx", "A 30819-2019")</f>
        <v/>
      </c>
    </row>
    <row r="208" ht="15" customHeight="1">
      <c r="A208" t="inlineStr">
        <is>
          <t>A 31910-2019</t>
        </is>
      </c>
      <c r="B208" s="1" t="n">
        <v>43642</v>
      </c>
      <c r="C208" s="1" t="n">
        <v>45627</v>
      </c>
      <c r="D208" t="inlineStr">
        <is>
          <t>JÄMTLANDS LÄN</t>
        </is>
      </c>
      <c r="E208" t="inlineStr">
        <is>
          <t>KROKOM</t>
        </is>
      </c>
      <c r="G208" t="n">
        <v>5</v>
      </c>
      <c r="H208" t="n">
        <v>0</v>
      </c>
      <c r="I208" t="n">
        <v>0</v>
      </c>
      <c r="J208" t="n">
        <v>1</v>
      </c>
      <c r="K208" t="n">
        <v>0</v>
      </c>
      <c r="L208" t="n">
        <v>0</v>
      </c>
      <c r="M208" t="n">
        <v>0</v>
      </c>
      <c r="N208" t="n">
        <v>0</v>
      </c>
      <c r="O208" t="n">
        <v>1</v>
      </c>
      <c r="P208" t="n">
        <v>0</v>
      </c>
      <c r="Q208" t="n">
        <v>1</v>
      </c>
      <c r="R208" s="2" t="inlineStr">
        <is>
          <t>Lunglav</t>
        </is>
      </c>
      <c r="S208">
        <f>HYPERLINK("https://klasma.github.io/Logging_2309/artfynd/A 31910-2019 artfynd.xlsx", "A 31910-2019")</f>
        <v/>
      </c>
      <c r="T208">
        <f>HYPERLINK("https://klasma.github.io/Logging_2309/kartor/A 31910-2019 karta.png", "A 31910-2019")</f>
        <v/>
      </c>
      <c r="V208">
        <f>HYPERLINK("https://klasma.github.io/Logging_2309/klagomål/A 31910-2019 FSC-klagomål.docx", "A 31910-2019")</f>
        <v/>
      </c>
      <c r="W208">
        <f>HYPERLINK("https://klasma.github.io/Logging_2309/klagomålsmail/A 31910-2019 FSC-klagomål mail.docx", "A 31910-2019")</f>
        <v/>
      </c>
      <c r="X208">
        <f>HYPERLINK("https://klasma.github.io/Logging_2309/tillsyn/A 31910-2019 tillsynsbegäran.docx", "A 31910-2019")</f>
        <v/>
      </c>
      <c r="Y208">
        <f>HYPERLINK("https://klasma.github.io/Logging_2309/tillsynsmail/A 31910-2019 tillsynsbegäran mail.docx", "A 31910-2019")</f>
        <v/>
      </c>
    </row>
    <row r="209" ht="15" customHeight="1">
      <c r="A209" t="inlineStr">
        <is>
          <t>A 42629-2019</t>
        </is>
      </c>
      <c r="B209" s="1" t="n">
        <v>43704</v>
      </c>
      <c r="C209" s="1" t="n">
        <v>45627</v>
      </c>
      <c r="D209" t="inlineStr">
        <is>
          <t>JÄMTLANDS LÄN</t>
        </is>
      </c>
      <c r="E209" t="inlineStr">
        <is>
          <t>KROKOM</t>
        </is>
      </c>
      <c r="G209" t="n">
        <v>7.5</v>
      </c>
      <c r="H209" t="n">
        <v>0</v>
      </c>
      <c r="I209" t="n">
        <v>0</v>
      </c>
      <c r="J209" t="n">
        <v>1</v>
      </c>
      <c r="K209" t="n">
        <v>0</v>
      </c>
      <c r="L209" t="n">
        <v>0</v>
      </c>
      <c r="M209" t="n">
        <v>0</v>
      </c>
      <c r="N209" t="n">
        <v>0</v>
      </c>
      <c r="O209" t="n">
        <v>1</v>
      </c>
      <c r="P209" t="n">
        <v>0</v>
      </c>
      <c r="Q209" t="n">
        <v>1</v>
      </c>
      <c r="R209" s="2" t="inlineStr">
        <is>
          <t>Brunklöver</t>
        </is>
      </c>
      <c r="S209">
        <f>HYPERLINK("https://klasma.github.io/Logging_2309/artfynd/A 42629-2019 artfynd.xlsx", "A 42629-2019")</f>
        <v/>
      </c>
      <c r="T209">
        <f>HYPERLINK("https://klasma.github.io/Logging_2309/kartor/A 42629-2019 karta.png", "A 42629-2019")</f>
        <v/>
      </c>
      <c r="V209">
        <f>HYPERLINK("https://klasma.github.io/Logging_2309/klagomål/A 42629-2019 FSC-klagomål.docx", "A 42629-2019")</f>
        <v/>
      </c>
      <c r="W209">
        <f>HYPERLINK("https://klasma.github.io/Logging_2309/klagomålsmail/A 42629-2019 FSC-klagomål mail.docx", "A 42629-2019")</f>
        <v/>
      </c>
      <c r="X209">
        <f>HYPERLINK("https://klasma.github.io/Logging_2309/tillsyn/A 42629-2019 tillsynsbegäran.docx", "A 42629-2019")</f>
        <v/>
      </c>
      <c r="Y209">
        <f>HYPERLINK("https://klasma.github.io/Logging_2309/tillsynsmail/A 42629-2019 tillsynsbegäran mail.docx", "A 42629-2019")</f>
        <v/>
      </c>
    </row>
    <row r="210" ht="15" customHeight="1">
      <c r="A210" t="inlineStr">
        <is>
          <t>A 50132-2019</t>
        </is>
      </c>
      <c r="B210" s="1" t="n">
        <v>43734</v>
      </c>
      <c r="C210" s="1" t="n">
        <v>45627</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Vitgrynig nållav</t>
        </is>
      </c>
      <c r="S210">
        <f>HYPERLINK("https://klasma.github.io/Logging_2309/artfynd/A 50132-2019 artfynd.xlsx", "A 50132-2019")</f>
        <v/>
      </c>
      <c r="T210">
        <f>HYPERLINK("https://klasma.github.io/Logging_2309/kartor/A 50132-2019 karta.png", "A 50132-2019")</f>
        <v/>
      </c>
      <c r="V210">
        <f>HYPERLINK("https://klasma.github.io/Logging_2309/klagomål/A 50132-2019 FSC-klagomål.docx", "A 50132-2019")</f>
        <v/>
      </c>
      <c r="W210">
        <f>HYPERLINK("https://klasma.github.io/Logging_2309/klagomålsmail/A 50132-2019 FSC-klagomål mail.docx", "A 50132-2019")</f>
        <v/>
      </c>
      <c r="X210">
        <f>HYPERLINK("https://klasma.github.io/Logging_2309/tillsyn/A 50132-2019 tillsynsbegäran.docx", "A 50132-2019")</f>
        <v/>
      </c>
      <c r="Y210">
        <f>HYPERLINK("https://klasma.github.io/Logging_2309/tillsynsmail/A 50132-2019 tillsynsbegäran mail.docx", "A 50132-2019")</f>
        <v/>
      </c>
    </row>
    <row r="211" ht="15" customHeight="1">
      <c r="A211" t="inlineStr">
        <is>
          <t>A 52462-2019</t>
        </is>
      </c>
      <c r="B211" s="1" t="n">
        <v>43735</v>
      </c>
      <c r="C211" s="1" t="n">
        <v>45627</v>
      </c>
      <c r="D211" t="inlineStr">
        <is>
          <t>JÄMTLANDS LÄN</t>
        </is>
      </c>
      <c r="E211" t="inlineStr">
        <is>
          <t>KROKOM</t>
        </is>
      </c>
      <c r="G211" t="n">
        <v>2.4</v>
      </c>
      <c r="H211" t="n">
        <v>1</v>
      </c>
      <c r="I211" t="n">
        <v>0</v>
      </c>
      <c r="J211" t="n">
        <v>0</v>
      </c>
      <c r="K211" t="n">
        <v>0</v>
      </c>
      <c r="L211" t="n">
        <v>0</v>
      </c>
      <c r="M211" t="n">
        <v>0</v>
      </c>
      <c r="N211" t="n">
        <v>0</v>
      </c>
      <c r="O211" t="n">
        <v>0</v>
      </c>
      <c r="P211" t="n">
        <v>0</v>
      </c>
      <c r="Q211" t="n">
        <v>1</v>
      </c>
      <c r="R211" s="2" t="inlineStr">
        <is>
          <t>Hökuggla</t>
        </is>
      </c>
      <c r="S211">
        <f>HYPERLINK("https://klasma.github.io/Logging_2309/artfynd/A 52462-2019 artfynd.xlsx", "A 52462-2019")</f>
        <v/>
      </c>
      <c r="T211">
        <f>HYPERLINK("https://klasma.github.io/Logging_2309/kartor/A 52462-2019 karta.png", "A 52462-2019")</f>
        <v/>
      </c>
      <c r="V211">
        <f>HYPERLINK("https://klasma.github.io/Logging_2309/klagomål/A 52462-2019 FSC-klagomål.docx", "A 52462-2019")</f>
        <v/>
      </c>
      <c r="W211">
        <f>HYPERLINK("https://klasma.github.io/Logging_2309/klagomålsmail/A 52462-2019 FSC-klagomål mail.docx", "A 52462-2019")</f>
        <v/>
      </c>
      <c r="X211">
        <f>HYPERLINK("https://klasma.github.io/Logging_2309/tillsyn/A 52462-2019 tillsynsbegäran.docx", "A 52462-2019")</f>
        <v/>
      </c>
      <c r="Y211">
        <f>HYPERLINK("https://klasma.github.io/Logging_2309/tillsynsmail/A 52462-2019 tillsynsbegäran mail.docx", "A 52462-2019")</f>
        <v/>
      </c>
      <c r="Z211">
        <f>HYPERLINK("https://klasma.github.io/Logging_2309/fåglar/A 52462-2019 prioriterade fågelarter.docx", "A 52462-2019")</f>
        <v/>
      </c>
    </row>
    <row r="212" ht="15" customHeight="1">
      <c r="A212" t="inlineStr">
        <is>
          <t>A 61347-2019</t>
        </is>
      </c>
      <c r="B212" s="1" t="n">
        <v>43783</v>
      </c>
      <c r="C212" s="1" t="n">
        <v>45627</v>
      </c>
      <c r="D212" t="inlineStr">
        <is>
          <t>JÄMTLANDS LÄN</t>
        </is>
      </c>
      <c r="E212" t="inlineStr">
        <is>
          <t>KROKOM</t>
        </is>
      </c>
      <c r="F212" t="inlineStr">
        <is>
          <t>Allmännings- och besparingsskogar</t>
        </is>
      </c>
      <c r="G212" t="n">
        <v>20.7</v>
      </c>
      <c r="H212" t="n">
        <v>1</v>
      </c>
      <c r="I212" t="n">
        <v>0</v>
      </c>
      <c r="J212" t="n">
        <v>0</v>
      </c>
      <c r="K212" t="n">
        <v>1</v>
      </c>
      <c r="L212" t="n">
        <v>0</v>
      </c>
      <c r="M212" t="n">
        <v>0</v>
      </c>
      <c r="N212" t="n">
        <v>0</v>
      </c>
      <c r="O212" t="n">
        <v>1</v>
      </c>
      <c r="P212" t="n">
        <v>1</v>
      </c>
      <c r="Q212" t="n">
        <v>1</v>
      </c>
      <c r="R212" s="2" t="inlineStr">
        <is>
          <t>Knärot</t>
        </is>
      </c>
      <c r="S212">
        <f>HYPERLINK("https://klasma.github.io/Logging_2309/artfynd/A 61347-2019 artfynd.xlsx", "A 61347-2019")</f>
        <v/>
      </c>
      <c r="T212">
        <f>HYPERLINK("https://klasma.github.io/Logging_2309/kartor/A 61347-2019 karta.png", "A 61347-2019")</f>
        <v/>
      </c>
      <c r="U212">
        <f>HYPERLINK("https://klasma.github.io/Logging_2309/knärot/A 61347-2019 karta knärot.png", "A 61347-2019")</f>
        <v/>
      </c>
      <c r="V212">
        <f>HYPERLINK("https://klasma.github.io/Logging_2309/klagomål/A 61347-2019 FSC-klagomål.docx", "A 61347-2019")</f>
        <v/>
      </c>
      <c r="W212">
        <f>HYPERLINK("https://klasma.github.io/Logging_2309/klagomålsmail/A 61347-2019 FSC-klagomål mail.docx", "A 61347-2019")</f>
        <v/>
      </c>
      <c r="X212">
        <f>HYPERLINK("https://klasma.github.io/Logging_2309/tillsyn/A 61347-2019 tillsynsbegäran.docx", "A 61347-2019")</f>
        <v/>
      </c>
      <c r="Y212">
        <f>HYPERLINK("https://klasma.github.io/Logging_2309/tillsynsmail/A 61347-2019 tillsynsbegäran mail.docx", "A 61347-2019")</f>
        <v/>
      </c>
    </row>
    <row r="213" ht="15" customHeight="1">
      <c r="A213" t="inlineStr">
        <is>
          <t>A 67827-2019</t>
        </is>
      </c>
      <c r="B213" s="1" t="n">
        <v>43815</v>
      </c>
      <c r="C213" s="1" t="n">
        <v>45627</v>
      </c>
      <c r="D213" t="inlineStr">
        <is>
          <t>JÄMTLANDS LÄN</t>
        </is>
      </c>
      <c r="E213" t="inlineStr">
        <is>
          <t>KROKOM</t>
        </is>
      </c>
      <c r="F213" t="inlineStr">
        <is>
          <t>SCA</t>
        </is>
      </c>
      <c r="G213" t="n">
        <v>2.9</v>
      </c>
      <c r="H213" t="n">
        <v>0</v>
      </c>
      <c r="I213" t="n">
        <v>0</v>
      </c>
      <c r="J213" t="n">
        <v>1</v>
      </c>
      <c r="K213" t="n">
        <v>0</v>
      </c>
      <c r="L213" t="n">
        <v>0</v>
      </c>
      <c r="M213" t="n">
        <v>0</v>
      </c>
      <c r="N213" t="n">
        <v>0</v>
      </c>
      <c r="O213" t="n">
        <v>1</v>
      </c>
      <c r="P213" t="n">
        <v>0</v>
      </c>
      <c r="Q213" t="n">
        <v>1</v>
      </c>
      <c r="R213" s="2" t="inlineStr">
        <is>
          <t>Garnlav</t>
        </is>
      </c>
      <c r="S213">
        <f>HYPERLINK("https://klasma.github.io/Logging_2309/artfynd/A 67827-2019 artfynd.xlsx", "A 67827-2019")</f>
        <v/>
      </c>
      <c r="T213">
        <f>HYPERLINK("https://klasma.github.io/Logging_2309/kartor/A 67827-2019 karta.png", "A 67827-2019")</f>
        <v/>
      </c>
      <c r="V213">
        <f>HYPERLINK("https://klasma.github.io/Logging_2309/klagomål/A 67827-2019 FSC-klagomål.docx", "A 67827-2019")</f>
        <v/>
      </c>
      <c r="W213">
        <f>HYPERLINK("https://klasma.github.io/Logging_2309/klagomålsmail/A 67827-2019 FSC-klagomål mail.docx", "A 67827-2019")</f>
        <v/>
      </c>
      <c r="X213">
        <f>HYPERLINK("https://klasma.github.io/Logging_2309/tillsyn/A 67827-2019 tillsynsbegäran.docx", "A 67827-2019")</f>
        <v/>
      </c>
      <c r="Y213">
        <f>HYPERLINK("https://klasma.github.io/Logging_2309/tillsynsmail/A 67827-2019 tillsynsbegäran mail.docx", "A 67827-2019")</f>
        <v/>
      </c>
    </row>
    <row r="214" ht="15" customHeight="1">
      <c r="A214" t="inlineStr">
        <is>
          <t>A 4626-2020</t>
        </is>
      </c>
      <c r="B214" s="1" t="n">
        <v>43858</v>
      </c>
      <c r="C214" s="1" t="n">
        <v>45627</v>
      </c>
      <c r="D214" t="inlineStr">
        <is>
          <t>JÄMTLANDS LÄN</t>
        </is>
      </c>
      <c r="E214" t="inlineStr">
        <is>
          <t>KROKOM</t>
        </is>
      </c>
      <c r="G214" t="n">
        <v>12.2</v>
      </c>
      <c r="H214" t="n">
        <v>0</v>
      </c>
      <c r="I214" t="n">
        <v>0</v>
      </c>
      <c r="J214" t="n">
        <v>1</v>
      </c>
      <c r="K214" t="n">
        <v>0</v>
      </c>
      <c r="L214" t="n">
        <v>0</v>
      </c>
      <c r="M214" t="n">
        <v>0</v>
      </c>
      <c r="N214" t="n">
        <v>0</v>
      </c>
      <c r="O214" t="n">
        <v>1</v>
      </c>
      <c r="P214" t="n">
        <v>0</v>
      </c>
      <c r="Q214" t="n">
        <v>1</v>
      </c>
      <c r="R214" s="2" t="inlineStr">
        <is>
          <t>Gränsticka</t>
        </is>
      </c>
      <c r="S214">
        <f>HYPERLINK("https://klasma.github.io/Logging_2309/artfynd/A 4626-2020 artfynd.xlsx", "A 4626-2020")</f>
        <v/>
      </c>
      <c r="T214">
        <f>HYPERLINK("https://klasma.github.io/Logging_2309/kartor/A 4626-2020 karta.png", "A 4626-2020")</f>
        <v/>
      </c>
      <c r="V214">
        <f>HYPERLINK("https://klasma.github.io/Logging_2309/klagomål/A 4626-2020 FSC-klagomål.docx", "A 4626-2020")</f>
        <v/>
      </c>
      <c r="W214">
        <f>HYPERLINK("https://klasma.github.io/Logging_2309/klagomålsmail/A 4626-2020 FSC-klagomål mail.docx", "A 4626-2020")</f>
        <v/>
      </c>
      <c r="X214">
        <f>HYPERLINK("https://klasma.github.io/Logging_2309/tillsyn/A 4626-2020 tillsynsbegäran.docx", "A 4626-2020")</f>
        <v/>
      </c>
      <c r="Y214">
        <f>HYPERLINK("https://klasma.github.io/Logging_2309/tillsynsmail/A 4626-2020 tillsynsbegäran mail.docx", "A 4626-2020")</f>
        <v/>
      </c>
    </row>
    <row r="215" ht="15" customHeight="1">
      <c r="A215" t="inlineStr">
        <is>
          <t>A 7950-2020</t>
        </is>
      </c>
      <c r="B215" s="1" t="n">
        <v>43873</v>
      </c>
      <c r="C215" s="1" t="n">
        <v>45627</v>
      </c>
      <c r="D215" t="inlineStr">
        <is>
          <t>JÄMTLANDS LÄN</t>
        </is>
      </c>
      <c r="E215" t="inlineStr">
        <is>
          <t>KROKOM</t>
        </is>
      </c>
      <c r="G215" t="n">
        <v>0.2</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7950-2020 artfynd.xlsx", "A 7950-2020")</f>
        <v/>
      </c>
      <c r="T215">
        <f>HYPERLINK("https://klasma.github.io/Logging_2309/kartor/A 7950-2020 karta.png", "A 7950-2020")</f>
        <v/>
      </c>
      <c r="V215">
        <f>HYPERLINK("https://klasma.github.io/Logging_2309/klagomål/A 7950-2020 FSC-klagomål.docx", "A 7950-2020")</f>
        <v/>
      </c>
      <c r="W215">
        <f>HYPERLINK("https://klasma.github.io/Logging_2309/klagomålsmail/A 7950-2020 FSC-klagomål mail.docx", "A 7950-2020")</f>
        <v/>
      </c>
      <c r="X215">
        <f>HYPERLINK("https://klasma.github.io/Logging_2309/tillsyn/A 7950-2020 tillsynsbegäran.docx", "A 7950-2020")</f>
        <v/>
      </c>
      <c r="Y215">
        <f>HYPERLINK("https://klasma.github.io/Logging_2309/tillsynsmail/A 7950-2020 tillsynsbegäran mail.docx", "A 7950-2020")</f>
        <v/>
      </c>
    </row>
    <row r="216" ht="15" customHeight="1">
      <c r="A216" t="inlineStr">
        <is>
          <t>A 8934-2020</t>
        </is>
      </c>
      <c r="B216" s="1" t="n">
        <v>43878</v>
      </c>
      <c r="C216" s="1" t="n">
        <v>45627</v>
      </c>
      <c r="D216" t="inlineStr">
        <is>
          <t>JÄMTLANDS LÄN</t>
        </is>
      </c>
      <c r="E216" t="inlineStr">
        <is>
          <t>KROKOM</t>
        </is>
      </c>
      <c r="F216" t="inlineStr">
        <is>
          <t>SCA</t>
        </is>
      </c>
      <c r="G216" t="n">
        <v>2.5</v>
      </c>
      <c r="H216" t="n">
        <v>0</v>
      </c>
      <c r="I216" t="n">
        <v>0</v>
      </c>
      <c r="J216" t="n">
        <v>1</v>
      </c>
      <c r="K216" t="n">
        <v>0</v>
      </c>
      <c r="L216" t="n">
        <v>0</v>
      </c>
      <c r="M216" t="n">
        <v>0</v>
      </c>
      <c r="N216" t="n">
        <v>0</v>
      </c>
      <c r="O216" t="n">
        <v>1</v>
      </c>
      <c r="P216" t="n">
        <v>0</v>
      </c>
      <c r="Q216" t="n">
        <v>1</v>
      </c>
      <c r="R216" s="2" t="inlineStr">
        <is>
          <t>Doftskinn</t>
        </is>
      </c>
      <c r="S216">
        <f>HYPERLINK("https://klasma.github.io/Logging_2309/artfynd/A 8934-2020 artfynd.xlsx", "A 8934-2020")</f>
        <v/>
      </c>
      <c r="T216">
        <f>HYPERLINK("https://klasma.github.io/Logging_2309/kartor/A 8934-2020 karta.png", "A 8934-2020")</f>
        <v/>
      </c>
      <c r="V216">
        <f>HYPERLINK("https://klasma.github.io/Logging_2309/klagomål/A 8934-2020 FSC-klagomål.docx", "A 8934-2020")</f>
        <v/>
      </c>
      <c r="W216">
        <f>HYPERLINK("https://klasma.github.io/Logging_2309/klagomålsmail/A 8934-2020 FSC-klagomål mail.docx", "A 8934-2020")</f>
        <v/>
      </c>
      <c r="X216">
        <f>HYPERLINK("https://klasma.github.io/Logging_2309/tillsyn/A 8934-2020 tillsynsbegäran.docx", "A 8934-2020")</f>
        <v/>
      </c>
      <c r="Y216">
        <f>HYPERLINK("https://klasma.github.io/Logging_2309/tillsynsmail/A 8934-2020 tillsynsbegäran mail.docx", "A 8934-2020")</f>
        <v/>
      </c>
    </row>
    <row r="217" ht="15" customHeight="1">
      <c r="A217" t="inlineStr">
        <is>
          <t>A 14281-2020</t>
        </is>
      </c>
      <c r="B217" s="1" t="n">
        <v>43907</v>
      </c>
      <c r="C217" s="1" t="n">
        <v>45627</v>
      </c>
      <c r="D217" t="inlineStr">
        <is>
          <t>JÄMTLANDS LÄN</t>
        </is>
      </c>
      <c r="E217" t="inlineStr">
        <is>
          <t>KROKOM</t>
        </is>
      </c>
      <c r="G217" t="n">
        <v>31.3</v>
      </c>
      <c r="H217" t="n">
        <v>1</v>
      </c>
      <c r="I217" t="n">
        <v>1</v>
      </c>
      <c r="J217" t="n">
        <v>0</v>
      </c>
      <c r="K217" t="n">
        <v>0</v>
      </c>
      <c r="L217" t="n">
        <v>0</v>
      </c>
      <c r="M217" t="n">
        <v>0</v>
      </c>
      <c r="N217" t="n">
        <v>0</v>
      </c>
      <c r="O217" t="n">
        <v>0</v>
      </c>
      <c r="P217" t="n">
        <v>0</v>
      </c>
      <c r="Q217" t="n">
        <v>1</v>
      </c>
      <c r="R217" s="2" t="inlineStr">
        <is>
          <t>Tvåblad</t>
        </is>
      </c>
      <c r="S217">
        <f>HYPERLINK("https://klasma.github.io/Logging_2309/artfynd/A 14281-2020 artfynd.xlsx", "A 14281-2020")</f>
        <v/>
      </c>
      <c r="T217">
        <f>HYPERLINK("https://klasma.github.io/Logging_2309/kartor/A 14281-2020 karta.png", "A 14281-2020")</f>
        <v/>
      </c>
      <c r="V217">
        <f>HYPERLINK("https://klasma.github.io/Logging_2309/klagomål/A 14281-2020 FSC-klagomål.docx", "A 14281-2020")</f>
        <v/>
      </c>
      <c r="W217">
        <f>HYPERLINK("https://klasma.github.io/Logging_2309/klagomålsmail/A 14281-2020 FSC-klagomål mail.docx", "A 14281-2020")</f>
        <v/>
      </c>
      <c r="X217">
        <f>HYPERLINK("https://klasma.github.io/Logging_2309/tillsyn/A 14281-2020 tillsynsbegäran.docx", "A 14281-2020")</f>
        <v/>
      </c>
      <c r="Y217">
        <f>HYPERLINK("https://klasma.github.io/Logging_2309/tillsynsmail/A 14281-2020 tillsynsbegäran mail.docx", "A 14281-2020")</f>
        <v/>
      </c>
    </row>
    <row r="218" ht="15" customHeight="1">
      <c r="A218" t="inlineStr">
        <is>
          <t>A 18776-2020</t>
        </is>
      </c>
      <c r="B218" s="1" t="n">
        <v>43930</v>
      </c>
      <c r="C218" s="1" t="n">
        <v>45627</v>
      </c>
      <c r="D218" t="inlineStr">
        <is>
          <t>JÄMTLANDS LÄN</t>
        </is>
      </c>
      <c r="E218" t="inlineStr">
        <is>
          <t>KROKOM</t>
        </is>
      </c>
      <c r="G218" t="n">
        <v>5.3</v>
      </c>
      <c r="H218" t="n">
        <v>1</v>
      </c>
      <c r="I218" t="n">
        <v>0</v>
      </c>
      <c r="J218" t="n">
        <v>0</v>
      </c>
      <c r="K218" t="n">
        <v>0</v>
      </c>
      <c r="L218" t="n">
        <v>1</v>
      </c>
      <c r="M218" t="n">
        <v>0</v>
      </c>
      <c r="N218" t="n">
        <v>0</v>
      </c>
      <c r="O218" t="n">
        <v>1</v>
      </c>
      <c r="P218" t="n">
        <v>1</v>
      </c>
      <c r="Q218" t="n">
        <v>1</v>
      </c>
      <c r="R218" s="2" t="inlineStr">
        <is>
          <t>Bredgentiana</t>
        </is>
      </c>
      <c r="S218">
        <f>HYPERLINK("https://klasma.github.io/Logging_2309/artfynd/A 18776-2020 artfynd.xlsx", "A 18776-2020")</f>
        <v/>
      </c>
      <c r="T218">
        <f>HYPERLINK("https://klasma.github.io/Logging_2309/kartor/A 18776-2020 karta.png", "A 18776-2020")</f>
        <v/>
      </c>
      <c r="V218">
        <f>HYPERLINK("https://klasma.github.io/Logging_2309/klagomål/A 18776-2020 FSC-klagomål.docx", "A 18776-2020")</f>
        <v/>
      </c>
      <c r="W218">
        <f>HYPERLINK("https://klasma.github.io/Logging_2309/klagomålsmail/A 18776-2020 FSC-klagomål mail.docx", "A 18776-2020")</f>
        <v/>
      </c>
      <c r="X218">
        <f>HYPERLINK("https://klasma.github.io/Logging_2309/tillsyn/A 18776-2020 tillsynsbegäran.docx", "A 18776-2020")</f>
        <v/>
      </c>
      <c r="Y218">
        <f>HYPERLINK("https://klasma.github.io/Logging_2309/tillsynsmail/A 18776-2020 tillsynsbegäran mail.docx", "A 18776-2020")</f>
        <v/>
      </c>
    </row>
    <row r="219" ht="15" customHeight="1">
      <c r="A219" t="inlineStr">
        <is>
          <t>A 19777-2020</t>
        </is>
      </c>
      <c r="B219" s="1" t="n">
        <v>43942</v>
      </c>
      <c r="C219" s="1" t="n">
        <v>45627</v>
      </c>
      <c r="D219" t="inlineStr">
        <is>
          <t>JÄMTLANDS LÄN</t>
        </is>
      </c>
      <c r="E219" t="inlineStr">
        <is>
          <t>KROKOM</t>
        </is>
      </c>
      <c r="F219" t="inlineStr">
        <is>
          <t>Kyrkan</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19777-2020 artfynd.xlsx", "A 19777-2020")</f>
        <v/>
      </c>
      <c r="T219">
        <f>HYPERLINK("https://klasma.github.io/Logging_2309/kartor/A 19777-2020 karta.png", "A 19777-2020")</f>
        <v/>
      </c>
      <c r="V219">
        <f>HYPERLINK("https://klasma.github.io/Logging_2309/klagomål/A 19777-2020 FSC-klagomål.docx", "A 19777-2020")</f>
        <v/>
      </c>
      <c r="W219">
        <f>HYPERLINK("https://klasma.github.io/Logging_2309/klagomålsmail/A 19777-2020 FSC-klagomål mail.docx", "A 19777-2020")</f>
        <v/>
      </c>
      <c r="X219">
        <f>HYPERLINK("https://klasma.github.io/Logging_2309/tillsyn/A 19777-2020 tillsynsbegäran.docx", "A 19777-2020")</f>
        <v/>
      </c>
      <c r="Y219">
        <f>HYPERLINK("https://klasma.github.io/Logging_2309/tillsynsmail/A 19777-2020 tillsynsbegäran mail.docx", "A 19777-2020")</f>
        <v/>
      </c>
      <c r="Z219">
        <f>HYPERLINK("https://klasma.github.io/Logging_2309/fåglar/A 19777-2020 prioriterade fågelarter.docx", "A 19777-2020")</f>
        <v/>
      </c>
    </row>
    <row r="220" ht="15" customHeight="1">
      <c r="A220" t="inlineStr">
        <is>
          <t>A 21547-2020</t>
        </is>
      </c>
      <c r="B220" s="1" t="n">
        <v>43956</v>
      </c>
      <c r="C220" s="1" t="n">
        <v>45627</v>
      </c>
      <c r="D220" t="inlineStr">
        <is>
          <t>JÄMTLANDS LÄN</t>
        </is>
      </c>
      <c r="E220" t="inlineStr">
        <is>
          <t>KROKOM</t>
        </is>
      </c>
      <c r="G220" t="n">
        <v>18.4</v>
      </c>
      <c r="H220" t="n">
        <v>0</v>
      </c>
      <c r="I220" t="n">
        <v>0</v>
      </c>
      <c r="J220" t="n">
        <v>1</v>
      </c>
      <c r="K220" t="n">
        <v>0</v>
      </c>
      <c r="L220" t="n">
        <v>0</v>
      </c>
      <c r="M220" t="n">
        <v>0</v>
      </c>
      <c r="N220" t="n">
        <v>0</v>
      </c>
      <c r="O220" t="n">
        <v>1</v>
      </c>
      <c r="P220" t="n">
        <v>0</v>
      </c>
      <c r="Q220" t="n">
        <v>1</v>
      </c>
      <c r="R220" s="2" t="inlineStr">
        <is>
          <t>Gränsticka</t>
        </is>
      </c>
      <c r="S220">
        <f>HYPERLINK("https://klasma.github.io/Logging_2309/artfynd/A 21547-2020 artfynd.xlsx", "A 21547-2020")</f>
        <v/>
      </c>
      <c r="T220">
        <f>HYPERLINK("https://klasma.github.io/Logging_2309/kartor/A 21547-2020 karta.png", "A 21547-2020")</f>
        <v/>
      </c>
      <c r="V220">
        <f>HYPERLINK("https://klasma.github.io/Logging_2309/klagomål/A 21547-2020 FSC-klagomål.docx", "A 21547-2020")</f>
        <v/>
      </c>
      <c r="W220">
        <f>HYPERLINK("https://klasma.github.io/Logging_2309/klagomålsmail/A 21547-2020 FSC-klagomål mail.docx", "A 21547-2020")</f>
        <v/>
      </c>
      <c r="X220">
        <f>HYPERLINK("https://klasma.github.io/Logging_2309/tillsyn/A 21547-2020 tillsynsbegäran.docx", "A 21547-2020")</f>
        <v/>
      </c>
      <c r="Y220">
        <f>HYPERLINK("https://klasma.github.io/Logging_2309/tillsynsmail/A 21547-2020 tillsynsbegäran mail.docx", "A 21547-2020")</f>
        <v/>
      </c>
    </row>
    <row r="221" ht="15" customHeight="1">
      <c r="A221" t="inlineStr">
        <is>
          <t>A 39569-2020</t>
        </is>
      </c>
      <c r="B221" s="1" t="n">
        <v>44064</v>
      </c>
      <c r="C221" s="1" t="n">
        <v>45627</v>
      </c>
      <c r="D221" t="inlineStr">
        <is>
          <t>JÄMTLANDS LÄN</t>
        </is>
      </c>
      <c r="E221" t="inlineStr">
        <is>
          <t>KROKOM</t>
        </is>
      </c>
      <c r="G221" t="n">
        <v>1.4</v>
      </c>
      <c r="H221" t="n">
        <v>0</v>
      </c>
      <c r="I221" t="n">
        <v>0</v>
      </c>
      <c r="J221" t="n">
        <v>1</v>
      </c>
      <c r="K221" t="n">
        <v>0</v>
      </c>
      <c r="L221" t="n">
        <v>0</v>
      </c>
      <c r="M221" t="n">
        <v>0</v>
      </c>
      <c r="N221" t="n">
        <v>0</v>
      </c>
      <c r="O221" t="n">
        <v>1</v>
      </c>
      <c r="P221" t="n">
        <v>0</v>
      </c>
      <c r="Q221" t="n">
        <v>1</v>
      </c>
      <c r="R221" s="2" t="inlineStr">
        <is>
          <t>Gränsticka</t>
        </is>
      </c>
      <c r="S221">
        <f>HYPERLINK("https://klasma.github.io/Logging_2309/artfynd/A 39569-2020 artfynd.xlsx", "A 39569-2020")</f>
        <v/>
      </c>
      <c r="T221">
        <f>HYPERLINK("https://klasma.github.io/Logging_2309/kartor/A 39569-2020 karta.png", "A 39569-2020")</f>
        <v/>
      </c>
      <c r="V221">
        <f>HYPERLINK("https://klasma.github.io/Logging_2309/klagomål/A 39569-2020 FSC-klagomål.docx", "A 39569-2020")</f>
        <v/>
      </c>
      <c r="W221">
        <f>HYPERLINK("https://klasma.github.io/Logging_2309/klagomålsmail/A 39569-2020 FSC-klagomål mail.docx", "A 39569-2020")</f>
        <v/>
      </c>
      <c r="X221">
        <f>HYPERLINK("https://klasma.github.io/Logging_2309/tillsyn/A 39569-2020 tillsynsbegäran.docx", "A 39569-2020")</f>
        <v/>
      </c>
      <c r="Y221">
        <f>HYPERLINK("https://klasma.github.io/Logging_2309/tillsynsmail/A 39569-2020 tillsynsbegäran mail.docx", "A 39569-2020")</f>
        <v/>
      </c>
    </row>
    <row r="222" ht="15" customHeight="1">
      <c r="A222" t="inlineStr">
        <is>
          <t>A 42493-2020</t>
        </is>
      </c>
      <c r="B222" s="1" t="n">
        <v>44075</v>
      </c>
      <c r="C222" s="1" t="n">
        <v>45627</v>
      </c>
      <c r="D222" t="inlineStr">
        <is>
          <t>JÄMTLANDS LÄN</t>
        </is>
      </c>
      <c r="E222" t="inlineStr">
        <is>
          <t>KROKOM</t>
        </is>
      </c>
      <c r="G222" t="n">
        <v>20.6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42493-2020 artfynd.xlsx", "A 42493-2020")</f>
        <v/>
      </c>
      <c r="T222">
        <f>HYPERLINK("https://klasma.github.io/Logging_2309/kartor/A 42493-2020 karta.png", "A 42493-2020")</f>
        <v/>
      </c>
      <c r="V222">
        <f>HYPERLINK("https://klasma.github.io/Logging_2309/klagomål/A 42493-2020 FSC-klagomål.docx", "A 42493-2020")</f>
        <v/>
      </c>
      <c r="W222">
        <f>HYPERLINK("https://klasma.github.io/Logging_2309/klagomålsmail/A 42493-2020 FSC-klagomål mail.docx", "A 42493-2020")</f>
        <v/>
      </c>
      <c r="X222">
        <f>HYPERLINK("https://klasma.github.io/Logging_2309/tillsyn/A 42493-2020 tillsynsbegäran.docx", "A 42493-2020")</f>
        <v/>
      </c>
      <c r="Y222">
        <f>HYPERLINK("https://klasma.github.io/Logging_2309/tillsynsmail/A 42493-2020 tillsynsbegäran mail.docx", "A 42493-2020")</f>
        <v/>
      </c>
      <c r="Z222">
        <f>HYPERLINK("https://klasma.github.io/Logging_2309/fåglar/A 42493-2020 prioriterade fågelarter.docx", "A 42493-2020")</f>
        <v/>
      </c>
    </row>
    <row r="223" ht="15" customHeight="1">
      <c r="A223" t="inlineStr">
        <is>
          <t>A 45626-2020</t>
        </is>
      </c>
      <c r="B223" s="1" t="n">
        <v>44090</v>
      </c>
      <c r="C223" s="1" t="n">
        <v>45627</v>
      </c>
      <c r="D223" t="inlineStr">
        <is>
          <t>JÄMTLANDS LÄN</t>
        </is>
      </c>
      <c r="E223" t="inlineStr">
        <is>
          <t>KROKOM</t>
        </is>
      </c>
      <c r="G223" t="n">
        <v>1</v>
      </c>
      <c r="H223" t="n">
        <v>0</v>
      </c>
      <c r="I223" t="n">
        <v>0</v>
      </c>
      <c r="J223" t="n">
        <v>1</v>
      </c>
      <c r="K223" t="n">
        <v>0</v>
      </c>
      <c r="L223" t="n">
        <v>0</v>
      </c>
      <c r="M223" t="n">
        <v>0</v>
      </c>
      <c r="N223" t="n">
        <v>0</v>
      </c>
      <c r="O223" t="n">
        <v>1</v>
      </c>
      <c r="P223" t="n">
        <v>0</v>
      </c>
      <c r="Q223" t="n">
        <v>1</v>
      </c>
      <c r="R223" s="2" t="inlineStr">
        <is>
          <t>Dofttaggsvamp</t>
        </is>
      </c>
      <c r="S223">
        <f>HYPERLINK("https://klasma.github.io/Logging_2309/artfynd/A 45626-2020 artfynd.xlsx", "A 45626-2020")</f>
        <v/>
      </c>
      <c r="T223">
        <f>HYPERLINK("https://klasma.github.io/Logging_2309/kartor/A 45626-2020 karta.png", "A 45626-2020")</f>
        <v/>
      </c>
      <c r="V223">
        <f>HYPERLINK("https://klasma.github.io/Logging_2309/klagomål/A 45626-2020 FSC-klagomål.docx", "A 45626-2020")</f>
        <v/>
      </c>
      <c r="W223">
        <f>HYPERLINK("https://klasma.github.io/Logging_2309/klagomålsmail/A 45626-2020 FSC-klagomål mail.docx", "A 45626-2020")</f>
        <v/>
      </c>
      <c r="X223">
        <f>HYPERLINK("https://klasma.github.io/Logging_2309/tillsyn/A 45626-2020 tillsynsbegäran.docx", "A 45626-2020")</f>
        <v/>
      </c>
      <c r="Y223">
        <f>HYPERLINK("https://klasma.github.io/Logging_2309/tillsynsmail/A 45626-2020 tillsynsbegäran mail.docx", "A 45626-2020")</f>
        <v/>
      </c>
    </row>
    <row r="224" ht="15" customHeight="1">
      <c r="A224" t="inlineStr">
        <is>
          <t>A 47459-2020</t>
        </is>
      </c>
      <c r="B224" s="1" t="n">
        <v>44097</v>
      </c>
      <c r="C224" s="1" t="n">
        <v>45627</v>
      </c>
      <c r="D224" t="inlineStr">
        <is>
          <t>JÄMTLANDS LÄN</t>
        </is>
      </c>
      <c r="E224" t="inlineStr">
        <is>
          <t>KROKOM</t>
        </is>
      </c>
      <c r="F224" t="inlineStr">
        <is>
          <t>SCA</t>
        </is>
      </c>
      <c r="G224" t="n">
        <v>1.7</v>
      </c>
      <c r="H224" t="n">
        <v>0</v>
      </c>
      <c r="I224" t="n">
        <v>0</v>
      </c>
      <c r="J224" t="n">
        <v>1</v>
      </c>
      <c r="K224" t="n">
        <v>0</v>
      </c>
      <c r="L224" t="n">
        <v>0</v>
      </c>
      <c r="M224" t="n">
        <v>0</v>
      </c>
      <c r="N224" t="n">
        <v>0</v>
      </c>
      <c r="O224" t="n">
        <v>1</v>
      </c>
      <c r="P224" t="n">
        <v>0</v>
      </c>
      <c r="Q224" t="n">
        <v>1</v>
      </c>
      <c r="R224" s="2" t="inlineStr">
        <is>
          <t>Skrovellav</t>
        </is>
      </c>
      <c r="S224">
        <f>HYPERLINK("https://klasma.github.io/Logging_2309/artfynd/A 47459-2020 artfynd.xlsx", "A 47459-2020")</f>
        <v/>
      </c>
      <c r="T224">
        <f>HYPERLINK("https://klasma.github.io/Logging_2309/kartor/A 47459-2020 karta.png", "A 47459-2020")</f>
        <v/>
      </c>
      <c r="V224">
        <f>HYPERLINK("https://klasma.github.io/Logging_2309/klagomål/A 47459-2020 FSC-klagomål.docx", "A 47459-2020")</f>
        <v/>
      </c>
      <c r="W224">
        <f>HYPERLINK("https://klasma.github.io/Logging_2309/klagomålsmail/A 47459-2020 FSC-klagomål mail.docx", "A 47459-2020")</f>
        <v/>
      </c>
      <c r="X224">
        <f>HYPERLINK("https://klasma.github.io/Logging_2309/tillsyn/A 47459-2020 tillsynsbegäran.docx", "A 47459-2020")</f>
        <v/>
      </c>
      <c r="Y224">
        <f>HYPERLINK("https://klasma.github.io/Logging_2309/tillsynsmail/A 47459-2020 tillsynsbegäran mail.docx", "A 47459-2020")</f>
        <v/>
      </c>
    </row>
    <row r="225" ht="15" customHeight="1">
      <c r="A225" t="inlineStr">
        <is>
          <t>A 48863-2020</t>
        </is>
      </c>
      <c r="B225" s="1" t="n">
        <v>44099</v>
      </c>
      <c r="C225" s="1" t="n">
        <v>45627</v>
      </c>
      <c r="D225" t="inlineStr">
        <is>
          <t>JÄMTLANDS LÄN</t>
        </is>
      </c>
      <c r="E225" t="inlineStr">
        <is>
          <t>KROKOM</t>
        </is>
      </c>
      <c r="F225" t="inlineStr">
        <is>
          <t>SCA</t>
        </is>
      </c>
      <c r="G225" t="n">
        <v>7.2</v>
      </c>
      <c r="H225" t="n">
        <v>0</v>
      </c>
      <c r="I225" t="n">
        <v>0</v>
      </c>
      <c r="J225" t="n">
        <v>0</v>
      </c>
      <c r="K225" t="n">
        <v>1</v>
      </c>
      <c r="L225" t="n">
        <v>0</v>
      </c>
      <c r="M225" t="n">
        <v>0</v>
      </c>
      <c r="N225" t="n">
        <v>0</v>
      </c>
      <c r="O225" t="n">
        <v>1</v>
      </c>
      <c r="P225" t="n">
        <v>1</v>
      </c>
      <c r="Q225" t="n">
        <v>1</v>
      </c>
      <c r="R225" s="2" t="inlineStr">
        <is>
          <t>Fläckporing</t>
        </is>
      </c>
      <c r="S225">
        <f>HYPERLINK("https://klasma.github.io/Logging_2309/artfynd/A 48863-2020 artfynd.xlsx", "A 48863-2020")</f>
        <v/>
      </c>
      <c r="T225">
        <f>HYPERLINK("https://klasma.github.io/Logging_2309/kartor/A 48863-2020 karta.png", "A 48863-2020")</f>
        <v/>
      </c>
      <c r="V225">
        <f>HYPERLINK("https://klasma.github.io/Logging_2309/klagomål/A 48863-2020 FSC-klagomål.docx", "A 48863-2020")</f>
        <v/>
      </c>
      <c r="W225">
        <f>HYPERLINK("https://klasma.github.io/Logging_2309/klagomålsmail/A 48863-2020 FSC-klagomål mail.docx", "A 48863-2020")</f>
        <v/>
      </c>
      <c r="X225">
        <f>HYPERLINK("https://klasma.github.io/Logging_2309/tillsyn/A 48863-2020 tillsynsbegäran.docx", "A 48863-2020")</f>
        <v/>
      </c>
      <c r="Y225">
        <f>HYPERLINK("https://klasma.github.io/Logging_2309/tillsynsmail/A 48863-2020 tillsynsbegäran mail.docx", "A 48863-2020")</f>
        <v/>
      </c>
    </row>
    <row r="226" ht="15" customHeight="1">
      <c r="A226" t="inlineStr">
        <is>
          <t>A 56202-2020</t>
        </is>
      </c>
      <c r="B226" s="1" t="n">
        <v>44133</v>
      </c>
      <c r="C226" s="1" t="n">
        <v>45627</v>
      </c>
      <c r="D226" t="inlineStr">
        <is>
          <t>JÄMTLANDS LÄN</t>
        </is>
      </c>
      <c r="E226" t="inlineStr">
        <is>
          <t>KROKOM</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56202-2020 artfynd.xlsx", "A 56202-2020")</f>
        <v/>
      </c>
      <c r="T226">
        <f>HYPERLINK("https://klasma.github.io/Logging_2309/kartor/A 56202-2020 karta.png", "A 56202-2020")</f>
        <v/>
      </c>
      <c r="V226">
        <f>HYPERLINK("https://klasma.github.io/Logging_2309/klagomål/A 56202-2020 FSC-klagomål.docx", "A 56202-2020")</f>
        <v/>
      </c>
      <c r="W226">
        <f>HYPERLINK("https://klasma.github.io/Logging_2309/klagomålsmail/A 56202-2020 FSC-klagomål mail.docx", "A 56202-2020")</f>
        <v/>
      </c>
      <c r="X226">
        <f>HYPERLINK("https://klasma.github.io/Logging_2309/tillsyn/A 56202-2020 tillsynsbegäran.docx", "A 56202-2020")</f>
        <v/>
      </c>
      <c r="Y226">
        <f>HYPERLINK("https://klasma.github.io/Logging_2309/tillsynsmail/A 56202-2020 tillsynsbegäran mail.docx", "A 56202-2020")</f>
        <v/>
      </c>
      <c r="Z226">
        <f>HYPERLINK("https://klasma.github.io/Logging_2309/fåglar/A 56202-2020 prioriterade fågelarter.docx", "A 56202-2020")</f>
        <v/>
      </c>
    </row>
    <row r="227" ht="15" customHeight="1">
      <c r="A227" t="inlineStr">
        <is>
          <t>A 61054-2020</t>
        </is>
      </c>
      <c r="B227" s="1" t="n">
        <v>44154</v>
      </c>
      <c r="C227" s="1" t="n">
        <v>45627</v>
      </c>
      <c r="D227" t="inlineStr">
        <is>
          <t>JÄMTLANDS LÄN</t>
        </is>
      </c>
      <c r="E227" t="inlineStr">
        <is>
          <t>KROKOM</t>
        </is>
      </c>
      <c r="F227" t="inlineStr">
        <is>
          <t>Övriga Aktiebolag</t>
        </is>
      </c>
      <c r="G227" t="n">
        <v>1.2</v>
      </c>
      <c r="H227" t="n">
        <v>1</v>
      </c>
      <c r="I227" t="n">
        <v>1</v>
      </c>
      <c r="J227" t="n">
        <v>0</v>
      </c>
      <c r="K227" t="n">
        <v>0</v>
      </c>
      <c r="L227" t="n">
        <v>0</v>
      </c>
      <c r="M227" t="n">
        <v>0</v>
      </c>
      <c r="N227" t="n">
        <v>0</v>
      </c>
      <c r="O227" t="n">
        <v>0</v>
      </c>
      <c r="P227" t="n">
        <v>0</v>
      </c>
      <c r="Q227" t="n">
        <v>1</v>
      </c>
      <c r="R227" s="2" t="inlineStr">
        <is>
          <t>Korallrot</t>
        </is>
      </c>
      <c r="S227">
        <f>HYPERLINK("https://klasma.github.io/Logging_2309/artfynd/A 61054-2020 artfynd.xlsx", "A 61054-2020")</f>
        <v/>
      </c>
      <c r="T227">
        <f>HYPERLINK("https://klasma.github.io/Logging_2309/kartor/A 61054-2020 karta.png", "A 61054-2020")</f>
        <v/>
      </c>
      <c r="V227">
        <f>HYPERLINK("https://klasma.github.io/Logging_2309/klagomål/A 61054-2020 FSC-klagomål.docx", "A 61054-2020")</f>
        <v/>
      </c>
      <c r="W227">
        <f>HYPERLINK("https://klasma.github.io/Logging_2309/klagomålsmail/A 61054-2020 FSC-klagomål mail.docx", "A 61054-2020")</f>
        <v/>
      </c>
      <c r="X227">
        <f>HYPERLINK("https://klasma.github.io/Logging_2309/tillsyn/A 61054-2020 tillsynsbegäran.docx", "A 61054-2020")</f>
        <v/>
      </c>
      <c r="Y227">
        <f>HYPERLINK("https://klasma.github.io/Logging_2309/tillsynsmail/A 61054-2020 tillsynsbegäran mail.docx", "A 61054-2020")</f>
        <v/>
      </c>
    </row>
    <row r="228" ht="15" customHeight="1">
      <c r="A228" t="inlineStr">
        <is>
          <t>A 1112-2021</t>
        </is>
      </c>
      <c r="B228" s="1" t="n">
        <v>44207</v>
      </c>
      <c r="C228" s="1" t="n">
        <v>45627</v>
      </c>
      <c r="D228" t="inlineStr">
        <is>
          <t>JÄMTLANDS LÄN</t>
        </is>
      </c>
      <c r="E228" t="inlineStr">
        <is>
          <t>KROKOM</t>
        </is>
      </c>
      <c r="F228" t="inlineStr">
        <is>
          <t>Övriga Aktiebolag</t>
        </is>
      </c>
      <c r="G228" t="n">
        <v>90.7</v>
      </c>
      <c r="H228" t="n">
        <v>0</v>
      </c>
      <c r="I228" t="n">
        <v>1</v>
      </c>
      <c r="J228" t="n">
        <v>0</v>
      </c>
      <c r="K228" t="n">
        <v>0</v>
      </c>
      <c r="L228" t="n">
        <v>0</v>
      </c>
      <c r="M228" t="n">
        <v>0</v>
      </c>
      <c r="N228" t="n">
        <v>0</v>
      </c>
      <c r="O228" t="n">
        <v>0</v>
      </c>
      <c r="P228" t="n">
        <v>0</v>
      </c>
      <c r="Q228" t="n">
        <v>1</v>
      </c>
      <c r="R228" s="2" t="inlineStr">
        <is>
          <t>Kambräken</t>
        </is>
      </c>
      <c r="S228">
        <f>HYPERLINK("https://klasma.github.io/Logging_2309/artfynd/A 1112-2021 artfynd.xlsx", "A 1112-2021")</f>
        <v/>
      </c>
      <c r="T228">
        <f>HYPERLINK("https://klasma.github.io/Logging_2309/kartor/A 1112-2021 karta.png", "A 1112-2021")</f>
        <v/>
      </c>
      <c r="V228">
        <f>HYPERLINK("https://klasma.github.io/Logging_2309/klagomål/A 1112-2021 FSC-klagomål.docx", "A 1112-2021")</f>
        <v/>
      </c>
      <c r="W228">
        <f>HYPERLINK("https://klasma.github.io/Logging_2309/klagomålsmail/A 1112-2021 FSC-klagomål mail.docx", "A 1112-2021")</f>
        <v/>
      </c>
      <c r="X228">
        <f>HYPERLINK("https://klasma.github.io/Logging_2309/tillsyn/A 1112-2021 tillsynsbegäran.docx", "A 1112-2021")</f>
        <v/>
      </c>
      <c r="Y228">
        <f>HYPERLINK("https://klasma.github.io/Logging_2309/tillsynsmail/A 1112-2021 tillsynsbegäran mail.docx", "A 1112-2021")</f>
        <v/>
      </c>
    </row>
    <row r="229" ht="15" customHeight="1">
      <c r="A229" t="inlineStr">
        <is>
          <t>A 11780-2021</t>
        </is>
      </c>
      <c r="B229" s="1" t="n">
        <v>44265</v>
      </c>
      <c r="C229" s="1" t="n">
        <v>45627</v>
      </c>
      <c r="D229" t="inlineStr">
        <is>
          <t>JÄMTLANDS LÄN</t>
        </is>
      </c>
      <c r="E229" t="inlineStr">
        <is>
          <t>KROKOM</t>
        </is>
      </c>
      <c r="G229" t="n">
        <v>1.3</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11780-2021 artfynd.xlsx", "A 11780-2021")</f>
        <v/>
      </c>
      <c r="T229">
        <f>HYPERLINK("https://klasma.github.io/Logging_2309/kartor/A 11780-2021 karta.png", "A 11780-2021")</f>
        <v/>
      </c>
      <c r="V229">
        <f>HYPERLINK("https://klasma.github.io/Logging_2309/klagomål/A 11780-2021 FSC-klagomål.docx", "A 11780-2021")</f>
        <v/>
      </c>
      <c r="W229">
        <f>HYPERLINK("https://klasma.github.io/Logging_2309/klagomålsmail/A 11780-2021 FSC-klagomål mail.docx", "A 11780-2021")</f>
        <v/>
      </c>
      <c r="X229">
        <f>HYPERLINK("https://klasma.github.io/Logging_2309/tillsyn/A 11780-2021 tillsynsbegäran.docx", "A 11780-2021")</f>
        <v/>
      </c>
      <c r="Y229">
        <f>HYPERLINK("https://klasma.github.io/Logging_2309/tillsynsmail/A 11780-2021 tillsynsbegäran mail.docx", "A 11780-2021")</f>
        <v/>
      </c>
      <c r="Z229">
        <f>HYPERLINK("https://klasma.github.io/Logging_2309/fåglar/A 11780-2021 prioriterade fågelarter.docx", "A 11780-2021")</f>
        <v/>
      </c>
    </row>
    <row r="230" ht="15" customHeight="1">
      <c r="A230" t="inlineStr">
        <is>
          <t>A 19282-2021</t>
        </is>
      </c>
      <c r="B230" s="1" t="n">
        <v>44308</v>
      </c>
      <c r="C230" s="1" t="n">
        <v>45627</v>
      </c>
      <c r="D230" t="inlineStr">
        <is>
          <t>JÄMTLANDS LÄN</t>
        </is>
      </c>
      <c r="E230" t="inlineStr">
        <is>
          <t>KROKOM</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HYPERLINK("https://klasma.github.io/Logging_2309/artfynd/A 19282-2021 artfynd.xlsx", "A 19282-2021")</f>
        <v/>
      </c>
      <c r="T230">
        <f>HYPERLINK("https://klasma.github.io/Logging_2309/kartor/A 19282-2021 karta.png", "A 19282-2021")</f>
        <v/>
      </c>
      <c r="V230">
        <f>HYPERLINK("https://klasma.github.io/Logging_2309/klagomål/A 19282-2021 FSC-klagomål.docx", "A 19282-2021")</f>
        <v/>
      </c>
      <c r="W230">
        <f>HYPERLINK("https://klasma.github.io/Logging_2309/klagomålsmail/A 19282-2021 FSC-klagomål mail.docx", "A 19282-2021")</f>
        <v/>
      </c>
      <c r="X230">
        <f>HYPERLINK("https://klasma.github.io/Logging_2309/tillsyn/A 19282-2021 tillsynsbegäran.docx", "A 19282-2021")</f>
        <v/>
      </c>
      <c r="Y230">
        <f>HYPERLINK("https://klasma.github.io/Logging_2309/tillsynsmail/A 19282-2021 tillsynsbegäran mail.docx", "A 19282-2021")</f>
        <v/>
      </c>
    </row>
    <row r="231" ht="15" customHeight="1">
      <c r="A231" t="inlineStr">
        <is>
          <t>A 46787-2021</t>
        </is>
      </c>
      <c r="B231" s="1" t="n">
        <v>44445</v>
      </c>
      <c r="C231" s="1" t="n">
        <v>45627</v>
      </c>
      <c r="D231" t="inlineStr">
        <is>
          <t>JÄMTLANDS LÄN</t>
        </is>
      </c>
      <c r="E231" t="inlineStr">
        <is>
          <t>KROKOM</t>
        </is>
      </c>
      <c r="F231" t="inlineStr">
        <is>
          <t>SCA</t>
        </is>
      </c>
      <c r="G231" t="n">
        <v>4.6</v>
      </c>
      <c r="H231" t="n">
        <v>0</v>
      </c>
      <c r="I231" t="n">
        <v>0</v>
      </c>
      <c r="J231" t="n">
        <v>1</v>
      </c>
      <c r="K231" t="n">
        <v>0</v>
      </c>
      <c r="L231" t="n">
        <v>0</v>
      </c>
      <c r="M231" t="n">
        <v>0</v>
      </c>
      <c r="N231" t="n">
        <v>0</v>
      </c>
      <c r="O231" t="n">
        <v>1</v>
      </c>
      <c r="P231" t="n">
        <v>0</v>
      </c>
      <c r="Q231" t="n">
        <v>1</v>
      </c>
      <c r="R231" s="2" t="inlineStr">
        <is>
          <t>Gammelgransskål</t>
        </is>
      </c>
      <c r="S231">
        <f>HYPERLINK("https://klasma.github.io/Logging_2309/artfynd/A 46787-2021 artfynd.xlsx", "A 46787-2021")</f>
        <v/>
      </c>
      <c r="T231">
        <f>HYPERLINK("https://klasma.github.io/Logging_2309/kartor/A 46787-2021 karta.png", "A 46787-2021")</f>
        <v/>
      </c>
      <c r="V231">
        <f>HYPERLINK("https://klasma.github.io/Logging_2309/klagomål/A 46787-2021 FSC-klagomål.docx", "A 46787-2021")</f>
        <v/>
      </c>
      <c r="W231">
        <f>HYPERLINK("https://klasma.github.io/Logging_2309/klagomålsmail/A 46787-2021 FSC-klagomål mail.docx", "A 46787-2021")</f>
        <v/>
      </c>
      <c r="X231">
        <f>HYPERLINK("https://klasma.github.io/Logging_2309/tillsyn/A 46787-2021 tillsynsbegäran.docx", "A 46787-2021")</f>
        <v/>
      </c>
      <c r="Y231">
        <f>HYPERLINK("https://klasma.github.io/Logging_2309/tillsynsmail/A 46787-2021 tillsynsbegäran mail.docx", "A 46787-2021")</f>
        <v/>
      </c>
    </row>
    <row r="232" ht="15" customHeight="1">
      <c r="A232" t="inlineStr">
        <is>
          <t>A 46785-2021</t>
        </is>
      </c>
      <c r="B232" s="1" t="n">
        <v>44445</v>
      </c>
      <c r="C232" s="1" t="n">
        <v>45627</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Harticka</t>
        </is>
      </c>
      <c r="S232">
        <f>HYPERLINK("https://klasma.github.io/Logging_2309/artfynd/A 46785-2021 artfynd.xlsx", "A 46785-2021")</f>
        <v/>
      </c>
      <c r="T232">
        <f>HYPERLINK("https://klasma.github.io/Logging_2309/kartor/A 46785-2021 karta.png", "A 46785-2021")</f>
        <v/>
      </c>
      <c r="V232">
        <f>HYPERLINK("https://klasma.github.io/Logging_2309/klagomål/A 46785-2021 FSC-klagomål.docx", "A 46785-2021")</f>
        <v/>
      </c>
      <c r="W232">
        <f>HYPERLINK("https://klasma.github.io/Logging_2309/klagomålsmail/A 46785-2021 FSC-klagomål mail.docx", "A 46785-2021")</f>
        <v/>
      </c>
      <c r="X232">
        <f>HYPERLINK("https://klasma.github.io/Logging_2309/tillsyn/A 46785-2021 tillsynsbegäran.docx", "A 46785-2021")</f>
        <v/>
      </c>
      <c r="Y232">
        <f>HYPERLINK("https://klasma.github.io/Logging_2309/tillsynsmail/A 46785-2021 tillsynsbegäran mail.docx", "A 46785-2021")</f>
        <v/>
      </c>
    </row>
    <row r="233" ht="15" customHeight="1">
      <c r="A233" t="inlineStr">
        <is>
          <t>A 60006-2021</t>
        </is>
      </c>
      <c r="B233" s="1" t="n">
        <v>44494</v>
      </c>
      <c r="C233" s="1" t="n">
        <v>45627</v>
      </c>
      <c r="D233" t="inlineStr">
        <is>
          <t>JÄMTLANDS LÄN</t>
        </is>
      </c>
      <c r="E233" t="inlineStr">
        <is>
          <t>KROKOM</t>
        </is>
      </c>
      <c r="F233" t="inlineStr">
        <is>
          <t>SCA</t>
        </is>
      </c>
      <c r="G233" t="n">
        <v>7.5</v>
      </c>
      <c r="H233" t="n">
        <v>0</v>
      </c>
      <c r="I233" t="n">
        <v>0</v>
      </c>
      <c r="J233" t="n">
        <v>1</v>
      </c>
      <c r="K233" t="n">
        <v>0</v>
      </c>
      <c r="L233" t="n">
        <v>0</v>
      </c>
      <c r="M233" t="n">
        <v>0</v>
      </c>
      <c r="N233" t="n">
        <v>0</v>
      </c>
      <c r="O233" t="n">
        <v>1</v>
      </c>
      <c r="P233" t="n">
        <v>0</v>
      </c>
      <c r="Q233" t="n">
        <v>1</v>
      </c>
      <c r="R233" s="2" t="inlineStr">
        <is>
          <t>Flattoppad klubbsvamp</t>
        </is>
      </c>
      <c r="S233">
        <f>HYPERLINK("https://klasma.github.io/Logging_2309/artfynd/A 60006-2021 artfynd.xlsx", "A 60006-2021")</f>
        <v/>
      </c>
      <c r="T233">
        <f>HYPERLINK("https://klasma.github.io/Logging_2309/kartor/A 60006-2021 karta.png", "A 60006-2021")</f>
        <v/>
      </c>
      <c r="V233">
        <f>HYPERLINK("https://klasma.github.io/Logging_2309/klagomål/A 60006-2021 FSC-klagomål.docx", "A 60006-2021")</f>
        <v/>
      </c>
      <c r="W233">
        <f>HYPERLINK("https://klasma.github.io/Logging_2309/klagomålsmail/A 60006-2021 FSC-klagomål mail.docx", "A 60006-2021")</f>
        <v/>
      </c>
      <c r="X233">
        <f>HYPERLINK("https://klasma.github.io/Logging_2309/tillsyn/A 60006-2021 tillsynsbegäran.docx", "A 60006-2021")</f>
        <v/>
      </c>
      <c r="Y233">
        <f>HYPERLINK("https://klasma.github.io/Logging_2309/tillsynsmail/A 60006-2021 tillsynsbegäran mail.docx", "A 60006-2021")</f>
        <v/>
      </c>
    </row>
    <row r="234" ht="15" customHeight="1">
      <c r="A234" t="inlineStr">
        <is>
          <t>A 64301-2021</t>
        </is>
      </c>
      <c r="B234" s="1" t="n">
        <v>44510</v>
      </c>
      <c r="C234" s="1" t="n">
        <v>45627</v>
      </c>
      <c r="D234" t="inlineStr">
        <is>
          <t>JÄMTLANDS LÄN</t>
        </is>
      </c>
      <c r="E234" t="inlineStr">
        <is>
          <t>KROKOM</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64301-2021 artfynd.xlsx", "A 64301-2021")</f>
        <v/>
      </c>
      <c r="T234">
        <f>HYPERLINK("https://klasma.github.io/Logging_2309/kartor/A 64301-2021 karta.png", "A 64301-2021")</f>
        <v/>
      </c>
      <c r="V234">
        <f>HYPERLINK("https://klasma.github.io/Logging_2309/klagomål/A 64301-2021 FSC-klagomål.docx", "A 64301-2021")</f>
        <v/>
      </c>
      <c r="W234">
        <f>HYPERLINK("https://klasma.github.io/Logging_2309/klagomålsmail/A 64301-2021 FSC-klagomål mail.docx", "A 64301-2021")</f>
        <v/>
      </c>
      <c r="X234">
        <f>HYPERLINK("https://klasma.github.io/Logging_2309/tillsyn/A 64301-2021 tillsynsbegäran.docx", "A 64301-2021")</f>
        <v/>
      </c>
      <c r="Y234">
        <f>HYPERLINK("https://klasma.github.io/Logging_2309/tillsynsmail/A 64301-2021 tillsynsbegäran mail.docx", "A 64301-2021")</f>
        <v/>
      </c>
      <c r="Z234">
        <f>HYPERLINK("https://klasma.github.io/Logging_2309/fåglar/A 64301-2021 prioriterade fågelarter.docx", "A 64301-2021")</f>
        <v/>
      </c>
    </row>
    <row r="235" ht="15" customHeight="1">
      <c r="A235" t="inlineStr">
        <is>
          <t>A 64951-2021</t>
        </is>
      </c>
      <c r="B235" s="1" t="n">
        <v>44512</v>
      </c>
      <c r="C235" s="1" t="n">
        <v>45627</v>
      </c>
      <c r="D235" t="inlineStr">
        <is>
          <t>JÄMTLANDS LÄN</t>
        </is>
      </c>
      <c r="E235" t="inlineStr">
        <is>
          <t>KROKOM</t>
        </is>
      </c>
      <c r="F235" t="inlineStr">
        <is>
          <t>SCA</t>
        </is>
      </c>
      <c r="G235" t="n">
        <v>2.5</v>
      </c>
      <c r="H235" t="n">
        <v>0</v>
      </c>
      <c r="I235" t="n">
        <v>1</v>
      </c>
      <c r="J235" t="n">
        <v>0</v>
      </c>
      <c r="K235" t="n">
        <v>0</v>
      </c>
      <c r="L235" t="n">
        <v>0</v>
      </c>
      <c r="M235" t="n">
        <v>0</v>
      </c>
      <c r="N235" t="n">
        <v>0</v>
      </c>
      <c r="O235" t="n">
        <v>0</v>
      </c>
      <c r="P235" t="n">
        <v>0</v>
      </c>
      <c r="Q235" t="n">
        <v>1</v>
      </c>
      <c r="R235" s="2" t="inlineStr">
        <is>
          <t>Kransrams</t>
        </is>
      </c>
      <c r="S235">
        <f>HYPERLINK("https://klasma.github.io/Logging_2309/artfynd/A 64951-2021 artfynd.xlsx", "A 64951-2021")</f>
        <v/>
      </c>
      <c r="T235">
        <f>HYPERLINK("https://klasma.github.io/Logging_2309/kartor/A 64951-2021 karta.png", "A 64951-2021")</f>
        <v/>
      </c>
      <c r="V235">
        <f>HYPERLINK("https://klasma.github.io/Logging_2309/klagomål/A 64951-2021 FSC-klagomål.docx", "A 64951-2021")</f>
        <v/>
      </c>
      <c r="W235">
        <f>HYPERLINK("https://klasma.github.io/Logging_2309/klagomålsmail/A 64951-2021 FSC-klagomål mail.docx", "A 64951-2021")</f>
        <v/>
      </c>
      <c r="X235">
        <f>HYPERLINK("https://klasma.github.io/Logging_2309/tillsyn/A 64951-2021 tillsynsbegäran.docx", "A 64951-2021")</f>
        <v/>
      </c>
      <c r="Y235">
        <f>HYPERLINK("https://klasma.github.io/Logging_2309/tillsynsmail/A 64951-2021 tillsynsbegäran mail.docx", "A 64951-2021")</f>
        <v/>
      </c>
    </row>
    <row r="236" ht="15" customHeight="1">
      <c r="A236" t="inlineStr">
        <is>
          <t>A 64968-2021</t>
        </is>
      </c>
      <c r="B236" s="1" t="n">
        <v>44512</v>
      </c>
      <c r="C236" s="1" t="n">
        <v>45627</v>
      </c>
      <c r="D236" t="inlineStr">
        <is>
          <t>JÄMTLANDS LÄN</t>
        </is>
      </c>
      <c r="E236" t="inlineStr">
        <is>
          <t>KROKOM</t>
        </is>
      </c>
      <c r="F236" t="inlineStr">
        <is>
          <t>SCA</t>
        </is>
      </c>
      <c r="G236" t="n">
        <v>3.2</v>
      </c>
      <c r="H236" t="n">
        <v>0</v>
      </c>
      <c r="I236" t="n">
        <v>0</v>
      </c>
      <c r="J236" t="n">
        <v>1</v>
      </c>
      <c r="K236" t="n">
        <v>0</v>
      </c>
      <c r="L236" t="n">
        <v>0</v>
      </c>
      <c r="M236" t="n">
        <v>0</v>
      </c>
      <c r="N236" t="n">
        <v>0</v>
      </c>
      <c r="O236" t="n">
        <v>1</v>
      </c>
      <c r="P236" t="n">
        <v>0</v>
      </c>
      <c r="Q236" t="n">
        <v>1</v>
      </c>
      <c r="R236" s="2" t="inlineStr">
        <is>
          <t>Skrovellav</t>
        </is>
      </c>
      <c r="S236">
        <f>HYPERLINK("https://klasma.github.io/Logging_2309/artfynd/A 64968-2021 artfynd.xlsx", "A 64968-2021")</f>
        <v/>
      </c>
      <c r="T236">
        <f>HYPERLINK("https://klasma.github.io/Logging_2309/kartor/A 64968-2021 karta.png", "A 64968-2021")</f>
        <v/>
      </c>
      <c r="V236">
        <f>HYPERLINK("https://klasma.github.io/Logging_2309/klagomål/A 64968-2021 FSC-klagomål.docx", "A 64968-2021")</f>
        <v/>
      </c>
      <c r="W236">
        <f>HYPERLINK("https://klasma.github.io/Logging_2309/klagomålsmail/A 64968-2021 FSC-klagomål mail.docx", "A 64968-2021")</f>
        <v/>
      </c>
      <c r="X236">
        <f>HYPERLINK("https://klasma.github.io/Logging_2309/tillsyn/A 64968-2021 tillsynsbegäran.docx", "A 64968-2021")</f>
        <v/>
      </c>
      <c r="Y236">
        <f>HYPERLINK("https://klasma.github.io/Logging_2309/tillsynsmail/A 64968-2021 tillsynsbegäran mail.docx", "A 64968-2021")</f>
        <v/>
      </c>
    </row>
    <row r="237" ht="15" customHeight="1">
      <c r="A237" t="inlineStr">
        <is>
          <t>A 67701-2021</t>
        </is>
      </c>
      <c r="B237" s="1" t="n">
        <v>44524</v>
      </c>
      <c r="C237" s="1" t="n">
        <v>45627</v>
      </c>
      <c r="D237" t="inlineStr">
        <is>
          <t>JÄMTLANDS LÄN</t>
        </is>
      </c>
      <c r="E237" t="inlineStr">
        <is>
          <t>KROKOM</t>
        </is>
      </c>
      <c r="F237" t="inlineStr">
        <is>
          <t>SCA</t>
        </is>
      </c>
      <c r="G237" t="n">
        <v>3.1</v>
      </c>
      <c r="H237" t="n">
        <v>0</v>
      </c>
      <c r="I237" t="n">
        <v>1</v>
      </c>
      <c r="J237" t="n">
        <v>0</v>
      </c>
      <c r="K237" t="n">
        <v>0</v>
      </c>
      <c r="L237" t="n">
        <v>0</v>
      </c>
      <c r="M237" t="n">
        <v>0</v>
      </c>
      <c r="N237" t="n">
        <v>0</v>
      </c>
      <c r="O237" t="n">
        <v>0</v>
      </c>
      <c r="P237" t="n">
        <v>0</v>
      </c>
      <c r="Q237" t="n">
        <v>1</v>
      </c>
      <c r="R237" s="2" t="inlineStr">
        <is>
          <t>Trådticka</t>
        </is>
      </c>
      <c r="S237">
        <f>HYPERLINK("https://klasma.github.io/Logging_2309/artfynd/A 67701-2021 artfynd.xlsx", "A 67701-2021")</f>
        <v/>
      </c>
      <c r="T237">
        <f>HYPERLINK("https://klasma.github.io/Logging_2309/kartor/A 67701-2021 karta.png", "A 67701-2021")</f>
        <v/>
      </c>
      <c r="V237">
        <f>HYPERLINK("https://klasma.github.io/Logging_2309/klagomål/A 67701-2021 FSC-klagomål.docx", "A 67701-2021")</f>
        <v/>
      </c>
      <c r="W237">
        <f>HYPERLINK("https://klasma.github.io/Logging_2309/klagomålsmail/A 67701-2021 FSC-klagomål mail.docx", "A 67701-2021")</f>
        <v/>
      </c>
      <c r="X237">
        <f>HYPERLINK("https://klasma.github.io/Logging_2309/tillsyn/A 67701-2021 tillsynsbegäran.docx", "A 67701-2021")</f>
        <v/>
      </c>
      <c r="Y237">
        <f>HYPERLINK("https://klasma.github.io/Logging_2309/tillsynsmail/A 67701-2021 tillsynsbegäran mail.docx", "A 67701-2021")</f>
        <v/>
      </c>
    </row>
    <row r="238" ht="15" customHeight="1">
      <c r="A238" t="inlineStr">
        <is>
          <t>A 69137-2021</t>
        </is>
      </c>
      <c r="B238" s="1" t="n">
        <v>44530</v>
      </c>
      <c r="C238" s="1" t="n">
        <v>45627</v>
      </c>
      <c r="D238" t="inlineStr">
        <is>
          <t>JÄMTLANDS LÄN</t>
        </is>
      </c>
      <c r="E238" t="inlineStr">
        <is>
          <t>KROKOM</t>
        </is>
      </c>
      <c r="F238" t="inlineStr">
        <is>
          <t>SCA</t>
        </is>
      </c>
      <c r="G238" t="n">
        <v>30.5</v>
      </c>
      <c r="H238" t="n">
        <v>0</v>
      </c>
      <c r="I238" t="n">
        <v>0</v>
      </c>
      <c r="J238" t="n">
        <v>1</v>
      </c>
      <c r="K238" t="n">
        <v>0</v>
      </c>
      <c r="L238" t="n">
        <v>0</v>
      </c>
      <c r="M238" t="n">
        <v>0</v>
      </c>
      <c r="N238" t="n">
        <v>0</v>
      </c>
      <c r="O238" t="n">
        <v>1</v>
      </c>
      <c r="P238" t="n">
        <v>0</v>
      </c>
      <c r="Q238" t="n">
        <v>1</v>
      </c>
      <c r="R238" s="2" t="inlineStr">
        <is>
          <t>Garnlav</t>
        </is>
      </c>
      <c r="S238">
        <f>HYPERLINK("https://klasma.github.io/Logging_2309/artfynd/A 69137-2021 artfynd.xlsx", "A 69137-2021")</f>
        <v/>
      </c>
      <c r="T238">
        <f>HYPERLINK("https://klasma.github.io/Logging_2309/kartor/A 69137-2021 karta.png", "A 69137-2021")</f>
        <v/>
      </c>
      <c r="V238">
        <f>HYPERLINK("https://klasma.github.io/Logging_2309/klagomål/A 69137-2021 FSC-klagomål.docx", "A 69137-2021")</f>
        <v/>
      </c>
      <c r="W238">
        <f>HYPERLINK("https://klasma.github.io/Logging_2309/klagomålsmail/A 69137-2021 FSC-klagomål mail.docx", "A 69137-2021")</f>
        <v/>
      </c>
      <c r="X238">
        <f>HYPERLINK("https://klasma.github.io/Logging_2309/tillsyn/A 69137-2021 tillsynsbegäran.docx", "A 69137-2021")</f>
        <v/>
      </c>
      <c r="Y238">
        <f>HYPERLINK("https://klasma.github.io/Logging_2309/tillsynsmail/A 69137-2021 tillsynsbegäran mail.docx", "A 69137-2021")</f>
        <v/>
      </c>
    </row>
    <row r="239" ht="15" customHeight="1">
      <c r="A239" t="inlineStr">
        <is>
          <t>A 71575-2021</t>
        </is>
      </c>
      <c r="B239" s="1" t="n">
        <v>44540</v>
      </c>
      <c r="C239" s="1" t="n">
        <v>45627</v>
      </c>
      <c r="D239" t="inlineStr">
        <is>
          <t>JÄMTLANDS LÄN</t>
        </is>
      </c>
      <c r="E239" t="inlineStr">
        <is>
          <t>KROKOM</t>
        </is>
      </c>
      <c r="G239" t="n">
        <v>0.9</v>
      </c>
      <c r="H239" t="n">
        <v>0</v>
      </c>
      <c r="I239" t="n">
        <v>0</v>
      </c>
      <c r="J239" t="n">
        <v>1</v>
      </c>
      <c r="K239" t="n">
        <v>0</v>
      </c>
      <c r="L239" t="n">
        <v>0</v>
      </c>
      <c r="M239" t="n">
        <v>0</v>
      </c>
      <c r="N239" t="n">
        <v>0</v>
      </c>
      <c r="O239" t="n">
        <v>1</v>
      </c>
      <c r="P239" t="n">
        <v>0</v>
      </c>
      <c r="Q239" t="n">
        <v>1</v>
      </c>
      <c r="R239" s="2" t="inlineStr">
        <is>
          <t>Gultoppig fingersvamp</t>
        </is>
      </c>
      <c r="S239">
        <f>HYPERLINK("https://klasma.github.io/Logging_2309/artfynd/A 71575-2021 artfynd.xlsx", "A 71575-2021")</f>
        <v/>
      </c>
      <c r="T239">
        <f>HYPERLINK("https://klasma.github.io/Logging_2309/kartor/A 71575-2021 karta.png", "A 71575-2021")</f>
        <v/>
      </c>
      <c r="V239">
        <f>HYPERLINK("https://klasma.github.io/Logging_2309/klagomål/A 71575-2021 FSC-klagomål.docx", "A 71575-2021")</f>
        <v/>
      </c>
      <c r="W239">
        <f>HYPERLINK("https://klasma.github.io/Logging_2309/klagomålsmail/A 71575-2021 FSC-klagomål mail.docx", "A 71575-2021")</f>
        <v/>
      </c>
      <c r="X239">
        <f>HYPERLINK("https://klasma.github.io/Logging_2309/tillsyn/A 71575-2021 tillsynsbegäran.docx", "A 71575-2021")</f>
        <v/>
      </c>
      <c r="Y239">
        <f>HYPERLINK("https://klasma.github.io/Logging_2309/tillsynsmail/A 71575-2021 tillsynsbegäran mail.docx", "A 71575-2021")</f>
        <v/>
      </c>
    </row>
    <row r="240" ht="15" customHeight="1">
      <c r="A240" t="inlineStr">
        <is>
          <t>A 71574-2021</t>
        </is>
      </c>
      <c r="B240" s="1" t="n">
        <v>44540</v>
      </c>
      <c r="C240" s="1" t="n">
        <v>45627</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806-2022</t>
        </is>
      </c>
      <c r="B241" s="1" t="n">
        <v>44568</v>
      </c>
      <c r="C241" s="1" t="n">
        <v>45627</v>
      </c>
      <c r="D241" t="inlineStr">
        <is>
          <t>JÄMTLANDS LÄN</t>
        </is>
      </c>
      <c r="E241" t="inlineStr">
        <is>
          <t>KROKOM</t>
        </is>
      </c>
      <c r="G241" t="n">
        <v>46.8</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806-2022 artfynd.xlsx", "A 806-2022")</f>
        <v/>
      </c>
      <c r="T241">
        <f>HYPERLINK("https://klasma.github.io/Logging_2309/kartor/A 806-2022 karta.png", "A 806-2022")</f>
        <v/>
      </c>
      <c r="V241">
        <f>HYPERLINK("https://klasma.github.io/Logging_2309/klagomål/A 806-2022 FSC-klagomål.docx", "A 806-2022")</f>
        <v/>
      </c>
      <c r="W241">
        <f>HYPERLINK("https://klasma.github.io/Logging_2309/klagomålsmail/A 806-2022 FSC-klagomål mail.docx", "A 806-2022")</f>
        <v/>
      </c>
      <c r="X241">
        <f>HYPERLINK("https://klasma.github.io/Logging_2309/tillsyn/A 806-2022 tillsynsbegäran.docx", "A 806-2022")</f>
        <v/>
      </c>
      <c r="Y241">
        <f>HYPERLINK("https://klasma.github.io/Logging_2309/tillsynsmail/A 806-2022 tillsynsbegäran mail.docx", "A 806-2022")</f>
        <v/>
      </c>
      <c r="Z241">
        <f>HYPERLINK("https://klasma.github.io/Logging_2309/fåglar/A 806-2022 prioriterade fågelarter.docx", "A 806-2022")</f>
        <v/>
      </c>
    </row>
    <row r="242" ht="15" customHeight="1">
      <c r="A242" t="inlineStr">
        <is>
          <t>A 814-2022</t>
        </is>
      </c>
      <c r="B242" s="1" t="n">
        <v>44568</v>
      </c>
      <c r="C242" s="1" t="n">
        <v>45627</v>
      </c>
      <c r="D242" t="inlineStr">
        <is>
          <t>JÄMTLANDS LÄN</t>
        </is>
      </c>
      <c r="E242" t="inlineStr">
        <is>
          <t>KROKOM</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814-2022 artfynd.xlsx", "A 814-2022")</f>
        <v/>
      </c>
      <c r="T242">
        <f>HYPERLINK("https://klasma.github.io/Logging_2309/kartor/A 814-2022 karta.png", "A 814-2022")</f>
        <v/>
      </c>
      <c r="V242">
        <f>HYPERLINK("https://klasma.github.io/Logging_2309/klagomål/A 814-2022 FSC-klagomål.docx", "A 814-2022")</f>
        <v/>
      </c>
      <c r="W242">
        <f>HYPERLINK("https://klasma.github.io/Logging_2309/klagomålsmail/A 814-2022 FSC-klagomål mail.docx", "A 814-2022")</f>
        <v/>
      </c>
      <c r="X242">
        <f>HYPERLINK("https://klasma.github.io/Logging_2309/tillsyn/A 814-2022 tillsynsbegäran.docx", "A 814-2022")</f>
        <v/>
      </c>
      <c r="Y242">
        <f>HYPERLINK("https://klasma.github.io/Logging_2309/tillsynsmail/A 814-2022 tillsynsbegäran mail.docx", "A 814-2022")</f>
        <v/>
      </c>
      <c r="Z242">
        <f>HYPERLINK("https://klasma.github.io/Logging_2309/fåglar/A 814-2022 prioriterade fågelarter.docx", "A 814-2022")</f>
        <v/>
      </c>
    </row>
    <row r="243" ht="15" customHeight="1">
      <c r="A243" t="inlineStr">
        <is>
          <t>A 7005-2022</t>
        </is>
      </c>
      <c r="B243" s="1" t="n">
        <v>44603</v>
      </c>
      <c r="C243" s="1" t="n">
        <v>45627</v>
      </c>
      <c r="D243" t="inlineStr">
        <is>
          <t>JÄMTLANDS LÄN</t>
        </is>
      </c>
      <c r="E243" t="inlineStr">
        <is>
          <t>KROKOM</t>
        </is>
      </c>
      <c r="G243" t="n">
        <v>46</v>
      </c>
      <c r="H243" t="n">
        <v>0</v>
      </c>
      <c r="I243" t="n">
        <v>1</v>
      </c>
      <c r="J243" t="n">
        <v>0</v>
      </c>
      <c r="K243" t="n">
        <v>0</v>
      </c>
      <c r="L243" t="n">
        <v>0</v>
      </c>
      <c r="M243" t="n">
        <v>0</v>
      </c>
      <c r="N243" t="n">
        <v>0</v>
      </c>
      <c r="O243" t="n">
        <v>0</v>
      </c>
      <c r="P243" t="n">
        <v>0</v>
      </c>
      <c r="Q243" t="n">
        <v>1</v>
      </c>
      <c r="R243" s="2" t="inlineStr">
        <is>
          <t>Stuplav</t>
        </is>
      </c>
      <c r="S243">
        <f>HYPERLINK("https://klasma.github.io/Logging_2309/artfynd/A 7005-2022 artfynd.xlsx", "A 7005-2022")</f>
        <v/>
      </c>
      <c r="T243">
        <f>HYPERLINK("https://klasma.github.io/Logging_2309/kartor/A 7005-2022 karta.png", "A 7005-2022")</f>
        <v/>
      </c>
      <c r="V243">
        <f>HYPERLINK("https://klasma.github.io/Logging_2309/klagomål/A 7005-2022 FSC-klagomål.docx", "A 7005-2022")</f>
        <v/>
      </c>
      <c r="W243">
        <f>HYPERLINK("https://klasma.github.io/Logging_2309/klagomålsmail/A 7005-2022 FSC-klagomål mail.docx", "A 7005-2022")</f>
        <v/>
      </c>
      <c r="X243">
        <f>HYPERLINK("https://klasma.github.io/Logging_2309/tillsyn/A 7005-2022 tillsynsbegäran.docx", "A 7005-2022")</f>
        <v/>
      </c>
      <c r="Y243">
        <f>HYPERLINK("https://klasma.github.io/Logging_2309/tillsynsmail/A 7005-2022 tillsynsbegäran mail.docx", "A 7005-2022")</f>
        <v/>
      </c>
    </row>
    <row r="244" ht="15" customHeight="1">
      <c r="A244" t="inlineStr">
        <is>
          <t>A 18032-2022</t>
        </is>
      </c>
      <c r="B244" s="1" t="n">
        <v>44683</v>
      </c>
      <c r="C244" s="1" t="n">
        <v>45627</v>
      </c>
      <c r="D244" t="inlineStr">
        <is>
          <t>JÄMTLANDS LÄN</t>
        </is>
      </c>
      <c r="E244" t="inlineStr">
        <is>
          <t>KROKOM</t>
        </is>
      </c>
      <c r="G244" t="n">
        <v>15.8</v>
      </c>
      <c r="H244" t="n">
        <v>0</v>
      </c>
      <c r="I244" t="n">
        <v>0</v>
      </c>
      <c r="J244" t="n">
        <v>1</v>
      </c>
      <c r="K244" t="n">
        <v>0</v>
      </c>
      <c r="L244" t="n">
        <v>0</v>
      </c>
      <c r="M244" t="n">
        <v>0</v>
      </c>
      <c r="N244" t="n">
        <v>0</v>
      </c>
      <c r="O244" t="n">
        <v>1</v>
      </c>
      <c r="P244" t="n">
        <v>0</v>
      </c>
      <c r="Q244" t="n">
        <v>1</v>
      </c>
      <c r="R244" s="2" t="inlineStr">
        <is>
          <t>Brunklöver</t>
        </is>
      </c>
      <c r="S244">
        <f>HYPERLINK("https://klasma.github.io/Logging_2309/artfynd/A 18032-2022 artfynd.xlsx", "A 18032-2022")</f>
        <v/>
      </c>
      <c r="T244">
        <f>HYPERLINK("https://klasma.github.io/Logging_2309/kartor/A 18032-2022 karta.png", "A 18032-2022")</f>
        <v/>
      </c>
      <c r="V244">
        <f>HYPERLINK("https://klasma.github.io/Logging_2309/klagomål/A 18032-2022 FSC-klagomål.docx", "A 18032-2022")</f>
        <v/>
      </c>
      <c r="W244">
        <f>HYPERLINK("https://klasma.github.io/Logging_2309/klagomålsmail/A 18032-2022 FSC-klagomål mail.docx", "A 18032-2022")</f>
        <v/>
      </c>
      <c r="X244">
        <f>HYPERLINK("https://klasma.github.io/Logging_2309/tillsyn/A 18032-2022 tillsynsbegäran.docx", "A 18032-2022")</f>
        <v/>
      </c>
      <c r="Y244">
        <f>HYPERLINK("https://klasma.github.io/Logging_2309/tillsynsmail/A 18032-2022 tillsynsbegäran mail.docx", "A 18032-2022")</f>
        <v/>
      </c>
    </row>
    <row r="245" ht="15" customHeight="1">
      <c r="A245" t="inlineStr">
        <is>
          <t>A 25041-2022</t>
        </is>
      </c>
      <c r="B245" s="1" t="n">
        <v>44728</v>
      </c>
      <c r="C245" s="1" t="n">
        <v>45627</v>
      </c>
      <c r="D245" t="inlineStr">
        <is>
          <t>JÄMTLANDS LÄN</t>
        </is>
      </c>
      <c r="E245" t="inlineStr">
        <is>
          <t>KROKOM</t>
        </is>
      </c>
      <c r="F245" t="inlineStr">
        <is>
          <t>SCA</t>
        </is>
      </c>
      <c r="G245" t="n">
        <v>5.5</v>
      </c>
      <c r="H245" t="n">
        <v>0</v>
      </c>
      <c r="I245" t="n">
        <v>0</v>
      </c>
      <c r="J245" t="n">
        <v>1</v>
      </c>
      <c r="K245" t="n">
        <v>0</v>
      </c>
      <c r="L245" t="n">
        <v>0</v>
      </c>
      <c r="M245" t="n">
        <v>0</v>
      </c>
      <c r="N245" t="n">
        <v>0</v>
      </c>
      <c r="O245" t="n">
        <v>1</v>
      </c>
      <c r="P245" t="n">
        <v>0</v>
      </c>
      <c r="Q245" t="n">
        <v>1</v>
      </c>
      <c r="R245" s="2" t="inlineStr">
        <is>
          <t>Harticka</t>
        </is>
      </c>
      <c r="S245">
        <f>HYPERLINK("https://klasma.github.io/Logging_2309/artfynd/A 25041-2022 artfynd.xlsx", "A 25041-2022")</f>
        <v/>
      </c>
      <c r="T245">
        <f>HYPERLINK("https://klasma.github.io/Logging_2309/kartor/A 25041-2022 karta.png", "A 25041-2022")</f>
        <v/>
      </c>
      <c r="V245">
        <f>HYPERLINK("https://klasma.github.io/Logging_2309/klagomål/A 25041-2022 FSC-klagomål.docx", "A 25041-2022")</f>
        <v/>
      </c>
      <c r="W245">
        <f>HYPERLINK("https://klasma.github.io/Logging_2309/klagomålsmail/A 25041-2022 FSC-klagomål mail.docx", "A 25041-2022")</f>
        <v/>
      </c>
      <c r="X245">
        <f>HYPERLINK("https://klasma.github.io/Logging_2309/tillsyn/A 25041-2022 tillsynsbegäran.docx", "A 25041-2022")</f>
        <v/>
      </c>
      <c r="Y245">
        <f>HYPERLINK("https://klasma.github.io/Logging_2309/tillsynsmail/A 25041-2022 tillsynsbegäran mail.docx", "A 25041-2022")</f>
        <v/>
      </c>
    </row>
    <row r="246" ht="15" customHeight="1">
      <c r="A246" t="inlineStr">
        <is>
          <t>A 27579-2022</t>
        </is>
      </c>
      <c r="B246" s="1" t="n">
        <v>44742</v>
      </c>
      <c r="C246" s="1" t="n">
        <v>45627</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Lunglav</t>
        </is>
      </c>
      <c r="S246">
        <f>HYPERLINK("https://klasma.github.io/Logging_2309/artfynd/A 27579-2022 artfynd.xlsx", "A 27579-2022")</f>
        <v/>
      </c>
      <c r="T246">
        <f>HYPERLINK("https://klasma.github.io/Logging_2309/kartor/A 27579-2022 karta.png", "A 27579-2022")</f>
        <v/>
      </c>
      <c r="V246">
        <f>HYPERLINK("https://klasma.github.io/Logging_2309/klagomål/A 27579-2022 FSC-klagomål.docx", "A 27579-2022")</f>
        <v/>
      </c>
      <c r="W246">
        <f>HYPERLINK("https://klasma.github.io/Logging_2309/klagomålsmail/A 27579-2022 FSC-klagomål mail.docx", "A 27579-2022")</f>
        <v/>
      </c>
      <c r="X246">
        <f>HYPERLINK("https://klasma.github.io/Logging_2309/tillsyn/A 27579-2022 tillsynsbegäran.docx", "A 27579-2022")</f>
        <v/>
      </c>
      <c r="Y246">
        <f>HYPERLINK("https://klasma.github.io/Logging_2309/tillsynsmail/A 27579-2022 tillsynsbegäran mail.docx", "A 27579-2022")</f>
        <v/>
      </c>
    </row>
    <row r="247" ht="15" customHeight="1">
      <c r="A247" t="inlineStr">
        <is>
          <t>A 28490-2022</t>
        </is>
      </c>
      <c r="B247" s="1" t="n">
        <v>44747</v>
      </c>
      <c r="C247" s="1" t="n">
        <v>45627</v>
      </c>
      <c r="D247" t="inlineStr">
        <is>
          <t>JÄMTLANDS LÄN</t>
        </is>
      </c>
      <c r="E247" t="inlineStr">
        <is>
          <t>KROKOM</t>
        </is>
      </c>
      <c r="F247" t="inlineStr">
        <is>
          <t>SCA</t>
        </is>
      </c>
      <c r="G247" t="n">
        <v>57.9</v>
      </c>
      <c r="H247" t="n">
        <v>0</v>
      </c>
      <c r="I247" t="n">
        <v>0</v>
      </c>
      <c r="J247" t="n">
        <v>1</v>
      </c>
      <c r="K247" t="n">
        <v>0</v>
      </c>
      <c r="L247" t="n">
        <v>0</v>
      </c>
      <c r="M247" t="n">
        <v>0</v>
      </c>
      <c r="N247" t="n">
        <v>0</v>
      </c>
      <c r="O247" t="n">
        <v>1</v>
      </c>
      <c r="P247" t="n">
        <v>0</v>
      </c>
      <c r="Q247" t="n">
        <v>1</v>
      </c>
      <c r="R247" s="2" t="inlineStr">
        <is>
          <t>Kolflarnlav</t>
        </is>
      </c>
      <c r="S247">
        <f>HYPERLINK("https://klasma.github.io/Logging_2309/artfynd/A 28490-2022 artfynd.xlsx", "A 28490-2022")</f>
        <v/>
      </c>
      <c r="T247">
        <f>HYPERLINK("https://klasma.github.io/Logging_2309/kartor/A 28490-2022 karta.png", "A 28490-2022")</f>
        <v/>
      </c>
      <c r="V247">
        <f>HYPERLINK("https://klasma.github.io/Logging_2309/klagomål/A 28490-2022 FSC-klagomål.docx", "A 28490-2022")</f>
        <v/>
      </c>
      <c r="W247">
        <f>HYPERLINK("https://klasma.github.io/Logging_2309/klagomålsmail/A 28490-2022 FSC-klagomål mail.docx", "A 28490-2022")</f>
        <v/>
      </c>
      <c r="X247">
        <f>HYPERLINK("https://klasma.github.io/Logging_2309/tillsyn/A 28490-2022 tillsynsbegäran.docx", "A 28490-2022")</f>
        <v/>
      </c>
      <c r="Y247">
        <f>HYPERLINK("https://klasma.github.io/Logging_2309/tillsynsmail/A 28490-2022 tillsynsbegäran mail.docx", "A 28490-2022")</f>
        <v/>
      </c>
    </row>
    <row r="248" ht="15" customHeight="1">
      <c r="A248" t="inlineStr">
        <is>
          <t>A 33316-2022</t>
        </is>
      </c>
      <c r="B248" s="1" t="n">
        <v>44788</v>
      </c>
      <c r="C248" s="1" t="n">
        <v>45627</v>
      </c>
      <c r="D248" t="inlineStr">
        <is>
          <t>JÄMTLANDS LÄN</t>
        </is>
      </c>
      <c r="E248" t="inlineStr">
        <is>
          <t>KROKOM</t>
        </is>
      </c>
      <c r="G248" t="n">
        <v>10.4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33316-2022 artfynd.xlsx", "A 33316-2022")</f>
        <v/>
      </c>
      <c r="T248">
        <f>HYPERLINK("https://klasma.github.io/Logging_2309/kartor/A 33316-2022 karta.png", "A 33316-2022")</f>
        <v/>
      </c>
      <c r="V248">
        <f>HYPERLINK("https://klasma.github.io/Logging_2309/klagomål/A 33316-2022 FSC-klagomål.docx", "A 33316-2022")</f>
        <v/>
      </c>
      <c r="W248">
        <f>HYPERLINK("https://klasma.github.io/Logging_2309/klagomålsmail/A 33316-2022 FSC-klagomål mail.docx", "A 33316-2022")</f>
        <v/>
      </c>
      <c r="X248">
        <f>HYPERLINK("https://klasma.github.io/Logging_2309/tillsyn/A 33316-2022 tillsynsbegäran.docx", "A 33316-2022")</f>
        <v/>
      </c>
      <c r="Y248">
        <f>HYPERLINK("https://klasma.github.io/Logging_2309/tillsynsmail/A 33316-2022 tillsynsbegäran mail.docx", "A 33316-2022")</f>
        <v/>
      </c>
      <c r="Z248">
        <f>HYPERLINK("https://klasma.github.io/Logging_2309/fåglar/A 33316-2022 prioriterade fågelarter.docx", "A 33316-2022")</f>
        <v/>
      </c>
    </row>
    <row r="249" ht="15" customHeight="1">
      <c r="A249" t="inlineStr">
        <is>
          <t>A 35246-2022</t>
        </is>
      </c>
      <c r="B249" s="1" t="n">
        <v>44797</v>
      </c>
      <c r="C249" s="1" t="n">
        <v>45627</v>
      </c>
      <c r="D249" t="inlineStr">
        <is>
          <t>JÄMTLANDS LÄN</t>
        </is>
      </c>
      <c r="E249" t="inlineStr">
        <is>
          <t>KROKOM</t>
        </is>
      </c>
      <c r="G249" t="n">
        <v>29.4</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35246-2022 artfynd.xlsx", "A 35246-2022")</f>
        <v/>
      </c>
      <c r="T249">
        <f>HYPERLINK("https://klasma.github.io/Logging_2309/kartor/A 35246-2022 karta.png", "A 35246-2022")</f>
        <v/>
      </c>
      <c r="V249">
        <f>HYPERLINK("https://klasma.github.io/Logging_2309/klagomål/A 35246-2022 FSC-klagomål.docx", "A 35246-2022")</f>
        <v/>
      </c>
      <c r="W249">
        <f>HYPERLINK("https://klasma.github.io/Logging_2309/klagomålsmail/A 35246-2022 FSC-klagomål mail.docx", "A 35246-2022")</f>
        <v/>
      </c>
      <c r="X249">
        <f>HYPERLINK("https://klasma.github.io/Logging_2309/tillsyn/A 35246-2022 tillsynsbegäran.docx", "A 35246-2022")</f>
        <v/>
      </c>
      <c r="Y249">
        <f>HYPERLINK("https://klasma.github.io/Logging_2309/tillsynsmail/A 35246-2022 tillsynsbegäran mail.docx", "A 35246-2022")</f>
        <v/>
      </c>
      <c r="Z249">
        <f>HYPERLINK("https://klasma.github.io/Logging_2309/fåglar/A 35246-2022 prioriterade fågelarter.docx", "A 35246-2022")</f>
        <v/>
      </c>
    </row>
    <row r="250" ht="15" customHeight="1">
      <c r="A250" t="inlineStr">
        <is>
          <t>A 45595-2022</t>
        </is>
      </c>
      <c r="B250" s="1" t="n">
        <v>44845</v>
      </c>
      <c r="C250" s="1" t="n">
        <v>45627</v>
      </c>
      <c r="D250" t="inlineStr">
        <is>
          <t>JÄMTLANDS LÄN</t>
        </is>
      </c>
      <c r="E250" t="inlineStr">
        <is>
          <t>KROKOM</t>
        </is>
      </c>
      <c r="G250" t="n">
        <v>10.2</v>
      </c>
      <c r="H250" t="n">
        <v>1</v>
      </c>
      <c r="I250" t="n">
        <v>0</v>
      </c>
      <c r="J250" t="n">
        <v>0</v>
      </c>
      <c r="K250" t="n">
        <v>0</v>
      </c>
      <c r="L250" t="n">
        <v>0</v>
      </c>
      <c r="M250" t="n">
        <v>0</v>
      </c>
      <c r="N250" t="n">
        <v>0</v>
      </c>
      <c r="O250" t="n">
        <v>0</v>
      </c>
      <c r="P250" t="n">
        <v>0</v>
      </c>
      <c r="Q250" t="n">
        <v>1</v>
      </c>
      <c r="R250" s="2" t="inlineStr">
        <is>
          <t>Revlummer</t>
        </is>
      </c>
      <c r="S250">
        <f>HYPERLINK("https://klasma.github.io/Logging_2309/artfynd/A 45595-2022 artfynd.xlsx", "A 45595-2022")</f>
        <v/>
      </c>
      <c r="T250">
        <f>HYPERLINK("https://klasma.github.io/Logging_2309/kartor/A 45595-2022 karta.png", "A 45595-2022")</f>
        <v/>
      </c>
      <c r="V250">
        <f>HYPERLINK("https://klasma.github.io/Logging_2309/klagomål/A 45595-2022 FSC-klagomål.docx", "A 45595-2022")</f>
        <v/>
      </c>
      <c r="W250">
        <f>HYPERLINK("https://klasma.github.io/Logging_2309/klagomålsmail/A 45595-2022 FSC-klagomål mail.docx", "A 45595-2022")</f>
        <v/>
      </c>
      <c r="X250">
        <f>HYPERLINK("https://klasma.github.io/Logging_2309/tillsyn/A 45595-2022 tillsynsbegäran.docx", "A 45595-2022")</f>
        <v/>
      </c>
      <c r="Y250">
        <f>HYPERLINK("https://klasma.github.io/Logging_2309/tillsynsmail/A 45595-2022 tillsynsbegäran mail.docx", "A 45595-2022")</f>
        <v/>
      </c>
    </row>
    <row r="251" ht="15" customHeight="1">
      <c r="A251" t="inlineStr">
        <is>
          <t>A 15430-2023</t>
        </is>
      </c>
      <c r="B251" s="1" t="n">
        <v>45020</v>
      </c>
      <c r="C251" s="1" t="n">
        <v>45627</v>
      </c>
      <c r="D251" t="inlineStr">
        <is>
          <t>JÄMTLANDS LÄN</t>
        </is>
      </c>
      <c r="E251" t="inlineStr">
        <is>
          <t>KROKOM</t>
        </is>
      </c>
      <c r="G251" t="n">
        <v>31.8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15430-2023 artfynd.xlsx", "A 15430-2023")</f>
        <v/>
      </c>
      <c r="T251">
        <f>HYPERLINK("https://klasma.github.io/Logging_2309/kartor/A 15430-2023 karta.png", "A 15430-2023")</f>
        <v/>
      </c>
      <c r="V251">
        <f>HYPERLINK("https://klasma.github.io/Logging_2309/klagomål/A 15430-2023 FSC-klagomål.docx", "A 15430-2023")</f>
        <v/>
      </c>
      <c r="W251">
        <f>HYPERLINK("https://klasma.github.io/Logging_2309/klagomålsmail/A 15430-2023 FSC-klagomål mail.docx", "A 15430-2023")</f>
        <v/>
      </c>
      <c r="X251">
        <f>HYPERLINK("https://klasma.github.io/Logging_2309/tillsyn/A 15430-2023 tillsynsbegäran.docx", "A 15430-2023")</f>
        <v/>
      </c>
      <c r="Y251">
        <f>HYPERLINK("https://klasma.github.io/Logging_2309/tillsynsmail/A 15430-2023 tillsynsbegäran mail.docx", "A 15430-2023")</f>
        <v/>
      </c>
      <c r="Z251">
        <f>HYPERLINK("https://klasma.github.io/Logging_2309/fåglar/A 15430-2023 prioriterade fågelarter.docx", "A 15430-2023")</f>
        <v/>
      </c>
    </row>
    <row r="252" ht="15" customHeight="1">
      <c r="A252" t="inlineStr">
        <is>
          <t>A 25285-2023</t>
        </is>
      </c>
      <c r="B252" s="1" t="n">
        <v>45079</v>
      </c>
      <c r="C252" s="1" t="n">
        <v>45627</v>
      </c>
      <c r="D252" t="inlineStr">
        <is>
          <t>JÄMTLANDS LÄN</t>
        </is>
      </c>
      <c r="E252" t="inlineStr">
        <is>
          <t>KROKOM</t>
        </is>
      </c>
      <c r="G252" t="n">
        <v>14.9</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25285-2023 artfynd.xlsx", "A 25285-2023")</f>
        <v/>
      </c>
      <c r="T252">
        <f>HYPERLINK("https://klasma.github.io/Logging_2309/kartor/A 25285-2023 karta.png", "A 25285-2023")</f>
        <v/>
      </c>
      <c r="V252">
        <f>HYPERLINK("https://klasma.github.io/Logging_2309/klagomål/A 25285-2023 FSC-klagomål.docx", "A 25285-2023")</f>
        <v/>
      </c>
      <c r="W252">
        <f>HYPERLINK("https://klasma.github.io/Logging_2309/klagomålsmail/A 25285-2023 FSC-klagomål mail.docx", "A 25285-2023")</f>
        <v/>
      </c>
      <c r="X252">
        <f>HYPERLINK("https://klasma.github.io/Logging_2309/tillsyn/A 25285-2023 tillsynsbegäran.docx", "A 25285-2023")</f>
        <v/>
      </c>
      <c r="Y252">
        <f>HYPERLINK("https://klasma.github.io/Logging_2309/tillsynsmail/A 25285-2023 tillsynsbegäran mail.docx", "A 25285-2023")</f>
        <v/>
      </c>
      <c r="Z252">
        <f>HYPERLINK("https://klasma.github.io/Logging_2309/fåglar/A 25285-2023 prioriterade fågelarter.docx", "A 25285-2023")</f>
        <v/>
      </c>
    </row>
    <row r="253" ht="15" customHeight="1">
      <c r="A253" t="inlineStr">
        <is>
          <t>A 27753-2023</t>
        </is>
      </c>
      <c r="B253" s="1" t="n">
        <v>45098</v>
      </c>
      <c r="C253" s="1" t="n">
        <v>45627</v>
      </c>
      <c r="D253" t="inlineStr">
        <is>
          <t>JÄMTLANDS LÄN</t>
        </is>
      </c>
      <c r="E253" t="inlineStr">
        <is>
          <t>KROKOM</t>
        </is>
      </c>
      <c r="F253" t="inlineStr">
        <is>
          <t>Övriga Aktiebolag</t>
        </is>
      </c>
      <c r="G253" t="n">
        <v>20.9</v>
      </c>
      <c r="H253" t="n">
        <v>0</v>
      </c>
      <c r="I253" t="n">
        <v>0</v>
      </c>
      <c r="J253" t="n">
        <v>1</v>
      </c>
      <c r="K253" t="n">
        <v>0</v>
      </c>
      <c r="L253" t="n">
        <v>0</v>
      </c>
      <c r="M253" t="n">
        <v>0</v>
      </c>
      <c r="N253" t="n">
        <v>0</v>
      </c>
      <c r="O253" t="n">
        <v>1</v>
      </c>
      <c r="P253" t="n">
        <v>0</v>
      </c>
      <c r="Q253" t="n">
        <v>1</v>
      </c>
      <c r="R253" s="2" t="inlineStr">
        <is>
          <t>Mörk kolflarnlav</t>
        </is>
      </c>
      <c r="S253">
        <f>HYPERLINK("https://klasma.github.io/Logging_2309/artfynd/A 27753-2023 artfynd.xlsx", "A 27753-2023")</f>
        <v/>
      </c>
      <c r="T253">
        <f>HYPERLINK("https://klasma.github.io/Logging_2309/kartor/A 27753-2023 karta.png", "A 27753-2023")</f>
        <v/>
      </c>
      <c r="V253">
        <f>HYPERLINK("https://klasma.github.io/Logging_2309/klagomål/A 27753-2023 FSC-klagomål.docx", "A 27753-2023")</f>
        <v/>
      </c>
      <c r="W253">
        <f>HYPERLINK("https://klasma.github.io/Logging_2309/klagomålsmail/A 27753-2023 FSC-klagomål mail.docx", "A 27753-2023")</f>
        <v/>
      </c>
      <c r="X253">
        <f>HYPERLINK("https://klasma.github.io/Logging_2309/tillsyn/A 27753-2023 tillsynsbegäran.docx", "A 27753-2023")</f>
        <v/>
      </c>
      <c r="Y253">
        <f>HYPERLINK("https://klasma.github.io/Logging_2309/tillsynsmail/A 27753-2023 tillsynsbegäran mail.docx", "A 27753-2023")</f>
        <v/>
      </c>
    </row>
    <row r="254" ht="15" customHeight="1">
      <c r="A254" t="inlineStr">
        <is>
          <t>A 31959-2023</t>
        </is>
      </c>
      <c r="B254" s="1" t="n">
        <v>45107</v>
      </c>
      <c r="C254" s="1" t="n">
        <v>45627</v>
      </c>
      <c r="D254" t="inlineStr">
        <is>
          <t>JÄMTLANDS LÄN</t>
        </is>
      </c>
      <c r="E254" t="inlineStr">
        <is>
          <t>KROKOM</t>
        </is>
      </c>
      <c r="G254" t="n">
        <v>12.1</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31959-2023 artfynd.xlsx", "A 31959-2023")</f>
        <v/>
      </c>
      <c r="T254">
        <f>HYPERLINK("https://klasma.github.io/Logging_2309/kartor/A 31959-2023 karta.png", "A 31959-2023")</f>
        <v/>
      </c>
      <c r="V254">
        <f>HYPERLINK("https://klasma.github.io/Logging_2309/klagomål/A 31959-2023 FSC-klagomål.docx", "A 31959-2023")</f>
        <v/>
      </c>
      <c r="W254">
        <f>HYPERLINK("https://klasma.github.io/Logging_2309/klagomålsmail/A 31959-2023 FSC-klagomål mail.docx", "A 31959-2023")</f>
        <v/>
      </c>
      <c r="X254">
        <f>HYPERLINK("https://klasma.github.io/Logging_2309/tillsyn/A 31959-2023 tillsynsbegäran.docx", "A 31959-2023")</f>
        <v/>
      </c>
      <c r="Y254">
        <f>HYPERLINK("https://klasma.github.io/Logging_2309/tillsynsmail/A 31959-2023 tillsynsbegäran mail.docx", "A 31959-2023")</f>
        <v/>
      </c>
      <c r="Z254">
        <f>HYPERLINK("https://klasma.github.io/Logging_2309/fåglar/A 31959-2023 prioriterade fågelarter.docx", "A 31959-2023")</f>
        <v/>
      </c>
    </row>
    <row r="255" ht="15" customHeight="1">
      <c r="A255" t="inlineStr">
        <is>
          <t>A 32756-2023</t>
        </is>
      </c>
      <c r="B255" s="1" t="n">
        <v>45123</v>
      </c>
      <c r="C255" s="1" t="n">
        <v>45627</v>
      </c>
      <c r="D255" t="inlineStr">
        <is>
          <t>JÄMTLANDS LÄN</t>
        </is>
      </c>
      <c r="E255" t="inlineStr">
        <is>
          <t>KROKOM</t>
        </is>
      </c>
      <c r="F255" t="inlineStr">
        <is>
          <t>Övriga Aktiebolag</t>
        </is>
      </c>
      <c r="G255" t="n">
        <v>6.8</v>
      </c>
      <c r="H255" t="n">
        <v>0</v>
      </c>
      <c r="I255" t="n">
        <v>1</v>
      </c>
      <c r="J255" t="n">
        <v>0</v>
      </c>
      <c r="K255" t="n">
        <v>0</v>
      </c>
      <c r="L255" t="n">
        <v>0</v>
      </c>
      <c r="M255" t="n">
        <v>0</v>
      </c>
      <c r="N255" t="n">
        <v>0</v>
      </c>
      <c r="O255" t="n">
        <v>0</v>
      </c>
      <c r="P255" t="n">
        <v>0</v>
      </c>
      <c r="Q255" t="n">
        <v>1</v>
      </c>
      <c r="R255" s="2" t="inlineStr">
        <is>
          <t>Kransrams</t>
        </is>
      </c>
      <c r="S255">
        <f>HYPERLINK("https://klasma.github.io/Logging_2309/artfynd/A 32756-2023 artfynd.xlsx", "A 32756-2023")</f>
        <v/>
      </c>
      <c r="T255">
        <f>HYPERLINK("https://klasma.github.io/Logging_2309/kartor/A 32756-2023 karta.png", "A 32756-2023")</f>
        <v/>
      </c>
      <c r="V255">
        <f>HYPERLINK("https://klasma.github.io/Logging_2309/klagomål/A 32756-2023 FSC-klagomål.docx", "A 32756-2023")</f>
        <v/>
      </c>
      <c r="W255">
        <f>HYPERLINK("https://klasma.github.io/Logging_2309/klagomålsmail/A 32756-2023 FSC-klagomål mail.docx", "A 32756-2023")</f>
        <v/>
      </c>
      <c r="X255">
        <f>HYPERLINK("https://klasma.github.io/Logging_2309/tillsyn/A 32756-2023 tillsynsbegäran.docx", "A 32756-2023")</f>
        <v/>
      </c>
      <c r="Y255">
        <f>HYPERLINK("https://klasma.github.io/Logging_2309/tillsynsmail/A 32756-2023 tillsynsbegäran mail.docx", "A 32756-2023")</f>
        <v/>
      </c>
    </row>
    <row r="256" ht="15" customHeight="1">
      <c r="A256" t="inlineStr">
        <is>
          <t>A 36639-2023</t>
        </is>
      </c>
      <c r="B256" s="1" t="n">
        <v>45153</v>
      </c>
      <c r="C256" s="1" t="n">
        <v>45627</v>
      </c>
      <c r="D256" t="inlineStr">
        <is>
          <t>JÄMTLANDS LÄN</t>
        </is>
      </c>
      <c r="E256" t="inlineStr">
        <is>
          <t>KROKOM</t>
        </is>
      </c>
      <c r="F256" t="inlineStr">
        <is>
          <t>Övriga Aktiebolag</t>
        </is>
      </c>
      <c r="G256" t="n">
        <v>5.5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36639-2023 artfynd.xlsx", "A 36639-2023")</f>
        <v/>
      </c>
      <c r="T256">
        <f>HYPERLINK("https://klasma.github.io/Logging_2309/kartor/A 36639-2023 karta.png", "A 36639-2023")</f>
        <v/>
      </c>
      <c r="V256">
        <f>HYPERLINK("https://klasma.github.io/Logging_2309/klagomål/A 36639-2023 FSC-klagomål.docx", "A 36639-2023")</f>
        <v/>
      </c>
      <c r="W256">
        <f>HYPERLINK("https://klasma.github.io/Logging_2309/klagomålsmail/A 36639-2023 FSC-klagomål mail.docx", "A 36639-2023")</f>
        <v/>
      </c>
      <c r="X256">
        <f>HYPERLINK("https://klasma.github.io/Logging_2309/tillsyn/A 36639-2023 tillsynsbegäran.docx", "A 36639-2023")</f>
        <v/>
      </c>
      <c r="Y256">
        <f>HYPERLINK("https://klasma.github.io/Logging_2309/tillsynsmail/A 36639-2023 tillsynsbegäran mail.docx", "A 36639-2023")</f>
        <v/>
      </c>
      <c r="Z256">
        <f>HYPERLINK("https://klasma.github.io/Logging_2309/fåglar/A 36639-2023 prioriterade fågelarter.docx", "A 36639-2023")</f>
        <v/>
      </c>
    </row>
    <row r="257" ht="15" customHeight="1">
      <c r="A257" t="inlineStr">
        <is>
          <t>A 42156-2023</t>
        </is>
      </c>
      <c r="B257" s="1" t="n">
        <v>45177</v>
      </c>
      <c r="C257" s="1" t="n">
        <v>45627</v>
      </c>
      <c r="D257" t="inlineStr">
        <is>
          <t>JÄMTLANDS LÄN</t>
        </is>
      </c>
      <c r="E257" t="inlineStr">
        <is>
          <t>KROKOM</t>
        </is>
      </c>
      <c r="G257" t="n">
        <v>1</v>
      </c>
      <c r="H257" t="n">
        <v>0</v>
      </c>
      <c r="I257" t="n">
        <v>0</v>
      </c>
      <c r="J257" t="n">
        <v>1</v>
      </c>
      <c r="K257" t="n">
        <v>0</v>
      </c>
      <c r="L257" t="n">
        <v>0</v>
      </c>
      <c r="M257" t="n">
        <v>0</v>
      </c>
      <c r="N257" t="n">
        <v>0</v>
      </c>
      <c r="O257" t="n">
        <v>1</v>
      </c>
      <c r="P257" t="n">
        <v>0</v>
      </c>
      <c r="Q257" t="n">
        <v>1</v>
      </c>
      <c r="R257" s="2" t="inlineStr">
        <is>
          <t>Granticka</t>
        </is>
      </c>
      <c r="S257">
        <f>HYPERLINK("https://klasma.github.io/Logging_2309/artfynd/A 42156-2023 artfynd.xlsx", "A 42156-2023")</f>
        <v/>
      </c>
      <c r="T257">
        <f>HYPERLINK("https://klasma.github.io/Logging_2309/kartor/A 42156-2023 karta.png", "A 42156-2023")</f>
        <v/>
      </c>
      <c r="V257">
        <f>HYPERLINK("https://klasma.github.io/Logging_2309/klagomål/A 42156-2023 FSC-klagomål.docx", "A 42156-2023")</f>
        <v/>
      </c>
      <c r="W257">
        <f>HYPERLINK("https://klasma.github.io/Logging_2309/klagomålsmail/A 42156-2023 FSC-klagomål mail.docx", "A 42156-2023")</f>
        <v/>
      </c>
      <c r="X257">
        <f>HYPERLINK("https://klasma.github.io/Logging_2309/tillsyn/A 42156-2023 tillsynsbegäran.docx", "A 42156-2023")</f>
        <v/>
      </c>
      <c r="Y257">
        <f>HYPERLINK("https://klasma.github.io/Logging_2309/tillsynsmail/A 42156-2023 tillsynsbegäran mail.docx", "A 42156-2023")</f>
        <v/>
      </c>
    </row>
    <row r="258" ht="15" customHeight="1">
      <c r="A258" t="inlineStr">
        <is>
          <t>A 42258-2023</t>
        </is>
      </c>
      <c r="B258" s="1" t="n">
        <v>45180</v>
      </c>
      <c r="C258" s="1" t="n">
        <v>45627</v>
      </c>
      <c r="D258" t="inlineStr">
        <is>
          <t>JÄMTLANDS LÄN</t>
        </is>
      </c>
      <c r="E258" t="inlineStr">
        <is>
          <t>KROKOM</t>
        </is>
      </c>
      <c r="F258" t="inlineStr">
        <is>
          <t>Övriga Aktiebolag</t>
        </is>
      </c>
      <c r="G258" t="n">
        <v>0.2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42258-2023 artfynd.xlsx", "A 42258-2023")</f>
        <v/>
      </c>
      <c r="T258">
        <f>HYPERLINK("https://klasma.github.io/Logging_2309/kartor/A 42258-2023 karta.png", "A 42258-2023")</f>
        <v/>
      </c>
      <c r="V258">
        <f>HYPERLINK("https://klasma.github.io/Logging_2309/klagomål/A 42258-2023 FSC-klagomål.docx", "A 42258-2023")</f>
        <v/>
      </c>
      <c r="W258">
        <f>HYPERLINK("https://klasma.github.io/Logging_2309/klagomålsmail/A 42258-2023 FSC-klagomål mail.docx", "A 42258-2023")</f>
        <v/>
      </c>
      <c r="X258">
        <f>HYPERLINK("https://klasma.github.io/Logging_2309/tillsyn/A 42258-2023 tillsynsbegäran.docx", "A 42258-2023")</f>
        <v/>
      </c>
      <c r="Y258">
        <f>HYPERLINK("https://klasma.github.io/Logging_2309/tillsynsmail/A 42258-2023 tillsynsbegäran mail.docx", "A 42258-2023")</f>
        <v/>
      </c>
      <c r="Z258">
        <f>HYPERLINK("https://klasma.github.io/Logging_2309/fåglar/A 42258-2023 prioriterade fågelarter.docx", "A 42258-2023")</f>
        <v/>
      </c>
    </row>
    <row r="259" ht="15" customHeight="1">
      <c r="A259" t="inlineStr">
        <is>
          <t>A 47338-2023</t>
        </is>
      </c>
      <c r="B259" s="1" t="n">
        <v>45196</v>
      </c>
      <c r="C259" s="1" t="n">
        <v>45627</v>
      </c>
      <c r="D259" t="inlineStr">
        <is>
          <t>JÄMTLANDS LÄN</t>
        </is>
      </c>
      <c r="E259" t="inlineStr">
        <is>
          <t>KROKOM</t>
        </is>
      </c>
      <c r="G259" t="n">
        <v>13</v>
      </c>
      <c r="H259" t="n">
        <v>0</v>
      </c>
      <c r="I259" t="n">
        <v>1</v>
      </c>
      <c r="J259" t="n">
        <v>0</v>
      </c>
      <c r="K259" t="n">
        <v>0</v>
      </c>
      <c r="L259" t="n">
        <v>0</v>
      </c>
      <c r="M259" t="n">
        <v>0</v>
      </c>
      <c r="N259" t="n">
        <v>0</v>
      </c>
      <c r="O259" t="n">
        <v>0</v>
      </c>
      <c r="P259" t="n">
        <v>0</v>
      </c>
      <c r="Q259" t="n">
        <v>1</v>
      </c>
      <c r="R259" s="2" t="inlineStr">
        <is>
          <t>Skinnlav</t>
        </is>
      </c>
      <c r="S259">
        <f>HYPERLINK("https://klasma.github.io/Logging_2309/artfynd/A 47338-2023 artfynd.xlsx", "A 47338-2023")</f>
        <v/>
      </c>
      <c r="T259">
        <f>HYPERLINK("https://klasma.github.io/Logging_2309/kartor/A 47338-2023 karta.png", "A 47338-2023")</f>
        <v/>
      </c>
      <c r="V259">
        <f>HYPERLINK("https://klasma.github.io/Logging_2309/klagomål/A 47338-2023 FSC-klagomål.docx", "A 47338-2023")</f>
        <v/>
      </c>
      <c r="W259">
        <f>HYPERLINK("https://klasma.github.io/Logging_2309/klagomålsmail/A 47338-2023 FSC-klagomål mail.docx", "A 47338-2023")</f>
        <v/>
      </c>
      <c r="X259">
        <f>HYPERLINK("https://klasma.github.io/Logging_2309/tillsyn/A 47338-2023 tillsynsbegäran.docx", "A 47338-2023")</f>
        <v/>
      </c>
      <c r="Y259">
        <f>HYPERLINK("https://klasma.github.io/Logging_2309/tillsynsmail/A 47338-2023 tillsynsbegäran mail.docx", "A 47338-2023")</f>
        <v/>
      </c>
    </row>
    <row r="260" ht="15" customHeight="1">
      <c r="A260" t="inlineStr">
        <is>
          <t>A 56572-2023</t>
        </is>
      </c>
      <c r="B260" s="1" t="n">
        <v>45243</v>
      </c>
      <c r="C260" s="1" t="n">
        <v>45627</v>
      </c>
      <c r="D260" t="inlineStr">
        <is>
          <t>JÄMTLANDS LÄN</t>
        </is>
      </c>
      <c r="E260" t="inlineStr">
        <is>
          <t>KROKOM</t>
        </is>
      </c>
      <c r="F260" t="inlineStr">
        <is>
          <t>Övriga Aktiebolag</t>
        </is>
      </c>
      <c r="G260" t="n">
        <v>0.8</v>
      </c>
      <c r="H260" t="n">
        <v>1</v>
      </c>
      <c r="I260" t="n">
        <v>0</v>
      </c>
      <c r="J260" t="n">
        <v>0</v>
      </c>
      <c r="K260" t="n">
        <v>0</v>
      </c>
      <c r="L260" t="n">
        <v>0</v>
      </c>
      <c r="M260" t="n">
        <v>0</v>
      </c>
      <c r="N260" t="n">
        <v>0</v>
      </c>
      <c r="O260" t="n">
        <v>0</v>
      </c>
      <c r="P260" t="n">
        <v>0</v>
      </c>
      <c r="Q260" t="n">
        <v>1</v>
      </c>
      <c r="R260" s="2" t="inlineStr">
        <is>
          <t>Vanlig groda</t>
        </is>
      </c>
      <c r="S260">
        <f>HYPERLINK("https://klasma.github.io/Logging_2309/artfynd/A 56572-2023 artfynd.xlsx", "A 56572-2023")</f>
        <v/>
      </c>
      <c r="T260">
        <f>HYPERLINK("https://klasma.github.io/Logging_2309/kartor/A 56572-2023 karta.png", "A 56572-2023")</f>
        <v/>
      </c>
      <c r="V260">
        <f>HYPERLINK("https://klasma.github.io/Logging_2309/klagomål/A 56572-2023 FSC-klagomål.docx", "A 56572-2023")</f>
        <v/>
      </c>
      <c r="W260">
        <f>HYPERLINK("https://klasma.github.io/Logging_2309/klagomålsmail/A 56572-2023 FSC-klagomål mail.docx", "A 56572-2023")</f>
        <v/>
      </c>
      <c r="X260">
        <f>HYPERLINK("https://klasma.github.io/Logging_2309/tillsyn/A 56572-2023 tillsynsbegäran.docx", "A 56572-2023")</f>
        <v/>
      </c>
      <c r="Y260">
        <f>HYPERLINK("https://klasma.github.io/Logging_2309/tillsynsmail/A 56572-2023 tillsynsbegäran mail.docx", "A 56572-2023")</f>
        <v/>
      </c>
    </row>
    <row r="261" ht="15" customHeight="1">
      <c r="A261" t="inlineStr">
        <is>
          <t>A 56628-2023</t>
        </is>
      </c>
      <c r="B261" s="1" t="n">
        <v>45243</v>
      </c>
      <c r="C261" s="1" t="n">
        <v>45627</v>
      </c>
      <c r="D261" t="inlineStr">
        <is>
          <t>JÄMTLANDS LÄN</t>
        </is>
      </c>
      <c r="E261" t="inlineStr">
        <is>
          <t>KROKOM</t>
        </is>
      </c>
      <c r="G261" t="n">
        <v>17.8</v>
      </c>
      <c r="H261" t="n">
        <v>1</v>
      </c>
      <c r="I261" t="n">
        <v>0</v>
      </c>
      <c r="J261" t="n">
        <v>0</v>
      </c>
      <c r="K261" t="n">
        <v>0</v>
      </c>
      <c r="L261" t="n">
        <v>0</v>
      </c>
      <c r="M261" t="n">
        <v>0</v>
      </c>
      <c r="N261" t="n">
        <v>0</v>
      </c>
      <c r="O261" t="n">
        <v>0</v>
      </c>
      <c r="P261" t="n">
        <v>0</v>
      </c>
      <c r="Q261" t="n">
        <v>1</v>
      </c>
      <c r="R261" s="2" t="inlineStr">
        <is>
          <t>Blåsippa</t>
        </is>
      </c>
      <c r="S261">
        <f>HYPERLINK("https://klasma.github.io/Logging_2309/artfynd/A 56628-2023 artfynd.xlsx", "A 56628-2023")</f>
        <v/>
      </c>
      <c r="T261">
        <f>HYPERLINK("https://klasma.github.io/Logging_2309/kartor/A 56628-2023 karta.png", "A 56628-2023")</f>
        <v/>
      </c>
      <c r="V261">
        <f>HYPERLINK("https://klasma.github.io/Logging_2309/klagomål/A 56628-2023 FSC-klagomål.docx", "A 56628-2023")</f>
        <v/>
      </c>
      <c r="W261">
        <f>HYPERLINK("https://klasma.github.io/Logging_2309/klagomålsmail/A 56628-2023 FSC-klagomål mail.docx", "A 56628-2023")</f>
        <v/>
      </c>
      <c r="X261">
        <f>HYPERLINK("https://klasma.github.io/Logging_2309/tillsyn/A 56628-2023 tillsynsbegäran.docx", "A 56628-2023")</f>
        <v/>
      </c>
      <c r="Y261">
        <f>HYPERLINK("https://klasma.github.io/Logging_2309/tillsynsmail/A 56628-2023 tillsynsbegäran mail.docx", "A 56628-2023")</f>
        <v/>
      </c>
    </row>
    <row r="262" ht="15" customHeight="1">
      <c r="A262" t="inlineStr">
        <is>
          <t>A 62936-2023</t>
        </is>
      </c>
      <c r="B262" s="1" t="n">
        <v>45271</v>
      </c>
      <c r="C262" s="1" t="n">
        <v>45627</v>
      </c>
      <c r="D262" t="inlineStr">
        <is>
          <t>JÄMTLANDS LÄN</t>
        </is>
      </c>
      <c r="E262" t="inlineStr">
        <is>
          <t>KROKOM</t>
        </is>
      </c>
      <c r="G262" t="n">
        <v>55.4</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12818-2024</t>
        </is>
      </c>
      <c r="B263" s="1" t="n">
        <v>45384</v>
      </c>
      <c r="C263" s="1" t="n">
        <v>45627</v>
      </c>
      <c r="D263" t="inlineStr">
        <is>
          <t>JÄMTLANDS LÄN</t>
        </is>
      </c>
      <c r="E263" t="inlineStr">
        <is>
          <t>KROKOM</t>
        </is>
      </c>
      <c r="G263" t="n">
        <v>12.1</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12818-2024 artfynd.xlsx", "A 12818-2024")</f>
        <v/>
      </c>
      <c r="T263">
        <f>HYPERLINK("https://klasma.github.io/Logging_2309/kartor/A 12818-2024 karta.png", "A 12818-2024")</f>
        <v/>
      </c>
      <c r="V263">
        <f>HYPERLINK("https://klasma.github.io/Logging_2309/klagomål/A 12818-2024 FSC-klagomål.docx", "A 12818-2024")</f>
        <v/>
      </c>
      <c r="W263">
        <f>HYPERLINK("https://klasma.github.io/Logging_2309/klagomålsmail/A 12818-2024 FSC-klagomål mail.docx", "A 12818-2024")</f>
        <v/>
      </c>
      <c r="X263">
        <f>HYPERLINK("https://klasma.github.io/Logging_2309/tillsyn/A 12818-2024 tillsynsbegäran.docx", "A 12818-2024")</f>
        <v/>
      </c>
      <c r="Y263">
        <f>HYPERLINK("https://klasma.github.io/Logging_2309/tillsynsmail/A 12818-2024 tillsynsbegäran mail.docx", "A 12818-2024")</f>
        <v/>
      </c>
      <c r="Z263">
        <f>HYPERLINK("https://klasma.github.io/Logging_2309/fåglar/A 12818-2024 prioriterade fågelarter.docx", "A 12818-2024")</f>
        <v/>
      </c>
    </row>
    <row r="264" ht="15" customHeight="1">
      <c r="A264" t="inlineStr">
        <is>
          <t>A 16426-2024</t>
        </is>
      </c>
      <c r="B264" s="1" t="n">
        <v>45407</v>
      </c>
      <c r="C264" s="1" t="n">
        <v>45627</v>
      </c>
      <c r="D264" t="inlineStr">
        <is>
          <t>JÄMTLANDS LÄN</t>
        </is>
      </c>
      <c r="E264" t="inlineStr">
        <is>
          <t>KROKOM</t>
        </is>
      </c>
      <c r="G264" t="n">
        <v>1.3</v>
      </c>
      <c r="H264" t="n">
        <v>0</v>
      </c>
      <c r="I264" t="n">
        <v>0</v>
      </c>
      <c r="J264" t="n">
        <v>1</v>
      </c>
      <c r="K264" t="n">
        <v>0</v>
      </c>
      <c r="L264" t="n">
        <v>0</v>
      </c>
      <c r="M264" t="n">
        <v>0</v>
      </c>
      <c r="N264" t="n">
        <v>0</v>
      </c>
      <c r="O264" t="n">
        <v>1</v>
      </c>
      <c r="P264" t="n">
        <v>0</v>
      </c>
      <c r="Q264" t="n">
        <v>1</v>
      </c>
      <c r="R264" s="2" t="inlineStr">
        <is>
          <t>Slåtterfibbla</t>
        </is>
      </c>
      <c r="S264">
        <f>HYPERLINK("https://klasma.github.io/Logging_2309/artfynd/A 16426-2024 artfynd.xlsx", "A 16426-2024")</f>
        <v/>
      </c>
      <c r="T264">
        <f>HYPERLINK("https://klasma.github.io/Logging_2309/kartor/A 16426-2024 karta.png", "A 16426-2024")</f>
        <v/>
      </c>
      <c r="V264">
        <f>HYPERLINK("https://klasma.github.io/Logging_2309/klagomål/A 16426-2024 FSC-klagomål.docx", "A 16426-2024")</f>
        <v/>
      </c>
      <c r="W264">
        <f>HYPERLINK("https://klasma.github.io/Logging_2309/klagomålsmail/A 16426-2024 FSC-klagomål mail.docx", "A 16426-2024")</f>
        <v/>
      </c>
      <c r="X264">
        <f>HYPERLINK("https://klasma.github.io/Logging_2309/tillsyn/A 16426-2024 tillsynsbegäran.docx", "A 16426-2024")</f>
        <v/>
      </c>
      <c r="Y264">
        <f>HYPERLINK("https://klasma.github.io/Logging_2309/tillsynsmail/A 16426-2024 tillsynsbegäran mail.docx", "A 16426-2024")</f>
        <v/>
      </c>
    </row>
    <row r="265" ht="15" customHeight="1">
      <c r="A265" t="inlineStr">
        <is>
          <t>A 19534-2024</t>
        </is>
      </c>
      <c r="B265" s="1" t="n">
        <v>45429</v>
      </c>
      <c r="C265" s="1" t="n">
        <v>45627</v>
      </c>
      <c r="D265" t="inlineStr">
        <is>
          <t>JÄMTLANDS LÄN</t>
        </is>
      </c>
      <c r="E265" t="inlineStr">
        <is>
          <t>KROKOM</t>
        </is>
      </c>
      <c r="F265" t="inlineStr">
        <is>
          <t>Övriga Aktiebolag</t>
        </is>
      </c>
      <c r="G265" t="n">
        <v>4.8</v>
      </c>
      <c r="H265" t="n">
        <v>1</v>
      </c>
      <c r="I265" t="n">
        <v>1</v>
      </c>
      <c r="J265" t="n">
        <v>0</v>
      </c>
      <c r="K265" t="n">
        <v>0</v>
      </c>
      <c r="L265" t="n">
        <v>0</v>
      </c>
      <c r="M265" t="n">
        <v>0</v>
      </c>
      <c r="N265" t="n">
        <v>0</v>
      </c>
      <c r="O265" t="n">
        <v>0</v>
      </c>
      <c r="P265" t="n">
        <v>0</v>
      </c>
      <c r="Q265" t="n">
        <v>1</v>
      </c>
      <c r="R265" s="2" t="inlineStr">
        <is>
          <t>Spindelblomster</t>
        </is>
      </c>
      <c r="S265">
        <f>HYPERLINK("https://klasma.github.io/Logging_2309/artfynd/A 19534-2024 artfynd.xlsx", "A 19534-2024")</f>
        <v/>
      </c>
      <c r="T265">
        <f>HYPERLINK("https://klasma.github.io/Logging_2309/kartor/A 19534-2024 karta.png", "A 19534-2024")</f>
        <v/>
      </c>
      <c r="V265">
        <f>HYPERLINK("https://klasma.github.io/Logging_2309/klagomål/A 19534-2024 FSC-klagomål.docx", "A 19534-2024")</f>
        <v/>
      </c>
      <c r="W265">
        <f>HYPERLINK("https://klasma.github.io/Logging_2309/klagomålsmail/A 19534-2024 FSC-klagomål mail.docx", "A 19534-2024")</f>
        <v/>
      </c>
      <c r="X265">
        <f>HYPERLINK("https://klasma.github.io/Logging_2309/tillsyn/A 19534-2024 tillsynsbegäran.docx", "A 19534-2024")</f>
        <v/>
      </c>
      <c r="Y265">
        <f>HYPERLINK("https://klasma.github.io/Logging_2309/tillsynsmail/A 19534-2024 tillsynsbegäran mail.docx", "A 19534-2024")</f>
        <v/>
      </c>
    </row>
    <row r="266" ht="15" customHeight="1">
      <c r="A266" t="inlineStr">
        <is>
          <t>A 22966-2024</t>
        </is>
      </c>
      <c r="B266" s="1" t="n">
        <v>45449</v>
      </c>
      <c r="C266" s="1" t="n">
        <v>45627</v>
      </c>
      <c r="D266" t="inlineStr">
        <is>
          <t>JÄMTLANDS LÄN</t>
        </is>
      </c>
      <c r="E266" t="inlineStr">
        <is>
          <t>KROKOM</t>
        </is>
      </c>
      <c r="G266" t="n">
        <v>1.8</v>
      </c>
      <c r="H266" t="n">
        <v>0</v>
      </c>
      <c r="I266" t="n">
        <v>0</v>
      </c>
      <c r="J266" t="n">
        <v>1</v>
      </c>
      <c r="K266" t="n">
        <v>0</v>
      </c>
      <c r="L266" t="n">
        <v>0</v>
      </c>
      <c r="M266" t="n">
        <v>0</v>
      </c>
      <c r="N266" t="n">
        <v>0</v>
      </c>
      <c r="O266" t="n">
        <v>1</v>
      </c>
      <c r="P266" t="n">
        <v>0</v>
      </c>
      <c r="Q266" t="n">
        <v>1</v>
      </c>
      <c r="R266" s="2" t="inlineStr">
        <is>
          <t>Kronskål</t>
        </is>
      </c>
      <c r="S266">
        <f>HYPERLINK("https://klasma.github.io/Logging_2309/artfynd/A 22966-2024 artfynd.xlsx", "A 22966-2024")</f>
        <v/>
      </c>
      <c r="T266">
        <f>HYPERLINK("https://klasma.github.io/Logging_2309/kartor/A 22966-2024 karta.png", "A 22966-2024")</f>
        <v/>
      </c>
      <c r="V266">
        <f>HYPERLINK("https://klasma.github.io/Logging_2309/klagomål/A 22966-2024 FSC-klagomål.docx", "A 22966-2024")</f>
        <v/>
      </c>
      <c r="W266">
        <f>HYPERLINK("https://klasma.github.io/Logging_2309/klagomålsmail/A 22966-2024 FSC-klagomål mail.docx", "A 22966-2024")</f>
        <v/>
      </c>
      <c r="X266">
        <f>HYPERLINK("https://klasma.github.io/Logging_2309/tillsyn/A 22966-2024 tillsynsbegäran.docx", "A 22966-2024")</f>
        <v/>
      </c>
      <c r="Y266">
        <f>HYPERLINK("https://klasma.github.io/Logging_2309/tillsynsmail/A 22966-2024 tillsynsbegäran mail.docx", "A 22966-2024")</f>
        <v/>
      </c>
    </row>
    <row r="267" ht="15" customHeight="1">
      <c r="A267" t="inlineStr">
        <is>
          <t>A 26290-2024</t>
        </is>
      </c>
      <c r="B267" s="1" t="n">
        <v>45468</v>
      </c>
      <c r="C267" s="1" t="n">
        <v>45627</v>
      </c>
      <c r="D267" t="inlineStr">
        <is>
          <t>JÄMTLANDS LÄN</t>
        </is>
      </c>
      <c r="E267" t="inlineStr">
        <is>
          <t>KROKOM</t>
        </is>
      </c>
      <c r="F267" t="inlineStr">
        <is>
          <t>Övriga Aktiebolag</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26290-2024 artfynd.xlsx", "A 26290-2024")</f>
        <v/>
      </c>
      <c r="T267">
        <f>HYPERLINK("https://klasma.github.io/Logging_2309/kartor/A 26290-2024 karta.png", "A 26290-2024")</f>
        <v/>
      </c>
      <c r="V267">
        <f>HYPERLINK("https://klasma.github.io/Logging_2309/klagomål/A 26290-2024 FSC-klagomål.docx", "A 26290-2024")</f>
        <v/>
      </c>
      <c r="W267">
        <f>HYPERLINK("https://klasma.github.io/Logging_2309/klagomålsmail/A 26290-2024 FSC-klagomål mail.docx", "A 26290-2024")</f>
        <v/>
      </c>
      <c r="X267">
        <f>HYPERLINK("https://klasma.github.io/Logging_2309/tillsyn/A 26290-2024 tillsynsbegäran.docx", "A 26290-2024")</f>
        <v/>
      </c>
      <c r="Y267">
        <f>HYPERLINK("https://klasma.github.io/Logging_2309/tillsynsmail/A 26290-2024 tillsynsbegäran mail.docx", "A 26290-2024")</f>
        <v/>
      </c>
      <c r="Z267">
        <f>HYPERLINK("https://klasma.github.io/Logging_2309/fåglar/A 26290-2024 prioriterade fågelarter.docx", "A 26290-2024")</f>
        <v/>
      </c>
    </row>
    <row r="268" ht="15" customHeight="1">
      <c r="A268" t="inlineStr">
        <is>
          <t>A 27133-2024</t>
        </is>
      </c>
      <c r="B268" s="1" t="n">
        <v>45471</v>
      </c>
      <c r="C268" s="1" t="n">
        <v>45627</v>
      </c>
      <c r="D268" t="inlineStr">
        <is>
          <t>JÄMTLANDS LÄN</t>
        </is>
      </c>
      <c r="E268" t="inlineStr">
        <is>
          <t>KROKOM</t>
        </is>
      </c>
      <c r="G268" t="n">
        <v>5.4</v>
      </c>
      <c r="H268" t="n">
        <v>1</v>
      </c>
      <c r="I268" t="n">
        <v>1</v>
      </c>
      <c r="J268" t="n">
        <v>0</v>
      </c>
      <c r="K268" t="n">
        <v>0</v>
      </c>
      <c r="L268" t="n">
        <v>0</v>
      </c>
      <c r="M268" t="n">
        <v>0</v>
      </c>
      <c r="N268" t="n">
        <v>0</v>
      </c>
      <c r="O268" t="n">
        <v>0</v>
      </c>
      <c r="P268" t="n">
        <v>0</v>
      </c>
      <c r="Q268" t="n">
        <v>1</v>
      </c>
      <c r="R268" s="2" t="inlineStr">
        <is>
          <t>Spindelblomster</t>
        </is>
      </c>
      <c r="S268">
        <f>HYPERLINK("https://klasma.github.io/Logging_2309/artfynd/A 27133-2024 artfynd.xlsx", "A 27133-2024")</f>
        <v/>
      </c>
      <c r="T268">
        <f>HYPERLINK("https://klasma.github.io/Logging_2309/kartor/A 27133-2024 karta.png", "A 27133-2024")</f>
        <v/>
      </c>
      <c r="V268">
        <f>HYPERLINK("https://klasma.github.io/Logging_2309/klagomål/A 27133-2024 FSC-klagomål.docx", "A 27133-2024")</f>
        <v/>
      </c>
      <c r="W268">
        <f>HYPERLINK("https://klasma.github.io/Logging_2309/klagomålsmail/A 27133-2024 FSC-klagomål mail.docx", "A 27133-2024")</f>
        <v/>
      </c>
      <c r="X268">
        <f>HYPERLINK("https://klasma.github.io/Logging_2309/tillsyn/A 27133-2024 tillsynsbegäran.docx", "A 27133-2024")</f>
        <v/>
      </c>
      <c r="Y268">
        <f>HYPERLINK("https://klasma.github.io/Logging_2309/tillsynsmail/A 27133-2024 tillsynsbegäran mail.docx", "A 27133-2024")</f>
        <v/>
      </c>
    </row>
    <row r="269" ht="15" customHeight="1">
      <c r="A269" t="inlineStr">
        <is>
          <t>A 32770-2024</t>
        </is>
      </c>
      <c r="B269" s="1" t="n">
        <v>45516</v>
      </c>
      <c r="C269" s="1" t="n">
        <v>45627</v>
      </c>
      <c r="D269" t="inlineStr">
        <is>
          <t>JÄMTLANDS LÄN</t>
        </is>
      </c>
      <c r="E269" t="inlineStr">
        <is>
          <t>KROKOM</t>
        </is>
      </c>
      <c r="G269" t="n">
        <v>1</v>
      </c>
      <c r="H269" t="n">
        <v>0</v>
      </c>
      <c r="I269" t="n">
        <v>1</v>
      </c>
      <c r="J269" t="n">
        <v>0</v>
      </c>
      <c r="K269" t="n">
        <v>0</v>
      </c>
      <c r="L269" t="n">
        <v>0</v>
      </c>
      <c r="M269" t="n">
        <v>0</v>
      </c>
      <c r="N269" t="n">
        <v>0</v>
      </c>
      <c r="O269" t="n">
        <v>0</v>
      </c>
      <c r="P269" t="n">
        <v>0</v>
      </c>
      <c r="Q269" t="n">
        <v>1</v>
      </c>
      <c r="R269" s="2" t="inlineStr">
        <is>
          <t>Finbräken</t>
        </is>
      </c>
      <c r="S269">
        <f>HYPERLINK("https://klasma.github.io/Logging_2309/artfynd/A 32770-2024 artfynd.xlsx", "A 32770-2024")</f>
        <v/>
      </c>
      <c r="T269">
        <f>HYPERLINK("https://klasma.github.io/Logging_2309/kartor/A 32770-2024 karta.png", "A 32770-2024")</f>
        <v/>
      </c>
      <c r="V269">
        <f>HYPERLINK("https://klasma.github.io/Logging_2309/klagomål/A 32770-2024 FSC-klagomål.docx", "A 32770-2024")</f>
        <v/>
      </c>
      <c r="W269">
        <f>HYPERLINK("https://klasma.github.io/Logging_2309/klagomålsmail/A 32770-2024 FSC-klagomål mail.docx", "A 32770-2024")</f>
        <v/>
      </c>
      <c r="X269">
        <f>HYPERLINK("https://klasma.github.io/Logging_2309/tillsyn/A 32770-2024 tillsynsbegäran.docx", "A 32770-2024")</f>
        <v/>
      </c>
      <c r="Y269">
        <f>HYPERLINK("https://klasma.github.io/Logging_2309/tillsynsmail/A 32770-2024 tillsynsbegäran mail.docx", "A 32770-2024")</f>
        <v/>
      </c>
    </row>
    <row r="270" ht="15" customHeight="1">
      <c r="A270" t="inlineStr">
        <is>
          <t>A 49175-2024</t>
        </is>
      </c>
      <c r="B270" s="1" t="n">
        <v>45595</v>
      </c>
      <c r="C270" s="1" t="n">
        <v>45627</v>
      </c>
      <c r="D270" t="inlineStr">
        <is>
          <t>JÄMTLANDS LÄN</t>
        </is>
      </c>
      <c r="E270" t="inlineStr">
        <is>
          <t>KROKOM</t>
        </is>
      </c>
      <c r="G270" t="n">
        <v>172.9</v>
      </c>
      <c r="H270" t="n">
        <v>0</v>
      </c>
      <c r="I270" t="n">
        <v>0</v>
      </c>
      <c r="J270" t="n">
        <v>1</v>
      </c>
      <c r="K270" t="n">
        <v>0</v>
      </c>
      <c r="L270" t="n">
        <v>0</v>
      </c>
      <c r="M270" t="n">
        <v>0</v>
      </c>
      <c r="N270" t="n">
        <v>0</v>
      </c>
      <c r="O270" t="n">
        <v>1</v>
      </c>
      <c r="P270" t="n">
        <v>0</v>
      </c>
      <c r="Q270" t="n">
        <v>1</v>
      </c>
      <c r="R270" s="2" t="inlineStr">
        <is>
          <t>Granticka</t>
        </is>
      </c>
      <c r="S270">
        <f>HYPERLINK("https://klasma.github.io/Logging_2309/artfynd/A 49175-2024 artfynd.xlsx", "A 49175-2024")</f>
        <v/>
      </c>
      <c r="T270">
        <f>HYPERLINK("https://klasma.github.io/Logging_2309/kartor/A 49175-2024 karta.png", "A 49175-2024")</f>
        <v/>
      </c>
      <c r="V270">
        <f>HYPERLINK("https://klasma.github.io/Logging_2309/klagomål/A 49175-2024 FSC-klagomål.docx", "A 49175-2024")</f>
        <v/>
      </c>
      <c r="W270">
        <f>HYPERLINK("https://klasma.github.io/Logging_2309/klagomålsmail/A 49175-2024 FSC-klagomål mail.docx", "A 49175-2024")</f>
        <v/>
      </c>
      <c r="X270">
        <f>HYPERLINK("https://klasma.github.io/Logging_2309/tillsyn/A 49175-2024 tillsynsbegäran.docx", "A 49175-2024")</f>
        <v/>
      </c>
      <c r="Y270">
        <f>HYPERLINK("https://klasma.github.io/Logging_2309/tillsynsmail/A 49175-2024 tillsynsbegäran mail.docx", "A 49175-2024")</f>
        <v/>
      </c>
    </row>
    <row r="271" ht="15" customHeight="1">
      <c r="A271" t="inlineStr">
        <is>
          <t>A 52182-2024</t>
        </is>
      </c>
      <c r="B271" s="1" t="n">
        <v>45608</v>
      </c>
      <c r="C271" s="1" t="n">
        <v>45627</v>
      </c>
      <c r="D271" t="inlineStr">
        <is>
          <t>JÄMTLANDS LÄN</t>
        </is>
      </c>
      <c r="E271" t="inlineStr">
        <is>
          <t>KROKOM</t>
        </is>
      </c>
      <c r="G271" t="n">
        <v>11.3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52182-2024 artfynd.xlsx", "A 52182-2024")</f>
        <v/>
      </c>
      <c r="T271">
        <f>HYPERLINK("https://klasma.github.io/Logging_2309/kartor/A 52182-2024 karta.png", "A 52182-2024")</f>
        <v/>
      </c>
      <c r="V271">
        <f>HYPERLINK("https://klasma.github.io/Logging_2309/klagomål/A 52182-2024 FSC-klagomål.docx", "A 52182-2024")</f>
        <v/>
      </c>
      <c r="W271">
        <f>HYPERLINK("https://klasma.github.io/Logging_2309/klagomålsmail/A 52182-2024 FSC-klagomål mail.docx", "A 52182-2024")</f>
        <v/>
      </c>
      <c r="X271">
        <f>HYPERLINK("https://klasma.github.io/Logging_2309/tillsyn/A 52182-2024 tillsynsbegäran.docx", "A 52182-2024")</f>
        <v/>
      </c>
      <c r="Y271">
        <f>HYPERLINK("https://klasma.github.io/Logging_2309/tillsynsmail/A 52182-2024 tillsynsbegäran mail.docx", "A 52182-2024")</f>
        <v/>
      </c>
      <c r="Z271">
        <f>HYPERLINK("https://klasma.github.io/Logging_2309/fåglar/A 52182-2024 prioriterade fågelarter.docx", "A 52182-2024")</f>
        <v/>
      </c>
    </row>
    <row r="272" ht="15" customHeight="1">
      <c r="A272" t="inlineStr">
        <is>
          <t>A 53868-2024</t>
        </is>
      </c>
      <c r="B272" s="1" t="n">
        <v>45615</v>
      </c>
      <c r="C272" s="1" t="n">
        <v>45627</v>
      </c>
      <c r="D272" t="inlineStr">
        <is>
          <t>JÄMTLANDS LÄN</t>
        </is>
      </c>
      <c r="E272" t="inlineStr">
        <is>
          <t>KROKOM</t>
        </is>
      </c>
      <c r="G272" t="n">
        <v>3.1</v>
      </c>
      <c r="H272" t="n">
        <v>0</v>
      </c>
      <c r="I272" t="n">
        <v>1</v>
      </c>
      <c r="J272" t="n">
        <v>0</v>
      </c>
      <c r="K272" t="n">
        <v>0</v>
      </c>
      <c r="L272" t="n">
        <v>0</v>
      </c>
      <c r="M272" t="n">
        <v>0</v>
      </c>
      <c r="N272" t="n">
        <v>0</v>
      </c>
      <c r="O272" t="n">
        <v>0</v>
      </c>
      <c r="P272" t="n">
        <v>0</v>
      </c>
      <c r="Q272" t="n">
        <v>1</v>
      </c>
      <c r="R272" s="2" t="inlineStr">
        <is>
          <t>Stuplav</t>
        </is>
      </c>
      <c r="S272">
        <f>HYPERLINK("https://klasma.github.io/Logging_2309/artfynd/A 53868-2024 artfynd.xlsx", "A 53868-2024")</f>
        <v/>
      </c>
      <c r="T272">
        <f>HYPERLINK("https://klasma.github.io/Logging_2309/kartor/A 53868-2024 karta.png", "A 53868-2024")</f>
        <v/>
      </c>
      <c r="V272">
        <f>HYPERLINK("https://klasma.github.io/Logging_2309/klagomål/A 53868-2024 FSC-klagomål.docx", "A 53868-2024")</f>
        <v/>
      </c>
      <c r="W272">
        <f>HYPERLINK("https://klasma.github.io/Logging_2309/klagomålsmail/A 53868-2024 FSC-klagomål mail.docx", "A 53868-2024")</f>
        <v/>
      </c>
      <c r="X272">
        <f>HYPERLINK("https://klasma.github.io/Logging_2309/tillsyn/A 53868-2024 tillsynsbegäran.docx", "A 53868-2024")</f>
        <v/>
      </c>
      <c r="Y272">
        <f>HYPERLINK("https://klasma.github.io/Logging_2309/tillsynsmail/A 53868-2024 tillsynsbegäran mail.docx", "A 53868-2024")</f>
        <v/>
      </c>
    </row>
    <row r="273" ht="15" customHeight="1">
      <c r="A273" t="inlineStr">
        <is>
          <t>A 56122-2024</t>
        </is>
      </c>
      <c r="B273" s="1" t="n">
        <v>45624</v>
      </c>
      <c r="C273" s="1" t="n">
        <v>45627</v>
      </c>
      <c r="D273" t="inlineStr">
        <is>
          <t>JÄMTLANDS LÄN</t>
        </is>
      </c>
      <c r="E273" t="inlineStr">
        <is>
          <t>KROKOM</t>
        </is>
      </c>
      <c r="G273" t="n">
        <v>5.1</v>
      </c>
      <c r="H273" t="n">
        <v>0</v>
      </c>
      <c r="I273" t="n">
        <v>1</v>
      </c>
      <c r="J273" t="n">
        <v>0</v>
      </c>
      <c r="K273" t="n">
        <v>0</v>
      </c>
      <c r="L273" t="n">
        <v>0</v>
      </c>
      <c r="M273" t="n">
        <v>0</v>
      </c>
      <c r="N273" t="n">
        <v>0</v>
      </c>
      <c r="O273" t="n">
        <v>0</v>
      </c>
      <c r="P273" t="n">
        <v>0</v>
      </c>
      <c r="Q273" t="n">
        <v>1</v>
      </c>
      <c r="R273" s="2" t="inlineStr">
        <is>
          <t>Kransrams</t>
        </is>
      </c>
      <c r="S273">
        <f>HYPERLINK("https://klasma.github.io/Logging_2309/artfynd/A 56122-2024 artfynd.xlsx", "A 56122-2024")</f>
        <v/>
      </c>
      <c r="T273">
        <f>HYPERLINK("https://klasma.github.io/Logging_2309/kartor/A 56122-2024 karta.png", "A 56122-2024")</f>
        <v/>
      </c>
      <c r="V273">
        <f>HYPERLINK("https://klasma.github.io/Logging_2309/klagomål/A 56122-2024 FSC-klagomål.docx", "A 56122-2024")</f>
        <v/>
      </c>
      <c r="W273">
        <f>HYPERLINK("https://klasma.github.io/Logging_2309/klagomålsmail/A 56122-2024 FSC-klagomål mail.docx", "A 56122-2024")</f>
        <v/>
      </c>
      <c r="X273">
        <f>HYPERLINK("https://klasma.github.io/Logging_2309/tillsyn/A 56122-2024 tillsynsbegäran.docx", "A 56122-2024")</f>
        <v/>
      </c>
      <c r="Y273">
        <f>HYPERLINK("https://klasma.github.io/Logging_2309/tillsynsmail/A 56122-2024 tillsynsbegäran mail.docx", "A 56122-2024")</f>
        <v/>
      </c>
    </row>
    <row r="274" ht="15" customHeight="1">
      <c r="A274" t="inlineStr">
        <is>
          <t>A 17853-2019</t>
        </is>
      </c>
      <c r="B274" s="1" t="n">
        <v>43556</v>
      </c>
      <c r="C274" s="1" t="n">
        <v>45627</v>
      </c>
      <c r="D274" t="inlineStr">
        <is>
          <t>JÄMTLANDS LÄN</t>
        </is>
      </c>
      <c r="E274" t="inlineStr">
        <is>
          <t>KROKOM</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18183-2019</t>
        </is>
      </c>
      <c r="B275" s="1" t="n">
        <v>43558</v>
      </c>
      <c r="C275" s="1" t="n">
        <v>45627</v>
      </c>
      <c r="D275" t="inlineStr">
        <is>
          <t>JÄMTLANDS LÄN</t>
        </is>
      </c>
      <c r="E275" t="inlineStr">
        <is>
          <t>KROKOM</t>
        </is>
      </c>
      <c r="G275" t="n">
        <v>5.3</v>
      </c>
      <c r="H275" t="n">
        <v>0</v>
      </c>
      <c r="I275" t="n">
        <v>0</v>
      </c>
      <c r="J275" t="n">
        <v>0</v>
      </c>
      <c r="K275" t="n">
        <v>0</v>
      </c>
      <c r="L275" t="n">
        <v>0</v>
      </c>
      <c r="M275" t="n">
        <v>0</v>
      </c>
      <c r="N275" t="n">
        <v>0</v>
      </c>
      <c r="O275" t="n">
        <v>0</v>
      </c>
      <c r="P275" t="n">
        <v>0</v>
      </c>
      <c r="Q275" t="n">
        <v>0</v>
      </c>
      <c r="R275" s="2" t="inlineStr"/>
    </row>
    <row r="276" ht="15" customHeight="1">
      <c r="A276" t="inlineStr">
        <is>
          <t>A 18477-2019</t>
        </is>
      </c>
      <c r="B276" s="1" t="n">
        <v>43559</v>
      </c>
      <c r="C276" s="1" t="n">
        <v>45627</v>
      </c>
      <c r="D276" t="inlineStr">
        <is>
          <t>JÄMTLANDS LÄN</t>
        </is>
      </c>
      <c r="E276" t="inlineStr">
        <is>
          <t>KROKOM</t>
        </is>
      </c>
      <c r="G276" t="n">
        <v>3</v>
      </c>
      <c r="H276" t="n">
        <v>0</v>
      </c>
      <c r="I276" t="n">
        <v>0</v>
      </c>
      <c r="J276" t="n">
        <v>0</v>
      </c>
      <c r="K276" t="n">
        <v>0</v>
      </c>
      <c r="L276" t="n">
        <v>0</v>
      </c>
      <c r="M276" t="n">
        <v>0</v>
      </c>
      <c r="N276" t="n">
        <v>0</v>
      </c>
      <c r="O276" t="n">
        <v>0</v>
      </c>
      <c r="P276" t="n">
        <v>0</v>
      </c>
      <c r="Q276" t="n">
        <v>0</v>
      </c>
      <c r="R276" s="2" t="inlineStr"/>
    </row>
    <row r="277" ht="15" customHeight="1">
      <c r="A277" t="inlineStr">
        <is>
          <t>A 18565-2019</t>
        </is>
      </c>
      <c r="B277" s="1" t="n">
        <v>43559</v>
      </c>
      <c r="C277" s="1" t="n">
        <v>45627</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18407-2019</t>
        </is>
      </c>
      <c r="B278" s="1" t="n">
        <v>43559</v>
      </c>
      <c r="C278" s="1" t="n">
        <v>45627</v>
      </c>
      <c r="D278" t="inlineStr">
        <is>
          <t>JÄMTLANDS LÄN</t>
        </is>
      </c>
      <c r="E278" t="inlineStr">
        <is>
          <t>KROKOM</t>
        </is>
      </c>
      <c r="G278" t="n">
        <v>43.1</v>
      </c>
      <c r="H278" t="n">
        <v>0</v>
      </c>
      <c r="I278" t="n">
        <v>0</v>
      </c>
      <c r="J278" t="n">
        <v>0</v>
      </c>
      <c r="K278" t="n">
        <v>0</v>
      </c>
      <c r="L278" t="n">
        <v>0</v>
      </c>
      <c r="M278" t="n">
        <v>0</v>
      </c>
      <c r="N278" t="n">
        <v>0</v>
      </c>
      <c r="O278" t="n">
        <v>0</v>
      </c>
      <c r="P278" t="n">
        <v>0</v>
      </c>
      <c r="Q278" t="n">
        <v>0</v>
      </c>
      <c r="R278" s="2" t="inlineStr"/>
    </row>
    <row r="279" ht="15" customHeight="1">
      <c r="A279" t="inlineStr">
        <is>
          <t>A 18397-2019</t>
        </is>
      </c>
      <c r="B279" s="1" t="n">
        <v>43559</v>
      </c>
      <c r="C279" s="1" t="n">
        <v>45627</v>
      </c>
      <c r="D279" t="inlineStr">
        <is>
          <t>JÄMTLANDS LÄN</t>
        </is>
      </c>
      <c r="E279" t="inlineStr">
        <is>
          <t>KROKOM</t>
        </is>
      </c>
      <c r="G279" t="n">
        <v>2.8</v>
      </c>
      <c r="H279" t="n">
        <v>0</v>
      </c>
      <c r="I279" t="n">
        <v>0</v>
      </c>
      <c r="J279" t="n">
        <v>0</v>
      </c>
      <c r="K279" t="n">
        <v>0</v>
      </c>
      <c r="L279" t="n">
        <v>0</v>
      </c>
      <c r="M279" t="n">
        <v>0</v>
      </c>
      <c r="N279" t="n">
        <v>0</v>
      </c>
      <c r="O279" t="n">
        <v>0</v>
      </c>
      <c r="P279" t="n">
        <v>0</v>
      </c>
      <c r="Q279" t="n">
        <v>0</v>
      </c>
      <c r="R279" s="2" t="inlineStr"/>
    </row>
    <row r="280" ht="15" customHeight="1">
      <c r="A280" t="inlineStr">
        <is>
          <t>A 18602-2019</t>
        </is>
      </c>
      <c r="B280" s="1" t="n">
        <v>43560</v>
      </c>
      <c r="C280" s="1" t="n">
        <v>45627</v>
      </c>
      <c r="D280" t="inlineStr">
        <is>
          <t>JÄMTLANDS LÄN</t>
        </is>
      </c>
      <c r="E280" t="inlineStr">
        <is>
          <t>KROKOM</t>
        </is>
      </c>
      <c r="G280" t="n">
        <v>1.7</v>
      </c>
      <c r="H280" t="n">
        <v>0</v>
      </c>
      <c r="I280" t="n">
        <v>0</v>
      </c>
      <c r="J280" t="n">
        <v>0</v>
      </c>
      <c r="K280" t="n">
        <v>0</v>
      </c>
      <c r="L280" t="n">
        <v>0</v>
      </c>
      <c r="M280" t="n">
        <v>0</v>
      </c>
      <c r="N280" t="n">
        <v>0</v>
      </c>
      <c r="O280" t="n">
        <v>0</v>
      </c>
      <c r="P280" t="n">
        <v>0</v>
      </c>
      <c r="Q280" t="n">
        <v>0</v>
      </c>
      <c r="R280" s="2" t="inlineStr"/>
    </row>
    <row r="281" ht="15" customHeight="1">
      <c r="A281" t="inlineStr">
        <is>
          <t>A 18831-2019</t>
        </is>
      </c>
      <c r="B281" s="1" t="n">
        <v>43563</v>
      </c>
      <c r="C281" s="1" t="n">
        <v>45627</v>
      </c>
      <c r="D281" t="inlineStr">
        <is>
          <t>JÄMTLANDS LÄN</t>
        </is>
      </c>
      <c r="E281" t="inlineStr">
        <is>
          <t>KROKOM</t>
        </is>
      </c>
      <c r="G281" t="n">
        <v>2.5</v>
      </c>
      <c r="H281" t="n">
        <v>0</v>
      </c>
      <c r="I281" t="n">
        <v>0</v>
      </c>
      <c r="J281" t="n">
        <v>0</v>
      </c>
      <c r="K281" t="n">
        <v>0</v>
      </c>
      <c r="L281" t="n">
        <v>0</v>
      </c>
      <c r="M281" t="n">
        <v>0</v>
      </c>
      <c r="N281" t="n">
        <v>0</v>
      </c>
      <c r="O281" t="n">
        <v>0</v>
      </c>
      <c r="P281" t="n">
        <v>0</v>
      </c>
      <c r="Q281" t="n">
        <v>0</v>
      </c>
      <c r="R281" s="2" t="inlineStr"/>
    </row>
    <row r="282" ht="15" customHeight="1">
      <c r="A282" t="inlineStr">
        <is>
          <t>A 18847-2019</t>
        </is>
      </c>
      <c r="B282" s="1" t="n">
        <v>43563</v>
      </c>
      <c r="C282" s="1" t="n">
        <v>45627</v>
      </c>
      <c r="D282" t="inlineStr">
        <is>
          <t>JÄMTLANDS LÄN</t>
        </is>
      </c>
      <c r="E282" t="inlineStr">
        <is>
          <t>KROKOM</t>
        </is>
      </c>
      <c r="G282" t="n">
        <v>1</v>
      </c>
      <c r="H282" t="n">
        <v>0</v>
      </c>
      <c r="I282" t="n">
        <v>0</v>
      </c>
      <c r="J282" t="n">
        <v>0</v>
      </c>
      <c r="K282" t="n">
        <v>0</v>
      </c>
      <c r="L282" t="n">
        <v>0</v>
      </c>
      <c r="M282" t="n">
        <v>0</v>
      </c>
      <c r="N282" t="n">
        <v>0</v>
      </c>
      <c r="O282" t="n">
        <v>0</v>
      </c>
      <c r="P282" t="n">
        <v>0</v>
      </c>
      <c r="Q282" t="n">
        <v>0</v>
      </c>
      <c r="R282" s="2" t="inlineStr"/>
    </row>
    <row r="283" ht="15" customHeight="1">
      <c r="A283" t="inlineStr">
        <is>
          <t>A 19152-2019</t>
        </is>
      </c>
      <c r="B283" s="1" t="n">
        <v>43564</v>
      </c>
      <c r="C283" s="1" t="n">
        <v>45627</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19325-2019</t>
        </is>
      </c>
      <c r="B284" s="1" t="n">
        <v>43565</v>
      </c>
      <c r="C284" s="1" t="n">
        <v>45627</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19708-2019</t>
        </is>
      </c>
      <c r="B285" s="1" t="n">
        <v>43566</v>
      </c>
      <c r="C285" s="1" t="n">
        <v>45627</v>
      </c>
      <c r="D285" t="inlineStr">
        <is>
          <t>JÄMTLANDS LÄN</t>
        </is>
      </c>
      <c r="E285" t="inlineStr">
        <is>
          <t>KROKOM</t>
        </is>
      </c>
      <c r="G285" t="n">
        <v>8.9</v>
      </c>
      <c r="H285" t="n">
        <v>0</v>
      </c>
      <c r="I285" t="n">
        <v>0</v>
      </c>
      <c r="J285" t="n">
        <v>0</v>
      </c>
      <c r="K285" t="n">
        <v>0</v>
      </c>
      <c r="L285" t="n">
        <v>0</v>
      </c>
      <c r="M285" t="n">
        <v>0</v>
      </c>
      <c r="N285" t="n">
        <v>0</v>
      </c>
      <c r="O285" t="n">
        <v>0</v>
      </c>
      <c r="P285" t="n">
        <v>0</v>
      </c>
      <c r="Q285" t="n">
        <v>0</v>
      </c>
      <c r="R285" s="2" t="inlineStr"/>
    </row>
    <row r="286" ht="15" customHeight="1">
      <c r="A286" t="inlineStr">
        <is>
          <t>A 20378-2019</t>
        </is>
      </c>
      <c r="B286" s="1" t="n">
        <v>43571</v>
      </c>
      <c r="C286" s="1" t="n">
        <v>45627</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20596-2019</t>
        </is>
      </c>
      <c r="B287" s="1" t="n">
        <v>43572</v>
      </c>
      <c r="C287" s="1" t="n">
        <v>45627</v>
      </c>
      <c r="D287" t="inlineStr">
        <is>
          <t>JÄMTLANDS LÄN</t>
        </is>
      </c>
      <c r="E287" t="inlineStr">
        <is>
          <t>KROKOM</t>
        </is>
      </c>
      <c r="G287" t="n">
        <v>10.6</v>
      </c>
      <c r="H287" t="n">
        <v>0</v>
      </c>
      <c r="I287" t="n">
        <v>0</v>
      </c>
      <c r="J287" t="n">
        <v>0</v>
      </c>
      <c r="K287" t="n">
        <v>0</v>
      </c>
      <c r="L287" t="n">
        <v>0</v>
      </c>
      <c r="M287" t="n">
        <v>0</v>
      </c>
      <c r="N287" t="n">
        <v>0</v>
      </c>
      <c r="O287" t="n">
        <v>0</v>
      </c>
      <c r="P287" t="n">
        <v>0</v>
      </c>
      <c r="Q287" t="n">
        <v>0</v>
      </c>
      <c r="R287" s="2" t="inlineStr"/>
    </row>
    <row r="288" ht="15" customHeight="1">
      <c r="A288" t="inlineStr">
        <is>
          <t>A 21269-2019</t>
        </is>
      </c>
      <c r="B288" s="1" t="n">
        <v>43579</v>
      </c>
      <c r="C288" s="1" t="n">
        <v>45627</v>
      </c>
      <c r="D288" t="inlineStr">
        <is>
          <t>JÄMTLANDS LÄN</t>
        </is>
      </c>
      <c r="E288" t="inlineStr">
        <is>
          <t>KROKOM</t>
        </is>
      </c>
      <c r="G288" t="n">
        <v>1.7</v>
      </c>
      <c r="H288" t="n">
        <v>0</v>
      </c>
      <c r="I288" t="n">
        <v>0</v>
      </c>
      <c r="J288" t="n">
        <v>0</v>
      </c>
      <c r="K288" t="n">
        <v>0</v>
      </c>
      <c r="L288" t="n">
        <v>0</v>
      </c>
      <c r="M288" t="n">
        <v>0</v>
      </c>
      <c r="N288" t="n">
        <v>0</v>
      </c>
      <c r="O288" t="n">
        <v>0</v>
      </c>
      <c r="P288" t="n">
        <v>0</v>
      </c>
      <c r="Q288" t="n">
        <v>0</v>
      </c>
      <c r="R288" s="2" t="inlineStr"/>
    </row>
    <row r="289" ht="15" customHeight="1">
      <c r="A289" t="inlineStr">
        <is>
          <t>A 21421-2019</t>
        </is>
      </c>
      <c r="B289" s="1" t="n">
        <v>43580</v>
      </c>
      <c r="C289" s="1" t="n">
        <v>45627</v>
      </c>
      <c r="D289" t="inlineStr">
        <is>
          <t>JÄMTLANDS LÄN</t>
        </is>
      </c>
      <c r="E289" t="inlineStr">
        <is>
          <t>KROKOM</t>
        </is>
      </c>
      <c r="G289" t="n">
        <v>13.1</v>
      </c>
      <c r="H289" t="n">
        <v>0</v>
      </c>
      <c r="I289" t="n">
        <v>0</v>
      </c>
      <c r="J289" t="n">
        <v>0</v>
      </c>
      <c r="K289" t="n">
        <v>0</v>
      </c>
      <c r="L289" t="n">
        <v>0</v>
      </c>
      <c r="M289" t="n">
        <v>0</v>
      </c>
      <c r="N289" t="n">
        <v>0</v>
      </c>
      <c r="O289" t="n">
        <v>0</v>
      </c>
      <c r="P289" t="n">
        <v>0</v>
      </c>
      <c r="Q289" t="n">
        <v>0</v>
      </c>
      <c r="R289" s="2" t="inlineStr"/>
    </row>
    <row r="290" ht="15" customHeight="1">
      <c r="A290" t="inlineStr">
        <is>
          <t>A 21669-2019</t>
        </is>
      </c>
      <c r="B290" s="1" t="n">
        <v>43581</v>
      </c>
      <c r="C290" s="1" t="n">
        <v>45627</v>
      </c>
      <c r="D290" t="inlineStr">
        <is>
          <t>JÄMTLANDS LÄN</t>
        </is>
      </c>
      <c r="E290" t="inlineStr">
        <is>
          <t>KROKOM</t>
        </is>
      </c>
      <c r="G290" t="n">
        <v>13.2</v>
      </c>
      <c r="H290" t="n">
        <v>0</v>
      </c>
      <c r="I290" t="n">
        <v>0</v>
      </c>
      <c r="J290" t="n">
        <v>0</v>
      </c>
      <c r="K290" t="n">
        <v>0</v>
      </c>
      <c r="L290" t="n">
        <v>0</v>
      </c>
      <c r="M290" t="n">
        <v>0</v>
      </c>
      <c r="N290" t="n">
        <v>0</v>
      </c>
      <c r="O290" t="n">
        <v>0</v>
      </c>
      <c r="P290" t="n">
        <v>0</v>
      </c>
      <c r="Q290" t="n">
        <v>0</v>
      </c>
      <c r="R290" s="2" t="inlineStr"/>
    </row>
    <row r="291" ht="15" customHeight="1">
      <c r="A291" t="inlineStr">
        <is>
          <t>A 21716-2019</t>
        </is>
      </c>
      <c r="B291" s="1" t="n">
        <v>43581</v>
      </c>
      <c r="C291" s="1" t="n">
        <v>45627</v>
      </c>
      <c r="D291" t="inlineStr">
        <is>
          <t>JÄMTLANDS LÄN</t>
        </is>
      </c>
      <c r="E291" t="inlineStr">
        <is>
          <t>KROKOM</t>
        </is>
      </c>
      <c r="G291" t="n">
        <v>4.2</v>
      </c>
      <c r="H291" t="n">
        <v>0</v>
      </c>
      <c r="I291" t="n">
        <v>0</v>
      </c>
      <c r="J291" t="n">
        <v>0</v>
      </c>
      <c r="K291" t="n">
        <v>0</v>
      </c>
      <c r="L291" t="n">
        <v>0</v>
      </c>
      <c r="M291" t="n">
        <v>0</v>
      </c>
      <c r="N291" t="n">
        <v>0</v>
      </c>
      <c r="O291" t="n">
        <v>0</v>
      </c>
      <c r="P291" t="n">
        <v>0</v>
      </c>
      <c r="Q291" t="n">
        <v>0</v>
      </c>
      <c r="R291" s="2" t="inlineStr"/>
    </row>
    <row r="292" ht="15" customHeight="1">
      <c r="A292" t="inlineStr">
        <is>
          <t>A 21933-2019</t>
        </is>
      </c>
      <c r="B292" s="1" t="n">
        <v>43584</v>
      </c>
      <c r="C292" s="1" t="n">
        <v>45627</v>
      </c>
      <c r="D292" t="inlineStr">
        <is>
          <t>JÄMTLANDS LÄN</t>
        </is>
      </c>
      <c r="E292" t="inlineStr">
        <is>
          <t>KROKOM</t>
        </is>
      </c>
      <c r="G292" t="n">
        <v>12.8</v>
      </c>
      <c r="H292" t="n">
        <v>0</v>
      </c>
      <c r="I292" t="n">
        <v>0</v>
      </c>
      <c r="J292" t="n">
        <v>0</v>
      </c>
      <c r="K292" t="n">
        <v>0</v>
      </c>
      <c r="L292" t="n">
        <v>0</v>
      </c>
      <c r="M292" t="n">
        <v>0</v>
      </c>
      <c r="N292" t="n">
        <v>0</v>
      </c>
      <c r="O292" t="n">
        <v>0</v>
      </c>
      <c r="P292" t="n">
        <v>0</v>
      </c>
      <c r="Q292" t="n">
        <v>0</v>
      </c>
      <c r="R292" s="2" t="inlineStr"/>
    </row>
    <row r="293" ht="15" customHeight="1">
      <c r="A293" t="inlineStr">
        <is>
          <t>A 22208-2019</t>
        </is>
      </c>
      <c r="B293" s="1" t="n">
        <v>43585</v>
      </c>
      <c r="C293" s="1" t="n">
        <v>45627</v>
      </c>
      <c r="D293" t="inlineStr">
        <is>
          <t>JÄMTLANDS LÄN</t>
        </is>
      </c>
      <c r="E293" t="inlineStr">
        <is>
          <t>KROKOM</t>
        </is>
      </c>
      <c r="G293" t="n">
        <v>0.9</v>
      </c>
      <c r="H293" t="n">
        <v>0</v>
      </c>
      <c r="I293" t="n">
        <v>0</v>
      </c>
      <c r="J293" t="n">
        <v>0</v>
      </c>
      <c r="K293" t="n">
        <v>0</v>
      </c>
      <c r="L293" t="n">
        <v>0</v>
      </c>
      <c r="M293" t="n">
        <v>0</v>
      </c>
      <c r="N293" t="n">
        <v>0</v>
      </c>
      <c r="O293" t="n">
        <v>0</v>
      </c>
      <c r="P293" t="n">
        <v>0</v>
      </c>
      <c r="Q293" t="n">
        <v>0</v>
      </c>
      <c r="R293" s="2" t="inlineStr"/>
    </row>
    <row r="294" ht="15" customHeight="1">
      <c r="A294" t="inlineStr">
        <is>
          <t>A 22135-2019</t>
        </is>
      </c>
      <c r="B294" s="1" t="n">
        <v>43585</v>
      </c>
      <c r="C294" s="1" t="n">
        <v>45627</v>
      </c>
      <c r="D294" t="inlineStr">
        <is>
          <t>JÄMTLANDS LÄN</t>
        </is>
      </c>
      <c r="E294" t="inlineStr">
        <is>
          <t>KROKOM</t>
        </is>
      </c>
      <c r="G294" t="n">
        <v>8.1</v>
      </c>
      <c r="H294" t="n">
        <v>0</v>
      </c>
      <c r="I294" t="n">
        <v>0</v>
      </c>
      <c r="J294" t="n">
        <v>0</v>
      </c>
      <c r="K294" t="n">
        <v>0</v>
      </c>
      <c r="L294" t="n">
        <v>0</v>
      </c>
      <c r="M294" t="n">
        <v>0</v>
      </c>
      <c r="N294" t="n">
        <v>0</v>
      </c>
      <c r="O294" t="n">
        <v>0</v>
      </c>
      <c r="P294" t="n">
        <v>0</v>
      </c>
      <c r="Q294" t="n">
        <v>0</v>
      </c>
      <c r="R294" s="2" t="inlineStr"/>
    </row>
    <row r="295" ht="15" customHeight="1">
      <c r="A295" t="inlineStr">
        <is>
          <t>A 22129-2019</t>
        </is>
      </c>
      <c r="B295" s="1" t="n">
        <v>43585</v>
      </c>
      <c r="C295" s="1" t="n">
        <v>45627</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22521-2019</t>
        </is>
      </c>
      <c r="B296" s="1" t="n">
        <v>43587</v>
      </c>
      <c r="C296" s="1" t="n">
        <v>45627</v>
      </c>
      <c r="D296" t="inlineStr">
        <is>
          <t>JÄMTLANDS LÄN</t>
        </is>
      </c>
      <c r="E296" t="inlineStr">
        <is>
          <t>KROKOM</t>
        </is>
      </c>
      <c r="F296" t="inlineStr">
        <is>
          <t>Kyrkan</t>
        </is>
      </c>
      <c r="G296" t="n">
        <v>14.5</v>
      </c>
      <c r="H296" t="n">
        <v>0</v>
      </c>
      <c r="I296" t="n">
        <v>0</v>
      </c>
      <c r="J296" t="n">
        <v>0</v>
      </c>
      <c r="K296" t="n">
        <v>0</v>
      </c>
      <c r="L296" t="n">
        <v>0</v>
      </c>
      <c r="M296" t="n">
        <v>0</v>
      </c>
      <c r="N296" t="n">
        <v>0</v>
      </c>
      <c r="O296" t="n">
        <v>0</v>
      </c>
      <c r="P296" t="n">
        <v>0</v>
      </c>
      <c r="Q296" t="n">
        <v>0</v>
      </c>
      <c r="R296" s="2" t="inlineStr"/>
    </row>
    <row r="297" ht="15" customHeight="1">
      <c r="A297" t="inlineStr">
        <is>
          <t>A 22533-2019</t>
        </is>
      </c>
      <c r="B297" s="1" t="n">
        <v>43587</v>
      </c>
      <c r="C297" s="1" t="n">
        <v>45627</v>
      </c>
      <c r="D297" t="inlineStr">
        <is>
          <t>JÄMTLANDS LÄN</t>
        </is>
      </c>
      <c r="E297" t="inlineStr">
        <is>
          <t>KROKOM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22877-2019</t>
        </is>
      </c>
      <c r="B298" s="1" t="n">
        <v>43591</v>
      </c>
      <c r="C298" s="1" t="n">
        <v>45627</v>
      </c>
      <c r="D298" t="inlineStr">
        <is>
          <t>JÄMTLANDS LÄN</t>
        </is>
      </c>
      <c r="E298" t="inlineStr">
        <is>
          <t>KROKOM</t>
        </is>
      </c>
      <c r="G298" t="n">
        <v>11</v>
      </c>
      <c r="H298" t="n">
        <v>0</v>
      </c>
      <c r="I298" t="n">
        <v>0</v>
      </c>
      <c r="J298" t="n">
        <v>0</v>
      </c>
      <c r="K298" t="n">
        <v>0</v>
      </c>
      <c r="L298" t="n">
        <v>0</v>
      </c>
      <c r="M298" t="n">
        <v>0</v>
      </c>
      <c r="N298" t="n">
        <v>0</v>
      </c>
      <c r="O298" t="n">
        <v>0</v>
      </c>
      <c r="P298" t="n">
        <v>0</v>
      </c>
      <c r="Q298" t="n">
        <v>0</v>
      </c>
      <c r="R298" s="2" t="inlineStr"/>
    </row>
    <row r="299" ht="15" customHeight="1">
      <c r="A299" t="inlineStr">
        <is>
          <t>A 23698-2019</t>
        </is>
      </c>
      <c r="B299" s="1" t="n">
        <v>43594</v>
      </c>
      <c r="C299" s="1" t="n">
        <v>45627</v>
      </c>
      <c r="D299" t="inlineStr">
        <is>
          <t>JÄMTLANDS LÄN</t>
        </is>
      </c>
      <c r="E299" t="inlineStr">
        <is>
          <t>KROKOM</t>
        </is>
      </c>
      <c r="G299" t="n">
        <v>14.3</v>
      </c>
      <c r="H299" t="n">
        <v>0</v>
      </c>
      <c r="I299" t="n">
        <v>0</v>
      </c>
      <c r="J299" t="n">
        <v>0</v>
      </c>
      <c r="K299" t="n">
        <v>0</v>
      </c>
      <c r="L299" t="n">
        <v>0</v>
      </c>
      <c r="M299" t="n">
        <v>0</v>
      </c>
      <c r="N299" t="n">
        <v>0</v>
      </c>
      <c r="O299" t="n">
        <v>0</v>
      </c>
      <c r="P299" t="n">
        <v>0</v>
      </c>
      <c r="Q299" t="n">
        <v>0</v>
      </c>
      <c r="R299" s="2" t="inlineStr"/>
    </row>
    <row r="300" ht="15" customHeight="1">
      <c r="A300" t="inlineStr">
        <is>
          <t>A 24900-2019</t>
        </is>
      </c>
      <c r="B300" s="1" t="n">
        <v>43599</v>
      </c>
      <c r="C300" s="1" t="n">
        <v>45627</v>
      </c>
      <c r="D300" t="inlineStr">
        <is>
          <t>JÄMTLANDS LÄN</t>
        </is>
      </c>
      <c r="E300" t="inlineStr">
        <is>
          <t>KROKOM</t>
        </is>
      </c>
      <c r="G300" t="n">
        <v>3.3</v>
      </c>
      <c r="H300" t="n">
        <v>0</v>
      </c>
      <c r="I300" t="n">
        <v>0</v>
      </c>
      <c r="J300" t="n">
        <v>0</v>
      </c>
      <c r="K300" t="n">
        <v>0</v>
      </c>
      <c r="L300" t="n">
        <v>0</v>
      </c>
      <c r="M300" t="n">
        <v>0</v>
      </c>
      <c r="N300" t="n">
        <v>0</v>
      </c>
      <c r="O300" t="n">
        <v>0</v>
      </c>
      <c r="P300" t="n">
        <v>0</v>
      </c>
      <c r="Q300" t="n">
        <v>0</v>
      </c>
      <c r="R300" s="2" t="inlineStr"/>
    </row>
    <row r="301" ht="15" customHeight="1">
      <c r="A301" t="inlineStr">
        <is>
          <t>A 25641-2019</t>
        </is>
      </c>
      <c r="B301" s="1" t="n">
        <v>43602</v>
      </c>
      <c r="C301" s="1" t="n">
        <v>45627</v>
      </c>
      <c r="D301" t="inlineStr">
        <is>
          <t>JÄMTLANDS LÄN</t>
        </is>
      </c>
      <c r="E301" t="inlineStr">
        <is>
          <t>KROKOM</t>
        </is>
      </c>
      <c r="G301" t="n">
        <v>1.3</v>
      </c>
      <c r="H301" t="n">
        <v>0</v>
      </c>
      <c r="I301" t="n">
        <v>0</v>
      </c>
      <c r="J301" t="n">
        <v>0</v>
      </c>
      <c r="K301" t="n">
        <v>0</v>
      </c>
      <c r="L301" t="n">
        <v>0</v>
      </c>
      <c r="M301" t="n">
        <v>0</v>
      </c>
      <c r="N301" t="n">
        <v>0</v>
      </c>
      <c r="O301" t="n">
        <v>0</v>
      </c>
      <c r="P301" t="n">
        <v>0</v>
      </c>
      <c r="Q301" t="n">
        <v>0</v>
      </c>
      <c r="R301" s="2" t="inlineStr"/>
    </row>
    <row r="302" ht="15" customHeight="1">
      <c r="A302" t="inlineStr">
        <is>
          <t>A 25644-2019</t>
        </is>
      </c>
      <c r="B302" s="1" t="n">
        <v>43602</v>
      </c>
      <c r="C302" s="1" t="n">
        <v>45627</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25634-2019</t>
        </is>
      </c>
      <c r="B303" s="1" t="n">
        <v>43602</v>
      </c>
      <c r="C303" s="1" t="n">
        <v>45627</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25115-2019</t>
        </is>
      </c>
      <c r="B304" s="1" t="n">
        <v>43605</v>
      </c>
      <c r="C304" s="1" t="n">
        <v>45627</v>
      </c>
      <c r="D304" t="inlineStr">
        <is>
          <t>JÄMTLANDS LÄN</t>
        </is>
      </c>
      <c r="E304" t="inlineStr">
        <is>
          <t>KROKOM</t>
        </is>
      </c>
      <c r="G304" t="n">
        <v>2.2</v>
      </c>
      <c r="H304" t="n">
        <v>0</v>
      </c>
      <c r="I304" t="n">
        <v>0</v>
      </c>
      <c r="J304" t="n">
        <v>0</v>
      </c>
      <c r="K304" t="n">
        <v>0</v>
      </c>
      <c r="L304" t="n">
        <v>0</v>
      </c>
      <c r="M304" t="n">
        <v>0</v>
      </c>
      <c r="N304" t="n">
        <v>0</v>
      </c>
      <c r="O304" t="n">
        <v>0</v>
      </c>
      <c r="P304" t="n">
        <v>0</v>
      </c>
      <c r="Q304" t="n">
        <v>0</v>
      </c>
      <c r="R304" s="2" t="inlineStr"/>
    </row>
    <row r="305" ht="15" customHeight="1">
      <c r="A305" t="inlineStr">
        <is>
          <t>A 25858-2019</t>
        </is>
      </c>
      <c r="B305" s="1" t="n">
        <v>43608</v>
      </c>
      <c r="C305" s="1" t="n">
        <v>45627</v>
      </c>
      <c r="D305" t="inlineStr">
        <is>
          <t>JÄMTLANDS LÄN</t>
        </is>
      </c>
      <c r="E305" t="inlineStr">
        <is>
          <t>KROKOM</t>
        </is>
      </c>
      <c r="F305" t="inlineStr">
        <is>
          <t>Övriga Aktiebolag</t>
        </is>
      </c>
      <c r="G305" t="n">
        <v>32.2</v>
      </c>
      <c r="H305" t="n">
        <v>0</v>
      </c>
      <c r="I305" t="n">
        <v>0</v>
      </c>
      <c r="J305" t="n">
        <v>0</v>
      </c>
      <c r="K305" t="n">
        <v>0</v>
      </c>
      <c r="L305" t="n">
        <v>0</v>
      </c>
      <c r="M305" t="n">
        <v>0</v>
      </c>
      <c r="N305" t="n">
        <v>0</v>
      </c>
      <c r="O305" t="n">
        <v>0</v>
      </c>
      <c r="P305" t="n">
        <v>0</v>
      </c>
      <c r="Q305" t="n">
        <v>0</v>
      </c>
      <c r="R305" s="2" t="inlineStr"/>
    </row>
    <row r="306" ht="15" customHeight="1">
      <c r="A306" t="inlineStr">
        <is>
          <t>A 26486-2019</t>
        </is>
      </c>
      <c r="B306" s="1" t="n">
        <v>43612</v>
      </c>
      <c r="C306" s="1" t="n">
        <v>45627</v>
      </c>
      <c r="D306" t="inlineStr">
        <is>
          <t>JÄMTLANDS LÄN</t>
        </is>
      </c>
      <c r="E306" t="inlineStr">
        <is>
          <t>KROKOM</t>
        </is>
      </c>
      <c r="G306" t="n">
        <v>3.5</v>
      </c>
      <c r="H306" t="n">
        <v>0</v>
      </c>
      <c r="I306" t="n">
        <v>0</v>
      </c>
      <c r="J306" t="n">
        <v>0</v>
      </c>
      <c r="K306" t="n">
        <v>0</v>
      </c>
      <c r="L306" t="n">
        <v>0</v>
      </c>
      <c r="M306" t="n">
        <v>0</v>
      </c>
      <c r="N306" t="n">
        <v>0</v>
      </c>
      <c r="O306" t="n">
        <v>0</v>
      </c>
      <c r="P306" t="n">
        <v>0</v>
      </c>
      <c r="Q306" t="n">
        <v>0</v>
      </c>
      <c r="R306" s="2" t="inlineStr"/>
    </row>
    <row r="307" ht="15" customHeight="1">
      <c r="A307" t="inlineStr">
        <is>
          <t>A 26408-2019</t>
        </is>
      </c>
      <c r="B307" s="1" t="n">
        <v>43612</v>
      </c>
      <c r="C307" s="1" t="n">
        <v>45627</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28077-2019</t>
        </is>
      </c>
      <c r="B308" s="1" t="n">
        <v>43613</v>
      </c>
      <c r="C308" s="1" t="n">
        <v>45627</v>
      </c>
      <c r="D308" t="inlineStr">
        <is>
          <t>JÄMTLANDS LÄN</t>
        </is>
      </c>
      <c r="E308" t="inlineStr">
        <is>
          <t>KROKOM</t>
        </is>
      </c>
      <c r="F308" t="inlineStr">
        <is>
          <t>Övriga Aktiebolag</t>
        </is>
      </c>
      <c r="G308" t="n">
        <v>26.1</v>
      </c>
      <c r="H308" t="n">
        <v>0</v>
      </c>
      <c r="I308" t="n">
        <v>0</v>
      </c>
      <c r="J308" t="n">
        <v>0</v>
      </c>
      <c r="K308" t="n">
        <v>0</v>
      </c>
      <c r="L308" t="n">
        <v>0</v>
      </c>
      <c r="M308" t="n">
        <v>0</v>
      </c>
      <c r="N308" t="n">
        <v>0</v>
      </c>
      <c r="O308" t="n">
        <v>0</v>
      </c>
      <c r="P308" t="n">
        <v>0</v>
      </c>
      <c r="Q308" t="n">
        <v>0</v>
      </c>
      <c r="R308" s="2" t="inlineStr"/>
    </row>
    <row r="309" ht="15" customHeight="1">
      <c r="A309" t="inlineStr">
        <is>
          <t>A 27031-2019</t>
        </is>
      </c>
      <c r="B309" s="1" t="n">
        <v>43614</v>
      </c>
      <c r="C309" s="1" t="n">
        <v>45627</v>
      </c>
      <c r="D309" t="inlineStr">
        <is>
          <t>JÄMTLANDS LÄN</t>
        </is>
      </c>
      <c r="E309" t="inlineStr">
        <is>
          <t>KROKOM</t>
        </is>
      </c>
      <c r="G309" t="n">
        <v>3.4</v>
      </c>
      <c r="H309" t="n">
        <v>0</v>
      </c>
      <c r="I309" t="n">
        <v>0</v>
      </c>
      <c r="J309" t="n">
        <v>0</v>
      </c>
      <c r="K309" t="n">
        <v>0</v>
      </c>
      <c r="L309" t="n">
        <v>0</v>
      </c>
      <c r="M309" t="n">
        <v>0</v>
      </c>
      <c r="N309" t="n">
        <v>0</v>
      </c>
      <c r="O309" t="n">
        <v>0</v>
      </c>
      <c r="P309" t="n">
        <v>0</v>
      </c>
      <c r="Q309" t="n">
        <v>0</v>
      </c>
      <c r="R309" s="2" t="inlineStr"/>
    </row>
    <row r="310" ht="15" customHeight="1">
      <c r="A310" t="inlineStr">
        <is>
          <t>A 27348-2019</t>
        </is>
      </c>
      <c r="B310" s="1" t="n">
        <v>43616</v>
      </c>
      <c r="C310" s="1" t="n">
        <v>45627</v>
      </c>
      <c r="D310" t="inlineStr">
        <is>
          <t>JÄMTLANDS LÄN</t>
        </is>
      </c>
      <c r="E310" t="inlineStr">
        <is>
          <t>KROKOM</t>
        </is>
      </c>
      <c r="G310" t="n">
        <v>3.3</v>
      </c>
      <c r="H310" t="n">
        <v>0</v>
      </c>
      <c r="I310" t="n">
        <v>0</v>
      </c>
      <c r="J310" t="n">
        <v>0</v>
      </c>
      <c r="K310" t="n">
        <v>0</v>
      </c>
      <c r="L310" t="n">
        <v>0</v>
      </c>
      <c r="M310" t="n">
        <v>0</v>
      </c>
      <c r="N310" t="n">
        <v>0</v>
      </c>
      <c r="O310" t="n">
        <v>0</v>
      </c>
      <c r="P310" t="n">
        <v>0</v>
      </c>
      <c r="Q310" t="n">
        <v>0</v>
      </c>
      <c r="R310" s="2" t="inlineStr"/>
    </row>
    <row r="311" ht="15" customHeight="1">
      <c r="A311" t="inlineStr">
        <is>
          <t>A 27765-2019</t>
        </is>
      </c>
      <c r="B311" s="1" t="n">
        <v>43619</v>
      </c>
      <c r="C311" s="1" t="n">
        <v>45627</v>
      </c>
      <c r="D311" t="inlineStr">
        <is>
          <t>JÄMTLANDS LÄN</t>
        </is>
      </c>
      <c r="E311" t="inlineStr">
        <is>
          <t>KROKOM</t>
        </is>
      </c>
      <c r="G311" t="n">
        <v>20.1</v>
      </c>
      <c r="H311" t="n">
        <v>0</v>
      </c>
      <c r="I311" t="n">
        <v>0</v>
      </c>
      <c r="J311" t="n">
        <v>0</v>
      </c>
      <c r="K311" t="n">
        <v>0</v>
      </c>
      <c r="L311" t="n">
        <v>0</v>
      </c>
      <c r="M311" t="n">
        <v>0</v>
      </c>
      <c r="N311" t="n">
        <v>0</v>
      </c>
      <c r="O311" t="n">
        <v>0</v>
      </c>
      <c r="P311" t="n">
        <v>0</v>
      </c>
      <c r="Q311" t="n">
        <v>0</v>
      </c>
      <c r="R311" s="2" t="inlineStr"/>
    </row>
    <row r="312" ht="15" customHeight="1">
      <c r="A312" t="inlineStr">
        <is>
          <t>A 27766-2019</t>
        </is>
      </c>
      <c r="B312" s="1" t="n">
        <v>43619</v>
      </c>
      <c r="C312" s="1" t="n">
        <v>45627</v>
      </c>
      <c r="D312" t="inlineStr">
        <is>
          <t>JÄMTLANDS LÄN</t>
        </is>
      </c>
      <c r="E312" t="inlineStr">
        <is>
          <t>KROKOM</t>
        </is>
      </c>
      <c r="G312" t="n">
        <v>17.7</v>
      </c>
      <c r="H312" t="n">
        <v>0</v>
      </c>
      <c r="I312" t="n">
        <v>0</v>
      </c>
      <c r="J312" t="n">
        <v>0</v>
      </c>
      <c r="K312" t="n">
        <v>0</v>
      </c>
      <c r="L312" t="n">
        <v>0</v>
      </c>
      <c r="M312" t="n">
        <v>0</v>
      </c>
      <c r="N312" t="n">
        <v>0</v>
      </c>
      <c r="O312" t="n">
        <v>0</v>
      </c>
      <c r="P312" t="n">
        <v>0</v>
      </c>
      <c r="Q312" t="n">
        <v>0</v>
      </c>
      <c r="R312" s="2" t="inlineStr"/>
    </row>
    <row r="313" ht="15" customHeight="1">
      <c r="A313" t="inlineStr">
        <is>
          <t>A 27764-2019</t>
        </is>
      </c>
      <c r="B313" s="1" t="n">
        <v>43619</v>
      </c>
      <c r="C313" s="1" t="n">
        <v>45627</v>
      </c>
      <c r="D313" t="inlineStr">
        <is>
          <t>JÄMTLANDS LÄN</t>
        </is>
      </c>
      <c r="E313" t="inlineStr">
        <is>
          <t>KROKOM</t>
        </is>
      </c>
      <c r="G313" t="n">
        <v>41.8</v>
      </c>
      <c r="H313" t="n">
        <v>0</v>
      </c>
      <c r="I313" t="n">
        <v>0</v>
      </c>
      <c r="J313" t="n">
        <v>0</v>
      </c>
      <c r="K313" t="n">
        <v>0</v>
      </c>
      <c r="L313" t="n">
        <v>0</v>
      </c>
      <c r="M313" t="n">
        <v>0</v>
      </c>
      <c r="N313" t="n">
        <v>0</v>
      </c>
      <c r="O313" t="n">
        <v>0</v>
      </c>
      <c r="P313" t="n">
        <v>0</v>
      </c>
      <c r="Q313" t="n">
        <v>0</v>
      </c>
      <c r="R313" s="2" t="inlineStr"/>
    </row>
    <row r="314" ht="15" customHeight="1">
      <c r="A314" t="inlineStr">
        <is>
          <t>A 27763-2019</t>
        </is>
      </c>
      <c r="B314" s="1" t="n">
        <v>43619</v>
      </c>
      <c r="C314" s="1" t="n">
        <v>45627</v>
      </c>
      <c r="D314" t="inlineStr">
        <is>
          <t>JÄMTLANDS LÄN</t>
        </is>
      </c>
      <c r="E314" t="inlineStr">
        <is>
          <t>KROKOM</t>
        </is>
      </c>
      <c r="G314" t="n">
        <v>15.1</v>
      </c>
      <c r="H314" t="n">
        <v>0</v>
      </c>
      <c r="I314" t="n">
        <v>0</v>
      </c>
      <c r="J314" t="n">
        <v>0</v>
      </c>
      <c r="K314" t="n">
        <v>0</v>
      </c>
      <c r="L314" t="n">
        <v>0</v>
      </c>
      <c r="M314" t="n">
        <v>0</v>
      </c>
      <c r="N314" t="n">
        <v>0</v>
      </c>
      <c r="O314" t="n">
        <v>0</v>
      </c>
      <c r="P314" t="n">
        <v>0</v>
      </c>
      <c r="Q314" t="n">
        <v>0</v>
      </c>
      <c r="R314" s="2" t="inlineStr"/>
    </row>
    <row r="315" ht="15" customHeight="1">
      <c r="A315" t="inlineStr">
        <is>
          <t>A 29270-2019</t>
        </is>
      </c>
      <c r="B315" s="1" t="n">
        <v>43623</v>
      </c>
      <c r="C315" s="1" t="n">
        <v>45627</v>
      </c>
      <c r="D315" t="inlineStr">
        <is>
          <t>JÄMTLANDS LÄN</t>
        </is>
      </c>
      <c r="E315" t="inlineStr">
        <is>
          <t>KROKOM</t>
        </is>
      </c>
      <c r="G315" t="n">
        <v>0.3</v>
      </c>
      <c r="H315" t="n">
        <v>0</v>
      </c>
      <c r="I315" t="n">
        <v>0</v>
      </c>
      <c r="J315" t="n">
        <v>0</v>
      </c>
      <c r="K315" t="n">
        <v>0</v>
      </c>
      <c r="L315" t="n">
        <v>0</v>
      </c>
      <c r="M315" t="n">
        <v>0</v>
      </c>
      <c r="N315" t="n">
        <v>0</v>
      </c>
      <c r="O315" t="n">
        <v>0</v>
      </c>
      <c r="P315" t="n">
        <v>0</v>
      </c>
      <c r="Q315" t="n">
        <v>0</v>
      </c>
      <c r="R315" s="2" t="inlineStr"/>
    </row>
    <row r="316" ht="15" customHeight="1">
      <c r="A316" t="inlineStr">
        <is>
          <t>A 29222-2019</t>
        </is>
      </c>
      <c r="B316" s="1" t="n">
        <v>43623</v>
      </c>
      <c r="C316" s="1" t="n">
        <v>45627</v>
      </c>
      <c r="D316" t="inlineStr">
        <is>
          <t>JÄMTLANDS LÄN</t>
        </is>
      </c>
      <c r="E316" t="inlineStr">
        <is>
          <t>KROKOM</t>
        </is>
      </c>
      <c r="G316" t="n">
        <v>5.9</v>
      </c>
      <c r="H316" t="n">
        <v>0</v>
      </c>
      <c r="I316" t="n">
        <v>0</v>
      </c>
      <c r="J316" t="n">
        <v>0</v>
      </c>
      <c r="K316" t="n">
        <v>0</v>
      </c>
      <c r="L316" t="n">
        <v>0</v>
      </c>
      <c r="M316" t="n">
        <v>0</v>
      </c>
      <c r="N316" t="n">
        <v>0</v>
      </c>
      <c r="O316" t="n">
        <v>0</v>
      </c>
      <c r="P316" t="n">
        <v>0</v>
      </c>
      <c r="Q316" t="n">
        <v>0</v>
      </c>
      <c r="R316" s="2" t="inlineStr"/>
    </row>
    <row r="317" ht="15" customHeight="1">
      <c r="A317" t="inlineStr">
        <is>
          <t>A 29211-2019</t>
        </is>
      </c>
      <c r="B317" s="1" t="n">
        <v>43623</v>
      </c>
      <c r="C317" s="1" t="n">
        <v>45627</v>
      </c>
      <c r="D317" t="inlineStr">
        <is>
          <t>JÄMTLANDS LÄN</t>
        </is>
      </c>
      <c r="E317" t="inlineStr">
        <is>
          <t>KROKOM</t>
        </is>
      </c>
      <c r="G317" t="n">
        <v>5</v>
      </c>
      <c r="H317" t="n">
        <v>0</v>
      </c>
      <c r="I317" t="n">
        <v>0</v>
      </c>
      <c r="J317" t="n">
        <v>0</v>
      </c>
      <c r="K317" t="n">
        <v>0</v>
      </c>
      <c r="L317" t="n">
        <v>0</v>
      </c>
      <c r="M317" t="n">
        <v>0</v>
      </c>
      <c r="N317" t="n">
        <v>0</v>
      </c>
      <c r="O317" t="n">
        <v>0</v>
      </c>
      <c r="P317" t="n">
        <v>0</v>
      </c>
      <c r="Q317" t="n">
        <v>0</v>
      </c>
      <c r="R317" s="2" t="inlineStr"/>
    </row>
    <row r="318" ht="15" customHeight="1">
      <c r="A318" t="inlineStr">
        <is>
          <t>A 28521-2019</t>
        </is>
      </c>
      <c r="B318" s="1" t="n">
        <v>43626</v>
      </c>
      <c r="C318" s="1" t="n">
        <v>45627</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29153-2019</t>
        </is>
      </c>
      <c r="B319" s="1" t="n">
        <v>43628</v>
      </c>
      <c r="C319" s="1" t="n">
        <v>45627</v>
      </c>
      <c r="D319" t="inlineStr">
        <is>
          <t>JÄMTLANDS LÄN</t>
        </is>
      </c>
      <c r="E319" t="inlineStr">
        <is>
          <t>KROKOM</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29705-2019</t>
        </is>
      </c>
      <c r="B320" s="1" t="n">
        <v>43628</v>
      </c>
      <c r="C320" s="1" t="n">
        <v>45627</v>
      </c>
      <c r="D320" t="inlineStr">
        <is>
          <t>JÄMTLANDS LÄN</t>
        </is>
      </c>
      <c r="E320" t="inlineStr">
        <is>
          <t>KROKOM</t>
        </is>
      </c>
      <c r="G320" t="n">
        <v>7.1</v>
      </c>
      <c r="H320" t="n">
        <v>0</v>
      </c>
      <c r="I320" t="n">
        <v>0</v>
      </c>
      <c r="J320" t="n">
        <v>0</v>
      </c>
      <c r="K320" t="n">
        <v>0</v>
      </c>
      <c r="L320" t="n">
        <v>0</v>
      </c>
      <c r="M320" t="n">
        <v>0</v>
      </c>
      <c r="N320" t="n">
        <v>0</v>
      </c>
      <c r="O320" t="n">
        <v>0</v>
      </c>
      <c r="P320" t="n">
        <v>0</v>
      </c>
      <c r="Q320" t="n">
        <v>0</v>
      </c>
      <c r="R320" s="2" t="inlineStr"/>
    </row>
    <row r="321" ht="15" customHeight="1">
      <c r="A321" t="inlineStr">
        <is>
          <t>A 29925-2019</t>
        </is>
      </c>
      <c r="B321" s="1" t="n">
        <v>43633</v>
      </c>
      <c r="C321" s="1" t="n">
        <v>45627</v>
      </c>
      <c r="D321" t="inlineStr">
        <is>
          <t>JÄMTLANDS LÄN</t>
        </is>
      </c>
      <c r="E321" t="inlineStr">
        <is>
          <t>KROKOM</t>
        </is>
      </c>
      <c r="G321" t="n">
        <v>1.8</v>
      </c>
      <c r="H321" t="n">
        <v>0</v>
      </c>
      <c r="I321" t="n">
        <v>0</v>
      </c>
      <c r="J321" t="n">
        <v>0</v>
      </c>
      <c r="K321" t="n">
        <v>0</v>
      </c>
      <c r="L321" t="n">
        <v>0</v>
      </c>
      <c r="M321" t="n">
        <v>0</v>
      </c>
      <c r="N321" t="n">
        <v>0</v>
      </c>
      <c r="O321" t="n">
        <v>0</v>
      </c>
      <c r="P321" t="n">
        <v>0</v>
      </c>
      <c r="Q321" t="n">
        <v>0</v>
      </c>
      <c r="R321" s="2" t="inlineStr"/>
    </row>
    <row r="322" ht="15" customHeight="1">
      <c r="A322" t="inlineStr">
        <is>
          <t>A 29823-2019</t>
        </is>
      </c>
      <c r="B322" s="1" t="n">
        <v>43633</v>
      </c>
      <c r="C322" s="1" t="n">
        <v>45627</v>
      </c>
      <c r="D322" t="inlineStr">
        <is>
          <t>JÄMTLANDS LÄN</t>
        </is>
      </c>
      <c r="E322" t="inlineStr">
        <is>
          <t>KROKOM</t>
        </is>
      </c>
      <c r="G322" t="n">
        <v>1.7</v>
      </c>
      <c r="H322" t="n">
        <v>0</v>
      </c>
      <c r="I322" t="n">
        <v>0</v>
      </c>
      <c r="J322" t="n">
        <v>0</v>
      </c>
      <c r="K322" t="n">
        <v>0</v>
      </c>
      <c r="L322" t="n">
        <v>0</v>
      </c>
      <c r="M322" t="n">
        <v>0</v>
      </c>
      <c r="N322" t="n">
        <v>0</v>
      </c>
      <c r="O322" t="n">
        <v>0</v>
      </c>
      <c r="P322" t="n">
        <v>0</v>
      </c>
      <c r="Q322" t="n">
        <v>0</v>
      </c>
      <c r="R322" s="2" t="inlineStr"/>
    </row>
    <row r="323" ht="15" customHeight="1">
      <c r="A323" t="inlineStr">
        <is>
          <t>A 30032-2019</t>
        </is>
      </c>
      <c r="B323" s="1" t="n">
        <v>43633</v>
      </c>
      <c r="C323" s="1" t="n">
        <v>45627</v>
      </c>
      <c r="D323" t="inlineStr">
        <is>
          <t>JÄMTLANDS LÄN</t>
        </is>
      </c>
      <c r="E323" t="inlineStr">
        <is>
          <t>KROKOM</t>
        </is>
      </c>
      <c r="G323" t="n">
        <v>4.1</v>
      </c>
      <c r="H323" t="n">
        <v>0</v>
      </c>
      <c r="I323" t="n">
        <v>0</v>
      </c>
      <c r="J323" t="n">
        <v>0</v>
      </c>
      <c r="K323" t="n">
        <v>0</v>
      </c>
      <c r="L323" t="n">
        <v>0</v>
      </c>
      <c r="M323" t="n">
        <v>0</v>
      </c>
      <c r="N323" t="n">
        <v>0</v>
      </c>
      <c r="O323" t="n">
        <v>0</v>
      </c>
      <c r="P323" t="n">
        <v>0</v>
      </c>
      <c r="Q323" t="n">
        <v>0</v>
      </c>
      <c r="R323" s="2" t="inlineStr"/>
    </row>
    <row r="324" ht="15" customHeight="1">
      <c r="A324" t="inlineStr">
        <is>
          <t>A 30138-2019</t>
        </is>
      </c>
      <c r="B324" s="1" t="n">
        <v>43634</v>
      </c>
      <c r="C324" s="1" t="n">
        <v>45627</v>
      </c>
      <c r="D324" t="inlineStr">
        <is>
          <t>JÄMTLANDS LÄN</t>
        </is>
      </c>
      <c r="E324" t="inlineStr">
        <is>
          <t>KROKOM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30691-2019</t>
        </is>
      </c>
      <c r="B325" s="1" t="n">
        <v>43636</v>
      </c>
      <c r="C325" s="1" t="n">
        <v>45627</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30758-2019</t>
        </is>
      </c>
      <c r="B326" s="1" t="n">
        <v>43636</v>
      </c>
      <c r="C326" s="1" t="n">
        <v>45627</v>
      </c>
      <c r="D326" t="inlineStr">
        <is>
          <t>JÄMTLANDS LÄN</t>
        </is>
      </c>
      <c r="E326" t="inlineStr">
        <is>
          <t>KROKOM</t>
        </is>
      </c>
      <c r="G326" t="n">
        <v>6.4</v>
      </c>
      <c r="H326" t="n">
        <v>0</v>
      </c>
      <c r="I326" t="n">
        <v>0</v>
      </c>
      <c r="J326" t="n">
        <v>0</v>
      </c>
      <c r="K326" t="n">
        <v>0</v>
      </c>
      <c r="L326" t="n">
        <v>0</v>
      </c>
      <c r="M326" t="n">
        <v>0</v>
      </c>
      <c r="N326" t="n">
        <v>0</v>
      </c>
      <c r="O326" t="n">
        <v>0</v>
      </c>
      <c r="P326" t="n">
        <v>0</v>
      </c>
      <c r="Q326" t="n">
        <v>0</v>
      </c>
      <c r="R326" s="2" t="inlineStr"/>
    </row>
    <row r="327" ht="15" customHeight="1">
      <c r="A327" t="inlineStr">
        <is>
          <t>A 31070-2019</t>
        </is>
      </c>
      <c r="B327" s="1" t="n">
        <v>43640</v>
      </c>
      <c r="C327" s="1" t="n">
        <v>45627</v>
      </c>
      <c r="D327" t="inlineStr">
        <is>
          <t>JÄMTLANDS LÄN</t>
        </is>
      </c>
      <c r="E327" t="inlineStr">
        <is>
          <t>KROKOM</t>
        </is>
      </c>
      <c r="G327" t="n">
        <v>5.1</v>
      </c>
      <c r="H327" t="n">
        <v>0</v>
      </c>
      <c r="I327" t="n">
        <v>0</v>
      </c>
      <c r="J327" t="n">
        <v>0</v>
      </c>
      <c r="K327" t="n">
        <v>0</v>
      </c>
      <c r="L327" t="n">
        <v>0</v>
      </c>
      <c r="M327" t="n">
        <v>0</v>
      </c>
      <c r="N327" t="n">
        <v>0</v>
      </c>
      <c r="O327" t="n">
        <v>0</v>
      </c>
      <c r="P327" t="n">
        <v>0</v>
      </c>
      <c r="Q327" t="n">
        <v>0</v>
      </c>
      <c r="R327" s="2" t="inlineStr"/>
    </row>
    <row r="328" ht="15" customHeight="1">
      <c r="A328" t="inlineStr">
        <is>
          <t>A 31032-2019</t>
        </is>
      </c>
      <c r="B328" s="1" t="n">
        <v>43640</v>
      </c>
      <c r="C328" s="1" t="n">
        <v>45627</v>
      </c>
      <c r="D328" t="inlineStr">
        <is>
          <t>JÄMTLANDS LÄN</t>
        </is>
      </c>
      <c r="E328" t="inlineStr">
        <is>
          <t>KROKOM</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31071-2019</t>
        </is>
      </c>
      <c r="B329" s="1" t="n">
        <v>43640</v>
      </c>
      <c r="C329" s="1" t="n">
        <v>45627</v>
      </c>
      <c r="D329" t="inlineStr">
        <is>
          <t>JÄMTLANDS LÄN</t>
        </is>
      </c>
      <c r="E329" t="inlineStr">
        <is>
          <t>KROKOM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31574-2019</t>
        </is>
      </c>
      <c r="B330" s="1" t="n">
        <v>43641</v>
      </c>
      <c r="C330" s="1" t="n">
        <v>45627</v>
      </c>
      <c r="D330" t="inlineStr">
        <is>
          <t>JÄMTLANDS LÄN</t>
        </is>
      </c>
      <c r="E330" t="inlineStr">
        <is>
          <t>KROKOM</t>
        </is>
      </c>
      <c r="G330" t="n">
        <v>5.7</v>
      </c>
      <c r="H330" t="n">
        <v>0</v>
      </c>
      <c r="I330" t="n">
        <v>0</v>
      </c>
      <c r="J330" t="n">
        <v>0</v>
      </c>
      <c r="K330" t="n">
        <v>0</v>
      </c>
      <c r="L330" t="n">
        <v>0</v>
      </c>
      <c r="M330" t="n">
        <v>0</v>
      </c>
      <c r="N330" t="n">
        <v>0</v>
      </c>
      <c r="O330" t="n">
        <v>0</v>
      </c>
      <c r="P330" t="n">
        <v>0</v>
      </c>
      <c r="Q330" t="n">
        <v>0</v>
      </c>
      <c r="R330" s="2" t="inlineStr"/>
    </row>
    <row r="331" ht="15" customHeight="1">
      <c r="A331" t="inlineStr">
        <is>
          <t>A 31575-2019</t>
        </is>
      </c>
      <c r="B331" s="1" t="n">
        <v>43641</v>
      </c>
      <c r="C331" s="1" t="n">
        <v>45627</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31911-2019</t>
        </is>
      </c>
      <c r="B332" s="1" t="n">
        <v>43642</v>
      </c>
      <c r="C332" s="1" t="n">
        <v>45627</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32053-2019</t>
        </is>
      </c>
      <c r="B333" s="1" t="n">
        <v>43642</v>
      </c>
      <c r="C333" s="1" t="n">
        <v>45627</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33001-2019</t>
        </is>
      </c>
      <c r="B334" s="1" t="n">
        <v>43649</v>
      </c>
      <c r="C334" s="1" t="n">
        <v>45627</v>
      </c>
      <c r="D334" t="inlineStr">
        <is>
          <t>JÄMTLANDS LÄN</t>
        </is>
      </c>
      <c r="E334" t="inlineStr">
        <is>
          <t>KROKOM</t>
        </is>
      </c>
      <c r="F334" t="inlineStr">
        <is>
          <t>Övriga Aktiebolag</t>
        </is>
      </c>
      <c r="G334" t="n">
        <v>7.8</v>
      </c>
      <c r="H334" t="n">
        <v>0</v>
      </c>
      <c r="I334" t="n">
        <v>0</v>
      </c>
      <c r="J334" t="n">
        <v>0</v>
      </c>
      <c r="K334" t="n">
        <v>0</v>
      </c>
      <c r="L334" t="n">
        <v>0</v>
      </c>
      <c r="M334" t="n">
        <v>0</v>
      </c>
      <c r="N334" t="n">
        <v>0</v>
      </c>
      <c r="O334" t="n">
        <v>0</v>
      </c>
      <c r="P334" t="n">
        <v>0</v>
      </c>
      <c r="Q334" t="n">
        <v>0</v>
      </c>
      <c r="R334" s="2" t="inlineStr"/>
    </row>
    <row r="335" ht="15" customHeight="1">
      <c r="A335" t="inlineStr">
        <is>
          <t>A 33015-2019</t>
        </is>
      </c>
      <c r="B335" s="1" t="n">
        <v>43649</v>
      </c>
      <c r="C335" s="1" t="n">
        <v>45627</v>
      </c>
      <c r="D335" t="inlineStr">
        <is>
          <t>JÄMTLANDS LÄN</t>
        </is>
      </c>
      <c r="E335" t="inlineStr">
        <is>
          <t>KROKOM</t>
        </is>
      </c>
      <c r="F335" t="inlineStr">
        <is>
          <t>Övriga Aktiebolag</t>
        </is>
      </c>
      <c r="G335" t="n">
        <v>12.7</v>
      </c>
      <c r="H335" t="n">
        <v>0</v>
      </c>
      <c r="I335" t="n">
        <v>0</v>
      </c>
      <c r="J335" t="n">
        <v>0</v>
      </c>
      <c r="K335" t="n">
        <v>0</v>
      </c>
      <c r="L335" t="n">
        <v>0</v>
      </c>
      <c r="M335" t="n">
        <v>0</v>
      </c>
      <c r="N335" t="n">
        <v>0</v>
      </c>
      <c r="O335" t="n">
        <v>0</v>
      </c>
      <c r="P335" t="n">
        <v>0</v>
      </c>
      <c r="Q335" t="n">
        <v>0</v>
      </c>
      <c r="R335" s="2" t="inlineStr"/>
    </row>
    <row r="336" ht="15" customHeight="1">
      <c r="A336" t="inlineStr">
        <is>
          <t>A 33360-2019</t>
        </is>
      </c>
      <c r="B336" s="1" t="n">
        <v>43650</v>
      </c>
      <c r="C336" s="1" t="n">
        <v>45627</v>
      </c>
      <c r="D336" t="inlineStr">
        <is>
          <t>JÄMTLANDS LÄN</t>
        </is>
      </c>
      <c r="E336" t="inlineStr">
        <is>
          <t>KROKOM</t>
        </is>
      </c>
      <c r="G336" t="n">
        <v>15.8</v>
      </c>
      <c r="H336" t="n">
        <v>0</v>
      </c>
      <c r="I336" t="n">
        <v>0</v>
      </c>
      <c r="J336" t="n">
        <v>0</v>
      </c>
      <c r="K336" t="n">
        <v>0</v>
      </c>
      <c r="L336" t="n">
        <v>0</v>
      </c>
      <c r="M336" t="n">
        <v>0</v>
      </c>
      <c r="N336" t="n">
        <v>0</v>
      </c>
      <c r="O336" t="n">
        <v>0</v>
      </c>
      <c r="P336" t="n">
        <v>0</v>
      </c>
      <c r="Q336" t="n">
        <v>0</v>
      </c>
      <c r="R336" s="2" t="inlineStr"/>
    </row>
    <row r="337" ht="15" customHeight="1">
      <c r="A337" t="inlineStr">
        <is>
          <t>A 35288-2019</t>
        </is>
      </c>
      <c r="B337" s="1" t="n">
        <v>43651</v>
      </c>
      <c r="C337" s="1" t="n">
        <v>45627</v>
      </c>
      <c r="D337" t="inlineStr">
        <is>
          <t>JÄMTLANDS LÄN</t>
        </is>
      </c>
      <c r="E337" t="inlineStr">
        <is>
          <t>KROKOM</t>
        </is>
      </c>
      <c r="G337" t="n">
        <v>6.9</v>
      </c>
      <c r="H337" t="n">
        <v>0</v>
      </c>
      <c r="I337" t="n">
        <v>0</v>
      </c>
      <c r="J337" t="n">
        <v>0</v>
      </c>
      <c r="K337" t="n">
        <v>0</v>
      </c>
      <c r="L337" t="n">
        <v>0</v>
      </c>
      <c r="M337" t="n">
        <v>0</v>
      </c>
      <c r="N337" t="n">
        <v>0</v>
      </c>
      <c r="O337" t="n">
        <v>0</v>
      </c>
      <c r="P337" t="n">
        <v>0</v>
      </c>
      <c r="Q337" t="n">
        <v>0</v>
      </c>
      <c r="R337" s="2" t="inlineStr"/>
    </row>
    <row r="338" ht="15" customHeight="1">
      <c r="A338" t="inlineStr">
        <is>
          <t>A 35337-2019</t>
        </is>
      </c>
      <c r="B338" s="1" t="n">
        <v>43651</v>
      </c>
      <c r="C338" s="1" t="n">
        <v>45627</v>
      </c>
      <c r="D338" t="inlineStr">
        <is>
          <t>JÄMTLANDS LÄN</t>
        </is>
      </c>
      <c r="E338" t="inlineStr">
        <is>
          <t>KROKOM</t>
        </is>
      </c>
      <c r="G338" t="n">
        <v>3.7</v>
      </c>
      <c r="H338" t="n">
        <v>0</v>
      </c>
      <c r="I338" t="n">
        <v>0</v>
      </c>
      <c r="J338" t="n">
        <v>0</v>
      </c>
      <c r="K338" t="n">
        <v>0</v>
      </c>
      <c r="L338" t="n">
        <v>0</v>
      </c>
      <c r="M338" t="n">
        <v>0</v>
      </c>
      <c r="N338" t="n">
        <v>0</v>
      </c>
      <c r="O338" t="n">
        <v>0</v>
      </c>
      <c r="P338" t="n">
        <v>0</v>
      </c>
      <c r="Q338" t="n">
        <v>0</v>
      </c>
      <c r="R338" s="2" t="inlineStr"/>
    </row>
    <row r="339" ht="15" customHeight="1">
      <c r="A339" t="inlineStr">
        <is>
          <t>A 35264-2019</t>
        </is>
      </c>
      <c r="B339" s="1" t="n">
        <v>43651</v>
      </c>
      <c r="C339" s="1" t="n">
        <v>45627</v>
      </c>
      <c r="D339" t="inlineStr">
        <is>
          <t>JÄMTLANDS LÄN</t>
        </is>
      </c>
      <c r="E339" t="inlineStr">
        <is>
          <t>KROKOM</t>
        </is>
      </c>
      <c r="G339" t="n">
        <v>10</v>
      </c>
      <c r="H339" t="n">
        <v>0</v>
      </c>
      <c r="I339" t="n">
        <v>0</v>
      </c>
      <c r="J339" t="n">
        <v>0</v>
      </c>
      <c r="K339" t="n">
        <v>0</v>
      </c>
      <c r="L339" t="n">
        <v>0</v>
      </c>
      <c r="M339" t="n">
        <v>0</v>
      </c>
      <c r="N339" t="n">
        <v>0</v>
      </c>
      <c r="O339" t="n">
        <v>0</v>
      </c>
      <c r="P339" t="n">
        <v>0</v>
      </c>
      <c r="Q339" t="n">
        <v>0</v>
      </c>
      <c r="R339" s="2" t="inlineStr"/>
    </row>
    <row r="340" ht="15" customHeight="1">
      <c r="A340" t="inlineStr">
        <is>
          <t>A 35339-2019</t>
        </is>
      </c>
      <c r="B340" s="1" t="n">
        <v>43651</v>
      </c>
      <c r="C340" s="1" t="n">
        <v>45627</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35266-2019</t>
        </is>
      </c>
      <c r="B341" s="1" t="n">
        <v>43651</v>
      </c>
      <c r="C341" s="1" t="n">
        <v>45627</v>
      </c>
      <c r="D341" t="inlineStr">
        <is>
          <t>JÄMTLANDS LÄN</t>
        </is>
      </c>
      <c r="E341" t="inlineStr">
        <is>
          <t>KROKOM</t>
        </is>
      </c>
      <c r="G341" t="n">
        <v>1</v>
      </c>
      <c r="H341" t="n">
        <v>0</v>
      </c>
      <c r="I341" t="n">
        <v>0</v>
      </c>
      <c r="J341" t="n">
        <v>0</v>
      </c>
      <c r="K341" t="n">
        <v>0</v>
      </c>
      <c r="L341" t="n">
        <v>0</v>
      </c>
      <c r="M341" t="n">
        <v>0</v>
      </c>
      <c r="N341" t="n">
        <v>0</v>
      </c>
      <c r="O341" t="n">
        <v>0</v>
      </c>
      <c r="P341" t="n">
        <v>0</v>
      </c>
      <c r="Q341" t="n">
        <v>0</v>
      </c>
      <c r="R341" s="2" t="inlineStr"/>
    </row>
    <row r="342" ht="15" customHeight="1">
      <c r="A342" t="inlineStr">
        <is>
          <t>A 34065-2019</t>
        </is>
      </c>
      <c r="B342" s="1" t="n">
        <v>43654</v>
      </c>
      <c r="C342" s="1" t="n">
        <v>45627</v>
      </c>
      <c r="D342" t="inlineStr">
        <is>
          <t>JÄMTLANDS LÄN</t>
        </is>
      </c>
      <c r="E342" t="inlineStr">
        <is>
          <t>KROKOM</t>
        </is>
      </c>
      <c r="G342" t="n">
        <v>12.3</v>
      </c>
      <c r="H342" t="n">
        <v>0</v>
      </c>
      <c r="I342" t="n">
        <v>0</v>
      </c>
      <c r="J342" t="n">
        <v>0</v>
      </c>
      <c r="K342" t="n">
        <v>0</v>
      </c>
      <c r="L342" t="n">
        <v>0</v>
      </c>
      <c r="M342" t="n">
        <v>0</v>
      </c>
      <c r="N342" t="n">
        <v>0</v>
      </c>
      <c r="O342" t="n">
        <v>0</v>
      </c>
      <c r="P342" t="n">
        <v>0</v>
      </c>
      <c r="Q342" t="n">
        <v>0</v>
      </c>
      <c r="R342" s="2" t="inlineStr"/>
    </row>
    <row r="343" ht="15" customHeight="1">
      <c r="A343" t="inlineStr">
        <is>
          <t>A 34108-2019</t>
        </is>
      </c>
      <c r="B343" s="1" t="n">
        <v>43655</v>
      </c>
      <c r="C343" s="1" t="n">
        <v>45627</v>
      </c>
      <c r="D343" t="inlineStr">
        <is>
          <t>JÄMTLANDS LÄN</t>
        </is>
      </c>
      <c r="E343" t="inlineStr">
        <is>
          <t>KROKOM</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35668-2019</t>
        </is>
      </c>
      <c r="B344" s="1" t="n">
        <v>43655</v>
      </c>
      <c r="C344" s="1" t="n">
        <v>45627</v>
      </c>
      <c r="D344" t="inlineStr">
        <is>
          <t>JÄMTLANDS LÄN</t>
        </is>
      </c>
      <c r="E344" t="inlineStr">
        <is>
          <t>KROKOM</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35754-2019</t>
        </is>
      </c>
      <c r="B345" s="1" t="n">
        <v>43656</v>
      </c>
      <c r="C345" s="1" t="n">
        <v>45627</v>
      </c>
      <c r="D345" t="inlineStr">
        <is>
          <t>JÄMTLANDS LÄN</t>
        </is>
      </c>
      <c r="E345" t="inlineStr">
        <is>
          <t>KROKOM</t>
        </is>
      </c>
      <c r="G345" t="n">
        <v>4.5</v>
      </c>
      <c r="H345" t="n">
        <v>0</v>
      </c>
      <c r="I345" t="n">
        <v>0</v>
      </c>
      <c r="J345" t="n">
        <v>0</v>
      </c>
      <c r="K345" t="n">
        <v>0</v>
      </c>
      <c r="L345" t="n">
        <v>0</v>
      </c>
      <c r="M345" t="n">
        <v>0</v>
      </c>
      <c r="N345" t="n">
        <v>0</v>
      </c>
      <c r="O345" t="n">
        <v>0</v>
      </c>
      <c r="P345" t="n">
        <v>0</v>
      </c>
      <c r="Q345" t="n">
        <v>0</v>
      </c>
      <c r="R345" s="2" t="inlineStr"/>
    </row>
    <row r="346" ht="15" customHeight="1">
      <c r="A346" t="inlineStr">
        <is>
          <t>A 34739-2019</t>
        </is>
      </c>
      <c r="B346" s="1" t="n">
        <v>43657</v>
      </c>
      <c r="C346" s="1" t="n">
        <v>45627</v>
      </c>
      <c r="D346" t="inlineStr">
        <is>
          <t>JÄMTLANDS LÄN</t>
        </is>
      </c>
      <c r="E346" t="inlineStr">
        <is>
          <t>KROKOM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36009-2019</t>
        </is>
      </c>
      <c r="B347" s="1" t="n">
        <v>43657</v>
      </c>
      <c r="C347" s="1" t="n">
        <v>45627</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35131-2019</t>
        </is>
      </c>
      <c r="B348" s="1" t="n">
        <v>43661</v>
      </c>
      <c r="C348" s="1" t="n">
        <v>45627</v>
      </c>
      <c r="D348" t="inlineStr">
        <is>
          <t>JÄMTLANDS LÄN</t>
        </is>
      </c>
      <c r="E348" t="inlineStr">
        <is>
          <t>KROKOM</t>
        </is>
      </c>
      <c r="G348" t="n">
        <v>10.4</v>
      </c>
      <c r="H348" t="n">
        <v>0</v>
      </c>
      <c r="I348" t="n">
        <v>0</v>
      </c>
      <c r="J348" t="n">
        <v>0</v>
      </c>
      <c r="K348" t="n">
        <v>0</v>
      </c>
      <c r="L348" t="n">
        <v>0</v>
      </c>
      <c r="M348" t="n">
        <v>0</v>
      </c>
      <c r="N348" t="n">
        <v>0</v>
      </c>
      <c r="O348" t="n">
        <v>0</v>
      </c>
      <c r="P348" t="n">
        <v>0</v>
      </c>
      <c r="Q348" t="n">
        <v>0</v>
      </c>
      <c r="R348" s="2" t="inlineStr"/>
    </row>
    <row r="349" ht="15" customHeight="1">
      <c r="A349" t="inlineStr">
        <is>
          <t>A 35340-2019</t>
        </is>
      </c>
      <c r="B349" s="1" t="n">
        <v>43661</v>
      </c>
      <c r="C349" s="1" t="n">
        <v>45627</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36271-2019</t>
        </is>
      </c>
      <c r="B350" s="1" t="n">
        <v>43661</v>
      </c>
      <c r="C350" s="1" t="n">
        <v>45627</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37369-2019</t>
        </is>
      </c>
      <c r="B351" s="1" t="n">
        <v>43678</v>
      </c>
      <c r="C351" s="1" t="n">
        <v>45627</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37756-2019</t>
        </is>
      </c>
      <c r="B352" s="1" t="n">
        <v>43682</v>
      </c>
      <c r="C352" s="1" t="n">
        <v>45627</v>
      </c>
      <c r="D352" t="inlineStr">
        <is>
          <t>JÄMTLANDS LÄN</t>
        </is>
      </c>
      <c r="E352" t="inlineStr">
        <is>
          <t>KROKOM</t>
        </is>
      </c>
      <c r="G352" t="n">
        <v>2.1</v>
      </c>
      <c r="H352" t="n">
        <v>0</v>
      </c>
      <c r="I352" t="n">
        <v>0</v>
      </c>
      <c r="J352" t="n">
        <v>0</v>
      </c>
      <c r="K352" t="n">
        <v>0</v>
      </c>
      <c r="L352" t="n">
        <v>0</v>
      </c>
      <c r="M352" t="n">
        <v>0</v>
      </c>
      <c r="N352" t="n">
        <v>0</v>
      </c>
      <c r="O352" t="n">
        <v>0</v>
      </c>
      <c r="P352" t="n">
        <v>0</v>
      </c>
      <c r="Q352" t="n">
        <v>0</v>
      </c>
      <c r="R352" s="2" t="inlineStr"/>
    </row>
    <row r="353" ht="15" customHeight="1">
      <c r="A353" t="inlineStr">
        <is>
          <t>A 38208-2019</t>
        </is>
      </c>
      <c r="B353" s="1" t="n">
        <v>43684</v>
      </c>
      <c r="C353" s="1" t="n">
        <v>45627</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39353-2019</t>
        </is>
      </c>
      <c r="B354" s="1" t="n">
        <v>43690</v>
      </c>
      <c r="C354" s="1" t="n">
        <v>45627</v>
      </c>
      <c r="D354" t="inlineStr">
        <is>
          <t>JÄMTLANDS LÄN</t>
        </is>
      </c>
      <c r="E354" t="inlineStr">
        <is>
          <t>KROKOM</t>
        </is>
      </c>
      <c r="G354" t="n">
        <v>7.8</v>
      </c>
      <c r="H354" t="n">
        <v>0</v>
      </c>
      <c r="I354" t="n">
        <v>0</v>
      </c>
      <c r="J354" t="n">
        <v>0</v>
      </c>
      <c r="K354" t="n">
        <v>0</v>
      </c>
      <c r="L354" t="n">
        <v>0</v>
      </c>
      <c r="M354" t="n">
        <v>0</v>
      </c>
      <c r="N354" t="n">
        <v>0</v>
      </c>
      <c r="O354" t="n">
        <v>0</v>
      </c>
      <c r="P354" t="n">
        <v>0</v>
      </c>
      <c r="Q354" t="n">
        <v>0</v>
      </c>
      <c r="R354" s="2" t="inlineStr"/>
    </row>
    <row r="355" ht="15" customHeight="1">
      <c r="A355" t="inlineStr">
        <is>
          <t>A 39587-2019</t>
        </is>
      </c>
      <c r="B355" s="1" t="n">
        <v>43691</v>
      </c>
      <c r="C355" s="1" t="n">
        <v>45627</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39956-2019</t>
        </is>
      </c>
      <c r="B356" s="1" t="n">
        <v>43692</v>
      </c>
      <c r="C356" s="1" t="n">
        <v>45627</v>
      </c>
      <c r="D356" t="inlineStr">
        <is>
          <t>JÄMTLANDS LÄN</t>
        </is>
      </c>
      <c r="E356" t="inlineStr">
        <is>
          <t>KROKOM</t>
        </is>
      </c>
      <c r="G356" t="n">
        <v>4.3</v>
      </c>
      <c r="H356" t="n">
        <v>0</v>
      </c>
      <c r="I356" t="n">
        <v>0</v>
      </c>
      <c r="J356" t="n">
        <v>0</v>
      </c>
      <c r="K356" t="n">
        <v>0</v>
      </c>
      <c r="L356" t="n">
        <v>0</v>
      </c>
      <c r="M356" t="n">
        <v>0</v>
      </c>
      <c r="N356" t="n">
        <v>0</v>
      </c>
      <c r="O356" t="n">
        <v>0</v>
      </c>
      <c r="P356" t="n">
        <v>0</v>
      </c>
      <c r="Q356" t="n">
        <v>0</v>
      </c>
      <c r="R356" s="2" t="inlineStr"/>
    </row>
    <row r="357" ht="15" customHeight="1">
      <c r="A357" t="inlineStr">
        <is>
          <t>A 39943-2019</t>
        </is>
      </c>
      <c r="B357" s="1" t="n">
        <v>43692</v>
      </c>
      <c r="C357" s="1" t="n">
        <v>45627</v>
      </c>
      <c r="D357" t="inlineStr">
        <is>
          <t>JÄMTLANDS LÄN</t>
        </is>
      </c>
      <c r="E357" t="inlineStr">
        <is>
          <t>KROKOM</t>
        </is>
      </c>
      <c r="G357" t="n">
        <v>17.9</v>
      </c>
      <c r="H357" t="n">
        <v>0</v>
      </c>
      <c r="I357" t="n">
        <v>0</v>
      </c>
      <c r="J357" t="n">
        <v>0</v>
      </c>
      <c r="K357" t="n">
        <v>0</v>
      </c>
      <c r="L357" t="n">
        <v>0</v>
      </c>
      <c r="M357" t="n">
        <v>0</v>
      </c>
      <c r="N357" t="n">
        <v>0</v>
      </c>
      <c r="O357" t="n">
        <v>0</v>
      </c>
      <c r="P357" t="n">
        <v>0</v>
      </c>
      <c r="Q357" t="n">
        <v>0</v>
      </c>
      <c r="R357" s="2" t="inlineStr"/>
    </row>
    <row r="358" ht="15" customHeight="1">
      <c r="A358" t="inlineStr">
        <is>
          <t>A 40929-2019</t>
        </is>
      </c>
      <c r="B358" s="1" t="n">
        <v>43693</v>
      </c>
      <c r="C358" s="1" t="n">
        <v>45627</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40491-2019</t>
        </is>
      </c>
      <c r="B359" s="1" t="n">
        <v>43696</v>
      </c>
      <c r="C359" s="1" t="n">
        <v>45627</v>
      </c>
      <c r="D359" t="inlineStr">
        <is>
          <t>JÄMTLANDS LÄN</t>
        </is>
      </c>
      <c r="E359" t="inlineStr">
        <is>
          <t>KROKOM</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41491-2019</t>
        </is>
      </c>
      <c r="B360" s="1" t="n">
        <v>43699</v>
      </c>
      <c r="C360" s="1" t="n">
        <v>45627</v>
      </c>
      <c r="D360" t="inlineStr">
        <is>
          <t>JÄMTLANDS LÄN</t>
        </is>
      </c>
      <c r="E360" t="inlineStr">
        <is>
          <t>KROKOM</t>
        </is>
      </c>
      <c r="G360" t="n">
        <v>9.1</v>
      </c>
      <c r="H360" t="n">
        <v>0</v>
      </c>
      <c r="I360" t="n">
        <v>0</v>
      </c>
      <c r="J360" t="n">
        <v>0</v>
      </c>
      <c r="K360" t="n">
        <v>0</v>
      </c>
      <c r="L360" t="n">
        <v>0</v>
      </c>
      <c r="M360" t="n">
        <v>0</v>
      </c>
      <c r="N360" t="n">
        <v>0</v>
      </c>
      <c r="O360" t="n">
        <v>0</v>
      </c>
      <c r="P360" t="n">
        <v>0</v>
      </c>
      <c r="Q360" t="n">
        <v>0</v>
      </c>
      <c r="R360" s="2" t="inlineStr"/>
    </row>
    <row r="361" ht="15" customHeight="1">
      <c r="A361" t="inlineStr">
        <is>
          <t>A 42258-2019</t>
        </is>
      </c>
      <c r="B361" s="1" t="n">
        <v>43703</v>
      </c>
      <c r="C361" s="1" t="n">
        <v>45627</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42237-2019</t>
        </is>
      </c>
      <c r="B362" s="1" t="n">
        <v>43703</v>
      </c>
      <c r="C362" s="1" t="n">
        <v>45627</v>
      </c>
      <c r="D362" t="inlineStr">
        <is>
          <t>JÄMTLANDS LÄN</t>
        </is>
      </c>
      <c r="E362" t="inlineStr">
        <is>
          <t>KROKOM</t>
        </is>
      </c>
      <c r="G362" t="n">
        <v>7.1</v>
      </c>
      <c r="H362" t="n">
        <v>0</v>
      </c>
      <c r="I362" t="n">
        <v>0</v>
      </c>
      <c r="J362" t="n">
        <v>0</v>
      </c>
      <c r="K362" t="n">
        <v>0</v>
      </c>
      <c r="L362" t="n">
        <v>0</v>
      </c>
      <c r="M362" t="n">
        <v>0</v>
      </c>
      <c r="N362" t="n">
        <v>0</v>
      </c>
      <c r="O362" t="n">
        <v>0</v>
      </c>
      <c r="P362" t="n">
        <v>0</v>
      </c>
      <c r="Q362" t="n">
        <v>0</v>
      </c>
      <c r="R362" s="2" t="inlineStr"/>
    </row>
    <row r="363" ht="15" customHeight="1">
      <c r="A363" t="inlineStr">
        <is>
          <t>A 42537-2019</t>
        </is>
      </c>
      <c r="B363" s="1" t="n">
        <v>43704</v>
      </c>
      <c r="C363" s="1" t="n">
        <v>45627</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42547-2019</t>
        </is>
      </c>
      <c r="B364" s="1" t="n">
        <v>43704</v>
      </c>
      <c r="C364" s="1" t="n">
        <v>45627</v>
      </c>
      <c r="D364" t="inlineStr">
        <is>
          <t>JÄMTLANDS LÄN</t>
        </is>
      </c>
      <c r="E364" t="inlineStr">
        <is>
          <t>KROKOM</t>
        </is>
      </c>
      <c r="F364" t="inlineStr">
        <is>
          <t>Övriga Aktiebolag</t>
        </is>
      </c>
      <c r="G364" t="n">
        <v>27.5</v>
      </c>
      <c r="H364" t="n">
        <v>0</v>
      </c>
      <c r="I364" t="n">
        <v>0</v>
      </c>
      <c r="J364" t="n">
        <v>0</v>
      </c>
      <c r="K364" t="n">
        <v>0</v>
      </c>
      <c r="L364" t="n">
        <v>0</v>
      </c>
      <c r="M364" t="n">
        <v>0</v>
      </c>
      <c r="N364" t="n">
        <v>0</v>
      </c>
      <c r="O364" t="n">
        <v>0</v>
      </c>
      <c r="P364" t="n">
        <v>0</v>
      </c>
      <c r="Q364" t="n">
        <v>0</v>
      </c>
      <c r="R364" s="2" t="inlineStr"/>
    </row>
    <row r="365" ht="15" customHeight="1">
      <c r="A365" t="inlineStr">
        <is>
          <t>A 42498-2019</t>
        </is>
      </c>
      <c r="B365" s="1" t="n">
        <v>43704</v>
      </c>
      <c r="C365" s="1" t="n">
        <v>45627</v>
      </c>
      <c r="D365" t="inlineStr">
        <is>
          <t>JÄMTLANDS LÄN</t>
        </is>
      </c>
      <c r="E365" t="inlineStr">
        <is>
          <t>KROKOM</t>
        </is>
      </c>
      <c r="F365" t="inlineStr">
        <is>
          <t>Övriga Aktiebolag</t>
        </is>
      </c>
      <c r="G365" t="n">
        <v>3.9</v>
      </c>
      <c r="H365" t="n">
        <v>0</v>
      </c>
      <c r="I365" t="n">
        <v>0</v>
      </c>
      <c r="J365" t="n">
        <v>0</v>
      </c>
      <c r="K365" t="n">
        <v>0</v>
      </c>
      <c r="L365" t="n">
        <v>0</v>
      </c>
      <c r="M365" t="n">
        <v>0</v>
      </c>
      <c r="N365" t="n">
        <v>0</v>
      </c>
      <c r="O365" t="n">
        <v>0</v>
      </c>
      <c r="P365" t="n">
        <v>0</v>
      </c>
      <c r="Q365" t="n">
        <v>0</v>
      </c>
      <c r="R365" s="2" t="inlineStr"/>
    </row>
    <row r="366" ht="15" customHeight="1">
      <c r="A366" t="inlineStr">
        <is>
          <t>A 42602-2019</t>
        </is>
      </c>
      <c r="B366" s="1" t="n">
        <v>43704</v>
      </c>
      <c r="C366" s="1" t="n">
        <v>45627</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42512-2019</t>
        </is>
      </c>
      <c r="B367" s="1" t="n">
        <v>43704</v>
      </c>
      <c r="C367" s="1" t="n">
        <v>45627</v>
      </c>
      <c r="D367" t="inlineStr">
        <is>
          <t>JÄMTLANDS LÄN</t>
        </is>
      </c>
      <c r="E367" t="inlineStr">
        <is>
          <t>KROKOM</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42635-2019</t>
        </is>
      </c>
      <c r="B368" s="1" t="n">
        <v>43704</v>
      </c>
      <c r="C368" s="1" t="n">
        <v>45627</v>
      </c>
      <c r="D368" t="inlineStr">
        <is>
          <t>JÄMTLANDS LÄN</t>
        </is>
      </c>
      <c r="E368" t="inlineStr">
        <is>
          <t>KROKOM</t>
        </is>
      </c>
      <c r="G368" t="n">
        <v>0.9</v>
      </c>
      <c r="H368" t="n">
        <v>0</v>
      </c>
      <c r="I368" t="n">
        <v>0</v>
      </c>
      <c r="J368" t="n">
        <v>0</v>
      </c>
      <c r="K368" t="n">
        <v>0</v>
      </c>
      <c r="L368" t="n">
        <v>0</v>
      </c>
      <c r="M368" t="n">
        <v>0</v>
      </c>
      <c r="N368" t="n">
        <v>0</v>
      </c>
      <c r="O368" t="n">
        <v>0</v>
      </c>
      <c r="P368" t="n">
        <v>0</v>
      </c>
      <c r="Q368" t="n">
        <v>0</v>
      </c>
      <c r="R368" s="2" t="inlineStr"/>
    </row>
    <row r="369" ht="15" customHeight="1">
      <c r="A369" t="inlineStr">
        <is>
          <t>A 43708-2019</t>
        </is>
      </c>
      <c r="B369" s="1" t="n">
        <v>43707</v>
      </c>
      <c r="C369" s="1" t="n">
        <v>45627</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43721-2019</t>
        </is>
      </c>
      <c r="B370" s="1" t="n">
        <v>43707</v>
      </c>
      <c r="C370" s="1" t="n">
        <v>45627</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44128-2019</t>
        </is>
      </c>
      <c r="B371" s="1" t="n">
        <v>43710</v>
      </c>
      <c r="C371" s="1" t="n">
        <v>45627</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44190-2019</t>
        </is>
      </c>
      <c r="B372" s="1" t="n">
        <v>43710</v>
      </c>
      <c r="C372" s="1" t="n">
        <v>45627</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44653-2019</t>
        </is>
      </c>
      <c r="B373" s="1" t="n">
        <v>43712</v>
      </c>
      <c r="C373" s="1" t="n">
        <v>45627</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46288-2019</t>
        </is>
      </c>
      <c r="B374" s="1" t="n">
        <v>43717</v>
      </c>
      <c r="C374" s="1" t="n">
        <v>45627</v>
      </c>
      <c r="D374" t="inlineStr">
        <is>
          <t>JÄMTLANDS LÄN</t>
        </is>
      </c>
      <c r="E374" t="inlineStr">
        <is>
          <t>KROKOM</t>
        </is>
      </c>
      <c r="G374" t="n">
        <v>1.2</v>
      </c>
      <c r="H374" t="n">
        <v>0</v>
      </c>
      <c r="I374" t="n">
        <v>0</v>
      </c>
      <c r="J374" t="n">
        <v>0</v>
      </c>
      <c r="K374" t="n">
        <v>0</v>
      </c>
      <c r="L374" t="n">
        <v>0</v>
      </c>
      <c r="M374" t="n">
        <v>0</v>
      </c>
      <c r="N374" t="n">
        <v>0</v>
      </c>
      <c r="O374" t="n">
        <v>0</v>
      </c>
      <c r="P374" t="n">
        <v>0</v>
      </c>
      <c r="Q374" t="n">
        <v>0</v>
      </c>
      <c r="R374" s="2" t="inlineStr"/>
    </row>
    <row r="375" ht="15" customHeight="1">
      <c r="A375" t="inlineStr">
        <is>
          <t>A 47406-2019</t>
        </is>
      </c>
      <c r="B375" s="1" t="n">
        <v>43722</v>
      </c>
      <c r="C375" s="1" t="n">
        <v>45627</v>
      </c>
      <c r="D375" t="inlineStr">
        <is>
          <t>JÄMTLANDS LÄN</t>
        </is>
      </c>
      <c r="E375" t="inlineStr">
        <is>
          <t>KROKOM</t>
        </is>
      </c>
      <c r="G375" t="n">
        <v>7.4</v>
      </c>
      <c r="H375" t="n">
        <v>0</v>
      </c>
      <c r="I375" t="n">
        <v>0</v>
      </c>
      <c r="J375" t="n">
        <v>0</v>
      </c>
      <c r="K375" t="n">
        <v>0</v>
      </c>
      <c r="L375" t="n">
        <v>0</v>
      </c>
      <c r="M375" t="n">
        <v>0</v>
      </c>
      <c r="N375" t="n">
        <v>0</v>
      </c>
      <c r="O375" t="n">
        <v>0</v>
      </c>
      <c r="P375" t="n">
        <v>0</v>
      </c>
      <c r="Q375" t="n">
        <v>0</v>
      </c>
      <c r="R375" s="2" t="inlineStr"/>
    </row>
    <row r="376" ht="15" customHeight="1">
      <c r="A376" t="inlineStr">
        <is>
          <t>A 48311-2019</t>
        </is>
      </c>
      <c r="B376" s="1" t="n">
        <v>43726</v>
      </c>
      <c r="C376" s="1" t="n">
        <v>45627</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48613-2019</t>
        </is>
      </c>
      <c r="B377" s="1" t="n">
        <v>43727</v>
      </c>
      <c r="C377" s="1" t="n">
        <v>45627</v>
      </c>
      <c r="D377" t="inlineStr">
        <is>
          <t>JÄMTLANDS LÄN</t>
        </is>
      </c>
      <c r="E377" t="inlineStr">
        <is>
          <t>KROKOM</t>
        </is>
      </c>
      <c r="G377" t="n">
        <v>0.1</v>
      </c>
      <c r="H377" t="n">
        <v>0</v>
      </c>
      <c r="I377" t="n">
        <v>0</v>
      </c>
      <c r="J377" t="n">
        <v>0</v>
      </c>
      <c r="K377" t="n">
        <v>0</v>
      </c>
      <c r="L377" t="n">
        <v>0</v>
      </c>
      <c r="M377" t="n">
        <v>0</v>
      </c>
      <c r="N377" t="n">
        <v>0</v>
      </c>
      <c r="O377" t="n">
        <v>0</v>
      </c>
      <c r="P377" t="n">
        <v>0</v>
      </c>
      <c r="Q377" t="n">
        <v>0</v>
      </c>
      <c r="R377" s="2" t="inlineStr"/>
    </row>
    <row r="378" ht="15" customHeight="1">
      <c r="A378" t="inlineStr">
        <is>
          <t>A 49213-2019</t>
        </is>
      </c>
      <c r="B378" s="1" t="n">
        <v>43731</v>
      </c>
      <c r="C378" s="1" t="n">
        <v>45627</v>
      </c>
      <c r="D378" t="inlineStr">
        <is>
          <t>JÄMTLANDS LÄN</t>
        </is>
      </c>
      <c r="E378" t="inlineStr">
        <is>
          <t>KROKOM</t>
        </is>
      </c>
      <c r="G378" t="n">
        <v>3.8</v>
      </c>
      <c r="H378" t="n">
        <v>0</v>
      </c>
      <c r="I378" t="n">
        <v>0</v>
      </c>
      <c r="J378" t="n">
        <v>0</v>
      </c>
      <c r="K378" t="n">
        <v>0</v>
      </c>
      <c r="L378" t="n">
        <v>0</v>
      </c>
      <c r="M378" t="n">
        <v>0</v>
      </c>
      <c r="N378" t="n">
        <v>0</v>
      </c>
      <c r="O378" t="n">
        <v>0</v>
      </c>
      <c r="P378" t="n">
        <v>0</v>
      </c>
      <c r="Q378" t="n">
        <v>0</v>
      </c>
      <c r="R378" s="2" t="inlineStr"/>
    </row>
    <row r="379" ht="15" customHeight="1">
      <c r="A379" t="inlineStr">
        <is>
          <t>A 50104-2019</t>
        </is>
      </c>
      <c r="B379" s="1" t="n">
        <v>43731</v>
      </c>
      <c r="C379" s="1" t="n">
        <v>45627</v>
      </c>
      <c r="D379" t="inlineStr">
        <is>
          <t>JÄMTLANDS LÄN</t>
        </is>
      </c>
      <c r="E379" t="inlineStr">
        <is>
          <t>KROKOM</t>
        </is>
      </c>
      <c r="G379" t="n">
        <v>4.2</v>
      </c>
      <c r="H379" t="n">
        <v>0</v>
      </c>
      <c r="I379" t="n">
        <v>0</v>
      </c>
      <c r="J379" t="n">
        <v>0</v>
      </c>
      <c r="K379" t="n">
        <v>0</v>
      </c>
      <c r="L379" t="n">
        <v>0</v>
      </c>
      <c r="M379" t="n">
        <v>0</v>
      </c>
      <c r="N379" t="n">
        <v>0</v>
      </c>
      <c r="O379" t="n">
        <v>0</v>
      </c>
      <c r="P379" t="n">
        <v>0</v>
      </c>
      <c r="Q379" t="n">
        <v>0</v>
      </c>
      <c r="R379" s="2" t="inlineStr"/>
    </row>
    <row r="380" ht="15" customHeight="1">
      <c r="A380" t="inlineStr">
        <is>
          <t>A 50115-2019</t>
        </is>
      </c>
      <c r="B380" s="1" t="n">
        <v>43731</v>
      </c>
      <c r="C380" s="1" t="n">
        <v>45627</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50084-2019</t>
        </is>
      </c>
      <c r="B381" s="1" t="n">
        <v>43731</v>
      </c>
      <c r="C381" s="1" t="n">
        <v>45627</v>
      </c>
      <c r="D381" t="inlineStr">
        <is>
          <t>JÄMTLANDS LÄN</t>
        </is>
      </c>
      <c r="E381" t="inlineStr">
        <is>
          <t>KROKOM</t>
        </is>
      </c>
      <c r="G381" t="n">
        <v>12.5</v>
      </c>
      <c r="H381" t="n">
        <v>0</v>
      </c>
      <c r="I381" t="n">
        <v>0</v>
      </c>
      <c r="J381" t="n">
        <v>0</v>
      </c>
      <c r="K381" t="n">
        <v>0</v>
      </c>
      <c r="L381" t="n">
        <v>0</v>
      </c>
      <c r="M381" t="n">
        <v>0</v>
      </c>
      <c r="N381" t="n">
        <v>0</v>
      </c>
      <c r="O381" t="n">
        <v>0</v>
      </c>
      <c r="P381" t="n">
        <v>0</v>
      </c>
      <c r="Q381" t="n">
        <v>0</v>
      </c>
      <c r="R381" s="2" t="inlineStr"/>
    </row>
    <row r="382" ht="15" customHeight="1">
      <c r="A382" t="inlineStr">
        <is>
          <t>A 50112-2019</t>
        </is>
      </c>
      <c r="B382" s="1" t="n">
        <v>43731</v>
      </c>
      <c r="C382" s="1" t="n">
        <v>45627</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50144-2019</t>
        </is>
      </c>
      <c r="B383" s="1" t="n">
        <v>43734</v>
      </c>
      <c r="C383" s="1" t="n">
        <v>45627</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52049-2019</t>
        </is>
      </c>
      <c r="B384" s="1" t="n">
        <v>43734</v>
      </c>
      <c r="C384" s="1" t="n">
        <v>45627</v>
      </c>
      <c r="D384" t="inlineStr">
        <is>
          <t>JÄMTLANDS LÄN</t>
        </is>
      </c>
      <c r="E384" t="inlineStr">
        <is>
          <t>KROKOM</t>
        </is>
      </c>
      <c r="G384" t="n">
        <v>6.3</v>
      </c>
      <c r="H384" t="n">
        <v>0</v>
      </c>
      <c r="I384" t="n">
        <v>0</v>
      </c>
      <c r="J384" t="n">
        <v>0</v>
      </c>
      <c r="K384" t="n">
        <v>0</v>
      </c>
      <c r="L384" t="n">
        <v>0</v>
      </c>
      <c r="M384" t="n">
        <v>0</v>
      </c>
      <c r="N384" t="n">
        <v>0</v>
      </c>
      <c r="O384" t="n">
        <v>0</v>
      </c>
      <c r="P384" t="n">
        <v>0</v>
      </c>
      <c r="Q384" t="n">
        <v>0</v>
      </c>
      <c r="R384" s="2" t="inlineStr"/>
    </row>
    <row r="385" ht="15" customHeight="1">
      <c r="A385" t="inlineStr">
        <is>
          <t>A 52028-2019</t>
        </is>
      </c>
      <c r="B385" s="1" t="n">
        <v>43734</v>
      </c>
      <c r="C385" s="1" t="n">
        <v>45627</v>
      </c>
      <c r="D385" t="inlineStr">
        <is>
          <t>JÄMTLANDS LÄN</t>
        </is>
      </c>
      <c r="E385" t="inlineStr">
        <is>
          <t>KROKOM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52059-2019</t>
        </is>
      </c>
      <c r="B386" s="1" t="n">
        <v>43734</v>
      </c>
      <c r="C386" s="1" t="n">
        <v>45627</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50360-2019</t>
        </is>
      </c>
      <c r="B387" s="1" t="n">
        <v>43735</v>
      </c>
      <c r="C387" s="1" t="n">
        <v>45627</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52446-2019</t>
        </is>
      </c>
      <c r="B388" s="1" t="n">
        <v>43735</v>
      </c>
      <c r="C388" s="1" t="n">
        <v>45627</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45627</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45627</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45627</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45627</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45627</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45627</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45627</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45627</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45627</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45627</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45627</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45627</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45627</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45627</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45627</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45627</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45627</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45627</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45627</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45627</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45627</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45627</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45627</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45627</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45627</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45627</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45627</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45627</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45627</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45627</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45627</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45627</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45627</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45627</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45627</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45627</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45627</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45627</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45627</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45627</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45627</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45627</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45627</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45627</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45627</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45627</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45627</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45627</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45627</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45627</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45627</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45627</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45627</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45627</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45627</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45627</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45627</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45627</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45627</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45627</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45627</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45627</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45627</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45627</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45627</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45627</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45627</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45627</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45627</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45627</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9412-2020</t>
        </is>
      </c>
      <c r="B459" s="1" t="n">
        <v>43880</v>
      </c>
      <c r="C459" s="1" t="n">
        <v>45627</v>
      </c>
      <c r="D459" t="inlineStr">
        <is>
          <t>JÄMTLANDS LÄN</t>
        </is>
      </c>
      <c r="E459" t="inlineStr">
        <is>
          <t>KROKOM</t>
        </is>
      </c>
      <c r="G459" t="n">
        <v>12.1</v>
      </c>
      <c r="H459" t="n">
        <v>0</v>
      </c>
      <c r="I459" t="n">
        <v>0</v>
      </c>
      <c r="J459" t="n">
        <v>0</v>
      </c>
      <c r="K459" t="n">
        <v>0</v>
      </c>
      <c r="L459" t="n">
        <v>0</v>
      </c>
      <c r="M459" t="n">
        <v>0</v>
      </c>
      <c r="N459" t="n">
        <v>0</v>
      </c>
      <c r="O459" t="n">
        <v>0</v>
      </c>
      <c r="P459" t="n">
        <v>0</v>
      </c>
      <c r="Q459" t="n">
        <v>0</v>
      </c>
      <c r="R459" s="2" t="inlineStr"/>
    </row>
    <row r="460" ht="15" customHeight="1">
      <c r="A460" t="inlineStr">
        <is>
          <t>A 10206-2020</t>
        </is>
      </c>
      <c r="B460" s="1" t="n">
        <v>43885</v>
      </c>
      <c r="C460" s="1" t="n">
        <v>45627</v>
      </c>
      <c r="D460" t="inlineStr">
        <is>
          <t>JÄMTLANDS LÄN</t>
        </is>
      </c>
      <c r="E460" t="inlineStr">
        <is>
          <t>KROKOM</t>
        </is>
      </c>
      <c r="G460" t="n">
        <v>5.4</v>
      </c>
      <c r="H460" t="n">
        <v>0</v>
      </c>
      <c r="I460" t="n">
        <v>0</v>
      </c>
      <c r="J460" t="n">
        <v>0</v>
      </c>
      <c r="K460" t="n">
        <v>0</v>
      </c>
      <c r="L460" t="n">
        <v>0</v>
      </c>
      <c r="M460" t="n">
        <v>0</v>
      </c>
      <c r="N460" t="n">
        <v>0</v>
      </c>
      <c r="O460" t="n">
        <v>0</v>
      </c>
      <c r="P460" t="n">
        <v>0</v>
      </c>
      <c r="Q460" t="n">
        <v>0</v>
      </c>
      <c r="R460" s="2" t="inlineStr"/>
    </row>
    <row r="461" ht="15" customHeight="1">
      <c r="A461" t="inlineStr">
        <is>
          <t>A 10180-2020</t>
        </is>
      </c>
      <c r="B461" s="1" t="n">
        <v>43887</v>
      </c>
      <c r="C461" s="1" t="n">
        <v>45627</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11021-2020</t>
        </is>
      </c>
      <c r="B462" s="1" t="n">
        <v>43889</v>
      </c>
      <c r="C462" s="1" t="n">
        <v>45627</v>
      </c>
      <c r="D462" t="inlineStr">
        <is>
          <t>JÄMTLANDS LÄN</t>
        </is>
      </c>
      <c r="E462" t="inlineStr">
        <is>
          <t>KROKOM</t>
        </is>
      </c>
      <c r="G462" t="n">
        <v>14.3</v>
      </c>
      <c r="H462" t="n">
        <v>0</v>
      </c>
      <c r="I462" t="n">
        <v>0</v>
      </c>
      <c r="J462" t="n">
        <v>0</v>
      </c>
      <c r="K462" t="n">
        <v>0</v>
      </c>
      <c r="L462" t="n">
        <v>0</v>
      </c>
      <c r="M462" t="n">
        <v>0</v>
      </c>
      <c r="N462" t="n">
        <v>0</v>
      </c>
      <c r="O462" t="n">
        <v>0</v>
      </c>
      <c r="P462" t="n">
        <v>0</v>
      </c>
      <c r="Q462" t="n">
        <v>0</v>
      </c>
      <c r="R462" s="2" t="inlineStr"/>
    </row>
    <row r="463" ht="15" customHeight="1">
      <c r="A463" t="inlineStr">
        <is>
          <t>A 11500-2020</t>
        </is>
      </c>
      <c r="B463" s="1" t="n">
        <v>43893</v>
      </c>
      <c r="C463" s="1" t="n">
        <v>45627</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11487-2020</t>
        </is>
      </c>
      <c r="B464" s="1" t="n">
        <v>43893</v>
      </c>
      <c r="C464" s="1" t="n">
        <v>45627</v>
      </c>
      <c r="D464" t="inlineStr">
        <is>
          <t>JÄMTLANDS LÄN</t>
        </is>
      </c>
      <c r="E464" t="inlineStr">
        <is>
          <t>KROKOM</t>
        </is>
      </c>
      <c r="G464" t="n">
        <v>2.4</v>
      </c>
      <c r="H464" t="n">
        <v>0</v>
      </c>
      <c r="I464" t="n">
        <v>0</v>
      </c>
      <c r="J464" t="n">
        <v>0</v>
      </c>
      <c r="K464" t="n">
        <v>0</v>
      </c>
      <c r="L464" t="n">
        <v>0</v>
      </c>
      <c r="M464" t="n">
        <v>0</v>
      </c>
      <c r="N464" t="n">
        <v>0</v>
      </c>
      <c r="O464" t="n">
        <v>0</v>
      </c>
      <c r="P464" t="n">
        <v>0</v>
      </c>
      <c r="Q464" t="n">
        <v>0</v>
      </c>
      <c r="R464" s="2" t="inlineStr"/>
    </row>
    <row r="465" ht="15" customHeight="1">
      <c r="A465" t="inlineStr">
        <is>
          <t>A 13367-2020</t>
        </is>
      </c>
      <c r="B465" s="1" t="n">
        <v>43894</v>
      </c>
      <c r="C465" s="1" t="n">
        <v>45627</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12914-2020</t>
        </is>
      </c>
      <c r="B466" s="1" t="n">
        <v>43900</v>
      </c>
      <c r="C466" s="1" t="n">
        <v>45627</v>
      </c>
      <c r="D466" t="inlineStr">
        <is>
          <t>JÄMTLANDS LÄN</t>
        </is>
      </c>
      <c r="E466" t="inlineStr">
        <is>
          <t>KROKOM</t>
        </is>
      </c>
      <c r="G466" t="n">
        <v>5.3</v>
      </c>
      <c r="H466" t="n">
        <v>0</v>
      </c>
      <c r="I466" t="n">
        <v>0</v>
      </c>
      <c r="J466" t="n">
        <v>0</v>
      </c>
      <c r="K466" t="n">
        <v>0</v>
      </c>
      <c r="L466" t="n">
        <v>0</v>
      </c>
      <c r="M466" t="n">
        <v>0</v>
      </c>
      <c r="N466" t="n">
        <v>0</v>
      </c>
      <c r="O466" t="n">
        <v>0</v>
      </c>
      <c r="P466" t="n">
        <v>0</v>
      </c>
      <c r="Q466" t="n">
        <v>0</v>
      </c>
      <c r="R466" s="2" t="inlineStr"/>
    </row>
    <row r="467" ht="15" customHeight="1">
      <c r="A467" t="inlineStr">
        <is>
          <t>A 13502-2020</t>
        </is>
      </c>
      <c r="B467" s="1" t="n">
        <v>43900</v>
      </c>
      <c r="C467" s="1" t="n">
        <v>45627</v>
      </c>
      <c r="D467" t="inlineStr">
        <is>
          <t>JÄMTLANDS LÄN</t>
        </is>
      </c>
      <c r="E467" t="inlineStr">
        <is>
          <t>KROKOM</t>
        </is>
      </c>
      <c r="G467" t="n">
        <v>2.5</v>
      </c>
      <c r="H467" t="n">
        <v>0</v>
      </c>
      <c r="I467" t="n">
        <v>0</v>
      </c>
      <c r="J467" t="n">
        <v>0</v>
      </c>
      <c r="K467" t="n">
        <v>0</v>
      </c>
      <c r="L467" t="n">
        <v>0</v>
      </c>
      <c r="M467" t="n">
        <v>0</v>
      </c>
      <c r="N467" t="n">
        <v>0</v>
      </c>
      <c r="O467" t="n">
        <v>0</v>
      </c>
      <c r="P467" t="n">
        <v>0</v>
      </c>
      <c r="Q467" t="n">
        <v>0</v>
      </c>
      <c r="R467" s="2" t="inlineStr"/>
    </row>
    <row r="468" ht="15" customHeight="1">
      <c r="A468" t="inlineStr">
        <is>
          <t>A 12908-2020</t>
        </is>
      </c>
      <c r="B468" s="1" t="n">
        <v>43900</v>
      </c>
      <c r="C468" s="1" t="n">
        <v>45627</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45627</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45627</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45627</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45627</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45627</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45627</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45627</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45627</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19768-2020</t>
        </is>
      </c>
      <c r="B477" s="1" t="n">
        <v>43942</v>
      </c>
      <c r="C477" s="1" t="n">
        <v>45627</v>
      </c>
      <c r="D477" t="inlineStr">
        <is>
          <t>JÄMTLANDS LÄN</t>
        </is>
      </c>
      <c r="E477" t="inlineStr">
        <is>
          <t>KROKOM</t>
        </is>
      </c>
      <c r="F477" t="inlineStr">
        <is>
          <t>Kyrkan</t>
        </is>
      </c>
      <c r="G477" t="n">
        <v>2</v>
      </c>
      <c r="H477" t="n">
        <v>0</v>
      </c>
      <c r="I477" t="n">
        <v>0</v>
      </c>
      <c r="J477" t="n">
        <v>0</v>
      </c>
      <c r="K477" t="n">
        <v>0</v>
      </c>
      <c r="L477" t="n">
        <v>0</v>
      </c>
      <c r="M477" t="n">
        <v>0</v>
      </c>
      <c r="N477" t="n">
        <v>0</v>
      </c>
      <c r="O477" t="n">
        <v>0</v>
      </c>
      <c r="P477" t="n">
        <v>0</v>
      </c>
      <c r="Q477" t="n">
        <v>0</v>
      </c>
      <c r="R477" s="2" t="inlineStr"/>
    </row>
    <row r="478" ht="15" customHeight="1">
      <c r="A478" t="inlineStr">
        <is>
          <t>A 21106-2020</t>
        </is>
      </c>
      <c r="B478" s="1" t="n">
        <v>43951</v>
      </c>
      <c r="C478" s="1" t="n">
        <v>45627</v>
      </c>
      <c r="D478" t="inlineStr">
        <is>
          <t>JÄMTLANDS LÄN</t>
        </is>
      </c>
      <c r="E478" t="inlineStr">
        <is>
          <t>KROKOM</t>
        </is>
      </c>
      <c r="G478" t="n">
        <v>17.7</v>
      </c>
      <c r="H478" t="n">
        <v>0</v>
      </c>
      <c r="I478" t="n">
        <v>0</v>
      </c>
      <c r="J478" t="n">
        <v>0</v>
      </c>
      <c r="K478" t="n">
        <v>0</v>
      </c>
      <c r="L478" t="n">
        <v>0</v>
      </c>
      <c r="M478" t="n">
        <v>0</v>
      </c>
      <c r="N478" t="n">
        <v>0</v>
      </c>
      <c r="O478" t="n">
        <v>0</v>
      </c>
      <c r="P478" t="n">
        <v>0</v>
      </c>
      <c r="Q478" t="n">
        <v>0</v>
      </c>
      <c r="R478" s="2" t="inlineStr"/>
    </row>
    <row r="479" ht="15" customHeight="1">
      <c r="A479" t="inlineStr">
        <is>
          <t>A 21144-2020</t>
        </is>
      </c>
      <c r="B479" s="1" t="n">
        <v>43951</v>
      </c>
      <c r="C479" s="1" t="n">
        <v>45627</v>
      </c>
      <c r="D479" t="inlineStr">
        <is>
          <t>JÄMTLANDS LÄN</t>
        </is>
      </c>
      <c r="E479" t="inlineStr">
        <is>
          <t>KROKOM</t>
        </is>
      </c>
      <c r="G479" t="n">
        <v>2.7</v>
      </c>
      <c r="H479" t="n">
        <v>0</v>
      </c>
      <c r="I479" t="n">
        <v>0</v>
      </c>
      <c r="J479" t="n">
        <v>0</v>
      </c>
      <c r="K479" t="n">
        <v>0</v>
      </c>
      <c r="L479" t="n">
        <v>0</v>
      </c>
      <c r="M479" t="n">
        <v>0</v>
      </c>
      <c r="N479" t="n">
        <v>0</v>
      </c>
      <c r="O479" t="n">
        <v>0</v>
      </c>
      <c r="P479" t="n">
        <v>0</v>
      </c>
      <c r="Q479" t="n">
        <v>0</v>
      </c>
      <c r="R479" s="2" t="inlineStr"/>
    </row>
    <row r="480" ht="15" customHeight="1">
      <c r="A480" t="inlineStr">
        <is>
          <t>A 21443-2020</t>
        </is>
      </c>
      <c r="B480" s="1" t="n">
        <v>43955</v>
      </c>
      <c r="C480" s="1" t="n">
        <v>45627</v>
      </c>
      <c r="D480" t="inlineStr">
        <is>
          <t>JÄMTLANDS LÄN</t>
        </is>
      </c>
      <c r="E480" t="inlineStr">
        <is>
          <t>KROKOM</t>
        </is>
      </c>
      <c r="G480" t="n">
        <v>7.7</v>
      </c>
      <c r="H480" t="n">
        <v>0</v>
      </c>
      <c r="I480" t="n">
        <v>0</v>
      </c>
      <c r="J480" t="n">
        <v>0</v>
      </c>
      <c r="K480" t="n">
        <v>0</v>
      </c>
      <c r="L480" t="n">
        <v>0</v>
      </c>
      <c r="M480" t="n">
        <v>0</v>
      </c>
      <c r="N480" t="n">
        <v>0</v>
      </c>
      <c r="O480" t="n">
        <v>0</v>
      </c>
      <c r="P480" t="n">
        <v>0</v>
      </c>
      <c r="Q480" t="n">
        <v>0</v>
      </c>
      <c r="R480" s="2" t="inlineStr"/>
    </row>
    <row r="481" ht="15" customHeight="1">
      <c r="A481" t="inlineStr">
        <is>
          <t>A 22005-2020</t>
        </is>
      </c>
      <c r="B481" s="1" t="n">
        <v>43959</v>
      </c>
      <c r="C481" s="1" t="n">
        <v>45627</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25520-2020</t>
        </is>
      </c>
      <c r="B482" s="1" t="n">
        <v>43983</v>
      </c>
      <c r="C482" s="1" t="n">
        <v>45627</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25489-2020</t>
        </is>
      </c>
      <c r="B483" s="1" t="n">
        <v>43983</v>
      </c>
      <c r="C483" s="1" t="n">
        <v>45627</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27056-2020</t>
        </is>
      </c>
      <c r="B484" s="1" t="n">
        <v>43991</v>
      </c>
      <c r="C484" s="1" t="n">
        <v>45627</v>
      </c>
      <c r="D484" t="inlineStr">
        <is>
          <t>JÄMTLANDS LÄN</t>
        </is>
      </c>
      <c r="E484" t="inlineStr">
        <is>
          <t>KROKOM</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30368-2020</t>
        </is>
      </c>
      <c r="B485" s="1" t="n">
        <v>44007</v>
      </c>
      <c r="C485" s="1" t="n">
        <v>45627</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31421-2020</t>
        </is>
      </c>
      <c r="B486" s="1" t="n">
        <v>44013</v>
      </c>
      <c r="C486" s="1" t="n">
        <v>45627</v>
      </c>
      <c r="D486" t="inlineStr">
        <is>
          <t>JÄMTLANDS LÄN</t>
        </is>
      </c>
      <c r="E486" t="inlineStr">
        <is>
          <t>KROKOM</t>
        </is>
      </c>
      <c r="G486" t="n">
        <v>14.1</v>
      </c>
      <c r="H486" t="n">
        <v>0</v>
      </c>
      <c r="I486" t="n">
        <v>0</v>
      </c>
      <c r="J486" t="n">
        <v>0</v>
      </c>
      <c r="K486" t="n">
        <v>0</v>
      </c>
      <c r="L486" t="n">
        <v>0</v>
      </c>
      <c r="M486" t="n">
        <v>0</v>
      </c>
      <c r="N486" t="n">
        <v>0</v>
      </c>
      <c r="O486" t="n">
        <v>0</v>
      </c>
      <c r="P486" t="n">
        <v>0</v>
      </c>
      <c r="Q486" t="n">
        <v>0</v>
      </c>
      <c r="R486" s="2" t="inlineStr"/>
    </row>
    <row r="487" ht="15" customHeight="1">
      <c r="A487" t="inlineStr">
        <is>
          <t>A 32084-2020</t>
        </is>
      </c>
      <c r="B487" s="1" t="n">
        <v>44015</v>
      </c>
      <c r="C487" s="1" t="n">
        <v>45627</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34469-2020</t>
        </is>
      </c>
      <c r="B488" s="1" t="n">
        <v>44032</v>
      </c>
      <c r="C488" s="1" t="n">
        <v>45627</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34619-2020</t>
        </is>
      </c>
      <c r="B489" s="1" t="n">
        <v>44033</v>
      </c>
      <c r="C489" s="1" t="n">
        <v>45627</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34954-2020</t>
        </is>
      </c>
      <c r="B490" s="1" t="n">
        <v>44038</v>
      </c>
      <c r="C490" s="1" t="n">
        <v>45627</v>
      </c>
      <c r="D490" t="inlineStr">
        <is>
          <t>JÄMTLANDS LÄN</t>
        </is>
      </c>
      <c r="E490" t="inlineStr">
        <is>
          <t>KROKOM</t>
        </is>
      </c>
      <c r="G490" t="n">
        <v>14.3</v>
      </c>
      <c r="H490" t="n">
        <v>0</v>
      </c>
      <c r="I490" t="n">
        <v>0</v>
      </c>
      <c r="J490" t="n">
        <v>0</v>
      </c>
      <c r="K490" t="n">
        <v>0</v>
      </c>
      <c r="L490" t="n">
        <v>0</v>
      </c>
      <c r="M490" t="n">
        <v>0</v>
      </c>
      <c r="N490" t="n">
        <v>0</v>
      </c>
      <c r="O490" t="n">
        <v>0</v>
      </c>
      <c r="P490" t="n">
        <v>0</v>
      </c>
      <c r="Q490" t="n">
        <v>0</v>
      </c>
      <c r="R490" s="2" t="inlineStr"/>
    </row>
    <row r="491" ht="15" customHeight="1">
      <c r="A491" t="inlineStr">
        <is>
          <t>A 36098-2020</t>
        </is>
      </c>
      <c r="B491" s="1" t="n">
        <v>44048</v>
      </c>
      <c r="C491" s="1" t="n">
        <v>45627</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36698-2020</t>
        </is>
      </c>
      <c r="B492" s="1" t="n">
        <v>44050</v>
      </c>
      <c r="C492" s="1" t="n">
        <v>45627</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36523-2020</t>
        </is>
      </c>
      <c r="B493" s="1" t="n">
        <v>44050</v>
      </c>
      <c r="C493" s="1" t="n">
        <v>45627</v>
      </c>
      <c r="D493" t="inlineStr">
        <is>
          <t>JÄMTLANDS LÄN</t>
        </is>
      </c>
      <c r="E493" t="inlineStr">
        <is>
          <t>KROKOM</t>
        </is>
      </c>
      <c r="G493" t="n">
        <v>5.1</v>
      </c>
      <c r="H493" t="n">
        <v>0</v>
      </c>
      <c r="I493" t="n">
        <v>0</v>
      </c>
      <c r="J493" t="n">
        <v>0</v>
      </c>
      <c r="K493" t="n">
        <v>0</v>
      </c>
      <c r="L493" t="n">
        <v>0</v>
      </c>
      <c r="M493" t="n">
        <v>0</v>
      </c>
      <c r="N493" t="n">
        <v>0</v>
      </c>
      <c r="O493" t="n">
        <v>0</v>
      </c>
      <c r="P493" t="n">
        <v>0</v>
      </c>
      <c r="Q493" t="n">
        <v>0</v>
      </c>
      <c r="R493" s="2" t="inlineStr"/>
    </row>
    <row r="494" ht="15" customHeight="1">
      <c r="A494" t="inlineStr">
        <is>
          <t>A 36696-2020</t>
        </is>
      </c>
      <c r="B494" s="1" t="n">
        <v>44050</v>
      </c>
      <c r="C494" s="1" t="n">
        <v>45627</v>
      </c>
      <c r="D494" t="inlineStr">
        <is>
          <t>JÄMTLANDS LÄN</t>
        </is>
      </c>
      <c r="E494" t="inlineStr">
        <is>
          <t>KROKOM</t>
        </is>
      </c>
      <c r="G494" t="n">
        <v>8</v>
      </c>
      <c r="H494" t="n">
        <v>0</v>
      </c>
      <c r="I494" t="n">
        <v>0</v>
      </c>
      <c r="J494" t="n">
        <v>0</v>
      </c>
      <c r="K494" t="n">
        <v>0</v>
      </c>
      <c r="L494" t="n">
        <v>0</v>
      </c>
      <c r="M494" t="n">
        <v>0</v>
      </c>
      <c r="N494" t="n">
        <v>0</v>
      </c>
      <c r="O494" t="n">
        <v>0</v>
      </c>
      <c r="P494" t="n">
        <v>0</v>
      </c>
      <c r="Q494" t="n">
        <v>0</v>
      </c>
      <c r="R494" s="2" t="inlineStr"/>
    </row>
    <row r="495" ht="15" customHeight="1">
      <c r="A495" t="inlineStr">
        <is>
          <t>A 38001-2020</t>
        </is>
      </c>
      <c r="B495" s="1" t="n">
        <v>44057</v>
      </c>
      <c r="C495" s="1" t="n">
        <v>45627</v>
      </c>
      <c r="D495" t="inlineStr">
        <is>
          <t>JÄMTLANDS LÄN</t>
        </is>
      </c>
      <c r="E495" t="inlineStr">
        <is>
          <t>KROKOM</t>
        </is>
      </c>
      <c r="G495" t="n">
        <v>0.9</v>
      </c>
      <c r="H495" t="n">
        <v>0</v>
      </c>
      <c r="I495" t="n">
        <v>0</v>
      </c>
      <c r="J495" t="n">
        <v>0</v>
      </c>
      <c r="K495" t="n">
        <v>0</v>
      </c>
      <c r="L495" t="n">
        <v>0</v>
      </c>
      <c r="M495" t="n">
        <v>0</v>
      </c>
      <c r="N495" t="n">
        <v>0</v>
      </c>
      <c r="O495" t="n">
        <v>0</v>
      </c>
      <c r="P495" t="n">
        <v>0</v>
      </c>
      <c r="Q495" t="n">
        <v>0</v>
      </c>
      <c r="R495" s="2" t="inlineStr"/>
    </row>
    <row r="496" ht="15" customHeight="1">
      <c r="A496" t="inlineStr">
        <is>
          <t>A 38720-2020</t>
        </is>
      </c>
      <c r="B496" s="1" t="n">
        <v>44061</v>
      </c>
      <c r="C496" s="1" t="n">
        <v>45627</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38866-2020</t>
        </is>
      </c>
      <c r="B497" s="1" t="n">
        <v>44062</v>
      </c>
      <c r="C497" s="1" t="n">
        <v>45627</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42385-2020</t>
        </is>
      </c>
      <c r="B498" s="1" t="n">
        <v>44076</v>
      </c>
      <c r="C498" s="1" t="n">
        <v>45627</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42550-2020</t>
        </is>
      </c>
      <c r="B499" s="1" t="n">
        <v>44077</v>
      </c>
      <c r="C499" s="1" t="n">
        <v>45627</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45602-2020</t>
        </is>
      </c>
      <c r="B500" s="1" t="n">
        <v>44090</v>
      </c>
      <c r="C500" s="1" t="n">
        <v>45627</v>
      </c>
      <c r="D500" t="inlineStr">
        <is>
          <t>JÄMTLANDS LÄN</t>
        </is>
      </c>
      <c r="E500" t="inlineStr">
        <is>
          <t>KROKOM</t>
        </is>
      </c>
      <c r="F500" t="inlineStr">
        <is>
          <t>Övriga Aktiebolag</t>
        </is>
      </c>
      <c r="G500" t="n">
        <v>0.8</v>
      </c>
      <c r="H500" t="n">
        <v>0</v>
      </c>
      <c r="I500" t="n">
        <v>0</v>
      </c>
      <c r="J500" t="n">
        <v>0</v>
      </c>
      <c r="K500" t="n">
        <v>0</v>
      </c>
      <c r="L500" t="n">
        <v>0</v>
      </c>
      <c r="M500" t="n">
        <v>0</v>
      </c>
      <c r="N500" t="n">
        <v>0</v>
      </c>
      <c r="O500" t="n">
        <v>0</v>
      </c>
      <c r="P500" t="n">
        <v>0</v>
      </c>
      <c r="Q500" t="n">
        <v>0</v>
      </c>
      <c r="R500" s="2" t="inlineStr"/>
    </row>
    <row r="501" ht="15" customHeight="1">
      <c r="A501" t="inlineStr">
        <is>
          <t>A 46589-2020</t>
        </is>
      </c>
      <c r="B501" s="1" t="n">
        <v>44095</v>
      </c>
      <c r="C501" s="1" t="n">
        <v>45627</v>
      </c>
      <c r="D501" t="inlineStr">
        <is>
          <t>JÄMTLANDS LÄN</t>
        </is>
      </c>
      <c r="E501" t="inlineStr">
        <is>
          <t>KROKOM</t>
        </is>
      </c>
      <c r="G501" t="n">
        <v>8.5</v>
      </c>
      <c r="H501" t="n">
        <v>0</v>
      </c>
      <c r="I501" t="n">
        <v>0</v>
      </c>
      <c r="J501" t="n">
        <v>0</v>
      </c>
      <c r="K501" t="n">
        <v>0</v>
      </c>
      <c r="L501" t="n">
        <v>0</v>
      </c>
      <c r="M501" t="n">
        <v>0</v>
      </c>
      <c r="N501" t="n">
        <v>0</v>
      </c>
      <c r="O501" t="n">
        <v>0</v>
      </c>
      <c r="P501" t="n">
        <v>0</v>
      </c>
      <c r="Q501" t="n">
        <v>0</v>
      </c>
      <c r="R501" s="2" t="inlineStr"/>
    </row>
    <row r="502" ht="15" customHeight="1">
      <c r="A502" t="inlineStr">
        <is>
          <t>A 46597-2020</t>
        </is>
      </c>
      <c r="B502" s="1" t="n">
        <v>44095</v>
      </c>
      <c r="C502" s="1" t="n">
        <v>45627</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49037-2020</t>
        </is>
      </c>
      <c r="B503" s="1" t="n">
        <v>44102</v>
      </c>
      <c r="C503" s="1" t="n">
        <v>45627</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48610-2020</t>
        </is>
      </c>
      <c r="B504" s="1" t="n">
        <v>44103</v>
      </c>
      <c r="C504" s="1" t="n">
        <v>45627</v>
      </c>
      <c r="D504" t="inlineStr">
        <is>
          <t>JÄMTLANDS LÄN</t>
        </is>
      </c>
      <c r="E504" t="inlineStr">
        <is>
          <t>KROKOM</t>
        </is>
      </c>
      <c r="G504" t="n">
        <v>1.2</v>
      </c>
      <c r="H504" t="n">
        <v>0</v>
      </c>
      <c r="I504" t="n">
        <v>0</v>
      </c>
      <c r="J504" t="n">
        <v>0</v>
      </c>
      <c r="K504" t="n">
        <v>0</v>
      </c>
      <c r="L504" t="n">
        <v>0</v>
      </c>
      <c r="M504" t="n">
        <v>0</v>
      </c>
      <c r="N504" t="n">
        <v>0</v>
      </c>
      <c r="O504" t="n">
        <v>0</v>
      </c>
      <c r="P504" t="n">
        <v>0</v>
      </c>
      <c r="Q504" t="n">
        <v>0</v>
      </c>
      <c r="R504" s="2" t="inlineStr"/>
    </row>
    <row r="505" ht="15" customHeight="1">
      <c r="A505" t="inlineStr">
        <is>
          <t>A 49697-2020</t>
        </is>
      </c>
      <c r="B505" s="1" t="n">
        <v>44106</v>
      </c>
      <c r="C505" s="1" t="n">
        <v>45627</v>
      </c>
      <c r="D505" t="inlineStr">
        <is>
          <t>JÄMTLANDS LÄN</t>
        </is>
      </c>
      <c r="E505" t="inlineStr">
        <is>
          <t>KROKOM</t>
        </is>
      </c>
      <c r="F505" t="inlineStr">
        <is>
          <t>Kyrkan</t>
        </is>
      </c>
      <c r="G505" t="n">
        <v>1.4</v>
      </c>
      <c r="H505" t="n">
        <v>0</v>
      </c>
      <c r="I505" t="n">
        <v>0</v>
      </c>
      <c r="J505" t="n">
        <v>0</v>
      </c>
      <c r="K505" t="n">
        <v>0</v>
      </c>
      <c r="L505" t="n">
        <v>0</v>
      </c>
      <c r="M505" t="n">
        <v>0</v>
      </c>
      <c r="N505" t="n">
        <v>0</v>
      </c>
      <c r="O505" t="n">
        <v>0</v>
      </c>
      <c r="P505" t="n">
        <v>0</v>
      </c>
      <c r="Q505" t="n">
        <v>0</v>
      </c>
      <c r="R505" s="2" t="inlineStr"/>
    </row>
    <row r="506" ht="15" customHeight="1">
      <c r="A506" t="inlineStr">
        <is>
          <t>A 51719-2020</t>
        </is>
      </c>
      <c r="B506" s="1" t="n">
        <v>44113</v>
      </c>
      <c r="C506" s="1" t="n">
        <v>45627</v>
      </c>
      <c r="D506" t="inlineStr">
        <is>
          <t>JÄMTLANDS LÄN</t>
        </is>
      </c>
      <c r="E506" t="inlineStr">
        <is>
          <t>KROKOM</t>
        </is>
      </c>
      <c r="F506" t="inlineStr">
        <is>
          <t>SCA</t>
        </is>
      </c>
      <c r="G506" t="n">
        <v>9</v>
      </c>
      <c r="H506" t="n">
        <v>0</v>
      </c>
      <c r="I506" t="n">
        <v>0</v>
      </c>
      <c r="J506" t="n">
        <v>0</v>
      </c>
      <c r="K506" t="n">
        <v>0</v>
      </c>
      <c r="L506" t="n">
        <v>0</v>
      </c>
      <c r="M506" t="n">
        <v>0</v>
      </c>
      <c r="N506" t="n">
        <v>0</v>
      </c>
      <c r="O506" t="n">
        <v>0</v>
      </c>
      <c r="P506" t="n">
        <v>0</v>
      </c>
      <c r="Q506" t="n">
        <v>0</v>
      </c>
      <c r="R506" s="2" t="inlineStr"/>
    </row>
    <row r="507" ht="15" customHeight="1">
      <c r="A507" t="inlineStr">
        <is>
          <t>A 51717-2020</t>
        </is>
      </c>
      <c r="B507" s="1" t="n">
        <v>44113</v>
      </c>
      <c r="C507" s="1" t="n">
        <v>45627</v>
      </c>
      <c r="D507" t="inlineStr">
        <is>
          <t>JÄMTLANDS LÄN</t>
        </is>
      </c>
      <c r="E507" t="inlineStr">
        <is>
          <t>KROKOM</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52487-2020</t>
        </is>
      </c>
      <c r="B508" s="1" t="n">
        <v>44113</v>
      </c>
      <c r="C508" s="1" t="n">
        <v>45627</v>
      </c>
      <c r="D508" t="inlineStr">
        <is>
          <t>JÄMTLANDS LÄN</t>
        </is>
      </c>
      <c r="E508" t="inlineStr">
        <is>
          <t>KROKOM</t>
        </is>
      </c>
      <c r="F508" t="inlineStr">
        <is>
          <t>SCA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52491-2020</t>
        </is>
      </c>
      <c r="B509" s="1" t="n">
        <v>44113</v>
      </c>
      <c r="C509" s="1" t="n">
        <v>45627</v>
      </c>
      <c r="D509" t="inlineStr">
        <is>
          <t>JÄMTLANDS LÄN</t>
        </is>
      </c>
      <c r="E509" t="inlineStr">
        <is>
          <t>KROKOM</t>
        </is>
      </c>
      <c r="G509" t="n">
        <v>2.7</v>
      </c>
      <c r="H509" t="n">
        <v>0</v>
      </c>
      <c r="I509" t="n">
        <v>0</v>
      </c>
      <c r="J509" t="n">
        <v>0</v>
      </c>
      <c r="K509" t="n">
        <v>0</v>
      </c>
      <c r="L509" t="n">
        <v>0</v>
      </c>
      <c r="M509" t="n">
        <v>0</v>
      </c>
      <c r="N509" t="n">
        <v>0</v>
      </c>
      <c r="O509" t="n">
        <v>0</v>
      </c>
      <c r="P509" t="n">
        <v>0</v>
      </c>
      <c r="Q509" t="n">
        <v>0</v>
      </c>
      <c r="R509" s="2" t="inlineStr"/>
    </row>
    <row r="510" ht="15" customHeight="1">
      <c r="A510" t="inlineStr">
        <is>
          <t>A 52626-2020</t>
        </is>
      </c>
      <c r="B510" s="1" t="n">
        <v>44119</v>
      </c>
      <c r="C510" s="1" t="n">
        <v>45627</v>
      </c>
      <c r="D510" t="inlineStr">
        <is>
          <t>JÄMTLANDS LÄN</t>
        </is>
      </c>
      <c r="E510" t="inlineStr">
        <is>
          <t>KROKOM</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53241-2020</t>
        </is>
      </c>
      <c r="B511" s="1" t="n">
        <v>44123</v>
      </c>
      <c r="C511" s="1" t="n">
        <v>45627</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53501-2020</t>
        </is>
      </c>
      <c r="B512" s="1" t="n">
        <v>44123</v>
      </c>
      <c r="C512" s="1" t="n">
        <v>45627</v>
      </c>
      <c r="D512" t="inlineStr">
        <is>
          <t>JÄMTLANDS LÄN</t>
        </is>
      </c>
      <c r="E512" t="inlineStr">
        <is>
          <t>KROKOM</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53499-2020</t>
        </is>
      </c>
      <c r="B513" s="1" t="n">
        <v>44123</v>
      </c>
      <c r="C513" s="1" t="n">
        <v>45627</v>
      </c>
      <c r="D513" t="inlineStr">
        <is>
          <t>JÄMTLANDS LÄN</t>
        </is>
      </c>
      <c r="E513" t="inlineStr">
        <is>
          <t>KROKOM</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53500-2020</t>
        </is>
      </c>
      <c r="B514" s="1" t="n">
        <v>44123</v>
      </c>
      <c r="C514" s="1" t="n">
        <v>45627</v>
      </c>
      <c r="D514" t="inlineStr">
        <is>
          <t>JÄMTLANDS LÄN</t>
        </is>
      </c>
      <c r="E514" t="inlineStr">
        <is>
          <t>KROKOM</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54575-2020</t>
        </is>
      </c>
      <c r="B515" s="1" t="n">
        <v>44126</v>
      </c>
      <c r="C515" s="1" t="n">
        <v>45627</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54582-2020</t>
        </is>
      </c>
      <c r="B516" s="1" t="n">
        <v>44127</v>
      </c>
      <c r="C516" s="1" t="n">
        <v>45627</v>
      </c>
      <c r="D516" t="inlineStr">
        <is>
          <t>JÄMTLANDS LÄN</t>
        </is>
      </c>
      <c r="E516" t="inlineStr">
        <is>
          <t>KROKOM</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56203-2020</t>
        </is>
      </c>
      <c r="B517" s="1" t="n">
        <v>44133</v>
      </c>
      <c r="C517" s="1" t="n">
        <v>45627</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56596-2020</t>
        </is>
      </c>
      <c r="B518" s="1" t="n">
        <v>44133</v>
      </c>
      <c r="C518" s="1" t="n">
        <v>45627</v>
      </c>
      <c r="D518" t="inlineStr">
        <is>
          <t>JÄMTLANDS LÄN</t>
        </is>
      </c>
      <c r="E518" t="inlineStr">
        <is>
          <t>KROKOM</t>
        </is>
      </c>
      <c r="G518" t="n">
        <v>7.2</v>
      </c>
      <c r="H518" t="n">
        <v>0</v>
      </c>
      <c r="I518" t="n">
        <v>0</v>
      </c>
      <c r="J518" t="n">
        <v>0</v>
      </c>
      <c r="K518" t="n">
        <v>0</v>
      </c>
      <c r="L518" t="n">
        <v>0</v>
      </c>
      <c r="M518" t="n">
        <v>0</v>
      </c>
      <c r="N518" t="n">
        <v>0</v>
      </c>
      <c r="O518" t="n">
        <v>0</v>
      </c>
      <c r="P518" t="n">
        <v>0</v>
      </c>
      <c r="Q518" t="n">
        <v>0</v>
      </c>
      <c r="R518" s="2" t="inlineStr"/>
    </row>
    <row r="519" ht="15" customHeight="1">
      <c r="A519" t="inlineStr">
        <is>
          <t>A 56168-2020</t>
        </is>
      </c>
      <c r="B519" s="1" t="n">
        <v>44133</v>
      </c>
      <c r="C519" s="1" t="n">
        <v>45627</v>
      </c>
      <c r="D519" t="inlineStr">
        <is>
          <t>JÄMTLANDS LÄN</t>
        </is>
      </c>
      <c r="E519" t="inlineStr">
        <is>
          <t>KROKOM</t>
        </is>
      </c>
      <c r="G519" t="n">
        <v>3.5</v>
      </c>
      <c r="H519" t="n">
        <v>0</v>
      </c>
      <c r="I519" t="n">
        <v>0</v>
      </c>
      <c r="J519" t="n">
        <v>0</v>
      </c>
      <c r="K519" t="n">
        <v>0</v>
      </c>
      <c r="L519" t="n">
        <v>0</v>
      </c>
      <c r="M519" t="n">
        <v>0</v>
      </c>
      <c r="N519" t="n">
        <v>0</v>
      </c>
      <c r="O519" t="n">
        <v>0</v>
      </c>
      <c r="P519" t="n">
        <v>0</v>
      </c>
      <c r="Q519" t="n">
        <v>0</v>
      </c>
      <c r="R519" s="2" t="inlineStr"/>
    </row>
    <row r="520" ht="15" customHeight="1">
      <c r="A520" t="inlineStr">
        <is>
          <t>A 57375-2020</t>
        </is>
      </c>
      <c r="B520" s="1" t="n">
        <v>44139</v>
      </c>
      <c r="C520" s="1" t="n">
        <v>45627</v>
      </c>
      <c r="D520" t="inlineStr">
        <is>
          <t>JÄMTLANDS LÄN</t>
        </is>
      </c>
      <c r="E520" t="inlineStr">
        <is>
          <t>KROKOM</t>
        </is>
      </c>
      <c r="F520" t="inlineStr">
        <is>
          <t>SCA</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57726-2020</t>
        </is>
      </c>
      <c r="B521" s="1" t="n">
        <v>44140</v>
      </c>
      <c r="C521" s="1" t="n">
        <v>45627</v>
      </c>
      <c r="D521" t="inlineStr">
        <is>
          <t>JÄMTLANDS LÄN</t>
        </is>
      </c>
      <c r="E521" t="inlineStr">
        <is>
          <t>KROKOM</t>
        </is>
      </c>
      <c r="G521" t="n">
        <v>3.8</v>
      </c>
      <c r="H521" t="n">
        <v>0</v>
      </c>
      <c r="I521" t="n">
        <v>0</v>
      </c>
      <c r="J521" t="n">
        <v>0</v>
      </c>
      <c r="K521" t="n">
        <v>0</v>
      </c>
      <c r="L521" t="n">
        <v>0</v>
      </c>
      <c r="M521" t="n">
        <v>0</v>
      </c>
      <c r="N521" t="n">
        <v>0</v>
      </c>
      <c r="O521" t="n">
        <v>0</v>
      </c>
      <c r="P521" t="n">
        <v>0</v>
      </c>
      <c r="Q521" t="n">
        <v>0</v>
      </c>
      <c r="R521" s="2" t="inlineStr"/>
    </row>
    <row r="522" ht="15" customHeight="1">
      <c r="A522" t="inlineStr">
        <is>
          <t>A 57728-2020</t>
        </is>
      </c>
      <c r="B522" s="1" t="n">
        <v>44140</v>
      </c>
      <c r="C522" s="1" t="n">
        <v>45627</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58378-2020</t>
        </is>
      </c>
      <c r="B523" s="1" t="n">
        <v>44141</v>
      </c>
      <c r="C523" s="1" t="n">
        <v>45627</v>
      </c>
      <c r="D523" t="inlineStr">
        <is>
          <t>JÄMTLANDS LÄN</t>
        </is>
      </c>
      <c r="E523" t="inlineStr">
        <is>
          <t>KROKOM</t>
        </is>
      </c>
      <c r="G523" t="n">
        <v>14.4</v>
      </c>
      <c r="H523" t="n">
        <v>0</v>
      </c>
      <c r="I523" t="n">
        <v>0</v>
      </c>
      <c r="J523" t="n">
        <v>0</v>
      </c>
      <c r="K523" t="n">
        <v>0</v>
      </c>
      <c r="L523" t="n">
        <v>0</v>
      </c>
      <c r="M523" t="n">
        <v>0</v>
      </c>
      <c r="N523" t="n">
        <v>0</v>
      </c>
      <c r="O523" t="n">
        <v>0</v>
      </c>
      <c r="P523" t="n">
        <v>0</v>
      </c>
      <c r="Q523" t="n">
        <v>0</v>
      </c>
      <c r="R523" s="2" t="inlineStr"/>
    </row>
    <row r="524" ht="15" customHeight="1">
      <c r="A524" t="inlineStr">
        <is>
          <t>A 58569-2020</t>
        </is>
      </c>
      <c r="B524" s="1" t="n">
        <v>44141</v>
      </c>
      <c r="C524" s="1" t="n">
        <v>45627</v>
      </c>
      <c r="D524" t="inlineStr">
        <is>
          <t>JÄMTLANDS LÄN</t>
        </is>
      </c>
      <c r="E524" t="inlineStr">
        <is>
          <t>KROKOM</t>
        </is>
      </c>
      <c r="G524" t="n">
        <v>52.8</v>
      </c>
      <c r="H524" t="n">
        <v>0</v>
      </c>
      <c r="I524" t="n">
        <v>0</v>
      </c>
      <c r="J524" t="n">
        <v>0</v>
      </c>
      <c r="K524" t="n">
        <v>0</v>
      </c>
      <c r="L524" t="n">
        <v>0</v>
      </c>
      <c r="M524" t="n">
        <v>0</v>
      </c>
      <c r="N524" t="n">
        <v>0</v>
      </c>
      <c r="O524" t="n">
        <v>0</v>
      </c>
      <c r="P524" t="n">
        <v>0</v>
      </c>
      <c r="Q524" t="n">
        <v>0</v>
      </c>
      <c r="R524" s="2" t="inlineStr"/>
    </row>
    <row r="525" ht="15" customHeight="1">
      <c r="A525" t="inlineStr">
        <is>
          <t>A 58868-2020</t>
        </is>
      </c>
      <c r="B525" s="1" t="n">
        <v>44146</v>
      </c>
      <c r="C525" s="1" t="n">
        <v>45627</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59778-2020</t>
        </is>
      </c>
      <c r="B526" s="1" t="n">
        <v>44148</v>
      </c>
      <c r="C526" s="1" t="n">
        <v>45627</v>
      </c>
      <c r="D526" t="inlineStr">
        <is>
          <t>JÄMTLANDS LÄN</t>
        </is>
      </c>
      <c r="E526" t="inlineStr">
        <is>
          <t>KROKOM</t>
        </is>
      </c>
      <c r="G526" t="n">
        <v>39.3</v>
      </c>
      <c r="H526" t="n">
        <v>0</v>
      </c>
      <c r="I526" t="n">
        <v>0</v>
      </c>
      <c r="J526" t="n">
        <v>0</v>
      </c>
      <c r="K526" t="n">
        <v>0</v>
      </c>
      <c r="L526" t="n">
        <v>0</v>
      </c>
      <c r="M526" t="n">
        <v>0</v>
      </c>
      <c r="N526" t="n">
        <v>0</v>
      </c>
      <c r="O526" t="n">
        <v>0</v>
      </c>
      <c r="P526" t="n">
        <v>0</v>
      </c>
      <c r="Q526" t="n">
        <v>0</v>
      </c>
      <c r="R526" s="2" t="inlineStr"/>
    </row>
    <row r="527" ht="15" customHeight="1">
      <c r="A527" t="inlineStr">
        <is>
          <t>A 59718-2020</t>
        </is>
      </c>
      <c r="B527" s="1" t="n">
        <v>44151</v>
      </c>
      <c r="C527" s="1" t="n">
        <v>45627</v>
      </c>
      <c r="D527" t="inlineStr">
        <is>
          <t>JÄMTLANDS LÄN</t>
        </is>
      </c>
      <c r="E527" t="inlineStr">
        <is>
          <t>KROKOM</t>
        </is>
      </c>
      <c r="G527" t="n">
        <v>3.7</v>
      </c>
      <c r="H527" t="n">
        <v>0</v>
      </c>
      <c r="I527" t="n">
        <v>0</v>
      </c>
      <c r="J527" t="n">
        <v>0</v>
      </c>
      <c r="K527" t="n">
        <v>0</v>
      </c>
      <c r="L527" t="n">
        <v>0</v>
      </c>
      <c r="M527" t="n">
        <v>0</v>
      </c>
      <c r="N527" t="n">
        <v>0</v>
      </c>
      <c r="O527" t="n">
        <v>0</v>
      </c>
      <c r="P527" t="n">
        <v>0</v>
      </c>
      <c r="Q527" t="n">
        <v>0</v>
      </c>
      <c r="R527" s="2" t="inlineStr"/>
    </row>
    <row r="528" ht="15" customHeight="1">
      <c r="A528" t="inlineStr">
        <is>
          <t>A 59706-2020</t>
        </is>
      </c>
      <c r="B528" s="1" t="n">
        <v>44151</v>
      </c>
      <c r="C528" s="1" t="n">
        <v>45627</v>
      </c>
      <c r="D528" t="inlineStr">
        <is>
          <t>JÄMTLANDS LÄN</t>
        </is>
      </c>
      <c r="E528" t="inlineStr">
        <is>
          <t>KROKOM</t>
        </is>
      </c>
      <c r="G528" t="n">
        <v>75</v>
      </c>
      <c r="H528" t="n">
        <v>0</v>
      </c>
      <c r="I528" t="n">
        <v>0</v>
      </c>
      <c r="J528" t="n">
        <v>0</v>
      </c>
      <c r="K528" t="n">
        <v>0</v>
      </c>
      <c r="L528" t="n">
        <v>0</v>
      </c>
      <c r="M528" t="n">
        <v>0</v>
      </c>
      <c r="N528" t="n">
        <v>0</v>
      </c>
      <c r="O528" t="n">
        <v>0</v>
      </c>
      <c r="P528" t="n">
        <v>0</v>
      </c>
      <c r="Q528" t="n">
        <v>0</v>
      </c>
      <c r="R528" s="2" t="inlineStr"/>
    </row>
    <row r="529" ht="15" customHeight="1">
      <c r="A529" t="inlineStr">
        <is>
          <t>A 61091-2020</t>
        </is>
      </c>
      <c r="B529" s="1" t="n">
        <v>44153</v>
      </c>
      <c r="C529" s="1" t="n">
        <v>45627</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61609-2020</t>
        </is>
      </c>
      <c r="B530" s="1" t="n">
        <v>44154</v>
      </c>
      <c r="C530" s="1" t="n">
        <v>45627</v>
      </c>
      <c r="D530" t="inlineStr">
        <is>
          <t>JÄMTLANDS LÄN</t>
        </is>
      </c>
      <c r="E530" t="inlineStr">
        <is>
          <t>KROKOM</t>
        </is>
      </c>
      <c r="G530" t="n">
        <v>6.4</v>
      </c>
      <c r="H530" t="n">
        <v>0</v>
      </c>
      <c r="I530" t="n">
        <v>0</v>
      </c>
      <c r="J530" t="n">
        <v>0</v>
      </c>
      <c r="K530" t="n">
        <v>0</v>
      </c>
      <c r="L530" t="n">
        <v>0</v>
      </c>
      <c r="M530" t="n">
        <v>0</v>
      </c>
      <c r="N530" t="n">
        <v>0</v>
      </c>
      <c r="O530" t="n">
        <v>0</v>
      </c>
      <c r="P530" t="n">
        <v>0</v>
      </c>
      <c r="Q530" t="n">
        <v>0</v>
      </c>
      <c r="R530" s="2" t="inlineStr"/>
    </row>
    <row r="531" ht="15" customHeight="1">
      <c r="A531" t="inlineStr">
        <is>
          <t>A 60928-2020</t>
        </is>
      </c>
      <c r="B531" s="1" t="n">
        <v>44154</v>
      </c>
      <c r="C531" s="1" t="n">
        <v>45627</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62406-2020</t>
        </is>
      </c>
      <c r="B532" s="1" t="n">
        <v>44159</v>
      </c>
      <c r="C532" s="1" t="n">
        <v>45627</v>
      </c>
      <c r="D532" t="inlineStr">
        <is>
          <t>JÄMTLANDS LÄN</t>
        </is>
      </c>
      <c r="E532" t="inlineStr">
        <is>
          <t>KROKOM</t>
        </is>
      </c>
      <c r="G532" t="n">
        <v>4</v>
      </c>
      <c r="H532" t="n">
        <v>0</v>
      </c>
      <c r="I532" t="n">
        <v>0</v>
      </c>
      <c r="J532" t="n">
        <v>0</v>
      </c>
      <c r="K532" t="n">
        <v>0</v>
      </c>
      <c r="L532" t="n">
        <v>0</v>
      </c>
      <c r="M532" t="n">
        <v>0</v>
      </c>
      <c r="N532" t="n">
        <v>0</v>
      </c>
      <c r="O532" t="n">
        <v>0</v>
      </c>
      <c r="P532" t="n">
        <v>0</v>
      </c>
      <c r="Q532" t="n">
        <v>0</v>
      </c>
      <c r="R532" s="2" t="inlineStr"/>
    </row>
    <row r="533" ht="15" customHeight="1">
      <c r="A533" t="inlineStr">
        <is>
          <t>A 63821-2020</t>
        </is>
      </c>
      <c r="B533" s="1" t="n">
        <v>44161</v>
      </c>
      <c r="C533" s="1" t="n">
        <v>45627</v>
      </c>
      <c r="D533" t="inlineStr">
        <is>
          <t>JÄMTLANDS LÄN</t>
        </is>
      </c>
      <c r="E533" t="inlineStr">
        <is>
          <t>KROKOM</t>
        </is>
      </c>
      <c r="G533" t="n">
        <v>6.8</v>
      </c>
      <c r="H533" t="n">
        <v>0</v>
      </c>
      <c r="I533" t="n">
        <v>0</v>
      </c>
      <c r="J533" t="n">
        <v>0</v>
      </c>
      <c r="K533" t="n">
        <v>0</v>
      </c>
      <c r="L533" t="n">
        <v>0</v>
      </c>
      <c r="M533" t="n">
        <v>0</v>
      </c>
      <c r="N533" t="n">
        <v>0</v>
      </c>
      <c r="O533" t="n">
        <v>0</v>
      </c>
      <c r="P533" t="n">
        <v>0</v>
      </c>
      <c r="Q533" t="n">
        <v>0</v>
      </c>
      <c r="R533" s="2" t="inlineStr"/>
    </row>
    <row r="534" ht="15" customHeight="1">
      <c r="A534" t="inlineStr">
        <is>
          <t>A 63701-2020</t>
        </is>
      </c>
      <c r="B534" s="1" t="n">
        <v>44162</v>
      </c>
      <c r="C534" s="1" t="n">
        <v>45627</v>
      </c>
      <c r="D534" t="inlineStr">
        <is>
          <t>JÄMTLANDS LÄN</t>
        </is>
      </c>
      <c r="E534" t="inlineStr">
        <is>
          <t>KROKOM</t>
        </is>
      </c>
      <c r="G534" t="n">
        <v>1.6</v>
      </c>
      <c r="H534" t="n">
        <v>0</v>
      </c>
      <c r="I534" t="n">
        <v>0</v>
      </c>
      <c r="J534" t="n">
        <v>0</v>
      </c>
      <c r="K534" t="n">
        <v>0</v>
      </c>
      <c r="L534" t="n">
        <v>0</v>
      </c>
      <c r="M534" t="n">
        <v>0</v>
      </c>
      <c r="N534" t="n">
        <v>0</v>
      </c>
      <c r="O534" t="n">
        <v>0</v>
      </c>
      <c r="P534" t="n">
        <v>0</v>
      </c>
      <c r="Q534" t="n">
        <v>0</v>
      </c>
      <c r="R534" s="2" t="inlineStr"/>
    </row>
    <row r="535" ht="15" customHeight="1">
      <c r="A535" t="inlineStr">
        <is>
          <t>A 63787-2020</t>
        </is>
      </c>
      <c r="B535" s="1" t="n">
        <v>44162</v>
      </c>
      <c r="C535" s="1" t="n">
        <v>45627</v>
      </c>
      <c r="D535" t="inlineStr">
        <is>
          <t>JÄMTLANDS LÄN</t>
        </is>
      </c>
      <c r="E535" t="inlineStr">
        <is>
          <t>KROKOM</t>
        </is>
      </c>
      <c r="G535" t="n">
        <v>60.3</v>
      </c>
      <c r="H535" t="n">
        <v>0</v>
      </c>
      <c r="I535" t="n">
        <v>0</v>
      </c>
      <c r="J535" t="n">
        <v>0</v>
      </c>
      <c r="K535" t="n">
        <v>0</v>
      </c>
      <c r="L535" t="n">
        <v>0</v>
      </c>
      <c r="M535" t="n">
        <v>0</v>
      </c>
      <c r="N535" t="n">
        <v>0</v>
      </c>
      <c r="O535" t="n">
        <v>0</v>
      </c>
      <c r="P535" t="n">
        <v>0</v>
      </c>
      <c r="Q535" t="n">
        <v>0</v>
      </c>
      <c r="R535" s="2" t="inlineStr"/>
    </row>
    <row r="536" ht="15" customHeight="1">
      <c r="A536" t="inlineStr">
        <is>
          <t>A 64777-2020</t>
        </is>
      </c>
      <c r="B536" s="1" t="n">
        <v>44167</v>
      </c>
      <c r="C536" s="1" t="n">
        <v>45627</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65433-2020</t>
        </is>
      </c>
      <c r="B537" s="1" t="n">
        <v>44169</v>
      </c>
      <c r="C537" s="1" t="n">
        <v>45627</v>
      </c>
      <c r="D537" t="inlineStr">
        <is>
          <t>JÄMTLANDS LÄN</t>
        </is>
      </c>
      <c r="E537" t="inlineStr">
        <is>
          <t>KROKOM</t>
        </is>
      </c>
      <c r="G537" t="n">
        <v>0.3</v>
      </c>
      <c r="H537" t="n">
        <v>0</v>
      </c>
      <c r="I537" t="n">
        <v>0</v>
      </c>
      <c r="J537" t="n">
        <v>0</v>
      </c>
      <c r="K537" t="n">
        <v>0</v>
      </c>
      <c r="L537" t="n">
        <v>0</v>
      </c>
      <c r="M537" t="n">
        <v>0</v>
      </c>
      <c r="N537" t="n">
        <v>0</v>
      </c>
      <c r="O537" t="n">
        <v>0</v>
      </c>
      <c r="P537" t="n">
        <v>0</v>
      </c>
      <c r="Q537" t="n">
        <v>0</v>
      </c>
      <c r="R537" s="2" t="inlineStr"/>
    </row>
    <row r="538" ht="15" customHeight="1">
      <c r="A538" t="inlineStr">
        <is>
          <t>A 65451-2020</t>
        </is>
      </c>
      <c r="B538" s="1" t="n">
        <v>44169</v>
      </c>
      <c r="C538" s="1" t="n">
        <v>45627</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65787-2020</t>
        </is>
      </c>
      <c r="B539" s="1" t="n">
        <v>44172</v>
      </c>
      <c r="C539" s="1" t="n">
        <v>45627</v>
      </c>
      <c r="D539" t="inlineStr">
        <is>
          <t>JÄMTLANDS LÄN</t>
        </is>
      </c>
      <c r="E539" t="inlineStr">
        <is>
          <t>KROKOM</t>
        </is>
      </c>
      <c r="G539" t="n">
        <v>5.8</v>
      </c>
      <c r="H539" t="n">
        <v>0</v>
      </c>
      <c r="I539" t="n">
        <v>0</v>
      </c>
      <c r="J539" t="n">
        <v>0</v>
      </c>
      <c r="K539" t="n">
        <v>0</v>
      </c>
      <c r="L539" t="n">
        <v>0</v>
      </c>
      <c r="M539" t="n">
        <v>0</v>
      </c>
      <c r="N539" t="n">
        <v>0</v>
      </c>
      <c r="O539" t="n">
        <v>0</v>
      </c>
      <c r="P539" t="n">
        <v>0</v>
      </c>
      <c r="Q539" t="n">
        <v>0</v>
      </c>
      <c r="R539" s="2" t="inlineStr"/>
    </row>
    <row r="540" ht="15" customHeight="1">
      <c r="A540" t="inlineStr">
        <is>
          <t>A 65783-2020</t>
        </is>
      </c>
      <c r="B540" s="1" t="n">
        <v>44172</v>
      </c>
      <c r="C540" s="1" t="n">
        <v>45627</v>
      </c>
      <c r="D540" t="inlineStr">
        <is>
          <t>JÄMTLANDS LÄN</t>
        </is>
      </c>
      <c r="E540" t="inlineStr">
        <is>
          <t>KROKOM</t>
        </is>
      </c>
      <c r="G540" t="n">
        <v>3.8</v>
      </c>
      <c r="H540" t="n">
        <v>0</v>
      </c>
      <c r="I540" t="n">
        <v>0</v>
      </c>
      <c r="J540" t="n">
        <v>0</v>
      </c>
      <c r="K540" t="n">
        <v>0</v>
      </c>
      <c r="L540" t="n">
        <v>0</v>
      </c>
      <c r="M540" t="n">
        <v>0</v>
      </c>
      <c r="N540" t="n">
        <v>0</v>
      </c>
      <c r="O540" t="n">
        <v>0</v>
      </c>
      <c r="P540" t="n">
        <v>0</v>
      </c>
      <c r="Q540" t="n">
        <v>0</v>
      </c>
      <c r="R540" s="2" t="inlineStr"/>
    </row>
    <row r="541" ht="15" customHeight="1">
      <c r="A541" t="inlineStr">
        <is>
          <t>A 65316-2020</t>
        </is>
      </c>
      <c r="B541" s="1" t="n">
        <v>44173</v>
      </c>
      <c r="C541" s="1" t="n">
        <v>45627</v>
      </c>
      <c r="D541" t="inlineStr">
        <is>
          <t>JÄMTLANDS LÄN</t>
        </is>
      </c>
      <c r="E541" t="inlineStr">
        <is>
          <t>KROKOM</t>
        </is>
      </c>
      <c r="F541" t="inlineStr">
        <is>
          <t>Övriga Aktiebolag</t>
        </is>
      </c>
      <c r="G541" t="n">
        <v>12.5</v>
      </c>
      <c r="H541" t="n">
        <v>0</v>
      </c>
      <c r="I541" t="n">
        <v>0</v>
      </c>
      <c r="J541" t="n">
        <v>0</v>
      </c>
      <c r="K541" t="n">
        <v>0</v>
      </c>
      <c r="L541" t="n">
        <v>0</v>
      </c>
      <c r="M541" t="n">
        <v>0</v>
      </c>
      <c r="N541" t="n">
        <v>0</v>
      </c>
      <c r="O541" t="n">
        <v>0</v>
      </c>
      <c r="P541" t="n">
        <v>0</v>
      </c>
      <c r="Q541" t="n">
        <v>0</v>
      </c>
      <c r="R541" s="2" t="inlineStr"/>
    </row>
    <row r="542" ht="15" customHeight="1">
      <c r="A542" t="inlineStr">
        <is>
          <t>A 66784-2020</t>
        </is>
      </c>
      <c r="B542" s="1" t="n">
        <v>44175</v>
      </c>
      <c r="C542" s="1" t="n">
        <v>45627</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66774-2020</t>
        </is>
      </c>
      <c r="B543" s="1" t="n">
        <v>44175</v>
      </c>
      <c r="C543" s="1" t="n">
        <v>45627</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67730-2020</t>
        </is>
      </c>
      <c r="B544" s="1" t="n">
        <v>44179</v>
      </c>
      <c r="C544" s="1" t="n">
        <v>45627</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68060-2020</t>
        </is>
      </c>
      <c r="B545" s="1" t="n">
        <v>44183</v>
      </c>
      <c r="C545" s="1" t="n">
        <v>45627</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68387-2020</t>
        </is>
      </c>
      <c r="B546" s="1" t="n">
        <v>44183</v>
      </c>
      <c r="C546" s="1" t="n">
        <v>45627</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68393-2020</t>
        </is>
      </c>
      <c r="B547" s="1" t="n">
        <v>44183</v>
      </c>
      <c r="C547" s="1" t="n">
        <v>45627</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68433-2020</t>
        </is>
      </c>
      <c r="B548" s="1" t="n">
        <v>44183</v>
      </c>
      <c r="C548" s="1" t="n">
        <v>45627</v>
      </c>
      <c r="D548" t="inlineStr">
        <is>
          <t>JÄMTLANDS LÄN</t>
        </is>
      </c>
      <c r="E548" t="inlineStr">
        <is>
          <t>KROKOM</t>
        </is>
      </c>
      <c r="G548" t="n">
        <v>7.4</v>
      </c>
      <c r="H548" t="n">
        <v>0</v>
      </c>
      <c r="I548" t="n">
        <v>0</v>
      </c>
      <c r="J548" t="n">
        <v>0</v>
      </c>
      <c r="K548" t="n">
        <v>0</v>
      </c>
      <c r="L548" t="n">
        <v>0</v>
      </c>
      <c r="M548" t="n">
        <v>0</v>
      </c>
      <c r="N548" t="n">
        <v>0</v>
      </c>
      <c r="O548" t="n">
        <v>0</v>
      </c>
      <c r="P548" t="n">
        <v>0</v>
      </c>
      <c r="Q548" t="n">
        <v>0</v>
      </c>
      <c r="R548" s="2" t="inlineStr"/>
    </row>
    <row r="549" ht="15" customHeight="1">
      <c r="A549" t="inlineStr">
        <is>
          <t>A 68395-2020</t>
        </is>
      </c>
      <c r="B549" s="1" t="n">
        <v>44183</v>
      </c>
      <c r="C549" s="1" t="n">
        <v>45627</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68658-2020</t>
        </is>
      </c>
      <c r="B550" s="1" t="n">
        <v>44186</v>
      </c>
      <c r="C550" s="1" t="n">
        <v>45627</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68764-2020</t>
        </is>
      </c>
      <c r="B551" s="1" t="n">
        <v>44186</v>
      </c>
      <c r="C551" s="1" t="n">
        <v>45627</v>
      </c>
      <c r="D551" t="inlineStr">
        <is>
          <t>JÄMTLANDS LÄN</t>
        </is>
      </c>
      <c r="E551" t="inlineStr">
        <is>
          <t>KROKOM</t>
        </is>
      </c>
      <c r="G551" t="n">
        <v>0.3</v>
      </c>
      <c r="H551" t="n">
        <v>0</v>
      </c>
      <c r="I551" t="n">
        <v>0</v>
      </c>
      <c r="J551" t="n">
        <v>0</v>
      </c>
      <c r="K551" t="n">
        <v>0</v>
      </c>
      <c r="L551" t="n">
        <v>0</v>
      </c>
      <c r="M551" t="n">
        <v>0</v>
      </c>
      <c r="N551" t="n">
        <v>0</v>
      </c>
      <c r="O551" t="n">
        <v>0</v>
      </c>
      <c r="P551" t="n">
        <v>0</v>
      </c>
      <c r="Q551" t="n">
        <v>0</v>
      </c>
      <c r="R551" s="2" t="inlineStr"/>
    </row>
    <row r="552" ht="15" customHeight="1">
      <c r="A552" t="inlineStr">
        <is>
          <t>A 69120-2020</t>
        </is>
      </c>
      <c r="B552" s="1" t="n">
        <v>44188</v>
      </c>
      <c r="C552" s="1" t="n">
        <v>45627</v>
      </c>
      <c r="D552" t="inlineStr">
        <is>
          <t>JÄMTLANDS LÄN</t>
        </is>
      </c>
      <c r="E552" t="inlineStr">
        <is>
          <t>KROKOM</t>
        </is>
      </c>
      <c r="G552" t="n">
        <v>4.1</v>
      </c>
      <c r="H552" t="n">
        <v>0</v>
      </c>
      <c r="I552" t="n">
        <v>0</v>
      </c>
      <c r="J552" t="n">
        <v>0</v>
      </c>
      <c r="K552" t="n">
        <v>0</v>
      </c>
      <c r="L552" t="n">
        <v>0</v>
      </c>
      <c r="M552" t="n">
        <v>0</v>
      </c>
      <c r="N552" t="n">
        <v>0</v>
      </c>
      <c r="O552" t="n">
        <v>0</v>
      </c>
      <c r="P552" t="n">
        <v>0</v>
      </c>
      <c r="Q552" t="n">
        <v>0</v>
      </c>
      <c r="R552" s="2" t="inlineStr"/>
    </row>
    <row r="553" ht="15" customHeight="1">
      <c r="A553" t="inlineStr">
        <is>
          <t>A 327-2021</t>
        </is>
      </c>
      <c r="B553" s="1" t="n">
        <v>44200</v>
      </c>
      <c r="C553" s="1" t="n">
        <v>45627</v>
      </c>
      <c r="D553" t="inlineStr">
        <is>
          <t>JÄMTLANDS LÄN</t>
        </is>
      </c>
      <c r="E553" t="inlineStr">
        <is>
          <t>KROKOM</t>
        </is>
      </c>
      <c r="G553" t="n">
        <v>0.2</v>
      </c>
      <c r="H553" t="n">
        <v>0</v>
      </c>
      <c r="I553" t="n">
        <v>0</v>
      </c>
      <c r="J553" t="n">
        <v>0</v>
      </c>
      <c r="K553" t="n">
        <v>0</v>
      </c>
      <c r="L553" t="n">
        <v>0</v>
      </c>
      <c r="M553" t="n">
        <v>0</v>
      </c>
      <c r="N553" t="n">
        <v>0</v>
      </c>
      <c r="O553" t="n">
        <v>0</v>
      </c>
      <c r="P553" t="n">
        <v>0</v>
      </c>
      <c r="Q553" t="n">
        <v>0</v>
      </c>
      <c r="R553" s="2" t="inlineStr"/>
    </row>
    <row r="554" ht="15" customHeight="1">
      <c r="A554" t="inlineStr">
        <is>
          <t>A 688-2021</t>
        </is>
      </c>
      <c r="B554" s="1" t="n">
        <v>44203</v>
      </c>
      <c r="C554" s="1" t="n">
        <v>45627</v>
      </c>
      <c r="D554" t="inlineStr">
        <is>
          <t>JÄMTLANDS LÄN</t>
        </is>
      </c>
      <c r="E554" t="inlineStr">
        <is>
          <t>KROKOM</t>
        </is>
      </c>
      <c r="G554" t="n">
        <v>7.8</v>
      </c>
      <c r="H554" t="n">
        <v>0</v>
      </c>
      <c r="I554" t="n">
        <v>0</v>
      </c>
      <c r="J554" t="n">
        <v>0</v>
      </c>
      <c r="K554" t="n">
        <v>0</v>
      </c>
      <c r="L554" t="n">
        <v>0</v>
      </c>
      <c r="M554" t="n">
        <v>0</v>
      </c>
      <c r="N554" t="n">
        <v>0</v>
      </c>
      <c r="O554" t="n">
        <v>0</v>
      </c>
      <c r="P554" t="n">
        <v>0</v>
      </c>
      <c r="Q554" t="n">
        <v>0</v>
      </c>
      <c r="R554" s="2" t="inlineStr"/>
    </row>
    <row r="555" ht="15" customHeight="1">
      <c r="A555" t="inlineStr">
        <is>
          <t>A 884-2021</t>
        </is>
      </c>
      <c r="B555" s="1" t="n">
        <v>44206</v>
      </c>
      <c r="C555" s="1" t="n">
        <v>45627</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913-2021</t>
        </is>
      </c>
      <c r="B556" s="1" t="n">
        <v>44207</v>
      </c>
      <c r="C556" s="1" t="n">
        <v>45627</v>
      </c>
      <c r="D556" t="inlineStr">
        <is>
          <t>JÄMTLANDS LÄN</t>
        </is>
      </c>
      <c r="E556" t="inlineStr">
        <is>
          <t>KROKOM</t>
        </is>
      </c>
      <c r="F556" t="inlineStr">
        <is>
          <t>Övriga Aktiebolag</t>
        </is>
      </c>
      <c r="G556" t="n">
        <v>50.8</v>
      </c>
      <c r="H556" t="n">
        <v>0</v>
      </c>
      <c r="I556" t="n">
        <v>0</v>
      </c>
      <c r="J556" t="n">
        <v>0</v>
      </c>
      <c r="K556" t="n">
        <v>0</v>
      </c>
      <c r="L556" t="n">
        <v>0</v>
      </c>
      <c r="M556" t="n">
        <v>0</v>
      </c>
      <c r="N556" t="n">
        <v>0</v>
      </c>
      <c r="O556" t="n">
        <v>0</v>
      </c>
      <c r="P556" t="n">
        <v>0</v>
      </c>
      <c r="Q556" t="n">
        <v>0</v>
      </c>
      <c r="R556" s="2" t="inlineStr"/>
    </row>
    <row r="557" ht="15" customHeight="1">
      <c r="A557" t="inlineStr">
        <is>
          <t>A 981-2021</t>
        </is>
      </c>
      <c r="B557" s="1" t="n">
        <v>44207</v>
      </c>
      <c r="C557" s="1" t="n">
        <v>45627</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915-2021</t>
        </is>
      </c>
      <c r="B558" s="1" t="n">
        <v>44207</v>
      </c>
      <c r="C558" s="1" t="n">
        <v>45627</v>
      </c>
      <c r="D558" t="inlineStr">
        <is>
          <t>JÄMTLANDS LÄN</t>
        </is>
      </c>
      <c r="E558" t="inlineStr">
        <is>
          <t>KROKOM</t>
        </is>
      </c>
      <c r="F558" t="inlineStr">
        <is>
          <t>Övriga Aktiebolag</t>
        </is>
      </c>
      <c r="G558" t="n">
        <v>107.9</v>
      </c>
      <c r="H558" t="n">
        <v>0</v>
      </c>
      <c r="I558" t="n">
        <v>0</v>
      </c>
      <c r="J558" t="n">
        <v>0</v>
      </c>
      <c r="K558" t="n">
        <v>0</v>
      </c>
      <c r="L558" t="n">
        <v>0</v>
      </c>
      <c r="M558" t="n">
        <v>0</v>
      </c>
      <c r="N558" t="n">
        <v>0</v>
      </c>
      <c r="O558" t="n">
        <v>0</v>
      </c>
      <c r="P558" t="n">
        <v>0</v>
      </c>
      <c r="Q558" t="n">
        <v>0</v>
      </c>
      <c r="R558" s="2" t="inlineStr"/>
    </row>
    <row r="559" ht="15" customHeight="1">
      <c r="A559" t="inlineStr">
        <is>
          <t>A 1287-2021</t>
        </is>
      </c>
      <c r="B559" s="1" t="n">
        <v>44207</v>
      </c>
      <c r="C559" s="1" t="n">
        <v>45627</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1696-2021</t>
        </is>
      </c>
      <c r="B560" s="1" t="n">
        <v>44209</v>
      </c>
      <c r="C560" s="1" t="n">
        <v>45627</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1718-2021</t>
        </is>
      </c>
      <c r="B561" s="1" t="n">
        <v>44209</v>
      </c>
      <c r="C561" s="1" t="n">
        <v>45627</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1753-2021</t>
        </is>
      </c>
      <c r="B562" s="1" t="n">
        <v>44209</v>
      </c>
      <c r="C562" s="1" t="n">
        <v>45627</v>
      </c>
      <c r="D562" t="inlineStr">
        <is>
          <t>JÄMTLANDS LÄN</t>
        </is>
      </c>
      <c r="E562" t="inlineStr">
        <is>
          <t>KROKOM</t>
        </is>
      </c>
      <c r="G562" t="n">
        <v>17.2</v>
      </c>
      <c r="H562" t="n">
        <v>0</v>
      </c>
      <c r="I562" t="n">
        <v>0</v>
      </c>
      <c r="J562" t="n">
        <v>0</v>
      </c>
      <c r="K562" t="n">
        <v>0</v>
      </c>
      <c r="L562" t="n">
        <v>0</v>
      </c>
      <c r="M562" t="n">
        <v>0</v>
      </c>
      <c r="N562" t="n">
        <v>0</v>
      </c>
      <c r="O562" t="n">
        <v>0</v>
      </c>
      <c r="P562" t="n">
        <v>0</v>
      </c>
      <c r="Q562" t="n">
        <v>0</v>
      </c>
      <c r="R562" s="2" t="inlineStr"/>
    </row>
    <row r="563" ht="15" customHeight="1">
      <c r="A563" t="inlineStr">
        <is>
          <t>A 1756-2021</t>
        </is>
      </c>
      <c r="B563" s="1" t="n">
        <v>44209</v>
      </c>
      <c r="C563" s="1" t="n">
        <v>45627</v>
      </c>
      <c r="D563" t="inlineStr">
        <is>
          <t>JÄMTLANDS LÄN</t>
        </is>
      </c>
      <c r="E563" t="inlineStr">
        <is>
          <t>KROKOM</t>
        </is>
      </c>
      <c r="G563" t="n">
        <v>7.4</v>
      </c>
      <c r="H563" t="n">
        <v>0</v>
      </c>
      <c r="I563" t="n">
        <v>0</v>
      </c>
      <c r="J563" t="n">
        <v>0</v>
      </c>
      <c r="K563" t="n">
        <v>0</v>
      </c>
      <c r="L563" t="n">
        <v>0</v>
      </c>
      <c r="M563" t="n">
        <v>0</v>
      </c>
      <c r="N563" t="n">
        <v>0</v>
      </c>
      <c r="O563" t="n">
        <v>0</v>
      </c>
      <c r="P563" t="n">
        <v>0</v>
      </c>
      <c r="Q563" t="n">
        <v>0</v>
      </c>
      <c r="R563" s="2" t="inlineStr"/>
    </row>
    <row r="564" ht="15" customHeight="1">
      <c r="A564" t="inlineStr">
        <is>
          <t>A 2062-2021</t>
        </is>
      </c>
      <c r="B564" s="1" t="n">
        <v>44211</v>
      </c>
      <c r="C564" s="1" t="n">
        <v>45627</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2356-2021</t>
        </is>
      </c>
      <c r="B565" s="1" t="n">
        <v>44214</v>
      </c>
      <c r="C565" s="1" t="n">
        <v>45627</v>
      </c>
      <c r="D565" t="inlineStr">
        <is>
          <t>JÄMTLANDS LÄN</t>
        </is>
      </c>
      <c r="E565" t="inlineStr">
        <is>
          <t>KROKOM</t>
        </is>
      </c>
      <c r="G565" t="n">
        <v>22.6</v>
      </c>
      <c r="H565" t="n">
        <v>0</v>
      </c>
      <c r="I565" t="n">
        <v>0</v>
      </c>
      <c r="J565" t="n">
        <v>0</v>
      </c>
      <c r="K565" t="n">
        <v>0</v>
      </c>
      <c r="L565" t="n">
        <v>0</v>
      </c>
      <c r="M565" t="n">
        <v>0</v>
      </c>
      <c r="N565" t="n">
        <v>0</v>
      </c>
      <c r="O565" t="n">
        <v>0</v>
      </c>
      <c r="P565" t="n">
        <v>0</v>
      </c>
      <c r="Q565" t="n">
        <v>0</v>
      </c>
      <c r="R565" s="2" t="inlineStr"/>
    </row>
    <row r="566" ht="15" customHeight="1">
      <c r="A566" t="inlineStr">
        <is>
          <t>A 2410-2021</t>
        </is>
      </c>
      <c r="B566" s="1" t="n">
        <v>44214</v>
      </c>
      <c r="C566" s="1" t="n">
        <v>45627</v>
      </c>
      <c r="D566" t="inlineStr">
        <is>
          <t>JÄMTLANDS LÄN</t>
        </is>
      </c>
      <c r="E566" t="inlineStr">
        <is>
          <t>KROKOM</t>
        </is>
      </c>
      <c r="G566" t="n">
        <v>32.7</v>
      </c>
      <c r="H566" t="n">
        <v>0</v>
      </c>
      <c r="I566" t="n">
        <v>0</v>
      </c>
      <c r="J566" t="n">
        <v>0</v>
      </c>
      <c r="K566" t="n">
        <v>0</v>
      </c>
      <c r="L566" t="n">
        <v>0</v>
      </c>
      <c r="M566" t="n">
        <v>0</v>
      </c>
      <c r="N566" t="n">
        <v>0</v>
      </c>
      <c r="O566" t="n">
        <v>0</v>
      </c>
      <c r="P566" t="n">
        <v>0</v>
      </c>
      <c r="Q566" t="n">
        <v>0</v>
      </c>
      <c r="R566" s="2" t="inlineStr"/>
    </row>
    <row r="567" ht="15" customHeight="1">
      <c r="A567" t="inlineStr">
        <is>
          <t>A 2427-2021</t>
        </is>
      </c>
      <c r="B567" s="1" t="n">
        <v>44214</v>
      </c>
      <c r="C567" s="1" t="n">
        <v>45627</v>
      </c>
      <c r="D567" t="inlineStr">
        <is>
          <t>JÄMTLANDS LÄN</t>
        </is>
      </c>
      <c r="E567" t="inlineStr">
        <is>
          <t>KROKOM</t>
        </is>
      </c>
      <c r="G567" t="n">
        <v>20.5</v>
      </c>
      <c r="H567" t="n">
        <v>0</v>
      </c>
      <c r="I567" t="n">
        <v>0</v>
      </c>
      <c r="J567" t="n">
        <v>0</v>
      </c>
      <c r="K567" t="n">
        <v>0</v>
      </c>
      <c r="L567" t="n">
        <v>0</v>
      </c>
      <c r="M567" t="n">
        <v>0</v>
      </c>
      <c r="N567" t="n">
        <v>0</v>
      </c>
      <c r="O567" t="n">
        <v>0</v>
      </c>
      <c r="P567" t="n">
        <v>0</v>
      </c>
      <c r="Q567" t="n">
        <v>0</v>
      </c>
      <c r="R567" s="2" t="inlineStr"/>
    </row>
    <row r="568" ht="15" customHeight="1">
      <c r="A568" t="inlineStr">
        <is>
          <t>A 2442-2021</t>
        </is>
      </c>
      <c r="B568" s="1" t="n">
        <v>44214</v>
      </c>
      <c r="C568" s="1" t="n">
        <v>45627</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2451-2021</t>
        </is>
      </c>
      <c r="B569" s="1" t="n">
        <v>44214</v>
      </c>
      <c r="C569" s="1" t="n">
        <v>45627</v>
      </c>
      <c r="D569" t="inlineStr">
        <is>
          <t>JÄMTLANDS LÄN</t>
        </is>
      </c>
      <c r="E569" t="inlineStr">
        <is>
          <t>KROKOM</t>
        </is>
      </c>
      <c r="G569" t="n">
        <v>29.5</v>
      </c>
      <c r="H569" t="n">
        <v>0</v>
      </c>
      <c r="I569" t="n">
        <v>0</v>
      </c>
      <c r="J569" t="n">
        <v>0</v>
      </c>
      <c r="K569" t="n">
        <v>0</v>
      </c>
      <c r="L569" t="n">
        <v>0</v>
      </c>
      <c r="M569" t="n">
        <v>0</v>
      </c>
      <c r="N569" t="n">
        <v>0</v>
      </c>
      <c r="O569" t="n">
        <v>0</v>
      </c>
      <c r="P569" t="n">
        <v>0</v>
      </c>
      <c r="Q569" t="n">
        <v>0</v>
      </c>
      <c r="R569" s="2" t="inlineStr"/>
    </row>
    <row r="570" ht="15" customHeight="1">
      <c r="A570" t="inlineStr">
        <is>
          <t>A 2568-2021</t>
        </is>
      </c>
      <c r="B570" s="1" t="n">
        <v>44214</v>
      </c>
      <c r="C570" s="1" t="n">
        <v>45627</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5422-2021</t>
        </is>
      </c>
      <c r="B571" s="1" t="n">
        <v>44228</v>
      </c>
      <c r="C571" s="1" t="n">
        <v>45627</v>
      </c>
      <c r="D571" t="inlineStr">
        <is>
          <t>JÄMTLANDS LÄN</t>
        </is>
      </c>
      <c r="E571" t="inlineStr">
        <is>
          <t>KROKOM</t>
        </is>
      </c>
      <c r="G571" t="n">
        <v>11</v>
      </c>
      <c r="H571" t="n">
        <v>0</v>
      </c>
      <c r="I571" t="n">
        <v>0</v>
      </c>
      <c r="J571" t="n">
        <v>0</v>
      </c>
      <c r="K571" t="n">
        <v>0</v>
      </c>
      <c r="L571" t="n">
        <v>0</v>
      </c>
      <c r="M571" t="n">
        <v>0</v>
      </c>
      <c r="N571" t="n">
        <v>0</v>
      </c>
      <c r="O571" t="n">
        <v>0</v>
      </c>
      <c r="P571" t="n">
        <v>0</v>
      </c>
      <c r="Q571" t="n">
        <v>0</v>
      </c>
      <c r="R571" s="2" t="inlineStr"/>
    </row>
    <row r="572" ht="15" customHeight="1">
      <c r="A572" t="inlineStr">
        <is>
          <t>A 8154-2021</t>
        </is>
      </c>
      <c r="B572" s="1" t="n">
        <v>44243</v>
      </c>
      <c r="C572" s="1" t="n">
        <v>45627</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8302-2021</t>
        </is>
      </c>
      <c r="B573" s="1" t="n">
        <v>44244</v>
      </c>
      <c r="C573" s="1" t="n">
        <v>45627</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10008-2021</t>
        </is>
      </c>
      <c r="B574" s="1" t="n">
        <v>44255</v>
      </c>
      <c r="C574" s="1" t="n">
        <v>45627</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10303-2021</t>
        </is>
      </c>
      <c r="B575" s="1" t="n">
        <v>44256</v>
      </c>
      <c r="C575" s="1" t="n">
        <v>45627</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11117-2021</t>
        </is>
      </c>
      <c r="B576" s="1" t="n">
        <v>44260</v>
      </c>
      <c r="C576" s="1" t="n">
        <v>45627</v>
      </c>
      <c r="D576" t="inlineStr">
        <is>
          <t>JÄMTLANDS LÄN</t>
        </is>
      </c>
      <c r="E576" t="inlineStr">
        <is>
          <t>KROKOM</t>
        </is>
      </c>
      <c r="G576" t="n">
        <v>8</v>
      </c>
      <c r="H576" t="n">
        <v>0</v>
      </c>
      <c r="I576" t="n">
        <v>0</v>
      </c>
      <c r="J576" t="n">
        <v>0</v>
      </c>
      <c r="K576" t="n">
        <v>0</v>
      </c>
      <c r="L576" t="n">
        <v>0</v>
      </c>
      <c r="M576" t="n">
        <v>0</v>
      </c>
      <c r="N576" t="n">
        <v>0</v>
      </c>
      <c r="O576" t="n">
        <v>0</v>
      </c>
      <c r="P576" t="n">
        <v>0</v>
      </c>
      <c r="Q576" t="n">
        <v>0</v>
      </c>
      <c r="R576" s="2" t="inlineStr"/>
    </row>
    <row r="577" ht="15" customHeight="1">
      <c r="A577" t="inlineStr">
        <is>
          <t>A 11530-2021</t>
        </is>
      </c>
      <c r="B577" s="1" t="n">
        <v>44263</v>
      </c>
      <c r="C577" s="1" t="n">
        <v>45627</v>
      </c>
      <c r="D577" t="inlineStr">
        <is>
          <t>JÄMTLANDS LÄN</t>
        </is>
      </c>
      <c r="E577" t="inlineStr">
        <is>
          <t>KROKOM</t>
        </is>
      </c>
      <c r="G577" t="n">
        <v>9</v>
      </c>
      <c r="H577" t="n">
        <v>0</v>
      </c>
      <c r="I577" t="n">
        <v>0</v>
      </c>
      <c r="J577" t="n">
        <v>0</v>
      </c>
      <c r="K577" t="n">
        <v>0</v>
      </c>
      <c r="L577" t="n">
        <v>0</v>
      </c>
      <c r="M577" t="n">
        <v>0</v>
      </c>
      <c r="N577" t="n">
        <v>0</v>
      </c>
      <c r="O577" t="n">
        <v>0</v>
      </c>
      <c r="P577" t="n">
        <v>0</v>
      </c>
      <c r="Q577" t="n">
        <v>0</v>
      </c>
      <c r="R577" s="2" t="inlineStr"/>
    </row>
    <row r="578" ht="15" customHeight="1">
      <c r="A578" t="inlineStr">
        <is>
          <t>A 12721-2021</t>
        </is>
      </c>
      <c r="B578" s="1" t="n">
        <v>44270</v>
      </c>
      <c r="C578" s="1" t="n">
        <v>45627</v>
      </c>
      <c r="D578" t="inlineStr">
        <is>
          <t>JÄMTLANDS LÄN</t>
        </is>
      </c>
      <c r="E578" t="inlineStr">
        <is>
          <t>KROKOM</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12884-2021</t>
        </is>
      </c>
      <c r="B579" s="1" t="n">
        <v>44271</v>
      </c>
      <c r="C579" s="1" t="n">
        <v>45627</v>
      </c>
      <c r="D579" t="inlineStr">
        <is>
          <t>JÄMTLANDS LÄN</t>
        </is>
      </c>
      <c r="E579" t="inlineStr">
        <is>
          <t>KROKOM</t>
        </is>
      </c>
      <c r="G579" t="n">
        <v>5.5</v>
      </c>
      <c r="H579" t="n">
        <v>0</v>
      </c>
      <c r="I579" t="n">
        <v>0</v>
      </c>
      <c r="J579" t="n">
        <v>0</v>
      </c>
      <c r="K579" t="n">
        <v>0</v>
      </c>
      <c r="L579" t="n">
        <v>0</v>
      </c>
      <c r="M579" t="n">
        <v>0</v>
      </c>
      <c r="N579" t="n">
        <v>0</v>
      </c>
      <c r="O579" t="n">
        <v>0</v>
      </c>
      <c r="P579" t="n">
        <v>0</v>
      </c>
      <c r="Q579" t="n">
        <v>0</v>
      </c>
      <c r="R579" s="2" t="inlineStr"/>
    </row>
    <row r="580" ht="15" customHeight="1">
      <c r="A580" t="inlineStr">
        <is>
          <t>A 12889-2021</t>
        </is>
      </c>
      <c r="B580" s="1" t="n">
        <v>44271</v>
      </c>
      <c r="C580" s="1" t="n">
        <v>45627</v>
      </c>
      <c r="D580" t="inlineStr">
        <is>
          <t>JÄMTLANDS LÄN</t>
        </is>
      </c>
      <c r="E580" t="inlineStr">
        <is>
          <t>KROKOM</t>
        </is>
      </c>
      <c r="G580" t="n">
        <v>0.3</v>
      </c>
      <c r="H580" t="n">
        <v>0</v>
      </c>
      <c r="I580" t="n">
        <v>0</v>
      </c>
      <c r="J580" t="n">
        <v>0</v>
      </c>
      <c r="K580" t="n">
        <v>0</v>
      </c>
      <c r="L580" t="n">
        <v>0</v>
      </c>
      <c r="M580" t="n">
        <v>0</v>
      </c>
      <c r="N580" t="n">
        <v>0</v>
      </c>
      <c r="O580" t="n">
        <v>0</v>
      </c>
      <c r="P580" t="n">
        <v>0</v>
      </c>
      <c r="Q580" t="n">
        <v>0</v>
      </c>
      <c r="R580" s="2" t="inlineStr"/>
    </row>
    <row r="581" ht="15" customHeight="1">
      <c r="A581" t="inlineStr">
        <is>
          <t>A 13395-2021</t>
        </is>
      </c>
      <c r="B581" s="1" t="n">
        <v>44273</v>
      </c>
      <c r="C581" s="1" t="n">
        <v>45627</v>
      </c>
      <c r="D581" t="inlineStr">
        <is>
          <t>JÄMTLANDS LÄN</t>
        </is>
      </c>
      <c r="E581" t="inlineStr">
        <is>
          <t>KROKOM</t>
        </is>
      </c>
      <c r="G581" t="n">
        <v>13.7</v>
      </c>
      <c r="H581" t="n">
        <v>0</v>
      </c>
      <c r="I581" t="n">
        <v>0</v>
      </c>
      <c r="J581" t="n">
        <v>0</v>
      </c>
      <c r="K581" t="n">
        <v>0</v>
      </c>
      <c r="L581" t="n">
        <v>0</v>
      </c>
      <c r="M581" t="n">
        <v>0</v>
      </c>
      <c r="N581" t="n">
        <v>0</v>
      </c>
      <c r="O581" t="n">
        <v>0</v>
      </c>
      <c r="P581" t="n">
        <v>0</v>
      </c>
      <c r="Q581" t="n">
        <v>0</v>
      </c>
      <c r="R581" s="2" t="inlineStr"/>
    </row>
    <row r="582" ht="15" customHeight="1">
      <c r="A582" t="inlineStr">
        <is>
          <t>A 13989-2021</t>
        </is>
      </c>
      <c r="B582" s="1" t="n">
        <v>44277</v>
      </c>
      <c r="C582" s="1" t="n">
        <v>45627</v>
      </c>
      <c r="D582" t="inlineStr">
        <is>
          <t>JÄMTLANDS LÄN</t>
        </is>
      </c>
      <c r="E582" t="inlineStr">
        <is>
          <t>KROKOM</t>
        </is>
      </c>
      <c r="G582" t="n">
        <v>2.2</v>
      </c>
      <c r="H582" t="n">
        <v>0</v>
      </c>
      <c r="I582" t="n">
        <v>0</v>
      </c>
      <c r="J582" t="n">
        <v>0</v>
      </c>
      <c r="K582" t="n">
        <v>0</v>
      </c>
      <c r="L582" t="n">
        <v>0</v>
      </c>
      <c r="M582" t="n">
        <v>0</v>
      </c>
      <c r="N582" t="n">
        <v>0</v>
      </c>
      <c r="O582" t="n">
        <v>0</v>
      </c>
      <c r="P582" t="n">
        <v>0</v>
      </c>
      <c r="Q582" t="n">
        <v>0</v>
      </c>
      <c r="R582" s="2" t="inlineStr"/>
    </row>
    <row r="583" ht="15" customHeight="1">
      <c r="A583" t="inlineStr">
        <is>
          <t>A 14167-2021</t>
        </is>
      </c>
      <c r="B583" s="1" t="n">
        <v>44278</v>
      </c>
      <c r="C583" s="1" t="n">
        <v>45627</v>
      </c>
      <c r="D583" t="inlineStr">
        <is>
          <t>JÄMTLANDS LÄN</t>
        </is>
      </c>
      <c r="E583" t="inlineStr">
        <is>
          <t>KROKOM</t>
        </is>
      </c>
      <c r="G583" t="n">
        <v>5.4</v>
      </c>
      <c r="H583" t="n">
        <v>0</v>
      </c>
      <c r="I583" t="n">
        <v>0</v>
      </c>
      <c r="J583" t="n">
        <v>0</v>
      </c>
      <c r="K583" t="n">
        <v>0</v>
      </c>
      <c r="L583" t="n">
        <v>0</v>
      </c>
      <c r="M583" t="n">
        <v>0</v>
      </c>
      <c r="N583" t="n">
        <v>0</v>
      </c>
      <c r="O583" t="n">
        <v>0</v>
      </c>
      <c r="P583" t="n">
        <v>0</v>
      </c>
      <c r="Q583" t="n">
        <v>0</v>
      </c>
      <c r="R583" s="2" t="inlineStr"/>
    </row>
    <row r="584" ht="15" customHeight="1">
      <c r="A584" t="inlineStr">
        <is>
          <t>A 14593-2021</t>
        </is>
      </c>
      <c r="B584" s="1" t="n">
        <v>44279</v>
      </c>
      <c r="C584" s="1" t="n">
        <v>45627</v>
      </c>
      <c r="D584" t="inlineStr">
        <is>
          <t>JÄMTLANDS LÄN</t>
        </is>
      </c>
      <c r="E584" t="inlineStr">
        <is>
          <t>KROKOM</t>
        </is>
      </c>
      <c r="G584" t="n">
        <v>3.1</v>
      </c>
      <c r="H584" t="n">
        <v>0</v>
      </c>
      <c r="I584" t="n">
        <v>0</v>
      </c>
      <c r="J584" t="n">
        <v>0</v>
      </c>
      <c r="K584" t="n">
        <v>0</v>
      </c>
      <c r="L584" t="n">
        <v>0</v>
      </c>
      <c r="M584" t="n">
        <v>0</v>
      </c>
      <c r="N584" t="n">
        <v>0</v>
      </c>
      <c r="O584" t="n">
        <v>0</v>
      </c>
      <c r="P584" t="n">
        <v>0</v>
      </c>
      <c r="Q584" t="n">
        <v>0</v>
      </c>
      <c r="R584" s="2" t="inlineStr"/>
    </row>
    <row r="585" ht="15" customHeight="1">
      <c r="A585" t="inlineStr">
        <is>
          <t>A 14598-2021</t>
        </is>
      </c>
      <c r="B585" s="1" t="n">
        <v>44279</v>
      </c>
      <c r="C585" s="1" t="n">
        <v>45627</v>
      </c>
      <c r="D585" t="inlineStr">
        <is>
          <t>JÄMTLANDS LÄN</t>
        </is>
      </c>
      <c r="E585" t="inlineStr">
        <is>
          <t>KROKOM</t>
        </is>
      </c>
      <c r="G585" t="n">
        <v>25.4</v>
      </c>
      <c r="H585" t="n">
        <v>0</v>
      </c>
      <c r="I585" t="n">
        <v>0</v>
      </c>
      <c r="J585" t="n">
        <v>0</v>
      </c>
      <c r="K585" t="n">
        <v>0</v>
      </c>
      <c r="L585" t="n">
        <v>0</v>
      </c>
      <c r="M585" t="n">
        <v>0</v>
      </c>
      <c r="N585" t="n">
        <v>0</v>
      </c>
      <c r="O585" t="n">
        <v>0</v>
      </c>
      <c r="P585" t="n">
        <v>0</v>
      </c>
      <c r="Q585" t="n">
        <v>0</v>
      </c>
      <c r="R585" s="2" t="inlineStr"/>
    </row>
    <row r="586" ht="15" customHeight="1">
      <c r="A586" t="inlineStr">
        <is>
          <t>A 14591-2021</t>
        </is>
      </c>
      <c r="B586" s="1" t="n">
        <v>44279</v>
      </c>
      <c r="C586" s="1" t="n">
        <v>45627</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14595-2021</t>
        </is>
      </c>
      <c r="B587" s="1" t="n">
        <v>44279</v>
      </c>
      <c r="C587" s="1" t="n">
        <v>45627</v>
      </c>
      <c r="D587" t="inlineStr">
        <is>
          <t>JÄMTLANDS LÄN</t>
        </is>
      </c>
      <c r="E587" t="inlineStr">
        <is>
          <t>KROKOM</t>
        </is>
      </c>
      <c r="G587" t="n">
        <v>4.5</v>
      </c>
      <c r="H587" t="n">
        <v>0</v>
      </c>
      <c r="I587" t="n">
        <v>0</v>
      </c>
      <c r="J587" t="n">
        <v>0</v>
      </c>
      <c r="K587" t="n">
        <v>0</v>
      </c>
      <c r="L587" t="n">
        <v>0</v>
      </c>
      <c r="M587" t="n">
        <v>0</v>
      </c>
      <c r="N587" t="n">
        <v>0</v>
      </c>
      <c r="O587" t="n">
        <v>0</v>
      </c>
      <c r="P587" t="n">
        <v>0</v>
      </c>
      <c r="Q587" t="n">
        <v>0</v>
      </c>
      <c r="R587" s="2" t="inlineStr"/>
    </row>
    <row r="588" ht="15" customHeight="1">
      <c r="A588" t="inlineStr">
        <is>
          <t>A 14592-2021</t>
        </is>
      </c>
      <c r="B588" s="1" t="n">
        <v>44279</v>
      </c>
      <c r="C588" s="1" t="n">
        <v>45627</v>
      </c>
      <c r="D588" t="inlineStr">
        <is>
          <t>JÄMTLANDS LÄN</t>
        </is>
      </c>
      <c r="E588" t="inlineStr">
        <is>
          <t>KROKOM</t>
        </is>
      </c>
      <c r="G588" t="n">
        <v>5.6</v>
      </c>
      <c r="H588" t="n">
        <v>0</v>
      </c>
      <c r="I588" t="n">
        <v>0</v>
      </c>
      <c r="J588" t="n">
        <v>0</v>
      </c>
      <c r="K588" t="n">
        <v>0</v>
      </c>
      <c r="L588" t="n">
        <v>0</v>
      </c>
      <c r="M588" t="n">
        <v>0</v>
      </c>
      <c r="N588" t="n">
        <v>0</v>
      </c>
      <c r="O588" t="n">
        <v>0</v>
      </c>
      <c r="P588" t="n">
        <v>0</v>
      </c>
      <c r="Q588" t="n">
        <v>0</v>
      </c>
      <c r="R588" s="2" t="inlineStr"/>
    </row>
    <row r="589" ht="15" customHeight="1">
      <c r="A589" t="inlineStr">
        <is>
          <t>A 14596-2021</t>
        </is>
      </c>
      <c r="B589" s="1" t="n">
        <v>44279</v>
      </c>
      <c r="C589" s="1" t="n">
        <v>45627</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15425-2021</t>
        </is>
      </c>
      <c r="B590" s="1" t="n">
        <v>44284</v>
      </c>
      <c r="C590" s="1" t="n">
        <v>45627</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15452-2021</t>
        </is>
      </c>
      <c r="B591" s="1" t="n">
        <v>44285</v>
      </c>
      <c r="C591" s="1" t="n">
        <v>45627</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15455-2021</t>
        </is>
      </c>
      <c r="B592" s="1" t="n">
        <v>44285</v>
      </c>
      <c r="C592" s="1" t="n">
        <v>45627</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15451-2021</t>
        </is>
      </c>
      <c r="B593" s="1" t="n">
        <v>44285</v>
      </c>
      <c r="C593" s="1" t="n">
        <v>45627</v>
      </c>
      <c r="D593" t="inlineStr">
        <is>
          <t>JÄMTLANDS LÄN</t>
        </is>
      </c>
      <c r="E593" t="inlineStr">
        <is>
          <t>KROKOM</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15748-2021</t>
        </is>
      </c>
      <c r="B594" s="1" t="n">
        <v>44286</v>
      </c>
      <c r="C594" s="1" t="n">
        <v>45627</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16188-2021</t>
        </is>
      </c>
      <c r="B595" s="1" t="n">
        <v>44287</v>
      </c>
      <c r="C595" s="1" t="n">
        <v>45627</v>
      </c>
      <c r="D595" t="inlineStr">
        <is>
          <t>JÄMTLANDS LÄN</t>
        </is>
      </c>
      <c r="E595" t="inlineStr">
        <is>
          <t>KROKOM</t>
        </is>
      </c>
      <c r="G595" t="n">
        <v>30.5</v>
      </c>
      <c r="H595" t="n">
        <v>0</v>
      </c>
      <c r="I595" t="n">
        <v>0</v>
      </c>
      <c r="J595" t="n">
        <v>0</v>
      </c>
      <c r="K595" t="n">
        <v>0</v>
      </c>
      <c r="L595" t="n">
        <v>0</v>
      </c>
      <c r="M595" t="n">
        <v>0</v>
      </c>
      <c r="N595" t="n">
        <v>0</v>
      </c>
      <c r="O595" t="n">
        <v>0</v>
      </c>
      <c r="P595" t="n">
        <v>0</v>
      </c>
      <c r="Q595" t="n">
        <v>0</v>
      </c>
      <c r="R595" s="2" t="inlineStr"/>
    </row>
    <row r="596" ht="15" customHeight="1">
      <c r="A596" t="inlineStr">
        <is>
          <t>A 16242-2021</t>
        </is>
      </c>
      <c r="B596" s="1" t="n">
        <v>44292</v>
      </c>
      <c r="C596" s="1" t="n">
        <v>45627</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17599-2021</t>
        </is>
      </c>
      <c r="B597" s="1" t="n">
        <v>44299</v>
      </c>
      <c r="C597" s="1" t="n">
        <v>45627</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17726-2021</t>
        </is>
      </c>
      <c r="B598" s="1" t="n">
        <v>44300</v>
      </c>
      <c r="C598" s="1" t="n">
        <v>45627</v>
      </c>
      <c r="D598" t="inlineStr">
        <is>
          <t>JÄMTLANDS LÄN</t>
        </is>
      </c>
      <c r="E598" t="inlineStr">
        <is>
          <t>KROKOM</t>
        </is>
      </c>
      <c r="G598" t="n">
        <v>30.7</v>
      </c>
      <c r="H598" t="n">
        <v>0</v>
      </c>
      <c r="I598" t="n">
        <v>0</v>
      </c>
      <c r="J598" t="n">
        <v>0</v>
      </c>
      <c r="K598" t="n">
        <v>0</v>
      </c>
      <c r="L598" t="n">
        <v>0</v>
      </c>
      <c r="M598" t="n">
        <v>0</v>
      </c>
      <c r="N598" t="n">
        <v>0</v>
      </c>
      <c r="O598" t="n">
        <v>0</v>
      </c>
      <c r="P598" t="n">
        <v>0</v>
      </c>
      <c r="Q598" t="n">
        <v>0</v>
      </c>
      <c r="R598" s="2" t="inlineStr"/>
    </row>
    <row r="599" ht="15" customHeight="1">
      <c r="A599" t="inlineStr">
        <is>
          <t>A 18544-2021</t>
        </is>
      </c>
      <c r="B599" s="1" t="n">
        <v>44306</v>
      </c>
      <c r="C599" s="1" t="n">
        <v>45627</v>
      </c>
      <c r="D599" t="inlineStr">
        <is>
          <t>JÄMTLANDS LÄN</t>
        </is>
      </c>
      <c r="E599" t="inlineStr">
        <is>
          <t>KROKOM</t>
        </is>
      </c>
      <c r="G599" t="n">
        <v>4.1</v>
      </c>
      <c r="H599" t="n">
        <v>0</v>
      </c>
      <c r="I599" t="n">
        <v>0</v>
      </c>
      <c r="J599" t="n">
        <v>0</v>
      </c>
      <c r="K599" t="n">
        <v>0</v>
      </c>
      <c r="L599" t="n">
        <v>0</v>
      </c>
      <c r="M599" t="n">
        <v>0</v>
      </c>
      <c r="N599" t="n">
        <v>0</v>
      </c>
      <c r="O599" t="n">
        <v>0</v>
      </c>
      <c r="P599" t="n">
        <v>0</v>
      </c>
      <c r="Q599" t="n">
        <v>0</v>
      </c>
      <c r="R599" s="2" t="inlineStr"/>
    </row>
    <row r="600" ht="15" customHeight="1">
      <c r="A600" t="inlineStr">
        <is>
          <t>A 18731-2021</t>
        </is>
      </c>
      <c r="B600" s="1" t="n">
        <v>44307</v>
      </c>
      <c r="C600" s="1" t="n">
        <v>45627</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20405-2021</t>
        </is>
      </c>
      <c r="B601" s="1" t="n">
        <v>44312</v>
      </c>
      <c r="C601" s="1" t="n">
        <v>45627</v>
      </c>
      <c r="D601" t="inlineStr">
        <is>
          <t>JÄMTLANDS LÄN</t>
        </is>
      </c>
      <c r="E601" t="inlineStr">
        <is>
          <t>KROKOM</t>
        </is>
      </c>
      <c r="G601" t="n">
        <v>7.1</v>
      </c>
      <c r="H601" t="n">
        <v>0</v>
      </c>
      <c r="I601" t="n">
        <v>0</v>
      </c>
      <c r="J601" t="n">
        <v>0</v>
      </c>
      <c r="K601" t="n">
        <v>0</v>
      </c>
      <c r="L601" t="n">
        <v>0</v>
      </c>
      <c r="M601" t="n">
        <v>0</v>
      </c>
      <c r="N601" t="n">
        <v>0</v>
      </c>
      <c r="O601" t="n">
        <v>0</v>
      </c>
      <c r="P601" t="n">
        <v>0</v>
      </c>
      <c r="Q601" t="n">
        <v>0</v>
      </c>
      <c r="R601" s="2" t="inlineStr"/>
    </row>
    <row r="602" ht="15" customHeight="1">
      <c r="A602" t="inlineStr">
        <is>
          <t>A 19984-2021</t>
        </is>
      </c>
      <c r="B602" s="1" t="n">
        <v>44313</v>
      </c>
      <c r="C602" s="1" t="n">
        <v>45627</v>
      </c>
      <c r="D602" t="inlineStr">
        <is>
          <t>JÄMTLANDS LÄN</t>
        </is>
      </c>
      <c r="E602" t="inlineStr">
        <is>
          <t>KROKOM</t>
        </is>
      </c>
      <c r="G602" t="n">
        <v>1.9</v>
      </c>
      <c r="H602" t="n">
        <v>0</v>
      </c>
      <c r="I602" t="n">
        <v>0</v>
      </c>
      <c r="J602" t="n">
        <v>0</v>
      </c>
      <c r="K602" t="n">
        <v>0</v>
      </c>
      <c r="L602" t="n">
        <v>0</v>
      </c>
      <c r="M602" t="n">
        <v>0</v>
      </c>
      <c r="N602" t="n">
        <v>0</v>
      </c>
      <c r="O602" t="n">
        <v>0</v>
      </c>
      <c r="P602" t="n">
        <v>0</v>
      </c>
      <c r="Q602" t="n">
        <v>0</v>
      </c>
      <c r="R602" s="2" t="inlineStr"/>
    </row>
    <row r="603" ht="15" customHeight="1">
      <c r="A603" t="inlineStr">
        <is>
          <t>A 21000-2021</t>
        </is>
      </c>
      <c r="B603" s="1" t="n">
        <v>44316</v>
      </c>
      <c r="C603" s="1" t="n">
        <v>45627</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22083-2021</t>
        </is>
      </c>
      <c r="B604" s="1" t="n">
        <v>44323</v>
      </c>
      <c r="C604" s="1" t="n">
        <v>45627</v>
      </c>
      <c r="D604" t="inlineStr">
        <is>
          <t>JÄMTLANDS LÄN</t>
        </is>
      </c>
      <c r="E604" t="inlineStr">
        <is>
          <t>KROKOM</t>
        </is>
      </c>
      <c r="G604" t="n">
        <v>12.3</v>
      </c>
      <c r="H604" t="n">
        <v>0</v>
      </c>
      <c r="I604" t="n">
        <v>0</v>
      </c>
      <c r="J604" t="n">
        <v>0</v>
      </c>
      <c r="K604" t="n">
        <v>0</v>
      </c>
      <c r="L604" t="n">
        <v>0</v>
      </c>
      <c r="M604" t="n">
        <v>0</v>
      </c>
      <c r="N604" t="n">
        <v>0</v>
      </c>
      <c r="O604" t="n">
        <v>0</v>
      </c>
      <c r="P604" t="n">
        <v>0</v>
      </c>
      <c r="Q604" t="n">
        <v>0</v>
      </c>
      <c r="R604" s="2" t="inlineStr"/>
    </row>
    <row r="605" ht="15" customHeight="1">
      <c r="A605" t="inlineStr">
        <is>
          <t>A 22078-2021</t>
        </is>
      </c>
      <c r="B605" s="1" t="n">
        <v>44323</v>
      </c>
      <c r="C605" s="1" t="n">
        <v>45627</v>
      </c>
      <c r="D605" t="inlineStr">
        <is>
          <t>JÄMTLANDS LÄN</t>
        </is>
      </c>
      <c r="E605" t="inlineStr">
        <is>
          <t>KROKOM</t>
        </is>
      </c>
      <c r="G605" t="n">
        <v>5.9</v>
      </c>
      <c r="H605" t="n">
        <v>0</v>
      </c>
      <c r="I605" t="n">
        <v>0</v>
      </c>
      <c r="J605" t="n">
        <v>0</v>
      </c>
      <c r="K605" t="n">
        <v>0</v>
      </c>
      <c r="L605" t="n">
        <v>0</v>
      </c>
      <c r="M605" t="n">
        <v>0</v>
      </c>
      <c r="N605" t="n">
        <v>0</v>
      </c>
      <c r="O605" t="n">
        <v>0</v>
      </c>
      <c r="P605" t="n">
        <v>0</v>
      </c>
      <c r="Q605" t="n">
        <v>0</v>
      </c>
      <c r="R605" s="2" t="inlineStr"/>
    </row>
    <row r="606" ht="15" customHeight="1">
      <c r="A606" t="inlineStr">
        <is>
          <t>A 22511-2021</t>
        </is>
      </c>
      <c r="B606" s="1" t="n">
        <v>44326</v>
      </c>
      <c r="C606" s="1" t="n">
        <v>45627</v>
      </c>
      <c r="D606" t="inlineStr">
        <is>
          <t>JÄMTLANDS LÄN</t>
        </is>
      </c>
      <c r="E606" t="inlineStr">
        <is>
          <t>KROKOM</t>
        </is>
      </c>
      <c r="G606" t="n">
        <v>6.9</v>
      </c>
      <c r="H606" t="n">
        <v>0</v>
      </c>
      <c r="I606" t="n">
        <v>0</v>
      </c>
      <c r="J606" t="n">
        <v>0</v>
      </c>
      <c r="K606" t="n">
        <v>0</v>
      </c>
      <c r="L606" t="n">
        <v>0</v>
      </c>
      <c r="M606" t="n">
        <v>0</v>
      </c>
      <c r="N606" t="n">
        <v>0</v>
      </c>
      <c r="O606" t="n">
        <v>0</v>
      </c>
      <c r="P606" t="n">
        <v>0</v>
      </c>
      <c r="Q606" t="n">
        <v>0</v>
      </c>
      <c r="R606" s="2" t="inlineStr"/>
    </row>
    <row r="607" ht="15" customHeight="1">
      <c r="A607" t="inlineStr">
        <is>
          <t>A 23139-2021</t>
        </is>
      </c>
      <c r="B607" s="1" t="n">
        <v>44331</v>
      </c>
      <c r="C607" s="1" t="n">
        <v>45627</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23601-2021</t>
        </is>
      </c>
      <c r="B608" s="1" t="n">
        <v>44334</v>
      </c>
      <c r="C608" s="1" t="n">
        <v>45627</v>
      </c>
      <c r="D608" t="inlineStr">
        <is>
          <t>JÄMTLANDS LÄN</t>
        </is>
      </c>
      <c r="E608" t="inlineStr">
        <is>
          <t>KROKOM</t>
        </is>
      </c>
      <c r="G608" t="n">
        <v>1.7</v>
      </c>
      <c r="H608" t="n">
        <v>0</v>
      </c>
      <c r="I608" t="n">
        <v>0</v>
      </c>
      <c r="J608" t="n">
        <v>0</v>
      </c>
      <c r="K608" t="n">
        <v>0</v>
      </c>
      <c r="L608" t="n">
        <v>0</v>
      </c>
      <c r="M608" t="n">
        <v>0</v>
      </c>
      <c r="N608" t="n">
        <v>0</v>
      </c>
      <c r="O608" t="n">
        <v>0</v>
      </c>
      <c r="P608" t="n">
        <v>0</v>
      </c>
      <c r="Q608" t="n">
        <v>0</v>
      </c>
      <c r="R608" s="2" t="inlineStr"/>
    </row>
    <row r="609" ht="15" customHeight="1">
      <c r="A609" t="inlineStr">
        <is>
          <t>A 23832-2021</t>
        </is>
      </c>
      <c r="B609" s="1" t="n">
        <v>44335</v>
      </c>
      <c r="C609" s="1" t="n">
        <v>45627</v>
      </c>
      <c r="D609" t="inlineStr">
        <is>
          <t>JÄMTLANDS LÄN</t>
        </is>
      </c>
      <c r="E609" t="inlineStr">
        <is>
          <t>KROKOM</t>
        </is>
      </c>
      <c r="G609" t="n">
        <v>20</v>
      </c>
      <c r="H609" t="n">
        <v>0</v>
      </c>
      <c r="I609" t="n">
        <v>0</v>
      </c>
      <c r="J609" t="n">
        <v>0</v>
      </c>
      <c r="K609" t="n">
        <v>0</v>
      </c>
      <c r="L609" t="n">
        <v>0</v>
      </c>
      <c r="M609" t="n">
        <v>0</v>
      </c>
      <c r="N609" t="n">
        <v>0</v>
      </c>
      <c r="O609" t="n">
        <v>0</v>
      </c>
      <c r="P609" t="n">
        <v>0</v>
      </c>
      <c r="Q609" t="n">
        <v>0</v>
      </c>
      <c r="R609" s="2" t="inlineStr"/>
    </row>
    <row r="610" ht="15" customHeight="1">
      <c r="A610" t="inlineStr">
        <is>
          <t>A 24436-2021</t>
        </is>
      </c>
      <c r="B610" s="1" t="n">
        <v>44337</v>
      </c>
      <c r="C610" s="1" t="n">
        <v>45627</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24677-2021</t>
        </is>
      </c>
      <c r="B611" s="1" t="n">
        <v>44337</v>
      </c>
      <c r="C611" s="1" t="n">
        <v>45627</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26077-2021</t>
        </is>
      </c>
      <c r="B612" s="1" t="n">
        <v>44344</v>
      </c>
      <c r="C612" s="1" t="n">
        <v>45627</v>
      </c>
      <c r="D612" t="inlineStr">
        <is>
          <t>JÄMTLANDS LÄN</t>
        </is>
      </c>
      <c r="E612" t="inlineStr">
        <is>
          <t>KROKOM</t>
        </is>
      </c>
      <c r="G612" t="n">
        <v>7.6</v>
      </c>
      <c r="H612" t="n">
        <v>0</v>
      </c>
      <c r="I612" t="n">
        <v>0</v>
      </c>
      <c r="J612" t="n">
        <v>0</v>
      </c>
      <c r="K612" t="n">
        <v>0</v>
      </c>
      <c r="L612" t="n">
        <v>0</v>
      </c>
      <c r="M612" t="n">
        <v>0</v>
      </c>
      <c r="N612" t="n">
        <v>0</v>
      </c>
      <c r="O612" t="n">
        <v>0</v>
      </c>
      <c r="P612" t="n">
        <v>0</v>
      </c>
      <c r="Q612" t="n">
        <v>0</v>
      </c>
      <c r="R612" s="2" t="inlineStr"/>
    </row>
    <row r="613" ht="15" customHeight="1">
      <c r="A613" t="inlineStr">
        <is>
          <t>A 26508-2021</t>
        </is>
      </c>
      <c r="B613" s="1" t="n">
        <v>44348</v>
      </c>
      <c r="C613" s="1" t="n">
        <v>45627</v>
      </c>
      <c r="D613" t="inlineStr">
        <is>
          <t>JÄMTLANDS LÄN</t>
        </is>
      </c>
      <c r="E613" t="inlineStr">
        <is>
          <t>KROKOM</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27000-2021</t>
        </is>
      </c>
      <c r="B614" s="1" t="n">
        <v>44349</v>
      </c>
      <c r="C614" s="1" t="n">
        <v>45627</v>
      </c>
      <c r="D614" t="inlineStr">
        <is>
          <t>JÄMTLANDS LÄN</t>
        </is>
      </c>
      <c r="E614" t="inlineStr">
        <is>
          <t>KROKOM</t>
        </is>
      </c>
      <c r="F614" t="inlineStr">
        <is>
          <t>Allmännings- och besparingsskogar</t>
        </is>
      </c>
      <c r="G614" t="n">
        <v>2.3</v>
      </c>
      <c r="H614" t="n">
        <v>0</v>
      </c>
      <c r="I614" t="n">
        <v>0</v>
      </c>
      <c r="J614" t="n">
        <v>0</v>
      </c>
      <c r="K614" t="n">
        <v>0</v>
      </c>
      <c r="L614" t="n">
        <v>0</v>
      </c>
      <c r="M614" t="n">
        <v>0</v>
      </c>
      <c r="N614" t="n">
        <v>0</v>
      </c>
      <c r="O614" t="n">
        <v>0</v>
      </c>
      <c r="P614" t="n">
        <v>0</v>
      </c>
      <c r="Q614" t="n">
        <v>0</v>
      </c>
      <c r="R614" s="2" t="inlineStr"/>
    </row>
    <row r="615" ht="15" customHeight="1">
      <c r="A615" t="inlineStr">
        <is>
          <t>A 28990-2021</t>
        </is>
      </c>
      <c r="B615" s="1" t="n">
        <v>44358</v>
      </c>
      <c r="C615" s="1" t="n">
        <v>45627</v>
      </c>
      <c r="D615" t="inlineStr">
        <is>
          <t>JÄMTLANDS LÄN</t>
        </is>
      </c>
      <c r="E615" t="inlineStr">
        <is>
          <t>KROKOM</t>
        </is>
      </c>
      <c r="G615" t="n">
        <v>4.3</v>
      </c>
      <c r="H615" t="n">
        <v>0</v>
      </c>
      <c r="I615" t="n">
        <v>0</v>
      </c>
      <c r="J615" t="n">
        <v>0</v>
      </c>
      <c r="K615" t="n">
        <v>0</v>
      </c>
      <c r="L615" t="n">
        <v>0</v>
      </c>
      <c r="M615" t="n">
        <v>0</v>
      </c>
      <c r="N615" t="n">
        <v>0</v>
      </c>
      <c r="O615" t="n">
        <v>0</v>
      </c>
      <c r="P615" t="n">
        <v>0</v>
      </c>
      <c r="Q615" t="n">
        <v>0</v>
      </c>
      <c r="R615" s="2" t="inlineStr"/>
    </row>
    <row r="616" ht="15" customHeight="1">
      <c r="A616" t="inlineStr">
        <is>
          <t>A 29146-2021</t>
        </is>
      </c>
      <c r="B616" s="1" t="n">
        <v>44358</v>
      </c>
      <c r="C616" s="1" t="n">
        <v>45627</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29896-2021</t>
        </is>
      </c>
      <c r="B617" s="1" t="n">
        <v>44362</v>
      </c>
      <c r="C617" s="1" t="n">
        <v>45627</v>
      </c>
      <c r="D617" t="inlineStr">
        <is>
          <t>JÄMTLANDS LÄN</t>
        </is>
      </c>
      <c r="E617" t="inlineStr">
        <is>
          <t>KROKOM</t>
        </is>
      </c>
      <c r="G617" t="n">
        <v>0.6</v>
      </c>
      <c r="H617" t="n">
        <v>0</v>
      </c>
      <c r="I617" t="n">
        <v>0</v>
      </c>
      <c r="J617" t="n">
        <v>0</v>
      </c>
      <c r="K617" t="n">
        <v>0</v>
      </c>
      <c r="L617" t="n">
        <v>0</v>
      </c>
      <c r="M617" t="n">
        <v>0</v>
      </c>
      <c r="N617" t="n">
        <v>0</v>
      </c>
      <c r="O617" t="n">
        <v>0</v>
      </c>
      <c r="P617" t="n">
        <v>0</v>
      </c>
      <c r="Q617" t="n">
        <v>0</v>
      </c>
      <c r="R617" s="2" t="inlineStr"/>
    </row>
    <row r="618" ht="15" customHeight="1">
      <c r="A618" t="inlineStr">
        <is>
          <t>A 30145-2021</t>
        </is>
      </c>
      <c r="B618" s="1" t="n">
        <v>44363</v>
      </c>
      <c r="C618" s="1" t="n">
        <v>45627</v>
      </c>
      <c r="D618" t="inlineStr">
        <is>
          <t>JÄMTLANDS LÄN</t>
        </is>
      </c>
      <c r="E618" t="inlineStr">
        <is>
          <t>KROKOM</t>
        </is>
      </c>
      <c r="G618" t="n">
        <v>5.1</v>
      </c>
      <c r="H618" t="n">
        <v>0</v>
      </c>
      <c r="I618" t="n">
        <v>0</v>
      </c>
      <c r="J618" t="n">
        <v>0</v>
      </c>
      <c r="K618" t="n">
        <v>0</v>
      </c>
      <c r="L618" t="n">
        <v>0</v>
      </c>
      <c r="M618" t="n">
        <v>0</v>
      </c>
      <c r="N618" t="n">
        <v>0</v>
      </c>
      <c r="O618" t="n">
        <v>0</v>
      </c>
      <c r="P618" t="n">
        <v>0</v>
      </c>
      <c r="Q618" t="n">
        <v>0</v>
      </c>
      <c r="R618" s="2" t="inlineStr"/>
    </row>
    <row r="619" ht="15" customHeight="1">
      <c r="A619" t="inlineStr">
        <is>
          <t>A 31467-2021</t>
        </is>
      </c>
      <c r="B619" s="1" t="n">
        <v>44369</v>
      </c>
      <c r="C619" s="1" t="n">
        <v>45627</v>
      </c>
      <c r="D619" t="inlineStr">
        <is>
          <t>JÄMTLANDS LÄN</t>
        </is>
      </c>
      <c r="E619" t="inlineStr">
        <is>
          <t>KROKOM</t>
        </is>
      </c>
      <c r="G619" t="n">
        <v>24.7</v>
      </c>
      <c r="H619" t="n">
        <v>0</v>
      </c>
      <c r="I619" t="n">
        <v>0</v>
      </c>
      <c r="J619" t="n">
        <v>0</v>
      </c>
      <c r="K619" t="n">
        <v>0</v>
      </c>
      <c r="L619" t="n">
        <v>0</v>
      </c>
      <c r="M619" t="n">
        <v>0</v>
      </c>
      <c r="N619" t="n">
        <v>0</v>
      </c>
      <c r="O619" t="n">
        <v>0</v>
      </c>
      <c r="P619" t="n">
        <v>0</v>
      </c>
      <c r="Q619" t="n">
        <v>0</v>
      </c>
      <c r="R619" s="2" t="inlineStr"/>
    </row>
    <row r="620" ht="15" customHeight="1">
      <c r="A620" t="inlineStr">
        <is>
          <t>A 31858-2021</t>
        </is>
      </c>
      <c r="B620" s="1" t="n">
        <v>44370</v>
      </c>
      <c r="C620" s="1" t="n">
        <v>45627</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31905-2021</t>
        </is>
      </c>
      <c r="B621" s="1" t="n">
        <v>44370</v>
      </c>
      <c r="C621" s="1" t="n">
        <v>45627</v>
      </c>
      <c r="D621" t="inlineStr">
        <is>
          <t>JÄMTLANDS LÄN</t>
        </is>
      </c>
      <c r="E621" t="inlineStr">
        <is>
          <t>KROKOM</t>
        </is>
      </c>
      <c r="G621" t="n">
        <v>12.9</v>
      </c>
      <c r="H621" t="n">
        <v>0</v>
      </c>
      <c r="I621" t="n">
        <v>0</v>
      </c>
      <c r="J621" t="n">
        <v>0</v>
      </c>
      <c r="K621" t="n">
        <v>0</v>
      </c>
      <c r="L621" t="n">
        <v>0</v>
      </c>
      <c r="M621" t="n">
        <v>0</v>
      </c>
      <c r="N621" t="n">
        <v>0</v>
      </c>
      <c r="O621" t="n">
        <v>0</v>
      </c>
      <c r="P621" t="n">
        <v>0</v>
      </c>
      <c r="Q621" t="n">
        <v>0</v>
      </c>
      <c r="R621" s="2" t="inlineStr"/>
    </row>
    <row r="622" ht="15" customHeight="1">
      <c r="A622" t="inlineStr">
        <is>
          <t>A 32472-2021</t>
        </is>
      </c>
      <c r="B622" s="1" t="n">
        <v>44371</v>
      </c>
      <c r="C622" s="1" t="n">
        <v>45627</v>
      </c>
      <c r="D622" t="inlineStr">
        <is>
          <t>JÄMTLANDS LÄN</t>
        </is>
      </c>
      <c r="E622" t="inlineStr">
        <is>
          <t>KROKOM</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32693-2021</t>
        </is>
      </c>
      <c r="B623" s="1" t="n">
        <v>44375</v>
      </c>
      <c r="C623" s="1" t="n">
        <v>45627</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33189-2021</t>
        </is>
      </c>
      <c r="B624" s="1" t="n">
        <v>44376</v>
      </c>
      <c r="C624" s="1" t="n">
        <v>45627</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33320-2021</t>
        </is>
      </c>
      <c r="B625" s="1" t="n">
        <v>44377</v>
      </c>
      <c r="C625" s="1" t="n">
        <v>45627</v>
      </c>
      <c r="D625" t="inlineStr">
        <is>
          <t>JÄMTLANDS LÄN</t>
        </is>
      </c>
      <c r="E625" t="inlineStr">
        <is>
          <t>KROKOM</t>
        </is>
      </c>
      <c r="F625" t="inlineStr">
        <is>
          <t>Övriga Aktiebolag</t>
        </is>
      </c>
      <c r="G625" t="n">
        <v>4.3</v>
      </c>
      <c r="H625" t="n">
        <v>0</v>
      </c>
      <c r="I625" t="n">
        <v>0</v>
      </c>
      <c r="J625" t="n">
        <v>0</v>
      </c>
      <c r="K625" t="n">
        <v>0</v>
      </c>
      <c r="L625" t="n">
        <v>0</v>
      </c>
      <c r="M625" t="n">
        <v>0</v>
      </c>
      <c r="N625" t="n">
        <v>0</v>
      </c>
      <c r="O625" t="n">
        <v>0</v>
      </c>
      <c r="P625" t="n">
        <v>0</v>
      </c>
      <c r="Q625" t="n">
        <v>0</v>
      </c>
      <c r="R625" s="2" t="inlineStr"/>
    </row>
    <row r="626" ht="15" customHeight="1">
      <c r="A626" t="inlineStr">
        <is>
          <t>A 33333-2021</t>
        </is>
      </c>
      <c r="B626" s="1" t="n">
        <v>44377</v>
      </c>
      <c r="C626" s="1" t="n">
        <v>45627</v>
      </c>
      <c r="D626" t="inlineStr">
        <is>
          <t>JÄMTLANDS LÄN</t>
        </is>
      </c>
      <c r="E626" t="inlineStr">
        <is>
          <t>KROKOM</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33347-2021</t>
        </is>
      </c>
      <c r="B627" s="1" t="n">
        <v>44377</v>
      </c>
      <c r="C627" s="1" t="n">
        <v>45627</v>
      </c>
      <c r="D627" t="inlineStr">
        <is>
          <t>JÄMTLANDS LÄN</t>
        </is>
      </c>
      <c r="E627" t="inlineStr">
        <is>
          <t>KROKOM</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33364-2021</t>
        </is>
      </c>
      <c r="B628" s="1" t="n">
        <v>44377</v>
      </c>
      <c r="C628" s="1" t="n">
        <v>45627</v>
      </c>
      <c r="D628" t="inlineStr">
        <is>
          <t>JÄMTLANDS LÄN</t>
        </is>
      </c>
      <c r="E628" t="inlineStr">
        <is>
          <t>KROKOM</t>
        </is>
      </c>
      <c r="F628" t="inlineStr">
        <is>
          <t>Övriga Aktiebolag</t>
        </is>
      </c>
      <c r="G628" t="n">
        <v>12.7</v>
      </c>
      <c r="H628" t="n">
        <v>0</v>
      </c>
      <c r="I628" t="n">
        <v>0</v>
      </c>
      <c r="J628" t="n">
        <v>0</v>
      </c>
      <c r="K628" t="n">
        <v>0</v>
      </c>
      <c r="L628" t="n">
        <v>0</v>
      </c>
      <c r="M628" t="n">
        <v>0</v>
      </c>
      <c r="N628" t="n">
        <v>0</v>
      </c>
      <c r="O628" t="n">
        <v>0</v>
      </c>
      <c r="P628" t="n">
        <v>0</v>
      </c>
      <c r="Q628" t="n">
        <v>0</v>
      </c>
      <c r="R628" s="2" t="inlineStr"/>
    </row>
    <row r="629" ht="15" customHeight="1">
      <c r="A629" t="inlineStr">
        <is>
          <t>A 33469-2021</t>
        </is>
      </c>
      <c r="B629" s="1" t="n">
        <v>44377</v>
      </c>
      <c r="C629" s="1" t="n">
        <v>45627</v>
      </c>
      <c r="D629" t="inlineStr">
        <is>
          <t>JÄMTLANDS LÄN</t>
        </is>
      </c>
      <c r="E629" t="inlineStr">
        <is>
          <t>KROKOM</t>
        </is>
      </c>
      <c r="F629" t="inlineStr">
        <is>
          <t>Övriga Aktiebolag</t>
        </is>
      </c>
      <c r="G629" t="n">
        <v>19.1</v>
      </c>
      <c r="H629" t="n">
        <v>0</v>
      </c>
      <c r="I629" t="n">
        <v>0</v>
      </c>
      <c r="J629" t="n">
        <v>0</v>
      </c>
      <c r="K629" t="n">
        <v>0</v>
      </c>
      <c r="L629" t="n">
        <v>0</v>
      </c>
      <c r="M629" t="n">
        <v>0</v>
      </c>
      <c r="N629" t="n">
        <v>0</v>
      </c>
      <c r="O629" t="n">
        <v>0</v>
      </c>
      <c r="P629" t="n">
        <v>0</v>
      </c>
      <c r="Q629" t="n">
        <v>0</v>
      </c>
      <c r="R629" s="2" t="inlineStr"/>
    </row>
    <row r="630" ht="15" customHeight="1">
      <c r="A630" t="inlineStr">
        <is>
          <t>A 33802-2021</t>
        </is>
      </c>
      <c r="B630" s="1" t="n">
        <v>44377</v>
      </c>
      <c r="C630" s="1" t="n">
        <v>45627</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34279-2021</t>
        </is>
      </c>
      <c r="B631" s="1" t="n">
        <v>44379</v>
      </c>
      <c r="C631" s="1" t="n">
        <v>45627</v>
      </c>
      <c r="D631" t="inlineStr">
        <is>
          <t>JÄMTLANDS LÄN</t>
        </is>
      </c>
      <c r="E631" t="inlineStr">
        <is>
          <t>KROKOM</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34289-2021</t>
        </is>
      </c>
      <c r="B632" s="1" t="n">
        <v>44379</v>
      </c>
      <c r="C632" s="1" t="n">
        <v>45627</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34769-2021</t>
        </is>
      </c>
      <c r="B633" s="1" t="n">
        <v>44383</v>
      </c>
      <c r="C633" s="1" t="n">
        <v>45627</v>
      </c>
      <c r="D633" t="inlineStr">
        <is>
          <t>JÄMTLANDS LÄN</t>
        </is>
      </c>
      <c r="E633" t="inlineStr">
        <is>
          <t>KROKOM</t>
        </is>
      </c>
      <c r="G633" t="n">
        <v>14.5</v>
      </c>
      <c r="H633" t="n">
        <v>0</v>
      </c>
      <c r="I633" t="n">
        <v>0</v>
      </c>
      <c r="J633" t="n">
        <v>0</v>
      </c>
      <c r="K633" t="n">
        <v>0</v>
      </c>
      <c r="L633" t="n">
        <v>0</v>
      </c>
      <c r="M633" t="n">
        <v>0</v>
      </c>
      <c r="N633" t="n">
        <v>0</v>
      </c>
      <c r="O633" t="n">
        <v>0</v>
      </c>
      <c r="P633" t="n">
        <v>0</v>
      </c>
      <c r="Q633" t="n">
        <v>0</v>
      </c>
      <c r="R633" s="2" t="inlineStr"/>
    </row>
    <row r="634" ht="15" customHeight="1">
      <c r="A634" t="inlineStr">
        <is>
          <t>A 36079-2021</t>
        </is>
      </c>
      <c r="B634" s="1" t="n">
        <v>44389</v>
      </c>
      <c r="C634" s="1" t="n">
        <v>45627</v>
      </c>
      <c r="D634" t="inlineStr">
        <is>
          <t>JÄMTLANDS LÄN</t>
        </is>
      </c>
      <c r="E634" t="inlineStr">
        <is>
          <t>KROKOM</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36248-2021</t>
        </is>
      </c>
      <c r="B635" s="1" t="n">
        <v>44389</v>
      </c>
      <c r="C635" s="1" t="n">
        <v>45627</v>
      </c>
      <c r="D635" t="inlineStr">
        <is>
          <t>JÄMTLANDS LÄN</t>
        </is>
      </c>
      <c r="E635" t="inlineStr">
        <is>
          <t>KROKOM</t>
        </is>
      </c>
      <c r="G635" t="n">
        <v>17.1</v>
      </c>
      <c r="H635" t="n">
        <v>0</v>
      </c>
      <c r="I635" t="n">
        <v>0</v>
      </c>
      <c r="J635" t="n">
        <v>0</v>
      </c>
      <c r="K635" t="n">
        <v>0</v>
      </c>
      <c r="L635" t="n">
        <v>0</v>
      </c>
      <c r="M635" t="n">
        <v>0</v>
      </c>
      <c r="N635" t="n">
        <v>0</v>
      </c>
      <c r="O635" t="n">
        <v>0</v>
      </c>
      <c r="P635" t="n">
        <v>0</v>
      </c>
      <c r="Q635" t="n">
        <v>0</v>
      </c>
      <c r="R635" s="2" t="inlineStr"/>
    </row>
    <row r="636" ht="15" customHeight="1">
      <c r="A636" t="inlineStr">
        <is>
          <t>A 36491-2021</t>
        </is>
      </c>
      <c r="B636" s="1" t="n">
        <v>44390</v>
      </c>
      <c r="C636" s="1" t="n">
        <v>45627</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36567-2021</t>
        </is>
      </c>
      <c r="B637" s="1" t="n">
        <v>44391</v>
      </c>
      <c r="C637" s="1" t="n">
        <v>45627</v>
      </c>
      <c r="D637" t="inlineStr">
        <is>
          <t>JÄMTLANDS LÄN</t>
        </is>
      </c>
      <c r="E637" t="inlineStr">
        <is>
          <t>KROKOM</t>
        </is>
      </c>
      <c r="G637" t="n">
        <v>3.5</v>
      </c>
      <c r="H637" t="n">
        <v>0</v>
      </c>
      <c r="I637" t="n">
        <v>0</v>
      </c>
      <c r="J637" t="n">
        <v>0</v>
      </c>
      <c r="K637" t="n">
        <v>0</v>
      </c>
      <c r="L637" t="n">
        <v>0</v>
      </c>
      <c r="M637" t="n">
        <v>0</v>
      </c>
      <c r="N637" t="n">
        <v>0</v>
      </c>
      <c r="O637" t="n">
        <v>0</v>
      </c>
      <c r="P637" t="n">
        <v>0</v>
      </c>
      <c r="Q637" t="n">
        <v>0</v>
      </c>
      <c r="R637" s="2" t="inlineStr"/>
    </row>
    <row r="638" ht="15" customHeight="1">
      <c r="A638" t="inlineStr">
        <is>
          <t>A 36577-2021</t>
        </is>
      </c>
      <c r="B638" s="1" t="n">
        <v>44391</v>
      </c>
      <c r="C638" s="1" t="n">
        <v>45627</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37641-2021</t>
        </is>
      </c>
      <c r="B639" s="1" t="n">
        <v>44400</v>
      </c>
      <c r="C639" s="1" t="n">
        <v>45627</v>
      </c>
      <c r="D639" t="inlineStr">
        <is>
          <t>JÄMTLANDS LÄN</t>
        </is>
      </c>
      <c r="E639" t="inlineStr">
        <is>
          <t>KROKOM</t>
        </is>
      </c>
      <c r="G639" t="n">
        <v>2.7</v>
      </c>
      <c r="H639" t="n">
        <v>0</v>
      </c>
      <c r="I639" t="n">
        <v>0</v>
      </c>
      <c r="J639" t="n">
        <v>0</v>
      </c>
      <c r="K639" t="n">
        <v>0</v>
      </c>
      <c r="L639" t="n">
        <v>0</v>
      </c>
      <c r="M639" t="n">
        <v>0</v>
      </c>
      <c r="N639" t="n">
        <v>0</v>
      </c>
      <c r="O639" t="n">
        <v>0</v>
      </c>
      <c r="P639" t="n">
        <v>0</v>
      </c>
      <c r="Q639" t="n">
        <v>0</v>
      </c>
      <c r="R639" s="2" t="inlineStr"/>
    </row>
    <row r="640" ht="15" customHeight="1">
      <c r="A640" t="inlineStr">
        <is>
          <t>A 38511-2021</t>
        </is>
      </c>
      <c r="B640" s="1" t="n">
        <v>44407</v>
      </c>
      <c r="C640" s="1" t="n">
        <v>45627</v>
      </c>
      <c r="D640" t="inlineStr">
        <is>
          <t>JÄMTLANDS LÄN</t>
        </is>
      </c>
      <c r="E640" t="inlineStr">
        <is>
          <t>KROKOM</t>
        </is>
      </c>
      <c r="G640" t="n">
        <v>0.5</v>
      </c>
      <c r="H640" t="n">
        <v>0</v>
      </c>
      <c r="I640" t="n">
        <v>0</v>
      </c>
      <c r="J640" t="n">
        <v>0</v>
      </c>
      <c r="K640" t="n">
        <v>0</v>
      </c>
      <c r="L640" t="n">
        <v>0</v>
      </c>
      <c r="M640" t="n">
        <v>0</v>
      </c>
      <c r="N640" t="n">
        <v>0</v>
      </c>
      <c r="O640" t="n">
        <v>0</v>
      </c>
      <c r="P640" t="n">
        <v>0</v>
      </c>
      <c r="Q640" t="n">
        <v>0</v>
      </c>
      <c r="R640" s="2" t="inlineStr"/>
    </row>
    <row r="641" ht="15" customHeight="1">
      <c r="A641" t="inlineStr">
        <is>
          <t>A 42369-2021</t>
        </is>
      </c>
      <c r="B641" s="1" t="n">
        <v>44427</v>
      </c>
      <c r="C641" s="1" t="n">
        <v>45627</v>
      </c>
      <c r="D641" t="inlineStr">
        <is>
          <t>JÄMTLANDS LÄN</t>
        </is>
      </c>
      <c r="E641" t="inlineStr">
        <is>
          <t>KROKOM</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46625-2021</t>
        </is>
      </c>
      <c r="B642" s="1" t="n">
        <v>44445</v>
      </c>
      <c r="C642" s="1" t="n">
        <v>45627</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44374-2021</t>
        </is>
      </c>
      <c r="B643" s="1" t="n">
        <v>44447</v>
      </c>
      <c r="C643" s="1" t="n">
        <v>45627</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48440-2021</t>
        </is>
      </c>
      <c r="B644" s="1" t="n">
        <v>44449</v>
      </c>
      <c r="C644" s="1" t="n">
        <v>45627</v>
      </c>
      <c r="D644" t="inlineStr">
        <is>
          <t>JÄMTLANDS LÄN</t>
        </is>
      </c>
      <c r="E644" t="inlineStr">
        <is>
          <t>KROKOM</t>
        </is>
      </c>
      <c r="G644" t="n">
        <v>8.6</v>
      </c>
      <c r="H644" t="n">
        <v>0</v>
      </c>
      <c r="I644" t="n">
        <v>0</v>
      </c>
      <c r="J644" t="n">
        <v>0</v>
      </c>
      <c r="K644" t="n">
        <v>0</v>
      </c>
      <c r="L644" t="n">
        <v>0</v>
      </c>
      <c r="M644" t="n">
        <v>0</v>
      </c>
      <c r="N644" t="n">
        <v>0</v>
      </c>
      <c r="O644" t="n">
        <v>0</v>
      </c>
      <c r="P644" t="n">
        <v>0</v>
      </c>
      <c r="Q644" t="n">
        <v>0</v>
      </c>
      <c r="R644" s="2" t="inlineStr"/>
    </row>
    <row r="645" ht="15" customHeight="1">
      <c r="A645" t="inlineStr">
        <is>
          <t>A 50177-2021</t>
        </is>
      </c>
      <c r="B645" s="1" t="n">
        <v>44456</v>
      </c>
      <c r="C645" s="1" t="n">
        <v>45627</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50476-2021</t>
        </is>
      </c>
      <c r="B646" s="1" t="n">
        <v>44459</v>
      </c>
      <c r="C646" s="1" t="n">
        <v>45627</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50887-2021</t>
        </is>
      </c>
      <c r="B647" s="1" t="n">
        <v>44459</v>
      </c>
      <c r="C647" s="1" t="n">
        <v>45627</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50790-2021</t>
        </is>
      </c>
      <c r="B648" s="1" t="n">
        <v>44460</v>
      </c>
      <c r="C648" s="1" t="n">
        <v>45627</v>
      </c>
      <c r="D648" t="inlineStr">
        <is>
          <t>JÄMTLANDS LÄN</t>
        </is>
      </c>
      <c r="E648" t="inlineStr">
        <is>
          <t>KROKOM</t>
        </is>
      </c>
      <c r="G648" t="n">
        <v>2.4</v>
      </c>
      <c r="H648" t="n">
        <v>0</v>
      </c>
      <c r="I648" t="n">
        <v>0</v>
      </c>
      <c r="J648" t="n">
        <v>0</v>
      </c>
      <c r="K648" t="n">
        <v>0</v>
      </c>
      <c r="L648" t="n">
        <v>0</v>
      </c>
      <c r="M648" t="n">
        <v>0</v>
      </c>
      <c r="N648" t="n">
        <v>0</v>
      </c>
      <c r="O648" t="n">
        <v>0</v>
      </c>
      <c r="P648" t="n">
        <v>0</v>
      </c>
      <c r="Q648" t="n">
        <v>0</v>
      </c>
      <c r="R648" s="2" t="inlineStr"/>
    </row>
    <row r="649" ht="15" customHeight="1">
      <c r="A649" t="inlineStr">
        <is>
          <t>A 52557-2021</t>
        </is>
      </c>
      <c r="B649" s="1" t="n">
        <v>44466</v>
      </c>
      <c r="C649" s="1" t="n">
        <v>45627</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52578-2021</t>
        </is>
      </c>
      <c r="B650" s="1" t="n">
        <v>44466</v>
      </c>
      <c r="C650" s="1" t="n">
        <v>45627</v>
      </c>
      <c r="D650" t="inlineStr">
        <is>
          <t>JÄMTLANDS LÄN</t>
        </is>
      </c>
      <c r="E650" t="inlineStr">
        <is>
          <t>KROKOM</t>
        </is>
      </c>
      <c r="G650" t="n">
        <v>17.1</v>
      </c>
      <c r="H650" t="n">
        <v>0</v>
      </c>
      <c r="I650" t="n">
        <v>0</v>
      </c>
      <c r="J650" t="n">
        <v>0</v>
      </c>
      <c r="K650" t="n">
        <v>0</v>
      </c>
      <c r="L650" t="n">
        <v>0</v>
      </c>
      <c r="M650" t="n">
        <v>0</v>
      </c>
      <c r="N650" t="n">
        <v>0</v>
      </c>
      <c r="O650" t="n">
        <v>0</v>
      </c>
      <c r="P650" t="n">
        <v>0</v>
      </c>
      <c r="Q650" t="n">
        <v>0</v>
      </c>
      <c r="R650" s="2" t="inlineStr"/>
    </row>
    <row r="651" ht="15" customHeight="1">
      <c r="A651" t="inlineStr">
        <is>
          <t>A 53191-2021</t>
        </is>
      </c>
      <c r="B651" s="1" t="n">
        <v>44468</v>
      </c>
      <c r="C651" s="1" t="n">
        <v>45627</v>
      </c>
      <c r="D651" t="inlineStr">
        <is>
          <t>JÄMTLANDS LÄN</t>
        </is>
      </c>
      <c r="E651" t="inlineStr">
        <is>
          <t>KROKOM</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54039-2021</t>
        </is>
      </c>
      <c r="B652" s="1" t="n">
        <v>44470</v>
      </c>
      <c r="C652" s="1" t="n">
        <v>45627</v>
      </c>
      <c r="D652" t="inlineStr">
        <is>
          <t>JÄMTLANDS LÄN</t>
        </is>
      </c>
      <c r="E652" t="inlineStr">
        <is>
          <t>KROKOM</t>
        </is>
      </c>
      <c r="G652" t="n">
        <v>9.9</v>
      </c>
      <c r="H652" t="n">
        <v>0</v>
      </c>
      <c r="I652" t="n">
        <v>0</v>
      </c>
      <c r="J652" t="n">
        <v>0</v>
      </c>
      <c r="K652" t="n">
        <v>0</v>
      </c>
      <c r="L652" t="n">
        <v>0</v>
      </c>
      <c r="M652" t="n">
        <v>0</v>
      </c>
      <c r="N652" t="n">
        <v>0</v>
      </c>
      <c r="O652" t="n">
        <v>0</v>
      </c>
      <c r="P652" t="n">
        <v>0</v>
      </c>
      <c r="Q652" t="n">
        <v>0</v>
      </c>
      <c r="R652" s="2" t="inlineStr"/>
    </row>
    <row r="653" ht="15" customHeight="1">
      <c r="A653" t="inlineStr">
        <is>
          <t>A 54037-2021</t>
        </is>
      </c>
      <c r="B653" s="1" t="n">
        <v>44470</v>
      </c>
      <c r="C653" s="1" t="n">
        <v>45627</v>
      </c>
      <c r="D653" t="inlineStr">
        <is>
          <t>JÄMTLANDS LÄN</t>
        </is>
      </c>
      <c r="E653" t="inlineStr">
        <is>
          <t>KROKOM</t>
        </is>
      </c>
      <c r="G653" t="n">
        <v>6.3</v>
      </c>
      <c r="H653" t="n">
        <v>0</v>
      </c>
      <c r="I653" t="n">
        <v>0</v>
      </c>
      <c r="J653" t="n">
        <v>0</v>
      </c>
      <c r="K653" t="n">
        <v>0</v>
      </c>
      <c r="L653" t="n">
        <v>0</v>
      </c>
      <c r="M653" t="n">
        <v>0</v>
      </c>
      <c r="N653" t="n">
        <v>0</v>
      </c>
      <c r="O653" t="n">
        <v>0</v>
      </c>
      <c r="P653" t="n">
        <v>0</v>
      </c>
      <c r="Q653" t="n">
        <v>0</v>
      </c>
      <c r="R653" s="2" t="inlineStr"/>
    </row>
    <row r="654" ht="15" customHeight="1">
      <c r="A654" t="inlineStr">
        <is>
          <t>A 54152-2021</t>
        </is>
      </c>
      <c r="B654" s="1" t="n">
        <v>44470</v>
      </c>
      <c r="C654" s="1" t="n">
        <v>45627</v>
      </c>
      <c r="D654" t="inlineStr">
        <is>
          <t>JÄMTLANDS LÄN</t>
        </is>
      </c>
      <c r="E654" t="inlineStr">
        <is>
          <t>KROKOM</t>
        </is>
      </c>
      <c r="G654" t="n">
        <v>0.5</v>
      </c>
      <c r="H654" t="n">
        <v>0</v>
      </c>
      <c r="I654" t="n">
        <v>0</v>
      </c>
      <c r="J654" t="n">
        <v>0</v>
      </c>
      <c r="K654" t="n">
        <v>0</v>
      </c>
      <c r="L654" t="n">
        <v>0</v>
      </c>
      <c r="M654" t="n">
        <v>0</v>
      </c>
      <c r="N654" t="n">
        <v>0</v>
      </c>
      <c r="O654" t="n">
        <v>0</v>
      </c>
      <c r="P654" t="n">
        <v>0</v>
      </c>
      <c r="Q654" t="n">
        <v>0</v>
      </c>
      <c r="R654" s="2" t="inlineStr"/>
    </row>
    <row r="655" ht="15" customHeight="1">
      <c r="A655" t="inlineStr">
        <is>
          <t>A 54516-2021</t>
        </is>
      </c>
      <c r="B655" s="1" t="n">
        <v>44473</v>
      </c>
      <c r="C655" s="1" t="n">
        <v>45627</v>
      </c>
      <c r="D655" t="inlineStr">
        <is>
          <t>JÄMTLANDS LÄN</t>
        </is>
      </c>
      <c r="E655" t="inlineStr">
        <is>
          <t>KROKOM</t>
        </is>
      </c>
      <c r="G655" t="n">
        <v>1.6</v>
      </c>
      <c r="H655" t="n">
        <v>0</v>
      </c>
      <c r="I655" t="n">
        <v>0</v>
      </c>
      <c r="J655" t="n">
        <v>0</v>
      </c>
      <c r="K655" t="n">
        <v>0</v>
      </c>
      <c r="L655" t="n">
        <v>0</v>
      </c>
      <c r="M655" t="n">
        <v>0</v>
      </c>
      <c r="N655" t="n">
        <v>0</v>
      </c>
      <c r="O655" t="n">
        <v>0</v>
      </c>
      <c r="P655" t="n">
        <v>0</v>
      </c>
      <c r="Q655" t="n">
        <v>0</v>
      </c>
      <c r="R655" s="2" t="inlineStr"/>
    </row>
    <row r="656" ht="15" customHeight="1">
      <c r="A656" t="inlineStr">
        <is>
          <t>A 54438-2021</t>
        </is>
      </c>
      <c r="B656" s="1" t="n">
        <v>44473</v>
      </c>
      <c r="C656" s="1" t="n">
        <v>45627</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54499-2021</t>
        </is>
      </c>
      <c r="B657" s="1" t="n">
        <v>44473</v>
      </c>
      <c r="C657" s="1" t="n">
        <v>45627</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54497-2021</t>
        </is>
      </c>
      <c r="B658" s="1" t="n">
        <v>44473</v>
      </c>
      <c r="C658" s="1" t="n">
        <v>45627</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54526-2021</t>
        </is>
      </c>
      <c r="B659" s="1" t="n">
        <v>44473</v>
      </c>
      <c r="C659" s="1" t="n">
        <v>45627</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54573-2021</t>
        </is>
      </c>
      <c r="B660" s="1" t="n">
        <v>44473</v>
      </c>
      <c r="C660" s="1" t="n">
        <v>45627</v>
      </c>
      <c r="D660" t="inlineStr">
        <is>
          <t>JÄMTLANDS LÄN</t>
        </is>
      </c>
      <c r="E660" t="inlineStr">
        <is>
          <t>KROKOM</t>
        </is>
      </c>
      <c r="G660" t="n">
        <v>7</v>
      </c>
      <c r="H660" t="n">
        <v>0</v>
      </c>
      <c r="I660" t="n">
        <v>0</v>
      </c>
      <c r="J660" t="n">
        <v>0</v>
      </c>
      <c r="K660" t="n">
        <v>0</v>
      </c>
      <c r="L660" t="n">
        <v>0</v>
      </c>
      <c r="M660" t="n">
        <v>0</v>
      </c>
      <c r="N660" t="n">
        <v>0</v>
      </c>
      <c r="O660" t="n">
        <v>0</v>
      </c>
      <c r="P660" t="n">
        <v>0</v>
      </c>
      <c r="Q660" t="n">
        <v>0</v>
      </c>
      <c r="R660" s="2" t="inlineStr"/>
    </row>
    <row r="661" ht="15" customHeight="1">
      <c r="A661" t="inlineStr">
        <is>
          <t>A 56577-2021</t>
        </is>
      </c>
      <c r="B661" s="1" t="n">
        <v>44480</v>
      </c>
      <c r="C661" s="1" t="n">
        <v>45627</v>
      </c>
      <c r="D661" t="inlineStr">
        <is>
          <t>JÄMTLANDS LÄN</t>
        </is>
      </c>
      <c r="E661" t="inlineStr">
        <is>
          <t>KROKOM</t>
        </is>
      </c>
      <c r="F661" t="inlineStr">
        <is>
          <t>Kyrkan</t>
        </is>
      </c>
      <c r="G661" t="n">
        <v>13.8</v>
      </c>
      <c r="H661" t="n">
        <v>0</v>
      </c>
      <c r="I661" t="n">
        <v>0</v>
      </c>
      <c r="J661" t="n">
        <v>0</v>
      </c>
      <c r="K661" t="n">
        <v>0</v>
      </c>
      <c r="L661" t="n">
        <v>0</v>
      </c>
      <c r="M661" t="n">
        <v>0</v>
      </c>
      <c r="N661" t="n">
        <v>0</v>
      </c>
      <c r="O661" t="n">
        <v>0</v>
      </c>
      <c r="P661" t="n">
        <v>0</v>
      </c>
      <c r="Q661" t="n">
        <v>0</v>
      </c>
      <c r="R661" s="2" t="inlineStr"/>
    </row>
    <row r="662" ht="15" customHeight="1">
      <c r="A662" t="inlineStr">
        <is>
          <t>A 57304-2021</t>
        </is>
      </c>
      <c r="B662" s="1" t="n">
        <v>44483</v>
      </c>
      <c r="C662" s="1" t="n">
        <v>45627</v>
      </c>
      <c r="D662" t="inlineStr">
        <is>
          <t>JÄMTLANDS LÄN</t>
        </is>
      </c>
      <c r="E662" t="inlineStr">
        <is>
          <t>KROKOM</t>
        </is>
      </c>
      <c r="G662" t="n">
        <v>2.9</v>
      </c>
      <c r="H662" t="n">
        <v>0</v>
      </c>
      <c r="I662" t="n">
        <v>0</v>
      </c>
      <c r="J662" t="n">
        <v>0</v>
      </c>
      <c r="K662" t="n">
        <v>0</v>
      </c>
      <c r="L662" t="n">
        <v>0</v>
      </c>
      <c r="M662" t="n">
        <v>0</v>
      </c>
      <c r="N662" t="n">
        <v>0</v>
      </c>
      <c r="O662" t="n">
        <v>0</v>
      </c>
      <c r="P662" t="n">
        <v>0</v>
      </c>
      <c r="Q662" t="n">
        <v>0</v>
      </c>
      <c r="R662" s="2" t="inlineStr"/>
    </row>
    <row r="663" ht="15" customHeight="1">
      <c r="A663" t="inlineStr">
        <is>
          <t>A 58390-2021</t>
        </is>
      </c>
      <c r="B663" s="1" t="n">
        <v>44488</v>
      </c>
      <c r="C663" s="1" t="n">
        <v>45627</v>
      </c>
      <c r="D663" t="inlineStr">
        <is>
          <t>JÄMTLANDS LÄN</t>
        </is>
      </c>
      <c r="E663" t="inlineStr">
        <is>
          <t>KROKOM</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59506-2021</t>
        </is>
      </c>
      <c r="B664" s="1" t="n">
        <v>44491</v>
      </c>
      <c r="C664" s="1" t="n">
        <v>45627</v>
      </c>
      <c r="D664" t="inlineStr">
        <is>
          <t>JÄMTLANDS LÄN</t>
        </is>
      </c>
      <c r="E664" t="inlineStr">
        <is>
          <t>KROKOM</t>
        </is>
      </c>
      <c r="G664" t="n">
        <v>6</v>
      </c>
      <c r="H664" t="n">
        <v>0</v>
      </c>
      <c r="I664" t="n">
        <v>0</v>
      </c>
      <c r="J664" t="n">
        <v>0</v>
      </c>
      <c r="K664" t="n">
        <v>0</v>
      </c>
      <c r="L664" t="n">
        <v>0</v>
      </c>
      <c r="M664" t="n">
        <v>0</v>
      </c>
      <c r="N664" t="n">
        <v>0</v>
      </c>
      <c r="O664" t="n">
        <v>0</v>
      </c>
      <c r="P664" t="n">
        <v>0</v>
      </c>
      <c r="Q664" t="n">
        <v>0</v>
      </c>
      <c r="R664" s="2" t="inlineStr"/>
    </row>
    <row r="665" ht="15" customHeight="1">
      <c r="A665" t="inlineStr">
        <is>
          <t>A 59916-2021</t>
        </is>
      </c>
      <c r="B665" s="1" t="n">
        <v>44494</v>
      </c>
      <c r="C665" s="1" t="n">
        <v>45627</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59913-2021</t>
        </is>
      </c>
      <c r="B666" s="1" t="n">
        <v>44494</v>
      </c>
      <c r="C666" s="1" t="n">
        <v>45627</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60348-2021</t>
        </is>
      </c>
      <c r="B667" s="1" t="n">
        <v>44495</v>
      </c>
      <c r="C667" s="1" t="n">
        <v>45627</v>
      </c>
      <c r="D667" t="inlineStr">
        <is>
          <t>JÄMTLANDS LÄN</t>
        </is>
      </c>
      <c r="E667" t="inlineStr">
        <is>
          <t>KROKOM</t>
        </is>
      </c>
      <c r="G667" t="n">
        <v>11.2</v>
      </c>
      <c r="H667" t="n">
        <v>0</v>
      </c>
      <c r="I667" t="n">
        <v>0</v>
      </c>
      <c r="J667" t="n">
        <v>0</v>
      </c>
      <c r="K667" t="n">
        <v>0</v>
      </c>
      <c r="L667" t="n">
        <v>0</v>
      </c>
      <c r="M667" t="n">
        <v>0</v>
      </c>
      <c r="N667" t="n">
        <v>0</v>
      </c>
      <c r="O667" t="n">
        <v>0</v>
      </c>
      <c r="P667" t="n">
        <v>0</v>
      </c>
      <c r="Q667" t="n">
        <v>0</v>
      </c>
      <c r="R667" s="2" t="inlineStr"/>
    </row>
    <row r="668" ht="15" customHeight="1">
      <c r="A668" t="inlineStr">
        <is>
          <t>A 60351-2021</t>
        </is>
      </c>
      <c r="B668" s="1" t="n">
        <v>44495</v>
      </c>
      <c r="C668" s="1" t="n">
        <v>45627</v>
      </c>
      <c r="D668" t="inlineStr">
        <is>
          <t>JÄMTLANDS LÄN</t>
        </is>
      </c>
      <c r="E668" t="inlineStr">
        <is>
          <t>KROKOM</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61230-2021</t>
        </is>
      </c>
      <c r="B669" s="1" t="n">
        <v>44498</v>
      </c>
      <c r="C669" s="1" t="n">
        <v>45627</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61182-2021</t>
        </is>
      </c>
      <c r="B670" s="1" t="n">
        <v>44498</v>
      </c>
      <c r="C670" s="1" t="n">
        <v>45627</v>
      </c>
      <c r="D670" t="inlineStr">
        <is>
          <t>JÄMTLANDS LÄN</t>
        </is>
      </c>
      <c r="E670" t="inlineStr">
        <is>
          <t>KROKOM</t>
        </is>
      </c>
      <c r="G670" t="n">
        <v>2.7</v>
      </c>
      <c r="H670" t="n">
        <v>0</v>
      </c>
      <c r="I670" t="n">
        <v>0</v>
      </c>
      <c r="J670" t="n">
        <v>0</v>
      </c>
      <c r="K670" t="n">
        <v>0</v>
      </c>
      <c r="L670" t="n">
        <v>0</v>
      </c>
      <c r="M670" t="n">
        <v>0</v>
      </c>
      <c r="N670" t="n">
        <v>0</v>
      </c>
      <c r="O670" t="n">
        <v>0</v>
      </c>
      <c r="P670" t="n">
        <v>0</v>
      </c>
      <c r="Q670" t="n">
        <v>0</v>
      </c>
      <c r="R670" s="2" t="inlineStr"/>
    </row>
    <row r="671" ht="15" customHeight="1">
      <c r="A671" t="inlineStr">
        <is>
          <t>A 61732-2021</t>
        </is>
      </c>
      <c r="B671" s="1" t="n">
        <v>44498</v>
      </c>
      <c r="C671" s="1" t="n">
        <v>45627</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62205-2021</t>
        </is>
      </c>
      <c r="B672" s="1" t="n">
        <v>44502</v>
      </c>
      <c r="C672" s="1" t="n">
        <v>45627</v>
      </c>
      <c r="D672" t="inlineStr">
        <is>
          <t>JÄMTLANDS LÄN</t>
        </is>
      </c>
      <c r="E672" t="inlineStr">
        <is>
          <t>KROKOM</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62206-2021</t>
        </is>
      </c>
      <c r="B673" s="1" t="n">
        <v>44502</v>
      </c>
      <c r="C673" s="1" t="n">
        <v>45627</v>
      </c>
      <c r="D673" t="inlineStr">
        <is>
          <t>JÄMTLANDS LÄN</t>
        </is>
      </c>
      <c r="E673" t="inlineStr">
        <is>
          <t>KROKOM</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62201-2021</t>
        </is>
      </c>
      <c r="B674" s="1" t="n">
        <v>44502</v>
      </c>
      <c r="C674" s="1" t="n">
        <v>45627</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62739-2021</t>
        </is>
      </c>
      <c r="B675" s="1" t="n">
        <v>44504</v>
      </c>
      <c r="C675" s="1" t="n">
        <v>45627</v>
      </c>
      <c r="D675" t="inlineStr">
        <is>
          <t>JÄMTLANDS LÄN</t>
        </is>
      </c>
      <c r="E675" t="inlineStr">
        <is>
          <t>KROKOM</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64299-2021</t>
        </is>
      </c>
      <c r="B676" s="1" t="n">
        <v>44510</v>
      </c>
      <c r="C676" s="1" t="n">
        <v>45627</v>
      </c>
      <c r="D676" t="inlineStr">
        <is>
          <t>JÄMTLANDS LÄN</t>
        </is>
      </c>
      <c r="E676" t="inlineStr">
        <is>
          <t>KROKOM</t>
        </is>
      </c>
      <c r="G676" t="n">
        <v>3.7</v>
      </c>
      <c r="H676" t="n">
        <v>0</v>
      </c>
      <c r="I676" t="n">
        <v>0</v>
      </c>
      <c r="J676" t="n">
        <v>0</v>
      </c>
      <c r="K676" t="n">
        <v>0</v>
      </c>
      <c r="L676" t="n">
        <v>0</v>
      </c>
      <c r="M676" t="n">
        <v>0</v>
      </c>
      <c r="N676" t="n">
        <v>0</v>
      </c>
      <c r="O676" t="n">
        <v>0</v>
      </c>
      <c r="P676" t="n">
        <v>0</v>
      </c>
      <c r="Q676" t="n">
        <v>0</v>
      </c>
      <c r="R676" s="2" t="inlineStr"/>
    </row>
    <row r="677" ht="15" customHeight="1">
      <c r="A677" t="inlineStr">
        <is>
          <t>A 64298-2021</t>
        </is>
      </c>
      <c r="B677" s="1" t="n">
        <v>44510</v>
      </c>
      <c r="C677" s="1" t="n">
        <v>45627</v>
      </c>
      <c r="D677" t="inlineStr">
        <is>
          <t>JÄMTLANDS LÄN</t>
        </is>
      </c>
      <c r="E677" t="inlineStr">
        <is>
          <t>KROKOM</t>
        </is>
      </c>
      <c r="G677" t="n">
        <v>3.2</v>
      </c>
      <c r="H677" t="n">
        <v>0</v>
      </c>
      <c r="I677" t="n">
        <v>0</v>
      </c>
      <c r="J677" t="n">
        <v>0</v>
      </c>
      <c r="K677" t="n">
        <v>0</v>
      </c>
      <c r="L677" t="n">
        <v>0</v>
      </c>
      <c r="M677" t="n">
        <v>0</v>
      </c>
      <c r="N677" t="n">
        <v>0</v>
      </c>
      <c r="O677" t="n">
        <v>0</v>
      </c>
      <c r="P677" t="n">
        <v>0</v>
      </c>
      <c r="Q677" t="n">
        <v>0</v>
      </c>
      <c r="R677" s="2" t="inlineStr"/>
    </row>
    <row r="678" ht="15" customHeight="1">
      <c r="A678" t="inlineStr">
        <is>
          <t>A 64953-2021</t>
        </is>
      </c>
      <c r="B678" s="1" t="n">
        <v>44512</v>
      </c>
      <c r="C678" s="1" t="n">
        <v>45627</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64966-2021</t>
        </is>
      </c>
      <c r="B679" s="1" t="n">
        <v>44512</v>
      </c>
      <c r="C679" s="1" t="n">
        <v>45627</v>
      </c>
      <c r="D679" t="inlineStr">
        <is>
          <t>JÄMTLANDS LÄN</t>
        </is>
      </c>
      <c r="E679" t="inlineStr">
        <is>
          <t>KROKOM</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65508-2021</t>
        </is>
      </c>
      <c r="B680" s="1" t="n">
        <v>44516</v>
      </c>
      <c r="C680" s="1" t="n">
        <v>45627</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66477-2021</t>
        </is>
      </c>
      <c r="B681" s="1" t="n">
        <v>44518</v>
      </c>
      <c r="C681" s="1" t="n">
        <v>45627</v>
      </c>
      <c r="D681" t="inlineStr">
        <is>
          <t>JÄMTLANDS LÄN</t>
        </is>
      </c>
      <c r="E681" t="inlineStr">
        <is>
          <t>KROKOM</t>
        </is>
      </c>
      <c r="G681" t="n">
        <v>0.7</v>
      </c>
      <c r="H681" t="n">
        <v>0</v>
      </c>
      <c r="I681" t="n">
        <v>0</v>
      </c>
      <c r="J681" t="n">
        <v>0</v>
      </c>
      <c r="K681" t="n">
        <v>0</v>
      </c>
      <c r="L681" t="n">
        <v>0</v>
      </c>
      <c r="M681" t="n">
        <v>0</v>
      </c>
      <c r="N681" t="n">
        <v>0</v>
      </c>
      <c r="O681" t="n">
        <v>0</v>
      </c>
      <c r="P681" t="n">
        <v>0</v>
      </c>
      <c r="Q681" t="n">
        <v>0</v>
      </c>
      <c r="R681" s="2" t="inlineStr"/>
    </row>
    <row r="682" ht="15" customHeight="1">
      <c r="A682" t="inlineStr">
        <is>
          <t>A 66476-2021</t>
        </is>
      </c>
      <c r="B682" s="1" t="n">
        <v>44518</v>
      </c>
      <c r="C682" s="1" t="n">
        <v>45627</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66683-2021</t>
        </is>
      </c>
      <c r="B683" s="1" t="n">
        <v>44519</v>
      </c>
      <c r="C683" s="1" t="n">
        <v>45627</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66880-2021</t>
        </is>
      </c>
      <c r="B684" s="1" t="n">
        <v>44522</v>
      </c>
      <c r="C684" s="1" t="n">
        <v>45627</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67488-2021</t>
        </is>
      </c>
      <c r="B685" s="1" t="n">
        <v>44524</v>
      </c>
      <c r="C685" s="1" t="n">
        <v>45627</v>
      </c>
      <c r="D685" t="inlineStr">
        <is>
          <t>JÄMTLANDS LÄN</t>
        </is>
      </c>
      <c r="E685" t="inlineStr">
        <is>
          <t>KROKOM</t>
        </is>
      </c>
      <c r="G685" t="n">
        <v>0.5</v>
      </c>
      <c r="H685" t="n">
        <v>0</v>
      </c>
      <c r="I685" t="n">
        <v>0</v>
      </c>
      <c r="J685" t="n">
        <v>0</v>
      </c>
      <c r="K685" t="n">
        <v>0</v>
      </c>
      <c r="L685" t="n">
        <v>0</v>
      </c>
      <c r="M685" t="n">
        <v>0</v>
      </c>
      <c r="N685" t="n">
        <v>0</v>
      </c>
      <c r="O685" t="n">
        <v>0</v>
      </c>
      <c r="P685" t="n">
        <v>0</v>
      </c>
      <c r="Q685" t="n">
        <v>0</v>
      </c>
      <c r="R685" s="2" t="inlineStr"/>
    </row>
    <row r="686" ht="15" customHeight="1">
      <c r="A686" t="inlineStr">
        <is>
          <t>A 67740-2021</t>
        </is>
      </c>
      <c r="B686" s="1" t="n">
        <v>44524</v>
      </c>
      <c r="C686" s="1" t="n">
        <v>45627</v>
      </c>
      <c r="D686" t="inlineStr">
        <is>
          <t>JÄMTLANDS LÄN</t>
        </is>
      </c>
      <c r="E686" t="inlineStr">
        <is>
          <t>KROKOM</t>
        </is>
      </c>
      <c r="G686" t="n">
        <v>12.3</v>
      </c>
      <c r="H686" t="n">
        <v>0</v>
      </c>
      <c r="I686" t="n">
        <v>0</v>
      </c>
      <c r="J686" t="n">
        <v>0</v>
      </c>
      <c r="K686" t="n">
        <v>0</v>
      </c>
      <c r="L686" t="n">
        <v>0</v>
      </c>
      <c r="M686" t="n">
        <v>0</v>
      </c>
      <c r="N686" t="n">
        <v>0</v>
      </c>
      <c r="O686" t="n">
        <v>0</v>
      </c>
      <c r="P686" t="n">
        <v>0</v>
      </c>
      <c r="Q686" t="n">
        <v>0</v>
      </c>
      <c r="R686" s="2" t="inlineStr"/>
    </row>
    <row r="687" ht="15" customHeight="1">
      <c r="A687" t="inlineStr">
        <is>
          <t>A 67797-2021</t>
        </is>
      </c>
      <c r="B687" s="1" t="n">
        <v>44524</v>
      </c>
      <c r="C687" s="1" t="n">
        <v>45627</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67722-2021</t>
        </is>
      </c>
      <c r="B688" s="1" t="n">
        <v>44525</v>
      </c>
      <c r="C688" s="1" t="n">
        <v>45627</v>
      </c>
      <c r="D688" t="inlineStr">
        <is>
          <t>JÄMTLANDS LÄN</t>
        </is>
      </c>
      <c r="E688" t="inlineStr">
        <is>
          <t>KROKOM</t>
        </is>
      </c>
      <c r="G688" t="n">
        <v>1.7</v>
      </c>
      <c r="H688" t="n">
        <v>0</v>
      </c>
      <c r="I688" t="n">
        <v>0</v>
      </c>
      <c r="J688" t="n">
        <v>0</v>
      </c>
      <c r="K688" t="n">
        <v>0</v>
      </c>
      <c r="L688" t="n">
        <v>0</v>
      </c>
      <c r="M688" t="n">
        <v>0</v>
      </c>
      <c r="N688" t="n">
        <v>0</v>
      </c>
      <c r="O688" t="n">
        <v>0</v>
      </c>
      <c r="P688" t="n">
        <v>0</v>
      </c>
      <c r="Q688" t="n">
        <v>0</v>
      </c>
      <c r="R688" s="2" t="inlineStr"/>
    </row>
    <row r="689" ht="15" customHeight="1">
      <c r="A689" t="inlineStr">
        <is>
          <t>A 68686-2021</t>
        </is>
      </c>
      <c r="B689" s="1" t="n">
        <v>44526</v>
      </c>
      <c r="C689" s="1" t="n">
        <v>45627</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69751-2021</t>
        </is>
      </c>
      <c r="B690" s="1" t="n">
        <v>44532</v>
      </c>
      <c r="C690" s="1" t="n">
        <v>45627</v>
      </c>
      <c r="D690" t="inlineStr">
        <is>
          <t>JÄMTLANDS LÄN</t>
        </is>
      </c>
      <c r="E690" t="inlineStr">
        <is>
          <t>KROKOM</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69949-2021</t>
        </is>
      </c>
      <c r="B691" s="1" t="n">
        <v>44533</v>
      </c>
      <c r="C691" s="1" t="n">
        <v>45627</v>
      </c>
      <c r="D691" t="inlineStr">
        <is>
          <t>JÄMTLANDS LÄN</t>
        </is>
      </c>
      <c r="E691" t="inlineStr">
        <is>
          <t>KROKOM</t>
        </is>
      </c>
      <c r="G691" t="n">
        <v>15.8</v>
      </c>
      <c r="H691" t="n">
        <v>0</v>
      </c>
      <c r="I691" t="n">
        <v>0</v>
      </c>
      <c r="J691" t="n">
        <v>0</v>
      </c>
      <c r="K691" t="n">
        <v>0</v>
      </c>
      <c r="L691" t="n">
        <v>0</v>
      </c>
      <c r="M691" t="n">
        <v>0</v>
      </c>
      <c r="N691" t="n">
        <v>0</v>
      </c>
      <c r="O691" t="n">
        <v>0</v>
      </c>
      <c r="P691" t="n">
        <v>0</v>
      </c>
      <c r="Q691" t="n">
        <v>0</v>
      </c>
      <c r="R691" s="2" t="inlineStr"/>
    </row>
    <row r="692" ht="15" customHeight="1">
      <c r="A692" t="inlineStr">
        <is>
          <t>A 69972-2021</t>
        </is>
      </c>
      <c r="B692" s="1" t="n">
        <v>44533</v>
      </c>
      <c r="C692" s="1" t="n">
        <v>45627</v>
      </c>
      <c r="D692" t="inlineStr">
        <is>
          <t>JÄMTLANDS LÄN</t>
        </is>
      </c>
      <c r="E692" t="inlineStr">
        <is>
          <t>KROKOM</t>
        </is>
      </c>
      <c r="G692" t="n">
        <v>22.9</v>
      </c>
      <c r="H692" t="n">
        <v>0</v>
      </c>
      <c r="I692" t="n">
        <v>0</v>
      </c>
      <c r="J692" t="n">
        <v>0</v>
      </c>
      <c r="K692" t="n">
        <v>0</v>
      </c>
      <c r="L692" t="n">
        <v>0</v>
      </c>
      <c r="M692" t="n">
        <v>0</v>
      </c>
      <c r="N692" t="n">
        <v>0</v>
      </c>
      <c r="O692" t="n">
        <v>0</v>
      </c>
      <c r="P692" t="n">
        <v>0</v>
      </c>
      <c r="Q692" t="n">
        <v>0</v>
      </c>
      <c r="R692" s="2" t="inlineStr"/>
    </row>
    <row r="693" ht="15" customHeight="1">
      <c r="A693" t="inlineStr">
        <is>
          <t>A 70222-2021</t>
        </is>
      </c>
      <c r="B693" s="1" t="n">
        <v>44535</v>
      </c>
      <c r="C693" s="1" t="n">
        <v>45627</v>
      </c>
      <c r="D693" t="inlineStr">
        <is>
          <t>JÄMTLANDS LÄN</t>
        </is>
      </c>
      <c r="E693" t="inlineStr">
        <is>
          <t>KROKOM</t>
        </is>
      </c>
      <c r="G693" t="n">
        <v>2.3</v>
      </c>
      <c r="H693" t="n">
        <v>0</v>
      </c>
      <c r="I693" t="n">
        <v>0</v>
      </c>
      <c r="J693" t="n">
        <v>0</v>
      </c>
      <c r="K693" t="n">
        <v>0</v>
      </c>
      <c r="L693" t="n">
        <v>0</v>
      </c>
      <c r="M693" t="n">
        <v>0</v>
      </c>
      <c r="N693" t="n">
        <v>0</v>
      </c>
      <c r="O693" t="n">
        <v>0</v>
      </c>
      <c r="P693" t="n">
        <v>0</v>
      </c>
      <c r="Q693" t="n">
        <v>0</v>
      </c>
      <c r="R693" s="2" t="inlineStr"/>
    </row>
    <row r="694" ht="15" customHeight="1">
      <c r="A694" t="inlineStr">
        <is>
          <t>A 71307-2021</t>
        </is>
      </c>
      <c r="B694" s="1" t="n">
        <v>44539</v>
      </c>
      <c r="C694" s="1" t="n">
        <v>45627</v>
      </c>
      <c r="D694" t="inlineStr">
        <is>
          <t>JÄMTLANDS LÄN</t>
        </is>
      </c>
      <c r="E694" t="inlineStr">
        <is>
          <t>KROKOM</t>
        </is>
      </c>
      <c r="G694" t="n">
        <v>21.5</v>
      </c>
      <c r="H694" t="n">
        <v>0</v>
      </c>
      <c r="I694" t="n">
        <v>0</v>
      </c>
      <c r="J694" t="n">
        <v>0</v>
      </c>
      <c r="K694" t="n">
        <v>0</v>
      </c>
      <c r="L694" t="n">
        <v>0</v>
      </c>
      <c r="M694" t="n">
        <v>0</v>
      </c>
      <c r="N694" t="n">
        <v>0</v>
      </c>
      <c r="O694" t="n">
        <v>0</v>
      </c>
      <c r="P694" t="n">
        <v>0</v>
      </c>
      <c r="Q694" t="n">
        <v>0</v>
      </c>
      <c r="R694" s="2" t="inlineStr"/>
    </row>
    <row r="695" ht="15" customHeight="1">
      <c r="A695" t="inlineStr">
        <is>
          <t>A 71246-2021</t>
        </is>
      </c>
      <c r="B695" s="1" t="n">
        <v>44539</v>
      </c>
      <c r="C695" s="1" t="n">
        <v>45627</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71572-2021</t>
        </is>
      </c>
      <c r="B696" s="1" t="n">
        <v>44540</v>
      </c>
      <c r="C696" s="1" t="n">
        <v>45627</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71654-2021</t>
        </is>
      </c>
      <c r="B697" s="1" t="n">
        <v>44543</v>
      </c>
      <c r="C697" s="1" t="n">
        <v>45627</v>
      </c>
      <c r="D697" t="inlineStr">
        <is>
          <t>JÄMTLANDS LÄN</t>
        </is>
      </c>
      <c r="E697" t="inlineStr">
        <is>
          <t>KROKOM</t>
        </is>
      </c>
      <c r="G697" t="n">
        <v>4.4</v>
      </c>
      <c r="H697" t="n">
        <v>0</v>
      </c>
      <c r="I697" t="n">
        <v>0</v>
      </c>
      <c r="J697" t="n">
        <v>0</v>
      </c>
      <c r="K697" t="n">
        <v>0</v>
      </c>
      <c r="L697" t="n">
        <v>0</v>
      </c>
      <c r="M697" t="n">
        <v>0</v>
      </c>
      <c r="N697" t="n">
        <v>0</v>
      </c>
      <c r="O697" t="n">
        <v>0</v>
      </c>
      <c r="P697" t="n">
        <v>0</v>
      </c>
      <c r="Q697" t="n">
        <v>0</v>
      </c>
      <c r="R697" s="2" t="inlineStr"/>
    </row>
    <row r="698" ht="15" customHeight="1">
      <c r="A698" t="inlineStr">
        <is>
          <t>A 72286-2021</t>
        </is>
      </c>
      <c r="B698" s="1" t="n">
        <v>44543</v>
      </c>
      <c r="C698" s="1" t="n">
        <v>45627</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72064-2021</t>
        </is>
      </c>
      <c r="B699" s="1" t="n">
        <v>44544</v>
      </c>
      <c r="C699" s="1" t="n">
        <v>45627</v>
      </c>
      <c r="D699" t="inlineStr">
        <is>
          <t>JÄMTLANDS LÄN</t>
        </is>
      </c>
      <c r="E699" t="inlineStr">
        <is>
          <t>KROKOM</t>
        </is>
      </c>
      <c r="G699" t="n">
        <v>18.7</v>
      </c>
      <c r="H699" t="n">
        <v>0</v>
      </c>
      <c r="I699" t="n">
        <v>0</v>
      </c>
      <c r="J699" t="n">
        <v>0</v>
      </c>
      <c r="K699" t="n">
        <v>0</v>
      </c>
      <c r="L699" t="n">
        <v>0</v>
      </c>
      <c r="M699" t="n">
        <v>0</v>
      </c>
      <c r="N699" t="n">
        <v>0</v>
      </c>
      <c r="O699" t="n">
        <v>0</v>
      </c>
      <c r="P699" t="n">
        <v>0</v>
      </c>
      <c r="Q699" t="n">
        <v>0</v>
      </c>
      <c r="R699" s="2" t="inlineStr"/>
    </row>
    <row r="700" ht="15" customHeight="1">
      <c r="A700" t="inlineStr">
        <is>
          <t>A 72599-2021</t>
        </is>
      </c>
      <c r="B700" s="1" t="n">
        <v>44544</v>
      </c>
      <c r="C700" s="1" t="n">
        <v>45627</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72591-2021</t>
        </is>
      </c>
      <c r="B701" s="1" t="n">
        <v>44544</v>
      </c>
      <c r="C701" s="1" t="n">
        <v>45627</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72482-2021</t>
        </is>
      </c>
      <c r="B702" s="1" t="n">
        <v>44545</v>
      </c>
      <c r="C702" s="1" t="n">
        <v>45627</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73174-2021</t>
        </is>
      </c>
      <c r="B703" s="1" t="n">
        <v>44550</v>
      </c>
      <c r="C703" s="1" t="n">
        <v>45627</v>
      </c>
      <c r="D703" t="inlineStr">
        <is>
          <t>JÄMTLANDS LÄN</t>
        </is>
      </c>
      <c r="E703" t="inlineStr">
        <is>
          <t>KROKOM</t>
        </is>
      </c>
      <c r="G703" t="n">
        <v>152.9</v>
      </c>
      <c r="H703" t="n">
        <v>0</v>
      </c>
      <c r="I703" t="n">
        <v>0</v>
      </c>
      <c r="J703" t="n">
        <v>0</v>
      </c>
      <c r="K703" t="n">
        <v>0</v>
      </c>
      <c r="L703" t="n">
        <v>0</v>
      </c>
      <c r="M703" t="n">
        <v>0</v>
      </c>
      <c r="N703" t="n">
        <v>0</v>
      </c>
      <c r="O703" t="n">
        <v>0</v>
      </c>
      <c r="P703" t="n">
        <v>0</v>
      </c>
      <c r="Q703" t="n">
        <v>0</v>
      </c>
      <c r="R703" s="2" t="inlineStr"/>
    </row>
    <row r="704" ht="15" customHeight="1">
      <c r="A704" t="inlineStr">
        <is>
          <t>A 74011-2021</t>
        </is>
      </c>
      <c r="B704" s="1" t="n">
        <v>44557</v>
      </c>
      <c r="C704" s="1" t="n">
        <v>45627</v>
      </c>
      <c r="D704" t="inlineStr">
        <is>
          <t>JÄMTLANDS LÄN</t>
        </is>
      </c>
      <c r="E704" t="inlineStr">
        <is>
          <t>KROKOM</t>
        </is>
      </c>
      <c r="G704" t="n">
        <v>33.2</v>
      </c>
      <c r="H704" t="n">
        <v>0</v>
      </c>
      <c r="I704" t="n">
        <v>0</v>
      </c>
      <c r="J704" t="n">
        <v>0</v>
      </c>
      <c r="K704" t="n">
        <v>0</v>
      </c>
      <c r="L704" t="n">
        <v>0</v>
      </c>
      <c r="M704" t="n">
        <v>0</v>
      </c>
      <c r="N704" t="n">
        <v>0</v>
      </c>
      <c r="O704" t="n">
        <v>0</v>
      </c>
      <c r="P704" t="n">
        <v>0</v>
      </c>
      <c r="Q704" t="n">
        <v>0</v>
      </c>
      <c r="R704" s="2" t="inlineStr"/>
    </row>
    <row r="705" ht="15" customHeight="1">
      <c r="A705" t="inlineStr">
        <is>
          <t>A 804-2022</t>
        </is>
      </c>
      <c r="B705" s="1" t="n">
        <v>44568</v>
      </c>
      <c r="C705" s="1" t="n">
        <v>45627</v>
      </c>
      <c r="D705" t="inlineStr">
        <is>
          <t>JÄMTLANDS LÄN</t>
        </is>
      </c>
      <c r="E705" t="inlineStr">
        <is>
          <t>KROKOM</t>
        </is>
      </c>
      <c r="G705" t="n">
        <v>20</v>
      </c>
      <c r="H705" t="n">
        <v>0</v>
      </c>
      <c r="I705" t="n">
        <v>0</v>
      </c>
      <c r="J705" t="n">
        <v>0</v>
      </c>
      <c r="K705" t="n">
        <v>0</v>
      </c>
      <c r="L705" t="n">
        <v>0</v>
      </c>
      <c r="M705" t="n">
        <v>0</v>
      </c>
      <c r="N705" t="n">
        <v>0</v>
      </c>
      <c r="O705" t="n">
        <v>0</v>
      </c>
      <c r="P705" t="n">
        <v>0</v>
      </c>
      <c r="Q705" t="n">
        <v>0</v>
      </c>
      <c r="R705" s="2" t="inlineStr"/>
    </row>
    <row r="706" ht="15" customHeight="1">
      <c r="A706" t="inlineStr">
        <is>
          <t>A 1625-2022</t>
        </is>
      </c>
      <c r="B706" s="1" t="n">
        <v>44573</v>
      </c>
      <c r="C706" s="1" t="n">
        <v>45627</v>
      </c>
      <c r="D706" t="inlineStr">
        <is>
          <t>JÄMTLANDS LÄN</t>
        </is>
      </c>
      <c r="E706" t="inlineStr">
        <is>
          <t>KROKOM</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2093-2022</t>
        </is>
      </c>
      <c r="B707" s="1" t="n">
        <v>44577</v>
      </c>
      <c r="C707" s="1" t="n">
        <v>45627</v>
      </c>
      <c r="D707" t="inlineStr">
        <is>
          <t>JÄMTLANDS LÄN</t>
        </is>
      </c>
      <c r="E707" t="inlineStr">
        <is>
          <t>KROKOM</t>
        </is>
      </c>
      <c r="G707" t="n">
        <v>0.4</v>
      </c>
      <c r="H707" t="n">
        <v>0</v>
      </c>
      <c r="I707" t="n">
        <v>0</v>
      </c>
      <c r="J707" t="n">
        <v>0</v>
      </c>
      <c r="K707" t="n">
        <v>0</v>
      </c>
      <c r="L707" t="n">
        <v>0</v>
      </c>
      <c r="M707" t="n">
        <v>0</v>
      </c>
      <c r="N707" t="n">
        <v>0</v>
      </c>
      <c r="O707" t="n">
        <v>0</v>
      </c>
      <c r="P707" t="n">
        <v>0</v>
      </c>
      <c r="Q707" t="n">
        <v>0</v>
      </c>
      <c r="R707" s="2" t="inlineStr"/>
    </row>
    <row r="708" ht="15" customHeight="1">
      <c r="A708" t="inlineStr">
        <is>
          <t>A 3231-2022</t>
        </is>
      </c>
      <c r="B708" s="1" t="n">
        <v>44582</v>
      </c>
      <c r="C708" s="1" t="n">
        <v>45627</v>
      </c>
      <c r="D708" t="inlineStr">
        <is>
          <t>JÄMTLANDS LÄN</t>
        </is>
      </c>
      <c r="E708" t="inlineStr">
        <is>
          <t>KROKOM</t>
        </is>
      </c>
      <c r="G708" t="n">
        <v>23</v>
      </c>
      <c r="H708" t="n">
        <v>0</v>
      </c>
      <c r="I708" t="n">
        <v>0</v>
      </c>
      <c r="J708" t="n">
        <v>0</v>
      </c>
      <c r="K708" t="n">
        <v>0</v>
      </c>
      <c r="L708" t="n">
        <v>0</v>
      </c>
      <c r="M708" t="n">
        <v>0</v>
      </c>
      <c r="N708" t="n">
        <v>0</v>
      </c>
      <c r="O708" t="n">
        <v>0</v>
      </c>
      <c r="P708" t="n">
        <v>0</v>
      </c>
      <c r="Q708" t="n">
        <v>0</v>
      </c>
      <c r="R708" s="2" t="inlineStr"/>
    </row>
    <row r="709" ht="15" customHeight="1">
      <c r="A709" t="inlineStr">
        <is>
          <t>A 4569-2022</t>
        </is>
      </c>
      <c r="B709" s="1" t="n">
        <v>44591</v>
      </c>
      <c r="C709" s="1" t="n">
        <v>45627</v>
      </c>
      <c r="D709" t="inlineStr">
        <is>
          <t>JÄMTLANDS LÄN</t>
        </is>
      </c>
      <c r="E709" t="inlineStr">
        <is>
          <t>KROKOM</t>
        </is>
      </c>
      <c r="G709" t="n">
        <v>20.3</v>
      </c>
      <c r="H709" t="n">
        <v>0</v>
      </c>
      <c r="I709" t="n">
        <v>0</v>
      </c>
      <c r="J709" t="n">
        <v>0</v>
      </c>
      <c r="K709" t="n">
        <v>0</v>
      </c>
      <c r="L709" t="n">
        <v>0</v>
      </c>
      <c r="M709" t="n">
        <v>0</v>
      </c>
      <c r="N709" t="n">
        <v>0</v>
      </c>
      <c r="O709" t="n">
        <v>0</v>
      </c>
      <c r="P709" t="n">
        <v>0</v>
      </c>
      <c r="Q709" t="n">
        <v>0</v>
      </c>
      <c r="R709" s="2" t="inlineStr"/>
    </row>
    <row r="710" ht="15" customHeight="1">
      <c r="A710" t="inlineStr">
        <is>
          <t>A 4741-2022</t>
        </is>
      </c>
      <c r="B710" s="1" t="n">
        <v>44592</v>
      </c>
      <c r="C710" s="1" t="n">
        <v>45627</v>
      </c>
      <c r="D710" t="inlineStr">
        <is>
          <t>JÄMTLANDS LÄN</t>
        </is>
      </c>
      <c r="E710" t="inlineStr">
        <is>
          <t>KROKOM</t>
        </is>
      </c>
      <c r="G710" t="n">
        <v>54.2</v>
      </c>
      <c r="H710" t="n">
        <v>0</v>
      </c>
      <c r="I710" t="n">
        <v>0</v>
      </c>
      <c r="J710" t="n">
        <v>0</v>
      </c>
      <c r="K710" t="n">
        <v>0</v>
      </c>
      <c r="L710" t="n">
        <v>0</v>
      </c>
      <c r="M710" t="n">
        <v>0</v>
      </c>
      <c r="N710" t="n">
        <v>0</v>
      </c>
      <c r="O710" t="n">
        <v>0</v>
      </c>
      <c r="P710" t="n">
        <v>0</v>
      </c>
      <c r="Q710" t="n">
        <v>0</v>
      </c>
      <c r="R710" s="2" t="inlineStr"/>
    </row>
    <row r="711" ht="15" customHeight="1">
      <c r="A711" t="inlineStr">
        <is>
          <t>A 5693-2022</t>
        </is>
      </c>
      <c r="B711" s="1" t="n">
        <v>44596</v>
      </c>
      <c r="C711" s="1" t="n">
        <v>45627</v>
      </c>
      <c r="D711" t="inlineStr">
        <is>
          <t>JÄMTLANDS LÄN</t>
        </is>
      </c>
      <c r="E711" t="inlineStr">
        <is>
          <t>KROKOM</t>
        </is>
      </c>
      <c r="G711" t="n">
        <v>40.8</v>
      </c>
      <c r="H711" t="n">
        <v>0</v>
      </c>
      <c r="I711" t="n">
        <v>0</v>
      </c>
      <c r="J711" t="n">
        <v>0</v>
      </c>
      <c r="K711" t="n">
        <v>0</v>
      </c>
      <c r="L711" t="n">
        <v>0</v>
      </c>
      <c r="M711" t="n">
        <v>0</v>
      </c>
      <c r="N711" t="n">
        <v>0</v>
      </c>
      <c r="O711" t="n">
        <v>0</v>
      </c>
      <c r="P711" t="n">
        <v>0</v>
      </c>
      <c r="Q711" t="n">
        <v>0</v>
      </c>
      <c r="R711" s="2" t="inlineStr"/>
    </row>
    <row r="712" ht="15" customHeight="1">
      <c r="A712" t="inlineStr">
        <is>
          <t>A 6214-2022</t>
        </is>
      </c>
      <c r="B712" s="1" t="n">
        <v>44600</v>
      </c>
      <c r="C712" s="1" t="n">
        <v>45627</v>
      </c>
      <c r="D712" t="inlineStr">
        <is>
          <t>JÄMTLANDS LÄN</t>
        </is>
      </c>
      <c r="E712" t="inlineStr">
        <is>
          <t>KROKOM</t>
        </is>
      </c>
      <c r="G712" t="n">
        <v>1.1</v>
      </c>
      <c r="H712" t="n">
        <v>0</v>
      </c>
      <c r="I712" t="n">
        <v>0</v>
      </c>
      <c r="J712" t="n">
        <v>0</v>
      </c>
      <c r="K712" t="n">
        <v>0</v>
      </c>
      <c r="L712" t="n">
        <v>0</v>
      </c>
      <c r="M712" t="n">
        <v>0</v>
      </c>
      <c r="N712" t="n">
        <v>0</v>
      </c>
      <c r="O712" t="n">
        <v>0</v>
      </c>
      <c r="P712" t="n">
        <v>0</v>
      </c>
      <c r="Q712" t="n">
        <v>0</v>
      </c>
      <c r="R712" s="2" t="inlineStr"/>
    </row>
    <row r="713" ht="15" customHeight="1">
      <c r="A713" t="inlineStr">
        <is>
          <t>A 6451-2022</t>
        </is>
      </c>
      <c r="B713" s="1" t="n">
        <v>44601</v>
      </c>
      <c r="C713" s="1" t="n">
        <v>45627</v>
      </c>
      <c r="D713" t="inlineStr">
        <is>
          <t>JÄMTLANDS LÄN</t>
        </is>
      </c>
      <c r="E713" t="inlineStr">
        <is>
          <t>KROKOM</t>
        </is>
      </c>
      <c r="G713" t="n">
        <v>5.8</v>
      </c>
      <c r="H713" t="n">
        <v>0</v>
      </c>
      <c r="I713" t="n">
        <v>0</v>
      </c>
      <c r="J713" t="n">
        <v>0</v>
      </c>
      <c r="K713" t="n">
        <v>0</v>
      </c>
      <c r="L713" t="n">
        <v>0</v>
      </c>
      <c r="M713" t="n">
        <v>0</v>
      </c>
      <c r="N713" t="n">
        <v>0</v>
      </c>
      <c r="O713" t="n">
        <v>0</v>
      </c>
      <c r="P713" t="n">
        <v>0</v>
      </c>
      <c r="Q713" t="n">
        <v>0</v>
      </c>
      <c r="R713" s="2" t="inlineStr"/>
    </row>
    <row r="714" ht="15" customHeight="1">
      <c r="A714" t="inlineStr">
        <is>
          <t>A 7180-2022</t>
        </is>
      </c>
      <c r="B714" s="1" t="n">
        <v>44605</v>
      </c>
      <c r="C714" s="1" t="n">
        <v>45627</v>
      </c>
      <c r="D714" t="inlineStr">
        <is>
          <t>JÄMTLANDS LÄN</t>
        </is>
      </c>
      <c r="E714" t="inlineStr">
        <is>
          <t>KROKOM</t>
        </is>
      </c>
      <c r="G714" t="n">
        <v>5.9</v>
      </c>
      <c r="H714" t="n">
        <v>0</v>
      </c>
      <c r="I714" t="n">
        <v>0</v>
      </c>
      <c r="J714" t="n">
        <v>0</v>
      </c>
      <c r="K714" t="n">
        <v>0</v>
      </c>
      <c r="L714" t="n">
        <v>0</v>
      </c>
      <c r="M714" t="n">
        <v>0</v>
      </c>
      <c r="N714" t="n">
        <v>0</v>
      </c>
      <c r="O714" t="n">
        <v>0</v>
      </c>
      <c r="P714" t="n">
        <v>0</v>
      </c>
      <c r="Q714" t="n">
        <v>0</v>
      </c>
      <c r="R714" s="2" t="inlineStr"/>
    </row>
    <row r="715" ht="15" customHeight="1">
      <c r="A715" t="inlineStr">
        <is>
          <t>A 8230-2022</t>
        </is>
      </c>
      <c r="B715" s="1" t="n">
        <v>44609</v>
      </c>
      <c r="C715" s="1" t="n">
        <v>45627</v>
      </c>
      <c r="D715" t="inlineStr">
        <is>
          <t>JÄMTLANDS LÄN</t>
        </is>
      </c>
      <c r="E715" t="inlineStr">
        <is>
          <t>KROKOM</t>
        </is>
      </c>
      <c r="F715" t="inlineStr">
        <is>
          <t>SCA</t>
        </is>
      </c>
      <c r="G715" t="n">
        <v>11.3</v>
      </c>
      <c r="H715" t="n">
        <v>0</v>
      </c>
      <c r="I715" t="n">
        <v>0</v>
      </c>
      <c r="J715" t="n">
        <v>0</v>
      </c>
      <c r="K715" t="n">
        <v>0</v>
      </c>
      <c r="L715" t="n">
        <v>0</v>
      </c>
      <c r="M715" t="n">
        <v>0</v>
      </c>
      <c r="N715" t="n">
        <v>0</v>
      </c>
      <c r="O715" t="n">
        <v>0</v>
      </c>
      <c r="P715" t="n">
        <v>0</v>
      </c>
      <c r="Q715" t="n">
        <v>0</v>
      </c>
      <c r="R715" s="2" t="inlineStr"/>
    </row>
    <row r="716" ht="15" customHeight="1">
      <c r="A716" t="inlineStr">
        <is>
          <t>A 8569-2022</t>
        </is>
      </c>
      <c r="B716" s="1" t="n">
        <v>44610</v>
      </c>
      <c r="C716" s="1" t="n">
        <v>45627</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8559-2022</t>
        </is>
      </c>
      <c r="B717" s="1" t="n">
        <v>44610</v>
      </c>
      <c r="C717" s="1" t="n">
        <v>45627</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11113-2022</t>
        </is>
      </c>
      <c r="B718" s="1" t="n">
        <v>44628</v>
      </c>
      <c r="C718" s="1" t="n">
        <v>45627</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11591-2022</t>
        </is>
      </c>
      <c r="B719" s="1" t="n">
        <v>44631</v>
      </c>
      <c r="C719" s="1" t="n">
        <v>45627</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12543-2022</t>
        </is>
      </c>
      <c r="B720" s="1" t="n">
        <v>44638</v>
      </c>
      <c r="C720" s="1" t="n">
        <v>45627</v>
      </c>
      <c r="D720" t="inlineStr">
        <is>
          <t>JÄMTLANDS LÄN</t>
        </is>
      </c>
      <c r="E720" t="inlineStr">
        <is>
          <t>KROKOM</t>
        </is>
      </c>
      <c r="G720" t="n">
        <v>7.9</v>
      </c>
      <c r="H720" t="n">
        <v>0</v>
      </c>
      <c r="I720" t="n">
        <v>0</v>
      </c>
      <c r="J720" t="n">
        <v>0</v>
      </c>
      <c r="K720" t="n">
        <v>0</v>
      </c>
      <c r="L720" t="n">
        <v>0</v>
      </c>
      <c r="M720" t="n">
        <v>0</v>
      </c>
      <c r="N720" t="n">
        <v>0</v>
      </c>
      <c r="O720" t="n">
        <v>0</v>
      </c>
      <c r="P720" t="n">
        <v>0</v>
      </c>
      <c r="Q720" t="n">
        <v>0</v>
      </c>
      <c r="R720" s="2" t="inlineStr"/>
    </row>
    <row r="721" ht="15" customHeight="1">
      <c r="A721" t="inlineStr">
        <is>
          <t>A 14341-2022</t>
        </is>
      </c>
      <c r="B721" s="1" t="n">
        <v>44652</v>
      </c>
      <c r="C721" s="1" t="n">
        <v>45627</v>
      </c>
      <c r="D721" t="inlineStr">
        <is>
          <t>JÄMTLANDS LÄN</t>
        </is>
      </c>
      <c r="E721" t="inlineStr">
        <is>
          <t>KROKOM</t>
        </is>
      </c>
      <c r="G721" t="n">
        <v>39.8</v>
      </c>
      <c r="H721" t="n">
        <v>0</v>
      </c>
      <c r="I721" t="n">
        <v>0</v>
      </c>
      <c r="J721" t="n">
        <v>0</v>
      </c>
      <c r="K721" t="n">
        <v>0</v>
      </c>
      <c r="L721" t="n">
        <v>0</v>
      </c>
      <c r="M721" t="n">
        <v>0</v>
      </c>
      <c r="N721" t="n">
        <v>0</v>
      </c>
      <c r="O721" t="n">
        <v>0</v>
      </c>
      <c r="P721" t="n">
        <v>0</v>
      </c>
      <c r="Q721" t="n">
        <v>0</v>
      </c>
      <c r="R721" s="2" t="inlineStr"/>
    </row>
    <row r="722" ht="15" customHeight="1">
      <c r="A722" t="inlineStr">
        <is>
          <t>A 15231-2022</t>
        </is>
      </c>
      <c r="B722" s="1" t="n">
        <v>44658</v>
      </c>
      <c r="C722" s="1" t="n">
        <v>45627</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16037-2022</t>
        </is>
      </c>
      <c r="B723" s="1" t="n">
        <v>44665</v>
      </c>
      <c r="C723" s="1" t="n">
        <v>45627</v>
      </c>
      <c r="D723" t="inlineStr">
        <is>
          <t>JÄMTLANDS LÄN</t>
        </is>
      </c>
      <c r="E723" t="inlineStr">
        <is>
          <t>KROKOM</t>
        </is>
      </c>
      <c r="G723" t="n">
        <v>0.3</v>
      </c>
      <c r="H723" t="n">
        <v>0</v>
      </c>
      <c r="I723" t="n">
        <v>0</v>
      </c>
      <c r="J723" t="n">
        <v>0</v>
      </c>
      <c r="K723" t="n">
        <v>0</v>
      </c>
      <c r="L723" t="n">
        <v>0</v>
      </c>
      <c r="M723" t="n">
        <v>0</v>
      </c>
      <c r="N723" t="n">
        <v>0</v>
      </c>
      <c r="O723" t="n">
        <v>0</v>
      </c>
      <c r="P723" t="n">
        <v>0</v>
      </c>
      <c r="Q723" t="n">
        <v>0</v>
      </c>
      <c r="R723" s="2" t="inlineStr"/>
    </row>
    <row r="724" ht="15" customHeight="1">
      <c r="A724" t="inlineStr">
        <is>
          <t>A 16694-2022</t>
        </is>
      </c>
      <c r="B724" s="1" t="n">
        <v>44672</v>
      </c>
      <c r="C724" s="1" t="n">
        <v>45627</v>
      </c>
      <c r="D724" t="inlineStr">
        <is>
          <t>JÄMTLANDS LÄN</t>
        </is>
      </c>
      <c r="E724" t="inlineStr">
        <is>
          <t>KROKOM</t>
        </is>
      </c>
      <c r="G724" t="n">
        <v>16.9</v>
      </c>
      <c r="H724" t="n">
        <v>0</v>
      </c>
      <c r="I724" t="n">
        <v>0</v>
      </c>
      <c r="J724" t="n">
        <v>0</v>
      </c>
      <c r="K724" t="n">
        <v>0</v>
      </c>
      <c r="L724" t="n">
        <v>0</v>
      </c>
      <c r="M724" t="n">
        <v>0</v>
      </c>
      <c r="N724" t="n">
        <v>0</v>
      </c>
      <c r="O724" t="n">
        <v>0</v>
      </c>
      <c r="P724" t="n">
        <v>0</v>
      </c>
      <c r="Q724" t="n">
        <v>0</v>
      </c>
      <c r="R724" s="2" t="inlineStr"/>
    </row>
    <row r="725" ht="15" customHeight="1">
      <c r="A725" t="inlineStr">
        <is>
          <t>A 17051-2022</t>
        </is>
      </c>
      <c r="B725" s="1" t="n">
        <v>44677</v>
      </c>
      <c r="C725" s="1" t="n">
        <v>45627</v>
      </c>
      <c r="D725" t="inlineStr">
        <is>
          <t>JÄMTLANDS LÄN</t>
        </is>
      </c>
      <c r="E725" t="inlineStr">
        <is>
          <t>KROKOM</t>
        </is>
      </c>
      <c r="G725" t="n">
        <v>14.3</v>
      </c>
      <c r="H725" t="n">
        <v>0</v>
      </c>
      <c r="I725" t="n">
        <v>0</v>
      </c>
      <c r="J725" t="n">
        <v>0</v>
      </c>
      <c r="K725" t="n">
        <v>0</v>
      </c>
      <c r="L725" t="n">
        <v>0</v>
      </c>
      <c r="M725" t="n">
        <v>0</v>
      </c>
      <c r="N725" t="n">
        <v>0</v>
      </c>
      <c r="O725" t="n">
        <v>0</v>
      </c>
      <c r="P725" t="n">
        <v>0</v>
      </c>
      <c r="Q725" t="n">
        <v>0</v>
      </c>
      <c r="R725" s="2" t="inlineStr"/>
    </row>
    <row r="726" ht="15" customHeight="1">
      <c r="A726" t="inlineStr">
        <is>
          <t>A 17528-2022</t>
        </is>
      </c>
      <c r="B726" s="1" t="n">
        <v>44679</v>
      </c>
      <c r="C726" s="1" t="n">
        <v>45627</v>
      </c>
      <c r="D726" t="inlineStr">
        <is>
          <t>JÄMTLANDS LÄN</t>
        </is>
      </c>
      <c r="E726" t="inlineStr">
        <is>
          <t>KROKOM</t>
        </is>
      </c>
      <c r="F726" t="inlineStr">
        <is>
          <t>Kyrkan</t>
        </is>
      </c>
      <c r="G726" t="n">
        <v>2.2</v>
      </c>
      <c r="H726" t="n">
        <v>0</v>
      </c>
      <c r="I726" t="n">
        <v>0</v>
      </c>
      <c r="J726" t="n">
        <v>0</v>
      </c>
      <c r="K726" t="n">
        <v>0</v>
      </c>
      <c r="L726" t="n">
        <v>0</v>
      </c>
      <c r="M726" t="n">
        <v>0</v>
      </c>
      <c r="N726" t="n">
        <v>0</v>
      </c>
      <c r="O726" t="n">
        <v>0</v>
      </c>
      <c r="P726" t="n">
        <v>0</v>
      </c>
      <c r="Q726" t="n">
        <v>0</v>
      </c>
      <c r="R726" s="2" t="inlineStr"/>
    </row>
    <row r="727" ht="15" customHeight="1">
      <c r="A727" t="inlineStr">
        <is>
          <t>A 18426-2022</t>
        </is>
      </c>
      <c r="B727" s="1" t="n">
        <v>44686</v>
      </c>
      <c r="C727" s="1" t="n">
        <v>45627</v>
      </c>
      <c r="D727" t="inlineStr">
        <is>
          <t>JÄMTLANDS LÄN</t>
        </is>
      </c>
      <c r="E727" t="inlineStr">
        <is>
          <t>KROKOM</t>
        </is>
      </c>
      <c r="F727" t="inlineStr">
        <is>
          <t>Övriga Aktiebolag</t>
        </is>
      </c>
      <c r="G727" t="n">
        <v>24.8</v>
      </c>
      <c r="H727" t="n">
        <v>0</v>
      </c>
      <c r="I727" t="n">
        <v>0</v>
      </c>
      <c r="J727" t="n">
        <v>0</v>
      </c>
      <c r="K727" t="n">
        <v>0</v>
      </c>
      <c r="L727" t="n">
        <v>0</v>
      </c>
      <c r="M727" t="n">
        <v>0</v>
      </c>
      <c r="N727" t="n">
        <v>0</v>
      </c>
      <c r="O727" t="n">
        <v>0</v>
      </c>
      <c r="P727" t="n">
        <v>0</v>
      </c>
      <c r="Q727" t="n">
        <v>0</v>
      </c>
      <c r="R727" s="2" t="inlineStr"/>
    </row>
    <row r="728" ht="15" customHeight="1">
      <c r="A728" t="inlineStr">
        <is>
          <t>A 18466-2022</t>
        </is>
      </c>
      <c r="B728" s="1" t="n">
        <v>44686</v>
      </c>
      <c r="C728" s="1" t="n">
        <v>45627</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18476-2022</t>
        </is>
      </c>
      <c r="B729" s="1" t="n">
        <v>44686</v>
      </c>
      <c r="C729" s="1" t="n">
        <v>45627</v>
      </c>
      <c r="D729" t="inlineStr">
        <is>
          <t>JÄMTLANDS LÄN</t>
        </is>
      </c>
      <c r="E729" t="inlineStr">
        <is>
          <t>KROKOM</t>
        </is>
      </c>
      <c r="G729" t="n">
        <v>11.7</v>
      </c>
      <c r="H729" t="n">
        <v>0</v>
      </c>
      <c r="I729" t="n">
        <v>0</v>
      </c>
      <c r="J729" t="n">
        <v>0</v>
      </c>
      <c r="K729" t="n">
        <v>0</v>
      </c>
      <c r="L729" t="n">
        <v>0</v>
      </c>
      <c r="M729" t="n">
        <v>0</v>
      </c>
      <c r="N729" t="n">
        <v>0</v>
      </c>
      <c r="O729" t="n">
        <v>0</v>
      </c>
      <c r="P729" t="n">
        <v>0</v>
      </c>
      <c r="Q729" t="n">
        <v>0</v>
      </c>
      <c r="R729" s="2" t="inlineStr"/>
    </row>
    <row r="730" ht="15" customHeight="1">
      <c r="A730" t="inlineStr">
        <is>
          <t>A 18671-2022</t>
        </is>
      </c>
      <c r="B730" s="1" t="n">
        <v>44687</v>
      </c>
      <c r="C730" s="1" t="n">
        <v>45627</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18669-2022</t>
        </is>
      </c>
      <c r="B731" s="1" t="n">
        <v>44687</v>
      </c>
      <c r="C731" s="1" t="n">
        <v>45627</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18957-2022</t>
        </is>
      </c>
      <c r="B732" s="1" t="n">
        <v>44690</v>
      </c>
      <c r="C732" s="1" t="n">
        <v>45627</v>
      </c>
      <c r="D732" t="inlineStr">
        <is>
          <t>JÄMTLANDS LÄN</t>
        </is>
      </c>
      <c r="E732" t="inlineStr">
        <is>
          <t>KROKOM</t>
        </is>
      </c>
      <c r="G732" t="n">
        <v>11.5</v>
      </c>
      <c r="H732" t="n">
        <v>0</v>
      </c>
      <c r="I732" t="n">
        <v>0</v>
      </c>
      <c r="J732" t="n">
        <v>0</v>
      </c>
      <c r="K732" t="n">
        <v>0</v>
      </c>
      <c r="L732" t="n">
        <v>0</v>
      </c>
      <c r="M732" t="n">
        <v>0</v>
      </c>
      <c r="N732" t="n">
        <v>0</v>
      </c>
      <c r="O732" t="n">
        <v>0</v>
      </c>
      <c r="P732" t="n">
        <v>0</v>
      </c>
      <c r="Q732" t="n">
        <v>0</v>
      </c>
      <c r="R732" s="2" t="inlineStr"/>
    </row>
    <row r="733" ht="15" customHeight="1">
      <c r="A733" t="inlineStr">
        <is>
          <t>A 19455-2022</t>
        </is>
      </c>
      <c r="B733" s="1" t="n">
        <v>44693</v>
      </c>
      <c r="C733" s="1" t="n">
        <v>45627</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19799-2022</t>
        </is>
      </c>
      <c r="B734" s="1" t="n">
        <v>44694</v>
      </c>
      <c r="C734" s="1" t="n">
        <v>45627</v>
      </c>
      <c r="D734" t="inlineStr">
        <is>
          <t>JÄMTLANDS LÄN</t>
        </is>
      </c>
      <c r="E734" t="inlineStr">
        <is>
          <t>KROKOM</t>
        </is>
      </c>
      <c r="F734" t="inlineStr">
        <is>
          <t>SCA</t>
        </is>
      </c>
      <c r="G734" t="n">
        <v>16.3</v>
      </c>
      <c r="H734" t="n">
        <v>0</v>
      </c>
      <c r="I734" t="n">
        <v>0</v>
      </c>
      <c r="J734" t="n">
        <v>0</v>
      </c>
      <c r="K734" t="n">
        <v>0</v>
      </c>
      <c r="L734" t="n">
        <v>0</v>
      </c>
      <c r="M734" t="n">
        <v>0</v>
      </c>
      <c r="N734" t="n">
        <v>0</v>
      </c>
      <c r="O734" t="n">
        <v>0</v>
      </c>
      <c r="P734" t="n">
        <v>0</v>
      </c>
      <c r="Q734" t="n">
        <v>0</v>
      </c>
      <c r="R734" s="2" t="inlineStr"/>
    </row>
    <row r="735" ht="15" customHeight="1">
      <c r="A735" t="inlineStr">
        <is>
          <t>A 20074-2022</t>
        </is>
      </c>
      <c r="B735" s="1" t="n">
        <v>44698</v>
      </c>
      <c r="C735" s="1" t="n">
        <v>45627</v>
      </c>
      <c r="D735" t="inlineStr">
        <is>
          <t>JÄMTLANDS LÄN</t>
        </is>
      </c>
      <c r="E735" t="inlineStr">
        <is>
          <t>KROKOM</t>
        </is>
      </c>
      <c r="G735" t="n">
        <v>3</v>
      </c>
      <c r="H735" t="n">
        <v>0</v>
      </c>
      <c r="I735" t="n">
        <v>0</v>
      </c>
      <c r="J735" t="n">
        <v>0</v>
      </c>
      <c r="K735" t="n">
        <v>0</v>
      </c>
      <c r="L735" t="n">
        <v>0</v>
      </c>
      <c r="M735" t="n">
        <v>0</v>
      </c>
      <c r="N735" t="n">
        <v>0</v>
      </c>
      <c r="O735" t="n">
        <v>0</v>
      </c>
      <c r="P735" t="n">
        <v>0</v>
      </c>
      <c r="Q735" t="n">
        <v>0</v>
      </c>
      <c r="R735" s="2" t="inlineStr"/>
    </row>
    <row r="736" ht="15" customHeight="1">
      <c r="A736" t="inlineStr">
        <is>
          <t>A 20721-2022</t>
        </is>
      </c>
      <c r="B736" s="1" t="n">
        <v>44700</v>
      </c>
      <c r="C736" s="1" t="n">
        <v>45627</v>
      </c>
      <c r="D736" t="inlineStr">
        <is>
          <t>JÄMTLANDS LÄN</t>
        </is>
      </c>
      <c r="E736" t="inlineStr">
        <is>
          <t>KROKOM</t>
        </is>
      </c>
      <c r="F736" t="inlineStr">
        <is>
          <t>SCA</t>
        </is>
      </c>
      <c r="G736" t="n">
        <v>8.1</v>
      </c>
      <c r="H736" t="n">
        <v>0</v>
      </c>
      <c r="I736" t="n">
        <v>0</v>
      </c>
      <c r="J736" t="n">
        <v>0</v>
      </c>
      <c r="K736" t="n">
        <v>0</v>
      </c>
      <c r="L736" t="n">
        <v>0</v>
      </c>
      <c r="M736" t="n">
        <v>0</v>
      </c>
      <c r="N736" t="n">
        <v>0</v>
      </c>
      <c r="O736" t="n">
        <v>0</v>
      </c>
      <c r="P736" t="n">
        <v>0</v>
      </c>
      <c r="Q736" t="n">
        <v>0</v>
      </c>
      <c r="R736" s="2" t="inlineStr"/>
    </row>
    <row r="737" ht="15" customHeight="1">
      <c r="A737" t="inlineStr">
        <is>
          <t>A 21139-2022</t>
        </is>
      </c>
      <c r="B737" s="1" t="n">
        <v>44704</v>
      </c>
      <c r="C737" s="1" t="n">
        <v>45627</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21301-2022</t>
        </is>
      </c>
      <c r="B738" s="1" t="n">
        <v>44705</v>
      </c>
      <c r="C738" s="1" t="n">
        <v>45627</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21990-2022</t>
        </is>
      </c>
      <c r="B739" s="1" t="n">
        <v>44711</v>
      </c>
      <c r="C739" s="1" t="n">
        <v>45627</v>
      </c>
      <c r="D739" t="inlineStr">
        <is>
          <t>JÄMTLANDS LÄN</t>
        </is>
      </c>
      <c r="E739" t="inlineStr">
        <is>
          <t>KROKOM</t>
        </is>
      </c>
      <c r="F739" t="inlineStr">
        <is>
          <t>Övriga Aktiebolag</t>
        </is>
      </c>
      <c r="G739" t="n">
        <v>26.3</v>
      </c>
      <c r="H739" t="n">
        <v>0</v>
      </c>
      <c r="I739" t="n">
        <v>0</v>
      </c>
      <c r="J739" t="n">
        <v>0</v>
      </c>
      <c r="K739" t="n">
        <v>0</v>
      </c>
      <c r="L739" t="n">
        <v>0</v>
      </c>
      <c r="M739" t="n">
        <v>0</v>
      </c>
      <c r="N739" t="n">
        <v>0</v>
      </c>
      <c r="O739" t="n">
        <v>0</v>
      </c>
      <c r="P739" t="n">
        <v>0</v>
      </c>
      <c r="Q739" t="n">
        <v>0</v>
      </c>
      <c r="R739" s="2" t="inlineStr"/>
    </row>
    <row r="740" ht="15" customHeight="1">
      <c r="A740" t="inlineStr">
        <is>
          <t>A 22273-2022</t>
        </is>
      </c>
      <c r="B740" s="1" t="n">
        <v>44712</v>
      </c>
      <c r="C740" s="1" t="n">
        <v>45627</v>
      </c>
      <c r="D740" t="inlineStr">
        <is>
          <t>JÄMTLANDS LÄN</t>
        </is>
      </c>
      <c r="E740" t="inlineStr">
        <is>
          <t>KROKOM</t>
        </is>
      </c>
      <c r="F740" t="inlineStr">
        <is>
          <t>Övriga Aktiebolag</t>
        </is>
      </c>
      <c r="G740" t="n">
        <v>16</v>
      </c>
      <c r="H740" t="n">
        <v>0</v>
      </c>
      <c r="I740" t="n">
        <v>0</v>
      </c>
      <c r="J740" t="n">
        <v>0</v>
      </c>
      <c r="K740" t="n">
        <v>0</v>
      </c>
      <c r="L740" t="n">
        <v>0</v>
      </c>
      <c r="M740" t="n">
        <v>0</v>
      </c>
      <c r="N740" t="n">
        <v>0</v>
      </c>
      <c r="O740" t="n">
        <v>0</v>
      </c>
      <c r="P740" t="n">
        <v>0</v>
      </c>
      <c r="Q740" t="n">
        <v>0</v>
      </c>
      <c r="R740" s="2" t="inlineStr"/>
    </row>
    <row r="741" ht="15" customHeight="1">
      <c r="A741" t="inlineStr">
        <is>
          <t>A 22339-2022</t>
        </is>
      </c>
      <c r="B741" s="1" t="n">
        <v>44713</v>
      </c>
      <c r="C741" s="1" t="n">
        <v>45627</v>
      </c>
      <c r="D741" t="inlineStr">
        <is>
          <t>JÄMTLANDS LÄN</t>
        </is>
      </c>
      <c r="E741" t="inlineStr">
        <is>
          <t>KROKOM</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22611-2022</t>
        </is>
      </c>
      <c r="B742" s="1" t="n">
        <v>44714</v>
      </c>
      <c r="C742" s="1" t="n">
        <v>45627</v>
      </c>
      <c r="D742" t="inlineStr">
        <is>
          <t>JÄMTLANDS LÄN</t>
        </is>
      </c>
      <c r="E742" t="inlineStr">
        <is>
          <t>KROKOM</t>
        </is>
      </c>
      <c r="G742" t="n">
        <v>2.6</v>
      </c>
      <c r="H742" t="n">
        <v>0</v>
      </c>
      <c r="I742" t="n">
        <v>0</v>
      </c>
      <c r="J742" t="n">
        <v>0</v>
      </c>
      <c r="K742" t="n">
        <v>0</v>
      </c>
      <c r="L742" t="n">
        <v>0</v>
      </c>
      <c r="M742" t="n">
        <v>0</v>
      </c>
      <c r="N742" t="n">
        <v>0</v>
      </c>
      <c r="O742" t="n">
        <v>0</v>
      </c>
      <c r="P742" t="n">
        <v>0</v>
      </c>
      <c r="Q742" t="n">
        <v>0</v>
      </c>
      <c r="R742" s="2" t="inlineStr"/>
    </row>
    <row r="743" ht="15" customHeight="1">
      <c r="A743" t="inlineStr">
        <is>
          <t>A 22629-2022</t>
        </is>
      </c>
      <c r="B743" s="1" t="n">
        <v>44714</v>
      </c>
      <c r="C743" s="1" t="n">
        <v>45627</v>
      </c>
      <c r="D743" t="inlineStr">
        <is>
          <t>JÄMTLANDS LÄN</t>
        </is>
      </c>
      <c r="E743" t="inlineStr">
        <is>
          <t>KROKOM</t>
        </is>
      </c>
      <c r="G743" t="n">
        <v>17.1</v>
      </c>
      <c r="H743" t="n">
        <v>0</v>
      </c>
      <c r="I743" t="n">
        <v>0</v>
      </c>
      <c r="J743" t="n">
        <v>0</v>
      </c>
      <c r="K743" t="n">
        <v>0</v>
      </c>
      <c r="L743" t="n">
        <v>0</v>
      </c>
      <c r="M743" t="n">
        <v>0</v>
      </c>
      <c r="N743" t="n">
        <v>0</v>
      </c>
      <c r="O743" t="n">
        <v>0</v>
      </c>
      <c r="P743" t="n">
        <v>0</v>
      </c>
      <c r="Q743" t="n">
        <v>0</v>
      </c>
      <c r="R743" s="2" t="inlineStr"/>
    </row>
    <row r="744" ht="15" customHeight="1">
      <c r="A744" t="inlineStr">
        <is>
          <t>A 22863-2022</t>
        </is>
      </c>
      <c r="B744" s="1" t="n">
        <v>44715</v>
      </c>
      <c r="C744" s="1" t="n">
        <v>45627</v>
      </c>
      <c r="D744" t="inlineStr">
        <is>
          <t>JÄMTLANDS LÄN</t>
        </is>
      </c>
      <c r="E744" t="inlineStr">
        <is>
          <t>KROKOM</t>
        </is>
      </c>
      <c r="F744" t="inlineStr">
        <is>
          <t>Övriga Aktiebolag</t>
        </is>
      </c>
      <c r="G744" t="n">
        <v>1.6</v>
      </c>
      <c r="H744" t="n">
        <v>0</v>
      </c>
      <c r="I744" t="n">
        <v>0</v>
      </c>
      <c r="J744" t="n">
        <v>0</v>
      </c>
      <c r="K744" t="n">
        <v>0</v>
      </c>
      <c r="L744" t="n">
        <v>0</v>
      </c>
      <c r="M744" t="n">
        <v>0</v>
      </c>
      <c r="N744" t="n">
        <v>0</v>
      </c>
      <c r="O744" t="n">
        <v>0</v>
      </c>
      <c r="P744" t="n">
        <v>0</v>
      </c>
      <c r="Q744" t="n">
        <v>0</v>
      </c>
      <c r="R744" s="2" t="inlineStr"/>
    </row>
    <row r="745" ht="15" customHeight="1">
      <c r="A745" t="inlineStr">
        <is>
          <t>A 22868-2022</t>
        </is>
      </c>
      <c r="B745" s="1" t="n">
        <v>44715</v>
      </c>
      <c r="C745" s="1" t="n">
        <v>45627</v>
      </c>
      <c r="D745" t="inlineStr">
        <is>
          <t>JÄMTLANDS LÄN</t>
        </is>
      </c>
      <c r="E745" t="inlineStr">
        <is>
          <t>KROKOM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22821-2022</t>
        </is>
      </c>
      <c r="B746" s="1" t="n">
        <v>44715</v>
      </c>
      <c r="C746" s="1" t="n">
        <v>45627</v>
      </c>
      <c r="D746" t="inlineStr">
        <is>
          <t>JÄMTLANDS LÄN</t>
        </is>
      </c>
      <c r="E746" t="inlineStr">
        <is>
          <t>KROKOM</t>
        </is>
      </c>
      <c r="F746" t="inlineStr">
        <is>
          <t>Övriga Aktiebolag</t>
        </is>
      </c>
      <c r="G746" t="n">
        <v>10.1</v>
      </c>
      <c r="H746" t="n">
        <v>0</v>
      </c>
      <c r="I746" t="n">
        <v>0</v>
      </c>
      <c r="J746" t="n">
        <v>0</v>
      </c>
      <c r="K746" t="n">
        <v>0</v>
      </c>
      <c r="L746" t="n">
        <v>0</v>
      </c>
      <c r="M746" t="n">
        <v>0</v>
      </c>
      <c r="N746" t="n">
        <v>0</v>
      </c>
      <c r="O746" t="n">
        <v>0</v>
      </c>
      <c r="P746" t="n">
        <v>0</v>
      </c>
      <c r="Q746" t="n">
        <v>0</v>
      </c>
      <c r="R746" s="2" t="inlineStr"/>
    </row>
    <row r="747" ht="15" customHeight="1">
      <c r="A747" t="inlineStr">
        <is>
          <t>A 22865-2022</t>
        </is>
      </c>
      <c r="B747" s="1" t="n">
        <v>44715</v>
      </c>
      <c r="C747" s="1" t="n">
        <v>45627</v>
      </c>
      <c r="D747" t="inlineStr">
        <is>
          <t>JÄMTLANDS LÄN</t>
        </is>
      </c>
      <c r="E747" t="inlineStr">
        <is>
          <t>KROKOM</t>
        </is>
      </c>
      <c r="F747" t="inlineStr">
        <is>
          <t>Övriga Aktiebolag</t>
        </is>
      </c>
      <c r="G747" t="n">
        <v>1.7</v>
      </c>
      <c r="H747" t="n">
        <v>0</v>
      </c>
      <c r="I747" t="n">
        <v>0</v>
      </c>
      <c r="J747" t="n">
        <v>0</v>
      </c>
      <c r="K747" t="n">
        <v>0</v>
      </c>
      <c r="L747" t="n">
        <v>0</v>
      </c>
      <c r="M747" t="n">
        <v>0</v>
      </c>
      <c r="N747" t="n">
        <v>0</v>
      </c>
      <c r="O747" t="n">
        <v>0</v>
      </c>
      <c r="P747" t="n">
        <v>0</v>
      </c>
      <c r="Q747" t="n">
        <v>0</v>
      </c>
      <c r="R747" s="2" t="inlineStr"/>
    </row>
    <row r="748" ht="15" customHeight="1">
      <c r="A748" t="inlineStr">
        <is>
          <t>A 23504-2022</t>
        </is>
      </c>
      <c r="B748" s="1" t="n">
        <v>44721</v>
      </c>
      <c r="C748" s="1" t="n">
        <v>45627</v>
      </c>
      <c r="D748" t="inlineStr">
        <is>
          <t>JÄMTLANDS LÄN</t>
        </is>
      </c>
      <c r="E748" t="inlineStr">
        <is>
          <t>KROKOM</t>
        </is>
      </c>
      <c r="F748" t="inlineStr">
        <is>
          <t>Övriga Aktiebolag</t>
        </is>
      </c>
      <c r="G748" t="n">
        <v>2.4</v>
      </c>
      <c r="H748" t="n">
        <v>0</v>
      </c>
      <c r="I748" t="n">
        <v>0</v>
      </c>
      <c r="J748" t="n">
        <v>0</v>
      </c>
      <c r="K748" t="n">
        <v>0</v>
      </c>
      <c r="L748" t="n">
        <v>0</v>
      </c>
      <c r="M748" t="n">
        <v>0</v>
      </c>
      <c r="N748" t="n">
        <v>0</v>
      </c>
      <c r="O748" t="n">
        <v>0</v>
      </c>
      <c r="P748" t="n">
        <v>0</v>
      </c>
      <c r="Q748" t="n">
        <v>0</v>
      </c>
      <c r="R748" s="2" t="inlineStr"/>
    </row>
    <row r="749" ht="15" customHeight="1">
      <c r="A749" t="inlineStr">
        <is>
          <t>A 23512-2022</t>
        </is>
      </c>
      <c r="B749" s="1" t="n">
        <v>44721</v>
      </c>
      <c r="C749" s="1" t="n">
        <v>45627</v>
      </c>
      <c r="D749" t="inlineStr">
        <is>
          <t>JÄMTLANDS LÄN</t>
        </is>
      </c>
      <c r="E749" t="inlineStr">
        <is>
          <t>KROKOM</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23467-2022</t>
        </is>
      </c>
      <c r="B750" s="1" t="n">
        <v>44721</v>
      </c>
      <c r="C750" s="1" t="n">
        <v>45627</v>
      </c>
      <c r="D750" t="inlineStr">
        <is>
          <t>JÄMTLANDS LÄN</t>
        </is>
      </c>
      <c r="E750" t="inlineStr">
        <is>
          <t>KROKOM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24014-2022</t>
        </is>
      </c>
      <c r="B751" s="1" t="n">
        <v>44723</v>
      </c>
      <c r="C751" s="1" t="n">
        <v>45627</v>
      </c>
      <c r="D751" t="inlineStr">
        <is>
          <t>JÄMTLANDS LÄN</t>
        </is>
      </c>
      <c r="E751" t="inlineStr">
        <is>
          <t>KROKOM</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24117-2022</t>
        </is>
      </c>
      <c r="B752" s="1" t="n">
        <v>44725</v>
      </c>
      <c r="C752" s="1" t="n">
        <v>45627</v>
      </c>
      <c r="D752" t="inlineStr">
        <is>
          <t>JÄMTLANDS LÄN</t>
        </is>
      </c>
      <c r="E752" t="inlineStr">
        <is>
          <t>KROKOM</t>
        </is>
      </c>
      <c r="G752" t="n">
        <v>1.4</v>
      </c>
      <c r="H752" t="n">
        <v>0</v>
      </c>
      <c r="I752" t="n">
        <v>0</v>
      </c>
      <c r="J752" t="n">
        <v>0</v>
      </c>
      <c r="K752" t="n">
        <v>0</v>
      </c>
      <c r="L752" t="n">
        <v>0</v>
      </c>
      <c r="M752" t="n">
        <v>0</v>
      </c>
      <c r="N752" t="n">
        <v>0</v>
      </c>
      <c r="O752" t="n">
        <v>0</v>
      </c>
      <c r="P752" t="n">
        <v>0</v>
      </c>
      <c r="Q752" t="n">
        <v>0</v>
      </c>
      <c r="R752" s="2" t="inlineStr"/>
    </row>
    <row r="753" ht="15" customHeight="1">
      <c r="A753" t="inlineStr">
        <is>
          <t>A 24441-2022</t>
        </is>
      </c>
      <c r="B753" s="1" t="n">
        <v>44726</v>
      </c>
      <c r="C753" s="1" t="n">
        <v>45627</v>
      </c>
      <c r="D753" t="inlineStr">
        <is>
          <t>JÄMTLANDS LÄN</t>
        </is>
      </c>
      <c r="E753" t="inlineStr">
        <is>
          <t>KROKOM</t>
        </is>
      </c>
      <c r="G753" t="n">
        <v>12.1</v>
      </c>
      <c r="H753" t="n">
        <v>0</v>
      </c>
      <c r="I753" t="n">
        <v>0</v>
      </c>
      <c r="J753" t="n">
        <v>0</v>
      </c>
      <c r="K753" t="n">
        <v>0</v>
      </c>
      <c r="L753" t="n">
        <v>0</v>
      </c>
      <c r="M753" t="n">
        <v>0</v>
      </c>
      <c r="N753" t="n">
        <v>0</v>
      </c>
      <c r="O753" t="n">
        <v>0</v>
      </c>
      <c r="P753" t="n">
        <v>0</v>
      </c>
      <c r="Q753" t="n">
        <v>0</v>
      </c>
      <c r="R753" s="2" t="inlineStr"/>
    </row>
    <row r="754" ht="15" customHeight="1">
      <c r="A754" t="inlineStr">
        <is>
          <t>A 24402-2022</t>
        </is>
      </c>
      <c r="B754" s="1" t="n">
        <v>44726</v>
      </c>
      <c r="C754" s="1" t="n">
        <v>45627</v>
      </c>
      <c r="D754" t="inlineStr">
        <is>
          <t>JÄMTLANDS LÄN</t>
        </is>
      </c>
      <c r="E754" t="inlineStr">
        <is>
          <t>KROKOM</t>
        </is>
      </c>
      <c r="G754" t="n">
        <v>13.3</v>
      </c>
      <c r="H754" t="n">
        <v>0</v>
      </c>
      <c r="I754" t="n">
        <v>0</v>
      </c>
      <c r="J754" t="n">
        <v>0</v>
      </c>
      <c r="K754" t="n">
        <v>0</v>
      </c>
      <c r="L754" t="n">
        <v>0</v>
      </c>
      <c r="M754" t="n">
        <v>0</v>
      </c>
      <c r="N754" t="n">
        <v>0</v>
      </c>
      <c r="O754" t="n">
        <v>0</v>
      </c>
      <c r="P754" t="n">
        <v>0</v>
      </c>
      <c r="Q754" t="n">
        <v>0</v>
      </c>
      <c r="R754" s="2" t="inlineStr"/>
    </row>
    <row r="755" ht="15" customHeight="1">
      <c r="A755" t="inlineStr">
        <is>
          <t>A 24612-2022</t>
        </is>
      </c>
      <c r="B755" s="1" t="n">
        <v>44727</v>
      </c>
      <c r="C755" s="1" t="n">
        <v>45627</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24692-2022</t>
        </is>
      </c>
      <c r="B756" s="1" t="n">
        <v>44727</v>
      </c>
      <c r="C756" s="1" t="n">
        <v>45627</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24688-2022</t>
        </is>
      </c>
      <c r="B757" s="1" t="n">
        <v>44727</v>
      </c>
      <c r="C757" s="1" t="n">
        <v>45627</v>
      </c>
      <c r="D757" t="inlineStr">
        <is>
          <t>JÄMTLANDS LÄN</t>
        </is>
      </c>
      <c r="E757" t="inlineStr">
        <is>
          <t>KROKOM</t>
        </is>
      </c>
      <c r="G757" t="n">
        <v>12.9</v>
      </c>
      <c r="H757" t="n">
        <v>0</v>
      </c>
      <c r="I757" t="n">
        <v>0</v>
      </c>
      <c r="J757" t="n">
        <v>0</v>
      </c>
      <c r="K757" t="n">
        <v>0</v>
      </c>
      <c r="L757" t="n">
        <v>0</v>
      </c>
      <c r="M757" t="n">
        <v>0</v>
      </c>
      <c r="N757" t="n">
        <v>0</v>
      </c>
      <c r="O757" t="n">
        <v>0</v>
      </c>
      <c r="P757" t="n">
        <v>0</v>
      </c>
      <c r="Q757" t="n">
        <v>0</v>
      </c>
      <c r="R757" s="2" t="inlineStr"/>
    </row>
    <row r="758" ht="15" customHeight="1">
      <c r="A758" t="inlineStr">
        <is>
          <t>A 25031-2022</t>
        </is>
      </c>
      <c r="B758" s="1" t="n">
        <v>44729</v>
      </c>
      <c r="C758" s="1" t="n">
        <v>45627</v>
      </c>
      <c r="D758" t="inlineStr">
        <is>
          <t>JÄMTLANDS LÄN</t>
        </is>
      </c>
      <c r="E758" t="inlineStr">
        <is>
          <t>KROKOM</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25428-2022</t>
        </is>
      </c>
      <c r="B759" s="1" t="n">
        <v>44732</v>
      </c>
      <c r="C759" s="1" t="n">
        <v>45627</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25421-2022</t>
        </is>
      </c>
      <c r="B760" s="1" t="n">
        <v>44732</v>
      </c>
      <c r="C760" s="1" t="n">
        <v>45627</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26142-2022</t>
        </is>
      </c>
      <c r="B761" s="1" t="n">
        <v>44735</v>
      </c>
      <c r="C761" s="1" t="n">
        <v>45627</v>
      </c>
      <c r="D761" t="inlineStr">
        <is>
          <t>JÄMTLANDS LÄN</t>
        </is>
      </c>
      <c r="E761" t="inlineStr">
        <is>
          <t>KROKOM</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26448-2022</t>
        </is>
      </c>
      <c r="B762" s="1" t="n">
        <v>44739</v>
      </c>
      <c r="C762" s="1" t="n">
        <v>45627</v>
      </c>
      <c r="D762" t="inlineStr">
        <is>
          <t>JÄMTLANDS LÄN</t>
        </is>
      </c>
      <c r="E762" t="inlineStr">
        <is>
          <t>KROKOM</t>
        </is>
      </c>
      <c r="G762" t="n">
        <v>6.5</v>
      </c>
      <c r="H762" t="n">
        <v>0</v>
      </c>
      <c r="I762" t="n">
        <v>0</v>
      </c>
      <c r="J762" t="n">
        <v>0</v>
      </c>
      <c r="K762" t="n">
        <v>0</v>
      </c>
      <c r="L762" t="n">
        <v>0</v>
      </c>
      <c r="M762" t="n">
        <v>0</v>
      </c>
      <c r="N762" t="n">
        <v>0</v>
      </c>
      <c r="O762" t="n">
        <v>0</v>
      </c>
      <c r="P762" t="n">
        <v>0</v>
      </c>
      <c r="Q762" t="n">
        <v>0</v>
      </c>
      <c r="R762" s="2" t="inlineStr"/>
    </row>
    <row r="763" ht="15" customHeight="1">
      <c r="A763" t="inlineStr">
        <is>
          <t>A 27075-2022</t>
        </is>
      </c>
      <c r="B763" s="1" t="n">
        <v>44741</v>
      </c>
      <c r="C763" s="1" t="n">
        <v>45627</v>
      </c>
      <c r="D763" t="inlineStr">
        <is>
          <t>JÄMTLANDS LÄN</t>
        </is>
      </c>
      <c r="E763" t="inlineStr">
        <is>
          <t>KROKOM</t>
        </is>
      </c>
      <c r="G763" t="n">
        <v>10.4</v>
      </c>
      <c r="H763" t="n">
        <v>0</v>
      </c>
      <c r="I763" t="n">
        <v>0</v>
      </c>
      <c r="J763" t="n">
        <v>0</v>
      </c>
      <c r="K763" t="n">
        <v>0</v>
      </c>
      <c r="L763" t="n">
        <v>0</v>
      </c>
      <c r="M763" t="n">
        <v>0</v>
      </c>
      <c r="N763" t="n">
        <v>0</v>
      </c>
      <c r="O763" t="n">
        <v>0</v>
      </c>
      <c r="P763" t="n">
        <v>0</v>
      </c>
      <c r="Q763" t="n">
        <v>0</v>
      </c>
      <c r="R763" s="2" t="inlineStr"/>
    </row>
    <row r="764" ht="15" customHeight="1">
      <c r="A764" t="inlineStr">
        <is>
          <t>A 27157-2022</t>
        </is>
      </c>
      <c r="B764" s="1" t="n">
        <v>44741</v>
      </c>
      <c r="C764" s="1" t="n">
        <v>45627</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27178-2022</t>
        </is>
      </c>
      <c r="B765" s="1" t="n">
        <v>44741</v>
      </c>
      <c r="C765" s="1" t="n">
        <v>45627</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27924-2022</t>
        </is>
      </c>
      <c r="B766" s="1" t="n">
        <v>44743</v>
      </c>
      <c r="C766" s="1" t="n">
        <v>45627</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28669-2022</t>
        </is>
      </c>
      <c r="B767" s="1" t="n">
        <v>44748</v>
      </c>
      <c r="C767" s="1" t="n">
        <v>45627</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28736-2022</t>
        </is>
      </c>
      <c r="B768" s="1" t="n">
        <v>44749</v>
      </c>
      <c r="C768" s="1" t="n">
        <v>45627</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28735-2022</t>
        </is>
      </c>
      <c r="B769" s="1" t="n">
        <v>44749</v>
      </c>
      <c r="C769" s="1" t="n">
        <v>45627</v>
      </c>
      <c r="D769" t="inlineStr">
        <is>
          <t>JÄMTLANDS LÄN</t>
        </is>
      </c>
      <c r="E769" t="inlineStr">
        <is>
          <t>KROKOM</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28804-2022</t>
        </is>
      </c>
      <c r="B770" s="1" t="n">
        <v>44749</v>
      </c>
      <c r="C770" s="1" t="n">
        <v>45627</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28856-2022</t>
        </is>
      </c>
      <c r="B771" s="1" t="n">
        <v>44749</v>
      </c>
      <c r="C771" s="1" t="n">
        <v>45627</v>
      </c>
      <c r="D771" t="inlineStr">
        <is>
          <t>JÄMTLANDS LÄN</t>
        </is>
      </c>
      <c r="E771" t="inlineStr">
        <is>
          <t>KROKOM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28776-2022</t>
        </is>
      </c>
      <c r="B772" s="1" t="n">
        <v>44749</v>
      </c>
      <c r="C772" s="1" t="n">
        <v>45627</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28771-2022</t>
        </is>
      </c>
      <c r="B773" s="1" t="n">
        <v>44749</v>
      </c>
      <c r="C773" s="1" t="n">
        <v>45627</v>
      </c>
      <c r="D773" t="inlineStr">
        <is>
          <t>JÄMTLANDS LÄN</t>
        </is>
      </c>
      <c r="E773" t="inlineStr">
        <is>
          <t>KROKOM</t>
        </is>
      </c>
      <c r="F773" t="inlineStr">
        <is>
          <t>Övriga Aktiebolag</t>
        </is>
      </c>
      <c r="G773" t="n">
        <v>1.8</v>
      </c>
      <c r="H773" t="n">
        <v>0</v>
      </c>
      <c r="I773" t="n">
        <v>0</v>
      </c>
      <c r="J773" t="n">
        <v>0</v>
      </c>
      <c r="K773" t="n">
        <v>0</v>
      </c>
      <c r="L773" t="n">
        <v>0</v>
      </c>
      <c r="M773" t="n">
        <v>0</v>
      </c>
      <c r="N773" t="n">
        <v>0</v>
      </c>
      <c r="O773" t="n">
        <v>0</v>
      </c>
      <c r="P773" t="n">
        <v>0</v>
      </c>
      <c r="Q773" t="n">
        <v>0</v>
      </c>
      <c r="R773" s="2" t="inlineStr"/>
    </row>
    <row r="774" ht="15" customHeight="1">
      <c r="A774" t="inlineStr">
        <is>
          <t>A 28883-2022</t>
        </is>
      </c>
      <c r="B774" s="1" t="n">
        <v>44749</v>
      </c>
      <c r="C774" s="1" t="n">
        <v>45627</v>
      </c>
      <c r="D774" t="inlineStr">
        <is>
          <t>JÄMTLANDS LÄN</t>
        </is>
      </c>
      <c r="E774" t="inlineStr">
        <is>
          <t>KROKOM</t>
        </is>
      </c>
      <c r="F774" t="inlineStr">
        <is>
          <t>Övriga Aktiebolag</t>
        </is>
      </c>
      <c r="G774" t="n">
        <v>14.1</v>
      </c>
      <c r="H774" t="n">
        <v>0</v>
      </c>
      <c r="I774" t="n">
        <v>0</v>
      </c>
      <c r="J774" t="n">
        <v>0</v>
      </c>
      <c r="K774" t="n">
        <v>0</v>
      </c>
      <c r="L774" t="n">
        <v>0</v>
      </c>
      <c r="M774" t="n">
        <v>0</v>
      </c>
      <c r="N774" t="n">
        <v>0</v>
      </c>
      <c r="O774" t="n">
        <v>0</v>
      </c>
      <c r="P774" t="n">
        <v>0</v>
      </c>
      <c r="Q774" t="n">
        <v>0</v>
      </c>
      <c r="R774" s="2" t="inlineStr"/>
    </row>
    <row r="775" ht="15" customHeight="1">
      <c r="A775" t="inlineStr">
        <is>
          <t>A 29050-2022</t>
        </is>
      </c>
      <c r="B775" s="1" t="n">
        <v>44750</v>
      </c>
      <c r="C775" s="1" t="n">
        <v>45627</v>
      </c>
      <c r="D775" t="inlineStr">
        <is>
          <t>JÄMTLANDS LÄN</t>
        </is>
      </c>
      <c r="E775" t="inlineStr">
        <is>
          <t>KROKOM</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29187-2022</t>
        </is>
      </c>
      <c r="B776" s="1" t="n">
        <v>44750</v>
      </c>
      <c r="C776" s="1" t="n">
        <v>45627</v>
      </c>
      <c r="D776" t="inlineStr">
        <is>
          <t>JÄMTLANDS LÄN</t>
        </is>
      </c>
      <c r="E776" t="inlineStr">
        <is>
          <t>KROKOM</t>
        </is>
      </c>
      <c r="F776" t="inlineStr">
        <is>
          <t>Övriga Aktiebolag</t>
        </is>
      </c>
      <c r="G776" t="n">
        <v>20.4</v>
      </c>
      <c r="H776" t="n">
        <v>0</v>
      </c>
      <c r="I776" t="n">
        <v>0</v>
      </c>
      <c r="J776" t="n">
        <v>0</v>
      </c>
      <c r="K776" t="n">
        <v>0</v>
      </c>
      <c r="L776" t="n">
        <v>0</v>
      </c>
      <c r="M776" t="n">
        <v>0</v>
      </c>
      <c r="N776" t="n">
        <v>0</v>
      </c>
      <c r="O776" t="n">
        <v>0</v>
      </c>
      <c r="P776" t="n">
        <v>0</v>
      </c>
      <c r="Q776" t="n">
        <v>0</v>
      </c>
      <c r="R776" s="2" t="inlineStr"/>
    </row>
    <row r="777" ht="15" customHeight="1">
      <c r="A777" t="inlineStr">
        <is>
          <t>A 29245-2022</t>
        </is>
      </c>
      <c r="B777" s="1" t="n">
        <v>44750</v>
      </c>
      <c r="C777" s="1" t="n">
        <v>45627</v>
      </c>
      <c r="D777" t="inlineStr">
        <is>
          <t>JÄMTLANDS LÄN</t>
        </is>
      </c>
      <c r="E777" t="inlineStr">
        <is>
          <t>KROKOM</t>
        </is>
      </c>
      <c r="G777" t="n">
        <v>7.6</v>
      </c>
      <c r="H777" t="n">
        <v>0</v>
      </c>
      <c r="I777" t="n">
        <v>0</v>
      </c>
      <c r="J777" t="n">
        <v>0</v>
      </c>
      <c r="K777" t="n">
        <v>0</v>
      </c>
      <c r="L777" t="n">
        <v>0</v>
      </c>
      <c r="M777" t="n">
        <v>0</v>
      </c>
      <c r="N777" t="n">
        <v>0</v>
      </c>
      <c r="O777" t="n">
        <v>0</v>
      </c>
      <c r="P777" t="n">
        <v>0</v>
      </c>
      <c r="Q777" t="n">
        <v>0</v>
      </c>
      <c r="R777" s="2" t="inlineStr"/>
    </row>
    <row r="778" ht="15" customHeight="1">
      <c r="A778" t="inlineStr">
        <is>
          <t>A 29238-2022</t>
        </is>
      </c>
      <c r="B778" s="1" t="n">
        <v>44750</v>
      </c>
      <c r="C778" s="1" t="n">
        <v>45627</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29314-2022</t>
        </is>
      </c>
      <c r="B779" s="1" t="n">
        <v>44751</v>
      </c>
      <c r="C779" s="1" t="n">
        <v>45627</v>
      </c>
      <c r="D779" t="inlineStr">
        <is>
          <t>JÄMTLANDS LÄN</t>
        </is>
      </c>
      <c r="E779" t="inlineStr">
        <is>
          <t>KROKOM</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30160-2022</t>
        </is>
      </c>
      <c r="B780" s="1" t="n">
        <v>44757</v>
      </c>
      <c r="C780" s="1" t="n">
        <v>45627</v>
      </c>
      <c r="D780" t="inlineStr">
        <is>
          <t>JÄMTLANDS LÄN</t>
        </is>
      </c>
      <c r="E780" t="inlineStr">
        <is>
          <t>KROKOM</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30058-2022</t>
        </is>
      </c>
      <c r="B781" s="1" t="n">
        <v>44757</v>
      </c>
      <c r="C781" s="1" t="n">
        <v>45627</v>
      </c>
      <c r="D781" t="inlineStr">
        <is>
          <t>JÄMTLANDS LÄN</t>
        </is>
      </c>
      <c r="E781" t="inlineStr">
        <is>
          <t>KROKOM</t>
        </is>
      </c>
      <c r="G781" t="n">
        <v>5</v>
      </c>
      <c r="H781" t="n">
        <v>0</v>
      </c>
      <c r="I781" t="n">
        <v>0</v>
      </c>
      <c r="J781" t="n">
        <v>0</v>
      </c>
      <c r="K781" t="n">
        <v>0</v>
      </c>
      <c r="L781" t="n">
        <v>0</v>
      </c>
      <c r="M781" t="n">
        <v>0</v>
      </c>
      <c r="N781" t="n">
        <v>0</v>
      </c>
      <c r="O781" t="n">
        <v>0</v>
      </c>
      <c r="P781" t="n">
        <v>0</v>
      </c>
      <c r="Q781" t="n">
        <v>0</v>
      </c>
      <c r="R781" s="2" t="inlineStr"/>
    </row>
    <row r="782" ht="15" customHeight="1">
      <c r="A782" t="inlineStr">
        <is>
          <t>A 30158-2022</t>
        </is>
      </c>
      <c r="B782" s="1" t="n">
        <v>44757</v>
      </c>
      <c r="C782" s="1" t="n">
        <v>45627</v>
      </c>
      <c r="D782" t="inlineStr">
        <is>
          <t>JÄMTLANDS LÄN</t>
        </is>
      </c>
      <c r="E782" t="inlineStr">
        <is>
          <t>KROKOM</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30728-2022</t>
        </is>
      </c>
      <c r="B783" s="1" t="n">
        <v>44764</v>
      </c>
      <c r="C783" s="1" t="n">
        <v>45627</v>
      </c>
      <c r="D783" t="inlineStr">
        <is>
          <t>JÄMTLANDS LÄN</t>
        </is>
      </c>
      <c r="E783" t="inlineStr">
        <is>
          <t>KROKOM</t>
        </is>
      </c>
      <c r="G783" t="n">
        <v>6.4</v>
      </c>
      <c r="H783" t="n">
        <v>0</v>
      </c>
      <c r="I783" t="n">
        <v>0</v>
      </c>
      <c r="J783" t="n">
        <v>0</v>
      </c>
      <c r="K783" t="n">
        <v>0</v>
      </c>
      <c r="L783" t="n">
        <v>0</v>
      </c>
      <c r="M783" t="n">
        <v>0</v>
      </c>
      <c r="N783" t="n">
        <v>0</v>
      </c>
      <c r="O783" t="n">
        <v>0</v>
      </c>
      <c r="P783" t="n">
        <v>0</v>
      </c>
      <c r="Q783" t="n">
        <v>0</v>
      </c>
      <c r="R783" s="2" t="inlineStr"/>
    </row>
    <row r="784" ht="15" customHeight="1">
      <c r="A784" t="inlineStr">
        <is>
          <t>A 30729-2022</t>
        </is>
      </c>
      <c r="B784" s="1" t="n">
        <v>44764</v>
      </c>
      <c r="C784" s="1" t="n">
        <v>45627</v>
      </c>
      <c r="D784" t="inlineStr">
        <is>
          <t>JÄMTLANDS LÄN</t>
        </is>
      </c>
      <c r="E784" t="inlineStr">
        <is>
          <t>KROKOM</t>
        </is>
      </c>
      <c r="G784" t="n">
        <v>2.5</v>
      </c>
      <c r="H784" t="n">
        <v>0</v>
      </c>
      <c r="I784" t="n">
        <v>0</v>
      </c>
      <c r="J784" t="n">
        <v>0</v>
      </c>
      <c r="K784" t="n">
        <v>0</v>
      </c>
      <c r="L784" t="n">
        <v>0</v>
      </c>
      <c r="M784" t="n">
        <v>0</v>
      </c>
      <c r="N784" t="n">
        <v>0</v>
      </c>
      <c r="O784" t="n">
        <v>0</v>
      </c>
      <c r="P784" t="n">
        <v>0</v>
      </c>
      <c r="Q784" t="n">
        <v>0</v>
      </c>
      <c r="R784" s="2" t="inlineStr"/>
    </row>
    <row r="785" ht="15" customHeight="1">
      <c r="A785" t="inlineStr">
        <is>
          <t>A 32366-2022</t>
        </is>
      </c>
      <c r="B785" s="1" t="n">
        <v>44782</v>
      </c>
      <c r="C785" s="1" t="n">
        <v>45627</v>
      </c>
      <c r="D785" t="inlineStr">
        <is>
          <t>JÄMTLANDS LÄN</t>
        </is>
      </c>
      <c r="E785" t="inlineStr">
        <is>
          <t>KROKOM</t>
        </is>
      </c>
      <c r="F785" t="inlineStr">
        <is>
          <t>SCA</t>
        </is>
      </c>
      <c r="G785" t="n">
        <v>16.5</v>
      </c>
      <c r="H785" t="n">
        <v>0</v>
      </c>
      <c r="I785" t="n">
        <v>0</v>
      </c>
      <c r="J785" t="n">
        <v>0</v>
      </c>
      <c r="K785" t="n">
        <v>0</v>
      </c>
      <c r="L785" t="n">
        <v>0</v>
      </c>
      <c r="M785" t="n">
        <v>0</v>
      </c>
      <c r="N785" t="n">
        <v>0</v>
      </c>
      <c r="O785" t="n">
        <v>0</v>
      </c>
      <c r="P785" t="n">
        <v>0</v>
      </c>
      <c r="Q785" t="n">
        <v>0</v>
      </c>
      <c r="R785" s="2" t="inlineStr"/>
    </row>
    <row r="786" ht="15" customHeight="1">
      <c r="A786" t="inlineStr">
        <is>
          <t>A 33359-2022</t>
        </is>
      </c>
      <c r="B786" s="1" t="n">
        <v>44788</v>
      </c>
      <c r="C786" s="1" t="n">
        <v>45627</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33327-2022</t>
        </is>
      </c>
      <c r="B787" s="1" t="n">
        <v>44788</v>
      </c>
      <c r="C787" s="1" t="n">
        <v>45627</v>
      </c>
      <c r="D787" t="inlineStr">
        <is>
          <t>JÄMTLANDS LÄN</t>
        </is>
      </c>
      <c r="E787" t="inlineStr">
        <is>
          <t>KROKOM</t>
        </is>
      </c>
      <c r="G787" t="n">
        <v>0.8</v>
      </c>
      <c r="H787" t="n">
        <v>0</v>
      </c>
      <c r="I787" t="n">
        <v>0</v>
      </c>
      <c r="J787" t="n">
        <v>0</v>
      </c>
      <c r="K787" t="n">
        <v>0</v>
      </c>
      <c r="L787" t="n">
        <v>0</v>
      </c>
      <c r="M787" t="n">
        <v>0</v>
      </c>
      <c r="N787" t="n">
        <v>0</v>
      </c>
      <c r="O787" t="n">
        <v>0</v>
      </c>
      <c r="P787" t="n">
        <v>0</v>
      </c>
      <c r="Q787" t="n">
        <v>0</v>
      </c>
      <c r="R787" s="2" t="inlineStr"/>
    </row>
    <row r="788" ht="15" customHeight="1">
      <c r="A788" t="inlineStr">
        <is>
          <t>A 33395-2022</t>
        </is>
      </c>
      <c r="B788" s="1" t="n">
        <v>44788</v>
      </c>
      <c r="C788" s="1" t="n">
        <v>45627</v>
      </c>
      <c r="D788" t="inlineStr">
        <is>
          <t>JÄMTLANDS LÄN</t>
        </is>
      </c>
      <c r="E788" t="inlineStr">
        <is>
          <t>KROKOM</t>
        </is>
      </c>
      <c r="F788" t="inlineStr">
        <is>
          <t>Övriga Aktiebolag</t>
        </is>
      </c>
      <c r="G788" t="n">
        <v>6.2</v>
      </c>
      <c r="H788" t="n">
        <v>0</v>
      </c>
      <c r="I788" t="n">
        <v>0</v>
      </c>
      <c r="J788" t="n">
        <v>0</v>
      </c>
      <c r="K788" t="n">
        <v>0</v>
      </c>
      <c r="L788" t="n">
        <v>0</v>
      </c>
      <c r="M788" t="n">
        <v>0</v>
      </c>
      <c r="N788" t="n">
        <v>0</v>
      </c>
      <c r="O788" t="n">
        <v>0</v>
      </c>
      <c r="P788" t="n">
        <v>0</v>
      </c>
      <c r="Q788" t="n">
        <v>0</v>
      </c>
      <c r="R788" s="2" t="inlineStr"/>
    </row>
    <row r="789" ht="15" customHeight="1">
      <c r="A789" t="inlineStr">
        <is>
          <t>A 33314-2022</t>
        </is>
      </c>
      <c r="B789" s="1" t="n">
        <v>44788</v>
      </c>
      <c r="C789" s="1" t="n">
        <v>45627</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33362-2022</t>
        </is>
      </c>
      <c r="B790" s="1" t="n">
        <v>44788</v>
      </c>
      <c r="C790" s="1" t="n">
        <v>45627</v>
      </c>
      <c r="D790" t="inlineStr">
        <is>
          <t>JÄMTLANDS LÄN</t>
        </is>
      </c>
      <c r="E790" t="inlineStr">
        <is>
          <t>KROKOM</t>
        </is>
      </c>
      <c r="F790" t="inlineStr">
        <is>
          <t>Övriga Aktiebolag</t>
        </is>
      </c>
      <c r="G790" t="n">
        <v>6.8</v>
      </c>
      <c r="H790" t="n">
        <v>0</v>
      </c>
      <c r="I790" t="n">
        <v>0</v>
      </c>
      <c r="J790" t="n">
        <v>0</v>
      </c>
      <c r="K790" t="n">
        <v>0</v>
      </c>
      <c r="L790" t="n">
        <v>0</v>
      </c>
      <c r="M790" t="n">
        <v>0</v>
      </c>
      <c r="N790" t="n">
        <v>0</v>
      </c>
      <c r="O790" t="n">
        <v>0</v>
      </c>
      <c r="P790" t="n">
        <v>0</v>
      </c>
      <c r="Q790" t="n">
        <v>0</v>
      </c>
      <c r="R790" s="2" t="inlineStr"/>
    </row>
    <row r="791" ht="15" customHeight="1">
      <c r="A791" t="inlineStr">
        <is>
          <t>A 33509-2022</t>
        </is>
      </c>
      <c r="B791" s="1" t="n">
        <v>44789</v>
      </c>
      <c r="C791" s="1" t="n">
        <v>45627</v>
      </c>
      <c r="D791" t="inlineStr">
        <is>
          <t>JÄMTLANDS LÄN</t>
        </is>
      </c>
      <c r="E791" t="inlineStr">
        <is>
          <t>KROKOM</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v>
      </c>
      <c r="C792" s="1" t="n">
        <v>45627</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34794-2022</t>
        </is>
      </c>
      <c r="B793" s="1" t="n">
        <v>44795</v>
      </c>
      <c r="C793" s="1" t="n">
        <v>45627</v>
      </c>
      <c r="D793" t="inlineStr">
        <is>
          <t>JÄMTLANDS LÄN</t>
        </is>
      </c>
      <c r="E793" t="inlineStr">
        <is>
          <t>KROKOM</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34793-2022</t>
        </is>
      </c>
      <c r="B794" s="1" t="n">
        <v>44795</v>
      </c>
      <c r="C794" s="1" t="n">
        <v>45627</v>
      </c>
      <c r="D794" t="inlineStr">
        <is>
          <t>JÄMTLANDS LÄN</t>
        </is>
      </c>
      <c r="E794" t="inlineStr">
        <is>
          <t>KROKOM</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35058-2022</t>
        </is>
      </c>
      <c r="B795" s="1" t="n">
        <v>44796</v>
      </c>
      <c r="C795" s="1" t="n">
        <v>45627</v>
      </c>
      <c r="D795" t="inlineStr">
        <is>
          <t>JÄMTLANDS LÄN</t>
        </is>
      </c>
      <c r="E795" t="inlineStr">
        <is>
          <t>KROKOM</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35226-2022</t>
        </is>
      </c>
      <c r="B796" s="1" t="n">
        <v>44797</v>
      </c>
      <c r="C796" s="1" t="n">
        <v>45627</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35275-2022</t>
        </is>
      </c>
      <c r="B797" s="1" t="n">
        <v>44797</v>
      </c>
      <c r="C797" s="1" t="n">
        <v>45627</v>
      </c>
      <c r="D797" t="inlineStr">
        <is>
          <t>JÄMTLANDS LÄN</t>
        </is>
      </c>
      <c r="E797" t="inlineStr">
        <is>
          <t>KROKOM</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36122-2022</t>
        </is>
      </c>
      <c r="B798" s="1" t="n">
        <v>44803</v>
      </c>
      <c r="C798" s="1" t="n">
        <v>45627</v>
      </c>
      <c r="D798" t="inlineStr">
        <is>
          <t>JÄMTLANDS LÄN</t>
        </is>
      </c>
      <c r="E798" t="inlineStr">
        <is>
          <t>KROKOM</t>
        </is>
      </c>
      <c r="G798" t="n">
        <v>5.7</v>
      </c>
      <c r="H798" t="n">
        <v>0</v>
      </c>
      <c r="I798" t="n">
        <v>0</v>
      </c>
      <c r="J798" t="n">
        <v>0</v>
      </c>
      <c r="K798" t="n">
        <v>0</v>
      </c>
      <c r="L798" t="n">
        <v>0</v>
      </c>
      <c r="M798" t="n">
        <v>0</v>
      </c>
      <c r="N798" t="n">
        <v>0</v>
      </c>
      <c r="O798" t="n">
        <v>0</v>
      </c>
      <c r="P798" t="n">
        <v>0</v>
      </c>
      <c r="Q798" t="n">
        <v>0</v>
      </c>
      <c r="R798" s="2" t="inlineStr"/>
    </row>
    <row r="799" ht="15" customHeight="1">
      <c r="A799" t="inlineStr">
        <is>
          <t>A 39490-2022</t>
        </is>
      </c>
      <c r="B799" s="1" t="n">
        <v>44818</v>
      </c>
      <c r="C799" s="1" t="n">
        <v>45627</v>
      </c>
      <c r="D799" t="inlineStr">
        <is>
          <t>JÄMTLANDS LÄN</t>
        </is>
      </c>
      <c r="E799" t="inlineStr">
        <is>
          <t>KROKOM</t>
        </is>
      </c>
      <c r="G799" t="n">
        <v>11.9</v>
      </c>
      <c r="H799" t="n">
        <v>0</v>
      </c>
      <c r="I799" t="n">
        <v>0</v>
      </c>
      <c r="J799" t="n">
        <v>0</v>
      </c>
      <c r="K799" t="n">
        <v>0</v>
      </c>
      <c r="L799" t="n">
        <v>0</v>
      </c>
      <c r="M799" t="n">
        <v>0</v>
      </c>
      <c r="N799" t="n">
        <v>0</v>
      </c>
      <c r="O799" t="n">
        <v>0</v>
      </c>
      <c r="P799" t="n">
        <v>0</v>
      </c>
      <c r="Q799" t="n">
        <v>0</v>
      </c>
      <c r="R799" s="2" t="inlineStr"/>
    </row>
    <row r="800" ht="15" customHeight="1">
      <c r="A800" t="inlineStr">
        <is>
          <t>A 40866-2022</t>
        </is>
      </c>
      <c r="B800" s="1" t="n">
        <v>44820</v>
      </c>
      <c r="C800" s="1" t="n">
        <v>45627</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41170-2022</t>
        </is>
      </c>
      <c r="B801" s="1" t="n">
        <v>44825</v>
      </c>
      <c r="C801" s="1" t="n">
        <v>45627</v>
      </c>
      <c r="D801" t="inlineStr">
        <is>
          <t>JÄMTLANDS LÄN</t>
        </is>
      </c>
      <c r="E801" t="inlineStr">
        <is>
          <t>KROKOM</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45627</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45627</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42360-2022</t>
        </is>
      </c>
      <c r="B804" s="1" t="n">
        <v>44831</v>
      </c>
      <c r="C804" s="1" t="n">
        <v>45627</v>
      </c>
      <c r="D804" t="inlineStr">
        <is>
          <t>JÄMTLANDS LÄN</t>
        </is>
      </c>
      <c r="E804" t="inlineStr">
        <is>
          <t>KROKOM</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42661-2022</t>
        </is>
      </c>
      <c r="B805" s="1" t="n">
        <v>44832</v>
      </c>
      <c r="C805" s="1" t="n">
        <v>45627</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42980-2022</t>
        </is>
      </c>
      <c r="B806" s="1" t="n">
        <v>44833</v>
      </c>
      <c r="C806" s="1" t="n">
        <v>45627</v>
      </c>
      <c r="D806" t="inlineStr">
        <is>
          <t>JÄMTLANDS LÄN</t>
        </is>
      </c>
      <c r="E806" t="inlineStr">
        <is>
          <t>KROKOM</t>
        </is>
      </c>
      <c r="G806" t="n">
        <v>7.7</v>
      </c>
      <c r="H806" t="n">
        <v>0</v>
      </c>
      <c r="I806" t="n">
        <v>0</v>
      </c>
      <c r="J806" t="n">
        <v>0</v>
      </c>
      <c r="K806" t="n">
        <v>0</v>
      </c>
      <c r="L806" t="n">
        <v>0</v>
      </c>
      <c r="M806" t="n">
        <v>0</v>
      </c>
      <c r="N806" t="n">
        <v>0</v>
      </c>
      <c r="O806" t="n">
        <v>0</v>
      </c>
      <c r="P806" t="n">
        <v>0</v>
      </c>
      <c r="Q806" t="n">
        <v>0</v>
      </c>
      <c r="R806" s="2" t="inlineStr"/>
    </row>
    <row r="807" ht="15" customHeight="1">
      <c r="A807" t="inlineStr">
        <is>
          <t>A 43426-2022</t>
        </is>
      </c>
      <c r="B807" s="1" t="n">
        <v>44835</v>
      </c>
      <c r="C807" s="1" t="n">
        <v>45627</v>
      </c>
      <c r="D807" t="inlineStr">
        <is>
          <t>JÄMTLANDS LÄN</t>
        </is>
      </c>
      <c r="E807" t="inlineStr">
        <is>
          <t>KROKOM</t>
        </is>
      </c>
      <c r="F807" t="inlineStr">
        <is>
          <t>SCA</t>
        </is>
      </c>
      <c r="G807" t="n">
        <v>34.4</v>
      </c>
      <c r="H807" t="n">
        <v>0</v>
      </c>
      <c r="I807" t="n">
        <v>0</v>
      </c>
      <c r="J807" t="n">
        <v>0</v>
      </c>
      <c r="K807" t="n">
        <v>0</v>
      </c>
      <c r="L807" t="n">
        <v>0</v>
      </c>
      <c r="M807" t="n">
        <v>0</v>
      </c>
      <c r="N807" t="n">
        <v>0</v>
      </c>
      <c r="O807" t="n">
        <v>0</v>
      </c>
      <c r="P807" t="n">
        <v>0</v>
      </c>
      <c r="Q807" t="n">
        <v>0</v>
      </c>
      <c r="R807" s="2" t="inlineStr"/>
    </row>
    <row r="808" ht="15" customHeight="1">
      <c r="A808" t="inlineStr">
        <is>
          <t>A 46753-2022</t>
        </is>
      </c>
      <c r="B808" s="1" t="n">
        <v>44847</v>
      </c>
      <c r="C808" s="1" t="n">
        <v>45627</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46761-2022</t>
        </is>
      </c>
      <c r="B809" s="1" t="n">
        <v>44847</v>
      </c>
      <c r="C809" s="1" t="n">
        <v>45627</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46507-2022</t>
        </is>
      </c>
      <c r="B810" s="1" t="n">
        <v>44848</v>
      </c>
      <c r="C810" s="1" t="n">
        <v>45627</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46506-2022</t>
        </is>
      </c>
      <c r="B811" s="1" t="n">
        <v>44848</v>
      </c>
      <c r="C811" s="1" t="n">
        <v>45627</v>
      </c>
      <c r="D811" t="inlineStr">
        <is>
          <t>JÄMTLANDS LÄN</t>
        </is>
      </c>
      <c r="E811" t="inlineStr">
        <is>
          <t>KROKOM</t>
        </is>
      </c>
      <c r="G811" t="n">
        <v>1.9</v>
      </c>
      <c r="H811" t="n">
        <v>0</v>
      </c>
      <c r="I811" t="n">
        <v>0</v>
      </c>
      <c r="J811" t="n">
        <v>0</v>
      </c>
      <c r="K811" t="n">
        <v>0</v>
      </c>
      <c r="L811" t="n">
        <v>0</v>
      </c>
      <c r="M811" t="n">
        <v>0</v>
      </c>
      <c r="N811" t="n">
        <v>0</v>
      </c>
      <c r="O811" t="n">
        <v>0</v>
      </c>
      <c r="P811" t="n">
        <v>0</v>
      </c>
      <c r="Q811" t="n">
        <v>0</v>
      </c>
      <c r="R811" s="2" t="inlineStr"/>
    </row>
    <row r="812" ht="15" customHeight="1">
      <c r="A812" t="inlineStr">
        <is>
          <t>A 46519-2022</t>
        </is>
      </c>
      <c r="B812" s="1" t="n">
        <v>44848</v>
      </c>
      <c r="C812" s="1" t="n">
        <v>45627</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46631-2022</t>
        </is>
      </c>
      <c r="B813" s="1" t="n">
        <v>44848</v>
      </c>
      <c r="C813" s="1" t="n">
        <v>45627</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v>
      </c>
      <c r="C814" s="1" t="n">
        <v>45627</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46825-2022</t>
        </is>
      </c>
      <c r="B815" s="1" t="n">
        <v>44851</v>
      </c>
      <c r="C815" s="1" t="n">
        <v>45627</v>
      </c>
      <c r="D815" t="inlineStr">
        <is>
          <t>JÄMTLANDS LÄN</t>
        </is>
      </c>
      <c r="E815" t="inlineStr">
        <is>
          <t>KROKOM</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48777-2022</t>
        </is>
      </c>
      <c r="B816" s="1" t="n">
        <v>44855</v>
      </c>
      <c r="C816" s="1" t="n">
        <v>45627</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48769-2022</t>
        </is>
      </c>
      <c r="B817" s="1" t="n">
        <v>44855</v>
      </c>
      <c r="C817" s="1" t="n">
        <v>45627</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48250-2022</t>
        </is>
      </c>
      <c r="B818" s="1" t="n">
        <v>44858</v>
      </c>
      <c r="C818" s="1" t="n">
        <v>45627</v>
      </c>
      <c r="D818" t="inlineStr">
        <is>
          <t>JÄMTLANDS LÄN</t>
        </is>
      </c>
      <c r="E818" t="inlineStr">
        <is>
          <t>KROKOM</t>
        </is>
      </c>
      <c r="G818" t="n">
        <v>2.3</v>
      </c>
      <c r="H818" t="n">
        <v>0</v>
      </c>
      <c r="I818" t="n">
        <v>0</v>
      </c>
      <c r="J818" t="n">
        <v>0</v>
      </c>
      <c r="K818" t="n">
        <v>0</v>
      </c>
      <c r="L818" t="n">
        <v>0</v>
      </c>
      <c r="M818" t="n">
        <v>0</v>
      </c>
      <c r="N818" t="n">
        <v>0</v>
      </c>
      <c r="O818" t="n">
        <v>0</v>
      </c>
      <c r="P818" t="n">
        <v>0</v>
      </c>
      <c r="Q818" t="n">
        <v>0</v>
      </c>
      <c r="R818" s="2" t="inlineStr"/>
    </row>
    <row r="819" ht="15" customHeight="1">
      <c r="A819" t="inlineStr">
        <is>
          <t>A 48502-2022</t>
        </is>
      </c>
      <c r="B819" s="1" t="n">
        <v>44859</v>
      </c>
      <c r="C819" s="1" t="n">
        <v>45627</v>
      </c>
      <c r="D819" t="inlineStr">
        <is>
          <t>JÄMTLANDS LÄN</t>
        </is>
      </c>
      <c r="E819" t="inlineStr">
        <is>
          <t>KROKOM</t>
        </is>
      </c>
      <c r="G819" t="n">
        <v>2.3</v>
      </c>
      <c r="H819" t="n">
        <v>0</v>
      </c>
      <c r="I819" t="n">
        <v>0</v>
      </c>
      <c r="J819" t="n">
        <v>0</v>
      </c>
      <c r="K819" t="n">
        <v>0</v>
      </c>
      <c r="L819" t="n">
        <v>0</v>
      </c>
      <c r="M819" t="n">
        <v>0</v>
      </c>
      <c r="N819" t="n">
        <v>0</v>
      </c>
      <c r="O819" t="n">
        <v>0</v>
      </c>
      <c r="P819" t="n">
        <v>0</v>
      </c>
      <c r="Q819" t="n">
        <v>0</v>
      </c>
      <c r="R819" s="2" t="inlineStr"/>
    </row>
    <row r="820" ht="15" customHeight="1">
      <c r="A820" t="inlineStr">
        <is>
          <t>A 48334-2022</t>
        </is>
      </c>
      <c r="B820" s="1" t="n">
        <v>44858</v>
      </c>
      <c r="C820" s="1" t="n">
        <v>45627</v>
      </c>
      <c r="D820" t="inlineStr">
        <is>
          <t>JÄMTLANDS LÄN</t>
        </is>
      </c>
      <c r="E820" t="inlineStr">
        <is>
          <t>KROKOM</t>
        </is>
      </c>
      <c r="G820" t="n">
        <v>1.4</v>
      </c>
      <c r="H820" t="n">
        <v>0</v>
      </c>
      <c r="I820" t="n">
        <v>0</v>
      </c>
      <c r="J820" t="n">
        <v>0</v>
      </c>
      <c r="K820" t="n">
        <v>0</v>
      </c>
      <c r="L820" t="n">
        <v>0</v>
      </c>
      <c r="M820" t="n">
        <v>0</v>
      </c>
      <c r="N820" t="n">
        <v>0</v>
      </c>
      <c r="O820" t="n">
        <v>0</v>
      </c>
      <c r="P820" t="n">
        <v>0</v>
      </c>
      <c r="Q820" t="n">
        <v>0</v>
      </c>
      <c r="R820" s="2" t="inlineStr"/>
    </row>
    <row r="821" ht="15" customHeight="1">
      <c r="A821" t="inlineStr">
        <is>
          <t>A 48417-2022</t>
        </is>
      </c>
      <c r="B821" s="1" t="n">
        <v>44858</v>
      </c>
      <c r="C821" s="1" t="n">
        <v>45627</v>
      </c>
      <c r="D821" t="inlineStr">
        <is>
          <t>JÄMTLANDS LÄN</t>
        </is>
      </c>
      <c r="E821" t="inlineStr">
        <is>
          <t>KROKOM</t>
        </is>
      </c>
      <c r="G821" t="n">
        <v>2.7</v>
      </c>
      <c r="H821" t="n">
        <v>0</v>
      </c>
      <c r="I821" t="n">
        <v>0</v>
      </c>
      <c r="J821" t="n">
        <v>0</v>
      </c>
      <c r="K821" t="n">
        <v>0</v>
      </c>
      <c r="L821" t="n">
        <v>0</v>
      </c>
      <c r="M821" t="n">
        <v>0</v>
      </c>
      <c r="N821" t="n">
        <v>0</v>
      </c>
      <c r="O821" t="n">
        <v>0</v>
      </c>
      <c r="P821" t="n">
        <v>0</v>
      </c>
      <c r="Q821" t="n">
        <v>0</v>
      </c>
      <c r="R821" s="2" t="inlineStr"/>
    </row>
    <row r="822" ht="15" customHeight="1">
      <c r="A822" t="inlineStr">
        <is>
          <t>A 48500-2022</t>
        </is>
      </c>
      <c r="B822" s="1" t="n">
        <v>44859</v>
      </c>
      <c r="C822" s="1" t="n">
        <v>45627</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49220-2022</t>
        </is>
      </c>
      <c r="B823" s="1" t="n">
        <v>44861</v>
      </c>
      <c r="C823" s="1" t="n">
        <v>45627</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50302-2022</t>
        </is>
      </c>
      <c r="B824" s="1" t="n">
        <v>44865</v>
      </c>
      <c r="C824" s="1" t="n">
        <v>45627</v>
      </c>
      <c r="D824" t="inlineStr">
        <is>
          <t>JÄMTLANDS LÄN</t>
        </is>
      </c>
      <c r="E824" t="inlineStr">
        <is>
          <t>KROKOM</t>
        </is>
      </c>
      <c r="G824" t="n">
        <v>3.4</v>
      </c>
      <c r="H824" t="n">
        <v>0</v>
      </c>
      <c r="I824" t="n">
        <v>0</v>
      </c>
      <c r="J824" t="n">
        <v>0</v>
      </c>
      <c r="K824" t="n">
        <v>0</v>
      </c>
      <c r="L824" t="n">
        <v>0</v>
      </c>
      <c r="M824" t="n">
        <v>0</v>
      </c>
      <c r="N824" t="n">
        <v>0</v>
      </c>
      <c r="O824" t="n">
        <v>0</v>
      </c>
      <c r="P824" t="n">
        <v>0</v>
      </c>
      <c r="Q824" t="n">
        <v>0</v>
      </c>
      <c r="R824" s="2" t="inlineStr"/>
    </row>
    <row r="825" ht="15" customHeight="1">
      <c r="A825" t="inlineStr">
        <is>
          <t>A 51345-2022</t>
        </is>
      </c>
      <c r="B825" s="1" t="n">
        <v>44866</v>
      </c>
      <c r="C825" s="1" t="n">
        <v>45627</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51359-2022</t>
        </is>
      </c>
      <c r="B826" s="1" t="n">
        <v>44869</v>
      </c>
      <c r="C826" s="1" t="n">
        <v>45627</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52253-2022</t>
        </is>
      </c>
      <c r="B827" s="1" t="n">
        <v>44873</v>
      </c>
      <c r="C827" s="1" t="n">
        <v>45627</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52268-2022</t>
        </is>
      </c>
      <c r="B828" s="1" t="n">
        <v>44873</v>
      </c>
      <c r="C828" s="1" t="n">
        <v>45627</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c r="U828">
        <f>HYPERLINK("https://klasma.github.io/Logging_2309/knärot/A 52268-2022 karta knärot.png", "A 52268-2022")</f>
        <v/>
      </c>
      <c r="V828">
        <f>HYPERLINK("https://klasma.github.io/Logging_2309/klagomål/A 52268-2022 FSC-klagomål.docx", "A 52268-2022")</f>
        <v/>
      </c>
      <c r="W828">
        <f>HYPERLINK("https://klasma.github.io/Logging_2309/klagomålsmail/A 52268-2022 FSC-klagomål mail.docx", "A 52268-2022")</f>
        <v/>
      </c>
      <c r="X828">
        <f>HYPERLINK("https://klasma.github.io/Logging_2309/tillsyn/A 52268-2022 tillsynsbegäran.docx", "A 52268-2022")</f>
        <v/>
      </c>
      <c r="Y828">
        <f>HYPERLINK("https://klasma.github.io/Logging_2309/tillsynsmail/A 52268-2022 tillsynsbegäran mail.docx", "A 52268-2022")</f>
        <v/>
      </c>
    </row>
    <row r="829" ht="15" customHeight="1">
      <c r="A829" t="inlineStr">
        <is>
          <t>A 52258-2022</t>
        </is>
      </c>
      <c r="B829" s="1" t="n">
        <v>44873</v>
      </c>
      <c r="C829" s="1" t="n">
        <v>45627</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53402-2022</t>
        </is>
      </c>
      <c r="B830" s="1" t="n">
        <v>44874</v>
      </c>
      <c r="C830" s="1" t="n">
        <v>45627</v>
      </c>
      <c r="D830" t="inlineStr">
        <is>
          <t>JÄMTLANDS LÄN</t>
        </is>
      </c>
      <c r="E830" t="inlineStr">
        <is>
          <t>KROKOM</t>
        </is>
      </c>
      <c r="G830" t="n">
        <v>36.7</v>
      </c>
      <c r="H830" t="n">
        <v>0</v>
      </c>
      <c r="I830" t="n">
        <v>0</v>
      </c>
      <c r="J830" t="n">
        <v>0</v>
      </c>
      <c r="K830" t="n">
        <v>0</v>
      </c>
      <c r="L830" t="n">
        <v>0</v>
      </c>
      <c r="M830" t="n">
        <v>0</v>
      </c>
      <c r="N830" t="n">
        <v>0</v>
      </c>
      <c r="O830" t="n">
        <v>0</v>
      </c>
      <c r="P830" t="n">
        <v>0</v>
      </c>
      <c r="Q830" t="n">
        <v>0</v>
      </c>
      <c r="R830" s="2" t="inlineStr"/>
    </row>
    <row r="831" ht="15" customHeight="1">
      <c r="A831" t="inlineStr">
        <is>
          <t>A 52801-2022</t>
        </is>
      </c>
      <c r="B831" s="1" t="n">
        <v>44875</v>
      </c>
      <c r="C831" s="1" t="n">
        <v>45627</v>
      </c>
      <c r="D831" t="inlineStr">
        <is>
          <t>JÄMTLANDS LÄN</t>
        </is>
      </c>
      <c r="E831" t="inlineStr">
        <is>
          <t>KROKOM</t>
        </is>
      </c>
      <c r="G831" t="n">
        <v>3.1</v>
      </c>
      <c r="H831" t="n">
        <v>0</v>
      </c>
      <c r="I831" t="n">
        <v>0</v>
      </c>
      <c r="J831" t="n">
        <v>0</v>
      </c>
      <c r="K831" t="n">
        <v>0</v>
      </c>
      <c r="L831" t="n">
        <v>0</v>
      </c>
      <c r="M831" t="n">
        <v>0</v>
      </c>
      <c r="N831" t="n">
        <v>0</v>
      </c>
      <c r="O831" t="n">
        <v>0</v>
      </c>
      <c r="P831" t="n">
        <v>0</v>
      </c>
      <c r="Q831" t="n">
        <v>0</v>
      </c>
      <c r="R831" s="2" t="inlineStr"/>
    </row>
    <row r="832" ht="15" customHeight="1">
      <c r="A832" t="inlineStr">
        <is>
          <t>A 52788-2022</t>
        </is>
      </c>
      <c r="B832" s="1" t="n">
        <v>44875</v>
      </c>
      <c r="C832" s="1" t="n">
        <v>45627</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52843-2022</t>
        </is>
      </c>
      <c r="B833" s="1" t="n">
        <v>44875</v>
      </c>
      <c r="C833" s="1" t="n">
        <v>45627</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52858-2022</t>
        </is>
      </c>
      <c r="B834" s="1" t="n">
        <v>44875</v>
      </c>
      <c r="C834" s="1" t="n">
        <v>45627</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53765-2022</t>
        </is>
      </c>
      <c r="B835" s="1" t="n">
        <v>44875</v>
      </c>
      <c r="C835" s="1" t="n">
        <v>45627</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53771-2022</t>
        </is>
      </c>
      <c r="B836" s="1" t="n">
        <v>44875</v>
      </c>
      <c r="C836" s="1" t="n">
        <v>45627</v>
      </c>
      <c r="D836" t="inlineStr">
        <is>
          <t>JÄMTLANDS LÄN</t>
        </is>
      </c>
      <c r="E836" t="inlineStr">
        <is>
          <t>KROKOM</t>
        </is>
      </c>
      <c r="G836" t="n">
        <v>8.1</v>
      </c>
      <c r="H836" t="n">
        <v>0</v>
      </c>
      <c r="I836" t="n">
        <v>0</v>
      </c>
      <c r="J836" t="n">
        <v>0</v>
      </c>
      <c r="K836" t="n">
        <v>0</v>
      </c>
      <c r="L836" t="n">
        <v>0</v>
      </c>
      <c r="M836" t="n">
        <v>0</v>
      </c>
      <c r="N836" t="n">
        <v>0</v>
      </c>
      <c r="O836" t="n">
        <v>0</v>
      </c>
      <c r="P836" t="n">
        <v>0</v>
      </c>
      <c r="Q836" t="n">
        <v>0</v>
      </c>
      <c r="R836" s="2" t="inlineStr"/>
    </row>
    <row r="837" ht="15" customHeight="1">
      <c r="A837" t="inlineStr">
        <is>
          <t>A 53843-2022</t>
        </is>
      </c>
      <c r="B837" s="1" t="n">
        <v>44880</v>
      </c>
      <c r="C837" s="1" t="n">
        <v>45627</v>
      </c>
      <c r="D837" t="inlineStr">
        <is>
          <t>JÄMTLANDS LÄN</t>
        </is>
      </c>
      <c r="E837" t="inlineStr">
        <is>
          <t>KROKOM</t>
        </is>
      </c>
      <c r="F837" t="inlineStr">
        <is>
          <t>Övriga Aktiebolag</t>
        </is>
      </c>
      <c r="G837" t="n">
        <v>26.4</v>
      </c>
      <c r="H837" t="n">
        <v>0</v>
      </c>
      <c r="I837" t="n">
        <v>0</v>
      </c>
      <c r="J837" t="n">
        <v>0</v>
      </c>
      <c r="K837" t="n">
        <v>0</v>
      </c>
      <c r="L837" t="n">
        <v>0</v>
      </c>
      <c r="M837" t="n">
        <v>0</v>
      </c>
      <c r="N837" t="n">
        <v>0</v>
      </c>
      <c r="O837" t="n">
        <v>0</v>
      </c>
      <c r="P837" t="n">
        <v>0</v>
      </c>
      <c r="Q837" t="n">
        <v>0</v>
      </c>
      <c r="R837" s="2" t="inlineStr"/>
    </row>
    <row r="838" ht="15" customHeight="1">
      <c r="A838" t="inlineStr">
        <is>
          <t>A 54491-2022</t>
        </is>
      </c>
      <c r="B838" s="1" t="n">
        <v>44880</v>
      </c>
      <c r="C838" s="1" t="n">
        <v>45627</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54049-2022</t>
        </is>
      </c>
      <c r="B839" s="1" t="n">
        <v>44881</v>
      </c>
      <c r="C839" s="1" t="n">
        <v>45627</v>
      </c>
      <c r="D839" t="inlineStr">
        <is>
          <t>JÄMTLANDS LÄN</t>
        </is>
      </c>
      <c r="E839" t="inlineStr">
        <is>
          <t>KROKOM</t>
        </is>
      </c>
      <c r="G839" t="n">
        <v>6.8</v>
      </c>
      <c r="H839" t="n">
        <v>0</v>
      </c>
      <c r="I839" t="n">
        <v>0</v>
      </c>
      <c r="J839" t="n">
        <v>0</v>
      </c>
      <c r="K839" t="n">
        <v>0</v>
      </c>
      <c r="L839" t="n">
        <v>0</v>
      </c>
      <c r="M839" t="n">
        <v>0</v>
      </c>
      <c r="N839" t="n">
        <v>0</v>
      </c>
      <c r="O839" t="n">
        <v>0</v>
      </c>
      <c r="P839" t="n">
        <v>0</v>
      </c>
      <c r="Q839" t="n">
        <v>0</v>
      </c>
      <c r="R839" s="2" t="inlineStr"/>
    </row>
    <row r="840" ht="15" customHeight="1">
      <c r="A840" t="inlineStr">
        <is>
          <t>A 54605-2022</t>
        </is>
      </c>
      <c r="B840" s="1" t="n">
        <v>44881</v>
      </c>
      <c r="C840" s="1" t="n">
        <v>45627</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55564-2022</t>
        </is>
      </c>
      <c r="B841" s="1" t="n">
        <v>44883</v>
      </c>
      <c r="C841" s="1" t="n">
        <v>45627</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55567-2022</t>
        </is>
      </c>
      <c r="B842" s="1" t="n">
        <v>44883</v>
      </c>
      <c r="C842" s="1" t="n">
        <v>45627</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55479-2022</t>
        </is>
      </c>
      <c r="B843" s="1" t="n">
        <v>44887</v>
      </c>
      <c r="C843" s="1" t="n">
        <v>45627</v>
      </c>
      <c r="D843" t="inlineStr">
        <is>
          <t>JÄMTLANDS LÄN</t>
        </is>
      </c>
      <c r="E843" t="inlineStr">
        <is>
          <t>KROKOM</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55455-2022</t>
        </is>
      </c>
      <c r="B844" s="1" t="n">
        <v>44887</v>
      </c>
      <c r="C844" s="1" t="n">
        <v>45627</v>
      </c>
      <c r="D844" t="inlineStr">
        <is>
          <t>JÄMTLANDS LÄN</t>
        </is>
      </c>
      <c r="E844" t="inlineStr">
        <is>
          <t>KROKOM</t>
        </is>
      </c>
      <c r="F844" t="inlineStr">
        <is>
          <t>Övriga Aktiebolag</t>
        </is>
      </c>
      <c r="G844" t="n">
        <v>5.2</v>
      </c>
      <c r="H844" t="n">
        <v>0</v>
      </c>
      <c r="I844" t="n">
        <v>0</v>
      </c>
      <c r="J844" t="n">
        <v>0</v>
      </c>
      <c r="K844" t="n">
        <v>0</v>
      </c>
      <c r="L844" t="n">
        <v>0</v>
      </c>
      <c r="M844" t="n">
        <v>0</v>
      </c>
      <c r="N844" t="n">
        <v>0</v>
      </c>
      <c r="O844" t="n">
        <v>0</v>
      </c>
      <c r="P844" t="n">
        <v>0</v>
      </c>
      <c r="Q844" t="n">
        <v>0</v>
      </c>
      <c r="R844" s="2" t="inlineStr"/>
    </row>
    <row r="845" ht="15" customHeight="1">
      <c r="A845" t="inlineStr">
        <is>
          <t>A 56167-2022</t>
        </is>
      </c>
      <c r="B845" s="1" t="n">
        <v>44889</v>
      </c>
      <c r="C845" s="1" t="n">
        <v>45627</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56166-2022</t>
        </is>
      </c>
      <c r="B846" s="1" t="n">
        <v>44889</v>
      </c>
      <c r="C846" s="1" t="n">
        <v>45627</v>
      </c>
      <c r="D846" t="inlineStr">
        <is>
          <t>JÄMTLANDS LÄN</t>
        </is>
      </c>
      <c r="E846" t="inlineStr">
        <is>
          <t>KROKOM</t>
        </is>
      </c>
      <c r="G846" t="n">
        <v>17.6</v>
      </c>
      <c r="H846" t="n">
        <v>0</v>
      </c>
      <c r="I846" t="n">
        <v>0</v>
      </c>
      <c r="J846" t="n">
        <v>0</v>
      </c>
      <c r="K846" t="n">
        <v>0</v>
      </c>
      <c r="L846" t="n">
        <v>0</v>
      </c>
      <c r="M846" t="n">
        <v>0</v>
      </c>
      <c r="N846" t="n">
        <v>0</v>
      </c>
      <c r="O846" t="n">
        <v>0</v>
      </c>
      <c r="P846" t="n">
        <v>0</v>
      </c>
      <c r="Q846" t="n">
        <v>0</v>
      </c>
      <c r="R846" s="2" t="inlineStr"/>
    </row>
    <row r="847" ht="15" customHeight="1">
      <c r="A847" t="inlineStr">
        <is>
          <t>A 57454-2022</t>
        </is>
      </c>
      <c r="B847" s="1" t="n">
        <v>44889</v>
      </c>
      <c r="C847" s="1" t="n">
        <v>45627</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58052-2022</t>
        </is>
      </c>
      <c r="B848" s="1" t="n">
        <v>44893</v>
      </c>
      <c r="C848" s="1" t="n">
        <v>45627</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58771-2022</t>
        </is>
      </c>
      <c r="B849" s="1" t="n">
        <v>44895</v>
      </c>
      <c r="C849" s="1" t="n">
        <v>45627</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57480-2022</t>
        </is>
      </c>
      <c r="B850" s="1" t="n">
        <v>44896</v>
      </c>
      <c r="C850" s="1" t="n">
        <v>45627</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58044-2022</t>
        </is>
      </c>
      <c r="B851" s="1" t="n">
        <v>44900</v>
      </c>
      <c r="C851" s="1" t="n">
        <v>45627</v>
      </c>
      <c r="D851" t="inlineStr">
        <is>
          <t>JÄMTLANDS LÄN</t>
        </is>
      </c>
      <c r="E851" t="inlineStr">
        <is>
          <t>KROKOM</t>
        </is>
      </c>
      <c r="G851" t="n">
        <v>0.9</v>
      </c>
      <c r="H851" t="n">
        <v>0</v>
      </c>
      <c r="I851" t="n">
        <v>0</v>
      </c>
      <c r="J851" t="n">
        <v>0</v>
      </c>
      <c r="K851" t="n">
        <v>0</v>
      </c>
      <c r="L851" t="n">
        <v>0</v>
      </c>
      <c r="M851" t="n">
        <v>0</v>
      </c>
      <c r="N851" t="n">
        <v>0</v>
      </c>
      <c r="O851" t="n">
        <v>0</v>
      </c>
      <c r="P851" t="n">
        <v>0</v>
      </c>
      <c r="Q851" t="n">
        <v>0</v>
      </c>
      <c r="R851" s="2" t="inlineStr"/>
    </row>
    <row r="852" ht="15" customHeight="1">
      <c r="A852" t="inlineStr">
        <is>
          <t>A 58041-2022</t>
        </is>
      </c>
      <c r="B852" s="1" t="n">
        <v>44900</v>
      </c>
      <c r="C852" s="1" t="n">
        <v>45627</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58313-2022</t>
        </is>
      </c>
      <c r="B853" s="1" t="n">
        <v>44901</v>
      </c>
      <c r="C853" s="1" t="n">
        <v>45627</v>
      </c>
      <c r="D853" t="inlineStr">
        <is>
          <t>JÄMTLANDS LÄN</t>
        </is>
      </c>
      <c r="E853" t="inlineStr">
        <is>
          <t>KROKOM</t>
        </is>
      </c>
      <c r="F853" t="inlineStr">
        <is>
          <t>Övriga Aktiebolag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58347-2022</t>
        </is>
      </c>
      <c r="B854" s="1" t="n">
        <v>44901</v>
      </c>
      <c r="C854" s="1" t="n">
        <v>45627</v>
      </c>
      <c r="D854" t="inlineStr">
        <is>
          <t>JÄMTLANDS LÄN</t>
        </is>
      </c>
      <c r="E854" t="inlineStr">
        <is>
          <t>KROKOM</t>
        </is>
      </c>
      <c r="F854" t="inlineStr">
        <is>
          <t>Övriga Aktiebolag</t>
        </is>
      </c>
      <c r="G854" t="n">
        <v>5.6</v>
      </c>
      <c r="H854" t="n">
        <v>0</v>
      </c>
      <c r="I854" t="n">
        <v>0</v>
      </c>
      <c r="J854" t="n">
        <v>0</v>
      </c>
      <c r="K854" t="n">
        <v>0</v>
      </c>
      <c r="L854" t="n">
        <v>0</v>
      </c>
      <c r="M854" t="n">
        <v>0</v>
      </c>
      <c r="N854" t="n">
        <v>0</v>
      </c>
      <c r="O854" t="n">
        <v>0</v>
      </c>
      <c r="P854" t="n">
        <v>0</v>
      </c>
      <c r="Q854" t="n">
        <v>0</v>
      </c>
      <c r="R854" s="2" t="inlineStr"/>
    </row>
    <row r="855" ht="15" customHeight="1">
      <c r="A855" t="inlineStr">
        <is>
          <t>A 58316-2022</t>
        </is>
      </c>
      <c r="B855" s="1" t="n">
        <v>44901</v>
      </c>
      <c r="C855" s="1" t="n">
        <v>45627</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59830-2022</t>
        </is>
      </c>
      <c r="B856" s="1" t="n">
        <v>44901</v>
      </c>
      <c r="C856" s="1" t="n">
        <v>45627</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58870-2022</t>
        </is>
      </c>
      <c r="B857" s="1" t="n">
        <v>44903</v>
      </c>
      <c r="C857" s="1" t="n">
        <v>45627</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59076-2022</t>
        </is>
      </c>
      <c r="B858" s="1" t="n">
        <v>44904</v>
      </c>
      <c r="C858" s="1" t="n">
        <v>45627</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45627</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60536-2022</t>
        </is>
      </c>
      <c r="B860" s="1" t="n">
        <v>44911</v>
      </c>
      <c r="C860" s="1" t="n">
        <v>45627</v>
      </c>
      <c r="D860" t="inlineStr">
        <is>
          <t>JÄMTLANDS LÄN</t>
        </is>
      </c>
      <c r="E860" t="inlineStr">
        <is>
          <t>KROKOM</t>
        </is>
      </c>
      <c r="F860" t="inlineStr">
        <is>
          <t>Övriga Aktiebolag</t>
        </is>
      </c>
      <c r="G860" t="n">
        <v>39.4</v>
      </c>
      <c r="H860" t="n">
        <v>0</v>
      </c>
      <c r="I860" t="n">
        <v>0</v>
      </c>
      <c r="J860" t="n">
        <v>0</v>
      </c>
      <c r="K860" t="n">
        <v>0</v>
      </c>
      <c r="L860" t="n">
        <v>0</v>
      </c>
      <c r="M860" t="n">
        <v>0</v>
      </c>
      <c r="N860" t="n">
        <v>0</v>
      </c>
      <c r="O860" t="n">
        <v>0</v>
      </c>
      <c r="P860" t="n">
        <v>0</v>
      </c>
      <c r="Q860" t="n">
        <v>0</v>
      </c>
      <c r="R860" s="2" t="inlineStr"/>
    </row>
    <row r="861" ht="15" customHeight="1">
      <c r="A861" t="inlineStr">
        <is>
          <t>A 61675-2022</t>
        </is>
      </c>
      <c r="B861" s="1" t="n">
        <v>44911</v>
      </c>
      <c r="C861" s="1" t="n">
        <v>45627</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61572-2022</t>
        </is>
      </c>
      <c r="B862" s="1" t="n">
        <v>44916</v>
      </c>
      <c r="C862" s="1" t="n">
        <v>45627</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62146-2022</t>
        </is>
      </c>
      <c r="B863" s="1" t="n">
        <v>44922</v>
      </c>
      <c r="C863" s="1" t="n">
        <v>45627</v>
      </c>
      <c r="D863" t="inlineStr">
        <is>
          <t>JÄMTLANDS LÄN</t>
        </is>
      </c>
      <c r="E863" t="inlineStr">
        <is>
          <t>KROKOM</t>
        </is>
      </c>
      <c r="F863" t="inlineStr">
        <is>
          <t>Övriga Aktiebolag</t>
        </is>
      </c>
      <c r="G863" t="n">
        <v>17.5</v>
      </c>
      <c r="H863" t="n">
        <v>0</v>
      </c>
      <c r="I863" t="n">
        <v>0</v>
      </c>
      <c r="J863" t="n">
        <v>0</v>
      </c>
      <c r="K863" t="n">
        <v>0</v>
      </c>
      <c r="L863" t="n">
        <v>0</v>
      </c>
      <c r="M863" t="n">
        <v>0</v>
      </c>
      <c r="N863" t="n">
        <v>0</v>
      </c>
      <c r="O863" t="n">
        <v>0</v>
      </c>
      <c r="P863" t="n">
        <v>0</v>
      </c>
      <c r="Q863" t="n">
        <v>0</v>
      </c>
      <c r="R863" s="2" t="inlineStr"/>
    </row>
    <row r="864" ht="15" customHeight="1">
      <c r="A864" t="inlineStr">
        <is>
          <t>A 62142-2022</t>
        </is>
      </c>
      <c r="B864" s="1" t="n">
        <v>44922</v>
      </c>
      <c r="C864" s="1" t="n">
        <v>45627</v>
      </c>
      <c r="D864" t="inlineStr">
        <is>
          <t>JÄMTLANDS LÄN</t>
        </is>
      </c>
      <c r="E864" t="inlineStr">
        <is>
          <t>KROKOM</t>
        </is>
      </c>
      <c r="F864" t="inlineStr">
        <is>
          <t>Övriga Aktiebolag</t>
        </is>
      </c>
      <c r="G864" t="n">
        <v>11.7</v>
      </c>
      <c r="H864" t="n">
        <v>0</v>
      </c>
      <c r="I864" t="n">
        <v>0</v>
      </c>
      <c r="J864" t="n">
        <v>0</v>
      </c>
      <c r="K864" t="n">
        <v>0</v>
      </c>
      <c r="L864" t="n">
        <v>0</v>
      </c>
      <c r="M864" t="n">
        <v>0</v>
      </c>
      <c r="N864" t="n">
        <v>0</v>
      </c>
      <c r="O864" t="n">
        <v>0</v>
      </c>
      <c r="P864" t="n">
        <v>0</v>
      </c>
      <c r="Q864" t="n">
        <v>0</v>
      </c>
      <c r="R864" s="2" t="inlineStr"/>
    </row>
    <row r="865" ht="15" customHeight="1">
      <c r="A865" t="inlineStr">
        <is>
          <t>A 233-2023</t>
        </is>
      </c>
      <c r="B865" s="1" t="n">
        <v>44922</v>
      </c>
      <c r="C865" s="1" t="n">
        <v>45627</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731-2023</t>
        </is>
      </c>
      <c r="B866" s="1" t="n">
        <v>44930</v>
      </c>
      <c r="C866" s="1" t="n">
        <v>45627</v>
      </c>
      <c r="D866" t="inlineStr">
        <is>
          <t>JÄMTLANDS LÄN</t>
        </is>
      </c>
      <c r="E866" t="inlineStr">
        <is>
          <t>KROKOM</t>
        </is>
      </c>
      <c r="G866" t="n">
        <v>10.6</v>
      </c>
      <c r="H866" t="n">
        <v>0</v>
      </c>
      <c r="I866" t="n">
        <v>0</v>
      </c>
      <c r="J866" t="n">
        <v>0</v>
      </c>
      <c r="K866" t="n">
        <v>0</v>
      </c>
      <c r="L866" t="n">
        <v>0</v>
      </c>
      <c r="M866" t="n">
        <v>0</v>
      </c>
      <c r="N866" t="n">
        <v>0</v>
      </c>
      <c r="O866" t="n">
        <v>0</v>
      </c>
      <c r="P866" t="n">
        <v>0</v>
      </c>
      <c r="Q866" t="n">
        <v>0</v>
      </c>
      <c r="R866" s="2" t="inlineStr"/>
    </row>
    <row r="867" ht="15" customHeight="1">
      <c r="A867" t="inlineStr">
        <is>
          <t>A 1297-2023</t>
        </is>
      </c>
      <c r="B867" s="1" t="n">
        <v>44931</v>
      </c>
      <c r="C867" s="1" t="n">
        <v>45627</v>
      </c>
      <c r="D867" t="inlineStr">
        <is>
          <t>JÄMTLANDS LÄN</t>
        </is>
      </c>
      <c r="E867" t="inlineStr">
        <is>
          <t>KROKOM</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1517-2023</t>
        </is>
      </c>
      <c r="B868" s="1" t="n">
        <v>44935</v>
      </c>
      <c r="C868" s="1" t="n">
        <v>45627</v>
      </c>
      <c r="D868" t="inlineStr">
        <is>
          <t>JÄMTLANDS LÄN</t>
        </is>
      </c>
      <c r="E868" t="inlineStr">
        <is>
          <t>KROKOM</t>
        </is>
      </c>
      <c r="G868" t="n">
        <v>11.1</v>
      </c>
      <c r="H868" t="n">
        <v>0</v>
      </c>
      <c r="I868" t="n">
        <v>0</v>
      </c>
      <c r="J868" t="n">
        <v>0</v>
      </c>
      <c r="K868" t="n">
        <v>0</v>
      </c>
      <c r="L868" t="n">
        <v>0</v>
      </c>
      <c r="M868" t="n">
        <v>0</v>
      </c>
      <c r="N868" t="n">
        <v>0</v>
      </c>
      <c r="O868" t="n">
        <v>0</v>
      </c>
      <c r="P868" t="n">
        <v>0</v>
      </c>
      <c r="Q868" t="n">
        <v>0</v>
      </c>
      <c r="R868" s="2" t="inlineStr"/>
    </row>
    <row r="869" ht="15" customHeight="1">
      <c r="A869" t="inlineStr">
        <is>
          <t>A 1877-2023</t>
        </is>
      </c>
      <c r="B869" s="1" t="n">
        <v>44938</v>
      </c>
      <c r="C869" s="1" t="n">
        <v>45627</v>
      </c>
      <c r="D869" t="inlineStr">
        <is>
          <t>JÄMTLANDS LÄN</t>
        </is>
      </c>
      <c r="E869" t="inlineStr">
        <is>
          <t>KROKOM</t>
        </is>
      </c>
      <c r="G869" t="n">
        <v>11.1</v>
      </c>
      <c r="H869" t="n">
        <v>0</v>
      </c>
      <c r="I869" t="n">
        <v>0</v>
      </c>
      <c r="J869" t="n">
        <v>0</v>
      </c>
      <c r="K869" t="n">
        <v>0</v>
      </c>
      <c r="L869" t="n">
        <v>0</v>
      </c>
      <c r="M869" t="n">
        <v>0</v>
      </c>
      <c r="N869" t="n">
        <v>0</v>
      </c>
      <c r="O869" t="n">
        <v>0</v>
      </c>
      <c r="P869" t="n">
        <v>0</v>
      </c>
      <c r="Q869" t="n">
        <v>0</v>
      </c>
      <c r="R869" s="2" t="inlineStr"/>
    </row>
    <row r="870" ht="15" customHeight="1">
      <c r="A870" t="inlineStr">
        <is>
          <t>A 2609-2023</t>
        </is>
      </c>
      <c r="B870" s="1" t="n">
        <v>44939</v>
      </c>
      <c r="C870" s="1" t="n">
        <v>45627</v>
      </c>
      <c r="D870" t="inlineStr">
        <is>
          <t>JÄMTLANDS LÄN</t>
        </is>
      </c>
      <c r="E870" t="inlineStr">
        <is>
          <t>KROKOM</t>
        </is>
      </c>
      <c r="G870" t="n">
        <v>16.9</v>
      </c>
      <c r="H870" t="n">
        <v>0</v>
      </c>
      <c r="I870" t="n">
        <v>0</v>
      </c>
      <c r="J870" t="n">
        <v>0</v>
      </c>
      <c r="K870" t="n">
        <v>0</v>
      </c>
      <c r="L870" t="n">
        <v>0</v>
      </c>
      <c r="M870" t="n">
        <v>0</v>
      </c>
      <c r="N870" t="n">
        <v>0</v>
      </c>
      <c r="O870" t="n">
        <v>0</v>
      </c>
      <c r="P870" t="n">
        <v>0</v>
      </c>
      <c r="Q870" t="n">
        <v>0</v>
      </c>
      <c r="R870" s="2" t="inlineStr"/>
    </row>
    <row r="871" ht="15" customHeight="1">
      <c r="A871" t="inlineStr">
        <is>
          <t>A 3213-2023</t>
        </is>
      </c>
      <c r="B871" s="1" t="n">
        <v>44946</v>
      </c>
      <c r="C871" s="1" t="n">
        <v>45627</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3218-2023</t>
        </is>
      </c>
      <c r="B872" s="1" t="n">
        <v>44946</v>
      </c>
      <c r="C872" s="1" t="n">
        <v>45627</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3210-2023</t>
        </is>
      </c>
      <c r="B873" s="1" t="n">
        <v>44946</v>
      </c>
      <c r="C873" s="1" t="n">
        <v>45627</v>
      </c>
      <c r="D873" t="inlineStr">
        <is>
          <t>JÄMTLANDS LÄN</t>
        </is>
      </c>
      <c r="E873" t="inlineStr">
        <is>
          <t>KROKOM</t>
        </is>
      </c>
      <c r="G873" t="n">
        <v>7.4</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45627</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6595-2023</t>
        </is>
      </c>
      <c r="B875" s="1" t="n">
        <v>44963</v>
      </c>
      <c r="C875" s="1" t="n">
        <v>45627</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6347-2023</t>
        </is>
      </c>
      <c r="B876" s="1" t="n">
        <v>44965</v>
      </c>
      <c r="C876" s="1" t="n">
        <v>45627</v>
      </c>
      <c r="D876" t="inlineStr">
        <is>
          <t>JÄMTLANDS LÄN</t>
        </is>
      </c>
      <c r="E876" t="inlineStr">
        <is>
          <t>KROKOM</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7371-2023</t>
        </is>
      </c>
      <c r="B877" s="1" t="n">
        <v>44966</v>
      </c>
      <c r="C877" s="1" t="n">
        <v>45627</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7373-2023</t>
        </is>
      </c>
      <c r="B878" s="1" t="n">
        <v>44966</v>
      </c>
      <c r="C878" s="1" t="n">
        <v>45627</v>
      </c>
      <c r="D878" t="inlineStr">
        <is>
          <t>JÄMTLANDS LÄN</t>
        </is>
      </c>
      <c r="E878" t="inlineStr">
        <is>
          <t>KROKOM</t>
        </is>
      </c>
      <c r="G878" t="n">
        <v>4.5</v>
      </c>
      <c r="H878" t="n">
        <v>0</v>
      </c>
      <c r="I878" t="n">
        <v>0</v>
      </c>
      <c r="J878" t="n">
        <v>0</v>
      </c>
      <c r="K878" t="n">
        <v>0</v>
      </c>
      <c r="L878" t="n">
        <v>0</v>
      </c>
      <c r="M878" t="n">
        <v>0</v>
      </c>
      <c r="N878" t="n">
        <v>0</v>
      </c>
      <c r="O878" t="n">
        <v>0</v>
      </c>
      <c r="P878" t="n">
        <v>0</v>
      </c>
      <c r="Q878" t="n">
        <v>0</v>
      </c>
      <c r="R878" s="2" t="inlineStr"/>
    </row>
    <row r="879" ht="15" customHeight="1">
      <c r="A879" t="inlineStr">
        <is>
          <t>A 7952-2023</t>
        </is>
      </c>
      <c r="B879" s="1" t="n">
        <v>44970</v>
      </c>
      <c r="C879" s="1" t="n">
        <v>45627</v>
      </c>
      <c r="D879" t="inlineStr">
        <is>
          <t>JÄMTLANDS LÄN</t>
        </is>
      </c>
      <c r="E879" t="inlineStr">
        <is>
          <t>KROKOM</t>
        </is>
      </c>
      <c r="G879" t="n">
        <v>4.8</v>
      </c>
      <c r="H879" t="n">
        <v>0</v>
      </c>
      <c r="I879" t="n">
        <v>0</v>
      </c>
      <c r="J879" t="n">
        <v>0</v>
      </c>
      <c r="K879" t="n">
        <v>0</v>
      </c>
      <c r="L879" t="n">
        <v>0</v>
      </c>
      <c r="M879" t="n">
        <v>0</v>
      </c>
      <c r="N879" t="n">
        <v>0</v>
      </c>
      <c r="O879" t="n">
        <v>0</v>
      </c>
      <c r="P879" t="n">
        <v>0</v>
      </c>
      <c r="Q879" t="n">
        <v>0</v>
      </c>
      <c r="R879" s="2" t="inlineStr"/>
    </row>
    <row r="880" ht="15" customHeight="1">
      <c r="A880" t="inlineStr">
        <is>
          <t>A 7962-2023</t>
        </is>
      </c>
      <c r="B880" s="1" t="n">
        <v>44970</v>
      </c>
      <c r="C880" s="1" t="n">
        <v>45627</v>
      </c>
      <c r="D880" t="inlineStr">
        <is>
          <t>JÄMTLANDS LÄN</t>
        </is>
      </c>
      <c r="E880" t="inlineStr">
        <is>
          <t>KROKOM</t>
        </is>
      </c>
      <c r="G880" t="n">
        <v>12.2</v>
      </c>
      <c r="H880" t="n">
        <v>0</v>
      </c>
      <c r="I880" t="n">
        <v>0</v>
      </c>
      <c r="J880" t="n">
        <v>0</v>
      </c>
      <c r="K880" t="n">
        <v>0</v>
      </c>
      <c r="L880" t="n">
        <v>0</v>
      </c>
      <c r="M880" t="n">
        <v>0</v>
      </c>
      <c r="N880" t="n">
        <v>0</v>
      </c>
      <c r="O880" t="n">
        <v>0</v>
      </c>
      <c r="P880" t="n">
        <v>0</v>
      </c>
      <c r="Q880" t="n">
        <v>0</v>
      </c>
      <c r="R880" s="2" t="inlineStr"/>
    </row>
    <row r="881" ht="15" customHeight="1">
      <c r="A881" t="inlineStr">
        <is>
          <t>A 8369-2023</t>
        </is>
      </c>
      <c r="B881" s="1" t="n">
        <v>44971</v>
      </c>
      <c r="C881" s="1" t="n">
        <v>45627</v>
      </c>
      <c r="D881" t="inlineStr">
        <is>
          <t>JÄMTLANDS LÄN</t>
        </is>
      </c>
      <c r="E881" t="inlineStr">
        <is>
          <t>KROKOM</t>
        </is>
      </c>
      <c r="G881" t="n">
        <v>47.2</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v>
      </c>
      <c r="C882" s="1" t="n">
        <v>45627</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8037-2023</t>
        </is>
      </c>
      <c r="B883" s="1" t="n">
        <v>44973</v>
      </c>
      <c r="C883" s="1" t="n">
        <v>45627</v>
      </c>
      <c r="D883" t="inlineStr">
        <is>
          <t>JÄMTLANDS LÄN</t>
        </is>
      </c>
      <c r="E883" t="inlineStr">
        <is>
          <t>KROKOM</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45627</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9263-2023</t>
        </is>
      </c>
      <c r="B885" s="1" t="n">
        <v>44977</v>
      </c>
      <c r="C885" s="1" t="n">
        <v>45627</v>
      </c>
      <c r="D885" t="inlineStr">
        <is>
          <t>JÄMTLANDS LÄN</t>
        </is>
      </c>
      <c r="E885" t="inlineStr">
        <is>
          <t>KROKOM</t>
        </is>
      </c>
      <c r="F885" t="inlineStr">
        <is>
          <t>SCA</t>
        </is>
      </c>
      <c r="G885" t="n">
        <v>11.7</v>
      </c>
      <c r="H885" t="n">
        <v>0</v>
      </c>
      <c r="I885" t="n">
        <v>0</v>
      </c>
      <c r="J885" t="n">
        <v>0</v>
      </c>
      <c r="K885" t="n">
        <v>0</v>
      </c>
      <c r="L885" t="n">
        <v>0</v>
      </c>
      <c r="M885" t="n">
        <v>0</v>
      </c>
      <c r="N885" t="n">
        <v>0</v>
      </c>
      <c r="O885" t="n">
        <v>0</v>
      </c>
      <c r="P885" t="n">
        <v>0</v>
      </c>
      <c r="Q885" t="n">
        <v>0</v>
      </c>
      <c r="R885" s="2" t="inlineStr"/>
    </row>
    <row r="886" ht="15" customHeight="1">
      <c r="A886" t="inlineStr">
        <is>
          <t>A 9269-2023</t>
        </is>
      </c>
      <c r="B886" s="1" t="n">
        <v>44977</v>
      </c>
      <c r="C886" s="1" t="n">
        <v>45627</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9671-2023</t>
        </is>
      </c>
      <c r="B887" s="1" t="n">
        <v>44978</v>
      </c>
      <c r="C887" s="1" t="n">
        <v>45627</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10310-2023</t>
        </is>
      </c>
      <c r="B888" s="1" t="n">
        <v>44986</v>
      </c>
      <c r="C888" s="1" t="n">
        <v>45627</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10314-2023</t>
        </is>
      </c>
      <c r="B889" s="1" t="n">
        <v>44986</v>
      </c>
      <c r="C889" s="1" t="n">
        <v>45627</v>
      </c>
      <c r="D889" t="inlineStr">
        <is>
          <t>JÄMTLANDS LÄN</t>
        </is>
      </c>
      <c r="E889" t="inlineStr">
        <is>
          <t>KROKOM</t>
        </is>
      </c>
      <c r="F889" t="inlineStr">
        <is>
          <t>SCA</t>
        </is>
      </c>
      <c r="G889" t="n">
        <v>9.9</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v>
      </c>
      <c r="C890" s="1" t="n">
        <v>45627</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11319-2023</t>
        </is>
      </c>
      <c r="B891" s="1" t="n">
        <v>44993</v>
      </c>
      <c r="C891" s="1" t="n">
        <v>45627</v>
      </c>
      <c r="D891" t="inlineStr">
        <is>
          <t>JÄMTLANDS LÄN</t>
        </is>
      </c>
      <c r="E891" t="inlineStr">
        <is>
          <t>KROKOM</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12520-2023</t>
        </is>
      </c>
      <c r="B892" s="1" t="n">
        <v>45000</v>
      </c>
      <c r="C892" s="1" t="n">
        <v>45627</v>
      </c>
      <c r="D892" t="inlineStr">
        <is>
          <t>JÄMTLANDS LÄN</t>
        </is>
      </c>
      <c r="E892" t="inlineStr">
        <is>
          <t>KROKOM</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12813-2023</t>
        </is>
      </c>
      <c r="B893" s="1" t="n">
        <v>45000</v>
      </c>
      <c r="C893" s="1" t="n">
        <v>45627</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13703-2023</t>
        </is>
      </c>
      <c r="B894" s="1" t="n">
        <v>45006</v>
      </c>
      <c r="C894" s="1" t="n">
        <v>45627</v>
      </c>
      <c r="D894" t="inlineStr">
        <is>
          <t>JÄMTLANDS LÄN</t>
        </is>
      </c>
      <c r="E894" t="inlineStr">
        <is>
          <t>KROKOM</t>
        </is>
      </c>
      <c r="F894" t="inlineStr">
        <is>
          <t>SCA</t>
        </is>
      </c>
      <c r="G894" t="n">
        <v>22.2</v>
      </c>
      <c r="H894" t="n">
        <v>0</v>
      </c>
      <c r="I894" t="n">
        <v>0</v>
      </c>
      <c r="J894" t="n">
        <v>0</v>
      </c>
      <c r="K894" t="n">
        <v>0</v>
      </c>
      <c r="L894" t="n">
        <v>0</v>
      </c>
      <c r="M894" t="n">
        <v>0</v>
      </c>
      <c r="N894" t="n">
        <v>0</v>
      </c>
      <c r="O894" t="n">
        <v>0</v>
      </c>
      <c r="P894" t="n">
        <v>0</v>
      </c>
      <c r="Q894" t="n">
        <v>0</v>
      </c>
      <c r="R894" s="2" t="inlineStr"/>
    </row>
    <row r="895" ht="15" customHeight="1">
      <c r="A895" t="inlineStr">
        <is>
          <t>A 15595-2023</t>
        </is>
      </c>
      <c r="B895" s="1" t="n">
        <v>45019</v>
      </c>
      <c r="C895" s="1" t="n">
        <v>45627</v>
      </c>
      <c r="D895" t="inlineStr">
        <is>
          <t>JÄMTLANDS LÄN</t>
        </is>
      </c>
      <c r="E895" t="inlineStr">
        <is>
          <t>KROKOM</t>
        </is>
      </c>
      <c r="G895" t="n">
        <v>1.9</v>
      </c>
      <c r="H895" t="n">
        <v>0</v>
      </c>
      <c r="I895" t="n">
        <v>0</v>
      </c>
      <c r="J895" t="n">
        <v>0</v>
      </c>
      <c r="K895" t="n">
        <v>0</v>
      </c>
      <c r="L895" t="n">
        <v>0</v>
      </c>
      <c r="M895" t="n">
        <v>0</v>
      </c>
      <c r="N895" t="n">
        <v>0</v>
      </c>
      <c r="O895" t="n">
        <v>0</v>
      </c>
      <c r="P895" t="n">
        <v>0</v>
      </c>
      <c r="Q895" t="n">
        <v>0</v>
      </c>
      <c r="R895" s="2" t="inlineStr"/>
    </row>
    <row r="896" ht="15" customHeight="1">
      <c r="A896" t="inlineStr">
        <is>
          <t>A 15826-2023</t>
        </is>
      </c>
      <c r="B896" s="1" t="n">
        <v>45022</v>
      </c>
      <c r="C896" s="1" t="n">
        <v>45627</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15805-2023</t>
        </is>
      </c>
      <c r="B897" s="1" t="n">
        <v>45022</v>
      </c>
      <c r="C897" s="1" t="n">
        <v>45627</v>
      </c>
      <c r="D897" t="inlineStr">
        <is>
          <t>JÄMTLANDS LÄN</t>
        </is>
      </c>
      <c r="E897" t="inlineStr">
        <is>
          <t>KROKOM</t>
        </is>
      </c>
      <c r="G897" t="n">
        <v>9.1</v>
      </c>
      <c r="H897" t="n">
        <v>0</v>
      </c>
      <c r="I897" t="n">
        <v>0</v>
      </c>
      <c r="J897" t="n">
        <v>0</v>
      </c>
      <c r="K897" t="n">
        <v>0</v>
      </c>
      <c r="L897" t="n">
        <v>0</v>
      </c>
      <c r="M897" t="n">
        <v>0</v>
      </c>
      <c r="N897" t="n">
        <v>0</v>
      </c>
      <c r="O897" t="n">
        <v>0</v>
      </c>
      <c r="P897" t="n">
        <v>0</v>
      </c>
      <c r="Q897" t="n">
        <v>0</v>
      </c>
      <c r="R897" s="2" t="inlineStr"/>
    </row>
    <row r="898" ht="15" customHeight="1">
      <c r="A898" t="inlineStr">
        <is>
          <t>A 15885-2023</t>
        </is>
      </c>
      <c r="B898" s="1" t="n">
        <v>45022</v>
      </c>
      <c r="C898" s="1" t="n">
        <v>45627</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15980-2023</t>
        </is>
      </c>
      <c r="B899" s="1" t="n">
        <v>45023</v>
      </c>
      <c r="C899" s="1" t="n">
        <v>45627</v>
      </c>
      <c r="D899" t="inlineStr">
        <is>
          <t>JÄMTLANDS LÄN</t>
        </is>
      </c>
      <c r="E899" t="inlineStr">
        <is>
          <t>KROKOM</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16566-2023</t>
        </is>
      </c>
      <c r="B900" s="1" t="n">
        <v>45029</v>
      </c>
      <c r="C900" s="1" t="n">
        <v>45627</v>
      </c>
      <c r="D900" t="inlineStr">
        <is>
          <t>JÄMTLANDS LÄN</t>
        </is>
      </c>
      <c r="E900" t="inlineStr">
        <is>
          <t>KROKOM</t>
        </is>
      </c>
      <c r="F900" t="inlineStr">
        <is>
          <t>SCA</t>
        </is>
      </c>
      <c r="G900" t="n">
        <v>11.9</v>
      </c>
      <c r="H900" t="n">
        <v>0</v>
      </c>
      <c r="I900" t="n">
        <v>0</v>
      </c>
      <c r="J900" t="n">
        <v>0</v>
      </c>
      <c r="K900" t="n">
        <v>0</v>
      </c>
      <c r="L900" t="n">
        <v>0</v>
      </c>
      <c r="M900" t="n">
        <v>0</v>
      </c>
      <c r="N900" t="n">
        <v>0</v>
      </c>
      <c r="O900" t="n">
        <v>0</v>
      </c>
      <c r="P900" t="n">
        <v>0</v>
      </c>
      <c r="Q900" t="n">
        <v>0</v>
      </c>
      <c r="R900" s="2" t="inlineStr"/>
    </row>
    <row r="901" ht="15" customHeight="1">
      <c r="A901" t="inlineStr">
        <is>
          <t>A 17555-2023</t>
        </is>
      </c>
      <c r="B901" s="1" t="n">
        <v>45034</v>
      </c>
      <c r="C901" s="1" t="n">
        <v>45627</v>
      </c>
      <c r="D901" t="inlineStr">
        <is>
          <t>JÄMTLANDS LÄN</t>
        </is>
      </c>
      <c r="E901" t="inlineStr">
        <is>
          <t>KROKOM</t>
        </is>
      </c>
      <c r="G901" t="n">
        <v>7.1</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45627</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17594-2023</t>
        </is>
      </c>
      <c r="B903" s="1" t="n">
        <v>45036</v>
      </c>
      <c r="C903" s="1" t="n">
        <v>45627</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17591-2023</t>
        </is>
      </c>
      <c r="B904" s="1" t="n">
        <v>45036</v>
      </c>
      <c r="C904" s="1" t="n">
        <v>45627</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17603-2023</t>
        </is>
      </c>
      <c r="B905" s="1" t="n">
        <v>45036</v>
      </c>
      <c r="C905" s="1" t="n">
        <v>45627</v>
      </c>
      <c r="D905" t="inlineStr">
        <is>
          <t>JÄMTLANDS LÄN</t>
        </is>
      </c>
      <c r="E905" t="inlineStr">
        <is>
          <t>KROKOM</t>
        </is>
      </c>
      <c r="G905" t="n">
        <v>7.4</v>
      </c>
      <c r="H905" t="n">
        <v>0</v>
      </c>
      <c r="I905" t="n">
        <v>0</v>
      </c>
      <c r="J905" t="n">
        <v>0</v>
      </c>
      <c r="K905" t="n">
        <v>0</v>
      </c>
      <c r="L905" t="n">
        <v>0</v>
      </c>
      <c r="M905" t="n">
        <v>0</v>
      </c>
      <c r="N905" t="n">
        <v>0</v>
      </c>
      <c r="O905" t="n">
        <v>0</v>
      </c>
      <c r="P905" t="n">
        <v>0</v>
      </c>
      <c r="Q905" t="n">
        <v>0</v>
      </c>
      <c r="R905" s="2" t="inlineStr"/>
    </row>
    <row r="906" ht="15" customHeight="1">
      <c r="A906" t="inlineStr">
        <is>
          <t>A 17602-2023</t>
        </is>
      </c>
      <c r="B906" s="1" t="n">
        <v>45036</v>
      </c>
      <c r="C906" s="1" t="n">
        <v>45627</v>
      </c>
      <c r="D906" t="inlineStr">
        <is>
          <t>JÄMTLANDS LÄN</t>
        </is>
      </c>
      <c r="E906" t="inlineStr">
        <is>
          <t>KROKOM</t>
        </is>
      </c>
      <c r="G906" t="n">
        <v>6.9</v>
      </c>
      <c r="H906" t="n">
        <v>0</v>
      </c>
      <c r="I906" t="n">
        <v>0</v>
      </c>
      <c r="J906" t="n">
        <v>0</v>
      </c>
      <c r="K906" t="n">
        <v>0</v>
      </c>
      <c r="L906" t="n">
        <v>0</v>
      </c>
      <c r="M906" t="n">
        <v>0</v>
      </c>
      <c r="N906" t="n">
        <v>0</v>
      </c>
      <c r="O906" t="n">
        <v>0</v>
      </c>
      <c r="P906" t="n">
        <v>0</v>
      </c>
      <c r="Q906" t="n">
        <v>0</v>
      </c>
      <c r="R906" s="2" t="inlineStr"/>
    </row>
    <row r="907" ht="15" customHeight="1">
      <c r="A907" t="inlineStr">
        <is>
          <t>A 17751-2023</t>
        </is>
      </c>
      <c r="B907" s="1" t="n">
        <v>45036</v>
      </c>
      <c r="C907" s="1" t="n">
        <v>45627</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18139-2023</t>
        </is>
      </c>
      <c r="B908" s="1" t="n">
        <v>45040</v>
      </c>
      <c r="C908" s="1" t="n">
        <v>45627</v>
      </c>
      <c r="D908" t="inlineStr">
        <is>
          <t>JÄMTLANDS LÄN</t>
        </is>
      </c>
      <c r="E908" t="inlineStr">
        <is>
          <t>KROKOM</t>
        </is>
      </c>
      <c r="G908" t="n">
        <v>4.6</v>
      </c>
      <c r="H908" t="n">
        <v>0</v>
      </c>
      <c r="I908" t="n">
        <v>0</v>
      </c>
      <c r="J908" t="n">
        <v>0</v>
      </c>
      <c r="K908" t="n">
        <v>0</v>
      </c>
      <c r="L908" t="n">
        <v>0</v>
      </c>
      <c r="M908" t="n">
        <v>0</v>
      </c>
      <c r="N908" t="n">
        <v>0</v>
      </c>
      <c r="O908" t="n">
        <v>0</v>
      </c>
      <c r="P908" t="n">
        <v>0</v>
      </c>
      <c r="Q908" t="n">
        <v>0</v>
      </c>
      <c r="R908" s="2" t="inlineStr"/>
    </row>
    <row r="909" ht="15" customHeight="1">
      <c r="A909" t="inlineStr">
        <is>
          <t>A 18296-2023</t>
        </is>
      </c>
      <c r="B909" s="1" t="n">
        <v>45040</v>
      </c>
      <c r="C909" s="1" t="n">
        <v>45627</v>
      </c>
      <c r="D909" t="inlineStr">
        <is>
          <t>JÄMTLANDS LÄN</t>
        </is>
      </c>
      <c r="E909" t="inlineStr">
        <is>
          <t>KROKOM</t>
        </is>
      </c>
      <c r="G909" t="n">
        <v>20.3</v>
      </c>
      <c r="H909" t="n">
        <v>0</v>
      </c>
      <c r="I909" t="n">
        <v>0</v>
      </c>
      <c r="J909" t="n">
        <v>0</v>
      </c>
      <c r="K909" t="n">
        <v>0</v>
      </c>
      <c r="L909" t="n">
        <v>0</v>
      </c>
      <c r="M909" t="n">
        <v>0</v>
      </c>
      <c r="N909" t="n">
        <v>0</v>
      </c>
      <c r="O909" t="n">
        <v>0</v>
      </c>
      <c r="P909" t="n">
        <v>0</v>
      </c>
      <c r="Q909" t="n">
        <v>0</v>
      </c>
      <c r="R909" s="2" t="inlineStr"/>
    </row>
    <row r="910" ht="15" customHeight="1">
      <c r="A910" t="inlineStr">
        <is>
          <t>A 18539-2023</t>
        </is>
      </c>
      <c r="B910" s="1" t="n">
        <v>45041</v>
      </c>
      <c r="C910" s="1" t="n">
        <v>45627</v>
      </c>
      <c r="D910" t="inlineStr">
        <is>
          <t>JÄMTLANDS LÄN</t>
        </is>
      </c>
      <c r="E910" t="inlineStr">
        <is>
          <t>KROKOM</t>
        </is>
      </c>
      <c r="G910" t="n">
        <v>1.9</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45627</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18990-2023</t>
        </is>
      </c>
      <c r="B912" s="1" t="n">
        <v>45045</v>
      </c>
      <c r="C912" s="1" t="n">
        <v>45627</v>
      </c>
      <c r="D912" t="inlineStr">
        <is>
          <t>JÄMTLANDS LÄN</t>
        </is>
      </c>
      <c r="E912" t="inlineStr">
        <is>
          <t>KROKOM</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19245-2023</t>
        </is>
      </c>
      <c r="B913" s="1" t="n">
        <v>45048</v>
      </c>
      <c r="C913" s="1" t="n">
        <v>45627</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19247-2023</t>
        </is>
      </c>
      <c r="B914" s="1" t="n">
        <v>45048</v>
      </c>
      <c r="C914" s="1" t="n">
        <v>45627</v>
      </c>
      <c r="D914" t="inlineStr">
        <is>
          <t>JÄMTLANDS LÄN</t>
        </is>
      </c>
      <c r="E914" t="inlineStr">
        <is>
          <t>KROKOM</t>
        </is>
      </c>
      <c r="F914" t="inlineStr">
        <is>
          <t>SCA</t>
        </is>
      </c>
      <c r="G914" t="n">
        <v>13.4</v>
      </c>
      <c r="H914" t="n">
        <v>0</v>
      </c>
      <c r="I914" t="n">
        <v>0</v>
      </c>
      <c r="J914" t="n">
        <v>0</v>
      </c>
      <c r="K914" t="n">
        <v>0</v>
      </c>
      <c r="L914" t="n">
        <v>0</v>
      </c>
      <c r="M914" t="n">
        <v>0</v>
      </c>
      <c r="N914" t="n">
        <v>0</v>
      </c>
      <c r="O914" t="n">
        <v>0</v>
      </c>
      <c r="P914" t="n">
        <v>0</v>
      </c>
      <c r="Q914" t="n">
        <v>0</v>
      </c>
      <c r="R914" s="2" t="inlineStr"/>
    </row>
    <row r="915" ht="15" customHeight="1">
      <c r="A915" t="inlineStr">
        <is>
          <t>A 19502-2023</t>
        </is>
      </c>
      <c r="B915" s="1" t="n">
        <v>45049</v>
      </c>
      <c r="C915" s="1" t="n">
        <v>45627</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19348-2023</t>
        </is>
      </c>
      <c r="B916" s="1" t="n">
        <v>45049</v>
      </c>
      <c r="C916" s="1" t="n">
        <v>45627</v>
      </c>
      <c r="D916" t="inlineStr">
        <is>
          <t>JÄMTLANDS LÄN</t>
        </is>
      </c>
      <c r="E916" t="inlineStr">
        <is>
          <t>KROKOM</t>
        </is>
      </c>
      <c r="G916" t="n">
        <v>11.6</v>
      </c>
      <c r="H916" t="n">
        <v>0</v>
      </c>
      <c r="I916" t="n">
        <v>0</v>
      </c>
      <c r="J916" t="n">
        <v>0</v>
      </c>
      <c r="K916" t="n">
        <v>0</v>
      </c>
      <c r="L916" t="n">
        <v>0</v>
      </c>
      <c r="M916" t="n">
        <v>0</v>
      </c>
      <c r="N916" t="n">
        <v>0</v>
      </c>
      <c r="O916" t="n">
        <v>0</v>
      </c>
      <c r="P916" t="n">
        <v>0</v>
      </c>
      <c r="Q916" t="n">
        <v>0</v>
      </c>
      <c r="R916" s="2" t="inlineStr"/>
    </row>
    <row r="917" ht="15" customHeight="1">
      <c r="A917" t="inlineStr">
        <is>
          <t>A 19478-2023</t>
        </is>
      </c>
      <c r="B917" s="1" t="n">
        <v>45050</v>
      </c>
      <c r="C917" s="1" t="n">
        <v>45627</v>
      </c>
      <c r="D917" t="inlineStr">
        <is>
          <t>JÄMTLANDS LÄN</t>
        </is>
      </c>
      <c r="E917" t="inlineStr">
        <is>
          <t>KROKOM</t>
        </is>
      </c>
      <c r="F917" t="inlineStr">
        <is>
          <t>Övriga Aktiebolag</t>
        </is>
      </c>
      <c r="G917" t="n">
        <v>22.2</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45627</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20742-2023</t>
        </is>
      </c>
      <c r="B919" s="1" t="n">
        <v>45055</v>
      </c>
      <c r="C919" s="1" t="n">
        <v>45627</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20966-2023</t>
        </is>
      </c>
      <c r="B920" s="1" t="n">
        <v>45056</v>
      </c>
      <c r="C920" s="1" t="n">
        <v>45627</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20953-2023</t>
        </is>
      </c>
      <c r="B921" s="1" t="n">
        <v>45056</v>
      </c>
      <c r="C921" s="1" t="n">
        <v>45627</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20976-2023</t>
        </is>
      </c>
      <c r="B922" s="1" t="n">
        <v>45056</v>
      </c>
      <c r="C922" s="1" t="n">
        <v>45627</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20622-2023</t>
        </is>
      </c>
      <c r="B923" s="1" t="n">
        <v>45057</v>
      </c>
      <c r="C923" s="1" t="n">
        <v>45627</v>
      </c>
      <c r="D923" t="inlineStr">
        <is>
          <t>JÄMTLANDS LÄN</t>
        </is>
      </c>
      <c r="E923" t="inlineStr">
        <is>
          <t>KROKOM</t>
        </is>
      </c>
      <c r="F923" t="inlineStr">
        <is>
          <t>SCA</t>
        </is>
      </c>
      <c r="G923" t="n">
        <v>15.5</v>
      </c>
      <c r="H923" t="n">
        <v>0</v>
      </c>
      <c r="I923" t="n">
        <v>0</v>
      </c>
      <c r="J923" t="n">
        <v>0</v>
      </c>
      <c r="K923" t="n">
        <v>0</v>
      </c>
      <c r="L923" t="n">
        <v>0</v>
      </c>
      <c r="M923" t="n">
        <v>0</v>
      </c>
      <c r="N923" t="n">
        <v>0</v>
      </c>
      <c r="O923" t="n">
        <v>0</v>
      </c>
      <c r="P923" t="n">
        <v>0</v>
      </c>
      <c r="Q923" t="n">
        <v>0</v>
      </c>
      <c r="R923" s="2" t="inlineStr"/>
    </row>
    <row r="924" ht="15" customHeight="1">
      <c r="A924" t="inlineStr">
        <is>
          <t>A 20623-2023</t>
        </is>
      </c>
      <c r="B924" s="1" t="n">
        <v>45058</v>
      </c>
      <c r="C924" s="1" t="n">
        <v>45627</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20860-2023</t>
        </is>
      </c>
      <c r="B925" s="1" t="n">
        <v>45059</v>
      </c>
      <c r="C925" s="1" t="n">
        <v>45627</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21348-2023</t>
        </is>
      </c>
      <c r="B926" s="1" t="n">
        <v>45062</v>
      </c>
      <c r="C926" s="1" t="n">
        <v>45627</v>
      </c>
      <c r="D926" t="inlineStr">
        <is>
          <t>JÄMTLANDS LÄN</t>
        </is>
      </c>
      <c r="E926" t="inlineStr">
        <is>
          <t>KROKOM</t>
        </is>
      </c>
      <c r="F926" t="inlineStr">
        <is>
          <t>SCA</t>
        </is>
      </c>
      <c r="G926" t="n">
        <v>48.1</v>
      </c>
      <c r="H926" t="n">
        <v>0</v>
      </c>
      <c r="I926" t="n">
        <v>0</v>
      </c>
      <c r="J926" t="n">
        <v>0</v>
      </c>
      <c r="K926" t="n">
        <v>0</v>
      </c>
      <c r="L926" t="n">
        <v>0</v>
      </c>
      <c r="M926" t="n">
        <v>0</v>
      </c>
      <c r="N926" t="n">
        <v>0</v>
      </c>
      <c r="O926" t="n">
        <v>0</v>
      </c>
      <c r="P926" t="n">
        <v>0</v>
      </c>
      <c r="Q926" t="n">
        <v>0</v>
      </c>
      <c r="R926" s="2" t="inlineStr"/>
    </row>
    <row r="927" ht="15" customHeight="1">
      <c r="A927" t="inlineStr">
        <is>
          <t>A 21347-2023</t>
        </is>
      </c>
      <c r="B927" s="1" t="n">
        <v>45062</v>
      </c>
      <c r="C927" s="1" t="n">
        <v>45627</v>
      </c>
      <c r="D927" t="inlineStr">
        <is>
          <t>JÄMTLANDS LÄN</t>
        </is>
      </c>
      <c r="E927" t="inlineStr">
        <is>
          <t>KROKOM</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21784-2023</t>
        </is>
      </c>
      <c r="B928" s="1" t="n">
        <v>45065</v>
      </c>
      <c r="C928" s="1" t="n">
        <v>45627</v>
      </c>
      <c r="D928" t="inlineStr">
        <is>
          <t>JÄMTLANDS LÄN</t>
        </is>
      </c>
      <c r="E928" t="inlineStr">
        <is>
          <t>KROKOM</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23326-2023</t>
        </is>
      </c>
      <c r="B929" s="1" t="n">
        <v>45071</v>
      </c>
      <c r="C929" s="1" t="n">
        <v>45627</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22999-2023</t>
        </is>
      </c>
      <c r="B930" s="1" t="n">
        <v>45073</v>
      </c>
      <c r="C930" s="1" t="n">
        <v>45627</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23139-2023</t>
        </is>
      </c>
      <c r="B931" s="1" t="n">
        <v>45075</v>
      </c>
      <c r="C931" s="1" t="n">
        <v>45627</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24069-2023</t>
        </is>
      </c>
      <c r="B932" s="1" t="n">
        <v>45079</v>
      </c>
      <c r="C932" s="1" t="n">
        <v>45627</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24387-2023</t>
        </is>
      </c>
      <c r="B933" s="1" t="n">
        <v>45082</v>
      </c>
      <c r="C933" s="1" t="n">
        <v>45627</v>
      </c>
      <c r="D933" t="inlineStr">
        <is>
          <t>JÄMTLANDS LÄN</t>
        </is>
      </c>
      <c r="E933" t="inlineStr">
        <is>
          <t>KROKOM</t>
        </is>
      </c>
      <c r="F933" t="inlineStr">
        <is>
          <t>Kyrkan</t>
        </is>
      </c>
      <c r="G933" t="n">
        <v>21.2</v>
      </c>
      <c r="H933" t="n">
        <v>0</v>
      </c>
      <c r="I933" t="n">
        <v>0</v>
      </c>
      <c r="J933" t="n">
        <v>0</v>
      </c>
      <c r="K933" t="n">
        <v>0</v>
      </c>
      <c r="L933" t="n">
        <v>0</v>
      </c>
      <c r="M933" t="n">
        <v>0</v>
      </c>
      <c r="N933" t="n">
        <v>0</v>
      </c>
      <c r="O933" t="n">
        <v>0</v>
      </c>
      <c r="P933" t="n">
        <v>0</v>
      </c>
      <c r="Q933" t="n">
        <v>0</v>
      </c>
      <c r="R933" s="2" t="inlineStr"/>
    </row>
    <row r="934" ht="15" customHeight="1">
      <c r="A934" t="inlineStr">
        <is>
          <t>A 25726-2023</t>
        </is>
      </c>
      <c r="B934" s="1" t="n">
        <v>45084</v>
      </c>
      <c r="C934" s="1" t="n">
        <v>45627</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24824-2023</t>
        </is>
      </c>
      <c r="B935" s="1" t="n">
        <v>45085</v>
      </c>
      <c r="C935" s="1" t="n">
        <v>45627</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25309-2023</t>
        </is>
      </c>
      <c r="B936" s="1" t="n">
        <v>45087</v>
      </c>
      <c r="C936" s="1" t="n">
        <v>45627</v>
      </c>
      <c r="D936" t="inlineStr">
        <is>
          <t>JÄMTLANDS LÄN</t>
        </is>
      </c>
      <c r="E936" t="inlineStr">
        <is>
          <t>KROKOM</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26270-2023</t>
        </is>
      </c>
      <c r="B937" s="1" t="n">
        <v>45086</v>
      </c>
      <c r="C937" s="1" t="n">
        <v>45627</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26693-2023</t>
        </is>
      </c>
      <c r="B938" s="1" t="n">
        <v>45090</v>
      </c>
      <c r="C938" s="1" t="n">
        <v>45627</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26005-2023</t>
        </is>
      </c>
      <c r="B939" s="1" t="n">
        <v>45091</v>
      </c>
      <c r="C939" s="1" t="n">
        <v>45627</v>
      </c>
      <c r="D939" t="inlineStr">
        <is>
          <t>JÄMTLANDS LÄN</t>
        </is>
      </c>
      <c r="E939" t="inlineStr">
        <is>
          <t>KROKOM</t>
        </is>
      </c>
      <c r="G939" t="n">
        <v>18.3</v>
      </c>
      <c r="H939" t="n">
        <v>0</v>
      </c>
      <c r="I939" t="n">
        <v>0</v>
      </c>
      <c r="J939" t="n">
        <v>0</v>
      </c>
      <c r="K939" t="n">
        <v>0</v>
      </c>
      <c r="L939" t="n">
        <v>0</v>
      </c>
      <c r="M939" t="n">
        <v>0</v>
      </c>
      <c r="N939" t="n">
        <v>0</v>
      </c>
      <c r="O939" t="n">
        <v>0</v>
      </c>
      <c r="P939" t="n">
        <v>0</v>
      </c>
      <c r="Q939" t="n">
        <v>0</v>
      </c>
      <c r="R939" s="2" t="inlineStr"/>
    </row>
    <row r="940" ht="15" customHeight="1">
      <c r="A940" t="inlineStr">
        <is>
          <t>A 26721-2023</t>
        </is>
      </c>
      <c r="B940" s="1" t="n">
        <v>45090</v>
      </c>
      <c r="C940" s="1" t="n">
        <v>45627</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26006-2023</t>
        </is>
      </c>
      <c r="B941" s="1" t="n">
        <v>45091</v>
      </c>
      <c r="C941" s="1" t="n">
        <v>45627</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26739-2023</t>
        </is>
      </c>
      <c r="B942" s="1" t="n">
        <v>45090</v>
      </c>
      <c r="C942" s="1" t="n">
        <v>45627</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26805-2023</t>
        </is>
      </c>
      <c r="B943" s="1" t="n">
        <v>45090</v>
      </c>
      <c r="C943" s="1" t="n">
        <v>45627</v>
      </c>
      <c r="D943" t="inlineStr">
        <is>
          <t>JÄMTLANDS LÄN</t>
        </is>
      </c>
      <c r="E943" t="inlineStr">
        <is>
          <t>KROKOM</t>
        </is>
      </c>
      <c r="G943" t="n">
        <v>20.4</v>
      </c>
      <c r="H943" t="n">
        <v>0</v>
      </c>
      <c r="I943" t="n">
        <v>0</v>
      </c>
      <c r="J943" t="n">
        <v>0</v>
      </c>
      <c r="K943" t="n">
        <v>0</v>
      </c>
      <c r="L943" t="n">
        <v>0</v>
      </c>
      <c r="M943" t="n">
        <v>0</v>
      </c>
      <c r="N943" t="n">
        <v>0</v>
      </c>
      <c r="O943" t="n">
        <v>0</v>
      </c>
      <c r="P943" t="n">
        <v>0</v>
      </c>
      <c r="Q943" t="n">
        <v>0</v>
      </c>
      <c r="R943" s="2" t="inlineStr"/>
    </row>
    <row r="944" ht="15" customHeight="1">
      <c r="A944" t="inlineStr">
        <is>
          <t>A 26662-2023</t>
        </is>
      </c>
      <c r="B944" s="1" t="n">
        <v>45093</v>
      </c>
      <c r="C944" s="1" t="n">
        <v>45627</v>
      </c>
      <c r="D944" t="inlineStr">
        <is>
          <t>JÄMTLANDS LÄN</t>
        </is>
      </c>
      <c r="E944" t="inlineStr">
        <is>
          <t>KROKOM</t>
        </is>
      </c>
      <c r="G944" t="n">
        <v>12.6</v>
      </c>
      <c r="H944" t="n">
        <v>0</v>
      </c>
      <c r="I944" t="n">
        <v>0</v>
      </c>
      <c r="J944" t="n">
        <v>0</v>
      </c>
      <c r="K944" t="n">
        <v>0</v>
      </c>
      <c r="L944" t="n">
        <v>0</v>
      </c>
      <c r="M944" t="n">
        <v>0</v>
      </c>
      <c r="N944" t="n">
        <v>0</v>
      </c>
      <c r="O944" t="n">
        <v>0</v>
      </c>
      <c r="P944" t="n">
        <v>0</v>
      </c>
      <c r="Q944" t="n">
        <v>0</v>
      </c>
      <c r="R944" s="2" t="inlineStr"/>
    </row>
    <row r="945" ht="15" customHeight="1">
      <c r="A945" t="inlineStr">
        <is>
          <t>A 26661-2023</t>
        </is>
      </c>
      <c r="B945" s="1" t="n">
        <v>45093</v>
      </c>
      <c r="C945" s="1" t="n">
        <v>45627</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28137-2023</t>
        </is>
      </c>
      <c r="B946" s="1" t="n">
        <v>45096</v>
      </c>
      <c r="C946" s="1" t="n">
        <v>45627</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27616-2023</t>
        </is>
      </c>
      <c r="B947" s="1" t="n">
        <v>45097</v>
      </c>
      <c r="C947" s="1" t="n">
        <v>45627</v>
      </c>
      <c r="D947" t="inlineStr">
        <is>
          <t>JÄMTLANDS LÄN</t>
        </is>
      </c>
      <c r="E947" t="inlineStr">
        <is>
          <t>KROKOM</t>
        </is>
      </c>
      <c r="F947" t="inlineStr">
        <is>
          <t>Övriga Aktiebolag</t>
        </is>
      </c>
      <c r="G947" t="n">
        <v>13.3</v>
      </c>
      <c r="H947" t="n">
        <v>0</v>
      </c>
      <c r="I947" t="n">
        <v>0</v>
      </c>
      <c r="J947" t="n">
        <v>0</v>
      </c>
      <c r="K947" t="n">
        <v>0</v>
      </c>
      <c r="L947" t="n">
        <v>0</v>
      </c>
      <c r="M947" t="n">
        <v>0</v>
      </c>
      <c r="N947" t="n">
        <v>0</v>
      </c>
      <c r="O947" t="n">
        <v>0</v>
      </c>
      <c r="P947" t="n">
        <v>0</v>
      </c>
      <c r="Q947" t="n">
        <v>0</v>
      </c>
      <c r="R947" s="2" t="inlineStr"/>
    </row>
    <row r="948" ht="15" customHeight="1">
      <c r="A948" t="inlineStr">
        <is>
          <t>A 29224-2023</t>
        </is>
      </c>
      <c r="B948" s="1" t="n">
        <v>45097</v>
      </c>
      <c r="C948" s="1" t="n">
        <v>45627</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29244-2023</t>
        </is>
      </c>
      <c r="B949" s="1" t="n">
        <v>45097</v>
      </c>
      <c r="C949" s="1" t="n">
        <v>45627</v>
      </c>
      <c r="D949" t="inlineStr">
        <is>
          <t>JÄMTLANDS LÄN</t>
        </is>
      </c>
      <c r="E949" t="inlineStr">
        <is>
          <t>KROKOM</t>
        </is>
      </c>
      <c r="G949" t="n">
        <v>4.4</v>
      </c>
      <c r="H949" t="n">
        <v>0</v>
      </c>
      <c r="I949" t="n">
        <v>0</v>
      </c>
      <c r="J949" t="n">
        <v>0</v>
      </c>
      <c r="K949" t="n">
        <v>0</v>
      </c>
      <c r="L949" t="n">
        <v>0</v>
      </c>
      <c r="M949" t="n">
        <v>0</v>
      </c>
      <c r="N949" t="n">
        <v>0</v>
      </c>
      <c r="O949" t="n">
        <v>0</v>
      </c>
      <c r="P949" t="n">
        <v>0</v>
      </c>
      <c r="Q949" t="n">
        <v>0</v>
      </c>
      <c r="R949" s="2" t="inlineStr"/>
    </row>
    <row r="950" ht="15" customHeight="1">
      <c r="A950" t="inlineStr">
        <is>
          <t>A 28068-2023</t>
        </is>
      </c>
      <c r="B950" s="1" t="n">
        <v>45099</v>
      </c>
      <c r="C950" s="1" t="n">
        <v>45627</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28072-2023</t>
        </is>
      </c>
      <c r="B951" s="1" t="n">
        <v>45099</v>
      </c>
      <c r="C951" s="1" t="n">
        <v>45627</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28062-2023</t>
        </is>
      </c>
      <c r="B952" s="1" t="n">
        <v>45099</v>
      </c>
      <c r="C952" s="1" t="n">
        <v>45627</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28067-2023</t>
        </is>
      </c>
      <c r="B953" s="1" t="n">
        <v>45099</v>
      </c>
      <c r="C953" s="1" t="n">
        <v>45627</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30450-2023</t>
        </is>
      </c>
      <c r="B954" s="1" t="n">
        <v>45099</v>
      </c>
      <c r="C954" s="1" t="n">
        <v>45627</v>
      </c>
      <c r="D954" t="inlineStr">
        <is>
          <t>JÄMTLANDS LÄN</t>
        </is>
      </c>
      <c r="E954" t="inlineStr">
        <is>
          <t>KROKOM</t>
        </is>
      </c>
      <c r="G954" t="n">
        <v>5.3</v>
      </c>
      <c r="H954" t="n">
        <v>0</v>
      </c>
      <c r="I954" t="n">
        <v>0</v>
      </c>
      <c r="J954" t="n">
        <v>0</v>
      </c>
      <c r="K954" t="n">
        <v>0</v>
      </c>
      <c r="L954" t="n">
        <v>0</v>
      </c>
      <c r="M954" t="n">
        <v>0</v>
      </c>
      <c r="N954" t="n">
        <v>0</v>
      </c>
      <c r="O954" t="n">
        <v>0</v>
      </c>
      <c r="P954" t="n">
        <v>0</v>
      </c>
      <c r="Q954" t="n">
        <v>0</v>
      </c>
      <c r="R954" s="2" t="inlineStr"/>
    </row>
    <row r="955" ht="15" customHeight="1">
      <c r="A955" t="inlineStr">
        <is>
          <t>A 28758-2023</t>
        </is>
      </c>
      <c r="B955" s="1" t="n">
        <v>45104</v>
      </c>
      <c r="C955" s="1" t="n">
        <v>45627</v>
      </c>
      <c r="D955" t="inlineStr">
        <is>
          <t>JÄMTLANDS LÄN</t>
        </is>
      </c>
      <c r="E955" t="inlineStr">
        <is>
          <t>KROKOM</t>
        </is>
      </c>
      <c r="G955" t="n">
        <v>9.6</v>
      </c>
      <c r="H955" t="n">
        <v>0</v>
      </c>
      <c r="I955" t="n">
        <v>0</v>
      </c>
      <c r="J955" t="n">
        <v>0</v>
      </c>
      <c r="K955" t="n">
        <v>0</v>
      </c>
      <c r="L955" t="n">
        <v>0</v>
      </c>
      <c r="M955" t="n">
        <v>0</v>
      </c>
      <c r="N955" t="n">
        <v>0</v>
      </c>
      <c r="O955" t="n">
        <v>0</v>
      </c>
      <c r="P955" t="n">
        <v>0</v>
      </c>
      <c r="Q955" t="n">
        <v>0</v>
      </c>
      <c r="R955" s="2" t="inlineStr"/>
    </row>
    <row r="956" ht="15" customHeight="1">
      <c r="A956" t="inlineStr">
        <is>
          <t>A 28763-2023</t>
        </is>
      </c>
      <c r="B956" s="1" t="n">
        <v>45104</v>
      </c>
      <c r="C956" s="1" t="n">
        <v>45627</v>
      </c>
      <c r="D956" t="inlineStr">
        <is>
          <t>JÄMTLANDS LÄN</t>
        </is>
      </c>
      <c r="E956" t="inlineStr">
        <is>
          <t>KROKOM</t>
        </is>
      </c>
      <c r="G956" t="n">
        <v>6</v>
      </c>
      <c r="H956" t="n">
        <v>0</v>
      </c>
      <c r="I956" t="n">
        <v>0</v>
      </c>
      <c r="J956" t="n">
        <v>0</v>
      </c>
      <c r="K956" t="n">
        <v>0</v>
      </c>
      <c r="L956" t="n">
        <v>0</v>
      </c>
      <c r="M956" t="n">
        <v>0</v>
      </c>
      <c r="N956" t="n">
        <v>0</v>
      </c>
      <c r="O956" t="n">
        <v>0</v>
      </c>
      <c r="P956" t="n">
        <v>0</v>
      </c>
      <c r="Q956" t="n">
        <v>0</v>
      </c>
      <c r="R956" s="2" t="inlineStr"/>
    </row>
    <row r="957" ht="15" customHeight="1">
      <c r="A957" t="inlineStr">
        <is>
          <t>A 29345-2023</t>
        </is>
      </c>
      <c r="B957" s="1" t="n">
        <v>45105</v>
      </c>
      <c r="C957" s="1" t="n">
        <v>45627</v>
      </c>
      <c r="D957" t="inlineStr">
        <is>
          <t>JÄMTLANDS LÄN</t>
        </is>
      </c>
      <c r="E957" t="inlineStr">
        <is>
          <t>KROKOM</t>
        </is>
      </c>
      <c r="G957" t="n">
        <v>33.9</v>
      </c>
      <c r="H957" t="n">
        <v>0</v>
      </c>
      <c r="I957" t="n">
        <v>0</v>
      </c>
      <c r="J957" t="n">
        <v>0</v>
      </c>
      <c r="K957" t="n">
        <v>0</v>
      </c>
      <c r="L957" t="n">
        <v>0</v>
      </c>
      <c r="M957" t="n">
        <v>0</v>
      </c>
      <c r="N957" t="n">
        <v>0</v>
      </c>
      <c r="O957" t="n">
        <v>0</v>
      </c>
      <c r="P957" t="n">
        <v>0</v>
      </c>
      <c r="Q957" t="n">
        <v>0</v>
      </c>
      <c r="R957" s="2" t="inlineStr"/>
    </row>
    <row r="958" ht="15" customHeight="1">
      <c r="A958" t="inlineStr">
        <is>
          <t>A 29630-2023</t>
        </is>
      </c>
      <c r="B958" s="1" t="n">
        <v>45107</v>
      </c>
      <c r="C958" s="1" t="n">
        <v>45627</v>
      </c>
      <c r="D958" t="inlineStr">
        <is>
          <t>JÄMTLANDS LÄN</t>
        </is>
      </c>
      <c r="E958" t="inlineStr">
        <is>
          <t>KROKOM</t>
        </is>
      </c>
      <c r="G958" t="n">
        <v>15.4</v>
      </c>
      <c r="H958" t="n">
        <v>0</v>
      </c>
      <c r="I958" t="n">
        <v>0</v>
      </c>
      <c r="J958" t="n">
        <v>0</v>
      </c>
      <c r="K958" t="n">
        <v>0</v>
      </c>
      <c r="L958" t="n">
        <v>0</v>
      </c>
      <c r="M958" t="n">
        <v>0</v>
      </c>
      <c r="N958" t="n">
        <v>0</v>
      </c>
      <c r="O958" t="n">
        <v>0</v>
      </c>
      <c r="P958" t="n">
        <v>0</v>
      </c>
      <c r="Q958" t="n">
        <v>0</v>
      </c>
      <c r="R958" s="2" t="inlineStr"/>
    </row>
    <row r="959" ht="15" customHeight="1">
      <c r="A959" t="inlineStr">
        <is>
          <t>A 29936-2023</t>
        </is>
      </c>
      <c r="B959" s="1" t="n">
        <v>45107</v>
      </c>
      <c r="C959" s="1" t="n">
        <v>45627</v>
      </c>
      <c r="D959" t="inlineStr">
        <is>
          <t>JÄMTLANDS LÄN</t>
        </is>
      </c>
      <c r="E959" t="inlineStr">
        <is>
          <t>KROKOM</t>
        </is>
      </c>
      <c r="G959" t="n">
        <v>77.40000000000001</v>
      </c>
      <c r="H959" t="n">
        <v>0</v>
      </c>
      <c r="I959" t="n">
        <v>0</v>
      </c>
      <c r="J959" t="n">
        <v>0</v>
      </c>
      <c r="K959" t="n">
        <v>0</v>
      </c>
      <c r="L959" t="n">
        <v>0</v>
      </c>
      <c r="M959" t="n">
        <v>0</v>
      </c>
      <c r="N959" t="n">
        <v>0</v>
      </c>
      <c r="O959" t="n">
        <v>0</v>
      </c>
      <c r="P959" t="n">
        <v>0</v>
      </c>
      <c r="Q959" t="n">
        <v>0</v>
      </c>
      <c r="R959" s="2" t="inlineStr"/>
    </row>
    <row r="960" ht="15" customHeight="1">
      <c r="A960" t="inlineStr">
        <is>
          <t>A 32131-2023</t>
        </is>
      </c>
      <c r="B960" s="1" t="n">
        <v>45107</v>
      </c>
      <c r="C960" s="1" t="n">
        <v>45627</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32123-2023</t>
        </is>
      </c>
      <c r="B961" s="1" t="n">
        <v>45107</v>
      </c>
      <c r="C961" s="1" t="n">
        <v>45627</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29986-2023</t>
        </is>
      </c>
      <c r="B962" s="1" t="n">
        <v>45109</v>
      </c>
      <c r="C962" s="1" t="n">
        <v>45627</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30314-2023</t>
        </is>
      </c>
      <c r="B963" s="1" t="n">
        <v>45111</v>
      </c>
      <c r="C963" s="1" t="n">
        <v>45627</v>
      </c>
      <c r="D963" t="inlineStr">
        <is>
          <t>JÄMTLANDS LÄN</t>
        </is>
      </c>
      <c r="E963" t="inlineStr">
        <is>
          <t>KROKOM</t>
        </is>
      </c>
      <c r="G963" t="n">
        <v>4.8</v>
      </c>
      <c r="H963" t="n">
        <v>0</v>
      </c>
      <c r="I963" t="n">
        <v>0</v>
      </c>
      <c r="J963" t="n">
        <v>0</v>
      </c>
      <c r="K963" t="n">
        <v>0</v>
      </c>
      <c r="L963" t="n">
        <v>0</v>
      </c>
      <c r="M963" t="n">
        <v>0</v>
      </c>
      <c r="N963" t="n">
        <v>0</v>
      </c>
      <c r="O963" t="n">
        <v>0</v>
      </c>
      <c r="P963" t="n">
        <v>0</v>
      </c>
      <c r="Q963" t="n">
        <v>0</v>
      </c>
      <c r="R963" s="2" t="inlineStr"/>
    </row>
    <row r="964" ht="15" customHeight="1">
      <c r="A964" t="inlineStr">
        <is>
          <t>A 30486-2023</t>
        </is>
      </c>
      <c r="B964" s="1" t="n">
        <v>45111</v>
      </c>
      <c r="C964" s="1" t="n">
        <v>45627</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30488-2023</t>
        </is>
      </c>
      <c r="B965" s="1" t="n">
        <v>45111</v>
      </c>
      <c r="C965" s="1" t="n">
        <v>45627</v>
      </c>
      <c r="D965" t="inlineStr">
        <is>
          <t>JÄMTLANDS LÄN</t>
        </is>
      </c>
      <c r="E965" t="inlineStr">
        <is>
          <t>KROKOM</t>
        </is>
      </c>
      <c r="G965" t="n">
        <v>4.1</v>
      </c>
      <c r="H965" t="n">
        <v>0</v>
      </c>
      <c r="I965" t="n">
        <v>0</v>
      </c>
      <c r="J965" t="n">
        <v>0</v>
      </c>
      <c r="K965" t="n">
        <v>0</v>
      </c>
      <c r="L965" t="n">
        <v>0</v>
      </c>
      <c r="M965" t="n">
        <v>0</v>
      </c>
      <c r="N965" t="n">
        <v>0</v>
      </c>
      <c r="O965" t="n">
        <v>0</v>
      </c>
      <c r="P965" t="n">
        <v>0</v>
      </c>
      <c r="Q965" t="n">
        <v>0</v>
      </c>
      <c r="R965" s="2" t="inlineStr"/>
    </row>
    <row r="966" ht="15" customHeight="1">
      <c r="A966" t="inlineStr">
        <is>
          <t>A 30429-2023</t>
        </is>
      </c>
      <c r="B966" s="1" t="n">
        <v>45111</v>
      </c>
      <c r="C966" s="1" t="n">
        <v>45627</v>
      </c>
      <c r="D966" t="inlineStr">
        <is>
          <t>JÄMTLANDS LÄN</t>
        </is>
      </c>
      <c r="E966" t="inlineStr">
        <is>
          <t>KROKOM</t>
        </is>
      </c>
      <c r="G966" t="n">
        <v>7.2</v>
      </c>
      <c r="H966" t="n">
        <v>0</v>
      </c>
      <c r="I966" t="n">
        <v>0</v>
      </c>
      <c r="J966" t="n">
        <v>0</v>
      </c>
      <c r="K966" t="n">
        <v>0</v>
      </c>
      <c r="L966" t="n">
        <v>0</v>
      </c>
      <c r="M966" t="n">
        <v>0</v>
      </c>
      <c r="N966" t="n">
        <v>0</v>
      </c>
      <c r="O966" t="n">
        <v>0</v>
      </c>
      <c r="P966" t="n">
        <v>0</v>
      </c>
      <c r="Q966" t="n">
        <v>0</v>
      </c>
      <c r="R966" s="2" t="inlineStr"/>
    </row>
    <row r="967" ht="15" customHeight="1">
      <c r="A967" t="inlineStr">
        <is>
          <t>A 30566-2023</t>
        </is>
      </c>
      <c r="B967" s="1" t="n">
        <v>45112</v>
      </c>
      <c r="C967" s="1" t="n">
        <v>45627</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30771-2023</t>
        </is>
      </c>
      <c r="B968" s="1" t="n">
        <v>45112</v>
      </c>
      <c r="C968" s="1" t="n">
        <v>45627</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32692-2023</t>
        </is>
      </c>
      <c r="B969" s="1" t="n">
        <v>45112</v>
      </c>
      <c r="C969" s="1" t="n">
        <v>45627</v>
      </c>
      <c r="D969" t="inlineStr">
        <is>
          <t>JÄMTLANDS LÄN</t>
        </is>
      </c>
      <c r="E969" t="inlineStr">
        <is>
          <t>KROKOM</t>
        </is>
      </c>
      <c r="G969" t="n">
        <v>6.6</v>
      </c>
      <c r="H969" t="n">
        <v>0</v>
      </c>
      <c r="I969" t="n">
        <v>0</v>
      </c>
      <c r="J969" t="n">
        <v>0</v>
      </c>
      <c r="K969" t="n">
        <v>0</v>
      </c>
      <c r="L969" t="n">
        <v>0</v>
      </c>
      <c r="M969" t="n">
        <v>0</v>
      </c>
      <c r="N969" t="n">
        <v>0</v>
      </c>
      <c r="O969" t="n">
        <v>0</v>
      </c>
      <c r="P969" t="n">
        <v>0</v>
      </c>
      <c r="Q969" t="n">
        <v>0</v>
      </c>
      <c r="R969" s="2" t="inlineStr"/>
    </row>
    <row r="970" ht="15" customHeight="1">
      <c r="A970" t="inlineStr">
        <is>
          <t>A 32650-2023</t>
        </is>
      </c>
      <c r="B970" s="1" t="n">
        <v>45112</v>
      </c>
      <c r="C970" s="1" t="n">
        <v>45627</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32881-2023</t>
        </is>
      </c>
      <c r="B971" s="1" t="n">
        <v>45112</v>
      </c>
      <c r="C971" s="1" t="n">
        <v>45627</v>
      </c>
      <c r="D971" t="inlineStr">
        <is>
          <t>JÄMTLANDS LÄN</t>
        </is>
      </c>
      <c r="E971" t="inlineStr">
        <is>
          <t>KROKOM</t>
        </is>
      </c>
      <c r="G971" t="n">
        <v>3.5</v>
      </c>
      <c r="H971" t="n">
        <v>0</v>
      </c>
      <c r="I971" t="n">
        <v>0</v>
      </c>
      <c r="J971" t="n">
        <v>0</v>
      </c>
      <c r="K971" t="n">
        <v>0</v>
      </c>
      <c r="L971" t="n">
        <v>0</v>
      </c>
      <c r="M971" t="n">
        <v>0</v>
      </c>
      <c r="N971" t="n">
        <v>0</v>
      </c>
      <c r="O971" t="n">
        <v>0</v>
      </c>
      <c r="P971" t="n">
        <v>0</v>
      </c>
      <c r="Q971" t="n">
        <v>0</v>
      </c>
      <c r="R971" s="2" t="inlineStr"/>
    </row>
    <row r="972" ht="15" customHeight="1">
      <c r="A972" t="inlineStr">
        <is>
          <t>A 32837-2023</t>
        </is>
      </c>
      <c r="B972" s="1" t="n">
        <v>45112</v>
      </c>
      <c r="C972" s="1" t="n">
        <v>45627</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31386-2023</t>
        </is>
      </c>
      <c r="B973" s="1" t="n">
        <v>45114</v>
      </c>
      <c r="C973" s="1" t="n">
        <v>45627</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31395-2023</t>
        </is>
      </c>
      <c r="B974" s="1" t="n">
        <v>45114</v>
      </c>
      <c r="C974" s="1" t="n">
        <v>45627</v>
      </c>
      <c r="D974" t="inlineStr">
        <is>
          <t>JÄMTLANDS LÄN</t>
        </is>
      </c>
      <c r="E974" t="inlineStr">
        <is>
          <t>KROKOM</t>
        </is>
      </c>
      <c r="G974" t="n">
        <v>4.2</v>
      </c>
      <c r="H974" t="n">
        <v>0</v>
      </c>
      <c r="I974" t="n">
        <v>0</v>
      </c>
      <c r="J974" t="n">
        <v>0</v>
      </c>
      <c r="K974" t="n">
        <v>0</v>
      </c>
      <c r="L974" t="n">
        <v>0</v>
      </c>
      <c r="M974" t="n">
        <v>0</v>
      </c>
      <c r="N974" t="n">
        <v>0</v>
      </c>
      <c r="O974" t="n">
        <v>0</v>
      </c>
      <c r="P974" t="n">
        <v>0</v>
      </c>
      <c r="Q974" t="n">
        <v>0</v>
      </c>
      <c r="R974" s="2" t="inlineStr"/>
    </row>
    <row r="975" ht="15" customHeight="1">
      <c r="A975" t="inlineStr">
        <is>
          <t>A 31580-2023</t>
        </is>
      </c>
      <c r="B975" s="1" t="n">
        <v>45117</v>
      </c>
      <c r="C975" s="1" t="n">
        <v>45627</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31584-2023</t>
        </is>
      </c>
      <c r="B976" s="1" t="n">
        <v>45117</v>
      </c>
      <c r="C976" s="1" t="n">
        <v>45627</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31537-2023</t>
        </is>
      </c>
      <c r="B977" s="1" t="n">
        <v>45117</v>
      </c>
      <c r="C977" s="1" t="n">
        <v>45627</v>
      </c>
      <c r="D977" t="inlineStr">
        <is>
          <t>JÄMTLANDS LÄN</t>
        </is>
      </c>
      <c r="E977" t="inlineStr">
        <is>
          <t>KROKOM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31538-2023</t>
        </is>
      </c>
      <c r="B978" s="1" t="n">
        <v>45117</v>
      </c>
      <c r="C978" s="1" t="n">
        <v>45627</v>
      </c>
      <c r="D978" t="inlineStr">
        <is>
          <t>JÄMTLANDS LÄN</t>
        </is>
      </c>
      <c r="E978" t="inlineStr">
        <is>
          <t>KROKOM</t>
        </is>
      </c>
      <c r="F978" t="inlineStr">
        <is>
          <t>Övriga Aktiebolag</t>
        </is>
      </c>
      <c r="G978" t="n">
        <v>9.9</v>
      </c>
      <c r="H978" t="n">
        <v>0</v>
      </c>
      <c r="I978" t="n">
        <v>0</v>
      </c>
      <c r="J978" t="n">
        <v>0</v>
      </c>
      <c r="K978" t="n">
        <v>0</v>
      </c>
      <c r="L978" t="n">
        <v>0</v>
      </c>
      <c r="M978" t="n">
        <v>0</v>
      </c>
      <c r="N978" t="n">
        <v>0</v>
      </c>
      <c r="O978" t="n">
        <v>0</v>
      </c>
      <c r="P978" t="n">
        <v>0</v>
      </c>
      <c r="Q978" t="n">
        <v>0</v>
      </c>
      <c r="R978" s="2" t="inlineStr"/>
    </row>
    <row r="979" ht="15" customHeight="1">
      <c r="A979" t="inlineStr">
        <is>
          <t>A 31601-2023</t>
        </is>
      </c>
      <c r="B979" s="1" t="n">
        <v>45117</v>
      </c>
      <c r="C979" s="1" t="n">
        <v>45627</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31550-2023</t>
        </is>
      </c>
      <c r="B980" s="1" t="n">
        <v>45117</v>
      </c>
      <c r="C980" s="1" t="n">
        <v>45627</v>
      </c>
      <c r="D980" t="inlineStr">
        <is>
          <t>JÄMTLANDS LÄN</t>
        </is>
      </c>
      <c r="E980" t="inlineStr">
        <is>
          <t>KROKOM</t>
        </is>
      </c>
      <c r="G980" t="n">
        <v>4.5</v>
      </c>
      <c r="H980" t="n">
        <v>0</v>
      </c>
      <c r="I980" t="n">
        <v>0</v>
      </c>
      <c r="J980" t="n">
        <v>0</v>
      </c>
      <c r="K980" t="n">
        <v>0</v>
      </c>
      <c r="L980" t="n">
        <v>0</v>
      </c>
      <c r="M980" t="n">
        <v>0</v>
      </c>
      <c r="N980" t="n">
        <v>0</v>
      </c>
      <c r="O980" t="n">
        <v>0</v>
      </c>
      <c r="P980" t="n">
        <v>0</v>
      </c>
      <c r="Q980" t="n">
        <v>0</v>
      </c>
      <c r="R980" s="2" t="inlineStr"/>
    </row>
    <row r="981" ht="15" customHeight="1">
      <c r="A981" t="inlineStr">
        <is>
          <t>A 31927-2023</t>
        </is>
      </c>
      <c r="B981" s="1" t="n">
        <v>45119</v>
      </c>
      <c r="C981" s="1" t="n">
        <v>45627</v>
      </c>
      <c r="D981" t="inlineStr">
        <is>
          <t>JÄMTLANDS LÄN</t>
        </is>
      </c>
      <c r="E981" t="inlineStr">
        <is>
          <t>KROKOM</t>
        </is>
      </c>
      <c r="G981" t="n">
        <v>56.6</v>
      </c>
      <c r="H981" t="n">
        <v>0</v>
      </c>
      <c r="I981" t="n">
        <v>0</v>
      </c>
      <c r="J981" t="n">
        <v>0</v>
      </c>
      <c r="K981" t="n">
        <v>0</v>
      </c>
      <c r="L981" t="n">
        <v>0</v>
      </c>
      <c r="M981" t="n">
        <v>0</v>
      </c>
      <c r="N981" t="n">
        <v>0</v>
      </c>
      <c r="O981" t="n">
        <v>0</v>
      </c>
      <c r="P981" t="n">
        <v>0</v>
      </c>
      <c r="Q981" t="n">
        <v>0</v>
      </c>
      <c r="R981" s="2" t="inlineStr"/>
    </row>
    <row r="982" ht="15" customHeight="1">
      <c r="A982" t="inlineStr">
        <is>
          <t>A 31877-2023</t>
        </is>
      </c>
      <c r="B982" s="1" t="n">
        <v>45118</v>
      </c>
      <c r="C982" s="1" t="n">
        <v>45627</v>
      </c>
      <c r="D982" t="inlineStr">
        <is>
          <t>JÄMTLANDS LÄN</t>
        </is>
      </c>
      <c r="E982" t="inlineStr">
        <is>
          <t>KROKOM</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32019-2023</t>
        </is>
      </c>
      <c r="B983" s="1" t="n">
        <v>45119</v>
      </c>
      <c r="C983" s="1" t="n">
        <v>45627</v>
      </c>
      <c r="D983" t="inlineStr">
        <is>
          <t>JÄMTLANDS LÄN</t>
        </is>
      </c>
      <c r="E983" t="inlineStr">
        <is>
          <t>KROKOM</t>
        </is>
      </c>
      <c r="F983" t="inlineStr">
        <is>
          <t>Övriga Aktiebolag</t>
        </is>
      </c>
      <c r="G983" t="n">
        <v>37.5</v>
      </c>
      <c r="H983" t="n">
        <v>0</v>
      </c>
      <c r="I983" t="n">
        <v>0</v>
      </c>
      <c r="J983" t="n">
        <v>0</v>
      </c>
      <c r="K983" t="n">
        <v>0</v>
      </c>
      <c r="L983" t="n">
        <v>0</v>
      </c>
      <c r="M983" t="n">
        <v>0</v>
      </c>
      <c r="N983" t="n">
        <v>0</v>
      </c>
      <c r="O983" t="n">
        <v>0</v>
      </c>
      <c r="P983" t="n">
        <v>0</v>
      </c>
      <c r="Q983" t="n">
        <v>0</v>
      </c>
      <c r="R983" s="2" t="inlineStr"/>
    </row>
    <row r="984" ht="15" customHeight="1">
      <c r="A984" t="inlineStr">
        <is>
          <t>A 32090-2023</t>
        </is>
      </c>
      <c r="B984" s="1" t="n">
        <v>45119</v>
      </c>
      <c r="C984" s="1" t="n">
        <v>45627</v>
      </c>
      <c r="D984" t="inlineStr">
        <is>
          <t>JÄMTLANDS LÄN</t>
        </is>
      </c>
      <c r="E984" t="inlineStr">
        <is>
          <t>KROKOM</t>
        </is>
      </c>
      <c r="F984" t="inlineStr">
        <is>
          <t>Övriga Aktiebolag</t>
        </is>
      </c>
      <c r="G984" t="n">
        <v>4.3</v>
      </c>
      <c r="H984" t="n">
        <v>0</v>
      </c>
      <c r="I984" t="n">
        <v>0</v>
      </c>
      <c r="J984" t="n">
        <v>0</v>
      </c>
      <c r="K984" t="n">
        <v>0</v>
      </c>
      <c r="L984" t="n">
        <v>0</v>
      </c>
      <c r="M984" t="n">
        <v>0</v>
      </c>
      <c r="N984" t="n">
        <v>0</v>
      </c>
      <c r="O984" t="n">
        <v>0</v>
      </c>
      <c r="P984" t="n">
        <v>0</v>
      </c>
      <c r="Q984" t="n">
        <v>0</v>
      </c>
      <c r="R984" s="2" t="inlineStr"/>
    </row>
    <row r="985" ht="15" customHeight="1">
      <c r="A985" t="inlineStr">
        <is>
          <t>A 33653-2023</t>
        </is>
      </c>
      <c r="B985" s="1" t="n">
        <v>45119</v>
      </c>
      <c r="C985" s="1" t="n">
        <v>45627</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32676-2023</t>
        </is>
      </c>
      <c r="B986" s="1" t="n">
        <v>45121</v>
      </c>
      <c r="C986" s="1" t="n">
        <v>45627</v>
      </c>
      <c r="D986" t="inlineStr">
        <is>
          <t>JÄMTLANDS LÄN</t>
        </is>
      </c>
      <c r="E986" t="inlineStr">
        <is>
          <t>KROKOM</t>
        </is>
      </c>
      <c r="F986" t="inlineStr">
        <is>
          <t>Övriga Aktiebolag</t>
        </is>
      </c>
      <c r="G986" t="n">
        <v>7.1</v>
      </c>
      <c r="H986" t="n">
        <v>0</v>
      </c>
      <c r="I986" t="n">
        <v>0</v>
      </c>
      <c r="J986" t="n">
        <v>0</v>
      </c>
      <c r="K986" t="n">
        <v>0</v>
      </c>
      <c r="L986" t="n">
        <v>0</v>
      </c>
      <c r="M986" t="n">
        <v>0</v>
      </c>
      <c r="N986" t="n">
        <v>0</v>
      </c>
      <c r="O986" t="n">
        <v>0</v>
      </c>
      <c r="P986" t="n">
        <v>0</v>
      </c>
      <c r="Q986" t="n">
        <v>0</v>
      </c>
      <c r="R986" s="2" t="inlineStr"/>
    </row>
    <row r="987" ht="15" customHeight="1">
      <c r="A987" t="inlineStr">
        <is>
          <t>A 32765-2023</t>
        </is>
      </c>
      <c r="B987" s="1" t="n">
        <v>45123</v>
      </c>
      <c r="C987" s="1" t="n">
        <v>45627</v>
      </c>
      <c r="D987" t="inlineStr">
        <is>
          <t>JÄMTLANDS LÄN</t>
        </is>
      </c>
      <c r="E987" t="inlineStr">
        <is>
          <t>KROKOM</t>
        </is>
      </c>
      <c r="F987" t="inlineStr">
        <is>
          <t>Övriga Aktiebolag</t>
        </is>
      </c>
      <c r="G987" t="n">
        <v>2</v>
      </c>
      <c r="H987" t="n">
        <v>0</v>
      </c>
      <c r="I987" t="n">
        <v>0</v>
      </c>
      <c r="J987" t="n">
        <v>0</v>
      </c>
      <c r="K987" t="n">
        <v>0</v>
      </c>
      <c r="L987" t="n">
        <v>0</v>
      </c>
      <c r="M987" t="n">
        <v>0</v>
      </c>
      <c r="N987" t="n">
        <v>0</v>
      </c>
      <c r="O987" t="n">
        <v>0</v>
      </c>
      <c r="P987" t="n">
        <v>0</v>
      </c>
      <c r="Q987" t="n">
        <v>0</v>
      </c>
      <c r="R987" s="2" t="inlineStr"/>
    </row>
    <row r="988" ht="15" customHeight="1">
      <c r="A988" t="inlineStr">
        <is>
          <t>A 34070-2023</t>
        </is>
      </c>
      <c r="B988" s="1" t="n">
        <v>45125</v>
      </c>
      <c r="C988" s="1" t="n">
        <v>45627</v>
      </c>
      <c r="D988" t="inlineStr">
        <is>
          <t>JÄMTLANDS LÄN</t>
        </is>
      </c>
      <c r="E988" t="inlineStr">
        <is>
          <t>KROKOM</t>
        </is>
      </c>
      <c r="G988" t="n">
        <v>2.4</v>
      </c>
      <c r="H988" t="n">
        <v>0</v>
      </c>
      <c r="I988" t="n">
        <v>0</v>
      </c>
      <c r="J988" t="n">
        <v>0</v>
      </c>
      <c r="K988" t="n">
        <v>0</v>
      </c>
      <c r="L988" t="n">
        <v>0</v>
      </c>
      <c r="M988" t="n">
        <v>0</v>
      </c>
      <c r="N988" t="n">
        <v>0</v>
      </c>
      <c r="O988" t="n">
        <v>0</v>
      </c>
      <c r="P988" t="n">
        <v>0</v>
      </c>
      <c r="Q988" t="n">
        <v>0</v>
      </c>
      <c r="R988" s="2" t="inlineStr"/>
    </row>
    <row r="989" ht="15" customHeight="1">
      <c r="A989" t="inlineStr">
        <is>
          <t>A 34502-2023</t>
        </is>
      </c>
      <c r="B989" s="1" t="n">
        <v>45133</v>
      </c>
      <c r="C989" s="1" t="n">
        <v>45627</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34155-2023</t>
        </is>
      </c>
      <c r="B990" s="1" t="n">
        <v>45137</v>
      </c>
      <c r="C990" s="1" t="n">
        <v>45627</v>
      </c>
      <c r="D990" t="inlineStr">
        <is>
          <t>JÄMTLANDS LÄN</t>
        </is>
      </c>
      <c r="E990" t="inlineStr">
        <is>
          <t>KROKOM</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34720-2023</t>
        </is>
      </c>
      <c r="B991" s="1" t="n">
        <v>45139</v>
      </c>
      <c r="C991" s="1" t="n">
        <v>45627</v>
      </c>
      <c r="D991" t="inlineStr">
        <is>
          <t>JÄMTLANDS LÄN</t>
        </is>
      </c>
      <c r="E991" t="inlineStr">
        <is>
          <t>KROKOM</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34801-2023</t>
        </is>
      </c>
      <c r="B992" s="1" t="n">
        <v>45140</v>
      </c>
      <c r="C992" s="1" t="n">
        <v>45627</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34803-2023</t>
        </is>
      </c>
      <c r="B993" s="1" t="n">
        <v>45140</v>
      </c>
      <c r="C993" s="1" t="n">
        <v>45627</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45146</v>
      </c>
      <c r="C994" s="1" t="n">
        <v>45627</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35281-2023</t>
        </is>
      </c>
      <c r="B995" s="1" t="n">
        <v>45146</v>
      </c>
      <c r="C995" s="1" t="n">
        <v>45627</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35282-2023</t>
        </is>
      </c>
      <c r="B996" s="1" t="n">
        <v>45146</v>
      </c>
      <c r="C996" s="1" t="n">
        <v>45627</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35334-2023</t>
        </is>
      </c>
      <c r="B997" s="1" t="n">
        <v>45146</v>
      </c>
      <c r="C997" s="1" t="n">
        <v>45627</v>
      </c>
      <c r="D997" t="inlineStr">
        <is>
          <t>JÄMTLANDS LÄN</t>
        </is>
      </c>
      <c r="E997" t="inlineStr">
        <is>
          <t>KROKOM</t>
        </is>
      </c>
      <c r="G997" t="n">
        <v>10.9</v>
      </c>
      <c r="H997" t="n">
        <v>0</v>
      </c>
      <c r="I997" t="n">
        <v>0</v>
      </c>
      <c r="J997" t="n">
        <v>0</v>
      </c>
      <c r="K997" t="n">
        <v>0</v>
      </c>
      <c r="L997" t="n">
        <v>0</v>
      </c>
      <c r="M997" t="n">
        <v>0</v>
      </c>
      <c r="N997" t="n">
        <v>0</v>
      </c>
      <c r="O997" t="n">
        <v>0</v>
      </c>
      <c r="P997" t="n">
        <v>0</v>
      </c>
      <c r="Q997" t="n">
        <v>0</v>
      </c>
      <c r="R997" s="2" t="inlineStr"/>
    </row>
    <row r="998" ht="15" customHeight="1">
      <c r="A998" t="inlineStr">
        <is>
          <t>A 35350-2023</t>
        </is>
      </c>
      <c r="B998" s="1" t="n">
        <v>45146</v>
      </c>
      <c r="C998" s="1" t="n">
        <v>45627</v>
      </c>
      <c r="D998" t="inlineStr">
        <is>
          <t>JÄMTLANDS LÄN</t>
        </is>
      </c>
      <c r="E998" t="inlineStr">
        <is>
          <t>KROKOM</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35887-2023</t>
        </is>
      </c>
      <c r="B999" s="1" t="n">
        <v>45148</v>
      </c>
      <c r="C999" s="1" t="n">
        <v>45627</v>
      </c>
      <c r="D999" t="inlineStr">
        <is>
          <t>JÄMTLANDS LÄN</t>
        </is>
      </c>
      <c r="E999" t="inlineStr">
        <is>
          <t>KROKOM</t>
        </is>
      </c>
      <c r="F999" t="inlineStr">
        <is>
          <t>Övriga Aktiebolag</t>
        </is>
      </c>
      <c r="G999" t="n">
        <v>14.3</v>
      </c>
      <c r="H999" t="n">
        <v>0</v>
      </c>
      <c r="I999" t="n">
        <v>0</v>
      </c>
      <c r="J999" t="n">
        <v>0</v>
      </c>
      <c r="K999" t="n">
        <v>0</v>
      </c>
      <c r="L999" t="n">
        <v>0</v>
      </c>
      <c r="M999" t="n">
        <v>0</v>
      </c>
      <c r="N999" t="n">
        <v>0</v>
      </c>
      <c r="O999" t="n">
        <v>0</v>
      </c>
      <c r="P999" t="n">
        <v>0</v>
      </c>
      <c r="Q999" t="n">
        <v>0</v>
      </c>
      <c r="R999" s="2" t="inlineStr"/>
    </row>
    <row r="1000" ht="15" customHeight="1">
      <c r="A1000" t="inlineStr">
        <is>
          <t>A 36396-2023</t>
        </is>
      </c>
      <c r="B1000" s="1" t="n">
        <v>45149</v>
      </c>
      <c r="C1000" s="1" t="n">
        <v>45627</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36439-2023</t>
        </is>
      </c>
      <c r="B1001" s="1" t="n">
        <v>45152</v>
      </c>
      <c r="C1001" s="1" t="n">
        <v>45627</v>
      </c>
      <c r="D1001" t="inlineStr">
        <is>
          <t>JÄMTLANDS LÄN</t>
        </is>
      </c>
      <c r="E1001" t="inlineStr">
        <is>
          <t>KROKOM</t>
        </is>
      </c>
      <c r="F1001" t="inlineStr">
        <is>
          <t>Övriga Aktiebolag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36424-2023</t>
        </is>
      </c>
      <c r="B1002" s="1" t="n">
        <v>45152</v>
      </c>
      <c r="C1002" s="1" t="n">
        <v>45627</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36488-2023</t>
        </is>
      </c>
      <c r="B1003" s="1" t="n">
        <v>45152</v>
      </c>
      <c r="C1003" s="1" t="n">
        <v>45627</v>
      </c>
      <c r="D1003" t="inlineStr">
        <is>
          <t>JÄMTLANDS LÄN</t>
        </is>
      </c>
      <c r="E1003" t="inlineStr">
        <is>
          <t>KROKOM</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36535-2023</t>
        </is>
      </c>
      <c r="B1004" s="1" t="n">
        <v>45152</v>
      </c>
      <c r="C1004" s="1" t="n">
        <v>45627</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36990-2023</t>
        </is>
      </c>
      <c r="B1005" s="1" t="n">
        <v>45154</v>
      </c>
      <c r="C1005" s="1" t="n">
        <v>45627</v>
      </c>
      <c r="D1005" t="inlineStr">
        <is>
          <t>JÄMTLANDS LÄN</t>
        </is>
      </c>
      <c r="E1005" t="inlineStr">
        <is>
          <t>KROKOM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37019-2023</t>
        </is>
      </c>
      <c r="B1006" s="1" t="n">
        <v>45155</v>
      </c>
      <c r="C1006" s="1" t="n">
        <v>45627</v>
      </c>
      <c r="D1006" t="inlineStr">
        <is>
          <t>JÄMTLANDS LÄN</t>
        </is>
      </c>
      <c r="E1006" t="inlineStr">
        <is>
          <t>KROKOM</t>
        </is>
      </c>
      <c r="F1006" t="inlineStr">
        <is>
          <t>Kyrkan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37844-2023</t>
        </is>
      </c>
      <c r="B1007" s="1" t="n">
        <v>45158</v>
      </c>
      <c r="C1007" s="1" t="n">
        <v>45627</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37946-2023</t>
        </is>
      </c>
      <c r="B1008" s="1" t="n">
        <v>45159</v>
      </c>
      <c r="C1008" s="1" t="n">
        <v>45627</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38043-2023</t>
        </is>
      </c>
      <c r="B1009" s="1" t="n">
        <v>45160</v>
      </c>
      <c r="C1009" s="1" t="n">
        <v>45627</v>
      </c>
      <c r="D1009" t="inlineStr">
        <is>
          <t>JÄMTLANDS LÄN</t>
        </is>
      </c>
      <c r="E1009" t="inlineStr">
        <is>
          <t>KROKOM</t>
        </is>
      </c>
      <c r="F1009" t="inlineStr">
        <is>
          <t>Övriga Aktiebolag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38589-2023</t>
        </is>
      </c>
      <c r="B1010" s="1" t="n">
        <v>45162</v>
      </c>
      <c r="C1010" s="1" t="n">
        <v>45627</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39063-2023</t>
        </is>
      </c>
      <c r="B1011" s="1" t="n">
        <v>45163</v>
      </c>
      <c r="C1011" s="1" t="n">
        <v>45627</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39078-2023</t>
        </is>
      </c>
      <c r="B1012" s="1" t="n">
        <v>45164</v>
      </c>
      <c r="C1012" s="1" t="n">
        <v>45627</v>
      </c>
      <c r="D1012" t="inlineStr">
        <is>
          <t>JÄMTLANDS LÄN</t>
        </is>
      </c>
      <c r="E1012" t="inlineStr">
        <is>
          <t>KROKOM</t>
        </is>
      </c>
      <c r="G1012" t="n">
        <v>28.3</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v>
      </c>
      <c r="C1013" s="1" t="n">
        <v>45627</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39126-2023</t>
        </is>
      </c>
      <c r="B1014" s="1" t="n">
        <v>45165</v>
      </c>
      <c r="C1014" s="1" t="n">
        <v>45627</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39169-2023</t>
        </is>
      </c>
      <c r="B1015" s="1" t="n">
        <v>45166</v>
      </c>
      <c r="C1015" s="1" t="n">
        <v>45627</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39701-2023</t>
        </is>
      </c>
      <c r="B1016" s="1" t="n">
        <v>45166</v>
      </c>
      <c r="C1016" s="1" t="n">
        <v>45627</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39563-2023</t>
        </is>
      </c>
      <c r="B1017" s="1" t="n">
        <v>45167</v>
      </c>
      <c r="C1017" s="1" t="n">
        <v>45627</v>
      </c>
      <c r="D1017" t="inlineStr">
        <is>
          <t>JÄMTLANDS LÄN</t>
        </is>
      </c>
      <c r="E1017" t="inlineStr">
        <is>
          <t>KROKOM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39683-2023</t>
        </is>
      </c>
      <c r="B1018" s="1" t="n">
        <v>45167</v>
      </c>
      <c r="C1018" s="1" t="n">
        <v>45627</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39902-2023</t>
        </is>
      </c>
      <c r="B1019" s="1" t="n">
        <v>45168</v>
      </c>
      <c r="C1019" s="1" t="n">
        <v>45627</v>
      </c>
      <c r="D1019" t="inlineStr">
        <is>
          <t>JÄMTLANDS LÄN</t>
        </is>
      </c>
      <c r="E1019" t="inlineStr">
        <is>
          <t>KROKOM</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40364-2023</t>
        </is>
      </c>
      <c r="B1020" s="1" t="n">
        <v>45168</v>
      </c>
      <c r="C1020" s="1" t="n">
        <v>45627</v>
      </c>
      <c r="D1020" t="inlineStr">
        <is>
          <t>JÄMTLANDS LÄN</t>
        </is>
      </c>
      <c r="E1020" t="inlineStr">
        <is>
          <t>KROKOM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41090-2023</t>
        </is>
      </c>
      <c r="B1021" s="1" t="n">
        <v>45173</v>
      </c>
      <c r="C1021" s="1" t="n">
        <v>45627</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41142-2023</t>
        </is>
      </c>
      <c r="B1022" s="1" t="n">
        <v>45173</v>
      </c>
      <c r="C1022" s="1" t="n">
        <v>45627</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41543-2023</t>
        </is>
      </c>
      <c r="B1023" s="1" t="n">
        <v>45173</v>
      </c>
      <c r="C1023" s="1" t="n">
        <v>45627</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41553-2023</t>
        </is>
      </c>
      <c r="B1024" s="1" t="n">
        <v>45173</v>
      </c>
      <c r="C1024" s="1" t="n">
        <v>45627</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41769-2023</t>
        </is>
      </c>
      <c r="B1025" s="1" t="n">
        <v>45176</v>
      </c>
      <c r="C1025" s="1" t="n">
        <v>45627</v>
      </c>
      <c r="D1025" t="inlineStr">
        <is>
          <t>JÄMTLANDS LÄN</t>
        </is>
      </c>
      <c r="E1025" t="inlineStr">
        <is>
          <t>KROKOM</t>
        </is>
      </c>
      <c r="F1025" t="inlineStr">
        <is>
          <t>Övriga Aktiebolag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41784-2023</t>
        </is>
      </c>
      <c r="B1026" s="1" t="n">
        <v>45176</v>
      </c>
      <c r="C1026" s="1" t="n">
        <v>45627</v>
      </c>
      <c r="D1026" t="inlineStr">
        <is>
          <t>JÄMTLANDS LÄN</t>
        </is>
      </c>
      <c r="E1026" t="inlineStr">
        <is>
          <t>KROKOM</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42154-2023</t>
        </is>
      </c>
      <c r="B1027" s="1" t="n">
        <v>45177</v>
      </c>
      <c r="C1027" s="1" t="n">
        <v>45627</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42155-2023</t>
        </is>
      </c>
      <c r="B1028" s="1" t="n">
        <v>45177</v>
      </c>
      <c r="C1028" s="1" t="n">
        <v>45627</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42372-2023</t>
        </is>
      </c>
      <c r="B1029" s="1" t="n">
        <v>45180</v>
      </c>
      <c r="C1029" s="1" t="n">
        <v>45627</v>
      </c>
      <c r="D1029" t="inlineStr">
        <is>
          <t>JÄMTLANDS LÄN</t>
        </is>
      </c>
      <c r="E1029" t="inlineStr">
        <is>
          <t>KROKOM</t>
        </is>
      </c>
      <c r="F1029" t="inlineStr">
        <is>
          <t>Övriga Aktiebolag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42422-2023</t>
        </is>
      </c>
      <c r="B1030" s="1" t="n">
        <v>45180</v>
      </c>
      <c r="C1030" s="1" t="n">
        <v>45627</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42369-2023</t>
        </is>
      </c>
      <c r="B1031" s="1" t="n">
        <v>45180</v>
      </c>
      <c r="C1031" s="1" t="n">
        <v>45627</v>
      </c>
      <c r="D1031" t="inlineStr">
        <is>
          <t>JÄMTLANDS LÄN</t>
        </is>
      </c>
      <c r="E1031" t="inlineStr">
        <is>
          <t>KROKOM</t>
        </is>
      </c>
      <c r="F1031" t="inlineStr">
        <is>
          <t>Övriga Aktiebolag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42437-2023</t>
        </is>
      </c>
      <c r="B1032" s="1" t="n">
        <v>45180</v>
      </c>
      <c r="C1032" s="1" t="n">
        <v>45627</v>
      </c>
      <c r="D1032" t="inlineStr">
        <is>
          <t>JÄMTLANDS LÄN</t>
        </is>
      </c>
      <c r="E1032" t="inlineStr">
        <is>
          <t>KROKOM</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42417-2023</t>
        </is>
      </c>
      <c r="B1033" s="1" t="n">
        <v>45180</v>
      </c>
      <c r="C1033" s="1" t="n">
        <v>45627</v>
      </c>
      <c r="D1033" t="inlineStr">
        <is>
          <t>JÄMTLANDS LÄN</t>
        </is>
      </c>
      <c r="E1033" t="inlineStr">
        <is>
          <t>KROKOM</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42439-2023</t>
        </is>
      </c>
      <c r="B1034" s="1" t="n">
        <v>45180</v>
      </c>
      <c r="C1034" s="1" t="n">
        <v>45627</v>
      </c>
      <c r="D1034" t="inlineStr">
        <is>
          <t>JÄMTLANDS LÄN</t>
        </is>
      </c>
      <c r="E1034" t="inlineStr">
        <is>
          <t>KROKOM</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42424-2023</t>
        </is>
      </c>
      <c r="B1035" s="1" t="n">
        <v>45180</v>
      </c>
      <c r="C1035" s="1" t="n">
        <v>45627</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45627</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42816-2023</t>
        </is>
      </c>
      <c r="B1037" s="1" t="n">
        <v>45182</v>
      </c>
      <c r="C1037" s="1" t="n">
        <v>45627</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45627</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44751-2023</t>
        </is>
      </c>
      <c r="B1039" s="1" t="n">
        <v>45184</v>
      </c>
      <c r="C1039" s="1" t="n">
        <v>45627</v>
      </c>
      <c r="D1039" t="inlineStr">
        <is>
          <t>JÄMTLANDS LÄN</t>
        </is>
      </c>
      <c r="E1039" t="inlineStr">
        <is>
          <t>KROKOM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44594-2023</t>
        </is>
      </c>
      <c r="B1040" s="1" t="n">
        <v>45189</v>
      </c>
      <c r="C1040" s="1" t="n">
        <v>45627</v>
      </c>
      <c r="D1040" t="inlineStr">
        <is>
          <t>JÄMTLANDS LÄN</t>
        </is>
      </c>
      <c r="E1040" t="inlineStr">
        <is>
          <t>KROKOM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44453-2023</t>
        </is>
      </c>
      <c r="B1041" s="1" t="n">
        <v>45189</v>
      </c>
      <c r="C1041" s="1" t="n">
        <v>45627</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46061-2023</t>
        </is>
      </c>
      <c r="B1042" s="1" t="n">
        <v>45190</v>
      </c>
      <c r="C1042" s="1" t="n">
        <v>45627</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45627</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45455-2023</t>
        </is>
      </c>
      <c r="B1044" s="1" t="n">
        <v>45194</v>
      </c>
      <c r="C1044" s="1" t="n">
        <v>45627</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45494-2023</t>
        </is>
      </c>
      <c r="B1045" s="1" t="n">
        <v>45194</v>
      </c>
      <c r="C1045" s="1" t="n">
        <v>45627</v>
      </c>
      <c r="D1045" t="inlineStr">
        <is>
          <t>JÄMTLANDS LÄN</t>
        </is>
      </c>
      <c r="E1045" t="inlineStr">
        <is>
          <t>KROKOM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46676-2023</t>
        </is>
      </c>
      <c r="B1046" s="1" t="n">
        <v>45194</v>
      </c>
      <c r="C1046" s="1" t="n">
        <v>45627</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45786-2023</t>
        </is>
      </c>
      <c r="B1047" s="1" t="n">
        <v>45195</v>
      </c>
      <c r="C1047" s="1" t="n">
        <v>45627</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45822-2023</t>
        </is>
      </c>
      <c r="B1048" s="1" t="n">
        <v>45195</v>
      </c>
      <c r="C1048" s="1" t="n">
        <v>45627</v>
      </c>
      <c r="D1048" t="inlineStr">
        <is>
          <t>JÄMTLANDS LÄN</t>
        </is>
      </c>
      <c r="E1048" t="inlineStr">
        <is>
          <t>KROKOM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45627</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46592-2023</t>
        </is>
      </c>
      <c r="B1050" s="1" t="n">
        <v>45198</v>
      </c>
      <c r="C1050" s="1" t="n">
        <v>45627</v>
      </c>
      <c r="D1050" t="inlineStr">
        <is>
          <t>JÄMTLANDS LÄN</t>
        </is>
      </c>
      <c r="E1050" t="inlineStr">
        <is>
          <t>KROKOM</t>
        </is>
      </c>
      <c r="F1050" t="inlineStr">
        <is>
          <t>Övriga Aktiebolag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46626-2023</t>
        </is>
      </c>
      <c r="B1051" s="1" t="n">
        <v>45198</v>
      </c>
      <c r="C1051" s="1" t="n">
        <v>45627</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46636-2023</t>
        </is>
      </c>
      <c r="B1052" s="1" t="n">
        <v>45198</v>
      </c>
      <c r="C1052" s="1" t="n">
        <v>45627</v>
      </c>
      <c r="D1052" t="inlineStr">
        <is>
          <t>JÄMTLANDS LÄN</t>
        </is>
      </c>
      <c r="E1052" t="inlineStr">
        <is>
          <t>KROKOM</t>
        </is>
      </c>
      <c r="F1052" t="inlineStr">
        <is>
          <t>Övriga Aktiebolag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46632-2023</t>
        </is>
      </c>
      <c r="B1053" s="1" t="n">
        <v>45198</v>
      </c>
      <c r="C1053" s="1" t="n">
        <v>45627</v>
      </c>
      <c r="D1053" t="inlineStr">
        <is>
          <t>JÄMTLANDS LÄN</t>
        </is>
      </c>
      <c r="E1053" t="inlineStr">
        <is>
          <t>KROKOM</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46820-2023</t>
        </is>
      </c>
      <c r="B1054" s="1" t="n">
        <v>45199</v>
      </c>
      <c r="C1054" s="1" t="n">
        <v>45627</v>
      </c>
      <c r="D1054" t="inlineStr">
        <is>
          <t>JÄMTLANDS LÄN</t>
        </is>
      </c>
      <c r="E1054" t="inlineStr">
        <is>
          <t>KROKOM</t>
        </is>
      </c>
      <c r="F1054" t="inlineStr">
        <is>
          <t>SCA</t>
        </is>
      </c>
      <c r="G1054" t="n">
        <v>60.6</v>
      </c>
      <c r="H1054" t="n">
        <v>0</v>
      </c>
      <c r="I1054" t="n">
        <v>0</v>
      </c>
      <c r="J1054" t="n">
        <v>0</v>
      </c>
      <c r="K1054" t="n">
        <v>0</v>
      </c>
      <c r="L1054" t="n">
        <v>0</v>
      </c>
      <c r="M1054" t="n">
        <v>0</v>
      </c>
      <c r="N1054" t="n">
        <v>0</v>
      </c>
      <c r="O1054" t="n">
        <v>0</v>
      </c>
      <c r="P1054" t="n">
        <v>0</v>
      </c>
      <c r="Q1054" t="n">
        <v>0</v>
      </c>
      <c r="R1054" s="2" t="inlineStr"/>
    </row>
    <row r="1055" ht="15" customHeight="1">
      <c r="A1055" t="inlineStr">
        <is>
          <t>A 46832-2023</t>
        </is>
      </c>
      <c r="B1055" s="1" t="n">
        <v>45199</v>
      </c>
      <c r="C1055" s="1" t="n">
        <v>45627</v>
      </c>
      <c r="D1055" t="inlineStr">
        <is>
          <t>JÄMTLANDS LÄN</t>
        </is>
      </c>
      <c r="E1055" t="inlineStr">
        <is>
          <t>KROKOM</t>
        </is>
      </c>
      <c r="F1055" t="inlineStr">
        <is>
          <t>Övriga Aktiebolag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46841-2023</t>
        </is>
      </c>
      <c r="B1056" s="1" t="n">
        <v>45199</v>
      </c>
      <c r="C1056" s="1" t="n">
        <v>45627</v>
      </c>
      <c r="D1056" t="inlineStr">
        <is>
          <t>JÄMTLANDS LÄN</t>
        </is>
      </c>
      <c r="E1056" t="inlineStr">
        <is>
          <t>KROKOM</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47073-2023</t>
        </is>
      </c>
      <c r="B1057" s="1" t="n">
        <v>45201</v>
      </c>
      <c r="C1057" s="1" t="n">
        <v>45627</v>
      </c>
      <c r="D1057" t="inlineStr">
        <is>
          <t>JÄMTLANDS LÄN</t>
        </is>
      </c>
      <c r="E1057" t="inlineStr">
        <is>
          <t>KROKOM</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48161-2023</t>
        </is>
      </c>
      <c r="B1058" s="1" t="n">
        <v>45201</v>
      </c>
      <c r="C1058" s="1" t="n">
        <v>45627</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47726-2023</t>
        </is>
      </c>
      <c r="B1059" s="1" t="n">
        <v>45203</v>
      </c>
      <c r="C1059" s="1" t="n">
        <v>45627</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47625-2023</t>
        </is>
      </c>
      <c r="B1060" s="1" t="n">
        <v>45203</v>
      </c>
      <c r="C1060" s="1" t="n">
        <v>45627</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47587-2023</t>
        </is>
      </c>
      <c r="B1061" s="1" t="n">
        <v>45203</v>
      </c>
      <c r="C1061" s="1" t="n">
        <v>45627</v>
      </c>
      <c r="D1061" t="inlineStr">
        <is>
          <t>JÄMTLANDS LÄN</t>
        </is>
      </c>
      <c r="E1061" t="inlineStr">
        <is>
          <t>KROKOM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47606-2023</t>
        </is>
      </c>
      <c r="B1062" s="1" t="n">
        <v>45203</v>
      </c>
      <c r="C1062" s="1" t="n">
        <v>45627</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47623-2023</t>
        </is>
      </c>
      <c r="B1063" s="1" t="n">
        <v>45203</v>
      </c>
      <c r="C1063" s="1" t="n">
        <v>45627</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47596-2023</t>
        </is>
      </c>
      <c r="B1064" s="1" t="n">
        <v>45203</v>
      </c>
      <c r="C1064" s="1" t="n">
        <v>45627</v>
      </c>
      <c r="D1064" t="inlineStr">
        <is>
          <t>JÄMTLANDS LÄN</t>
        </is>
      </c>
      <c r="E1064" t="inlineStr">
        <is>
          <t>KROKOM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47635-2023</t>
        </is>
      </c>
      <c r="B1065" s="1" t="n">
        <v>45203</v>
      </c>
      <c r="C1065" s="1" t="n">
        <v>45627</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47838-2023</t>
        </is>
      </c>
      <c r="B1066" s="1" t="n">
        <v>45204</v>
      </c>
      <c r="C1066" s="1" t="n">
        <v>45627</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47850-2023</t>
        </is>
      </c>
      <c r="B1067" s="1" t="n">
        <v>45204</v>
      </c>
      <c r="C1067" s="1" t="n">
        <v>45627</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49380-2023</t>
        </is>
      </c>
      <c r="B1068" s="1" t="n">
        <v>45205</v>
      </c>
      <c r="C1068" s="1" t="n">
        <v>45627</v>
      </c>
      <c r="D1068" t="inlineStr">
        <is>
          <t>JÄMTLANDS LÄN</t>
        </is>
      </c>
      <c r="E1068" t="inlineStr">
        <is>
          <t>KROKOM</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49438-2023</t>
        </is>
      </c>
      <c r="B1069" s="1" t="n">
        <v>45205</v>
      </c>
      <c r="C1069" s="1" t="n">
        <v>45627</v>
      </c>
      <c r="D1069" t="inlineStr">
        <is>
          <t>JÄMTLANDS LÄN</t>
        </is>
      </c>
      <c r="E1069" t="inlineStr">
        <is>
          <t>KROKOM</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49536-2023</t>
        </is>
      </c>
      <c r="B1070" s="1" t="n">
        <v>45205</v>
      </c>
      <c r="C1070" s="1" t="n">
        <v>45627</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49046-2023</t>
        </is>
      </c>
      <c r="B1071" s="1" t="n">
        <v>45209</v>
      </c>
      <c r="C1071" s="1" t="n">
        <v>45627</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51050-2023</t>
        </is>
      </c>
      <c r="B1072" s="1" t="n">
        <v>45211</v>
      </c>
      <c r="C1072" s="1" t="n">
        <v>45627</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50227-2023</t>
        </is>
      </c>
      <c r="B1073" s="1" t="n">
        <v>45216</v>
      </c>
      <c r="C1073" s="1" t="n">
        <v>45627</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50216-2023</t>
        </is>
      </c>
      <c r="B1074" s="1" t="n">
        <v>45215</v>
      </c>
      <c r="C1074" s="1" t="n">
        <v>45627</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50228-2023</t>
        </is>
      </c>
      <c r="B1075" s="1" t="n">
        <v>45216</v>
      </c>
      <c r="C1075" s="1" t="n">
        <v>45627</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v>
      </c>
      <c r="C1076" s="1" t="n">
        <v>45627</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50493-2023</t>
        </is>
      </c>
      <c r="B1077" s="1" t="n">
        <v>45217</v>
      </c>
      <c r="C1077" s="1" t="n">
        <v>45627</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50246-2023</t>
        </is>
      </c>
      <c r="B1078" s="1" t="n">
        <v>45216</v>
      </c>
      <c r="C1078" s="1" t="n">
        <v>45627</v>
      </c>
      <c r="D1078" t="inlineStr">
        <is>
          <t>JÄMTLANDS LÄN</t>
        </is>
      </c>
      <c r="E1078" t="inlineStr">
        <is>
          <t>KROKOM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50363-2023</t>
        </is>
      </c>
      <c r="B1079" s="1" t="n">
        <v>45216</v>
      </c>
      <c r="C1079" s="1" t="n">
        <v>45627</v>
      </c>
      <c r="D1079" t="inlineStr">
        <is>
          <t>JÄMTLANDS LÄN</t>
        </is>
      </c>
      <c r="E1079" t="inlineStr">
        <is>
          <t>KROKOM</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51929-2023</t>
        </is>
      </c>
      <c r="B1080" s="1" t="n">
        <v>45216</v>
      </c>
      <c r="C1080" s="1" t="n">
        <v>45627</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51910-2023</t>
        </is>
      </c>
      <c r="B1081" s="1" t="n">
        <v>45216</v>
      </c>
      <c r="C1081" s="1" t="n">
        <v>45627</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50606-2023</t>
        </is>
      </c>
      <c r="B1082" s="1" t="n">
        <v>45217</v>
      </c>
      <c r="C1082" s="1" t="n">
        <v>45627</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50782-2023</t>
        </is>
      </c>
      <c r="B1083" s="1" t="n">
        <v>45217</v>
      </c>
      <c r="C1083" s="1" t="n">
        <v>45627</v>
      </c>
      <c r="D1083" t="inlineStr">
        <is>
          <t>JÄMTLANDS LÄN</t>
        </is>
      </c>
      <c r="E1083" t="inlineStr">
        <is>
          <t>KROKOM</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50787-2023</t>
        </is>
      </c>
      <c r="B1084" s="1" t="n">
        <v>45217</v>
      </c>
      <c r="C1084" s="1" t="n">
        <v>45627</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51816-2023</t>
        </is>
      </c>
      <c r="B1085" s="1" t="n">
        <v>45222</v>
      </c>
      <c r="C1085" s="1" t="n">
        <v>45627</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51817-2023</t>
        </is>
      </c>
      <c r="B1086" s="1" t="n">
        <v>45223</v>
      </c>
      <c r="C1086" s="1" t="n">
        <v>45627</v>
      </c>
      <c r="D1086" t="inlineStr">
        <is>
          <t>JÄMTLANDS LÄN</t>
        </is>
      </c>
      <c r="E1086" t="inlineStr">
        <is>
          <t>KROKOM</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51882-2023</t>
        </is>
      </c>
      <c r="B1087" s="1" t="n">
        <v>45223</v>
      </c>
      <c r="C1087" s="1" t="n">
        <v>45627</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51916-2023</t>
        </is>
      </c>
      <c r="B1088" s="1" t="n">
        <v>45223</v>
      </c>
      <c r="C1088" s="1" t="n">
        <v>45627</v>
      </c>
      <c r="D1088" t="inlineStr">
        <is>
          <t>JÄMTLANDS LÄN</t>
        </is>
      </c>
      <c r="E1088" t="inlineStr">
        <is>
          <t>KROKOM</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53429-2023</t>
        </is>
      </c>
      <c r="B1089" s="1" t="n">
        <v>45223</v>
      </c>
      <c r="C1089" s="1" t="n">
        <v>45627</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52295-2023</t>
        </is>
      </c>
      <c r="B1090" s="1" t="n">
        <v>45224</v>
      </c>
      <c r="C1090" s="1" t="n">
        <v>45627</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v>
      </c>
      <c r="C1091" s="1" t="n">
        <v>45627</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52599-2023</t>
        </is>
      </c>
      <c r="B1092" s="1" t="n">
        <v>45225</v>
      </c>
      <c r="C1092" s="1" t="n">
        <v>45627</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52604-2023</t>
        </is>
      </c>
      <c r="B1093" s="1" t="n">
        <v>45225</v>
      </c>
      <c r="C1093" s="1" t="n">
        <v>45627</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54514-2023</t>
        </is>
      </c>
      <c r="B1094" s="1" t="n">
        <v>45226</v>
      </c>
      <c r="C1094" s="1" t="n">
        <v>45627</v>
      </c>
      <c r="D1094" t="inlineStr">
        <is>
          <t>JÄMTLANDS LÄN</t>
        </is>
      </c>
      <c r="E1094" t="inlineStr">
        <is>
          <t>KROKOM</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52911-2023</t>
        </is>
      </c>
      <c r="B1095" s="1" t="n">
        <v>45226</v>
      </c>
      <c r="C1095" s="1" t="n">
        <v>45627</v>
      </c>
      <c r="D1095" t="inlineStr">
        <is>
          <t>JÄMTLANDS LÄN</t>
        </is>
      </c>
      <c r="E1095" t="inlineStr">
        <is>
          <t>KROKOM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45627</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54503-2023</t>
        </is>
      </c>
      <c r="B1097" s="1" t="n">
        <v>45226</v>
      </c>
      <c r="C1097" s="1" t="n">
        <v>45627</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52869-2023</t>
        </is>
      </c>
      <c r="B1098" s="1" t="n">
        <v>45226</v>
      </c>
      <c r="C1098" s="1" t="n">
        <v>45627</v>
      </c>
      <c r="D1098" t="inlineStr">
        <is>
          <t>JÄMTLANDS LÄN</t>
        </is>
      </c>
      <c r="E1098" t="inlineStr">
        <is>
          <t>KROKOM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53908-2023</t>
        </is>
      </c>
      <c r="B1099" s="1" t="n">
        <v>45231</v>
      </c>
      <c r="C1099" s="1" t="n">
        <v>45627</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45627</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54043-2023</t>
        </is>
      </c>
      <c r="B1101" s="1" t="n">
        <v>45231</v>
      </c>
      <c r="C1101" s="1" t="n">
        <v>45627</v>
      </c>
      <c r="D1101" t="inlineStr">
        <is>
          <t>JÄMTLANDS LÄN</t>
        </is>
      </c>
      <c r="E1101" t="inlineStr">
        <is>
          <t>KROKOM</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54054-2023</t>
        </is>
      </c>
      <c r="B1102" s="1" t="n">
        <v>45232</v>
      </c>
      <c r="C1102" s="1" t="n">
        <v>45627</v>
      </c>
      <c r="D1102" t="inlineStr">
        <is>
          <t>JÄMTLANDS LÄN</t>
        </is>
      </c>
      <c r="E1102" t="inlineStr">
        <is>
          <t>KROKOM</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54058-2023</t>
        </is>
      </c>
      <c r="B1103" s="1" t="n">
        <v>45231</v>
      </c>
      <c r="C1103" s="1" t="n">
        <v>45627</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54062-2023</t>
        </is>
      </c>
      <c r="B1104" s="1" t="n">
        <v>45232</v>
      </c>
      <c r="C1104" s="1" t="n">
        <v>45627</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54056-2023</t>
        </is>
      </c>
      <c r="B1105" s="1" t="n">
        <v>45232</v>
      </c>
      <c r="C1105" s="1" t="n">
        <v>45627</v>
      </c>
      <c r="D1105" t="inlineStr">
        <is>
          <t>JÄMTLANDS LÄN</t>
        </is>
      </c>
      <c r="E1105" t="inlineStr">
        <is>
          <t>KROKOM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53901-2023</t>
        </is>
      </c>
      <c r="B1106" s="1" t="n">
        <v>45231</v>
      </c>
      <c r="C1106" s="1" t="n">
        <v>45627</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54057-2023</t>
        </is>
      </c>
      <c r="B1107" s="1" t="n">
        <v>45232</v>
      </c>
      <c r="C1107" s="1" t="n">
        <v>45627</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54160-2023</t>
        </is>
      </c>
      <c r="B1108" s="1" t="n">
        <v>45232</v>
      </c>
      <c r="C1108" s="1" t="n">
        <v>45627</v>
      </c>
      <c r="D1108" t="inlineStr">
        <is>
          <t>JÄMTLANDS LÄN</t>
        </is>
      </c>
      <c r="E1108" t="inlineStr">
        <is>
          <t>KROKOM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56177-2023</t>
        </is>
      </c>
      <c r="B1109" s="1" t="n">
        <v>45236</v>
      </c>
      <c r="C1109" s="1" t="n">
        <v>45627</v>
      </c>
      <c r="D1109" t="inlineStr">
        <is>
          <t>JÄMTLANDS LÄN</t>
        </is>
      </c>
      <c r="E1109" t="inlineStr">
        <is>
          <t>KROKOM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56171-2023</t>
        </is>
      </c>
      <c r="B1110" s="1" t="n">
        <v>45236</v>
      </c>
      <c r="C1110" s="1" t="n">
        <v>45627</v>
      </c>
      <c r="D1110" t="inlineStr">
        <is>
          <t>JÄMTLANDS LÄN</t>
        </is>
      </c>
      <c r="E1110" t="inlineStr">
        <is>
          <t>KROKOM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55645-2023</t>
        </is>
      </c>
      <c r="B1111" s="1" t="n">
        <v>45239</v>
      </c>
      <c r="C1111" s="1" t="n">
        <v>45627</v>
      </c>
      <c r="D1111" t="inlineStr">
        <is>
          <t>JÄMTLANDS LÄN</t>
        </is>
      </c>
      <c r="E1111" t="inlineStr">
        <is>
          <t>KROKOM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55661-2023</t>
        </is>
      </c>
      <c r="B1112" s="1" t="n">
        <v>45239</v>
      </c>
      <c r="C1112" s="1" t="n">
        <v>45627</v>
      </c>
      <c r="D1112" t="inlineStr">
        <is>
          <t>JÄMTLANDS LÄN</t>
        </is>
      </c>
      <c r="E1112" t="inlineStr">
        <is>
          <t>KROKOM</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55660-2023</t>
        </is>
      </c>
      <c r="B1113" s="1" t="n">
        <v>45238</v>
      </c>
      <c r="C1113" s="1" t="n">
        <v>45627</v>
      </c>
      <c r="D1113" t="inlineStr">
        <is>
          <t>JÄMTLANDS LÄN</t>
        </is>
      </c>
      <c r="E1113" t="inlineStr">
        <is>
          <t>KROKOM</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56538-2023</t>
        </is>
      </c>
      <c r="B1114" s="1" t="n">
        <v>45238</v>
      </c>
      <c r="C1114" s="1" t="n">
        <v>45627</v>
      </c>
      <c r="D1114" t="inlineStr">
        <is>
          <t>JÄMTLANDS LÄN</t>
        </is>
      </c>
      <c r="E1114" t="inlineStr">
        <is>
          <t>KROKOM</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55914-2023</t>
        </is>
      </c>
      <c r="B1115" s="1" t="n">
        <v>45240</v>
      </c>
      <c r="C1115" s="1" t="n">
        <v>45627</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55693-2023</t>
        </is>
      </c>
      <c r="B1116" s="1" t="n">
        <v>45239</v>
      </c>
      <c r="C1116" s="1" t="n">
        <v>45627</v>
      </c>
      <c r="D1116" t="inlineStr">
        <is>
          <t>JÄMTLANDS LÄN</t>
        </is>
      </c>
      <c r="E1116" t="inlineStr">
        <is>
          <t>KROKOM</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55915-2023</t>
        </is>
      </c>
      <c r="B1117" s="1" t="n">
        <v>45240</v>
      </c>
      <c r="C1117" s="1" t="n">
        <v>45627</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57188-2023</t>
        </is>
      </c>
      <c r="B1118" s="1" t="n">
        <v>45239</v>
      </c>
      <c r="C1118" s="1" t="n">
        <v>45627</v>
      </c>
      <c r="D1118" t="inlineStr">
        <is>
          <t>JÄMTLANDS LÄN</t>
        </is>
      </c>
      <c r="E1118" t="inlineStr">
        <is>
          <t>KROKOM</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57257-2023</t>
        </is>
      </c>
      <c r="B1119" s="1" t="n">
        <v>45239</v>
      </c>
      <c r="C1119" s="1" t="n">
        <v>45627</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57266-2023</t>
        </is>
      </c>
      <c r="B1120" s="1" t="n">
        <v>45239</v>
      </c>
      <c r="C1120" s="1" t="n">
        <v>45627</v>
      </c>
      <c r="D1120" t="inlineStr">
        <is>
          <t>JÄMTLANDS LÄN</t>
        </is>
      </c>
      <c r="E1120" t="inlineStr">
        <is>
          <t>KROKOM</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57360-2023</t>
        </is>
      </c>
      <c r="B1121" s="1" t="n">
        <v>45240</v>
      </c>
      <c r="C1121" s="1" t="n">
        <v>45627</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56353-2023</t>
        </is>
      </c>
      <c r="B1122" s="1" t="n">
        <v>45243</v>
      </c>
      <c r="C1122" s="1" t="n">
        <v>45627</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56328-2023</t>
        </is>
      </c>
      <c r="B1123" s="1" t="n">
        <v>45243</v>
      </c>
      <c r="C1123" s="1" t="n">
        <v>45627</v>
      </c>
      <c r="D1123" t="inlineStr">
        <is>
          <t>JÄMTLANDS LÄN</t>
        </is>
      </c>
      <c r="E1123" t="inlineStr">
        <is>
          <t>KROKOM</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56694-2023</t>
        </is>
      </c>
      <c r="B1124" s="1" t="n">
        <v>45244</v>
      </c>
      <c r="C1124" s="1" t="n">
        <v>45627</v>
      </c>
      <c r="D1124" t="inlineStr">
        <is>
          <t>JÄMTLANDS LÄN</t>
        </is>
      </c>
      <c r="E1124" t="inlineStr">
        <is>
          <t>KROKOM</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56515-2023</t>
        </is>
      </c>
      <c r="B1125" s="1" t="n">
        <v>45243</v>
      </c>
      <c r="C1125" s="1" t="n">
        <v>45627</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56601-2023</t>
        </is>
      </c>
      <c r="B1126" s="1" t="n">
        <v>45243</v>
      </c>
      <c r="C1126" s="1" t="n">
        <v>45627</v>
      </c>
      <c r="D1126" t="inlineStr">
        <is>
          <t>JÄMTLANDS LÄN</t>
        </is>
      </c>
      <c r="E1126" t="inlineStr">
        <is>
          <t>KROKOM</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56346-2023</t>
        </is>
      </c>
      <c r="B1127" s="1" t="n">
        <v>45243</v>
      </c>
      <c r="C1127" s="1" t="n">
        <v>45627</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56361-2023</t>
        </is>
      </c>
      <c r="B1128" s="1" t="n">
        <v>45243</v>
      </c>
      <c r="C1128" s="1" t="n">
        <v>45627</v>
      </c>
      <c r="D1128" t="inlineStr">
        <is>
          <t>JÄMTLANDS LÄN</t>
        </is>
      </c>
      <c r="E1128" t="inlineStr">
        <is>
          <t>KROKOM</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56546-2023</t>
        </is>
      </c>
      <c r="B1129" s="1" t="n">
        <v>45243</v>
      </c>
      <c r="C1129" s="1" t="n">
        <v>45627</v>
      </c>
      <c r="D1129" t="inlineStr">
        <is>
          <t>JÄMTLANDS LÄN</t>
        </is>
      </c>
      <c r="E1129" t="inlineStr">
        <is>
          <t>KROKOM</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56927-2023</t>
        </is>
      </c>
      <c r="B1130" s="1" t="n">
        <v>45244</v>
      </c>
      <c r="C1130" s="1" t="n">
        <v>45627</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56924-2023</t>
        </is>
      </c>
      <c r="B1131" s="1" t="n">
        <v>45244</v>
      </c>
      <c r="C1131" s="1" t="n">
        <v>45627</v>
      </c>
      <c r="D1131" t="inlineStr">
        <is>
          <t>JÄMTLANDS LÄN</t>
        </is>
      </c>
      <c r="E1131" t="inlineStr">
        <is>
          <t>KROKOM</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56932-2023</t>
        </is>
      </c>
      <c r="B1132" s="1" t="n">
        <v>45244</v>
      </c>
      <c r="C1132" s="1" t="n">
        <v>45627</v>
      </c>
      <c r="D1132" t="inlineStr">
        <is>
          <t>JÄMTLANDS LÄN</t>
        </is>
      </c>
      <c r="E1132" t="inlineStr">
        <is>
          <t>KROKOM</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56936-2023</t>
        </is>
      </c>
      <c r="B1133" s="1" t="n">
        <v>45244</v>
      </c>
      <c r="C1133" s="1" t="n">
        <v>45627</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57239-2023</t>
        </is>
      </c>
      <c r="B1134" s="1" t="n">
        <v>45245</v>
      </c>
      <c r="C1134" s="1" t="n">
        <v>45627</v>
      </c>
      <c r="D1134" t="inlineStr">
        <is>
          <t>JÄMTLANDS LÄN</t>
        </is>
      </c>
      <c r="E1134" t="inlineStr">
        <is>
          <t>KROKOM</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57259-2023</t>
        </is>
      </c>
      <c r="B1135" s="1" t="n">
        <v>45245</v>
      </c>
      <c r="C1135" s="1" t="n">
        <v>45627</v>
      </c>
      <c r="D1135" t="inlineStr">
        <is>
          <t>JÄMTLANDS LÄN</t>
        </is>
      </c>
      <c r="E1135" t="inlineStr">
        <is>
          <t>KROKOM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45627</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57402-2023</t>
        </is>
      </c>
      <c r="B1137" s="1" t="n">
        <v>45246</v>
      </c>
      <c r="C1137" s="1" t="n">
        <v>45627</v>
      </c>
      <c r="D1137" t="inlineStr">
        <is>
          <t>JÄMTLANDS LÄN</t>
        </is>
      </c>
      <c r="E1137" t="inlineStr">
        <is>
          <t>KROKOM</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57401-2023</t>
        </is>
      </c>
      <c r="B1138" s="1" t="n">
        <v>45246</v>
      </c>
      <c r="C1138" s="1" t="n">
        <v>45627</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45627</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57782-2023</t>
        </is>
      </c>
      <c r="B1140" s="1" t="n">
        <v>45246</v>
      </c>
      <c r="C1140" s="1" t="n">
        <v>45627</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58569-2023</t>
        </is>
      </c>
      <c r="B1141" s="1" t="n">
        <v>45246</v>
      </c>
      <c r="C1141" s="1" t="n">
        <v>45627</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58556-2023</t>
        </is>
      </c>
      <c r="B1142" s="1" t="n">
        <v>45246</v>
      </c>
      <c r="C1142" s="1" t="n">
        <v>45627</v>
      </c>
      <c r="D1142" t="inlineStr">
        <is>
          <t>JÄMTLANDS LÄN</t>
        </is>
      </c>
      <c r="E1142" t="inlineStr">
        <is>
          <t>KROKOM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58594-2023</t>
        </is>
      </c>
      <c r="B1143" s="1" t="n">
        <v>45246</v>
      </c>
      <c r="C1143" s="1" t="n">
        <v>45627</v>
      </c>
      <c r="D1143" t="inlineStr">
        <is>
          <t>JÄMTLANDS LÄN</t>
        </is>
      </c>
      <c r="E1143" t="inlineStr">
        <is>
          <t>KROKOM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58563-2023</t>
        </is>
      </c>
      <c r="B1144" s="1" t="n">
        <v>45246</v>
      </c>
      <c r="C1144" s="1" t="n">
        <v>45627</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57820-2023</t>
        </is>
      </c>
      <c r="B1145" s="1" t="n">
        <v>45247</v>
      </c>
      <c r="C1145" s="1" t="n">
        <v>45627</v>
      </c>
      <c r="D1145" t="inlineStr">
        <is>
          <t>JÄMTLANDS LÄN</t>
        </is>
      </c>
      <c r="E1145" t="inlineStr">
        <is>
          <t>KROKOM</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57847-2023</t>
        </is>
      </c>
      <c r="B1146" s="1" t="n">
        <v>45247</v>
      </c>
      <c r="C1146" s="1" t="n">
        <v>45627</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57814-2023</t>
        </is>
      </c>
      <c r="B1147" s="1" t="n">
        <v>45247</v>
      </c>
      <c r="C1147" s="1" t="n">
        <v>45627</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57856-2023</t>
        </is>
      </c>
      <c r="B1148" s="1" t="n">
        <v>45247</v>
      </c>
      <c r="C1148" s="1" t="n">
        <v>45627</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57861-2023</t>
        </is>
      </c>
      <c r="B1149" s="1" t="n">
        <v>45247</v>
      </c>
      <c r="C1149" s="1" t="n">
        <v>45627</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57849-2023</t>
        </is>
      </c>
      <c r="B1150" s="1" t="n">
        <v>45247</v>
      </c>
      <c r="C1150" s="1" t="n">
        <v>45627</v>
      </c>
      <c r="D1150" t="inlineStr">
        <is>
          <t>JÄMTLANDS LÄN</t>
        </is>
      </c>
      <c r="E1150" t="inlineStr">
        <is>
          <t>KROKOM</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58355-2023</t>
        </is>
      </c>
      <c r="B1151" s="1" t="n">
        <v>45250</v>
      </c>
      <c r="C1151" s="1" t="n">
        <v>45627</v>
      </c>
      <c r="D1151" t="inlineStr">
        <is>
          <t>JÄMTLANDS LÄN</t>
        </is>
      </c>
      <c r="E1151" t="inlineStr">
        <is>
          <t>KROKOM</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58264-2023</t>
        </is>
      </c>
      <c r="B1152" s="1" t="n">
        <v>45250</v>
      </c>
      <c r="C1152" s="1" t="n">
        <v>45627</v>
      </c>
      <c r="D1152" t="inlineStr">
        <is>
          <t>JÄMTLANDS LÄN</t>
        </is>
      </c>
      <c r="E1152" t="inlineStr">
        <is>
          <t>KROKOM</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58677-2023</t>
        </is>
      </c>
      <c r="B1153" s="1" t="n">
        <v>45251</v>
      </c>
      <c r="C1153" s="1" t="n">
        <v>45627</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58942-2023</t>
        </is>
      </c>
      <c r="B1154" s="1" t="n">
        <v>45252</v>
      </c>
      <c r="C1154" s="1" t="n">
        <v>45627</v>
      </c>
      <c r="D1154" t="inlineStr">
        <is>
          <t>JÄMTLANDS LÄN</t>
        </is>
      </c>
      <c r="E1154" t="inlineStr">
        <is>
          <t>KROKOM</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58798-2023</t>
        </is>
      </c>
      <c r="B1155" s="1" t="n">
        <v>45252</v>
      </c>
      <c r="C1155" s="1" t="n">
        <v>45627</v>
      </c>
      <c r="D1155" t="inlineStr">
        <is>
          <t>JÄMTLANDS LÄN</t>
        </is>
      </c>
      <c r="E1155" t="inlineStr">
        <is>
          <t>KROKOM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59031-2023</t>
        </is>
      </c>
      <c r="B1156" s="1" t="n">
        <v>45252</v>
      </c>
      <c r="C1156" s="1" t="n">
        <v>45627</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59293-2023</t>
        </is>
      </c>
      <c r="B1157" s="1" t="n">
        <v>45253</v>
      </c>
      <c r="C1157" s="1" t="n">
        <v>45627</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59622-2023</t>
        </is>
      </c>
      <c r="B1158" s="1" t="n">
        <v>45254</v>
      </c>
      <c r="C1158" s="1" t="n">
        <v>45627</v>
      </c>
      <c r="D1158" t="inlineStr">
        <is>
          <t>JÄMTLANDS LÄN</t>
        </is>
      </c>
      <c r="E1158" t="inlineStr">
        <is>
          <t>KROKOM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59668-2023</t>
        </is>
      </c>
      <c r="B1159" s="1" t="n">
        <v>45254</v>
      </c>
      <c r="C1159" s="1" t="n">
        <v>45627</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59819-2023</t>
        </is>
      </c>
      <c r="B1160" s="1" t="n">
        <v>45257</v>
      </c>
      <c r="C1160" s="1" t="n">
        <v>45627</v>
      </c>
      <c r="D1160" t="inlineStr">
        <is>
          <t>JÄMTLANDS LÄN</t>
        </is>
      </c>
      <c r="E1160" t="inlineStr">
        <is>
          <t>KROKOM</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59843-2023</t>
        </is>
      </c>
      <c r="B1161" s="1" t="n">
        <v>45257</v>
      </c>
      <c r="C1161" s="1" t="n">
        <v>45627</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59973-2023</t>
        </is>
      </c>
      <c r="B1162" s="1" t="n">
        <v>45257</v>
      </c>
      <c r="C1162" s="1" t="n">
        <v>45627</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60006-2023</t>
        </is>
      </c>
      <c r="B1163" s="1" t="n">
        <v>45258</v>
      </c>
      <c r="C1163" s="1" t="n">
        <v>45627</v>
      </c>
      <c r="D1163" t="inlineStr">
        <is>
          <t>JÄMTLANDS LÄN</t>
        </is>
      </c>
      <c r="E1163" t="inlineStr">
        <is>
          <t>KROKOM</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60102-2023</t>
        </is>
      </c>
      <c r="B1164" s="1" t="n">
        <v>45257</v>
      </c>
      <c r="C1164" s="1" t="n">
        <v>45627</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59828-2023</t>
        </is>
      </c>
      <c r="B1165" s="1" t="n">
        <v>45257</v>
      </c>
      <c r="C1165" s="1" t="n">
        <v>45627</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60007-2023</t>
        </is>
      </c>
      <c r="B1166" s="1" t="n">
        <v>45258</v>
      </c>
      <c r="C1166" s="1" t="n">
        <v>45627</v>
      </c>
      <c r="D1166" t="inlineStr">
        <is>
          <t>JÄMTLANDS LÄN</t>
        </is>
      </c>
      <c r="E1166" t="inlineStr">
        <is>
          <t>KROKOM</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60333-2023</t>
        </is>
      </c>
      <c r="B1167" s="1" t="n">
        <v>45258</v>
      </c>
      <c r="C1167" s="1" t="n">
        <v>45627</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60364-2023</t>
        </is>
      </c>
      <c r="B1168" s="1" t="n">
        <v>45259</v>
      </c>
      <c r="C1168" s="1" t="n">
        <v>45627</v>
      </c>
      <c r="D1168" t="inlineStr">
        <is>
          <t>JÄMTLANDS LÄN</t>
        </is>
      </c>
      <c r="E1168" t="inlineStr">
        <is>
          <t>KROKOM</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60680-2023</t>
        </is>
      </c>
      <c r="B1169" s="1" t="n">
        <v>45260</v>
      </c>
      <c r="C1169" s="1" t="n">
        <v>45627</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61078-2023</t>
        </is>
      </c>
      <c r="B1170" s="1" t="n">
        <v>45261</v>
      </c>
      <c r="C1170" s="1" t="n">
        <v>45627</v>
      </c>
      <c r="D1170" t="inlineStr">
        <is>
          <t>JÄMTLANDS LÄN</t>
        </is>
      </c>
      <c r="E1170" t="inlineStr">
        <is>
          <t>KROKOM</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61337-2023</t>
        </is>
      </c>
      <c r="B1171" s="1" t="n">
        <v>45264</v>
      </c>
      <c r="C1171" s="1" t="n">
        <v>45627</v>
      </c>
      <c r="D1171" t="inlineStr">
        <is>
          <t>JÄMTLANDS LÄN</t>
        </is>
      </c>
      <c r="E1171" t="inlineStr">
        <is>
          <t>KROKOM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61329-2023</t>
        </is>
      </c>
      <c r="B1172" s="1" t="n">
        <v>45264</v>
      </c>
      <c r="C1172" s="1" t="n">
        <v>45627</v>
      </c>
      <c r="D1172" t="inlineStr">
        <is>
          <t>JÄMTLANDS LÄN</t>
        </is>
      </c>
      <c r="E1172" t="inlineStr">
        <is>
          <t>KROKOM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61886-2023</t>
        </is>
      </c>
      <c r="B1173" s="1" t="n">
        <v>45264</v>
      </c>
      <c r="C1173" s="1" t="n">
        <v>45627</v>
      </c>
      <c r="D1173" t="inlineStr">
        <is>
          <t>JÄMTLANDS LÄN</t>
        </is>
      </c>
      <c r="E1173" t="inlineStr">
        <is>
          <t>KROKOM</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61615-2023</t>
        </is>
      </c>
      <c r="B1174" s="1" t="n">
        <v>45265</v>
      </c>
      <c r="C1174" s="1" t="n">
        <v>45627</v>
      </c>
      <c r="D1174" t="inlineStr">
        <is>
          <t>JÄMTLANDS LÄN</t>
        </is>
      </c>
      <c r="E1174" t="inlineStr">
        <is>
          <t>KROKOM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62042-2023</t>
        </is>
      </c>
      <c r="B1175" s="1" t="n">
        <v>45265</v>
      </c>
      <c r="C1175" s="1" t="n">
        <v>45627</v>
      </c>
      <c r="D1175" t="inlineStr">
        <is>
          <t>JÄMTLANDS LÄN</t>
        </is>
      </c>
      <c r="E1175" t="inlineStr">
        <is>
          <t>KROKOM</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62058-2023</t>
        </is>
      </c>
      <c r="B1176" s="1" t="n">
        <v>45265</v>
      </c>
      <c r="C1176" s="1" t="n">
        <v>45627</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62117-2023</t>
        </is>
      </c>
      <c r="B1177" s="1" t="n">
        <v>45266</v>
      </c>
      <c r="C1177" s="1" t="n">
        <v>45627</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62413-2023</t>
        </is>
      </c>
      <c r="B1178" s="1" t="n">
        <v>45266</v>
      </c>
      <c r="C1178" s="1" t="n">
        <v>45627</v>
      </c>
      <c r="D1178" t="inlineStr">
        <is>
          <t>JÄMTLANDS LÄN</t>
        </is>
      </c>
      <c r="E1178" t="inlineStr">
        <is>
          <t>KROKOM</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62929-2023</t>
        </is>
      </c>
      <c r="B1179" s="1" t="n">
        <v>45271</v>
      </c>
      <c r="C1179" s="1" t="n">
        <v>45627</v>
      </c>
      <c r="D1179" t="inlineStr">
        <is>
          <t>JÄMTLANDS LÄN</t>
        </is>
      </c>
      <c r="E1179" t="inlineStr">
        <is>
          <t>KROKOM</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63165-2023</t>
        </is>
      </c>
      <c r="B1180" s="1" t="n">
        <v>45272</v>
      </c>
      <c r="C1180" s="1" t="n">
        <v>45627</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63533-2023</t>
        </is>
      </c>
      <c r="B1181" s="1" t="n">
        <v>45274</v>
      </c>
      <c r="C1181" s="1" t="n">
        <v>45627</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63313-2023</t>
        </is>
      </c>
      <c r="B1182" s="1" t="n">
        <v>45274</v>
      </c>
      <c r="C1182" s="1" t="n">
        <v>45627</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63532-2023</t>
        </is>
      </c>
      <c r="B1183" s="1" t="n">
        <v>45274</v>
      </c>
      <c r="C1183" s="1" t="n">
        <v>45627</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63960-2023</t>
        </is>
      </c>
      <c r="B1184" s="1" t="n">
        <v>45278</v>
      </c>
      <c r="C1184" s="1" t="n">
        <v>45627</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64163-2023</t>
        </is>
      </c>
      <c r="B1185" s="1" t="n">
        <v>45279</v>
      </c>
      <c r="C1185" s="1" t="n">
        <v>45627</v>
      </c>
      <c r="D1185" t="inlineStr">
        <is>
          <t>JÄMTLANDS LÄN</t>
        </is>
      </c>
      <c r="E1185" t="inlineStr">
        <is>
          <t>KROKOM</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64174-2023</t>
        </is>
      </c>
      <c r="B1186" s="1" t="n">
        <v>45279</v>
      </c>
      <c r="C1186" s="1" t="n">
        <v>45627</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64273-2023</t>
        </is>
      </c>
      <c r="B1187" s="1" t="n">
        <v>45279</v>
      </c>
      <c r="C1187" s="1" t="n">
        <v>45627</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64662-2023</t>
        </is>
      </c>
      <c r="B1188" s="1" t="n">
        <v>45281</v>
      </c>
      <c r="C1188" s="1" t="n">
        <v>45627</v>
      </c>
      <c r="D1188" t="inlineStr">
        <is>
          <t>JÄMTLANDS LÄN</t>
        </is>
      </c>
      <c r="E1188" t="inlineStr">
        <is>
          <t>KROKOM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64768-2023</t>
        </is>
      </c>
      <c r="B1189" s="1" t="n">
        <v>45282</v>
      </c>
      <c r="C1189" s="1" t="n">
        <v>45627</v>
      </c>
      <c r="D1189" t="inlineStr">
        <is>
          <t>JÄMTLANDS LÄN</t>
        </is>
      </c>
      <c r="E1189" t="inlineStr">
        <is>
          <t>KROKOM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64764-2023</t>
        </is>
      </c>
      <c r="B1190" s="1" t="n">
        <v>45282</v>
      </c>
      <c r="C1190" s="1" t="n">
        <v>45627</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65236-2023</t>
        </is>
      </c>
      <c r="B1191" s="1" t="n">
        <v>45289</v>
      </c>
      <c r="C1191" s="1" t="n">
        <v>45627</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417-2024</t>
        </is>
      </c>
      <c r="B1192" s="1" t="n">
        <v>45296</v>
      </c>
      <c r="C1192" s="1" t="n">
        <v>45627</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704-2024</t>
        </is>
      </c>
      <c r="B1193" s="1" t="n">
        <v>45300</v>
      </c>
      <c r="C1193" s="1" t="n">
        <v>45627</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785-2024</t>
        </is>
      </c>
      <c r="B1194" s="1" t="n">
        <v>45300</v>
      </c>
      <c r="C1194" s="1" t="n">
        <v>45627</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773-2024</t>
        </is>
      </c>
      <c r="B1195" s="1" t="n">
        <v>45300</v>
      </c>
      <c r="C1195" s="1" t="n">
        <v>45627</v>
      </c>
      <c r="D1195" t="inlineStr">
        <is>
          <t>JÄMTLANDS LÄN</t>
        </is>
      </c>
      <c r="E1195" t="inlineStr">
        <is>
          <t>KROKOM</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739-2024</t>
        </is>
      </c>
      <c r="B1196" s="1" t="n">
        <v>45300</v>
      </c>
      <c r="C1196" s="1" t="n">
        <v>45627</v>
      </c>
      <c r="D1196" t="inlineStr">
        <is>
          <t>JÄMTLANDS LÄN</t>
        </is>
      </c>
      <c r="E1196" t="inlineStr">
        <is>
          <t>KROKOM</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715-2024</t>
        </is>
      </c>
      <c r="B1197" s="1" t="n">
        <v>45300</v>
      </c>
      <c r="C1197" s="1" t="n">
        <v>45627</v>
      </c>
      <c r="D1197" t="inlineStr">
        <is>
          <t>JÄMTLANDS LÄN</t>
        </is>
      </c>
      <c r="E1197" t="inlineStr">
        <is>
          <t>KROKOM</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1109-2024</t>
        </is>
      </c>
      <c r="B1198" s="1" t="n">
        <v>45302</v>
      </c>
      <c r="C1198" s="1" t="n">
        <v>45627</v>
      </c>
      <c r="D1198" t="inlineStr">
        <is>
          <t>JÄMTLANDS LÄN</t>
        </is>
      </c>
      <c r="E1198" t="inlineStr">
        <is>
          <t>KROKOM</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1464-2024</t>
        </is>
      </c>
      <c r="B1199" s="1" t="n">
        <v>45304</v>
      </c>
      <c r="C1199" s="1" t="n">
        <v>45627</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1556-2024</t>
        </is>
      </c>
      <c r="B1200" s="1" t="n">
        <v>45306</v>
      </c>
      <c r="C1200" s="1" t="n">
        <v>45627</v>
      </c>
      <c r="D1200" t="inlineStr">
        <is>
          <t>JÄMTLANDS LÄN</t>
        </is>
      </c>
      <c r="E1200" t="inlineStr">
        <is>
          <t>KROKOM</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2017-2024</t>
        </is>
      </c>
      <c r="B1201" s="1" t="n">
        <v>45308</v>
      </c>
      <c r="C1201" s="1" t="n">
        <v>45627</v>
      </c>
      <c r="D1201" t="inlineStr">
        <is>
          <t>JÄMTLANDS LÄN</t>
        </is>
      </c>
      <c r="E1201" t="inlineStr">
        <is>
          <t>KROKOM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2237-2024</t>
        </is>
      </c>
      <c r="B1202" s="1" t="n">
        <v>45309</v>
      </c>
      <c r="C1202" s="1" t="n">
        <v>45627</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2238-2024</t>
        </is>
      </c>
      <c r="B1203" s="1" t="n">
        <v>45309</v>
      </c>
      <c r="C1203" s="1" t="n">
        <v>45627</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2236-2024</t>
        </is>
      </c>
      <c r="B1204" s="1" t="n">
        <v>45309</v>
      </c>
      <c r="C1204" s="1" t="n">
        <v>45627</v>
      </c>
      <c r="D1204" t="inlineStr">
        <is>
          <t>JÄMTLANDS LÄN</t>
        </is>
      </c>
      <c r="E1204" t="inlineStr">
        <is>
          <t>KROKOM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45627</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2628-2024</t>
        </is>
      </c>
      <c r="B1206" s="1" t="n">
        <v>45313</v>
      </c>
      <c r="C1206" s="1" t="n">
        <v>45627</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2775-2024</t>
        </is>
      </c>
      <c r="B1207" s="1" t="n">
        <v>45314</v>
      </c>
      <c r="C1207" s="1" t="n">
        <v>45627</v>
      </c>
      <c r="D1207" t="inlineStr">
        <is>
          <t>JÄMTLANDS LÄN</t>
        </is>
      </c>
      <c r="E1207" t="inlineStr">
        <is>
          <t>KROKOM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3188-2024</t>
        </is>
      </c>
      <c r="B1208" s="1" t="n">
        <v>45316</v>
      </c>
      <c r="C1208" s="1" t="n">
        <v>45627</v>
      </c>
      <c r="D1208" t="inlineStr">
        <is>
          <t>JÄMTLANDS LÄN</t>
        </is>
      </c>
      <c r="E1208" t="inlineStr">
        <is>
          <t>KROKOM</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3214-2024</t>
        </is>
      </c>
      <c r="B1209" s="1" t="n">
        <v>45316</v>
      </c>
      <c r="C1209" s="1" t="n">
        <v>45627</v>
      </c>
      <c r="D1209" t="inlineStr">
        <is>
          <t>JÄMTLANDS LÄN</t>
        </is>
      </c>
      <c r="E1209" t="inlineStr">
        <is>
          <t>KROKOM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3257-2024</t>
        </is>
      </c>
      <c r="B1210" s="1" t="n">
        <v>45316</v>
      </c>
      <c r="C1210" s="1" t="n">
        <v>45627</v>
      </c>
      <c r="D1210" t="inlineStr">
        <is>
          <t>JÄMTLANDS LÄN</t>
        </is>
      </c>
      <c r="E1210" t="inlineStr">
        <is>
          <t>KROKOM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4354-2024</t>
        </is>
      </c>
      <c r="B1211" s="1" t="n">
        <v>45324</v>
      </c>
      <c r="C1211" s="1" t="n">
        <v>45627</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4355-2024</t>
        </is>
      </c>
      <c r="B1212" s="1" t="n">
        <v>45324</v>
      </c>
      <c r="C1212" s="1" t="n">
        <v>45627</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4353-2024</t>
        </is>
      </c>
      <c r="B1213" s="1" t="n">
        <v>45324</v>
      </c>
      <c r="C1213" s="1" t="n">
        <v>45627</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5438-2024</t>
        </is>
      </c>
      <c r="B1214" s="1" t="n">
        <v>45331</v>
      </c>
      <c r="C1214" s="1" t="n">
        <v>45627</v>
      </c>
      <c r="D1214" t="inlineStr">
        <is>
          <t>JÄMTLANDS LÄN</t>
        </is>
      </c>
      <c r="E1214" t="inlineStr">
        <is>
          <t>KROKOM</t>
        </is>
      </c>
      <c r="F1214" t="inlineStr">
        <is>
          <t>SCA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5437-2024</t>
        </is>
      </c>
      <c r="B1215" s="1" t="n">
        <v>45331</v>
      </c>
      <c r="C1215" s="1" t="n">
        <v>45627</v>
      </c>
      <c r="D1215" t="inlineStr">
        <is>
          <t>JÄMTLANDS LÄN</t>
        </is>
      </c>
      <c r="E1215" t="inlineStr">
        <is>
          <t>KROKOM</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5440-2024</t>
        </is>
      </c>
      <c r="B1216" s="1" t="n">
        <v>45331</v>
      </c>
      <c r="C1216" s="1" t="n">
        <v>45627</v>
      </c>
      <c r="D1216" t="inlineStr">
        <is>
          <t>JÄMTLANDS LÄN</t>
        </is>
      </c>
      <c r="E1216" t="inlineStr">
        <is>
          <t>KROKOM</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6283-2024</t>
        </is>
      </c>
      <c r="B1217" s="1" t="n">
        <v>45337</v>
      </c>
      <c r="C1217" s="1" t="n">
        <v>45627</v>
      </c>
      <c r="D1217" t="inlineStr">
        <is>
          <t>JÄMTLANDS LÄN</t>
        </is>
      </c>
      <c r="E1217" t="inlineStr">
        <is>
          <t>KROKOM</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6284-2024</t>
        </is>
      </c>
      <c r="B1218" s="1" t="n">
        <v>45337</v>
      </c>
      <c r="C1218" s="1" t="n">
        <v>45627</v>
      </c>
      <c r="D1218" t="inlineStr">
        <is>
          <t>JÄMTLANDS LÄN</t>
        </is>
      </c>
      <c r="E1218" t="inlineStr">
        <is>
          <t>KROKOM</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6403-2024</t>
        </is>
      </c>
      <c r="B1219" s="1" t="n">
        <v>45338</v>
      </c>
      <c r="C1219" s="1" t="n">
        <v>45627</v>
      </c>
      <c r="D1219" t="inlineStr">
        <is>
          <t>JÄMTLANDS LÄN</t>
        </is>
      </c>
      <c r="E1219" t="inlineStr">
        <is>
          <t>KROKOM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6482-2024</t>
        </is>
      </c>
      <c r="B1220" s="1" t="n">
        <v>45338</v>
      </c>
      <c r="C1220" s="1" t="n">
        <v>45627</v>
      </c>
      <c r="D1220" t="inlineStr">
        <is>
          <t>JÄMTLANDS LÄN</t>
        </is>
      </c>
      <c r="E1220" t="inlineStr">
        <is>
          <t>KROKOM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6483-2024</t>
        </is>
      </c>
      <c r="B1221" s="1" t="n">
        <v>45338</v>
      </c>
      <c r="C1221" s="1" t="n">
        <v>45627</v>
      </c>
      <c r="D1221" t="inlineStr">
        <is>
          <t>JÄMTLANDS LÄN</t>
        </is>
      </c>
      <c r="E1221" t="inlineStr">
        <is>
          <t>KROKOM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6900-2024</t>
        </is>
      </c>
      <c r="B1222" s="1" t="n">
        <v>45342</v>
      </c>
      <c r="C1222" s="1" t="n">
        <v>45627</v>
      </c>
      <c r="D1222" t="inlineStr">
        <is>
          <t>JÄMTLANDS LÄN</t>
        </is>
      </c>
      <c r="E1222" t="inlineStr">
        <is>
          <t>KROKOM</t>
        </is>
      </c>
      <c r="F1222" t="inlineStr">
        <is>
          <t>SCA</t>
        </is>
      </c>
      <c r="G1222" t="n">
        <v>64.59999999999999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6898-2024</t>
        </is>
      </c>
      <c r="B1223" s="1" t="n">
        <v>45342</v>
      </c>
      <c r="C1223" s="1" t="n">
        <v>45627</v>
      </c>
      <c r="D1223" t="inlineStr">
        <is>
          <t>JÄMTLANDS LÄN</t>
        </is>
      </c>
      <c r="E1223" t="inlineStr">
        <is>
          <t>KROKOM</t>
        </is>
      </c>
      <c r="F1223" t="inlineStr">
        <is>
          <t>SCA</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v>
      </c>
      <c r="C1224" s="1" t="n">
        <v>45627</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7761-2024</t>
        </is>
      </c>
      <c r="B1225" s="1" t="n">
        <v>45348</v>
      </c>
      <c r="C1225" s="1" t="n">
        <v>45627</v>
      </c>
      <c r="D1225" t="inlineStr">
        <is>
          <t>JÄMTLANDS LÄN</t>
        </is>
      </c>
      <c r="E1225" t="inlineStr">
        <is>
          <t>KROKOM</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7763-2024</t>
        </is>
      </c>
      <c r="B1226" s="1" t="n">
        <v>45348</v>
      </c>
      <c r="C1226" s="1" t="n">
        <v>45627</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7863-2024</t>
        </is>
      </c>
      <c r="B1227" s="1" t="n">
        <v>45350</v>
      </c>
      <c r="C1227" s="1" t="n">
        <v>45627</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8130-2024</t>
        </is>
      </c>
      <c r="B1228" s="1" t="n">
        <v>45351</v>
      </c>
      <c r="C1228" s="1" t="n">
        <v>45627</v>
      </c>
      <c r="D1228" t="inlineStr">
        <is>
          <t>JÄMTLANDS LÄN</t>
        </is>
      </c>
      <c r="E1228" t="inlineStr">
        <is>
          <t>KROKOM</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9750-2024</t>
        </is>
      </c>
      <c r="B1229" s="1" t="n">
        <v>45362</v>
      </c>
      <c r="C1229" s="1" t="n">
        <v>45627</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9755-2024</t>
        </is>
      </c>
      <c r="B1230" s="1" t="n">
        <v>45362</v>
      </c>
      <c r="C1230" s="1" t="n">
        <v>45627</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10597-2024</t>
        </is>
      </c>
      <c r="B1231" s="1" t="n">
        <v>45366</v>
      </c>
      <c r="C1231" s="1" t="n">
        <v>45627</v>
      </c>
      <c r="D1231" t="inlineStr">
        <is>
          <t>JÄMTLANDS LÄN</t>
        </is>
      </c>
      <c r="E1231" t="inlineStr">
        <is>
          <t>KROKOM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10612-2024</t>
        </is>
      </c>
      <c r="B1232" s="1" t="n">
        <v>45367</v>
      </c>
      <c r="C1232" s="1" t="n">
        <v>45627</v>
      </c>
      <c r="D1232" t="inlineStr">
        <is>
          <t>JÄMTLANDS LÄN</t>
        </is>
      </c>
      <c r="E1232" t="inlineStr">
        <is>
          <t>KROKOM</t>
        </is>
      </c>
      <c r="F1232" t="inlineStr">
        <is>
          <t>SCA</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45627</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10773-2024</t>
        </is>
      </c>
      <c r="B1234" s="1" t="n">
        <v>45369</v>
      </c>
      <c r="C1234" s="1" t="n">
        <v>45627</v>
      </c>
      <c r="D1234" t="inlineStr">
        <is>
          <t>JÄMTLANDS LÄN</t>
        </is>
      </c>
      <c r="E1234" t="inlineStr">
        <is>
          <t>KROKOM</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10961-2024</t>
        </is>
      </c>
      <c r="B1235" s="1" t="n">
        <v>45370</v>
      </c>
      <c r="C1235" s="1" t="n">
        <v>45627</v>
      </c>
      <c r="D1235" t="inlineStr">
        <is>
          <t>JÄMTLANDS LÄN</t>
        </is>
      </c>
      <c r="E1235" t="inlineStr">
        <is>
          <t>KROKOM</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11059-2024</t>
        </is>
      </c>
      <c r="B1236" s="1" t="n">
        <v>45370</v>
      </c>
      <c r="C1236" s="1" t="n">
        <v>45627</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11045-2024</t>
        </is>
      </c>
      <c r="B1237" s="1" t="n">
        <v>45370</v>
      </c>
      <c r="C1237" s="1" t="n">
        <v>45627</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10976-2024</t>
        </is>
      </c>
      <c r="B1238" s="1" t="n">
        <v>45370</v>
      </c>
      <c r="C1238" s="1" t="n">
        <v>45627</v>
      </c>
      <c r="D1238" t="inlineStr">
        <is>
          <t>JÄMTLANDS LÄN</t>
        </is>
      </c>
      <c r="E1238" t="inlineStr">
        <is>
          <t>KROKOM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11056-2024</t>
        </is>
      </c>
      <c r="B1239" s="1" t="n">
        <v>45370</v>
      </c>
      <c r="C1239" s="1" t="n">
        <v>45627</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11092-2024</t>
        </is>
      </c>
      <c r="B1240" s="1" t="n">
        <v>45370</v>
      </c>
      <c r="C1240" s="1" t="n">
        <v>45627</v>
      </c>
      <c r="D1240" t="inlineStr">
        <is>
          <t>JÄMTLANDS LÄN</t>
        </is>
      </c>
      <c r="E1240" t="inlineStr">
        <is>
          <t>KROKOM</t>
        </is>
      </c>
      <c r="F1240" t="inlineStr">
        <is>
          <t>SCA</t>
        </is>
      </c>
      <c r="G1240" t="n">
        <v>27.2</v>
      </c>
      <c r="H1240" t="n">
        <v>0</v>
      </c>
      <c r="I1240" t="n">
        <v>0</v>
      </c>
      <c r="J1240" t="n">
        <v>0</v>
      </c>
      <c r="K1240" t="n">
        <v>0</v>
      </c>
      <c r="L1240" t="n">
        <v>0</v>
      </c>
      <c r="M1240" t="n">
        <v>0</v>
      </c>
      <c r="N1240" t="n">
        <v>0</v>
      </c>
      <c r="O1240" t="n">
        <v>0</v>
      </c>
      <c r="P1240" t="n">
        <v>0</v>
      </c>
      <c r="Q1240" t="n">
        <v>0</v>
      </c>
      <c r="R1240" s="2" t="inlineStr"/>
    </row>
    <row r="1241" ht="15" customHeight="1">
      <c r="A1241" t="inlineStr">
        <is>
          <t>A 11097-2024</t>
        </is>
      </c>
      <c r="B1241" s="1" t="n">
        <v>45370</v>
      </c>
      <c r="C1241" s="1" t="n">
        <v>45627</v>
      </c>
      <c r="D1241" t="inlineStr">
        <is>
          <t>JÄMTLANDS LÄN</t>
        </is>
      </c>
      <c r="E1241" t="inlineStr">
        <is>
          <t>KROKOM</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11193-2024</t>
        </is>
      </c>
      <c r="B1242" s="1" t="n">
        <v>45371</v>
      </c>
      <c r="C1242" s="1" t="n">
        <v>45627</v>
      </c>
      <c r="D1242" t="inlineStr">
        <is>
          <t>JÄMTLANDS LÄN</t>
        </is>
      </c>
      <c r="E1242" t="inlineStr">
        <is>
          <t>KROKOM</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11197-2024</t>
        </is>
      </c>
      <c r="B1243" s="1" t="n">
        <v>45371</v>
      </c>
      <c r="C1243" s="1" t="n">
        <v>45627</v>
      </c>
      <c r="D1243" t="inlineStr">
        <is>
          <t>JÄMTLANDS LÄN</t>
        </is>
      </c>
      <c r="E1243" t="inlineStr">
        <is>
          <t>KROKOM</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11417-2024</t>
        </is>
      </c>
      <c r="B1244" s="1" t="n">
        <v>45371</v>
      </c>
      <c r="C1244" s="1" t="n">
        <v>45627</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11384-2024</t>
        </is>
      </c>
      <c r="B1245" s="1" t="n">
        <v>45372</v>
      </c>
      <c r="C1245" s="1" t="n">
        <v>45627</v>
      </c>
      <c r="D1245" t="inlineStr">
        <is>
          <t>JÄMTLANDS LÄN</t>
        </is>
      </c>
      <c r="E1245" t="inlineStr">
        <is>
          <t>KROKOM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11412-2024</t>
        </is>
      </c>
      <c r="B1246" s="1" t="n">
        <v>45372</v>
      </c>
      <c r="C1246" s="1" t="n">
        <v>45627</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11639-2024</t>
        </is>
      </c>
      <c r="B1247" s="1" t="n">
        <v>45373</v>
      </c>
      <c r="C1247" s="1" t="n">
        <v>45627</v>
      </c>
      <c r="D1247" t="inlineStr">
        <is>
          <t>JÄMTLANDS LÄN</t>
        </is>
      </c>
      <c r="E1247" t="inlineStr">
        <is>
          <t>KROKOM</t>
        </is>
      </c>
      <c r="G1247" t="n">
        <v>22.2</v>
      </c>
      <c r="H1247" t="n">
        <v>0</v>
      </c>
      <c r="I1247" t="n">
        <v>0</v>
      </c>
      <c r="J1247" t="n">
        <v>0</v>
      </c>
      <c r="K1247" t="n">
        <v>0</v>
      </c>
      <c r="L1247" t="n">
        <v>0</v>
      </c>
      <c r="M1247" t="n">
        <v>0</v>
      </c>
      <c r="N1247" t="n">
        <v>0</v>
      </c>
      <c r="O1247" t="n">
        <v>0</v>
      </c>
      <c r="P1247" t="n">
        <v>0</v>
      </c>
      <c r="Q1247" t="n">
        <v>0</v>
      </c>
      <c r="R1247" s="2" t="inlineStr"/>
    </row>
    <row r="1248" ht="15" customHeight="1">
      <c r="A1248" t="inlineStr">
        <is>
          <t>A 12188-2024</t>
        </is>
      </c>
      <c r="B1248" s="1" t="n">
        <v>45377</v>
      </c>
      <c r="C1248" s="1" t="n">
        <v>45627</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45627</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12471-2024</t>
        </is>
      </c>
      <c r="B1250" s="1" t="n">
        <v>45378</v>
      </c>
      <c r="C1250" s="1" t="n">
        <v>45627</v>
      </c>
      <c r="D1250" t="inlineStr">
        <is>
          <t>JÄMTLANDS LÄN</t>
        </is>
      </c>
      <c r="E1250" t="inlineStr">
        <is>
          <t>KROKOM</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12402-2024</t>
        </is>
      </c>
      <c r="B1251" s="1" t="n">
        <v>45379</v>
      </c>
      <c r="C1251" s="1" t="n">
        <v>45627</v>
      </c>
      <c r="D1251" t="inlineStr">
        <is>
          <t>JÄMTLANDS LÄN</t>
        </is>
      </c>
      <c r="E1251" t="inlineStr">
        <is>
          <t>KROKOM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12407-2024</t>
        </is>
      </c>
      <c r="B1252" s="1" t="n">
        <v>45379</v>
      </c>
      <c r="C1252" s="1" t="n">
        <v>45627</v>
      </c>
      <c r="D1252" t="inlineStr">
        <is>
          <t>JÄMTLANDS LÄN</t>
        </is>
      </c>
      <c r="E1252" t="inlineStr">
        <is>
          <t>KROKOM</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12824-2024</t>
        </is>
      </c>
      <c r="B1253" s="1" t="n">
        <v>45384</v>
      </c>
      <c r="C1253" s="1" t="n">
        <v>45627</v>
      </c>
      <c r="D1253" t="inlineStr">
        <is>
          <t>JÄMTLANDS LÄN</t>
        </is>
      </c>
      <c r="E1253" t="inlineStr">
        <is>
          <t>KROKOM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13249-2024</t>
        </is>
      </c>
      <c r="B1254" s="1" t="n">
        <v>45386</v>
      </c>
      <c r="C1254" s="1" t="n">
        <v>45627</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14029-2024</t>
        </is>
      </c>
      <c r="B1255" s="1" t="n">
        <v>45392</v>
      </c>
      <c r="C1255" s="1" t="n">
        <v>45627</v>
      </c>
      <c r="D1255" t="inlineStr">
        <is>
          <t>JÄMTLANDS LÄN</t>
        </is>
      </c>
      <c r="E1255" t="inlineStr">
        <is>
          <t>KROKOM</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14032-2024</t>
        </is>
      </c>
      <c r="B1256" s="1" t="n">
        <v>45392</v>
      </c>
      <c r="C1256" s="1" t="n">
        <v>45627</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14170-2024</t>
        </is>
      </c>
      <c r="B1257" s="1" t="n">
        <v>45393</v>
      </c>
      <c r="C1257" s="1" t="n">
        <v>45627</v>
      </c>
      <c r="D1257" t="inlineStr">
        <is>
          <t>JÄMTLANDS LÄN</t>
        </is>
      </c>
      <c r="E1257" t="inlineStr">
        <is>
          <t>KROKOM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14026-2024</t>
        </is>
      </c>
      <c r="B1258" s="1" t="n">
        <v>45392</v>
      </c>
      <c r="C1258" s="1" t="n">
        <v>45627</v>
      </c>
      <c r="D1258" t="inlineStr">
        <is>
          <t>JÄMTLANDS LÄN</t>
        </is>
      </c>
      <c r="E1258" t="inlineStr">
        <is>
          <t>KROKOM</t>
        </is>
      </c>
      <c r="F1258" t="inlineStr">
        <is>
          <t>Kyrkan</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14171-2024</t>
        </is>
      </c>
      <c r="B1259" s="1" t="n">
        <v>45392</v>
      </c>
      <c r="C1259" s="1" t="n">
        <v>45627</v>
      </c>
      <c r="D1259" t="inlineStr">
        <is>
          <t>JÄMTLANDS LÄN</t>
        </is>
      </c>
      <c r="E1259" t="inlineStr">
        <is>
          <t>KROKOM</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14184-2024</t>
        </is>
      </c>
      <c r="B1260" s="1" t="n">
        <v>45393</v>
      </c>
      <c r="C1260" s="1" t="n">
        <v>45627</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14457-2024</t>
        </is>
      </c>
      <c r="B1261" s="1" t="n">
        <v>45394</v>
      </c>
      <c r="C1261" s="1" t="n">
        <v>45627</v>
      </c>
      <c r="D1261" t="inlineStr">
        <is>
          <t>JÄMTLANDS LÄN</t>
        </is>
      </c>
      <c r="E1261" t="inlineStr">
        <is>
          <t>KROKOM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14531-2024</t>
        </is>
      </c>
      <c r="B1262" s="1" t="n">
        <v>45394</v>
      </c>
      <c r="C1262" s="1" t="n">
        <v>45627</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14687-2024</t>
        </is>
      </c>
      <c r="B1263" s="1" t="n">
        <v>45397</v>
      </c>
      <c r="C1263" s="1" t="n">
        <v>45627</v>
      </c>
      <c r="D1263" t="inlineStr">
        <is>
          <t>JÄMTLANDS LÄN</t>
        </is>
      </c>
      <c r="E1263" t="inlineStr">
        <is>
          <t>KROKOM</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14827-2024</t>
        </is>
      </c>
      <c r="B1264" s="1" t="n">
        <v>45398</v>
      </c>
      <c r="C1264" s="1" t="n">
        <v>45627</v>
      </c>
      <c r="D1264" t="inlineStr">
        <is>
          <t>JÄMTLANDS LÄN</t>
        </is>
      </c>
      <c r="E1264" t="inlineStr">
        <is>
          <t>KROKOM</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15528-2024</t>
        </is>
      </c>
      <c r="B1265" s="1" t="n">
        <v>45401</v>
      </c>
      <c r="C1265" s="1" t="n">
        <v>45627</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15524-2024</t>
        </is>
      </c>
      <c r="B1266" s="1" t="n">
        <v>45401</v>
      </c>
      <c r="C1266" s="1" t="n">
        <v>45627</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15797-2024</t>
        </is>
      </c>
      <c r="B1267" s="1" t="n">
        <v>45404</v>
      </c>
      <c r="C1267" s="1" t="n">
        <v>45627</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15794-2024</t>
        </is>
      </c>
      <c r="B1268" s="1" t="n">
        <v>45404</v>
      </c>
      <c r="C1268" s="1" t="n">
        <v>45627</v>
      </c>
      <c r="D1268" t="inlineStr">
        <is>
          <t>JÄMTLANDS LÄN</t>
        </is>
      </c>
      <c r="E1268" t="inlineStr">
        <is>
          <t>KROKOM</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15934-2024</t>
        </is>
      </c>
      <c r="B1269" s="1" t="n">
        <v>45405</v>
      </c>
      <c r="C1269" s="1" t="n">
        <v>45627</v>
      </c>
      <c r="D1269" t="inlineStr">
        <is>
          <t>JÄMTLANDS LÄN</t>
        </is>
      </c>
      <c r="E1269" t="inlineStr">
        <is>
          <t>KROKOM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16064-2024</t>
        </is>
      </c>
      <c r="B1270" s="1" t="n">
        <v>45406</v>
      </c>
      <c r="C1270" s="1" t="n">
        <v>45627</v>
      </c>
      <c r="D1270" t="inlineStr">
        <is>
          <t>JÄMTLANDS LÄN</t>
        </is>
      </c>
      <c r="E1270" t="inlineStr">
        <is>
          <t>KROKOM</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16349-2024</t>
        </is>
      </c>
      <c r="B1271" s="1" t="n">
        <v>45407</v>
      </c>
      <c r="C1271" s="1" t="n">
        <v>45627</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16431-2024</t>
        </is>
      </c>
      <c r="B1272" s="1" t="n">
        <v>45407</v>
      </c>
      <c r="C1272" s="1" t="n">
        <v>45627</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16545-2024</t>
        </is>
      </c>
      <c r="B1273" s="1" t="n">
        <v>45408</v>
      </c>
      <c r="C1273" s="1" t="n">
        <v>45627</v>
      </c>
      <c r="D1273" t="inlineStr">
        <is>
          <t>JÄMTLANDS LÄN</t>
        </is>
      </c>
      <c r="E1273" t="inlineStr">
        <is>
          <t>KROKOM</t>
        </is>
      </c>
      <c r="G1273" t="n">
        <v>46.1</v>
      </c>
      <c r="H1273" t="n">
        <v>0</v>
      </c>
      <c r="I1273" t="n">
        <v>0</v>
      </c>
      <c r="J1273" t="n">
        <v>0</v>
      </c>
      <c r="K1273" t="n">
        <v>0</v>
      </c>
      <c r="L1273" t="n">
        <v>0</v>
      </c>
      <c r="M1273" t="n">
        <v>0</v>
      </c>
      <c r="N1273" t="n">
        <v>0</v>
      </c>
      <c r="O1273" t="n">
        <v>0</v>
      </c>
      <c r="P1273" t="n">
        <v>0</v>
      </c>
      <c r="Q1273" t="n">
        <v>0</v>
      </c>
      <c r="R1273" s="2" t="inlineStr"/>
    </row>
    <row r="1274" ht="15" customHeight="1">
      <c r="A1274" t="inlineStr">
        <is>
          <t>A 16874-2024</t>
        </is>
      </c>
      <c r="B1274" s="1" t="n">
        <v>45411</v>
      </c>
      <c r="C1274" s="1" t="n">
        <v>45627</v>
      </c>
      <c r="D1274" t="inlineStr">
        <is>
          <t>JÄMTLANDS LÄN</t>
        </is>
      </c>
      <c r="E1274" t="inlineStr">
        <is>
          <t>KROKOM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16817-2024</t>
        </is>
      </c>
      <c r="B1275" s="1" t="n">
        <v>45411</v>
      </c>
      <c r="C1275" s="1" t="n">
        <v>45627</v>
      </c>
      <c r="D1275" t="inlineStr">
        <is>
          <t>JÄMTLANDS LÄN</t>
        </is>
      </c>
      <c r="E1275" t="inlineStr">
        <is>
          <t>KROKOM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17090-2024</t>
        </is>
      </c>
      <c r="B1276" s="1" t="n">
        <v>45412</v>
      </c>
      <c r="C1276" s="1" t="n">
        <v>45627</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17298-2024</t>
        </is>
      </c>
      <c r="B1277" s="1" t="n">
        <v>45414</v>
      </c>
      <c r="C1277" s="1" t="n">
        <v>45627</v>
      </c>
      <c r="D1277" t="inlineStr">
        <is>
          <t>JÄMTLANDS LÄN</t>
        </is>
      </c>
      <c r="E1277" t="inlineStr">
        <is>
          <t>KROKOM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17417-2024</t>
        </is>
      </c>
      <c r="B1278" s="1" t="n">
        <v>45415</v>
      </c>
      <c r="C1278" s="1" t="n">
        <v>45627</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17469-2024</t>
        </is>
      </c>
      <c r="B1279" s="1" t="n">
        <v>45415</v>
      </c>
      <c r="C1279" s="1" t="n">
        <v>45627</v>
      </c>
      <c r="D1279" t="inlineStr">
        <is>
          <t>JÄMTLANDS LÄN</t>
        </is>
      </c>
      <c r="E1279" t="inlineStr">
        <is>
          <t>KROKOM</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17593-2024</t>
        </is>
      </c>
      <c r="B1280" s="1" t="n">
        <v>45415</v>
      </c>
      <c r="C1280" s="1" t="n">
        <v>45627</v>
      </c>
      <c r="D1280" t="inlineStr">
        <is>
          <t>JÄMTLANDS LÄN</t>
        </is>
      </c>
      <c r="E1280" t="inlineStr">
        <is>
          <t>KROKOM</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17820-2024</t>
        </is>
      </c>
      <c r="B1281" s="1" t="n">
        <v>45419</v>
      </c>
      <c r="C1281" s="1" t="n">
        <v>45627</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17821-2024</t>
        </is>
      </c>
      <c r="B1282" s="1" t="n">
        <v>45419</v>
      </c>
      <c r="C1282" s="1" t="n">
        <v>45627</v>
      </c>
      <c r="D1282" t="inlineStr">
        <is>
          <t>JÄMTLANDS LÄN</t>
        </is>
      </c>
      <c r="E1282" t="inlineStr">
        <is>
          <t>KROKOM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17853-2024</t>
        </is>
      </c>
      <c r="B1283" s="1" t="n">
        <v>45419</v>
      </c>
      <c r="C1283" s="1" t="n">
        <v>45627</v>
      </c>
      <c r="D1283" t="inlineStr">
        <is>
          <t>JÄMTLANDS LÄN</t>
        </is>
      </c>
      <c r="E1283" t="inlineStr">
        <is>
          <t>KROKOM</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18064-2024</t>
        </is>
      </c>
      <c r="B1284" s="1" t="n">
        <v>45420</v>
      </c>
      <c r="C1284" s="1" t="n">
        <v>45627</v>
      </c>
      <c r="D1284" t="inlineStr">
        <is>
          <t>JÄMTLANDS LÄN</t>
        </is>
      </c>
      <c r="E1284" t="inlineStr">
        <is>
          <t>KROKOM</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18491-2024</t>
        </is>
      </c>
      <c r="B1285" s="1" t="n">
        <v>45425</v>
      </c>
      <c r="C1285" s="1" t="n">
        <v>45627</v>
      </c>
      <c r="D1285" t="inlineStr">
        <is>
          <t>JÄMTLANDS LÄN</t>
        </is>
      </c>
      <c r="E1285" t="inlineStr">
        <is>
          <t>KROKOM</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19248-2024</t>
        </is>
      </c>
      <c r="B1286" s="1" t="n">
        <v>45428</v>
      </c>
      <c r="C1286" s="1" t="n">
        <v>45627</v>
      </c>
      <c r="D1286" t="inlineStr">
        <is>
          <t>JÄMTLANDS LÄN</t>
        </is>
      </c>
      <c r="E1286" t="inlineStr">
        <is>
          <t>KROKOM</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19432-2024</t>
        </is>
      </c>
      <c r="B1287" s="1" t="n">
        <v>45429</v>
      </c>
      <c r="C1287" s="1" t="n">
        <v>45627</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19698-2024</t>
        </is>
      </c>
      <c r="B1288" s="1" t="n">
        <v>45432</v>
      </c>
      <c r="C1288" s="1" t="n">
        <v>45627</v>
      </c>
      <c r="D1288" t="inlineStr">
        <is>
          <t>JÄMTLANDS LÄN</t>
        </is>
      </c>
      <c r="E1288" t="inlineStr">
        <is>
          <t>KROKOM</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19635-2024</t>
        </is>
      </c>
      <c r="B1289" s="1" t="n">
        <v>45432</v>
      </c>
      <c r="C1289" s="1" t="n">
        <v>45627</v>
      </c>
      <c r="D1289" t="inlineStr">
        <is>
          <t>JÄMTLANDS LÄN</t>
        </is>
      </c>
      <c r="E1289" t="inlineStr">
        <is>
          <t>KROKOM</t>
        </is>
      </c>
      <c r="G1289" t="n">
        <v>14.5</v>
      </c>
      <c r="H1289" t="n">
        <v>0</v>
      </c>
      <c r="I1289" t="n">
        <v>0</v>
      </c>
      <c r="J1289" t="n">
        <v>0</v>
      </c>
      <c r="K1289" t="n">
        <v>0</v>
      </c>
      <c r="L1289" t="n">
        <v>0</v>
      </c>
      <c r="M1289" t="n">
        <v>0</v>
      </c>
      <c r="N1289" t="n">
        <v>0</v>
      </c>
      <c r="O1289" t="n">
        <v>0</v>
      </c>
      <c r="P1289" t="n">
        <v>0</v>
      </c>
      <c r="Q1289" t="n">
        <v>0</v>
      </c>
      <c r="R1289" s="2" t="inlineStr"/>
    </row>
    <row r="1290" ht="15" customHeight="1">
      <c r="A1290" t="inlineStr">
        <is>
          <t>A 21261-2024</t>
        </is>
      </c>
      <c r="B1290" s="1" t="n">
        <v>45440</v>
      </c>
      <c r="C1290" s="1" t="n">
        <v>45627</v>
      </c>
      <c r="D1290" t="inlineStr">
        <is>
          <t>JÄMTLANDS LÄN</t>
        </is>
      </c>
      <c r="E1290" t="inlineStr">
        <is>
          <t>KROKOM</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21304-2024</t>
        </is>
      </c>
      <c r="B1291" s="1" t="n">
        <v>45440</v>
      </c>
      <c r="C1291" s="1" t="n">
        <v>45627</v>
      </c>
      <c r="D1291" t="inlineStr">
        <is>
          <t>JÄMTLANDS LÄN</t>
        </is>
      </c>
      <c r="E1291" t="inlineStr">
        <is>
          <t>KROKOM</t>
        </is>
      </c>
      <c r="F1291" t="inlineStr">
        <is>
          <t>Övriga Aktiebolag</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21579-2024</t>
        </is>
      </c>
      <c r="B1292" s="1" t="n">
        <v>45441</v>
      </c>
      <c r="C1292" s="1" t="n">
        <v>45627</v>
      </c>
      <c r="D1292" t="inlineStr">
        <is>
          <t>JÄMTLANDS LÄN</t>
        </is>
      </c>
      <c r="E1292" t="inlineStr">
        <is>
          <t>KROKOM</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21806-2024</t>
        </is>
      </c>
      <c r="B1293" s="1" t="n">
        <v>45442</v>
      </c>
      <c r="C1293" s="1" t="n">
        <v>45627</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21801-2024</t>
        </is>
      </c>
      <c r="B1294" s="1" t="n">
        <v>45442</v>
      </c>
      <c r="C1294" s="1" t="n">
        <v>45627</v>
      </c>
      <c r="D1294" t="inlineStr">
        <is>
          <t>JÄMTLANDS LÄN</t>
        </is>
      </c>
      <c r="E1294" t="inlineStr">
        <is>
          <t>KROKOM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21839-2024</t>
        </is>
      </c>
      <c r="B1295" s="1" t="n">
        <v>45442</v>
      </c>
      <c r="C1295" s="1" t="n">
        <v>45627</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22127-2024</t>
        </is>
      </c>
      <c r="B1296" s="1" t="n">
        <v>45443</v>
      </c>
      <c r="C1296" s="1" t="n">
        <v>45627</v>
      </c>
      <c r="D1296" t="inlineStr">
        <is>
          <t>JÄMTLANDS LÄN</t>
        </is>
      </c>
      <c r="E1296" t="inlineStr">
        <is>
          <t>KROKOM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22411-2024</t>
        </is>
      </c>
      <c r="B1297" s="1" t="n">
        <v>45446</v>
      </c>
      <c r="C1297" s="1" t="n">
        <v>45627</v>
      </c>
      <c r="D1297" t="inlineStr">
        <is>
          <t>JÄMTLANDS LÄN</t>
        </is>
      </c>
      <c r="E1297" t="inlineStr">
        <is>
          <t>KROKOM</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22258-2024</t>
        </is>
      </c>
      <c r="B1298" s="1" t="n">
        <v>45446</v>
      </c>
      <c r="C1298" s="1" t="n">
        <v>45627</v>
      </c>
      <c r="D1298" t="inlineStr">
        <is>
          <t>JÄMTLANDS LÄN</t>
        </is>
      </c>
      <c r="E1298" t="inlineStr">
        <is>
          <t>KROKOM</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22949-2024</t>
        </is>
      </c>
      <c r="B1299" s="1" t="n">
        <v>45448</v>
      </c>
      <c r="C1299" s="1" t="n">
        <v>45627</v>
      </c>
      <c r="D1299" t="inlineStr">
        <is>
          <t>JÄMTLANDS LÄN</t>
        </is>
      </c>
      <c r="E1299" t="inlineStr">
        <is>
          <t>KROKOM</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22850-2024</t>
        </is>
      </c>
      <c r="B1300" s="1" t="n">
        <v>45448</v>
      </c>
      <c r="C1300" s="1" t="n">
        <v>45627</v>
      </c>
      <c r="D1300" t="inlineStr">
        <is>
          <t>JÄMTLANDS LÄN</t>
        </is>
      </c>
      <c r="E1300" t="inlineStr">
        <is>
          <t>KROKOM</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22890-2024</t>
        </is>
      </c>
      <c r="B1301" s="1" t="n">
        <v>45448</v>
      </c>
      <c r="C1301" s="1" t="n">
        <v>45627</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22967-2024</t>
        </is>
      </c>
      <c r="B1302" s="1" t="n">
        <v>45449</v>
      </c>
      <c r="C1302" s="1" t="n">
        <v>45627</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22971-2024</t>
        </is>
      </c>
      <c r="B1303" s="1" t="n">
        <v>45449</v>
      </c>
      <c r="C1303" s="1" t="n">
        <v>45627</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23017-2024</t>
        </is>
      </c>
      <c r="B1304" s="1" t="n">
        <v>45450</v>
      </c>
      <c r="C1304" s="1" t="n">
        <v>45627</v>
      </c>
      <c r="D1304" t="inlineStr">
        <is>
          <t>JÄMTLANDS LÄN</t>
        </is>
      </c>
      <c r="E1304" t="inlineStr">
        <is>
          <t>KROKOM</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23215-2024</t>
        </is>
      </c>
      <c r="B1305" s="1" t="n">
        <v>45452</v>
      </c>
      <c r="C1305" s="1" t="n">
        <v>45627</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23214-2024</t>
        </is>
      </c>
      <c r="B1306" s="1" t="n">
        <v>45452</v>
      </c>
      <c r="C1306" s="1" t="n">
        <v>45627</v>
      </c>
      <c r="D1306" t="inlineStr">
        <is>
          <t>JÄMTLANDS LÄN</t>
        </is>
      </c>
      <c r="E1306" t="inlineStr">
        <is>
          <t>KROKOM</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23210-2024</t>
        </is>
      </c>
      <c r="B1307" s="1" t="n">
        <v>45452</v>
      </c>
      <c r="C1307" s="1" t="n">
        <v>45627</v>
      </c>
      <c r="D1307" t="inlineStr">
        <is>
          <t>JÄMTLANDS LÄN</t>
        </is>
      </c>
      <c r="E1307" t="inlineStr">
        <is>
          <t>KROKOM</t>
        </is>
      </c>
      <c r="F1307" t="inlineStr">
        <is>
          <t>Övriga Aktiebolag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23281-2024</t>
        </is>
      </c>
      <c r="B1308" s="1" t="n">
        <v>45453</v>
      </c>
      <c r="C1308" s="1" t="n">
        <v>45627</v>
      </c>
      <c r="D1308" t="inlineStr">
        <is>
          <t>JÄMTLANDS LÄN</t>
        </is>
      </c>
      <c r="E1308" t="inlineStr">
        <is>
          <t>KROKOM</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23297-2024</t>
        </is>
      </c>
      <c r="B1309" s="1" t="n">
        <v>45453</v>
      </c>
      <c r="C1309" s="1" t="n">
        <v>45627</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23313-2024</t>
        </is>
      </c>
      <c r="B1310" s="1" t="n">
        <v>45453</v>
      </c>
      <c r="C1310" s="1" t="n">
        <v>45627</v>
      </c>
      <c r="D1310" t="inlineStr">
        <is>
          <t>JÄMTLANDS LÄN</t>
        </is>
      </c>
      <c r="E1310" t="inlineStr">
        <is>
          <t>KROKOM</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23319-2024</t>
        </is>
      </c>
      <c r="B1311" s="1" t="n">
        <v>45453</v>
      </c>
      <c r="C1311" s="1" t="n">
        <v>45627</v>
      </c>
      <c r="D1311" t="inlineStr">
        <is>
          <t>JÄMTLANDS LÄN</t>
        </is>
      </c>
      <c r="E1311" t="inlineStr">
        <is>
          <t>KROKOM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23554-2024</t>
        </is>
      </c>
      <c r="B1312" s="1" t="n">
        <v>45454</v>
      </c>
      <c r="C1312" s="1" t="n">
        <v>45627</v>
      </c>
      <c r="D1312" t="inlineStr">
        <is>
          <t>JÄMTLANDS LÄN</t>
        </is>
      </c>
      <c r="E1312" t="inlineStr">
        <is>
          <t>KROKOM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23316-2024</t>
        </is>
      </c>
      <c r="B1313" s="1" t="n">
        <v>45453</v>
      </c>
      <c r="C1313" s="1" t="n">
        <v>45627</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23507-2024</t>
        </is>
      </c>
      <c r="B1314" s="1" t="n">
        <v>45453</v>
      </c>
      <c r="C1314" s="1" t="n">
        <v>45627</v>
      </c>
      <c r="D1314" t="inlineStr">
        <is>
          <t>JÄMTLANDS LÄN</t>
        </is>
      </c>
      <c r="E1314" t="inlineStr">
        <is>
          <t>KROKOM</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23539-2024</t>
        </is>
      </c>
      <c r="B1315" s="1" t="n">
        <v>45454</v>
      </c>
      <c r="C1315" s="1" t="n">
        <v>45627</v>
      </c>
      <c r="D1315" t="inlineStr">
        <is>
          <t>JÄMTLANDS LÄN</t>
        </is>
      </c>
      <c r="E1315" t="inlineStr">
        <is>
          <t>KROKOM</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23379-2024</t>
        </is>
      </c>
      <c r="B1316" s="1" t="n">
        <v>45453</v>
      </c>
      <c r="C1316" s="1" t="n">
        <v>45627</v>
      </c>
      <c r="D1316" t="inlineStr">
        <is>
          <t>JÄMTLANDS LÄN</t>
        </is>
      </c>
      <c r="E1316" t="inlineStr">
        <is>
          <t>KROKOM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23635-2024</t>
        </is>
      </c>
      <c r="B1317" s="1" t="n">
        <v>45454</v>
      </c>
      <c r="C1317" s="1" t="n">
        <v>45627</v>
      </c>
      <c r="D1317" t="inlineStr">
        <is>
          <t>JÄMTLANDS LÄN</t>
        </is>
      </c>
      <c r="E1317" t="inlineStr">
        <is>
          <t>KROKOM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23665-2024</t>
        </is>
      </c>
      <c r="B1318" s="1" t="n">
        <v>45454</v>
      </c>
      <c r="C1318" s="1" t="n">
        <v>45627</v>
      </c>
      <c r="D1318" t="inlineStr">
        <is>
          <t>JÄMTLANDS LÄN</t>
        </is>
      </c>
      <c r="E1318" t="inlineStr">
        <is>
          <t>KROKOM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23948-2024</t>
        </is>
      </c>
      <c r="B1319" s="1" t="n">
        <v>45456</v>
      </c>
      <c r="C1319" s="1" t="n">
        <v>45627</v>
      </c>
      <c r="D1319" t="inlineStr">
        <is>
          <t>JÄMTLANDS LÄN</t>
        </is>
      </c>
      <c r="E1319" t="inlineStr">
        <is>
          <t>KROKOM</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23988-2024</t>
        </is>
      </c>
      <c r="B1320" s="1" t="n">
        <v>45456</v>
      </c>
      <c r="C1320" s="1" t="n">
        <v>45627</v>
      </c>
      <c r="D1320" t="inlineStr">
        <is>
          <t>JÄMTLANDS LÄN</t>
        </is>
      </c>
      <c r="E1320" t="inlineStr">
        <is>
          <t>KROKOM</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24198-2024</t>
        </is>
      </c>
      <c r="B1321" s="1" t="n">
        <v>45457</v>
      </c>
      <c r="C1321" s="1" t="n">
        <v>45627</v>
      </c>
      <c r="D1321" t="inlineStr">
        <is>
          <t>JÄMTLANDS LÄN</t>
        </is>
      </c>
      <c r="E1321" t="inlineStr">
        <is>
          <t>KROKOM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24234-2024</t>
        </is>
      </c>
      <c r="B1322" s="1" t="n">
        <v>45457</v>
      </c>
      <c r="C1322" s="1" t="n">
        <v>45627</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24241-2024</t>
        </is>
      </c>
      <c r="B1323" s="1" t="n">
        <v>45457</v>
      </c>
      <c r="C1323" s="1" t="n">
        <v>45627</v>
      </c>
      <c r="D1323" t="inlineStr">
        <is>
          <t>JÄMTLANDS LÄN</t>
        </is>
      </c>
      <c r="E1323" t="inlineStr">
        <is>
          <t>KROKOM</t>
        </is>
      </c>
      <c r="F1323" t="inlineStr">
        <is>
          <t>Övriga Aktiebolag</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24333-2024</t>
        </is>
      </c>
      <c r="B1324" s="1" t="n">
        <v>45457</v>
      </c>
      <c r="C1324" s="1" t="n">
        <v>45627</v>
      </c>
      <c r="D1324" t="inlineStr">
        <is>
          <t>JÄMTLANDS LÄN</t>
        </is>
      </c>
      <c r="E1324" t="inlineStr">
        <is>
          <t>KROKOM</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24252-2024</t>
        </is>
      </c>
      <c r="B1325" s="1" t="n">
        <v>45457</v>
      </c>
      <c r="C1325" s="1" t="n">
        <v>45627</v>
      </c>
      <c r="D1325" t="inlineStr">
        <is>
          <t>JÄMTLANDS LÄN</t>
        </is>
      </c>
      <c r="E1325" t="inlineStr">
        <is>
          <t>KROKOM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24484-2024</t>
        </is>
      </c>
      <c r="B1326" s="1" t="n">
        <v>45459</v>
      </c>
      <c r="C1326" s="1" t="n">
        <v>45627</v>
      </c>
      <c r="D1326" t="inlineStr">
        <is>
          <t>JÄMTLANDS LÄN</t>
        </is>
      </c>
      <c r="E1326" t="inlineStr">
        <is>
          <t>KROKOM</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24559-2024</t>
        </is>
      </c>
      <c r="B1327" s="1" t="n">
        <v>45460</v>
      </c>
      <c r="C1327" s="1" t="n">
        <v>45627</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24877-2024</t>
        </is>
      </c>
      <c r="B1328" s="1" t="n">
        <v>45461</v>
      </c>
      <c r="C1328" s="1" t="n">
        <v>45627</v>
      </c>
      <c r="D1328" t="inlineStr">
        <is>
          <t>JÄMTLANDS LÄN</t>
        </is>
      </c>
      <c r="E1328" t="inlineStr">
        <is>
          <t>KROKOM</t>
        </is>
      </c>
      <c r="F1328" t="inlineStr">
        <is>
          <t>Övriga Aktiebolag</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25532-2024</t>
        </is>
      </c>
      <c r="B1329" s="1" t="n">
        <v>45463</v>
      </c>
      <c r="C1329" s="1" t="n">
        <v>45627</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25775-2024</t>
        </is>
      </c>
      <c r="B1330" s="1" t="n">
        <v>45466</v>
      </c>
      <c r="C1330" s="1" t="n">
        <v>45627</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25906-2024</t>
        </is>
      </c>
      <c r="B1331" s="1" t="n">
        <v>45467</v>
      </c>
      <c r="C1331" s="1" t="n">
        <v>45627</v>
      </c>
      <c r="D1331" t="inlineStr">
        <is>
          <t>JÄMTLANDS LÄN</t>
        </is>
      </c>
      <c r="E1331" t="inlineStr">
        <is>
          <t>KROKOM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25956-2024</t>
        </is>
      </c>
      <c r="B1332" s="1" t="n">
        <v>45467</v>
      </c>
      <c r="C1332" s="1" t="n">
        <v>45627</v>
      </c>
      <c r="D1332" t="inlineStr">
        <is>
          <t>JÄMTLANDS LÄN</t>
        </is>
      </c>
      <c r="E1332" t="inlineStr">
        <is>
          <t>KROKOM</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26207-2024</t>
        </is>
      </c>
      <c r="B1333" s="1" t="n">
        <v>45467</v>
      </c>
      <c r="C1333" s="1" t="n">
        <v>45627</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26231-2024</t>
        </is>
      </c>
      <c r="B1334" s="1" t="n">
        <v>45467</v>
      </c>
      <c r="C1334" s="1" t="n">
        <v>45627</v>
      </c>
      <c r="D1334" t="inlineStr">
        <is>
          <t>JÄMTLANDS LÄN</t>
        </is>
      </c>
      <c r="E1334" t="inlineStr">
        <is>
          <t>KROKOM</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26228-2024</t>
        </is>
      </c>
      <c r="B1335" s="1" t="n">
        <v>45467</v>
      </c>
      <c r="C1335" s="1" t="n">
        <v>45627</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26235-2024</t>
        </is>
      </c>
      <c r="B1336" s="1" t="n">
        <v>45467</v>
      </c>
      <c r="C1336" s="1" t="n">
        <v>45627</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26310-2024</t>
        </is>
      </c>
      <c r="B1337" s="1" t="n">
        <v>45469</v>
      </c>
      <c r="C1337" s="1" t="n">
        <v>45627</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26311-2024</t>
        </is>
      </c>
      <c r="B1338" s="1" t="n">
        <v>45469</v>
      </c>
      <c r="C1338" s="1" t="n">
        <v>45627</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26375-2024</t>
        </is>
      </c>
      <c r="B1339" s="1" t="n">
        <v>45469</v>
      </c>
      <c r="C1339" s="1" t="n">
        <v>45627</v>
      </c>
      <c r="D1339" t="inlineStr">
        <is>
          <t>JÄMTLANDS LÄN</t>
        </is>
      </c>
      <c r="E1339" t="inlineStr">
        <is>
          <t>KROKOM</t>
        </is>
      </c>
      <c r="G1339" t="n">
        <v>23.7</v>
      </c>
      <c r="H1339" t="n">
        <v>0</v>
      </c>
      <c r="I1339" t="n">
        <v>0</v>
      </c>
      <c r="J1339" t="n">
        <v>0</v>
      </c>
      <c r="K1339" t="n">
        <v>0</v>
      </c>
      <c r="L1339" t="n">
        <v>0</v>
      </c>
      <c r="M1339" t="n">
        <v>0</v>
      </c>
      <c r="N1339" t="n">
        <v>0</v>
      </c>
      <c r="O1339" t="n">
        <v>0</v>
      </c>
      <c r="P1339" t="n">
        <v>0</v>
      </c>
      <c r="Q1339" t="n">
        <v>0</v>
      </c>
      <c r="R1339" s="2" t="inlineStr"/>
    </row>
    <row r="1340" ht="15" customHeight="1">
      <c r="A1340" t="inlineStr">
        <is>
          <t>A 26414-2024</t>
        </is>
      </c>
      <c r="B1340" s="1" t="n">
        <v>45469</v>
      </c>
      <c r="C1340" s="1" t="n">
        <v>45627</v>
      </c>
      <c r="D1340" t="inlineStr">
        <is>
          <t>JÄMTLANDS LÄN</t>
        </is>
      </c>
      <c r="E1340" t="inlineStr">
        <is>
          <t>KROKOM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26438-2024</t>
        </is>
      </c>
      <c r="B1341" s="1" t="n">
        <v>45469</v>
      </c>
      <c r="C1341" s="1" t="n">
        <v>45627</v>
      </c>
      <c r="D1341" t="inlineStr">
        <is>
          <t>JÄMTLANDS LÄN</t>
        </is>
      </c>
      <c r="E1341" t="inlineStr">
        <is>
          <t>KROKOM</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26881-2024</t>
        </is>
      </c>
      <c r="B1342" s="1" t="n">
        <v>45470</v>
      </c>
      <c r="C1342" s="1" t="n">
        <v>45627</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27224-2024</t>
        </is>
      </c>
      <c r="B1343" s="1" t="n">
        <v>45471</v>
      </c>
      <c r="C1343" s="1" t="n">
        <v>45627</v>
      </c>
      <c r="D1343" t="inlineStr">
        <is>
          <t>JÄMTLANDS LÄN</t>
        </is>
      </c>
      <c r="E1343" t="inlineStr">
        <is>
          <t>KROKOM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27431-2024</t>
        </is>
      </c>
      <c r="B1344" s="1" t="n">
        <v>45474</v>
      </c>
      <c r="C1344" s="1" t="n">
        <v>45627</v>
      </c>
      <c r="D1344" t="inlineStr">
        <is>
          <t>JÄMTLANDS LÄN</t>
        </is>
      </c>
      <c r="E1344" t="inlineStr">
        <is>
          <t>KROKOM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27416-2024</t>
        </is>
      </c>
      <c r="B1345" s="1" t="n">
        <v>45474</v>
      </c>
      <c r="C1345" s="1" t="n">
        <v>45627</v>
      </c>
      <c r="D1345" t="inlineStr">
        <is>
          <t>JÄMTLANDS LÄN</t>
        </is>
      </c>
      <c r="E1345" t="inlineStr">
        <is>
          <t>KROKOM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27440-2024</t>
        </is>
      </c>
      <c r="B1346" s="1" t="n">
        <v>45474</v>
      </c>
      <c r="C1346" s="1" t="n">
        <v>45627</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27434-2024</t>
        </is>
      </c>
      <c r="B1347" s="1" t="n">
        <v>45474</v>
      </c>
      <c r="C1347" s="1" t="n">
        <v>45627</v>
      </c>
      <c r="D1347" t="inlineStr">
        <is>
          <t>JÄMTLANDS LÄN</t>
        </is>
      </c>
      <c r="E1347" t="inlineStr">
        <is>
          <t>KROKOM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27596-2024</t>
        </is>
      </c>
      <c r="B1348" s="1" t="n">
        <v>45474</v>
      </c>
      <c r="C1348" s="1" t="n">
        <v>45627</v>
      </c>
      <c r="D1348" t="inlineStr">
        <is>
          <t>JÄMTLANDS LÄN</t>
        </is>
      </c>
      <c r="E1348" t="inlineStr">
        <is>
          <t>KROKOM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27600-2024</t>
        </is>
      </c>
      <c r="B1349" s="1" t="n">
        <v>45474</v>
      </c>
      <c r="C1349" s="1" t="n">
        <v>45627</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27597-2024</t>
        </is>
      </c>
      <c r="B1350" s="1" t="n">
        <v>45474</v>
      </c>
      <c r="C1350" s="1" t="n">
        <v>45627</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27695-2024</t>
        </is>
      </c>
      <c r="B1351" s="1" t="n">
        <v>45475</v>
      </c>
      <c r="C1351" s="1" t="n">
        <v>45627</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27730-2024</t>
        </is>
      </c>
      <c r="B1352" s="1" t="n">
        <v>45475</v>
      </c>
      <c r="C1352" s="1" t="n">
        <v>45627</v>
      </c>
      <c r="D1352" t="inlineStr">
        <is>
          <t>JÄMTLANDS LÄN</t>
        </is>
      </c>
      <c r="E1352" t="inlineStr">
        <is>
          <t>KROKOM</t>
        </is>
      </c>
      <c r="F1352" t="inlineStr">
        <is>
          <t>Övriga Aktiebolag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27716-2024</t>
        </is>
      </c>
      <c r="B1353" s="1" t="n">
        <v>45475</v>
      </c>
      <c r="C1353" s="1" t="n">
        <v>45627</v>
      </c>
      <c r="D1353" t="inlineStr">
        <is>
          <t>JÄMTLANDS LÄN</t>
        </is>
      </c>
      <c r="E1353" t="inlineStr">
        <is>
          <t>KROKOM</t>
        </is>
      </c>
      <c r="F1353" t="inlineStr">
        <is>
          <t>Övriga Aktiebolag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27729-2024</t>
        </is>
      </c>
      <c r="B1354" s="1" t="n">
        <v>45475</v>
      </c>
      <c r="C1354" s="1" t="n">
        <v>45627</v>
      </c>
      <c r="D1354" t="inlineStr">
        <is>
          <t>JÄMTLANDS LÄN</t>
        </is>
      </c>
      <c r="E1354" t="inlineStr">
        <is>
          <t>KROKOM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27954-2024</t>
        </is>
      </c>
      <c r="B1355" s="1" t="n">
        <v>45476</v>
      </c>
      <c r="C1355" s="1" t="n">
        <v>45627</v>
      </c>
      <c r="D1355" t="inlineStr">
        <is>
          <t>JÄMTLANDS LÄN</t>
        </is>
      </c>
      <c r="E1355" t="inlineStr">
        <is>
          <t>KROKOM</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28191-2024</t>
        </is>
      </c>
      <c r="B1356" s="1" t="n">
        <v>45477</v>
      </c>
      <c r="C1356" s="1" t="n">
        <v>45627</v>
      </c>
      <c r="D1356" t="inlineStr">
        <is>
          <t>JÄMTLANDS LÄN</t>
        </is>
      </c>
      <c r="E1356" t="inlineStr">
        <is>
          <t>KROKOM</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28210-2024</t>
        </is>
      </c>
      <c r="B1357" s="1" t="n">
        <v>45477</v>
      </c>
      <c r="C1357" s="1" t="n">
        <v>45627</v>
      </c>
      <c r="D1357" t="inlineStr">
        <is>
          <t>JÄMTLANDS LÄN</t>
        </is>
      </c>
      <c r="E1357" t="inlineStr">
        <is>
          <t>KROKOM</t>
        </is>
      </c>
      <c r="F1357" t="inlineStr">
        <is>
          <t>Övriga Aktiebolag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28185-2024</t>
        </is>
      </c>
      <c r="B1358" s="1" t="n">
        <v>45477</v>
      </c>
      <c r="C1358" s="1" t="n">
        <v>45627</v>
      </c>
      <c r="D1358" t="inlineStr">
        <is>
          <t>JÄMTLANDS LÄN</t>
        </is>
      </c>
      <c r="E1358" t="inlineStr">
        <is>
          <t>KROKOM</t>
        </is>
      </c>
      <c r="F1358" t="inlineStr">
        <is>
          <t>Övriga Aktiebolag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28595-2024</t>
        </is>
      </c>
      <c r="B1359" s="1" t="n">
        <v>45478</v>
      </c>
      <c r="C1359" s="1" t="n">
        <v>45627</v>
      </c>
      <c r="D1359" t="inlineStr">
        <is>
          <t>JÄMTLANDS LÄN</t>
        </is>
      </c>
      <c r="E1359" t="inlineStr">
        <is>
          <t>KROKOM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28533-2024</t>
        </is>
      </c>
      <c r="B1360" s="1" t="n">
        <v>45478</v>
      </c>
      <c r="C1360" s="1" t="n">
        <v>45627</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28780-2024</t>
        </is>
      </c>
      <c r="B1361" s="1" t="n">
        <v>45478</v>
      </c>
      <c r="C1361" s="1" t="n">
        <v>45627</v>
      </c>
      <c r="D1361" t="inlineStr">
        <is>
          <t>JÄMTLANDS LÄN</t>
        </is>
      </c>
      <c r="E1361" t="inlineStr">
        <is>
          <t>KROKOM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28568-2024</t>
        </is>
      </c>
      <c r="B1362" s="1" t="n">
        <v>45478</v>
      </c>
      <c r="C1362" s="1" t="n">
        <v>45627</v>
      </c>
      <c r="D1362" t="inlineStr">
        <is>
          <t>JÄMTLANDS LÄN</t>
        </is>
      </c>
      <c r="E1362" t="inlineStr">
        <is>
          <t>KROKOM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29276-2024</t>
        </is>
      </c>
      <c r="B1363" s="1" t="n">
        <v>45483</v>
      </c>
      <c r="C1363" s="1" t="n">
        <v>45627</v>
      </c>
      <c r="D1363" t="inlineStr">
        <is>
          <t>JÄMTLANDS LÄN</t>
        </is>
      </c>
      <c r="E1363" t="inlineStr">
        <is>
          <t>KROKOM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29275-2024</t>
        </is>
      </c>
      <c r="B1364" s="1" t="n">
        <v>45483</v>
      </c>
      <c r="C1364" s="1" t="n">
        <v>45627</v>
      </c>
      <c r="D1364" t="inlineStr">
        <is>
          <t>JÄMTLANDS LÄN</t>
        </is>
      </c>
      <c r="E1364" t="inlineStr">
        <is>
          <t>KROKOM</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29524-2024</t>
        </is>
      </c>
      <c r="B1365" s="1" t="n">
        <v>45484</v>
      </c>
      <c r="C1365" s="1" t="n">
        <v>45627</v>
      </c>
      <c r="D1365" t="inlineStr">
        <is>
          <t>JÄMTLANDS LÄN</t>
        </is>
      </c>
      <c r="E1365" t="inlineStr">
        <is>
          <t>KROKOM</t>
        </is>
      </c>
      <c r="F1365" t="inlineStr">
        <is>
          <t>Övriga Aktiebolag</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29484-2024</t>
        </is>
      </c>
      <c r="B1366" s="1" t="n">
        <v>45484</v>
      </c>
      <c r="C1366" s="1" t="n">
        <v>45627</v>
      </c>
      <c r="D1366" t="inlineStr">
        <is>
          <t>JÄMTLANDS LÄN</t>
        </is>
      </c>
      <c r="E1366" t="inlineStr">
        <is>
          <t>KROKOM</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29477-2024</t>
        </is>
      </c>
      <c r="B1367" s="1" t="n">
        <v>45484</v>
      </c>
      <c r="C1367" s="1" t="n">
        <v>45627</v>
      </c>
      <c r="D1367" t="inlineStr">
        <is>
          <t>JÄMTLANDS LÄN</t>
        </is>
      </c>
      <c r="E1367" t="inlineStr">
        <is>
          <t>KROKOM</t>
        </is>
      </c>
      <c r="F1367" t="inlineStr">
        <is>
          <t>Övriga Aktiebolag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30065-2024</t>
        </is>
      </c>
      <c r="B1368" s="1" t="n">
        <v>45489</v>
      </c>
      <c r="C1368" s="1" t="n">
        <v>45627</v>
      </c>
      <c r="D1368" t="inlineStr">
        <is>
          <t>JÄMTLANDS LÄN</t>
        </is>
      </c>
      <c r="E1368" t="inlineStr">
        <is>
          <t>KROKOM</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30383-2024</t>
        </is>
      </c>
      <c r="B1369" s="1" t="n">
        <v>45491</v>
      </c>
      <c r="C1369" s="1" t="n">
        <v>45627</v>
      </c>
      <c r="D1369" t="inlineStr">
        <is>
          <t>JÄMTLANDS LÄN</t>
        </is>
      </c>
      <c r="E1369" t="inlineStr">
        <is>
          <t>KROKOM</t>
        </is>
      </c>
      <c r="G1369" t="n">
        <v>22.9</v>
      </c>
      <c r="H1369" t="n">
        <v>0</v>
      </c>
      <c r="I1369" t="n">
        <v>0</v>
      </c>
      <c r="J1369" t="n">
        <v>0</v>
      </c>
      <c r="K1369" t="n">
        <v>0</v>
      </c>
      <c r="L1369" t="n">
        <v>0</v>
      </c>
      <c r="M1369" t="n">
        <v>0</v>
      </c>
      <c r="N1369" t="n">
        <v>0</v>
      </c>
      <c r="O1369" t="n">
        <v>0</v>
      </c>
      <c r="P1369" t="n">
        <v>0</v>
      </c>
      <c r="Q1369" t="n">
        <v>0</v>
      </c>
      <c r="R1369" s="2" t="inlineStr"/>
    </row>
    <row r="1370" ht="15" customHeight="1">
      <c r="A1370" t="inlineStr">
        <is>
          <t>A 30494-2024</t>
        </is>
      </c>
      <c r="B1370" s="1" t="n">
        <v>45491</v>
      </c>
      <c r="C1370" s="1" t="n">
        <v>45627</v>
      </c>
      <c r="D1370" t="inlineStr">
        <is>
          <t>JÄMTLANDS LÄN</t>
        </is>
      </c>
      <c r="E1370" t="inlineStr">
        <is>
          <t>KROKOM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30709-2024</t>
        </is>
      </c>
      <c r="B1371" s="1" t="n">
        <v>45496</v>
      </c>
      <c r="C1371" s="1" t="n">
        <v>45627</v>
      </c>
      <c r="D1371" t="inlineStr">
        <is>
          <t>JÄMTLANDS LÄN</t>
        </is>
      </c>
      <c r="E1371" t="inlineStr">
        <is>
          <t>KROKOM</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30979-2024</t>
        </is>
      </c>
      <c r="B1372" s="1" t="n">
        <v>45499</v>
      </c>
      <c r="C1372" s="1" t="n">
        <v>45627</v>
      </c>
      <c r="D1372" t="inlineStr">
        <is>
          <t>JÄMTLANDS LÄN</t>
        </is>
      </c>
      <c r="E1372" t="inlineStr">
        <is>
          <t>KROKOM</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31478-2024</t>
        </is>
      </c>
      <c r="B1373" s="1" t="n">
        <v>45506</v>
      </c>
      <c r="C1373" s="1" t="n">
        <v>45627</v>
      </c>
      <c r="D1373" t="inlineStr">
        <is>
          <t>JÄMTLANDS LÄN</t>
        </is>
      </c>
      <c r="E1373" t="inlineStr">
        <is>
          <t>KROKOM</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31988-2024</t>
        </is>
      </c>
      <c r="B1374" s="1" t="n">
        <v>45510</v>
      </c>
      <c r="C1374" s="1" t="n">
        <v>45627</v>
      </c>
      <c r="D1374" t="inlineStr">
        <is>
          <t>JÄMTLANDS LÄN</t>
        </is>
      </c>
      <c r="E1374" t="inlineStr">
        <is>
          <t>KROKOM</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32244-2024</t>
        </is>
      </c>
      <c r="B1375" s="1" t="n">
        <v>45512</v>
      </c>
      <c r="C1375" s="1" t="n">
        <v>45627</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32243-2024</t>
        </is>
      </c>
      <c r="B1376" s="1" t="n">
        <v>45512</v>
      </c>
      <c r="C1376" s="1" t="n">
        <v>45627</v>
      </c>
      <c r="D1376" t="inlineStr">
        <is>
          <t>JÄMTLANDS LÄN</t>
        </is>
      </c>
      <c r="E1376" t="inlineStr">
        <is>
          <t>KROKOM</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33480-2024</t>
        </is>
      </c>
      <c r="B1377" s="1" t="n">
        <v>45519</v>
      </c>
      <c r="C1377" s="1" t="n">
        <v>45627</v>
      </c>
      <c r="D1377" t="inlineStr">
        <is>
          <t>JÄMTLANDS LÄN</t>
        </is>
      </c>
      <c r="E1377" t="inlineStr">
        <is>
          <t>KROKOM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34517-2024</t>
        </is>
      </c>
      <c r="B1378" s="1" t="n">
        <v>45525</v>
      </c>
      <c r="C1378" s="1" t="n">
        <v>45627</v>
      </c>
      <c r="D1378" t="inlineStr">
        <is>
          <t>JÄMTLANDS LÄN</t>
        </is>
      </c>
      <c r="E1378" t="inlineStr">
        <is>
          <t>KROKOM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34902-2024</t>
        </is>
      </c>
      <c r="B1379" s="1" t="n">
        <v>45527</v>
      </c>
      <c r="C1379" s="1" t="n">
        <v>45627</v>
      </c>
      <c r="D1379" t="inlineStr">
        <is>
          <t>JÄMTLANDS LÄN</t>
        </is>
      </c>
      <c r="E1379" t="inlineStr">
        <is>
          <t>KROKOM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34912-2024</t>
        </is>
      </c>
      <c r="B1380" s="1" t="n">
        <v>45527</v>
      </c>
      <c r="C1380" s="1" t="n">
        <v>45627</v>
      </c>
      <c r="D1380" t="inlineStr">
        <is>
          <t>JÄMTLANDS LÄN</t>
        </is>
      </c>
      <c r="E1380" t="inlineStr">
        <is>
          <t>KROKOM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35542-2024</t>
        </is>
      </c>
      <c r="B1381" s="1" t="n">
        <v>45531</v>
      </c>
      <c r="C1381" s="1" t="n">
        <v>45627</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35559-2024</t>
        </is>
      </c>
      <c r="B1382" s="1" t="n">
        <v>45531</v>
      </c>
      <c r="C1382" s="1" t="n">
        <v>45627</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35667-2024</t>
        </is>
      </c>
      <c r="B1383" s="1" t="n">
        <v>45532</v>
      </c>
      <c r="C1383" s="1" t="n">
        <v>45627</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35767-2024</t>
        </is>
      </c>
      <c r="B1384" s="1" t="n">
        <v>45532</v>
      </c>
      <c r="C1384" s="1" t="n">
        <v>45627</v>
      </c>
      <c r="D1384" t="inlineStr">
        <is>
          <t>JÄMTLANDS LÄN</t>
        </is>
      </c>
      <c r="E1384" t="inlineStr">
        <is>
          <t>KROKOM</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35651-2024</t>
        </is>
      </c>
      <c r="B1385" s="1" t="n">
        <v>45532</v>
      </c>
      <c r="C1385" s="1" t="n">
        <v>45627</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35720-2024</t>
        </is>
      </c>
      <c r="B1386" s="1" t="n">
        <v>45532</v>
      </c>
      <c r="C1386" s="1" t="n">
        <v>45627</v>
      </c>
      <c r="D1386" t="inlineStr">
        <is>
          <t>JÄMTLANDS LÄN</t>
        </is>
      </c>
      <c r="E1386" t="inlineStr">
        <is>
          <t>KROKOM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35753-2024</t>
        </is>
      </c>
      <c r="B1387" s="1" t="n">
        <v>45532</v>
      </c>
      <c r="C1387" s="1" t="n">
        <v>45627</v>
      </c>
      <c r="D1387" t="inlineStr">
        <is>
          <t>JÄMTLANDS LÄN</t>
        </is>
      </c>
      <c r="E1387" t="inlineStr">
        <is>
          <t>KROKOM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36272-2024</t>
        </is>
      </c>
      <c r="B1388" s="1" t="n">
        <v>45534</v>
      </c>
      <c r="C1388" s="1" t="n">
        <v>45627</v>
      </c>
      <c r="D1388" t="inlineStr">
        <is>
          <t>JÄMTLANDS LÄN</t>
        </is>
      </c>
      <c r="E1388" t="inlineStr">
        <is>
          <t>KROKOM</t>
        </is>
      </c>
      <c r="F1388" t="inlineStr">
        <is>
          <t>Övriga Aktiebolag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36504-2024</t>
        </is>
      </c>
      <c r="B1389" s="1" t="n">
        <v>45537</v>
      </c>
      <c r="C1389" s="1" t="n">
        <v>45627</v>
      </c>
      <c r="D1389" t="inlineStr">
        <is>
          <t>JÄMTLANDS LÄN</t>
        </is>
      </c>
      <c r="E1389" t="inlineStr">
        <is>
          <t>KROKOM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36531-2024</t>
        </is>
      </c>
      <c r="B1390" s="1" t="n">
        <v>45537</v>
      </c>
      <c r="C1390" s="1" t="n">
        <v>45627</v>
      </c>
      <c r="D1390" t="inlineStr">
        <is>
          <t>JÄMTLANDS LÄN</t>
        </is>
      </c>
      <c r="E1390" t="inlineStr">
        <is>
          <t>KROKOM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36615-2024</t>
        </is>
      </c>
      <c r="B1391" s="1" t="n">
        <v>45537</v>
      </c>
      <c r="C1391" s="1" t="n">
        <v>45627</v>
      </c>
      <c r="D1391" t="inlineStr">
        <is>
          <t>JÄMTLANDS LÄN</t>
        </is>
      </c>
      <c r="E1391" t="inlineStr">
        <is>
          <t>KROKOM</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36929-2024</t>
        </is>
      </c>
      <c r="B1392" s="1" t="n">
        <v>45538</v>
      </c>
      <c r="C1392" s="1" t="n">
        <v>45627</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37230-2024</t>
        </is>
      </c>
      <c r="B1393" s="1" t="n">
        <v>45539</v>
      </c>
      <c r="C1393" s="1" t="n">
        <v>45627</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37293-2024</t>
        </is>
      </c>
      <c r="B1394" s="1" t="n">
        <v>45540</v>
      </c>
      <c r="C1394" s="1" t="n">
        <v>45627</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38535-2024</t>
        </is>
      </c>
      <c r="B1395" s="1" t="n">
        <v>45546</v>
      </c>
      <c r="C1395" s="1" t="n">
        <v>45627</v>
      </c>
      <c r="D1395" t="inlineStr">
        <is>
          <t>JÄMTLANDS LÄN</t>
        </is>
      </c>
      <c r="E1395" t="inlineStr">
        <is>
          <t>KROKOM</t>
        </is>
      </c>
      <c r="G1395" t="n">
        <v>27.6</v>
      </c>
      <c r="H1395" t="n">
        <v>0</v>
      </c>
      <c r="I1395" t="n">
        <v>0</v>
      </c>
      <c r="J1395" t="n">
        <v>0</v>
      </c>
      <c r="K1395" t="n">
        <v>0</v>
      </c>
      <c r="L1395" t="n">
        <v>0</v>
      </c>
      <c r="M1395" t="n">
        <v>0</v>
      </c>
      <c r="N1395" t="n">
        <v>0</v>
      </c>
      <c r="O1395" t="n">
        <v>0</v>
      </c>
      <c r="P1395" t="n">
        <v>0</v>
      </c>
      <c r="Q1395" t="n">
        <v>0</v>
      </c>
      <c r="R1395" s="2" t="inlineStr"/>
    </row>
    <row r="1396" ht="15" customHeight="1">
      <c r="A1396" t="inlineStr">
        <is>
          <t>A 38748-2024</t>
        </is>
      </c>
      <c r="B1396" s="1" t="n">
        <v>45547</v>
      </c>
      <c r="C1396" s="1" t="n">
        <v>45627</v>
      </c>
      <c r="D1396" t="inlineStr">
        <is>
          <t>JÄMTLANDS LÄN</t>
        </is>
      </c>
      <c r="E1396" t="inlineStr">
        <is>
          <t>KROKOM</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38723-2024</t>
        </is>
      </c>
      <c r="B1397" s="1" t="n">
        <v>45547</v>
      </c>
      <c r="C1397" s="1" t="n">
        <v>45627</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38747-2024</t>
        </is>
      </c>
      <c r="B1398" s="1" t="n">
        <v>45547</v>
      </c>
      <c r="C1398" s="1" t="n">
        <v>45627</v>
      </c>
      <c r="D1398" t="inlineStr">
        <is>
          <t>JÄMTLANDS LÄN</t>
        </is>
      </c>
      <c r="E1398" t="inlineStr">
        <is>
          <t>KROKOM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39056-2024</t>
        </is>
      </c>
      <c r="B1399" s="1" t="n">
        <v>45548</v>
      </c>
      <c r="C1399" s="1" t="n">
        <v>45627</v>
      </c>
      <c r="D1399" t="inlineStr">
        <is>
          <t>JÄMTLANDS LÄN</t>
        </is>
      </c>
      <c r="E1399" t="inlineStr">
        <is>
          <t>KROKOM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39230-2024</t>
        </is>
      </c>
      <c r="B1400" s="1" t="n">
        <v>45550</v>
      </c>
      <c r="C1400" s="1" t="n">
        <v>45627</v>
      </c>
      <c r="D1400" t="inlineStr">
        <is>
          <t>JÄMTLANDS LÄN</t>
        </is>
      </c>
      <c r="E1400" t="inlineStr">
        <is>
          <t>KROKOM</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39263-2024</t>
        </is>
      </c>
      <c r="B1401" s="1" t="n">
        <v>45551</v>
      </c>
      <c r="C1401" s="1" t="n">
        <v>45627</v>
      </c>
      <c r="D1401" t="inlineStr">
        <is>
          <t>JÄMTLANDS LÄN</t>
        </is>
      </c>
      <c r="E1401" t="inlineStr">
        <is>
          <t>KROKOM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39368-2024</t>
        </is>
      </c>
      <c r="B1402" s="1" t="n">
        <v>45551</v>
      </c>
      <c r="C1402" s="1" t="n">
        <v>45627</v>
      </c>
      <c r="D1402" t="inlineStr">
        <is>
          <t>JÄMTLANDS LÄN</t>
        </is>
      </c>
      <c r="E1402" t="inlineStr">
        <is>
          <t>KROKOM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39546-2024</t>
        </is>
      </c>
      <c r="B1403" s="1" t="n">
        <v>45552</v>
      </c>
      <c r="C1403" s="1" t="n">
        <v>45627</v>
      </c>
      <c r="D1403" t="inlineStr">
        <is>
          <t>JÄMTLANDS LÄN</t>
        </is>
      </c>
      <c r="E1403" t="inlineStr">
        <is>
          <t>KROKOM</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39696-2024</t>
        </is>
      </c>
      <c r="B1404" s="1" t="n">
        <v>45552</v>
      </c>
      <c r="C1404" s="1" t="n">
        <v>45627</v>
      </c>
      <c r="D1404" t="inlineStr">
        <is>
          <t>JÄMTLANDS LÄN</t>
        </is>
      </c>
      <c r="E1404" t="inlineStr">
        <is>
          <t>KROKOM</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39701-2024</t>
        </is>
      </c>
      <c r="B1405" s="1" t="n">
        <v>45552</v>
      </c>
      <c r="C1405" s="1" t="n">
        <v>45627</v>
      </c>
      <c r="D1405" t="inlineStr">
        <is>
          <t>JÄMTLANDS LÄN</t>
        </is>
      </c>
      <c r="E1405" t="inlineStr">
        <is>
          <t>KROKOM</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39753-2024</t>
        </is>
      </c>
      <c r="B1406" s="1" t="n">
        <v>45552</v>
      </c>
      <c r="C1406" s="1" t="n">
        <v>45627</v>
      </c>
      <c r="D1406" t="inlineStr">
        <is>
          <t>JÄMTLANDS LÄN</t>
        </is>
      </c>
      <c r="E1406" t="inlineStr">
        <is>
          <t>KROKOM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39751-2024</t>
        </is>
      </c>
      <c r="B1407" s="1" t="n">
        <v>45552</v>
      </c>
      <c r="C1407" s="1" t="n">
        <v>45627</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39843-2024</t>
        </is>
      </c>
      <c r="B1408" s="1" t="n">
        <v>45553</v>
      </c>
      <c r="C1408" s="1" t="n">
        <v>45627</v>
      </c>
      <c r="D1408" t="inlineStr">
        <is>
          <t>JÄMTLANDS LÄN</t>
        </is>
      </c>
      <c r="E1408" t="inlineStr">
        <is>
          <t>KROKOM</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39847-2024</t>
        </is>
      </c>
      <c r="B1409" s="1" t="n">
        <v>45553</v>
      </c>
      <c r="C1409" s="1" t="n">
        <v>45627</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39896-2024</t>
        </is>
      </c>
      <c r="B1410" s="1" t="n">
        <v>45553</v>
      </c>
      <c r="C1410" s="1" t="n">
        <v>45627</v>
      </c>
      <c r="D1410" t="inlineStr">
        <is>
          <t>JÄMTLANDS LÄN</t>
        </is>
      </c>
      <c r="E1410" t="inlineStr">
        <is>
          <t>KROKOM</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40213-2024</t>
        </is>
      </c>
      <c r="B1411" s="1" t="n">
        <v>45554</v>
      </c>
      <c r="C1411" s="1" t="n">
        <v>45627</v>
      </c>
      <c r="D1411" t="inlineStr">
        <is>
          <t>JÄMTLANDS LÄN</t>
        </is>
      </c>
      <c r="E1411" t="inlineStr">
        <is>
          <t>KROKOM</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40221-2024</t>
        </is>
      </c>
      <c r="B1412" s="1" t="n">
        <v>45554</v>
      </c>
      <c r="C1412" s="1" t="n">
        <v>45627</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40219-2024</t>
        </is>
      </c>
      <c r="B1413" s="1" t="n">
        <v>45554</v>
      </c>
      <c r="C1413" s="1" t="n">
        <v>45627</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40271-2024</t>
        </is>
      </c>
      <c r="B1414" s="1" t="n">
        <v>45554</v>
      </c>
      <c r="C1414" s="1" t="n">
        <v>45627</v>
      </c>
      <c r="D1414" t="inlineStr">
        <is>
          <t>JÄMTLANDS LÄN</t>
        </is>
      </c>
      <c r="E1414" t="inlineStr">
        <is>
          <t>KROKOM</t>
        </is>
      </c>
      <c r="F1414" t="inlineStr">
        <is>
          <t>Övriga Aktiebolag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40394-2024</t>
        </is>
      </c>
      <c r="B1415" s="1" t="n">
        <v>45555</v>
      </c>
      <c r="C1415" s="1" t="n">
        <v>45627</v>
      </c>
      <c r="D1415" t="inlineStr">
        <is>
          <t>JÄMTLANDS LÄN</t>
        </is>
      </c>
      <c r="E1415" t="inlineStr">
        <is>
          <t>KROKOM</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40862-2024</t>
        </is>
      </c>
      <c r="B1416" s="1" t="n">
        <v>45558</v>
      </c>
      <c r="C1416" s="1" t="n">
        <v>45627</v>
      </c>
      <c r="D1416" t="inlineStr">
        <is>
          <t>JÄMTLANDS LÄN</t>
        </is>
      </c>
      <c r="E1416" t="inlineStr">
        <is>
          <t>KROKOM</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41439-2024</t>
        </is>
      </c>
      <c r="B1417" s="1" t="n">
        <v>45560</v>
      </c>
      <c r="C1417" s="1" t="n">
        <v>45627</v>
      </c>
      <c r="D1417" t="inlineStr">
        <is>
          <t>JÄMTLANDS LÄN</t>
        </is>
      </c>
      <c r="E1417" t="inlineStr">
        <is>
          <t>KROKOM</t>
        </is>
      </c>
      <c r="F1417" t="inlineStr">
        <is>
          <t>Övriga Aktiebolag</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41675-2024</t>
        </is>
      </c>
      <c r="B1418" s="1" t="n">
        <v>45560</v>
      </c>
      <c r="C1418" s="1" t="n">
        <v>45627</v>
      </c>
      <c r="D1418" t="inlineStr">
        <is>
          <t>JÄMTLANDS LÄN</t>
        </is>
      </c>
      <c r="E1418" t="inlineStr">
        <is>
          <t>KROKOM</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41628-2024</t>
        </is>
      </c>
      <c r="B1419" s="1" t="n">
        <v>45560</v>
      </c>
      <c r="C1419" s="1" t="n">
        <v>45627</v>
      </c>
      <c r="D1419" t="inlineStr">
        <is>
          <t>JÄMTLANDS LÄN</t>
        </is>
      </c>
      <c r="E1419" t="inlineStr">
        <is>
          <t>KROKOM</t>
        </is>
      </c>
      <c r="F1419" t="inlineStr">
        <is>
          <t>Övriga Aktiebolag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41497-2024</t>
        </is>
      </c>
      <c r="B1420" s="1" t="n">
        <v>45560</v>
      </c>
      <c r="C1420" s="1" t="n">
        <v>45627</v>
      </c>
      <c r="D1420" t="inlineStr">
        <is>
          <t>JÄMTLANDS LÄN</t>
        </is>
      </c>
      <c r="E1420" t="inlineStr">
        <is>
          <t>KROKOM</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41700-2024</t>
        </is>
      </c>
      <c r="B1421" s="1" t="n">
        <v>45560</v>
      </c>
      <c r="C1421" s="1" t="n">
        <v>45627</v>
      </c>
      <c r="D1421" t="inlineStr">
        <is>
          <t>JÄMTLANDS LÄN</t>
        </is>
      </c>
      <c r="E1421" t="inlineStr">
        <is>
          <t>KROKOM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41852-2024</t>
        </is>
      </c>
      <c r="B1422" s="1" t="n">
        <v>45561</v>
      </c>
      <c r="C1422" s="1" t="n">
        <v>45627</v>
      </c>
      <c r="D1422" t="inlineStr">
        <is>
          <t>JÄMTLANDS LÄN</t>
        </is>
      </c>
      <c r="E1422" t="inlineStr">
        <is>
          <t>KROKOM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41971-2024</t>
        </is>
      </c>
      <c r="B1423" s="1" t="n">
        <v>45561</v>
      </c>
      <c r="C1423" s="1" t="n">
        <v>45627</v>
      </c>
      <c r="D1423" t="inlineStr">
        <is>
          <t>JÄMTLANDS LÄN</t>
        </is>
      </c>
      <c r="E1423" t="inlineStr">
        <is>
          <t>KROKOM</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41838-2024</t>
        </is>
      </c>
      <c r="B1424" s="1" t="n">
        <v>45561</v>
      </c>
      <c r="C1424" s="1" t="n">
        <v>45627</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41858-2024</t>
        </is>
      </c>
      <c r="B1425" s="1" t="n">
        <v>45561</v>
      </c>
      <c r="C1425" s="1" t="n">
        <v>45627</v>
      </c>
      <c r="D1425" t="inlineStr">
        <is>
          <t>JÄMTLANDS LÄN</t>
        </is>
      </c>
      <c r="E1425" t="inlineStr">
        <is>
          <t>KROKOM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41972-2024</t>
        </is>
      </c>
      <c r="B1426" s="1" t="n">
        <v>45561</v>
      </c>
      <c r="C1426" s="1" t="n">
        <v>45627</v>
      </c>
      <c r="D1426" t="inlineStr">
        <is>
          <t>JÄMTLANDS LÄN</t>
        </is>
      </c>
      <c r="E1426" t="inlineStr">
        <is>
          <t>KROKOM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42092-2024</t>
        </is>
      </c>
      <c r="B1427" s="1" t="n">
        <v>45562</v>
      </c>
      <c r="C1427" s="1" t="n">
        <v>45627</v>
      </c>
      <c r="D1427" t="inlineStr">
        <is>
          <t>JÄMTLANDS LÄN</t>
        </is>
      </c>
      <c r="E1427" t="inlineStr">
        <is>
          <t>KROKOM</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42097-2024</t>
        </is>
      </c>
      <c r="B1428" s="1" t="n">
        <v>45562</v>
      </c>
      <c r="C1428" s="1" t="n">
        <v>45627</v>
      </c>
      <c r="D1428" t="inlineStr">
        <is>
          <t>JÄMTLANDS LÄN</t>
        </is>
      </c>
      <c r="E1428" t="inlineStr">
        <is>
          <t>KROKOM</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42398-2024</t>
        </is>
      </c>
      <c r="B1429" s="1" t="n">
        <v>45565</v>
      </c>
      <c r="C1429" s="1" t="n">
        <v>45627</v>
      </c>
      <c r="D1429" t="inlineStr">
        <is>
          <t>JÄMTLANDS LÄN</t>
        </is>
      </c>
      <c r="E1429" t="inlineStr">
        <is>
          <t>KROKOM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42393-2024</t>
        </is>
      </c>
      <c r="B1430" s="1" t="n">
        <v>45565</v>
      </c>
      <c r="C1430" s="1" t="n">
        <v>45627</v>
      </c>
      <c r="D1430" t="inlineStr">
        <is>
          <t>JÄMTLANDS LÄN</t>
        </is>
      </c>
      <c r="E1430" t="inlineStr">
        <is>
          <t>KROKOM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42774-2024</t>
        </is>
      </c>
      <c r="B1431" s="1" t="n">
        <v>45566</v>
      </c>
      <c r="C1431" s="1" t="n">
        <v>45627</v>
      </c>
      <c r="D1431" t="inlineStr">
        <is>
          <t>JÄMTLANDS LÄN</t>
        </is>
      </c>
      <c r="E1431" t="inlineStr">
        <is>
          <t>KROKOM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43415-2024</t>
        </is>
      </c>
      <c r="B1432" s="1" t="n">
        <v>45568</v>
      </c>
      <c r="C1432" s="1" t="n">
        <v>45627</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43536-2024</t>
        </is>
      </c>
      <c r="B1433" s="1" t="n">
        <v>45569</v>
      </c>
      <c r="C1433" s="1" t="n">
        <v>45627</v>
      </c>
      <c r="D1433" t="inlineStr">
        <is>
          <t>JÄMTLANDS LÄN</t>
        </is>
      </c>
      <c r="E1433" t="inlineStr">
        <is>
          <t>KROKOM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43932-2024</t>
        </is>
      </c>
      <c r="B1434" s="1" t="n">
        <v>45572</v>
      </c>
      <c r="C1434" s="1" t="n">
        <v>45627</v>
      </c>
      <c r="D1434" t="inlineStr">
        <is>
          <t>JÄMTLANDS LÄN</t>
        </is>
      </c>
      <c r="E1434" t="inlineStr">
        <is>
          <t>KROKOM</t>
        </is>
      </c>
      <c r="F1434" t="inlineStr">
        <is>
          <t>Övriga Aktiebolag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44296-2024</t>
        </is>
      </c>
      <c r="B1435" s="1" t="n">
        <v>45573</v>
      </c>
      <c r="C1435" s="1" t="n">
        <v>45627</v>
      </c>
      <c r="D1435" t="inlineStr">
        <is>
          <t>JÄMTLANDS LÄN</t>
        </is>
      </c>
      <c r="E1435" t="inlineStr">
        <is>
          <t>KROKOM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44221-2024</t>
        </is>
      </c>
      <c r="B1436" s="1" t="n">
        <v>45573</v>
      </c>
      <c r="C1436" s="1" t="n">
        <v>45627</v>
      </c>
      <c r="D1436" t="inlineStr">
        <is>
          <t>JÄMTLANDS LÄN</t>
        </is>
      </c>
      <c r="E1436" t="inlineStr">
        <is>
          <t>KROKOM</t>
        </is>
      </c>
      <c r="F1436" t="inlineStr">
        <is>
          <t>Övriga Aktiebolag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44519-2024</t>
        </is>
      </c>
      <c r="B1437" s="1" t="n">
        <v>45574</v>
      </c>
      <c r="C1437" s="1" t="n">
        <v>45627</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45336-2024</t>
        </is>
      </c>
      <c r="B1438" s="1" t="n">
        <v>45576</v>
      </c>
      <c r="C1438" s="1" t="n">
        <v>45627</v>
      </c>
      <c r="D1438" t="inlineStr">
        <is>
          <t>JÄMTLANDS LÄN</t>
        </is>
      </c>
      <c r="E1438" t="inlineStr">
        <is>
          <t>KROKOM</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45777-2024</t>
        </is>
      </c>
      <c r="B1439" s="1" t="n">
        <v>45579</v>
      </c>
      <c r="C1439" s="1" t="n">
        <v>45627</v>
      </c>
      <c r="D1439" t="inlineStr">
        <is>
          <t>JÄMTLANDS LÄN</t>
        </is>
      </c>
      <c r="E1439" t="inlineStr">
        <is>
          <t>KROKOM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45753-2024</t>
        </is>
      </c>
      <c r="B1440" s="1" t="n">
        <v>45579</v>
      </c>
      <c r="C1440" s="1" t="n">
        <v>45627</v>
      </c>
      <c r="D1440" t="inlineStr">
        <is>
          <t>JÄMTLANDS LÄN</t>
        </is>
      </c>
      <c r="E1440" t="inlineStr">
        <is>
          <t>KROKOM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45869-2024</t>
        </is>
      </c>
      <c r="B1441" s="1" t="n">
        <v>45580</v>
      </c>
      <c r="C1441" s="1" t="n">
        <v>45627</v>
      </c>
      <c r="D1441" t="inlineStr">
        <is>
          <t>JÄMTLANDS LÄN</t>
        </is>
      </c>
      <c r="E1441" t="inlineStr">
        <is>
          <t>KROKOM</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45866-2024</t>
        </is>
      </c>
      <c r="B1442" s="1" t="n">
        <v>45580</v>
      </c>
      <c r="C1442" s="1" t="n">
        <v>45627</v>
      </c>
      <c r="D1442" t="inlineStr">
        <is>
          <t>JÄMTLANDS LÄN</t>
        </is>
      </c>
      <c r="E1442" t="inlineStr">
        <is>
          <t>KROKOM</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45936-2024</t>
        </is>
      </c>
      <c r="B1443" s="1" t="n">
        <v>45580</v>
      </c>
      <c r="C1443" s="1" t="n">
        <v>45627</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46118-2024</t>
        </is>
      </c>
      <c r="B1444" s="1" t="n">
        <v>45581</v>
      </c>
      <c r="C1444" s="1" t="n">
        <v>45627</v>
      </c>
      <c r="D1444" t="inlineStr">
        <is>
          <t>JÄMTLANDS LÄN</t>
        </is>
      </c>
      <c r="E1444" t="inlineStr">
        <is>
          <t>KROKOM</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46507-2024</t>
        </is>
      </c>
      <c r="B1445" s="1" t="n">
        <v>45582</v>
      </c>
      <c r="C1445" s="1" t="n">
        <v>45627</v>
      </c>
      <c r="D1445" t="inlineStr">
        <is>
          <t>JÄMTLANDS LÄN</t>
        </is>
      </c>
      <c r="E1445" t="inlineStr">
        <is>
          <t>KROKOM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46785-2024</t>
        </is>
      </c>
      <c r="B1446" s="1" t="n">
        <v>45583</v>
      </c>
      <c r="C1446" s="1" t="n">
        <v>45627</v>
      </c>
      <c r="D1446" t="inlineStr">
        <is>
          <t>JÄMTLANDS LÄN</t>
        </is>
      </c>
      <c r="E1446" t="inlineStr">
        <is>
          <t>KROKOM</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46881-2024</t>
        </is>
      </c>
      <c r="B1447" s="1" t="n">
        <v>45583</v>
      </c>
      <c r="C1447" s="1" t="n">
        <v>45627</v>
      </c>
      <c r="D1447" t="inlineStr">
        <is>
          <t>JÄMTLANDS LÄN</t>
        </is>
      </c>
      <c r="E1447" t="inlineStr">
        <is>
          <t>KROKOM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47098-2024</t>
        </is>
      </c>
      <c r="B1448" s="1" t="n">
        <v>45586</v>
      </c>
      <c r="C1448" s="1" t="n">
        <v>45627</v>
      </c>
      <c r="D1448" t="inlineStr">
        <is>
          <t>JÄMTLANDS LÄN</t>
        </is>
      </c>
      <c r="E1448" t="inlineStr">
        <is>
          <t>KROKOM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47039-2024</t>
        </is>
      </c>
      <c r="B1449" s="1" t="n">
        <v>45586</v>
      </c>
      <c r="C1449" s="1" t="n">
        <v>45627</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47060-2024</t>
        </is>
      </c>
      <c r="B1450" s="1" t="n">
        <v>45586</v>
      </c>
      <c r="C1450" s="1" t="n">
        <v>45627</v>
      </c>
      <c r="D1450" t="inlineStr">
        <is>
          <t>JÄMTLANDS LÄN</t>
        </is>
      </c>
      <c r="E1450" t="inlineStr">
        <is>
          <t>KROKOM</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47218-2024</t>
        </is>
      </c>
      <c r="B1451" s="1" t="n">
        <v>45586</v>
      </c>
      <c r="C1451" s="1" t="n">
        <v>45627</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47723-2024</t>
        </is>
      </c>
      <c r="B1452" s="1" t="n">
        <v>45588</v>
      </c>
      <c r="C1452" s="1" t="n">
        <v>45627</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47721-2024</t>
        </is>
      </c>
      <c r="B1453" s="1" t="n">
        <v>45588</v>
      </c>
      <c r="C1453" s="1" t="n">
        <v>45627</v>
      </c>
      <c r="D1453" t="inlineStr">
        <is>
          <t>JÄMTLANDS LÄN</t>
        </is>
      </c>
      <c r="E1453" t="inlineStr">
        <is>
          <t>KROKOM</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47722-2024</t>
        </is>
      </c>
      <c r="B1454" s="1" t="n">
        <v>45588</v>
      </c>
      <c r="C1454" s="1" t="n">
        <v>45627</v>
      </c>
      <c r="D1454" t="inlineStr">
        <is>
          <t>JÄMTLANDS LÄN</t>
        </is>
      </c>
      <c r="E1454" t="inlineStr">
        <is>
          <t>KROKOM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47838-2024</t>
        </is>
      </c>
      <c r="B1455" s="1" t="n">
        <v>45588</v>
      </c>
      <c r="C1455" s="1" t="n">
        <v>45627</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48119-2024</t>
        </is>
      </c>
      <c r="B1456" s="1" t="n">
        <v>45589</v>
      </c>
      <c r="C1456" s="1" t="n">
        <v>45627</v>
      </c>
      <c r="D1456" t="inlineStr">
        <is>
          <t>JÄMTLANDS LÄN</t>
        </is>
      </c>
      <c r="E1456" t="inlineStr">
        <is>
          <t>KROKOM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48337-2024</t>
        </is>
      </c>
      <c r="B1457" s="1" t="n">
        <v>45590</v>
      </c>
      <c r="C1457" s="1" t="n">
        <v>45627</v>
      </c>
      <c r="D1457" t="inlineStr">
        <is>
          <t>JÄMTLANDS LÄN</t>
        </is>
      </c>
      <c r="E1457" t="inlineStr">
        <is>
          <t>KROKOM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48568-2024</t>
        </is>
      </c>
      <c r="B1458" s="1" t="n">
        <v>45593</v>
      </c>
      <c r="C1458" s="1" t="n">
        <v>45627</v>
      </c>
      <c r="D1458" t="inlineStr">
        <is>
          <t>JÄMTLANDS LÄN</t>
        </is>
      </c>
      <c r="E1458" t="inlineStr">
        <is>
          <t>KROKOM</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48560-2024</t>
        </is>
      </c>
      <c r="B1459" s="1" t="n">
        <v>45593</v>
      </c>
      <c r="C1459" s="1" t="n">
        <v>45627</v>
      </c>
      <c r="D1459" t="inlineStr">
        <is>
          <t>JÄMTLANDS LÄN</t>
        </is>
      </c>
      <c r="E1459" t="inlineStr">
        <is>
          <t>KROKOM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48752-2024</t>
        </is>
      </c>
      <c r="B1460" s="1" t="n">
        <v>45593</v>
      </c>
      <c r="C1460" s="1" t="n">
        <v>45627</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48539-2024</t>
        </is>
      </c>
      <c r="B1461" s="1" t="n">
        <v>45593</v>
      </c>
      <c r="C1461" s="1" t="n">
        <v>45627</v>
      </c>
      <c r="D1461" t="inlineStr">
        <is>
          <t>JÄMTLANDS LÄN</t>
        </is>
      </c>
      <c r="E1461" t="inlineStr">
        <is>
          <t>KROKOM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48971-2024</t>
        </is>
      </c>
      <c r="B1462" s="1" t="n">
        <v>45594</v>
      </c>
      <c r="C1462" s="1" t="n">
        <v>45627</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49213-2024</t>
        </is>
      </c>
      <c r="B1463" s="1" t="n">
        <v>45595</v>
      </c>
      <c r="C1463" s="1" t="n">
        <v>45627</v>
      </c>
      <c r="D1463" t="inlineStr">
        <is>
          <t>JÄMTLANDS LÄN</t>
        </is>
      </c>
      <c r="E1463" t="inlineStr">
        <is>
          <t>KROKOM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49214-2024</t>
        </is>
      </c>
      <c r="B1464" s="1" t="n">
        <v>45595</v>
      </c>
      <c r="C1464" s="1" t="n">
        <v>45627</v>
      </c>
      <c r="D1464" t="inlineStr">
        <is>
          <t>JÄMTLANDS LÄN</t>
        </is>
      </c>
      <c r="E1464" t="inlineStr">
        <is>
          <t>KROKOM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49212-2024</t>
        </is>
      </c>
      <c r="B1465" s="1" t="n">
        <v>45595</v>
      </c>
      <c r="C1465" s="1" t="n">
        <v>45627</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49203-2024</t>
        </is>
      </c>
      <c r="B1466" s="1" t="n">
        <v>45595</v>
      </c>
      <c r="C1466" s="1" t="n">
        <v>45627</v>
      </c>
      <c r="D1466" t="inlineStr">
        <is>
          <t>JÄMTLANDS LÄN</t>
        </is>
      </c>
      <c r="E1466" t="inlineStr">
        <is>
          <t>KROKOM</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49385-2024</t>
        </is>
      </c>
      <c r="B1467" s="1" t="n">
        <v>45595</v>
      </c>
      <c r="C1467" s="1" t="n">
        <v>45627</v>
      </c>
      <c r="D1467" t="inlineStr">
        <is>
          <t>JÄMTLANDS LÄN</t>
        </is>
      </c>
      <c r="E1467" t="inlineStr">
        <is>
          <t>KROKOM</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49386-2024</t>
        </is>
      </c>
      <c r="B1468" s="1" t="n">
        <v>45595</v>
      </c>
      <c r="C1468" s="1" t="n">
        <v>45627</v>
      </c>
      <c r="D1468" t="inlineStr">
        <is>
          <t>JÄMTLANDS LÄN</t>
        </is>
      </c>
      <c r="E1468" t="inlineStr">
        <is>
          <t>KROKOM</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49387-2024</t>
        </is>
      </c>
      <c r="B1469" s="1" t="n">
        <v>45595</v>
      </c>
      <c r="C1469" s="1" t="n">
        <v>45627</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49388-2024</t>
        </is>
      </c>
      <c r="B1470" s="1" t="n">
        <v>45595</v>
      </c>
      <c r="C1470" s="1" t="n">
        <v>45627</v>
      </c>
      <c r="D1470" t="inlineStr">
        <is>
          <t>JÄMTLANDS LÄN</t>
        </is>
      </c>
      <c r="E1470" t="inlineStr">
        <is>
          <t>KROKOM</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49875-2024</t>
        </is>
      </c>
      <c r="B1471" s="1" t="n">
        <v>45597</v>
      </c>
      <c r="C1471" s="1" t="n">
        <v>45627</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50129-2024</t>
        </is>
      </c>
      <c r="B1472" s="1" t="n">
        <v>45600</v>
      </c>
      <c r="C1472" s="1" t="n">
        <v>45627</v>
      </c>
      <c r="D1472" t="inlineStr">
        <is>
          <t>JÄMTLANDS LÄN</t>
        </is>
      </c>
      <c r="E1472" t="inlineStr">
        <is>
          <t>KROKOM</t>
        </is>
      </c>
      <c r="F1472" t="inlineStr">
        <is>
          <t>Övriga Aktiebolag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50206-2024</t>
        </is>
      </c>
      <c r="B1473" s="1" t="n">
        <v>45600</v>
      </c>
      <c r="C1473" s="1" t="n">
        <v>45627</v>
      </c>
      <c r="D1473" t="inlineStr">
        <is>
          <t>JÄMTLANDS LÄN</t>
        </is>
      </c>
      <c r="E1473" t="inlineStr">
        <is>
          <t>KROKOM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50255-2024</t>
        </is>
      </c>
      <c r="B1474" s="1" t="n">
        <v>45600</v>
      </c>
      <c r="C1474" s="1" t="n">
        <v>45627</v>
      </c>
      <c r="D1474" t="inlineStr">
        <is>
          <t>JÄMTLANDS LÄN</t>
        </is>
      </c>
      <c r="E1474" t="inlineStr">
        <is>
          <t>KROKOM</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50433-2024</t>
        </is>
      </c>
      <c r="B1475" s="1" t="n">
        <v>45601</v>
      </c>
      <c r="C1475" s="1" t="n">
        <v>45627</v>
      </c>
      <c r="D1475" t="inlineStr">
        <is>
          <t>JÄMTLANDS LÄN</t>
        </is>
      </c>
      <c r="E1475" t="inlineStr">
        <is>
          <t>KROKOM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50391-2024</t>
        </is>
      </c>
      <c r="B1476" s="1" t="n">
        <v>45601</v>
      </c>
      <c r="C1476" s="1" t="n">
        <v>45627</v>
      </c>
      <c r="D1476" t="inlineStr">
        <is>
          <t>JÄMTLANDS LÄN</t>
        </is>
      </c>
      <c r="E1476" t="inlineStr">
        <is>
          <t>KROKOM</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50417-2024</t>
        </is>
      </c>
      <c r="B1477" s="1" t="n">
        <v>45601</v>
      </c>
      <c r="C1477" s="1" t="n">
        <v>45627</v>
      </c>
      <c r="D1477" t="inlineStr">
        <is>
          <t>JÄMTLANDS LÄN</t>
        </is>
      </c>
      <c r="E1477" t="inlineStr">
        <is>
          <t>KROKOM</t>
        </is>
      </c>
      <c r="F1477" t="inlineStr">
        <is>
          <t>SCA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50755-2024</t>
        </is>
      </c>
      <c r="B1478" s="1" t="n">
        <v>45602</v>
      </c>
      <c r="C1478" s="1" t="n">
        <v>45627</v>
      </c>
      <c r="D1478" t="inlineStr">
        <is>
          <t>JÄMTLANDS LÄN</t>
        </is>
      </c>
      <c r="E1478" t="inlineStr">
        <is>
          <t>KROKOM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50738-2024</t>
        </is>
      </c>
      <c r="B1479" s="1" t="n">
        <v>45602</v>
      </c>
      <c r="C1479" s="1" t="n">
        <v>45627</v>
      </c>
      <c r="D1479" t="inlineStr">
        <is>
          <t>JÄMTLANDS LÄN</t>
        </is>
      </c>
      <c r="E1479" t="inlineStr">
        <is>
          <t>KROKOM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50719-2024</t>
        </is>
      </c>
      <c r="B1480" s="1" t="n">
        <v>45602</v>
      </c>
      <c r="C1480" s="1" t="n">
        <v>45627</v>
      </c>
      <c r="D1480" t="inlineStr">
        <is>
          <t>JÄMTLANDS LÄN</t>
        </is>
      </c>
      <c r="E1480" t="inlineStr">
        <is>
          <t>KROKOM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50822-2024</t>
        </is>
      </c>
      <c r="B1481" s="1" t="n">
        <v>45602</v>
      </c>
      <c r="C1481" s="1" t="n">
        <v>45627</v>
      </c>
      <c r="D1481" t="inlineStr">
        <is>
          <t>JÄMTLANDS LÄN</t>
        </is>
      </c>
      <c r="E1481" t="inlineStr">
        <is>
          <t>KROKOM</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50881-2024</t>
        </is>
      </c>
      <c r="B1482" s="1" t="n">
        <v>45602</v>
      </c>
      <c r="C1482" s="1" t="n">
        <v>45627</v>
      </c>
      <c r="D1482" t="inlineStr">
        <is>
          <t>JÄMTLANDS LÄN</t>
        </is>
      </c>
      <c r="E1482" t="inlineStr">
        <is>
          <t>KROKOM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45627</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50718-2024</t>
        </is>
      </c>
      <c r="B1484" s="1" t="n">
        <v>45602</v>
      </c>
      <c r="C1484" s="1" t="n">
        <v>45627</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50919-2024</t>
        </is>
      </c>
      <c r="B1485" s="1" t="n">
        <v>45602</v>
      </c>
      <c r="C1485" s="1" t="n">
        <v>45627</v>
      </c>
      <c r="D1485" t="inlineStr">
        <is>
          <t>JÄMTLANDS LÄN</t>
        </is>
      </c>
      <c r="E1485" t="inlineStr">
        <is>
          <t>KROKOM</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50951-2024</t>
        </is>
      </c>
      <c r="B1486" s="1" t="n">
        <v>45603</v>
      </c>
      <c r="C1486" s="1" t="n">
        <v>45627</v>
      </c>
      <c r="D1486" t="inlineStr">
        <is>
          <t>JÄMTLANDS LÄN</t>
        </is>
      </c>
      <c r="E1486" t="inlineStr">
        <is>
          <t>KROKOM</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51060-2024</t>
        </is>
      </c>
      <c r="B1487" s="1" t="n">
        <v>45603</v>
      </c>
      <c r="C1487" s="1" t="n">
        <v>45627</v>
      </c>
      <c r="D1487" t="inlineStr">
        <is>
          <t>JÄMTLANDS LÄN</t>
        </is>
      </c>
      <c r="E1487" t="inlineStr">
        <is>
          <t>KROKOM</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51581-2024</t>
        </is>
      </c>
      <c r="B1488" s="1" t="n">
        <v>45604</v>
      </c>
      <c r="C1488" s="1" t="n">
        <v>45627</v>
      </c>
      <c r="D1488" t="inlineStr">
        <is>
          <t>JÄMTLANDS LÄN</t>
        </is>
      </c>
      <c r="E1488" t="inlineStr">
        <is>
          <t>KROKOM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51580-2024</t>
        </is>
      </c>
      <c r="B1489" s="1" t="n">
        <v>45604</v>
      </c>
      <c r="C1489" s="1" t="n">
        <v>45627</v>
      </c>
      <c r="D1489" t="inlineStr">
        <is>
          <t>JÄMTLANDS LÄN</t>
        </is>
      </c>
      <c r="E1489" t="inlineStr">
        <is>
          <t>KROKOM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51939-2024</t>
        </is>
      </c>
      <c r="B1490" s="1" t="n">
        <v>45607</v>
      </c>
      <c r="C1490" s="1" t="n">
        <v>45627</v>
      </c>
      <c r="D1490" t="inlineStr">
        <is>
          <t>JÄMTLANDS LÄN</t>
        </is>
      </c>
      <c r="E1490" t="inlineStr">
        <is>
          <t>KROKOM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52213-2024</t>
        </is>
      </c>
      <c r="B1491" s="1" t="n">
        <v>45607</v>
      </c>
      <c r="C1491" s="1" t="n">
        <v>45627</v>
      </c>
      <c r="D1491" t="inlineStr">
        <is>
          <t>JÄMTLANDS LÄN</t>
        </is>
      </c>
      <c r="E1491" t="inlineStr">
        <is>
          <t>KROKOM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52217-2024</t>
        </is>
      </c>
      <c r="B1492" s="1" t="n">
        <v>45607</v>
      </c>
      <c r="C1492" s="1" t="n">
        <v>45627</v>
      </c>
      <c r="D1492" t="inlineStr">
        <is>
          <t>JÄMTLANDS LÄN</t>
        </is>
      </c>
      <c r="E1492" t="inlineStr">
        <is>
          <t>KROKOM</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52079-2024</t>
        </is>
      </c>
      <c r="B1493" s="1" t="n">
        <v>45608</v>
      </c>
      <c r="C1493" s="1" t="n">
        <v>45627</v>
      </c>
      <c r="D1493" t="inlineStr">
        <is>
          <t>JÄMTLANDS LÄN</t>
        </is>
      </c>
      <c r="E1493" t="inlineStr">
        <is>
          <t>KROKOM</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52111-2024</t>
        </is>
      </c>
      <c r="B1494" s="1" t="n">
        <v>45608</v>
      </c>
      <c r="C1494" s="1" t="n">
        <v>45627</v>
      </c>
      <c r="D1494" t="inlineStr">
        <is>
          <t>JÄMTLANDS LÄN</t>
        </is>
      </c>
      <c r="E1494" t="inlineStr">
        <is>
          <t>KROKOM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52086-2024</t>
        </is>
      </c>
      <c r="B1495" s="1" t="n">
        <v>45608</v>
      </c>
      <c r="C1495" s="1" t="n">
        <v>45627</v>
      </c>
      <c r="D1495" t="inlineStr">
        <is>
          <t>JÄMTLANDS LÄN</t>
        </is>
      </c>
      <c r="E1495" t="inlineStr">
        <is>
          <t>KROKOM</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52237-2024</t>
        </is>
      </c>
      <c r="B1496" s="1" t="n">
        <v>45608</v>
      </c>
      <c r="C1496" s="1" t="n">
        <v>45627</v>
      </c>
      <c r="D1496" t="inlineStr">
        <is>
          <t>JÄMTLANDS LÄN</t>
        </is>
      </c>
      <c r="E1496" t="inlineStr">
        <is>
          <t>KROKOM</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52313-2024</t>
        </is>
      </c>
      <c r="B1497" s="1" t="n">
        <v>45608</v>
      </c>
      <c r="C1497" s="1" t="n">
        <v>45627</v>
      </c>
      <c r="D1497" t="inlineStr">
        <is>
          <t>JÄMTLANDS LÄN</t>
        </is>
      </c>
      <c r="E1497" t="inlineStr">
        <is>
          <t>KROKOM</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52240-2024</t>
        </is>
      </c>
      <c r="B1498" s="1" t="n">
        <v>45608</v>
      </c>
      <c r="C1498" s="1" t="n">
        <v>45627</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52486-2024</t>
        </is>
      </c>
      <c r="B1499" s="1" t="n">
        <v>45609</v>
      </c>
      <c r="C1499" s="1" t="n">
        <v>45627</v>
      </c>
      <c r="D1499" t="inlineStr">
        <is>
          <t>JÄMTLANDS LÄN</t>
        </is>
      </c>
      <c r="E1499" t="inlineStr">
        <is>
          <t>KROKOM</t>
        </is>
      </c>
      <c r="G1499" t="n">
        <v>20.6</v>
      </c>
      <c r="H1499" t="n">
        <v>0</v>
      </c>
      <c r="I1499" t="n">
        <v>0</v>
      </c>
      <c r="J1499" t="n">
        <v>0</v>
      </c>
      <c r="K1499" t="n">
        <v>0</v>
      </c>
      <c r="L1499" t="n">
        <v>0</v>
      </c>
      <c r="M1499" t="n">
        <v>0</v>
      </c>
      <c r="N1499" t="n">
        <v>0</v>
      </c>
      <c r="O1499" t="n">
        <v>0</v>
      </c>
      <c r="P1499" t="n">
        <v>0</v>
      </c>
      <c r="Q1499" t="n">
        <v>0</v>
      </c>
      <c r="R1499" s="2" t="inlineStr"/>
    </row>
    <row r="1500" ht="15" customHeight="1">
      <c r="A1500" t="inlineStr">
        <is>
          <t>A 52547-2024</t>
        </is>
      </c>
      <c r="B1500" s="1" t="n">
        <v>45609</v>
      </c>
      <c r="C1500" s="1" t="n">
        <v>45627</v>
      </c>
      <c r="D1500" t="inlineStr">
        <is>
          <t>JÄMTLANDS LÄN</t>
        </is>
      </c>
      <c r="E1500" t="inlineStr">
        <is>
          <t>KROKOM</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52473-2024</t>
        </is>
      </c>
      <c r="B1501" s="1" t="n">
        <v>45609</v>
      </c>
      <c r="C1501" s="1" t="n">
        <v>45627</v>
      </c>
      <c r="D1501" t="inlineStr">
        <is>
          <t>JÄMTLANDS LÄN</t>
        </is>
      </c>
      <c r="E1501" t="inlineStr">
        <is>
          <t>KROKOM</t>
        </is>
      </c>
      <c r="G1501" t="n">
        <v>38.5</v>
      </c>
      <c r="H1501" t="n">
        <v>0</v>
      </c>
      <c r="I1501" t="n">
        <v>0</v>
      </c>
      <c r="J1501" t="n">
        <v>0</v>
      </c>
      <c r="K1501" t="n">
        <v>0</v>
      </c>
      <c r="L1501" t="n">
        <v>0</v>
      </c>
      <c r="M1501" t="n">
        <v>0</v>
      </c>
      <c r="N1501" t="n">
        <v>0</v>
      </c>
      <c r="O1501" t="n">
        <v>0</v>
      </c>
      <c r="P1501" t="n">
        <v>0</v>
      </c>
      <c r="Q1501" t="n">
        <v>0</v>
      </c>
      <c r="R1501" s="2" t="inlineStr"/>
    </row>
    <row r="1502" ht="15" customHeight="1">
      <c r="A1502" t="inlineStr">
        <is>
          <t>A 52540-2024</t>
        </is>
      </c>
      <c r="B1502" s="1" t="n">
        <v>45609</v>
      </c>
      <c r="C1502" s="1" t="n">
        <v>45627</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52589-2024</t>
        </is>
      </c>
      <c r="B1503" s="1" t="n">
        <v>45609</v>
      </c>
      <c r="C1503" s="1" t="n">
        <v>45627</v>
      </c>
      <c r="D1503" t="inlineStr">
        <is>
          <t>JÄMTLANDS LÄN</t>
        </is>
      </c>
      <c r="E1503" t="inlineStr">
        <is>
          <t>KROKOM</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52666-2024</t>
        </is>
      </c>
      <c r="B1504" s="1" t="n">
        <v>45610</v>
      </c>
      <c r="C1504" s="1" t="n">
        <v>45627</v>
      </c>
      <c r="D1504" t="inlineStr">
        <is>
          <t>JÄMTLANDS LÄN</t>
        </is>
      </c>
      <c r="E1504" t="inlineStr">
        <is>
          <t>KROKOM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53389-2024</t>
        </is>
      </c>
      <c r="B1505" s="1" t="n">
        <v>45614</v>
      </c>
      <c r="C1505" s="1" t="n">
        <v>45627</v>
      </c>
      <c r="D1505" t="inlineStr">
        <is>
          <t>JÄMTLANDS LÄN</t>
        </is>
      </c>
      <c r="E1505" t="inlineStr">
        <is>
          <t>KROKOM</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53543-2024</t>
        </is>
      </c>
      <c r="B1506" s="1" t="n">
        <v>45614</v>
      </c>
      <c r="C1506" s="1" t="n">
        <v>45627</v>
      </c>
      <c r="D1506" t="inlineStr">
        <is>
          <t>JÄMTLANDS LÄN</t>
        </is>
      </c>
      <c r="E1506" t="inlineStr">
        <is>
          <t>KROKOM</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53568-2024</t>
        </is>
      </c>
      <c r="B1507" s="1" t="n">
        <v>45614</v>
      </c>
      <c r="C1507" s="1" t="n">
        <v>45627</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53601-2024</t>
        </is>
      </c>
      <c r="B1508" s="1" t="n">
        <v>45614</v>
      </c>
      <c r="C1508" s="1" t="n">
        <v>45627</v>
      </c>
      <c r="D1508" t="inlineStr">
        <is>
          <t>JÄMTLANDS LÄN</t>
        </is>
      </c>
      <c r="E1508" t="inlineStr">
        <is>
          <t>KROKOM</t>
        </is>
      </c>
      <c r="G1508" t="n">
        <v>12.9</v>
      </c>
      <c r="H1508" t="n">
        <v>0</v>
      </c>
      <c r="I1508" t="n">
        <v>0</v>
      </c>
      <c r="J1508" t="n">
        <v>0</v>
      </c>
      <c r="K1508" t="n">
        <v>0</v>
      </c>
      <c r="L1508" t="n">
        <v>0</v>
      </c>
      <c r="M1508" t="n">
        <v>0</v>
      </c>
      <c r="N1508" t="n">
        <v>0</v>
      </c>
      <c r="O1508" t="n">
        <v>0</v>
      </c>
      <c r="P1508" t="n">
        <v>0</v>
      </c>
      <c r="Q1508" t="n">
        <v>0</v>
      </c>
      <c r="R1508" s="2" t="inlineStr"/>
    </row>
    <row r="1509" ht="15" customHeight="1">
      <c r="A1509" t="inlineStr">
        <is>
          <t>A 53436-2024</t>
        </is>
      </c>
      <c r="B1509" s="1" t="n">
        <v>45614</v>
      </c>
      <c r="C1509" s="1" t="n">
        <v>45627</v>
      </c>
      <c r="D1509" t="inlineStr">
        <is>
          <t>JÄMTLANDS LÄN</t>
        </is>
      </c>
      <c r="E1509" t="inlineStr">
        <is>
          <t>KROKOM</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53541-2024</t>
        </is>
      </c>
      <c r="B1510" s="1" t="n">
        <v>45614</v>
      </c>
      <c r="C1510" s="1" t="n">
        <v>45627</v>
      </c>
      <c r="D1510" t="inlineStr">
        <is>
          <t>JÄMTLANDS LÄN</t>
        </is>
      </c>
      <c r="E1510" t="inlineStr">
        <is>
          <t>KROKOM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53540-2024</t>
        </is>
      </c>
      <c r="B1511" s="1" t="n">
        <v>45614</v>
      </c>
      <c r="C1511" s="1" t="n">
        <v>45627</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53544-2024</t>
        </is>
      </c>
      <c r="B1512" s="1" t="n">
        <v>45614</v>
      </c>
      <c r="C1512" s="1" t="n">
        <v>45627</v>
      </c>
      <c r="D1512" t="inlineStr">
        <is>
          <t>JÄMTLANDS LÄN</t>
        </is>
      </c>
      <c r="E1512" t="inlineStr">
        <is>
          <t>KROKOM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53808-2024</t>
        </is>
      </c>
      <c r="B1513" s="1" t="n">
        <v>45615</v>
      </c>
      <c r="C1513" s="1" t="n">
        <v>45627</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53825-2024</t>
        </is>
      </c>
      <c r="B1514" s="1" t="n">
        <v>45615</v>
      </c>
      <c r="C1514" s="1" t="n">
        <v>45627</v>
      </c>
      <c r="D1514" t="inlineStr">
        <is>
          <t>JÄMTLANDS LÄN</t>
        </is>
      </c>
      <c r="E1514" t="inlineStr">
        <is>
          <t>KROKOM</t>
        </is>
      </c>
      <c r="F1514" t="inlineStr">
        <is>
          <t>Övriga Aktiebolag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53776-2024</t>
        </is>
      </c>
      <c r="B1515" s="1" t="n">
        <v>45615</v>
      </c>
      <c r="C1515" s="1" t="n">
        <v>45627</v>
      </c>
      <c r="D1515" t="inlineStr">
        <is>
          <t>JÄMTLANDS LÄN</t>
        </is>
      </c>
      <c r="E1515" t="inlineStr">
        <is>
          <t>KROKOM</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53807-2024</t>
        </is>
      </c>
      <c r="B1516" s="1" t="n">
        <v>45615</v>
      </c>
      <c r="C1516" s="1" t="n">
        <v>45627</v>
      </c>
      <c r="D1516" t="inlineStr">
        <is>
          <t>JÄMTLANDS LÄN</t>
        </is>
      </c>
      <c r="E1516" t="inlineStr">
        <is>
          <t>KROKOM</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53815-2024</t>
        </is>
      </c>
      <c r="B1517" s="1" t="n">
        <v>45615</v>
      </c>
      <c r="C1517" s="1" t="n">
        <v>45627</v>
      </c>
      <c r="D1517" t="inlineStr">
        <is>
          <t>JÄMTLANDS LÄN</t>
        </is>
      </c>
      <c r="E1517" t="inlineStr">
        <is>
          <t>KROKOM</t>
        </is>
      </c>
      <c r="F1517" t="inlineStr">
        <is>
          <t>Övriga Aktiebolag</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53904-2024</t>
        </is>
      </c>
      <c r="B1518" s="1" t="n">
        <v>45615</v>
      </c>
      <c r="C1518" s="1" t="n">
        <v>45627</v>
      </c>
      <c r="D1518" t="inlineStr">
        <is>
          <t>JÄMTLANDS LÄN</t>
        </is>
      </c>
      <c r="E1518" t="inlineStr">
        <is>
          <t>KROKOM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53827-2024</t>
        </is>
      </c>
      <c r="B1519" s="1" t="n">
        <v>45615</v>
      </c>
      <c r="C1519" s="1" t="n">
        <v>45627</v>
      </c>
      <c r="D1519" t="inlineStr">
        <is>
          <t>JÄMTLANDS LÄN</t>
        </is>
      </c>
      <c r="E1519" t="inlineStr">
        <is>
          <t>KROKOM</t>
        </is>
      </c>
      <c r="F1519" t="inlineStr">
        <is>
          <t>Övriga Aktiebolag</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54121-2024</t>
        </is>
      </c>
      <c r="B1520" s="1" t="n">
        <v>45616</v>
      </c>
      <c r="C1520" s="1" t="n">
        <v>45627</v>
      </c>
      <c r="D1520" t="inlineStr">
        <is>
          <t>JÄMTLANDS LÄN</t>
        </is>
      </c>
      <c r="E1520" t="inlineStr">
        <is>
          <t>KROKOM</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54140-2024</t>
        </is>
      </c>
      <c r="B1521" s="1" t="n">
        <v>45616</v>
      </c>
      <c r="C1521" s="1" t="n">
        <v>45627</v>
      </c>
      <c r="D1521" t="inlineStr">
        <is>
          <t>JÄMTLANDS LÄN</t>
        </is>
      </c>
      <c r="E1521" t="inlineStr">
        <is>
          <t>KROKOM</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54427-2024</t>
        </is>
      </c>
      <c r="B1522" s="1" t="n">
        <v>45617</v>
      </c>
      <c r="C1522" s="1" t="n">
        <v>45627</v>
      </c>
      <c r="D1522" t="inlineStr">
        <is>
          <t>JÄMTLANDS LÄN</t>
        </is>
      </c>
      <c r="E1522" t="inlineStr">
        <is>
          <t>KROKOM</t>
        </is>
      </c>
      <c r="G1522" t="n">
        <v>22.2</v>
      </c>
      <c r="H1522" t="n">
        <v>0</v>
      </c>
      <c r="I1522" t="n">
        <v>0</v>
      </c>
      <c r="J1522" t="n">
        <v>0</v>
      </c>
      <c r="K1522" t="n">
        <v>0</v>
      </c>
      <c r="L1522" t="n">
        <v>0</v>
      </c>
      <c r="M1522" t="n">
        <v>0</v>
      </c>
      <c r="N1522" t="n">
        <v>0</v>
      </c>
      <c r="O1522" t="n">
        <v>0</v>
      </c>
      <c r="P1522" t="n">
        <v>0</v>
      </c>
      <c r="Q1522" t="n">
        <v>0</v>
      </c>
      <c r="R1522" s="2" t="inlineStr"/>
    </row>
    <row r="1523" ht="15" customHeight="1">
      <c r="A1523" t="inlineStr">
        <is>
          <t>A 54823-2024</t>
        </is>
      </c>
      <c r="B1523" s="1" t="n">
        <v>45618</v>
      </c>
      <c r="C1523" s="1" t="n">
        <v>45627</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54828-2024</t>
        </is>
      </c>
      <c r="B1524" s="1" t="n">
        <v>45618</v>
      </c>
      <c r="C1524" s="1" t="n">
        <v>45627</v>
      </c>
      <c r="D1524" t="inlineStr">
        <is>
          <t>JÄMTLANDS LÄN</t>
        </is>
      </c>
      <c r="E1524" t="inlineStr">
        <is>
          <t>KROKOM</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54817-2024</t>
        </is>
      </c>
      <c r="B1525" s="1" t="n">
        <v>45618</v>
      </c>
      <c r="C1525" s="1" t="n">
        <v>45627</v>
      </c>
      <c r="D1525" t="inlineStr">
        <is>
          <t>JÄMTLANDS LÄN</t>
        </is>
      </c>
      <c r="E1525" t="inlineStr">
        <is>
          <t>KROKOM</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54975-2024</t>
        </is>
      </c>
      <c r="B1526" s="1" t="n">
        <v>45620</v>
      </c>
      <c r="C1526" s="1" t="n">
        <v>45627</v>
      </c>
      <c r="D1526" t="inlineStr">
        <is>
          <t>JÄMTLANDS LÄN</t>
        </is>
      </c>
      <c r="E1526" t="inlineStr">
        <is>
          <t>KROKOM</t>
        </is>
      </c>
      <c r="G1526" t="n">
        <v>24.1</v>
      </c>
      <c r="H1526" t="n">
        <v>0</v>
      </c>
      <c r="I1526" t="n">
        <v>0</v>
      </c>
      <c r="J1526" t="n">
        <v>0</v>
      </c>
      <c r="K1526" t="n">
        <v>0</v>
      </c>
      <c r="L1526" t="n">
        <v>0</v>
      </c>
      <c r="M1526" t="n">
        <v>0</v>
      </c>
      <c r="N1526" t="n">
        <v>0</v>
      </c>
      <c r="O1526" t="n">
        <v>0</v>
      </c>
      <c r="P1526" t="n">
        <v>0</v>
      </c>
      <c r="Q1526" t="n">
        <v>0</v>
      </c>
      <c r="R1526" s="2" t="inlineStr"/>
    </row>
    <row r="1527" ht="15" customHeight="1">
      <c r="A1527" t="inlineStr">
        <is>
          <t>A 54973-2024</t>
        </is>
      </c>
      <c r="B1527" s="1" t="n">
        <v>45620</v>
      </c>
      <c r="C1527" s="1" t="n">
        <v>45627</v>
      </c>
      <c r="D1527" t="inlineStr">
        <is>
          <t>JÄMTLANDS LÄN</t>
        </is>
      </c>
      <c r="E1527" t="inlineStr">
        <is>
          <t>KROKOM</t>
        </is>
      </c>
      <c r="F1527" t="inlineStr">
        <is>
          <t>Övriga Aktiebolag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55339-2024</t>
        </is>
      </c>
      <c r="B1528" s="1" t="n">
        <v>45621</v>
      </c>
      <c r="C1528" s="1" t="n">
        <v>45627</v>
      </c>
      <c r="D1528" t="inlineStr">
        <is>
          <t>JÄMTLANDS LÄN</t>
        </is>
      </c>
      <c r="E1528" t="inlineStr">
        <is>
          <t>KROKOM</t>
        </is>
      </c>
      <c r="G1528" t="n">
        <v>10.8</v>
      </c>
      <c r="H1528" t="n">
        <v>0</v>
      </c>
      <c r="I1528" t="n">
        <v>0</v>
      </c>
      <c r="J1528" t="n">
        <v>0</v>
      </c>
      <c r="K1528" t="n">
        <v>0</v>
      </c>
      <c r="L1528" t="n">
        <v>0</v>
      </c>
      <c r="M1528" t="n">
        <v>0</v>
      </c>
      <c r="N1528" t="n">
        <v>0</v>
      </c>
      <c r="O1528" t="n">
        <v>0</v>
      </c>
      <c r="P1528" t="n">
        <v>0</v>
      </c>
      <c r="Q1528" t="n">
        <v>0</v>
      </c>
      <c r="R1528" s="2" t="inlineStr"/>
    </row>
    <row r="1529" ht="15" customHeight="1">
      <c r="A1529" t="inlineStr">
        <is>
          <t>A 55043-2024</t>
        </is>
      </c>
      <c r="B1529" s="1" t="n">
        <v>45621</v>
      </c>
      <c r="C1529" s="1" t="n">
        <v>45627</v>
      </c>
      <c r="D1529" t="inlineStr">
        <is>
          <t>JÄMTLANDS LÄN</t>
        </is>
      </c>
      <c r="E1529" t="inlineStr">
        <is>
          <t>KROKOM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55338-2024</t>
        </is>
      </c>
      <c r="B1530" s="1" t="n">
        <v>45621</v>
      </c>
      <c r="C1530" s="1" t="n">
        <v>45627</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55309-2024</t>
        </is>
      </c>
      <c r="B1531" s="1" t="n">
        <v>45621</v>
      </c>
      <c r="C1531" s="1" t="n">
        <v>45627</v>
      </c>
      <c r="D1531" t="inlineStr">
        <is>
          <t>JÄMTLANDS LÄN</t>
        </is>
      </c>
      <c r="E1531" t="inlineStr">
        <is>
          <t>KROKOM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55337-2024</t>
        </is>
      </c>
      <c r="B1532" s="1" t="n">
        <v>45621</v>
      </c>
      <c r="C1532" s="1" t="n">
        <v>45627</v>
      </c>
      <c r="D1532" t="inlineStr">
        <is>
          <t>JÄMTLANDS LÄN</t>
        </is>
      </c>
      <c r="E1532" t="inlineStr">
        <is>
          <t>KROKOM</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55387-2024</t>
        </is>
      </c>
      <c r="B1533" s="1" t="n">
        <v>45622</v>
      </c>
      <c r="C1533" s="1" t="n">
        <v>45627</v>
      </c>
      <c r="D1533" t="inlineStr">
        <is>
          <t>JÄMTLANDS LÄN</t>
        </is>
      </c>
      <c r="E1533" t="inlineStr">
        <is>
          <t>KROKOM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55831-2024</t>
        </is>
      </c>
      <c r="B1534" s="1" t="n">
        <v>45623</v>
      </c>
      <c r="C1534" s="1" t="n">
        <v>45627</v>
      </c>
      <c r="D1534" t="inlineStr">
        <is>
          <t>JÄMTLANDS LÄN</t>
        </is>
      </c>
      <c r="E1534" t="inlineStr">
        <is>
          <t>KROKOM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55849-2024</t>
        </is>
      </c>
      <c r="B1535" s="1" t="n">
        <v>45623</v>
      </c>
      <c r="C1535" s="1" t="n">
        <v>45627</v>
      </c>
      <c r="D1535" t="inlineStr">
        <is>
          <t>JÄMTLANDS LÄN</t>
        </is>
      </c>
      <c r="E1535" t="inlineStr">
        <is>
          <t>KROKOM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56312-2024</t>
        </is>
      </c>
      <c r="B1536" s="1" t="n">
        <v>45624</v>
      </c>
      <c r="C1536" s="1" t="n">
        <v>45627</v>
      </c>
      <c r="D1536" t="inlineStr">
        <is>
          <t>JÄMTLANDS LÄN</t>
        </is>
      </c>
      <c r="E1536" t="inlineStr">
        <is>
          <t>KROKOM</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56633-2024</t>
        </is>
      </c>
      <c r="B1537" s="1" t="n">
        <v>45625</v>
      </c>
      <c r="C1537" s="1" t="n">
        <v>45627</v>
      </c>
      <c r="D1537" t="inlineStr">
        <is>
          <t>JÄMTLANDS LÄN</t>
        </is>
      </c>
      <c r="E1537" t="inlineStr">
        <is>
          <t>KROKOM</t>
        </is>
      </c>
      <c r="G1537" t="n">
        <v>14.1</v>
      </c>
      <c r="H1537" t="n">
        <v>0</v>
      </c>
      <c r="I1537" t="n">
        <v>0</v>
      </c>
      <c r="J1537" t="n">
        <v>0</v>
      </c>
      <c r="K1537" t="n">
        <v>0</v>
      </c>
      <c r="L1537" t="n">
        <v>0</v>
      </c>
      <c r="M1537" t="n">
        <v>0</v>
      </c>
      <c r="N1537" t="n">
        <v>0</v>
      </c>
      <c r="O1537" t="n">
        <v>0</v>
      </c>
      <c r="P1537" t="n">
        <v>0</v>
      </c>
      <c r="Q1537" t="n">
        <v>0</v>
      </c>
      <c r="R1537" s="2" t="inlineStr"/>
    </row>
    <row r="1538">
      <c r="A1538" t="inlineStr">
        <is>
          <t>A 56640-2024</t>
        </is>
      </c>
      <c r="B1538" s="1" t="n">
        <v>45625</v>
      </c>
      <c r="C1538" s="1" t="n">
        <v>45627</v>
      </c>
      <c r="D1538" t="inlineStr">
        <is>
          <t>JÄMTLANDS LÄN</t>
        </is>
      </c>
      <c r="E1538" t="inlineStr">
        <is>
          <t>KROKOM</t>
        </is>
      </c>
      <c r="G1538" t="n">
        <v>2.4</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2024-12-01T15:34:00Z</dcterms:created>
  <dcterms:modified xmlns:dcterms="http://purl.org/dc/terms/" xmlns:xsi="http://www.w3.org/2001/XMLSchema-instance" xsi:type="dcterms:W3CDTF">2024-12-01T15:34:01Z</dcterms:modified>
</cp:coreProperties>
</file>