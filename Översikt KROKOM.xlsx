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46082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46082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46082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46082</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46082</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46082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46082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46082</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46082</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46082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46082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46082</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46082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46082</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46082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46082</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46082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46082</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46082</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22902-2025</t>
        </is>
      </c>
      <c r="B33" s="1" t="n">
        <v>45790</v>
      </c>
      <c r="C33" s="1" t="n">
        <v>46082</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46082</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46082</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46082</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46082</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46082</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46082</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46082</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46082</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46082</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46082</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46082</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46082</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46082</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46082</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46082</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46082</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46082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46082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46082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46082</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46082</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46082</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46082</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46082</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46082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46082</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46082</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46082</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46082</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46082</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46082</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40206-2023</t>
        </is>
      </c>
      <c r="B68" s="1" t="n">
        <v>45169</v>
      </c>
      <c r="C68" s="1" t="n">
        <v>46082</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61654-2025</t>
        </is>
      </c>
      <c r="B69" s="1" t="n">
        <v>46002.44827546296</v>
      </c>
      <c r="C69" s="1" t="n">
        <v>46082</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46082</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7074-2026</t>
        </is>
      </c>
      <c r="B71" s="1" t="n">
        <v>46058.32623842593</v>
      </c>
      <c r="C71" s="1" t="n">
        <v>46082</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63661-2025</t>
        </is>
      </c>
      <c r="B72" s="1" t="n">
        <v>46014.45053240741</v>
      </c>
      <c r="C72" s="1" t="n">
        <v>46082</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933-2026</t>
        </is>
      </c>
      <c r="B73" s="1" t="n">
        <v>46030.51732638889</v>
      </c>
      <c r="C73" s="1" t="n">
        <v>46082</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46082</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43541-2023</t>
        </is>
      </c>
      <c r="B75" s="1" t="n">
        <v>45181</v>
      </c>
      <c r="C75" s="1" t="n">
        <v>46082</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46082</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46082</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46082</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46082</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36373-2023</t>
        </is>
      </c>
      <c r="B80" s="1" t="n">
        <v>45149</v>
      </c>
      <c r="C80" s="1" t="n">
        <v>46082</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27771-2024</t>
        </is>
      </c>
      <c r="B81" s="1" t="n">
        <v>45475</v>
      </c>
      <c r="C81" s="1" t="n">
        <v>46082</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61448-2021</t>
        </is>
      </c>
      <c r="B82" s="1" t="n">
        <v>44500</v>
      </c>
      <c r="C82" s="1" t="n">
        <v>46082</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3134-2024</t>
        </is>
      </c>
      <c r="B83" s="1" t="n">
        <v>45316</v>
      </c>
      <c r="C83" s="1" t="n">
        <v>46082</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3431-2026</t>
        </is>
      </c>
      <c r="B84" s="1" t="n">
        <v>46042.45576388889</v>
      </c>
      <c r="C84" s="1" t="n">
        <v>46082</v>
      </c>
      <c r="D84" t="inlineStr">
        <is>
          <t>JÄMTLANDS LÄN</t>
        </is>
      </c>
      <c r="E84" t="inlineStr">
        <is>
          <t>KROKOM</t>
        </is>
      </c>
      <c r="G84" t="n">
        <v>12.8</v>
      </c>
      <c r="H84" t="n">
        <v>0</v>
      </c>
      <c r="I84" t="n">
        <v>1</v>
      </c>
      <c r="J84" t="n">
        <v>6</v>
      </c>
      <c r="K84" t="n">
        <v>0</v>
      </c>
      <c r="L84" t="n">
        <v>0</v>
      </c>
      <c r="M84" t="n">
        <v>0</v>
      </c>
      <c r="N84" t="n">
        <v>0</v>
      </c>
      <c r="O84" t="n">
        <v>6</v>
      </c>
      <c r="P84" t="n">
        <v>0</v>
      </c>
      <c r="Q84" t="n">
        <v>7</v>
      </c>
      <c r="R84" s="2" t="inlineStr">
        <is>
          <t>Garnlav
Granticka
Luddfingersvamp
Rödbrun blekspik
Ullticka
Vitgrynig nållav
Kambräken</t>
        </is>
      </c>
      <c r="S84">
        <f>HYPERLINK("https://klasma.github.io/Logging_2309/artfynd/A 3431-2026 artfynd.xlsx", "A 3431-2026")</f>
        <v/>
      </c>
      <c r="T84">
        <f>HYPERLINK("https://klasma.github.io/Logging_2309/kartor/A 3431-2026 karta.png", "A 3431-2026")</f>
        <v/>
      </c>
      <c r="V84">
        <f>HYPERLINK("https://klasma.github.io/Logging_2309/klagomål/A 3431-2026 FSC-klagomål.docx", "A 3431-2026")</f>
        <v/>
      </c>
      <c r="W84">
        <f>HYPERLINK("https://klasma.github.io/Logging_2309/klagomålsmail/A 3431-2026 FSC-klagomål mail.docx", "A 3431-2026")</f>
        <v/>
      </c>
      <c r="X84">
        <f>HYPERLINK("https://klasma.github.io/Logging_2309/tillsyn/A 3431-2026 tillsynsbegäran.docx", "A 3431-2026")</f>
        <v/>
      </c>
      <c r="Y84">
        <f>HYPERLINK("https://klasma.github.io/Logging_2309/tillsynsmail/A 3431-2026 tillsynsbegäran mail.docx", "A 3431-2026")</f>
        <v/>
      </c>
    </row>
    <row r="85" ht="15" customHeight="1">
      <c r="A85" t="inlineStr">
        <is>
          <t>A 50411-2025</t>
        </is>
      </c>
      <c r="B85" s="1" t="n">
        <v>45944.64482638889</v>
      </c>
      <c r="C85" s="1" t="n">
        <v>46082</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46082</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46082</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46082</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46082</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46082</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46082</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46082</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46082</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46082</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46082</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56194-2021</t>
        </is>
      </c>
      <c r="B96" s="1" t="n">
        <v>44477</v>
      </c>
      <c r="C96" s="1" t="n">
        <v>46082</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46118-2024</t>
        </is>
      </c>
      <c r="B97" s="1" t="n">
        <v>45581</v>
      </c>
      <c r="C97" s="1" t="n">
        <v>46082</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46082</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46082</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60967-2025</t>
        </is>
      </c>
      <c r="B100" s="1" t="n">
        <v>45999.67776620371</v>
      </c>
      <c r="C100" s="1" t="n">
        <v>46082</v>
      </c>
      <c r="D100" t="inlineStr">
        <is>
          <t>JÄMTLANDS LÄN</t>
        </is>
      </c>
      <c r="E100" t="inlineStr">
        <is>
          <t>KROKOM</t>
        </is>
      </c>
      <c r="G100" t="n">
        <v>13.8</v>
      </c>
      <c r="H100" t="n">
        <v>1</v>
      </c>
      <c r="I100" t="n">
        <v>0</v>
      </c>
      <c r="J100" t="n">
        <v>6</v>
      </c>
      <c r="K100" t="n">
        <v>0</v>
      </c>
      <c r="L100" t="n">
        <v>0</v>
      </c>
      <c r="M100" t="n">
        <v>0</v>
      </c>
      <c r="N100" t="n">
        <v>0</v>
      </c>
      <c r="O100" t="n">
        <v>6</v>
      </c>
      <c r="P100" t="n">
        <v>0</v>
      </c>
      <c r="Q100" t="n">
        <v>6</v>
      </c>
      <c r="R100" s="2" t="inlineStr">
        <is>
          <t>Doftskinn
Garnlav
Granticka
Harticka
Järpe
Ullticka</t>
        </is>
      </c>
      <c r="S100">
        <f>HYPERLINK("https://klasma.github.io/Logging_2309/artfynd/A 60967-2025 artfynd.xlsx", "A 60967-2025")</f>
        <v/>
      </c>
      <c r="T100">
        <f>HYPERLINK("https://klasma.github.io/Logging_2309/kartor/A 60967-2025 karta.png", "A 60967-2025")</f>
        <v/>
      </c>
      <c r="V100">
        <f>HYPERLINK("https://klasma.github.io/Logging_2309/klagomål/A 60967-2025 FSC-klagomål.docx", "A 60967-2025")</f>
        <v/>
      </c>
      <c r="W100">
        <f>HYPERLINK("https://klasma.github.io/Logging_2309/klagomålsmail/A 60967-2025 FSC-klagomål mail.docx", "A 60967-2025")</f>
        <v/>
      </c>
      <c r="X100">
        <f>HYPERLINK("https://klasma.github.io/Logging_2309/tillsyn/A 60967-2025 tillsynsbegäran.docx", "A 60967-2025")</f>
        <v/>
      </c>
      <c r="Y100">
        <f>HYPERLINK("https://klasma.github.io/Logging_2309/tillsynsmail/A 60967-2025 tillsynsbegäran mail.docx", "A 60967-2025")</f>
        <v/>
      </c>
      <c r="Z100">
        <f>HYPERLINK("https://klasma.github.io/Logging_2309/fåglar/A 60967-2025 prioriterade fågelarter.docx", "A 60967-2025")</f>
        <v/>
      </c>
    </row>
    <row r="101" ht="15" customHeight="1">
      <c r="A101" t="inlineStr">
        <is>
          <t>A 42385-2023</t>
        </is>
      </c>
      <c r="B101" s="1" t="n">
        <v>45180</v>
      </c>
      <c r="C101" s="1" t="n">
        <v>46082</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16978-2025</t>
        </is>
      </c>
      <c r="B102" s="1" t="n">
        <v>45755</v>
      </c>
      <c r="C102" s="1" t="n">
        <v>46082</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46082</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58951-2023</t>
        </is>
      </c>
      <c r="B104" s="1" t="n">
        <v>45252</v>
      </c>
      <c r="C104" s="1" t="n">
        <v>46082</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62177-2025</t>
        </is>
      </c>
      <c r="B105" s="1" t="n">
        <v>46006.51480324074</v>
      </c>
      <c r="C105" s="1" t="n">
        <v>46082</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11097-2024</t>
        </is>
      </c>
      <c r="B106" s="1" t="n">
        <v>45370</v>
      </c>
      <c r="C106" s="1" t="n">
        <v>46082</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35885-2025</t>
        </is>
      </c>
      <c r="B107" s="1" t="n">
        <v>45862</v>
      </c>
      <c r="C107" s="1" t="n">
        <v>46082</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61382-2025</t>
        </is>
      </c>
      <c r="B108" s="1" t="n">
        <v>46001.44696759259</v>
      </c>
      <c r="C108" s="1" t="n">
        <v>46082</v>
      </c>
      <c r="D108" t="inlineStr">
        <is>
          <t>JÄMTLANDS LÄN</t>
        </is>
      </c>
      <c r="E108" t="inlineStr">
        <is>
          <t>KROKOM</t>
        </is>
      </c>
      <c r="G108" t="n">
        <v>36</v>
      </c>
      <c r="H108" t="n">
        <v>1</v>
      </c>
      <c r="I108" t="n">
        <v>0</v>
      </c>
      <c r="J108" t="n">
        <v>6</v>
      </c>
      <c r="K108" t="n">
        <v>0</v>
      </c>
      <c r="L108" t="n">
        <v>0</v>
      </c>
      <c r="M108" t="n">
        <v>0</v>
      </c>
      <c r="N108" t="n">
        <v>0</v>
      </c>
      <c r="O108" t="n">
        <v>6</v>
      </c>
      <c r="P108" t="n">
        <v>0</v>
      </c>
      <c r="Q108" t="n">
        <v>6</v>
      </c>
      <c r="R108" s="2" t="inlineStr">
        <is>
          <t>Doftskinn
Garnlav
Granticka
Harticka
Skrovellav
Tretåig hackspett</t>
        </is>
      </c>
      <c r="S108">
        <f>HYPERLINK("https://klasma.github.io/Logging_2309/artfynd/A 61382-2025 artfynd.xlsx", "A 61382-2025")</f>
        <v/>
      </c>
      <c r="T108">
        <f>HYPERLINK("https://klasma.github.io/Logging_2309/kartor/A 61382-2025 karta.png", "A 61382-2025")</f>
        <v/>
      </c>
      <c r="V108">
        <f>HYPERLINK("https://klasma.github.io/Logging_2309/klagomål/A 61382-2025 FSC-klagomål.docx", "A 61382-2025")</f>
        <v/>
      </c>
      <c r="W108">
        <f>HYPERLINK("https://klasma.github.io/Logging_2309/klagomålsmail/A 61382-2025 FSC-klagomål mail.docx", "A 61382-2025")</f>
        <v/>
      </c>
      <c r="X108">
        <f>HYPERLINK("https://klasma.github.io/Logging_2309/tillsyn/A 61382-2025 tillsynsbegäran.docx", "A 61382-2025")</f>
        <v/>
      </c>
      <c r="Y108">
        <f>HYPERLINK("https://klasma.github.io/Logging_2309/tillsynsmail/A 61382-2025 tillsynsbegäran mail.docx", "A 61382-2025")</f>
        <v/>
      </c>
      <c r="Z108">
        <f>HYPERLINK("https://klasma.github.io/Logging_2309/fåglar/A 61382-2025 prioriterade fågelarter.docx", "A 61382-2025")</f>
        <v/>
      </c>
    </row>
    <row r="109" ht="15" customHeight="1">
      <c r="A109" t="inlineStr">
        <is>
          <t>A 2452-2026</t>
        </is>
      </c>
      <c r="B109" s="1" t="n">
        <v>46037.34447916667</v>
      </c>
      <c r="C109" s="1" t="n">
        <v>46082</v>
      </c>
      <c r="D109" t="inlineStr">
        <is>
          <t>JÄMTLANDS LÄN</t>
        </is>
      </c>
      <c r="E109" t="inlineStr">
        <is>
          <t>KROKOM</t>
        </is>
      </c>
      <c r="G109" t="n">
        <v>17.2</v>
      </c>
      <c r="H109" t="n">
        <v>2</v>
      </c>
      <c r="I109" t="n">
        <v>1</v>
      </c>
      <c r="J109" t="n">
        <v>5</v>
      </c>
      <c r="K109" t="n">
        <v>0</v>
      </c>
      <c r="L109" t="n">
        <v>0</v>
      </c>
      <c r="M109" t="n">
        <v>0</v>
      </c>
      <c r="N109" t="n">
        <v>0</v>
      </c>
      <c r="O109" t="n">
        <v>5</v>
      </c>
      <c r="P109" t="n">
        <v>0</v>
      </c>
      <c r="Q109" t="n">
        <v>6</v>
      </c>
      <c r="R109" s="2" t="inlineStr">
        <is>
          <t>Garnlav
Granticka
Harticka
Spillkråka
Tretåig hackspett
Stuplav</t>
        </is>
      </c>
      <c r="S109">
        <f>HYPERLINK("https://klasma.github.io/Logging_2309/artfynd/A 2452-2026 artfynd.xlsx", "A 2452-2026")</f>
        <v/>
      </c>
      <c r="T109">
        <f>HYPERLINK("https://klasma.github.io/Logging_2309/kartor/A 2452-2026 karta.png", "A 2452-2026")</f>
        <v/>
      </c>
      <c r="V109">
        <f>HYPERLINK("https://klasma.github.io/Logging_2309/klagomål/A 2452-2026 FSC-klagomål.docx", "A 2452-2026")</f>
        <v/>
      </c>
      <c r="W109">
        <f>HYPERLINK("https://klasma.github.io/Logging_2309/klagomålsmail/A 2452-2026 FSC-klagomål mail.docx", "A 2452-2026")</f>
        <v/>
      </c>
      <c r="X109">
        <f>HYPERLINK("https://klasma.github.io/Logging_2309/tillsyn/A 2452-2026 tillsynsbegäran.docx", "A 2452-2026")</f>
        <v/>
      </c>
      <c r="Y109">
        <f>HYPERLINK("https://klasma.github.io/Logging_2309/tillsynsmail/A 2452-2026 tillsynsbegäran mail.docx", "A 2452-2026")</f>
        <v/>
      </c>
      <c r="Z109">
        <f>HYPERLINK("https://klasma.github.io/Logging_2309/fåglar/A 2452-2026 prioriterade fågelarter.docx", "A 2452-2026")</f>
        <v/>
      </c>
    </row>
    <row r="110" ht="15" customHeight="1">
      <c r="A110" t="inlineStr">
        <is>
          <t>A 65187-2021</t>
        </is>
      </c>
      <c r="B110" s="1" t="n">
        <v>44515</v>
      </c>
      <c r="C110" s="1" t="n">
        <v>46082</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46082</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32658-2025</t>
        </is>
      </c>
      <c r="B112" s="1" t="n">
        <v>45838.67858796296</v>
      </c>
      <c r="C112" s="1" t="n">
        <v>46082</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11319-2025</t>
        </is>
      </c>
      <c r="B113" s="1" t="n">
        <v>45726</v>
      </c>
      <c r="C113" s="1" t="n">
        <v>46082</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36995-2025</t>
        </is>
      </c>
      <c r="B114" s="1" t="n">
        <v>45874.67765046296</v>
      </c>
      <c r="C114" s="1" t="n">
        <v>46082</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53815-2024</t>
        </is>
      </c>
      <c r="B115" s="1" t="n">
        <v>45615</v>
      </c>
      <c r="C115" s="1" t="n">
        <v>46082</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48914-2021</t>
        </is>
      </c>
      <c r="B116" s="1" t="n">
        <v>44452</v>
      </c>
      <c r="C116" s="1" t="n">
        <v>46082</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71570-2021</t>
        </is>
      </c>
      <c r="B117" s="1" t="n">
        <v>44540</v>
      </c>
      <c r="C117" s="1" t="n">
        <v>46082</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74005-2021</t>
        </is>
      </c>
      <c r="B118" s="1" t="n">
        <v>44557</v>
      </c>
      <c r="C118" s="1" t="n">
        <v>46082</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39487-2024</t>
        </is>
      </c>
      <c r="B119" s="1" t="n">
        <v>45551</v>
      </c>
      <c r="C119" s="1" t="n">
        <v>46082</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46082</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4696-2026</t>
        </is>
      </c>
      <c r="B121" s="1" t="n">
        <v>46048.44837962963</v>
      </c>
      <c r="C121" s="1" t="n">
        <v>46082</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61661-2025</t>
        </is>
      </c>
      <c r="B122" s="1" t="n">
        <v>46002.46351851852</v>
      </c>
      <c r="C122" s="1" t="n">
        <v>46082</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55660-2023</t>
        </is>
      </c>
      <c r="B123" s="1" t="n">
        <v>45238</v>
      </c>
      <c r="C123" s="1" t="n">
        <v>46082</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59039-2022</t>
        </is>
      </c>
      <c r="B124" s="1" t="n">
        <v>44903</v>
      </c>
      <c r="C124" s="1" t="n">
        <v>46082</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522-2026</t>
        </is>
      </c>
      <c r="B125" s="1" t="n">
        <v>46029.44835648148</v>
      </c>
      <c r="C125" s="1" t="n">
        <v>46082</v>
      </c>
      <c r="D125" t="inlineStr">
        <is>
          <t>JÄMTLANDS LÄN</t>
        </is>
      </c>
      <c r="E125" t="inlineStr">
        <is>
          <t>KROKOM</t>
        </is>
      </c>
      <c r="G125" t="n">
        <v>10.1</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HYPERLINK("https://klasma.github.io/Logging_2309/artfynd/A 522-2026 artfynd.xlsx", "A 522-2026")</f>
        <v/>
      </c>
      <c r="T125">
        <f>HYPERLINK("https://klasma.github.io/Logging_2309/kartor/A 522-2026 karta.png", "A 522-2026")</f>
        <v/>
      </c>
      <c r="V125">
        <f>HYPERLINK("https://klasma.github.io/Logging_2309/klagomål/A 522-2026 FSC-klagomål.docx", "A 522-2026")</f>
        <v/>
      </c>
      <c r="W125">
        <f>HYPERLINK("https://klasma.github.io/Logging_2309/klagomålsmail/A 522-2026 FSC-klagomål mail.docx", "A 522-2026")</f>
        <v/>
      </c>
      <c r="X125">
        <f>HYPERLINK("https://klasma.github.io/Logging_2309/tillsyn/A 522-2026 tillsynsbegäran.docx", "A 522-2026")</f>
        <v/>
      </c>
      <c r="Y125">
        <f>HYPERLINK("https://klasma.github.io/Logging_2309/tillsynsmail/A 522-2026 tillsynsbegäran mail.docx", "A 522-2026")</f>
        <v/>
      </c>
      <c r="Z125">
        <f>HYPERLINK("https://klasma.github.io/Logging_2309/fåglar/A 522-2026 prioriterade fågelarter.docx", "A 522-2026")</f>
        <v/>
      </c>
    </row>
    <row r="126" ht="15" customHeight="1">
      <c r="A126" t="inlineStr">
        <is>
          <t>A 35749-2024</t>
        </is>
      </c>
      <c r="B126" s="1" t="n">
        <v>45532</v>
      </c>
      <c r="C126" s="1" t="n">
        <v>46082</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72538-2021</t>
        </is>
      </c>
      <c r="B127" s="1" t="n">
        <v>44546</v>
      </c>
      <c r="C127" s="1" t="n">
        <v>46082</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46082</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46082</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46082</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46082</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46082</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34855-2025</t>
        </is>
      </c>
      <c r="B133" s="1" t="n">
        <v>45849.42818287037</v>
      </c>
      <c r="C133" s="1" t="n">
        <v>46082</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13383-2025</t>
        </is>
      </c>
      <c r="B134" s="1" t="n">
        <v>45735</v>
      </c>
      <c r="C134" s="1" t="n">
        <v>46082</v>
      </c>
      <c r="D134" t="inlineStr">
        <is>
          <t>JÄMTLANDS LÄN</t>
        </is>
      </c>
      <c r="E134" t="inlineStr">
        <is>
          <t>KROKOM</t>
        </is>
      </c>
      <c r="G134" t="n">
        <v>9.699999999999999</v>
      </c>
      <c r="H134" t="n">
        <v>0</v>
      </c>
      <c r="I134" t="n">
        <v>0</v>
      </c>
      <c r="J134" t="n">
        <v>4</v>
      </c>
      <c r="K134" t="n">
        <v>0</v>
      </c>
      <c r="L134" t="n">
        <v>0</v>
      </c>
      <c r="M134" t="n">
        <v>0</v>
      </c>
      <c r="N134" t="n">
        <v>0</v>
      </c>
      <c r="O134" t="n">
        <v>4</v>
      </c>
      <c r="P134" t="n">
        <v>0</v>
      </c>
      <c r="Q134" t="n">
        <v>4</v>
      </c>
      <c r="R134" s="2" t="inlineStr">
        <is>
          <t>Doftskinn
Granticka
Lunglav
Ullticka</t>
        </is>
      </c>
      <c r="S134">
        <f>HYPERLINK("https://klasma.github.io/Logging_2309/artfynd/A 13383-2025 artfynd.xlsx", "A 13383-2025")</f>
        <v/>
      </c>
      <c r="T134">
        <f>HYPERLINK("https://klasma.github.io/Logging_2309/kartor/A 13383-2025 karta.png", "A 13383-2025")</f>
        <v/>
      </c>
      <c r="V134">
        <f>HYPERLINK("https://klasma.github.io/Logging_2309/klagomål/A 13383-2025 FSC-klagomål.docx", "A 13383-2025")</f>
        <v/>
      </c>
      <c r="W134">
        <f>HYPERLINK("https://klasma.github.io/Logging_2309/klagomålsmail/A 13383-2025 FSC-klagomål mail.docx", "A 13383-2025")</f>
        <v/>
      </c>
      <c r="X134">
        <f>HYPERLINK("https://klasma.github.io/Logging_2309/tillsyn/A 13383-2025 tillsynsbegäran.docx", "A 13383-2025")</f>
        <v/>
      </c>
      <c r="Y134">
        <f>HYPERLINK("https://klasma.github.io/Logging_2309/tillsynsmail/A 13383-2025 tillsynsbegäran mail.docx", "A 13383-2025")</f>
        <v/>
      </c>
    </row>
    <row r="135" ht="15" customHeight="1">
      <c r="A135" t="inlineStr">
        <is>
          <t>A 58205-2024</t>
        </is>
      </c>
      <c r="B135" s="1" t="n">
        <v>45632</v>
      </c>
      <c r="C135" s="1" t="n">
        <v>46082</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53363-2022</t>
        </is>
      </c>
      <c r="B136" s="1" t="n">
        <v>44879</v>
      </c>
      <c r="C136" s="1" t="n">
        <v>46082</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46082</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40179-2023</t>
        </is>
      </c>
      <c r="B138" s="1" t="n">
        <v>45169</v>
      </c>
      <c r="C138" s="1" t="n">
        <v>46082</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18940-2025</t>
        </is>
      </c>
      <c r="B139" s="1" t="n">
        <v>45764</v>
      </c>
      <c r="C139" s="1" t="n">
        <v>46082</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56312-2024</t>
        </is>
      </c>
      <c r="B140" s="1" t="n">
        <v>45624</v>
      </c>
      <c r="C140" s="1" t="n">
        <v>46082</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773-2024</t>
        </is>
      </c>
      <c r="B141" s="1" t="n">
        <v>45300</v>
      </c>
      <c r="C141" s="1" t="n">
        <v>46082</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46082</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61399-2025</t>
        </is>
      </c>
      <c r="B143" s="1" t="n">
        <v>46001</v>
      </c>
      <c r="C143" s="1" t="n">
        <v>46082</v>
      </c>
      <c r="D143" t="inlineStr">
        <is>
          <t>JÄMTLANDS LÄN</t>
        </is>
      </c>
      <c r="E143" t="inlineStr">
        <is>
          <t>KROKOM</t>
        </is>
      </c>
      <c r="G143" t="n">
        <v>6.2</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HYPERLINK("https://klasma.github.io/Logging_2309/artfynd/A 61399-2025 artfynd.xlsx", "A 61399-2025")</f>
        <v/>
      </c>
      <c r="T143">
        <f>HYPERLINK("https://klasma.github.io/Logging_2309/kartor/A 61399-2025 karta.png", "A 61399-2025")</f>
        <v/>
      </c>
      <c r="V143">
        <f>HYPERLINK("https://klasma.github.io/Logging_2309/klagomål/A 61399-2025 FSC-klagomål.docx", "A 61399-2025")</f>
        <v/>
      </c>
      <c r="W143">
        <f>HYPERLINK("https://klasma.github.io/Logging_2309/klagomålsmail/A 61399-2025 FSC-klagomål mail.docx", "A 61399-2025")</f>
        <v/>
      </c>
      <c r="X143">
        <f>HYPERLINK("https://klasma.github.io/Logging_2309/tillsyn/A 61399-2025 tillsynsbegäran.docx", "A 61399-2025")</f>
        <v/>
      </c>
      <c r="Y143">
        <f>HYPERLINK("https://klasma.github.io/Logging_2309/tillsynsmail/A 61399-2025 tillsynsbegäran mail.docx", "A 61399-2025")</f>
        <v/>
      </c>
      <c r="Z143">
        <f>HYPERLINK("https://klasma.github.io/Logging_2309/fåglar/A 61399-2025 prioriterade fågelarter.docx", "A 61399-2025")</f>
        <v/>
      </c>
    </row>
    <row r="144" ht="15" customHeight="1">
      <c r="A144" t="inlineStr">
        <is>
          <t>A 49178-2024</t>
        </is>
      </c>
      <c r="B144" s="1" t="n">
        <v>45595</v>
      </c>
      <c r="C144" s="1" t="n">
        <v>46082</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6682-2023</t>
        </is>
      </c>
      <c r="B145" s="1" t="n">
        <v>44966</v>
      </c>
      <c r="C145" s="1" t="n">
        <v>46082</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30068-2022</t>
        </is>
      </c>
      <c r="B146" s="1" t="n">
        <v>44757</v>
      </c>
      <c r="C146" s="1" t="n">
        <v>46082</v>
      </c>
      <c r="D146" t="inlineStr">
        <is>
          <t>JÄMTLANDS LÄN</t>
        </is>
      </c>
      <c r="E146" t="inlineStr">
        <is>
          <t>KROKOM</t>
        </is>
      </c>
      <c r="G146" t="n">
        <v>5</v>
      </c>
      <c r="H146" t="n">
        <v>1</v>
      </c>
      <c r="I146" t="n">
        <v>0</v>
      </c>
      <c r="J146" t="n">
        <v>4</v>
      </c>
      <c r="K146" t="n">
        <v>0</v>
      </c>
      <c r="L146" t="n">
        <v>0</v>
      </c>
      <c r="M146" t="n">
        <v>0</v>
      </c>
      <c r="N146" t="n">
        <v>0</v>
      </c>
      <c r="O146" t="n">
        <v>4</v>
      </c>
      <c r="P146" t="n">
        <v>0</v>
      </c>
      <c r="Q146" t="n">
        <v>4</v>
      </c>
      <c r="R146" s="2" t="inlineStr">
        <is>
          <t>Gränsticka
Harticka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54750-2025</t>
        </is>
      </c>
      <c r="B147" s="1" t="n">
        <v>45966.59105324074</v>
      </c>
      <c r="C147" s="1" t="n">
        <v>46082</v>
      </c>
      <c r="D147" t="inlineStr">
        <is>
          <t>JÄMTLANDS LÄN</t>
        </is>
      </c>
      <c r="E147" t="inlineStr">
        <is>
          <t>KROKOM</t>
        </is>
      </c>
      <c r="G147" t="n">
        <v>8.800000000000001</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55224-2024</t>
        </is>
      </c>
      <c r="B148" s="1" t="n">
        <v>45621</v>
      </c>
      <c r="C148" s="1" t="n">
        <v>46082</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2256-2024</t>
        </is>
      </c>
      <c r="B149" s="1" t="n">
        <v>45310</v>
      </c>
      <c r="C149" s="1" t="n">
        <v>46082</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71573-2021</t>
        </is>
      </c>
      <c r="B150" s="1" t="n">
        <v>44540</v>
      </c>
      <c r="C150" s="1" t="n">
        <v>46082</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23439-2024</t>
        </is>
      </c>
      <c r="B151" s="1" t="n">
        <v>45453.63133101852</v>
      </c>
      <c r="C151" s="1" t="n">
        <v>46082</v>
      </c>
      <c r="D151" t="inlineStr">
        <is>
          <t>JÄMTLANDS LÄN</t>
        </is>
      </c>
      <c r="E151" t="inlineStr">
        <is>
          <t>KROKOM</t>
        </is>
      </c>
      <c r="G151" t="n">
        <v>15.7</v>
      </c>
      <c r="H151" t="n">
        <v>2</v>
      </c>
      <c r="I151" t="n">
        <v>0</v>
      </c>
      <c r="J151" t="n">
        <v>2</v>
      </c>
      <c r="K151" t="n">
        <v>0</v>
      </c>
      <c r="L151" t="n">
        <v>0</v>
      </c>
      <c r="M151" t="n">
        <v>0</v>
      </c>
      <c r="N151" t="n">
        <v>0</v>
      </c>
      <c r="O151" t="n">
        <v>2</v>
      </c>
      <c r="P151" t="n">
        <v>0</v>
      </c>
      <c r="Q151" t="n">
        <v>3</v>
      </c>
      <c r="R151" s="2" t="inlineStr">
        <is>
          <t>Granticka
Tretåig hackspett
Lavskrika</t>
        </is>
      </c>
      <c r="S151">
        <f>HYPERLINK("https://klasma.github.io/Logging_2309/artfynd/A 23439-2024 artfynd.xlsx", "A 23439-2024")</f>
        <v/>
      </c>
      <c r="T151">
        <f>HYPERLINK("https://klasma.github.io/Logging_2309/kartor/A 23439-2024 karta.png", "A 23439-2024")</f>
        <v/>
      </c>
      <c r="V151">
        <f>HYPERLINK("https://klasma.github.io/Logging_2309/klagomål/A 23439-2024 FSC-klagomål.docx", "A 23439-2024")</f>
        <v/>
      </c>
      <c r="W151">
        <f>HYPERLINK("https://klasma.github.io/Logging_2309/klagomålsmail/A 23439-2024 FSC-klagomål mail.docx", "A 23439-2024")</f>
        <v/>
      </c>
      <c r="X151">
        <f>HYPERLINK("https://klasma.github.io/Logging_2309/tillsyn/A 23439-2024 tillsynsbegäran.docx", "A 23439-2024")</f>
        <v/>
      </c>
      <c r="Y151">
        <f>HYPERLINK("https://klasma.github.io/Logging_2309/tillsynsmail/A 23439-2024 tillsynsbegäran mail.docx", "A 23439-2024")</f>
        <v/>
      </c>
      <c r="Z151">
        <f>HYPERLINK("https://klasma.github.io/Logging_2309/fåglar/A 23439-2024 prioriterade fågelarter.docx", "A 23439-2024")</f>
        <v/>
      </c>
    </row>
    <row r="152" ht="15" customHeight="1">
      <c r="A152" t="inlineStr">
        <is>
          <t>A 38966-2025</t>
        </is>
      </c>
      <c r="B152" s="1" t="n">
        <v>45887.6989699074</v>
      </c>
      <c r="C152" s="1" t="n">
        <v>46082</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36009-2025</t>
        </is>
      </c>
      <c r="B153" s="1" t="n">
        <v>45863.58127314815</v>
      </c>
      <c r="C153" s="1" t="n">
        <v>46082</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50431-2023</t>
        </is>
      </c>
      <c r="B154" s="1" t="n">
        <v>45216.67748842593</v>
      </c>
      <c r="C154" s="1" t="n">
        <v>46082</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30069-2022</t>
        </is>
      </c>
      <c r="B155" s="1" t="n">
        <v>44757</v>
      </c>
      <c r="C155" s="1" t="n">
        <v>46082</v>
      </c>
      <c r="D155" t="inlineStr">
        <is>
          <t>JÄMTLANDS LÄN</t>
        </is>
      </c>
      <c r="E155" t="inlineStr">
        <is>
          <t>KROKOM</t>
        </is>
      </c>
      <c r="G155" t="n">
        <v>0.7</v>
      </c>
      <c r="H155" t="n">
        <v>1</v>
      </c>
      <c r="I155" t="n">
        <v>0</v>
      </c>
      <c r="J155" t="n">
        <v>2</v>
      </c>
      <c r="K155" t="n">
        <v>1</v>
      </c>
      <c r="L155" t="n">
        <v>0</v>
      </c>
      <c r="M155" t="n">
        <v>0</v>
      </c>
      <c r="N155" t="n">
        <v>0</v>
      </c>
      <c r="O155" t="n">
        <v>3</v>
      </c>
      <c r="P155" t="n">
        <v>1</v>
      </c>
      <c r="Q155" t="n">
        <v>3</v>
      </c>
      <c r="R155" s="2" t="inlineStr">
        <is>
          <t>Rynkskinn
Granticka
Tretåig hackspett</t>
        </is>
      </c>
      <c r="S155">
        <f>HYPERLINK("https://klasma.github.io/Logging_2309/artfynd/A 30069-2022 artfynd.xlsx", "A 30069-2022")</f>
        <v/>
      </c>
      <c r="T155">
        <f>HYPERLINK("https://klasma.github.io/Logging_2309/kartor/A 30069-2022 karta.png", "A 30069-2022")</f>
        <v/>
      </c>
      <c r="V155">
        <f>HYPERLINK("https://klasma.github.io/Logging_2309/klagomål/A 30069-2022 FSC-klagomål.docx", "A 30069-2022")</f>
        <v/>
      </c>
      <c r="W155">
        <f>HYPERLINK("https://klasma.github.io/Logging_2309/klagomålsmail/A 30069-2022 FSC-klagomål mail.docx", "A 30069-2022")</f>
        <v/>
      </c>
      <c r="X155">
        <f>HYPERLINK("https://klasma.github.io/Logging_2309/tillsyn/A 30069-2022 tillsynsbegäran.docx", "A 30069-2022")</f>
        <v/>
      </c>
      <c r="Y155">
        <f>HYPERLINK("https://klasma.github.io/Logging_2309/tillsynsmail/A 30069-2022 tillsynsbegäran mail.docx", "A 30069-2022")</f>
        <v/>
      </c>
      <c r="Z155">
        <f>HYPERLINK("https://klasma.github.io/Logging_2309/fåglar/A 30069-2022 prioriterade fågelarter.docx", "A 30069-2022")</f>
        <v/>
      </c>
    </row>
    <row r="156" ht="15" customHeight="1">
      <c r="A156" t="inlineStr">
        <is>
          <t>A 52264-2022</t>
        </is>
      </c>
      <c r="B156" s="1" t="n">
        <v>44873</v>
      </c>
      <c r="C156" s="1" t="n">
        <v>46082</v>
      </c>
      <c r="D156" t="inlineStr">
        <is>
          <t>JÄMTLANDS LÄN</t>
        </is>
      </c>
      <c r="E156" t="inlineStr">
        <is>
          <t>KROKOM</t>
        </is>
      </c>
      <c r="G156" t="n">
        <v>4.1</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HYPERLINK("https://klasma.github.io/Logging_2309/artfynd/A 52264-2022 artfynd.xlsx", "A 52264-2022")</f>
        <v/>
      </c>
      <c r="T156">
        <f>HYPERLINK("https://klasma.github.io/Logging_2309/kartor/A 52264-2022 karta.png", "A 52264-2022")</f>
        <v/>
      </c>
      <c r="U156">
        <f>HYPERLINK("https://klasma.github.io/Logging_2309/knärot/A 52264-2022 karta knärot.png", "A 52264-2022")</f>
        <v/>
      </c>
      <c r="V156">
        <f>HYPERLINK("https://klasma.github.io/Logging_2309/klagomål/A 52264-2022 FSC-klagomål.docx", "A 52264-2022")</f>
        <v/>
      </c>
      <c r="W156">
        <f>HYPERLINK("https://klasma.github.io/Logging_2309/klagomålsmail/A 52264-2022 FSC-klagomål mail.docx", "A 52264-2022")</f>
        <v/>
      </c>
      <c r="X156">
        <f>HYPERLINK("https://klasma.github.io/Logging_2309/tillsyn/A 52264-2022 tillsynsbegäran.docx", "A 52264-2022")</f>
        <v/>
      </c>
      <c r="Y156">
        <f>HYPERLINK("https://klasma.github.io/Logging_2309/tillsynsmail/A 52264-2022 tillsynsbegäran mail.docx", "A 52264-2022")</f>
        <v/>
      </c>
      <c r="Z156">
        <f>HYPERLINK("https://klasma.github.io/Logging_2309/fåglar/A 52264-2022 prioriterade fågelarter.docx", "A 52264-2022")</f>
        <v/>
      </c>
    </row>
    <row r="157" ht="15" customHeight="1">
      <c r="A157" t="inlineStr">
        <is>
          <t>A 2592-2024</t>
        </is>
      </c>
      <c r="B157" s="1" t="n">
        <v>45313</v>
      </c>
      <c r="C157" s="1" t="n">
        <v>46082</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46082</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34582-2024</t>
        </is>
      </c>
      <c r="B159" s="1" t="n">
        <v>45526</v>
      </c>
      <c r="C159" s="1" t="n">
        <v>46082</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62113-2024</t>
        </is>
      </c>
      <c r="B160" s="1" t="n">
        <v>45656.54600694445</v>
      </c>
      <c r="C160" s="1" t="n">
        <v>46082</v>
      </c>
      <c r="D160" t="inlineStr">
        <is>
          <t>JÄMTLANDS LÄN</t>
        </is>
      </c>
      <c r="E160" t="inlineStr">
        <is>
          <t>KROKOM</t>
        </is>
      </c>
      <c r="G160" t="n">
        <v>5.3</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HYPERLINK("https://klasma.github.io/Logging_2309/artfynd/A 62113-2024 artfynd.xlsx", "A 62113-2024")</f>
        <v/>
      </c>
      <c r="T160">
        <f>HYPERLINK("https://klasma.github.io/Logging_2309/kartor/A 62113-2024 karta.png", "A 62113-2024")</f>
        <v/>
      </c>
      <c r="V160">
        <f>HYPERLINK("https://klasma.github.io/Logging_2309/klagomål/A 62113-2024 FSC-klagomål.docx", "A 62113-2024")</f>
        <v/>
      </c>
      <c r="W160">
        <f>HYPERLINK("https://klasma.github.io/Logging_2309/klagomålsmail/A 62113-2024 FSC-klagomål mail.docx", "A 62113-2024")</f>
        <v/>
      </c>
      <c r="X160">
        <f>HYPERLINK("https://klasma.github.io/Logging_2309/tillsyn/A 62113-2024 tillsynsbegäran.docx", "A 62113-2024")</f>
        <v/>
      </c>
      <c r="Y160">
        <f>HYPERLINK("https://klasma.github.io/Logging_2309/tillsynsmail/A 62113-2024 tillsynsbegäran mail.docx", "A 62113-2024")</f>
        <v/>
      </c>
    </row>
    <row r="161" ht="15" customHeight="1">
      <c r="A161" t="inlineStr">
        <is>
          <t>A 3798-2026</t>
        </is>
      </c>
      <c r="B161" s="1" t="n">
        <v>46043.5822800926</v>
      </c>
      <c r="C161" s="1" t="n">
        <v>46082</v>
      </c>
      <c r="D161" t="inlineStr">
        <is>
          <t>JÄMTLANDS LÄN</t>
        </is>
      </c>
      <c r="E161" t="inlineStr">
        <is>
          <t>KROKOM</t>
        </is>
      </c>
      <c r="F161" t="inlineStr">
        <is>
          <t>SCA</t>
        </is>
      </c>
      <c r="G161" t="n">
        <v>4.7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3798-2026 artfynd.xlsx", "A 3798-2026")</f>
        <v/>
      </c>
      <c r="T161">
        <f>HYPERLINK("https://klasma.github.io/Logging_2309/kartor/A 3798-2026 karta.png", "A 3798-2026")</f>
        <v/>
      </c>
      <c r="V161">
        <f>HYPERLINK("https://klasma.github.io/Logging_2309/klagomål/A 3798-2026 FSC-klagomål.docx", "A 3798-2026")</f>
        <v/>
      </c>
      <c r="W161">
        <f>HYPERLINK("https://klasma.github.io/Logging_2309/klagomålsmail/A 3798-2026 FSC-klagomål mail.docx", "A 3798-2026")</f>
        <v/>
      </c>
      <c r="X161">
        <f>HYPERLINK("https://klasma.github.io/Logging_2309/tillsyn/A 3798-2026 tillsynsbegäran.docx", "A 3798-2026")</f>
        <v/>
      </c>
      <c r="Y161">
        <f>HYPERLINK("https://klasma.github.io/Logging_2309/tillsynsmail/A 3798-2026 tillsynsbegäran mail.docx", "A 3798-2026")</f>
        <v/>
      </c>
      <c r="Z161">
        <f>HYPERLINK("https://klasma.github.io/Logging_2309/fåglar/A 3798-2026 prioriterade fågelarter.docx", "A 3798-2026")</f>
        <v/>
      </c>
    </row>
    <row r="162" ht="15" customHeight="1">
      <c r="A162" t="inlineStr">
        <is>
          <t>A 50345-2023</t>
        </is>
      </c>
      <c r="B162" s="1" t="n">
        <v>45216</v>
      </c>
      <c r="C162" s="1" t="n">
        <v>46082</v>
      </c>
      <c r="D162" t="inlineStr">
        <is>
          <t>JÄMTLANDS LÄN</t>
        </is>
      </c>
      <c r="E162" t="inlineStr">
        <is>
          <t>KROKOM</t>
        </is>
      </c>
      <c r="F162" t="inlineStr">
        <is>
          <t>Övriga Aktiebolag</t>
        </is>
      </c>
      <c r="G162" t="n">
        <v>0.6</v>
      </c>
      <c r="H162" t="n">
        <v>2</v>
      </c>
      <c r="I162" t="n">
        <v>0</v>
      </c>
      <c r="J162" t="n">
        <v>3</v>
      </c>
      <c r="K162" t="n">
        <v>0</v>
      </c>
      <c r="L162" t="n">
        <v>0</v>
      </c>
      <c r="M162" t="n">
        <v>0</v>
      </c>
      <c r="N162" t="n">
        <v>0</v>
      </c>
      <c r="O162" t="n">
        <v>3</v>
      </c>
      <c r="P162" t="n">
        <v>0</v>
      </c>
      <c r="Q162" t="n">
        <v>3</v>
      </c>
      <c r="R162" s="2" t="inlineStr">
        <is>
          <t>Garnlav
Järpe
Tretåig hackspett</t>
        </is>
      </c>
      <c r="S162">
        <f>HYPERLINK("https://klasma.github.io/Logging_2309/artfynd/A 50345-2023 artfynd.xlsx", "A 50345-2023")</f>
        <v/>
      </c>
      <c r="T162">
        <f>HYPERLINK("https://klasma.github.io/Logging_2309/kartor/A 50345-2023 karta.png", "A 50345-2023")</f>
        <v/>
      </c>
      <c r="V162">
        <f>HYPERLINK("https://klasma.github.io/Logging_2309/klagomål/A 50345-2023 FSC-klagomål.docx", "A 50345-2023")</f>
        <v/>
      </c>
      <c r="W162">
        <f>HYPERLINK("https://klasma.github.io/Logging_2309/klagomålsmail/A 50345-2023 FSC-klagomål mail.docx", "A 50345-2023")</f>
        <v/>
      </c>
      <c r="X162">
        <f>HYPERLINK("https://klasma.github.io/Logging_2309/tillsyn/A 50345-2023 tillsynsbegäran.docx", "A 50345-2023")</f>
        <v/>
      </c>
      <c r="Y162">
        <f>HYPERLINK("https://klasma.github.io/Logging_2309/tillsynsmail/A 50345-2023 tillsynsbegäran mail.docx", "A 50345-2023")</f>
        <v/>
      </c>
      <c r="Z162">
        <f>HYPERLINK("https://klasma.github.io/Logging_2309/fåglar/A 50345-2023 prioriterade fågelarter.docx", "A 50345-2023")</f>
        <v/>
      </c>
    </row>
    <row r="163" ht="15" customHeight="1">
      <c r="A163" t="inlineStr">
        <is>
          <t>A 54924-2025</t>
        </is>
      </c>
      <c r="B163" s="1" t="n">
        <v>45967</v>
      </c>
      <c r="C163" s="1" t="n">
        <v>46082</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54772-2025</t>
        </is>
      </c>
      <c r="B164" s="1" t="n">
        <v>45966</v>
      </c>
      <c r="C164" s="1" t="n">
        <v>46082</v>
      </c>
      <c r="D164" t="inlineStr">
        <is>
          <t>JÄMTLANDS LÄN</t>
        </is>
      </c>
      <c r="E164" t="inlineStr">
        <is>
          <t>KROKOM</t>
        </is>
      </c>
      <c r="G164" t="n">
        <v>3.7</v>
      </c>
      <c r="H164" t="n">
        <v>1</v>
      </c>
      <c r="I164" t="n">
        <v>0</v>
      </c>
      <c r="J164" t="n">
        <v>3</v>
      </c>
      <c r="K164" t="n">
        <v>0</v>
      </c>
      <c r="L164" t="n">
        <v>0</v>
      </c>
      <c r="M164" t="n">
        <v>0</v>
      </c>
      <c r="N164" t="n">
        <v>0</v>
      </c>
      <c r="O164" t="n">
        <v>3</v>
      </c>
      <c r="P164" t="n">
        <v>0</v>
      </c>
      <c r="Q164" t="n">
        <v>3</v>
      </c>
      <c r="R164" s="2" t="inlineStr">
        <is>
          <t>Granticka
Harticka
Tretåig hackspett</t>
        </is>
      </c>
      <c r="S164">
        <f>HYPERLINK("https://klasma.github.io/Logging_2309/artfynd/A 54772-2025 artfynd.xlsx", "A 54772-2025")</f>
        <v/>
      </c>
      <c r="T164">
        <f>HYPERLINK("https://klasma.github.io/Logging_2309/kartor/A 54772-2025 karta.png", "A 54772-2025")</f>
        <v/>
      </c>
      <c r="V164">
        <f>HYPERLINK("https://klasma.github.io/Logging_2309/klagomål/A 54772-2025 FSC-klagomål.docx", "A 54772-2025")</f>
        <v/>
      </c>
      <c r="W164">
        <f>HYPERLINK("https://klasma.github.io/Logging_2309/klagomålsmail/A 54772-2025 FSC-klagomål mail.docx", "A 54772-2025")</f>
        <v/>
      </c>
      <c r="X164">
        <f>HYPERLINK("https://klasma.github.io/Logging_2309/tillsyn/A 54772-2025 tillsynsbegäran.docx", "A 54772-2025")</f>
        <v/>
      </c>
      <c r="Y164">
        <f>HYPERLINK("https://klasma.github.io/Logging_2309/tillsynsmail/A 54772-2025 tillsynsbegäran mail.docx", "A 54772-2025")</f>
        <v/>
      </c>
      <c r="Z164">
        <f>HYPERLINK("https://klasma.github.io/Logging_2309/fåglar/A 54772-2025 prioriterade fågelarter.docx", "A 54772-2025")</f>
        <v/>
      </c>
    </row>
    <row r="165" ht="15" customHeight="1">
      <c r="A165" t="inlineStr">
        <is>
          <t>A 63833-2025</t>
        </is>
      </c>
      <c r="B165" s="1" t="n">
        <v>46020.39532407407</v>
      </c>
      <c r="C165" s="1" t="n">
        <v>46082</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63855-2025</t>
        </is>
      </c>
      <c r="B166" s="1" t="n">
        <v>46020.47495370371</v>
      </c>
      <c r="C166" s="1" t="n">
        <v>46082</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11439-2024</t>
        </is>
      </c>
      <c r="B167" s="1" t="n">
        <v>45372</v>
      </c>
      <c r="C167" s="1" t="n">
        <v>46082</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44869-2022</t>
        </is>
      </c>
      <c r="B168" s="1" t="n">
        <v>44841</v>
      </c>
      <c r="C168" s="1" t="n">
        <v>46082</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54494-2023</t>
        </is>
      </c>
      <c r="B169" s="1" t="n">
        <v>45233</v>
      </c>
      <c r="C169" s="1" t="n">
        <v>46082</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51663-2022</t>
        </is>
      </c>
      <c r="B170" s="1" t="n">
        <v>44867</v>
      </c>
      <c r="C170" s="1" t="n">
        <v>46082</v>
      </c>
      <c r="D170" t="inlineStr">
        <is>
          <t>JÄMTLANDS LÄN</t>
        </is>
      </c>
      <c r="E170" t="inlineStr">
        <is>
          <t>KROKOM</t>
        </is>
      </c>
      <c r="G170" t="n">
        <v>28.5</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51663-2022 artfynd.xlsx", "A 51663-2022")</f>
        <v/>
      </c>
      <c r="T170">
        <f>HYPERLINK("https://klasma.github.io/Logging_2309/kartor/A 51663-2022 karta.png", "A 51663-2022")</f>
        <v/>
      </c>
      <c r="V170">
        <f>HYPERLINK("https://klasma.github.io/Logging_2309/klagomål/A 51663-2022 FSC-klagomål.docx", "A 51663-2022")</f>
        <v/>
      </c>
      <c r="W170">
        <f>HYPERLINK("https://klasma.github.io/Logging_2309/klagomålsmail/A 51663-2022 FSC-klagomål mail.docx", "A 51663-2022")</f>
        <v/>
      </c>
      <c r="X170">
        <f>HYPERLINK("https://klasma.github.io/Logging_2309/tillsyn/A 51663-2022 tillsynsbegäran.docx", "A 51663-2022")</f>
        <v/>
      </c>
      <c r="Y170">
        <f>HYPERLINK("https://klasma.github.io/Logging_2309/tillsynsmail/A 51663-2022 tillsynsbegäran mail.docx", "A 51663-2022")</f>
        <v/>
      </c>
      <c r="Z170">
        <f>HYPERLINK("https://klasma.github.io/Logging_2309/fåglar/A 51663-2022 prioriterade fågelarter.docx", "A 51663-2022")</f>
        <v/>
      </c>
    </row>
    <row r="171" ht="15" customHeight="1">
      <c r="A171" t="inlineStr">
        <is>
          <t>A 5278-2025</t>
        </is>
      </c>
      <c r="B171" s="1" t="n">
        <v>45692</v>
      </c>
      <c r="C171" s="1" t="n">
        <v>46082</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32148-2024</t>
        </is>
      </c>
      <c r="B172" s="1" t="n">
        <v>45511.55719907407</v>
      </c>
      <c r="C172" s="1" t="n">
        <v>46082</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28151-2021</t>
        </is>
      </c>
      <c r="B173" s="1" t="n">
        <v>44355</v>
      </c>
      <c r="C173" s="1" t="n">
        <v>46082</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46082</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46082</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46082</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46082</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62453-2023</t>
        </is>
      </c>
      <c r="B178" s="1" t="n">
        <v>45268</v>
      </c>
      <c r="C178" s="1" t="n">
        <v>46082</v>
      </c>
      <c r="D178" t="inlineStr">
        <is>
          <t>JÄMTLANDS LÄN</t>
        </is>
      </c>
      <c r="E178" t="inlineStr">
        <is>
          <t>KROKOM</t>
        </is>
      </c>
      <c r="F178" t="inlineStr">
        <is>
          <t>Övriga Aktiebolag</t>
        </is>
      </c>
      <c r="G178" t="n">
        <v>2.2</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62453-2023 artfynd.xlsx", "A 62453-2023")</f>
        <v/>
      </c>
      <c r="T178">
        <f>HYPERLINK("https://klasma.github.io/Logging_2309/kartor/A 62453-2023 karta.png", "A 62453-2023")</f>
        <v/>
      </c>
      <c r="V178">
        <f>HYPERLINK("https://klasma.github.io/Logging_2309/klagomål/A 62453-2023 FSC-klagomål.docx", "A 62453-2023")</f>
        <v/>
      </c>
      <c r="W178">
        <f>HYPERLINK("https://klasma.github.io/Logging_2309/klagomålsmail/A 62453-2023 FSC-klagomål mail.docx", "A 62453-2023")</f>
        <v/>
      </c>
      <c r="X178">
        <f>HYPERLINK("https://klasma.github.io/Logging_2309/tillsyn/A 62453-2023 tillsynsbegäran.docx", "A 62453-2023")</f>
        <v/>
      </c>
      <c r="Y178">
        <f>HYPERLINK("https://klasma.github.io/Logging_2309/tillsynsmail/A 62453-2023 tillsynsbegäran mail.docx", "A 62453-2023")</f>
        <v/>
      </c>
      <c r="Z178">
        <f>HYPERLINK("https://klasma.github.io/Logging_2309/fåglar/A 62453-2023 prioriterade fågelarter.docx", "A 62453-2023")</f>
        <v/>
      </c>
    </row>
    <row r="179" ht="15" customHeight="1">
      <c r="A179" t="inlineStr">
        <is>
          <t>A 71571-2021</t>
        </is>
      </c>
      <c r="B179" s="1" t="n">
        <v>44540</v>
      </c>
      <c r="C179" s="1" t="n">
        <v>46082</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35891-2025</t>
        </is>
      </c>
      <c r="B180" s="1" t="n">
        <v>45862</v>
      </c>
      <c r="C180" s="1" t="n">
        <v>46082</v>
      </c>
      <c r="D180" t="inlineStr">
        <is>
          <t>JÄMTLANDS LÄN</t>
        </is>
      </c>
      <c r="E180" t="inlineStr">
        <is>
          <t>KROKOM</t>
        </is>
      </c>
      <c r="G180" t="n">
        <v>10.1</v>
      </c>
      <c r="H180" t="n">
        <v>0</v>
      </c>
      <c r="I180" t="n">
        <v>0</v>
      </c>
      <c r="J180" t="n">
        <v>2</v>
      </c>
      <c r="K180" t="n">
        <v>0</v>
      </c>
      <c r="L180" t="n">
        <v>0</v>
      </c>
      <c r="M180" t="n">
        <v>0</v>
      </c>
      <c r="N180" t="n">
        <v>0</v>
      </c>
      <c r="O180" t="n">
        <v>2</v>
      </c>
      <c r="P180" t="n">
        <v>0</v>
      </c>
      <c r="Q180" t="n">
        <v>2</v>
      </c>
      <c r="R180" s="2" t="inlineStr">
        <is>
          <t>Vaddporing
Vedskivlav</t>
        </is>
      </c>
      <c r="S180">
        <f>HYPERLINK("https://klasma.github.io/Logging_2309/artfynd/A 35891-2025 artfynd.xlsx", "A 35891-2025")</f>
        <v/>
      </c>
      <c r="T180">
        <f>HYPERLINK("https://klasma.github.io/Logging_2309/kartor/A 35891-2025 karta.png", "A 35891-2025")</f>
        <v/>
      </c>
      <c r="V180">
        <f>HYPERLINK("https://klasma.github.io/Logging_2309/klagomål/A 35891-2025 FSC-klagomål.docx", "A 35891-2025")</f>
        <v/>
      </c>
      <c r="W180">
        <f>HYPERLINK("https://klasma.github.io/Logging_2309/klagomålsmail/A 35891-2025 FSC-klagomål mail.docx", "A 35891-2025")</f>
        <v/>
      </c>
      <c r="X180">
        <f>HYPERLINK("https://klasma.github.io/Logging_2309/tillsyn/A 35891-2025 tillsynsbegäran.docx", "A 35891-2025")</f>
        <v/>
      </c>
      <c r="Y180">
        <f>HYPERLINK("https://klasma.github.io/Logging_2309/tillsynsmail/A 35891-2025 tillsynsbegäran mail.docx", "A 35891-2025")</f>
        <v/>
      </c>
    </row>
    <row r="181" ht="15" customHeight="1">
      <c r="A181" t="inlineStr">
        <is>
          <t>A 7575-2024</t>
        </is>
      </c>
      <c r="B181" s="1" t="n">
        <v>45348</v>
      </c>
      <c r="C181" s="1" t="n">
        <v>46082</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36445-2025</t>
        </is>
      </c>
      <c r="B182" s="1" t="n">
        <v>45869</v>
      </c>
      <c r="C182" s="1" t="n">
        <v>46082</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46828-2025</t>
        </is>
      </c>
      <c r="B183" s="1" t="n">
        <v>45927.34478009259</v>
      </c>
      <c r="C183" s="1" t="n">
        <v>46082</v>
      </c>
      <c r="D183" t="inlineStr">
        <is>
          <t>JÄMTLANDS LÄN</t>
        </is>
      </c>
      <c r="E183" t="inlineStr">
        <is>
          <t>KROKOM</t>
        </is>
      </c>
      <c r="F183" t="inlineStr">
        <is>
          <t>SCA</t>
        </is>
      </c>
      <c r="G183" t="n">
        <v>3.8</v>
      </c>
      <c r="H183" t="n">
        <v>0</v>
      </c>
      <c r="I183" t="n">
        <v>0</v>
      </c>
      <c r="J183" t="n">
        <v>2</v>
      </c>
      <c r="K183" t="n">
        <v>0</v>
      </c>
      <c r="L183" t="n">
        <v>0</v>
      </c>
      <c r="M183" t="n">
        <v>0</v>
      </c>
      <c r="N183" t="n">
        <v>0</v>
      </c>
      <c r="O183" t="n">
        <v>2</v>
      </c>
      <c r="P183" t="n">
        <v>0</v>
      </c>
      <c r="Q183" t="n">
        <v>2</v>
      </c>
      <c r="R183" s="2" t="inlineStr">
        <is>
          <t>Kolflarnlav
Skrovellav</t>
        </is>
      </c>
      <c r="S183">
        <f>HYPERLINK("https://klasma.github.io/Logging_2309/artfynd/A 46828-2025 artfynd.xlsx", "A 46828-2025")</f>
        <v/>
      </c>
      <c r="T183">
        <f>HYPERLINK("https://klasma.github.io/Logging_2309/kartor/A 46828-2025 karta.png", "A 46828-2025")</f>
        <v/>
      </c>
      <c r="V183">
        <f>HYPERLINK("https://klasma.github.io/Logging_2309/klagomål/A 46828-2025 FSC-klagomål.docx", "A 46828-2025")</f>
        <v/>
      </c>
      <c r="W183">
        <f>HYPERLINK("https://klasma.github.io/Logging_2309/klagomålsmail/A 46828-2025 FSC-klagomål mail.docx", "A 46828-2025")</f>
        <v/>
      </c>
      <c r="X183">
        <f>HYPERLINK("https://klasma.github.io/Logging_2309/tillsyn/A 46828-2025 tillsynsbegäran.docx", "A 46828-2025")</f>
        <v/>
      </c>
      <c r="Y183">
        <f>HYPERLINK("https://klasma.github.io/Logging_2309/tillsynsmail/A 46828-2025 tillsynsbegäran mail.docx", "A 46828-2025")</f>
        <v/>
      </c>
    </row>
    <row r="184" ht="15" customHeight="1">
      <c r="A184" t="inlineStr">
        <is>
          <t>A 37509-2025</t>
        </is>
      </c>
      <c r="B184" s="1" t="n">
        <v>45877.67787037037</v>
      </c>
      <c r="C184" s="1" t="n">
        <v>46082</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60419-2024</t>
        </is>
      </c>
      <c r="B185" s="1" t="n">
        <v>45643.53393518519</v>
      </c>
      <c r="C185" s="1" t="n">
        <v>46082</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62125-2024</t>
        </is>
      </c>
      <c r="B186" s="1" t="n">
        <v>45656.59703703703</v>
      </c>
      <c r="C186" s="1" t="n">
        <v>46082</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49386-2024</t>
        </is>
      </c>
      <c r="B187" s="1" t="n">
        <v>45595</v>
      </c>
      <c r="C187" s="1" t="n">
        <v>46082</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53312-2025</t>
        </is>
      </c>
      <c r="B188" s="1" t="n">
        <v>45959.34450231482</v>
      </c>
      <c r="C188" s="1" t="n">
        <v>46082</v>
      </c>
      <c r="D188" t="inlineStr">
        <is>
          <t>JÄMTLANDS LÄN</t>
        </is>
      </c>
      <c r="E188" t="inlineStr">
        <is>
          <t>KROKOM</t>
        </is>
      </c>
      <c r="F188" t="inlineStr">
        <is>
          <t>SCA</t>
        </is>
      </c>
      <c r="G188" t="n">
        <v>3.7</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HYPERLINK("https://klasma.github.io/Logging_2309/artfynd/A 53312-2025 artfynd.xlsx", "A 53312-2025")</f>
        <v/>
      </c>
      <c r="T188">
        <f>HYPERLINK("https://klasma.github.io/Logging_2309/kartor/A 53312-2025 karta.png", "A 53312-2025")</f>
        <v/>
      </c>
      <c r="V188">
        <f>HYPERLINK("https://klasma.github.io/Logging_2309/klagomål/A 53312-2025 FSC-klagomål.docx", "A 53312-2025")</f>
        <v/>
      </c>
      <c r="W188">
        <f>HYPERLINK("https://klasma.github.io/Logging_2309/klagomålsmail/A 53312-2025 FSC-klagomål mail.docx", "A 53312-2025")</f>
        <v/>
      </c>
      <c r="X188">
        <f>HYPERLINK("https://klasma.github.io/Logging_2309/tillsyn/A 53312-2025 tillsynsbegäran.docx", "A 53312-2025")</f>
        <v/>
      </c>
      <c r="Y188">
        <f>HYPERLINK("https://klasma.github.io/Logging_2309/tillsynsmail/A 53312-2025 tillsynsbegäran mail.docx", "A 53312-2025")</f>
        <v/>
      </c>
      <c r="Z188">
        <f>HYPERLINK("https://klasma.github.io/Logging_2309/fåglar/A 53312-2025 prioriterade fågelarter.docx", "A 53312-2025")</f>
        <v/>
      </c>
    </row>
    <row r="189" ht="15" customHeight="1">
      <c r="A189" t="inlineStr">
        <is>
          <t>A 11984-2024</t>
        </is>
      </c>
      <c r="B189" s="1" t="n">
        <v>45376</v>
      </c>
      <c r="C189" s="1" t="n">
        <v>46082</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60487-2024</t>
        </is>
      </c>
      <c r="B190" s="1" t="n">
        <v>45643.64706018518</v>
      </c>
      <c r="C190" s="1" t="n">
        <v>46082</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40236-2024</t>
        </is>
      </c>
      <c r="B191" s="1" t="n">
        <v>45554</v>
      </c>
      <c r="C191" s="1" t="n">
        <v>46082</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18032-2022</t>
        </is>
      </c>
      <c r="B192" s="1" t="n">
        <v>44683</v>
      </c>
      <c r="C192" s="1" t="n">
        <v>46082</v>
      </c>
      <c r="D192" t="inlineStr">
        <is>
          <t>JÄMTLANDS LÄN</t>
        </is>
      </c>
      <c r="E192" t="inlineStr">
        <is>
          <t>KROKOM</t>
        </is>
      </c>
      <c r="G192" t="n">
        <v>15.8</v>
      </c>
      <c r="H192" t="n">
        <v>1</v>
      </c>
      <c r="I192" t="n">
        <v>0</v>
      </c>
      <c r="J192" t="n">
        <v>1</v>
      </c>
      <c r="K192" t="n">
        <v>0</v>
      </c>
      <c r="L192" t="n">
        <v>0</v>
      </c>
      <c r="M192" t="n">
        <v>0</v>
      </c>
      <c r="N192" t="n">
        <v>0</v>
      </c>
      <c r="O192" t="n">
        <v>1</v>
      </c>
      <c r="P192" t="n">
        <v>0</v>
      </c>
      <c r="Q192" t="n">
        <v>2</v>
      </c>
      <c r="R192" s="2" t="inlineStr">
        <is>
          <t>Brunklöver
Brudsporre</t>
        </is>
      </c>
      <c r="S192">
        <f>HYPERLINK("https://klasma.github.io/Logging_2309/artfynd/A 18032-2022 artfynd.xlsx", "A 18032-2022")</f>
        <v/>
      </c>
      <c r="T192">
        <f>HYPERLINK("https://klasma.github.io/Logging_2309/kartor/A 18032-2022 karta.png", "A 18032-2022")</f>
        <v/>
      </c>
      <c r="V192">
        <f>HYPERLINK("https://klasma.github.io/Logging_2309/klagomål/A 18032-2022 FSC-klagomål.docx", "A 18032-2022")</f>
        <v/>
      </c>
      <c r="W192">
        <f>HYPERLINK("https://klasma.github.io/Logging_2309/klagomålsmail/A 18032-2022 FSC-klagomål mail.docx", "A 18032-2022")</f>
        <v/>
      </c>
      <c r="X192">
        <f>HYPERLINK("https://klasma.github.io/Logging_2309/tillsyn/A 18032-2022 tillsynsbegäran.docx", "A 18032-2022")</f>
        <v/>
      </c>
      <c r="Y192">
        <f>HYPERLINK("https://klasma.github.io/Logging_2309/tillsynsmail/A 18032-2022 tillsynsbegäran mail.docx", "A 18032-2022")</f>
        <v/>
      </c>
    </row>
    <row r="193" ht="15" customHeight="1">
      <c r="A193" t="inlineStr">
        <is>
          <t>A 55040-2025</t>
        </is>
      </c>
      <c r="B193" s="1" t="n">
        <v>45967</v>
      </c>
      <c r="C193" s="1" t="n">
        <v>46082</v>
      </c>
      <c r="D193" t="inlineStr">
        <is>
          <t>JÄMTLANDS LÄN</t>
        </is>
      </c>
      <c r="E193" t="inlineStr">
        <is>
          <t>KROKOM</t>
        </is>
      </c>
      <c r="F193" t="inlineStr">
        <is>
          <t>SCA</t>
        </is>
      </c>
      <c r="G193" t="n">
        <v>2</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55040-2025 artfynd.xlsx", "A 55040-2025")</f>
        <v/>
      </c>
      <c r="T193">
        <f>HYPERLINK("https://klasma.github.io/Logging_2309/kartor/A 55040-2025 karta.png", "A 55040-2025")</f>
        <v/>
      </c>
      <c r="V193">
        <f>HYPERLINK("https://klasma.github.io/Logging_2309/klagomål/A 55040-2025 FSC-klagomål.docx", "A 55040-2025")</f>
        <v/>
      </c>
      <c r="W193">
        <f>HYPERLINK("https://klasma.github.io/Logging_2309/klagomålsmail/A 55040-2025 FSC-klagomål mail.docx", "A 55040-2025")</f>
        <v/>
      </c>
      <c r="X193">
        <f>HYPERLINK("https://klasma.github.io/Logging_2309/tillsyn/A 55040-2025 tillsynsbegäran.docx", "A 55040-2025")</f>
        <v/>
      </c>
      <c r="Y193">
        <f>HYPERLINK("https://klasma.github.io/Logging_2309/tillsynsmail/A 55040-2025 tillsynsbegäran mail.docx", "A 55040-2025")</f>
        <v/>
      </c>
    </row>
    <row r="194" ht="15" customHeight="1">
      <c r="A194" t="inlineStr">
        <is>
          <t>A 85-2026</t>
        </is>
      </c>
      <c r="B194" s="1" t="n">
        <v>46014</v>
      </c>
      <c r="C194" s="1" t="n">
        <v>46082</v>
      </c>
      <c r="D194" t="inlineStr">
        <is>
          <t>JÄMTLANDS LÄN</t>
        </is>
      </c>
      <c r="E194" t="inlineStr">
        <is>
          <t>KROKOM</t>
        </is>
      </c>
      <c r="G194" t="n">
        <v>4.4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85-2026 artfynd.xlsx", "A 85-2026")</f>
        <v/>
      </c>
      <c r="T194">
        <f>HYPERLINK("https://klasma.github.io/Logging_2309/kartor/A 85-2026 karta.png", "A 85-2026")</f>
        <v/>
      </c>
      <c r="V194">
        <f>HYPERLINK("https://klasma.github.io/Logging_2309/klagomål/A 85-2026 FSC-klagomål.docx", "A 85-2026")</f>
        <v/>
      </c>
      <c r="W194">
        <f>HYPERLINK("https://klasma.github.io/Logging_2309/klagomålsmail/A 85-2026 FSC-klagomål mail.docx", "A 85-2026")</f>
        <v/>
      </c>
      <c r="X194">
        <f>HYPERLINK("https://klasma.github.io/Logging_2309/tillsyn/A 85-2026 tillsynsbegäran.docx", "A 85-2026")</f>
        <v/>
      </c>
      <c r="Y194">
        <f>HYPERLINK("https://klasma.github.io/Logging_2309/tillsynsmail/A 85-2026 tillsynsbegäran mail.docx", "A 85-2026")</f>
        <v/>
      </c>
      <c r="Z194">
        <f>HYPERLINK("https://klasma.github.io/Logging_2309/fåglar/A 85-2026 prioriterade fågelarter.docx", "A 85-2026")</f>
        <v/>
      </c>
    </row>
    <row r="195" ht="15" customHeight="1">
      <c r="A195" t="inlineStr">
        <is>
          <t>A 59293-2023</t>
        </is>
      </c>
      <c r="B195" s="1" t="n">
        <v>45253</v>
      </c>
      <c r="C195" s="1" t="n">
        <v>46082</v>
      </c>
      <c r="D195" t="inlineStr">
        <is>
          <t>JÄMTLANDS LÄN</t>
        </is>
      </c>
      <c r="E195" t="inlineStr">
        <is>
          <t>KROKOM</t>
        </is>
      </c>
      <c r="G195" t="n">
        <v>5.4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59293-2023 artfynd.xlsx", "A 59293-2023")</f>
        <v/>
      </c>
      <c r="T195">
        <f>HYPERLINK("https://klasma.github.io/Logging_2309/kartor/A 59293-2023 karta.png", "A 59293-2023")</f>
        <v/>
      </c>
      <c r="V195">
        <f>HYPERLINK("https://klasma.github.io/Logging_2309/klagomål/A 59293-2023 FSC-klagomål.docx", "A 59293-2023")</f>
        <v/>
      </c>
      <c r="W195">
        <f>HYPERLINK("https://klasma.github.io/Logging_2309/klagomålsmail/A 59293-2023 FSC-klagomål mail.docx", "A 59293-2023")</f>
        <v/>
      </c>
      <c r="X195">
        <f>HYPERLINK("https://klasma.github.io/Logging_2309/tillsyn/A 59293-2023 tillsynsbegäran.docx", "A 59293-2023")</f>
        <v/>
      </c>
      <c r="Y195">
        <f>HYPERLINK("https://klasma.github.io/Logging_2309/tillsynsmail/A 59293-2023 tillsynsbegäran mail.docx", "A 59293-2023")</f>
        <v/>
      </c>
      <c r="Z195">
        <f>HYPERLINK("https://klasma.github.io/Logging_2309/fåglar/A 59293-2023 prioriterade fågelarter.docx", "A 59293-2023")</f>
        <v/>
      </c>
    </row>
    <row r="196" ht="15" customHeight="1">
      <c r="A196" t="inlineStr">
        <is>
          <t>A 61692-2024</t>
        </is>
      </c>
      <c r="B196" s="1" t="n">
        <v>45647</v>
      </c>
      <c r="C196" s="1" t="n">
        <v>46082</v>
      </c>
      <c r="D196" t="inlineStr">
        <is>
          <t>JÄMTLANDS LÄN</t>
        </is>
      </c>
      <c r="E196" t="inlineStr">
        <is>
          <t>KROKOM</t>
        </is>
      </c>
      <c r="F196" t="inlineStr">
        <is>
          <t>SCA</t>
        </is>
      </c>
      <c r="G196" t="n">
        <v>6.7</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61692-2024 artfynd.xlsx", "A 61692-2024")</f>
        <v/>
      </c>
      <c r="T196">
        <f>HYPERLINK("https://klasma.github.io/Logging_2309/kartor/A 61692-2024 karta.png", "A 61692-2024")</f>
        <v/>
      </c>
      <c r="V196">
        <f>HYPERLINK("https://klasma.github.io/Logging_2309/klagomål/A 61692-2024 FSC-klagomål.docx", "A 61692-2024")</f>
        <v/>
      </c>
      <c r="W196">
        <f>HYPERLINK("https://klasma.github.io/Logging_2309/klagomålsmail/A 61692-2024 FSC-klagomål mail.docx", "A 61692-2024")</f>
        <v/>
      </c>
      <c r="X196">
        <f>HYPERLINK("https://klasma.github.io/Logging_2309/tillsyn/A 61692-2024 tillsynsbegäran.docx", "A 61692-2024")</f>
        <v/>
      </c>
      <c r="Y196">
        <f>HYPERLINK("https://klasma.github.io/Logging_2309/tillsynsmail/A 61692-2024 tillsynsbegäran mail.docx", "A 61692-2024")</f>
        <v/>
      </c>
      <c r="Z196">
        <f>HYPERLINK("https://klasma.github.io/Logging_2309/fåglar/A 61692-2024 prioriterade fågelarter.docx", "A 61692-2024")</f>
        <v/>
      </c>
    </row>
    <row r="197" ht="15" customHeight="1">
      <c r="A197" t="inlineStr">
        <is>
          <t>A 785-2024</t>
        </is>
      </c>
      <c r="B197" s="1" t="n">
        <v>45300</v>
      </c>
      <c r="C197" s="1" t="n">
        <v>46082</v>
      </c>
      <c r="D197" t="inlineStr">
        <is>
          <t>JÄMTLANDS LÄN</t>
        </is>
      </c>
      <c r="E197" t="inlineStr">
        <is>
          <t>KROKOM</t>
        </is>
      </c>
      <c r="G197" t="n">
        <v>1.3</v>
      </c>
      <c r="H197" t="n">
        <v>1</v>
      </c>
      <c r="I197" t="n">
        <v>0</v>
      </c>
      <c r="J197" t="n">
        <v>1</v>
      </c>
      <c r="K197" t="n">
        <v>0</v>
      </c>
      <c r="L197" t="n">
        <v>0</v>
      </c>
      <c r="M197" t="n">
        <v>0</v>
      </c>
      <c r="N197" t="n">
        <v>0</v>
      </c>
      <c r="O197" t="n">
        <v>1</v>
      </c>
      <c r="P197" t="n">
        <v>0</v>
      </c>
      <c r="Q197" t="n">
        <v>2</v>
      </c>
      <c r="R197" s="2" t="inlineStr">
        <is>
          <t>Garnlav
Tjäder</t>
        </is>
      </c>
      <c r="S197">
        <f>HYPERLINK("https://klasma.github.io/Logging_2309/artfynd/A 785-2024 artfynd.xlsx", "A 785-2024")</f>
        <v/>
      </c>
      <c r="T197">
        <f>HYPERLINK("https://klasma.github.io/Logging_2309/kartor/A 785-2024 karta.png", "A 785-2024")</f>
        <v/>
      </c>
      <c r="V197">
        <f>HYPERLINK("https://klasma.github.io/Logging_2309/klagomål/A 785-2024 FSC-klagomål.docx", "A 785-2024")</f>
        <v/>
      </c>
      <c r="W197">
        <f>HYPERLINK("https://klasma.github.io/Logging_2309/klagomålsmail/A 785-2024 FSC-klagomål mail.docx", "A 785-2024")</f>
        <v/>
      </c>
      <c r="X197">
        <f>HYPERLINK("https://klasma.github.io/Logging_2309/tillsyn/A 785-2024 tillsynsbegäran.docx", "A 785-2024")</f>
        <v/>
      </c>
      <c r="Y197">
        <f>HYPERLINK("https://klasma.github.io/Logging_2309/tillsynsmail/A 785-2024 tillsynsbegäran mail.docx", "A 785-2024")</f>
        <v/>
      </c>
      <c r="Z197">
        <f>HYPERLINK("https://klasma.github.io/Logging_2309/fåglar/A 785-2024 prioriterade fågelarter.docx", "A 785-2024")</f>
        <v/>
      </c>
    </row>
    <row r="198" ht="15" customHeight="1">
      <c r="A198" t="inlineStr">
        <is>
          <t>A 63852-2025</t>
        </is>
      </c>
      <c r="B198" s="1" t="n">
        <v>46020</v>
      </c>
      <c r="C198" s="1" t="n">
        <v>46082</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63852-2025 artfynd.xlsx", "A 63852-2025")</f>
        <v/>
      </c>
      <c r="T198">
        <f>HYPERLINK("https://klasma.github.io/Logging_2309/kartor/A 63852-2025 karta.png", "A 63852-2025")</f>
        <v/>
      </c>
      <c r="V198">
        <f>HYPERLINK("https://klasma.github.io/Logging_2309/klagomål/A 63852-2025 FSC-klagomål.docx", "A 63852-2025")</f>
        <v/>
      </c>
      <c r="W198">
        <f>HYPERLINK("https://klasma.github.io/Logging_2309/klagomålsmail/A 63852-2025 FSC-klagomål mail.docx", "A 63852-2025")</f>
        <v/>
      </c>
      <c r="X198">
        <f>HYPERLINK("https://klasma.github.io/Logging_2309/tillsyn/A 63852-2025 tillsynsbegäran.docx", "A 63852-2025")</f>
        <v/>
      </c>
      <c r="Y198">
        <f>HYPERLINK("https://klasma.github.io/Logging_2309/tillsynsmail/A 63852-2025 tillsynsbegäran mail.docx", "A 63852-2025")</f>
        <v/>
      </c>
      <c r="Z198">
        <f>HYPERLINK("https://klasma.github.io/Logging_2309/fåglar/A 63852-2025 prioriterade fågelarter.docx", "A 63852-2025")</f>
        <v/>
      </c>
    </row>
    <row r="199" ht="15" customHeight="1">
      <c r="A199" t="inlineStr">
        <is>
          <t>A 978-2026</t>
        </is>
      </c>
      <c r="B199" s="1" t="n">
        <v>46030.57378472222</v>
      </c>
      <c r="C199" s="1" t="n">
        <v>46082</v>
      </c>
      <c r="D199" t="inlineStr">
        <is>
          <t>JÄMTLANDS LÄN</t>
        </is>
      </c>
      <c r="E199" t="inlineStr">
        <is>
          <t>KROKOM</t>
        </is>
      </c>
      <c r="G199" t="n">
        <v>3.2</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978-2026 artfynd.xlsx", "A 978-2026")</f>
        <v/>
      </c>
      <c r="T199">
        <f>HYPERLINK("https://klasma.github.io/Logging_2309/kartor/A 978-2026 karta.png", "A 978-2026")</f>
        <v/>
      </c>
      <c r="V199">
        <f>HYPERLINK("https://klasma.github.io/Logging_2309/klagomål/A 978-2026 FSC-klagomål.docx", "A 978-2026")</f>
        <v/>
      </c>
      <c r="W199">
        <f>HYPERLINK("https://klasma.github.io/Logging_2309/klagomålsmail/A 978-2026 FSC-klagomål mail.docx", "A 978-2026")</f>
        <v/>
      </c>
      <c r="X199">
        <f>HYPERLINK("https://klasma.github.io/Logging_2309/tillsyn/A 978-2026 tillsynsbegäran.docx", "A 978-2026")</f>
        <v/>
      </c>
      <c r="Y199">
        <f>HYPERLINK("https://klasma.github.io/Logging_2309/tillsynsmail/A 978-2026 tillsynsbegäran mail.docx", "A 978-2026")</f>
        <v/>
      </c>
    </row>
    <row r="200" ht="15" customHeight="1">
      <c r="A200" t="inlineStr">
        <is>
          <t>A 36011-2025</t>
        </is>
      </c>
      <c r="B200" s="1" t="n">
        <v>45863</v>
      </c>
      <c r="C200" s="1" t="n">
        <v>46082</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40508-2025</t>
        </is>
      </c>
      <c r="B201" s="1" t="n">
        <v>45896.34465277778</v>
      </c>
      <c r="C201" s="1" t="n">
        <v>46082</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14589-2021</t>
        </is>
      </c>
      <c r="B202" s="1" t="n">
        <v>44279</v>
      </c>
      <c r="C202" s="1" t="n">
        <v>46082</v>
      </c>
      <c r="D202" t="inlineStr">
        <is>
          <t>JÄMTLANDS LÄN</t>
        </is>
      </c>
      <c r="E202" t="inlineStr">
        <is>
          <t>KROKOM</t>
        </is>
      </c>
      <c r="G202" t="n">
        <v>8.800000000000001</v>
      </c>
      <c r="H202" t="n">
        <v>2</v>
      </c>
      <c r="I202" t="n">
        <v>0</v>
      </c>
      <c r="J202" t="n">
        <v>1</v>
      </c>
      <c r="K202" t="n">
        <v>0</v>
      </c>
      <c r="L202" t="n">
        <v>0</v>
      </c>
      <c r="M202" t="n">
        <v>0</v>
      </c>
      <c r="N202" t="n">
        <v>0</v>
      </c>
      <c r="O202" t="n">
        <v>1</v>
      </c>
      <c r="P202" t="n">
        <v>0</v>
      </c>
      <c r="Q202" t="n">
        <v>2</v>
      </c>
      <c r="R202" s="2" t="inlineStr">
        <is>
          <t>Utter
Fläcknycklar</t>
        </is>
      </c>
      <c r="S202">
        <f>HYPERLINK("https://klasma.github.io/Logging_2309/artfynd/A 14589-2021 artfynd.xlsx", "A 14589-2021")</f>
        <v/>
      </c>
      <c r="T202">
        <f>HYPERLINK("https://klasma.github.io/Logging_2309/kartor/A 14589-2021 karta.png", "A 14589-2021")</f>
        <v/>
      </c>
      <c r="V202">
        <f>HYPERLINK("https://klasma.github.io/Logging_2309/klagomål/A 14589-2021 FSC-klagomål.docx", "A 14589-2021")</f>
        <v/>
      </c>
      <c r="W202">
        <f>HYPERLINK("https://klasma.github.io/Logging_2309/klagomålsmail/A 14589-2021 FSC-klagomål mail.docx", "A 14589-2021")</f>
        <v/>
      </c>
      <c r="X202">
        <f>HYPERLINK("https://klasma.github.io/Logging_2309/tillsyn/A 14589-2021 tillsynsbegäran.docx", "A 14589-2021")</f>
        <v/>
      </c>
      <c r="Y202">
        <f>HYPERLINK("https://klasma.github.io/Logging_2309/tillsynsmail/A 14589-2021 tillsynsbegäran mail.docx", "A 14589-2021")</f>
        <v/>
      </c>
    </row>
    <row r="203" ht="15" customHeight="1">
      <c r="A203" t="inlineStr">
        <is>
          <t>A 54189-2022</t>
        </is>
      </c>
      <c r="B203" s="1" t="n">
        <v>44879</v>
      </c>
      <c r="C203" s="1" t="n">
        <v>46082</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46082</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23730-2025</t>
        </is>
      </c>
      <c r="B205" s="1" t="n">
        <v>45793.4189699074</v>
      </c>
      <c r="C205" s="1" t="n">
        <v>46082</v>
      </c>
      <c r="D205" t="inlineStr">
        <is>
          <t>JÄMTLANDS LÄN</t>
        </is>
      </c>
      <c r="E205" t="inlineStr">
        <is>
          <t>KROKOM</t>
        </is>
      </c>
      <c r="G205" t="n">
        <v>10.2</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23730-2025 artfynd.xlsx", "A 23730-2025")</f>
        <v/>
      </c>
      <c r="T205">
        <f>HYPERLINK("https://klasma.github.io/Logging_2309/kartor/A 23730-2025 karta.png", "A 23730-2025")</f>
        <v/>
      </c>
      <c r="V205">
        <f>HYPERLINK("https://klasma.github.io/Logging_2309/klagomål/A 23730-2025 FSC-klagomål.docx", "A 23730-2025")</f>
        <v/>
      </c>
      <c r="W205">
        <f>HYPERLINK("https://klasma.github.io/Logging_2309/klagomålsmail/A 23730-2025 FSC-klagomål mail.docx", "A 23730-2025")</f>
        <v/>
      </c>
      <c r="X205">
        <f>HYPERLINK("https://klasma.github.io/Logging_2309/tillsyn/A 23730-2025 tillsynsbegäran.docx", "A 23730-2025")</f>
        <v/>
      </c>
      <c r="Y205">
        <f>HYPERLINK("https://klasma.github.io/Logging_2309/tillsynsmail/A 23730-2025 tillsynsbegäran mail.docx", "A 23730-2025")</f>
        <v/>
      </c>
      <c r="Z205">
        <f>HYPERLINK("https://klasma.github.io/Logging_2309/fåglar/A 23730-2025 prioriterade fågelarter.docx", "A 23730-2025")</f>
        <v/>
      </c>
    </row>
    <row r="206" ht="15" customHeight="1">
      <c r="A206" t="inlineStr">
        <is>
          <t>A 25952-2025</t>
        </is>
      </c>
      <c r="B206" s="1" t="n">
        <v>45804.60005787037</v>
      </c>
      <c r="C206" s="1" t="n">
        <v>46082</v>
      </c>
      <c r="D206" t="inlineStr">
        <is>
          <t>JÄMTLANDS LÄN</t>
        </is>
      </c>
      <c r="E206" t="inlineStr">
        <is>
          <t>KROKOM</t>
        </is>
      </c>
      <c r="G206" t="n">
        <v>18.7</v>
      </c>
      <c r="H206" t="n">
        <v>0</v>
      </c>
      <c r="I206" t="n">
        <v>0</v>
      </c>
      <c r="J206" t="n">
        <v>2</v>
      </c>
      <c r="K206" t="n">
        <v>0</v>
      </c>
      <c r="L206" t="n">
        <v>0</v>
      </c>
      <c r="M206" t="n">
        <v>0</v>
      </c>
      <c r="N206" t="n">
        <v>0</v>
      </c>
      <c r="O206" t="n">
        <v>2</v>
      </c>
      <c r="P206" t="n">
        <v>0</v>
      </c>
      <c r="Q206" t="n">
        <v>2</v>
      </c>
      <c r="R206" s="2" t="inlineStr">
        <is>
          <t>Garnlav
Skrovellav</t>
        </is>
      </c>
      <c r="S206">
        <f>HYPERLINK("https://klasma.github.io/Logging_2309/artfynd/A 25952-2025 artfynd.xlsx", "A 25952-2025")</f>
        <v/>
      </c>
      <c r="T206">
        <f>HYPERLINK("https://klasma.github.io/Logging_2309/kartor/A 25952-2025 karta.png", "A 25952-2025")</f>
        <v/>
      </c>
      <c r="V206">
        <f>HYPERLINK("https://klasma.github.io/Logging_2309/klagomål/A 25952-2025 FSC-klagomål.docx", "A 25952-2025")</f>
        <v/>
      </c>
      <c r="W206">
        <f>HYPERLINK("https://klasma.github.io/Logging_2309/klagomålsmail/A 25952-2025 FSC-klagomål mail.docx", "A 25952-2025")</f>
        <v/>
      </c>
      <c r="X206">
        <f>HYPERLINK("https://klasma.github.io/Logging_2309/tillsyn/A 25952-2025 tillsynsbegäran.docx", "A 25952-2025")</f>
        <v/>
      </c>
      <c r="Y206">
        <f>HYPERLINK("https://klasma.github.io/Logging_2309/tillsynsmail/A 25952-2025 tillsynsbegäran mail.docx", "A 25952-2025")</f>
        <v/>
      </c>
    </row>
    <row r="207" ht="15" customHeight="1">
      <c r="A207" t="inlineStr">
        <is>
          <t>A 64951-2021</t>
        </is>
      </c>
      <c r="B207" s="1" t="n">
        <v>44512</v>
      </c>
      <c r="C207" s="1" t="n">
        <v>46082</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46082</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46082</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46082</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33347-2021</t>
        </is>
      </c>
      <c r="B211" s="1" t="n">
        <v>44377</v>
      </c>
      <c r="C211" s="1" t="n">
        <v>46082</v>
      </c>
      <c r="D211" t="inlineStr">
        <is>
          <t>JÄMTLANDS LÄN</t>
        </is>
      </c>
      <c r="E211" t="inlineStr">
        <is>
          <t>KROKOM</t>
        </is>
      </c>
      <c r="F211" t="inlineStr">
        <is>
          <t>Övriga Aktiebolag</t>
        </is>
      </c>
      <c r="G211" t="n">
        <v>4.9</v>
      </c>
      <c r="H211" t="n">
        <v>1</v>
      </c>
      <c r="I211" t="n">
        <v>0</v>
      </c>
      <c r="J211" t="n">
        <v>0</v>
      </c>
      <c r="K211" t="n">
        <v>1</v>
      </c>
      <c r="L211" t="n">
        <v>0</v>
      </c>
      <c r="M211" t="n">
        <v>0</v>
      </c>
      <c r="N211" t="n">
        <v>0</v>
      </c>
      <c r="O211" t="n">
        <v>1</v>
      </c>
      <c r="P211" t="n">
        <v>1</v>
      </c>
      <c r="Q211" t="n">
        <v>1</v>
      </c>
      <c r="R211" s="2" t="inlineStr">
        <is>
          <t>Doftticka</t>
        </is>
      </c>
      <c r="S211">
        <f>HYPERLINK("https://klasma.github.io/Logging_2309/artfynd/A 33347-2021 artfynd.xlsx", "A 33347-2021")</f>
        <v/>
      </c>
      <c r="T211">
        <f>HYPERLINK("https://klasma.github.io/Logging_2309/kartor/A 33347-2021 karta.png", "A 33347-2021")</f>
        <v/>
      </c>
      <c r="V211">
        <f>HYPERLINK("https://klasma.github.io/Logging_2309/klagomål/A 33347-2021 FSC-klagomål.docx", "A 33347-2021")</f>
        <v/>
      </c>
      <c r="W211">
        <f>HYPERLINK("https://klasma.github.io/Logging_2309/klagomålsmail/A 33347-2021 FSC-klagomål mail.docx", "A 33347-2021")</f>
        <v/>
      </c>
      <c r="X211">
        <f>HYPERLINK("https://klasma.github.io/Logging_2309/tillsyn/A 33347-2021 tillsynsbegäran.docx", "A 33347-2021")</f>
        <v/>
      </c>
      <c r="Y211">
        <f>HYPERLINK("https://klasma.github.io/Logging_2309/tillsynsmail/A 33347-2021 tillsynsbegäran mail.docx", "A 33347-2021")</f>
        <v/>
      </c>
    </row>
    <row r="212" ht="15" customHeight="1">
      <c r="A212" t="inlineStr">
        <is>
          <t>A 35246-2022</t>
        </is>
      </c>
      <c r="B212" s="1" t="n">
        <v>44797</v>
      </c>
      <c r="C212" s="1" t="n">
        <v>46082</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25041-2022</t>
        </is>
      </c>
      <c r="B213" s="1" t="n">
        <v>44728</v>
      </c>
      <c r="C213" s="1" t="n">
        <v>46082</v>
      </c>
      <c r="D213" t="inlineStr">
        <is>
          <t>JÄMTLANDS LÄN</t>
        </is>
      </c>
      <c r="E213" t="inlineStr">
        <is>
          <t>KROKOM</t>
        </is>
      </c>
      <c r="F213" t="inlineStr">
        <is>
          <t>SCA</t>
        </is>
      </c>
      <c r="G213" t="n">
        <v>5.5</v>
      </c>
      <c r="H213" t="n">
        <v>0</v>
      </c>
      <c r="I213" t="n">
        <v>0</v>
      </c>
      <c r="J213" t="n">
        <v>1</v>
      </c>
      <c r="K213" t="n">
        <v>0</v>
      </c>
      <c r="L213" t="n">
        <v>0</v>
      </c>
      <c r="M213" t="n">
        <v>0</v>
      </c>
      <c r="N213" t="n">
        <v>0</v>
      </c>
      <c r="O213" t="n">
        <v>1</v>
      </c>
      <c r="P213" t="n">
        <v>0</v>
      </c>
      <c r="Q213" t="n">
        <v>1</v>
      </c>
      <c r="R213" s="2" t="inlineStr">
        <is>
          <t>Harticka</t>
        </is>
      </c>
      <c r="S213">
        <f>HYPERLINK("https://klasma.github.io/Logging_2309/artfynd/A 25041-2022 artfynd.xlsx", "A 25041-2022")</f>
        <v/>
      </c>
      <c r="T213">
        <f>HYPERLINK("https://klasma.github.io/Logging_2309/kartor/A 25041-2022 karta.png", "A 25041-2022")</f>
        <v/>
      </c>
      <c r="V213">
        <f>HYPERLINK("https://klasma.github.io/Logging_2309/klagomål/A 25041-2022 FSC-klagomål.docx", "A 25041-2022")</f>
        <v/>
      </c>
      <c r="W213">
        <f>HYPERLINK("https://klasma.github.io/Logging_2309/klagomålsmail/A 25041-2022 FSC-klagomål mail.docx", "A 25041-2022")</f>
        <v/>
      </c>
      <c r="X213">
        <f>HYPERLINK("https://klasma.github.io/Logging_2309/tillsyn/A 25041-2022 tillsynsbegäran.docx", "A 25041-2022")</f>
        <v/>
      </c>
      <c r="Y213">
        <f>HYPERLINK("https://klasma.github.io/Logging_2309/tillsynsmail/A 25041-2022 tillsynsbegäran mail.docx", "A 25041-2022")</f>
        <v/>
      </c>
    </row>
    <row r="214" ht="15" customHeight="1">
      <c r="A214" t="inlineStr">
        <is>
          <t>A 27579-2022</t>
        </is>
      </c>
      <c r="B214" s="1" t="n">
        <v>44742</v>
      </c>
      <c r="C214" s="1" t="n">
        <v>46082</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Lunglav</t>
        </is>
      </c>
      <c r="S214">
        <f>HYPERLINK("https://klasma.github.io/Logging_2309/artfynd/A 27579-2022 artfynd.xlsx", "A 27579-2022")</f>
        <v/>
      </c>
      <c r="T214">
        <f>HYPERLINK("https://klasma.github.io/Logging_2309/kartor/A 27579-2022 karta.png", "A 27579-2022")</f>
        <v/>
      </c>
      <c r="V214">
        <f>HYPERLINK("https://klasma.github.io/Logging_2309/klagomål/A 27579-2022 FSC-klagomål.docx", "A 27579-2022")</f>
        <v/>
      </c>
      <c r="W214">
        <f>HYPERLINK("https://klasma.github.io/Logging_2309/klagomålsmail/A 27579-2022 FSC-klagomål mail.docx", "A 27579-2022")</f>
        <v/>
      </c>
      <c r="X214">
        <f>HYPERLINK("https://klasma.github.io/Logging_2309/tillsyn/A 27579-2022 tillsynsbegäran.docx", "A 27579-2022")</f>
        <v/>
      </c>
      <c r="Y214">
        <f>HYPERLINK("https://klasma.github.io/Logging_2309/tillsynsmail/A 27579-2022 tillsynsbegäran mail.docx", "A 27579-2022")</f>
        <v/>
      </c>
    </row>
    <row r="215" ht="15" customHeight="1">
      <c r="A215" t="inlineStr">
        <is>
          <t>A 11413-2022</t>
        </is>
      </c>
      <c r="B215" s="1" t="n">
        <v>44630</v>
      </c>
      <c r="C215" s="1" t="n">
        <v>46082</v>
      </c>
      <c r="D215" t="inlineStr">
        <is>
          <t>JÄMTLANDS LÄN</t>
        </is>
      </c>
      <c r="E215" t="inlineStr">
        <is>
          <t>KROKOM</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HYPERLINK("https://klasma.github.io/Logging_2309/artfynd/A 11413-2022 artfynd.xlsx", "A 11413-2022")</f>
        <v/>
      </c>
      <c r="T215">
        <f>HYPERLINK("https://klasma.github.io/Logging_2309/kartor/A 11413-2022 karta.png", "A 11413-2022")</f>
        <v/>
      </c>
      <c r="V215">
        <f>HYPERLINK("https://klasma.github.io/Logging_2309/klagomål/A 11413-2022 FSC-klagomål.docx", "A 11413-2022")</f>
        <v/>
      </c>
      <c r="W215">
        <f>HYPERLINK("https://klasma.github.io/Logging_2309/klagomålsmail/A 11413-2022 FSC-klagomål mail.docx", "A 11413-2022")</f>
        <v/>
      </c>
      <c r="X215">
        <f>HYPERLINK("https://klasma.github.io/Logging_2309/tillsyn/A 11413-2022 tillsynsbegäran.docx", "A 11413-2022")</f>
        <v/>
      </c>
      <c r="Y215">
        <f>HYPERLINK("https://klasma.github.io/Logging_2309/tillsynsmail/A 11413-2022 tillsynsbegäran mail.docx", "A 11413-2022")</f>
        <v/>
      </c>
      <c r="Z215">
        <f>HYPERLINK("https://klasma.github.io/Logging_2309/fåglar/A 11413-2022 prioriterade fågelarter.docx", "A 11413-2022")</f>
        <v/>
      </c>
    </row>
    <row r="216" ht="15" customHeight="1">
      <c r="A216" t="inlineStr">
        <is>
          <t>A 36639-2023</t>
        </is>
      </c>
      <c r="B216" s="1" t="n">
        <v>45153</v>
      </c>
      <c r="C216" s="1" t="n">
        <v>46082</v>
      </c>
      <c r="D216" t="inlineStr">
        <is>
          <t>JÄMTLANDS LÄN</t>
        </is>
      </c>
      <c r="E216" t="inlineStr">
        <is>
          <t>KROKOM</t>
        </is>
      </c>
      <c r="F216" t="inlineStr">
        <is>
          <t>Övriga Aktiebolag</t>
        </is>
      </c>
      <c r="G216" t="n">
        <v>5.5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36639-2023 artfynd.xlsx", "A 36639-2023")</f>
        <v/>
      </c>
      <c r="T216">
        <f>HYPERLINK("https://klasma.github.io/Logging_2309/kartor/A 36639-2023 karta.png", "A 36639-2023")</f>
        <v/>
      </c>
      <c r="V216">
        <f>HYPERLINK("https://klasma.github.io/Logging_2309/klagomål/A 36639-2023 FSC-klagomål.docx", "A 36639-2023")</f>
        <v/>
      </c>
      <c r="W216">
        <f>HYPERLINK("https://klasma.github.io/Logging_2309/klagomålsmail/A 36639-2023 FSC-klagomål mail.docx", "A 36639-2023")</f>
        <v/>
      </c>
      <c r="X216">
        <f>HYPERLINK("https://klasma.github.io/Logging_2309/tillsyn/A 36639-2023 tillsynsbegäran.docx", "A 36639-2023")</f>
        <v/>
      </c>
      <c r="Y216">
        <f>HYPERLINK("https://klasma.github.io/Logging_2309/tillsynsmail/A 36639-2023 tillsynsbegäran mail.docx", "A 36639-2023")</f>
        <v/>
      </c>
      <c r="Z216">
        <f>HYPERLINK("https://klasma.github.io/Logging_2309/fåglar/A 36639-2023 prioriterade fågelarter.docx", "A 36639-2023")</f>
        <v/>
      </c>
    </row>
    <row r="217" ht="15" customHeight="1">
      <c r="A217" t="inlineStr">
        <is>
          <t>A 61240-2024</t>
        </is>
      </c>
      <c r="B217" s="1" t="n">
        <v>45645.67945601852</v>
      </c>
      <c r="C217" s="1" t="n">
        <v>46082</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28660-2025</t>
        </is>
      </c>
      <c r="B218" s="1" t="n">
        <v>45819.65796296296</v>
      </c>
      <c r="C218" s="1" t="n">
        <v>46082</v>
      </c>
      <c r="D218" t="inlineStr">
        <is>
          <t>JÄMTLANDS LÄN</t>
        </is>
      </c>
      <c r="E218" t="inlineStr">
        <is>
          <t>KROKOM</t>
        </is>
      </c>
      <c r="G218" t="n">
        <v>8.1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28660-2025 artfynd.xlsx", "A 28660-2025")</f>
        <v/>
      </c>
      <c r="T218">
        <f>HYPERLINK("https://klasma.github.io/Logging_2309/kartor/A 28660-2025 karta.png", "A 28660-2025")</f>
        <v/>
      </c>
      <c r="V218">
        <f>HYPERLINK("https://klasma.github.io/Logging_2309/klagomål/A 28660-2025 FSC-klagomål.docx", "A 28660-2025")</f>
        <v/>
      </c>
      <c r="W218">
        <f>HYPERLINK("https://klasma.github.io/Logging_2309/klagomålsmail/A 28660-2025 FSC-klagomål mail.docx", "A 28660-2025")</f>
        <v/>
      </c>
      <c r="X218">
        <f>HYPERLINK("https://klasma.github.io/Logging_2309/tillsyn/A 28660-2025 tillsynsbegäran.docx", "A 28660-2025")</f>
        <v/>
      </c>
      <c r="Y218">
        <f>HYPERLINK("https://klasma.github.io/Logging_2309/tillsynsmail/A 28660-2025 tillsynsbegäran mail.docx", "A 28660-2025")</f>
        <v/>
      </c>
    </row>
    <row r="219" ht="15" customHeight="1">
      <c r="A219" t="inlineStr">
        <is>
          <t>A 29941-2025</t>
        </is>
      </c>
      <c r="B219" s="1" t="n">
        <v>45826.45174768518</v>
      </c>
      <c r="C219" s="1" t="n">
        <v>46082</v>
      </c>
      <c r="D219" t="inlineStr">
        <is>
          <t>JÄMTLANDS LÄN</t>
        </is>
      </c>
      <c r="E219" t="inlineStr">
        <is>
          <t>KROKOM</t>
        </is>
      </c>
      <c r="G219" t="n">
        <v>12.4</v>
      </c>
      <c r="H219" t="n">
        <v>0</v>
      </c>
      <c r="I219" t="n">
        <v>0</v>
      </c>
      <c r="J219" t="n">
        <v>0</v>
      </c>
      <c r="K219" t="n">
        <v>0</v>
      </c>
      <c r="L219" t="n">
        <v>1</v>
      </c>
      <c r="M219" t="n">
        <v>0</v>
      </c>
      <c r="N219" t="n">
        <v>0</v>
      </c>
      <c r="O219" t="n">
        <v>1</v>
      </c>
      <c r="P219" t="n">
        <v>1</v>
      </c>
      <c r="Q219" t="n">
        <v>1</v>
      </c>
      <c r="R219" s="2" t="inlineStr">
        <is>
          <t>Lilafotad fingersvamp</t>
        </is>
      </c>
      <c r="S219">
        <f>HYPERLINK("https://klasma.github.io/Logging_2309/artfynd/A 29941-2025 artfynd.xlsx", "A 29941-2025")</f>
        <v/>
      </c>
      <c r="T219">
        <f>HYPERLINK("https://klasma.github.io/Logging_2309/kartor/A 29941-2025 karta.png", "A 29941-2025")</f>
        <v/>
      </c>
      <c r="V219">
        <f>HYPERLINK("https://klasma.github.io/Logging_2309/klagomål/A 29941-2025 FSC-klagomål.docx", "A 29941-2025")</f>
        <v/>
      </c>
      <c r="W219">
        <f>HYPERLINK("https://klasma.github.io/Logging_2309/klagomålsmail/A 29941-2025 FSC-klagomål mail.docx", "A 29941-2025")</f>
        <v/>
      </c>
      <c r="X219">
        <f>HYPERLINK("https://klasma.github.io/Logging_2309/tillsyn/A 29941-2025 tillsynsbegäran.docx", "A 29941-2025")</f>
        <v/>
      </c>
      <c r="Y219">
        <f>HYPERLINK("https://klasma.github.io/Logging_2309/tillsynsmail/A 29941-2025 tillsynsbegäran mail.docx", "A 29941-2025")</f>
        <v/>
      </c>
    </row>
    <row r="220" ht="15" customHeight="1">
      <c r="A220" t="inlineStr">
        <is>
          <t>A 40800-2025</t>
        </is>
      </c>
      <c r="B220" s="1" t="n">
        <v>45897.45311342592</v>
      </c>
      <c r="C220" s="1" t="n">
        <v>46082</v>
      </c>
      <c r="D220" t="inlineStr">
        <is>
          <t>JÄMTLANDS LÄN</t>
        </is>
      </c>
      <c r="E220" t="inlineStr">
        <is>
          <t>KROKOM</t>
        </is>
      </c>
      <c r="G220" t="n">
        <v>5.8</v>
      </c>
      <c r="H220" t="n">
        <v>1</v>
      </c>
      <c r="I220" t="n">
        <v>0</v>
      </c>
      <c r="J220" t="n">
        <v>0</v>
      </c>
      <c r="K220" t="n">
        <v>0</v>
      </c>
      <c r="L220" t="n">
        <v>0</v>
      </c>
      <c r="M220" t="n">
        <v>0</v>
      </c>
      <c r="N220" t="n">
        <v>0</v>
      </c>
      <c r="O220" t="n">
        <v>0</v>
      </c>
      <c r="P220" t="n">
        <v>0</v>
      </c>
      <c r="Q220" t="n">
        <v>1</v>
      </c>
      <c r="R220" s="2" t="inlineStr">
        <is>
          <t>Blåsippa</t>
        </is>
      </c>
      <c r="S220">
        <f>HYPERLINK("https://klasma.github.io/Logging_2309/artfynd/A 40800-2025 artfynd.xlsx", "A 40800-2025")</f>
        <v/>
      </c>
      <c r="T220">
        <f>HYPERLINK("https://klasma.github.io/Logging_2309/kartor/A 40800-2025 karta.png", "A 40800-2025")</f>
        <v/>
      </c>
      <c r="V220">
        <f>HYPERLINK("https://klasma.github.io/Logging_2309/klagomål/A 40800-2025 FSC-klagomål.docx", "A 40800-2025")</f>
        <v/>
      </c>
      <c r="W220">
        <f>HYPERLINK("https://klasma.github.io/Logging_2309/klagomålsmail/A 40800-2025 FSC-klagomål mail.docx", "A 40800-2025")</f>
        <v/>
      </c>
      <c r="X220">
        <f>HYPERLINK("https://klasma.github.io/Logging_2309/tillsyn/A 40800-2025 tillsynsbegäran.docx", "A 40800-2025")</f>
        <v/>
      </c>
      <c r="Y220">
        <f>HYPERLINK("https://klasma.github.io/Logging_2309/tillsynsmail/A 40800-2025 tillsynsbegäran mail.docx", "A 40800-2025")</f>
        <v/>
      </c>
    </row>
    <row r="221" ht="15" customHeight="1">
      <c r="A221" t="inlineStr">
        <is>
          <t>A 42816-2023</t>
        </is>
      </c>
      <c r="B221" s="1" t="n">
        <v>45182</v>
      </c>
      <c r="C221" s="1" t="n">
        <v>46082</v>
      </c>
      <c r="D221" t="inlineStr">
        <is>
          <t>JÄMTLANDS LÄN</t>
        </is>
      </c>
      <c r="E221" t="inlineStr">
        <is>
          <t>KROKOM</t>
        </is>
      </c>
      <c r="G221" t="n">
        <v>3.9</v>
      </c>
      <c r="H221" t="n">
        <v>1</v>
      </c>
      <c r="I221" t="n">
        <v>1</v>
      </c>
      <c r="J221" t="n">
        <v>0</v>
      </c>
      <c r="K221" t="n">
        <v>0</v>
      </c>
      <c r="L221" t="n">
        <v>0</v>
      </c>
      <c r="M221" t="n">
        <v>0</v>
      </c>
      <c r="N221" t="n">
        <v>0</v>
      </c>
      <c r="O221" t="n">
        <v>0</v>
      </c>
      <c r="P221" t="n">
        <v>0</v>
      </c>
      <c r="Q221" t="n">
        <v>1</v>
      </c>
      <c r="R221" s="2" t="inlineStr">
        <is>
          <t>Tvåblad</t>
        </is>
      </c>
      <c r="S221">
        <f>HYPERLINK("https://klasma.github.io/Logging_2309/artfynd/A 42816-2023 artfynd.xlsx", "A 42816-2023")</f>
        <v/>
      </c>
      <c r="T221">
        <f>HYPERLINK("https://klasma.github.io/Logging_2309/kartor/A 42816-2023 karta.png", "A 42816-2023")</f>
        <v/>
      </c>
      <c r="V221">
        <f>HYPERLINK("https://klasma.github.io/Logging_2309/klagomål/A 42816-2023 FSC-klagomål.docx", "A 42816-2023")</f>
        <v/>
      </c>
      <c r="W221">
        <f>HYPERLINK("https://klasma.github.io/Logging_2309/klagomålsmail/A 42816-2023 FSC-klagomål mail.docx", "A 42816-2023")</f>
        <v/>
      </c>
      <c r="X221">
        <f>HYPERLINK("https://klasma.github.io/Logging_2309/tillsyn/A 42816-2023 tillsynsbegäran.docx", "A 42816-2023")</f>
        <v/>
      </c>
      <c r="Y221">
        <f>HYPERLINK("https://klasma.github.io/Logging_2309/tillsynsmail/A 42816-2023 tillsynsbegäran mail.docx", "A 42816-2023")</f>
        <v/>
      </c>
    </row>
    <row r="222" ht="15" customHeight="1">
      <c r="A222" t="inlineStr">
        <is>
          <t>A 32656-2025</t>
        </is>
      </c>
      <c r="B222" s="1" t="n">
        <v>45838.67815972222</v>
      </c>
      <c r="C222" s="1" t="n">
        <v>46082</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32888-2025</t>
        </is>
      </c>
      <c r="B223" s="1" t="n">
        <v>45839.60460648148</v>
      </c>
      <c r="C223" s="1" t="n">
        <v>46082</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Revlummer</t>
        </is>
      </c>
      <c r="S223">
        <f>HYPERLINK("https://klasma.github.io/Logging_2309/artfynd/A 32888-2025 artfynd.xlsx", "A 32888-2025")</f>
        <v/>
      </c>
      <c r="T223">
        <f>HYPERLINK("https://klasma.github.io/Logging_2309/kartor/A 32888-2025 karta.png", "A 32888-2025")</f>
        <v/>
      </c>
      <c r="V223">
        <f>HYPERLINK("https://klasma.github.io/Logging_2309/klagomål/A 32888-2025 FSC-klagomål.docx", "A 32888-2025")</f>
        <v/>
      </c>
      <c r="W223">
        <f>HYPERLINK("https://klasma.github.io/Logging_2309/klagomålsmail/A 32888-2025 FSC-klagomål mail.docx", "A 32888-2025")</f>
        <v/>
      </c>
      <c r="X223">
        <f>HYPERLINK("https://klasma.github.io/Logging_2309/tillsyn/A 32888-2025 tillsynsbegäran.docx", "A 32888-2025")</f>
        <v/>
      </c>
      <c r="Y223">
        <f>HYPERLINK("https://klasma.github.io/Logging_2309/tillsynsmail/A 32888-2025 tillsynsbegäran mail.docx", "A 32888-2025")</f>
        <v/>
      </c>
    </row>
    <row r="224" ht="15" customHeight="1">
      <c r="A224" t="inlineStr">
        <is>
          <t>A 33513-2025</t>
        </is>
      </c>
      <c r="B224" s="1" t="n">
        <v>45841.52454861111</v>
      </c>
      <c r="C224" s="1" t="n">
        <v>46082</v>
      </c>
      <c r="D224" t="inlineStr">
        <is>
          <t>JÄMTLANDS LÄN</t>
        </is>
      </c>
      <c r="E224" t="inlineStr">
        <is>
          <t>KROKOM</t>
        </is>
      </c>
      <c r="G224" t="n">
        <v>15.1</v>
      </c>
      <c r="H224" t="n">
        <v>0</v>
      </c>
      <c r="I224" t="n">
        <v>0</v>
      </c>
      <c r="J224" t="n">
        <v>1</v>
      </c>
      <c r="K224" t="n">
        <v>0</v>
      </c>
      <c r="L224" t="n">
        <v>0</v>
      </c>
      <c r="M224" t="n">
        <v>0</v>
      </c>
      <c r="N224" t="n">
        <v>0</v>
      </c>
      <c r="O224" t="n">
        <v>1</v>
      </c>
      <c r="P224" t="n">
        <v>0</v>
      </c>
      <c r="Q224" t="n">
        <v>1</v>
      </c>
      <c r="R224" s="2" t="inlineStr">
        <is>
          <t>Brunklöver</t>
        </is>
      </c>
      <c r="S224">
        <f>HYPERLINK("https://klasma.github.io/Logging_2309/artfynd/A 33513-2025 artfynd.xlsx", "A 33513-2025")</f>
        <v/>
      </c>
      <c r="T224">
        <f>HYPERLINK("https://klasma.github.io/Logging_2309/kartor/A 33513-2025 karta.png", "A 33513-2025")</f>
        <v/>
      </c>
      <c r="V224">
        <f>HYPERLINK("https://klasma.github.io/Logging_2309/klagomål/A 33513-2025 FSC-klagomål.docx", "A 33513-2025")</f>
        <v/>
      </c>
      <c r="W224">
        <f>HYPERLINK("https://klasma.github.io/Logging_2309/klagomålsmail/A 33513-2025 FSC-klagomål mail.docx", "A 33513-2025")</f>
        <v/>
      </c>
      <c r="X224">
        <f>HYPERLINK("https://klasma.github.io/Logging_2309/tillsyn/A 33513-2025 tillsynsbegäran.docx", "A 33513-2025")</f>
        <v/>
      </c>
      <c r="Y224">
        <f>HYPERLINK("https://klasma.github.io/Logging_2309/tillsynsmail/A 33513-2025 tillsynsbegäran mail.docx", "A 33513-2025")</f>
        <v/>
      </c>
    </row>
    <row r="225" ht="15" customHeight="1">
      <c r="A225" t="inlineStr">
        <is>
          <t>A 34534-2025</t>
        </is>
      </c>
      <c r="B225" s="1" t="n">
        <v>45847.51078703703</v>
      </c>
      <c r="C225" s="1" t="n">
        <v>46082</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44645-2025</t>
        </is>
      </c>
      <c r="B226" s="1" t="n">
        <v>45917.53457175926</v>
      </c>
      <c r="C226" s="1" t="n">
        <v>46082</v>
      </c>
      <c r="D226" t="inlineStr">
        <is>
          <t>JÄMTLANDS LÄN</t>
        </is>
      </c>
      <c r="E226" t="inlineStr">
        <is>
          <t>KROKOM</t>
        </is>
      </c>
      <c r="G226" t="n">
        <v>4.7</v>
      </c>
      <c r="H226" t="n">
        <v>0</v>
      </c>
      <c r="I226" t="n">
        <v>0</v>
      </c>
      <c r="J226" t="n">
        <v>1</v>
      </c>
      <c r="K226" t="n">
        <v>0</v>
      </c>
      <c r="L226" t="n">
        <v>0</v>
      </c>
      <c r="M226" t="n">
        <v>0</v>
      </c>
      <c r="N226" t="n">
        <v>0</v>
      </c>
      <c r="O226" t="n">
        <v>1</v>
      </c>
      <c r="P226" t="n">
        <v>0</v>
      </c>
      <c r="Q226" t="n">
        <v>1</v>
      </c>
      <c r="R226" s="2" t="inlineStr">
        <is>
          <t>Garnlav</t>
        </is>
      </c>
      <c r="S226">
        <f>HYPERLINK("https://klasma.github.io/Logging_2309/artfynd/A 44645-2025 artfynd.xlsx", "A 44645-2025")</f>
        <v/>
      </c>
      <c r="T226">
        <f>HYPERLINK("https://klasma.github.io/Logging_2309/kartor/A 44645-2025 karta.png", "A 44645-2025")</f>
        <v/>
      </c>
      <c r="V226">
        <f>HYPERLINK("https://klasma.github.io/Logging_2309/klagomål/A 44645-2025 FSC-klagomål.docx", "A 44645-2025")</f>
        <v/>
      </c>
      <c r="W226">
        <f>HYPERLINK("https://klasma.github.io/Logging_2309/klagomålsmail/A 44645-2025 FSC-klagomål mail.docx", "A 44645-2025")</f>
        <v/>
      </c>
      <c r="X226">
        <f>HYPERLINK("https://klasma.github.io/Logging_2309/tillsyn/A 44645-2025 tillsynsbegäran.docx", "A 44645-2025")</f>
        <v/>
      </c>
      <c r="Y226">
        <f>HYPERLINK("https://klasma.github.io/Logging_2309/tillsynsmail/A 44645-2025 tillsynsbegäran mail.docx", "A 44645-2025")</f>
        <v/>
      </c>
    </row>
    <row r="227" ht="15" customHeight="1">
      <c r="A227" t="inlineStr">
        <is>
          <t>A 4331-2025</t>
        </is>
      </c>
      <c r="B227" s="1" t="n">
        <v>45685.78776620371</v>
      </c>
      <c r="C227" s="1" t="n">
        <v>46082</v>
      </c>
      <c r="D227" t="inlineStr">
        <is>
          <t>JÄMTLANDS LÄN</t>
        </is>
      </c>
      <c r="E227" t="inlineStr">
        <is>
          <t>KROKOM</t>
        </is>
      </c>
      <c r="G227" t="n">
        <v>9.199999999999999</v>
      </c>
      <c r="H227" t="n">
        <v>0</v>
      </c>
      <c r="I227" t="n">
        <v>1</v>
      </c>
      <c r="J227" t="n">
        <v>0</v>
      </c>
      <c r="K227" t="n">
        <v>0</v>
      </c>
      <c r="L227" t="n">
        <v>0</v>
      </c>
      <c r="M227" t="n">
        <v>0</v>
      </c>
      <c r="N227" t="n">
        <v>0</v>
      </c>
      <c r="O227" t="n">
        <v>0</v>
      </c>
      <c r="P227" t="n">
        <v>0</v>
      </c>
      <c r="Q227" t="n">
        <v>1</v>
      </c>
      <c r="R227" s="2" t="inlineStr">
        <is>
          <t>Gytterlav</t>
        </is>
      </c>
      <c r="S227">
        <f>HYPERLINK("https://klasma.github.io/Logging_2309/artfynd/A 4331-2025 artfynd.xlsx", "A 4331-2025")</f>
        <v/>
      </c>
      <c r="T227">
        <f>HYPERLINK("https://klasma.github.io/Logging_2309/kartor/A 4331-2025 karta.png", "A 4331-2025")</f>
        <v/>
      </c>
      <c r="V227">
        <f>HYPERLINK("https://klasma.github.io/Logging_2309/klagomål/A 4331-2025 FSC-klagomål.docx", "A 4331-2025")</f>
        <v/>
      </c>
      <c r="W227">
        <f>HYPERLINK("https://klasma.github.io/Logging_2309/klagomålsmail/A 4331-2025 FSC-klagomål mail.docx", "A 4331-2025")</f>
        <v/>
      </c>
      <c r="X227">
        <f>HYPERLINK("https://klasma.github.io/Logging_2309/tillsyn/A 4331-2025 tillsynsbegäran.docx", "A 4331-2025")</f>
        <v/>
      </c>
      <c r="Y227">
        <f>HYPERLINK("https://klasma.github.io/Logging_2309/tillsynsmail/A 4331-2025 tillsynsbegäran mail.docx", "A 4331-2025")</f>
        <v/>
      </c>
    </row>
    <row r="228" ht="15" customHeight="1">
      <c r="A228" t="inlineStr">
        <is>
          <t>A 27753-2023</t>
        </is>
      </c>
      <c r="B228" s="1" t="n">
        <v>45098</v>
      </c>
      <c r="C228" s="1" t="n">
        <v>46082</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13485-2025</t>
        </is>
      </c>
      <c r="B229" s="1" t="n">
        <v>45736</v>
      </c>
      <c r="C229" s="1" t="n">
        <v>46082</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34520-2025</t>
        </is>
      </c>
      <c r="B230" s="1" t="n">
        <v>45847.46962962963</v>
      </c>
      <c r="C230" s="1" t="n">
        <v>46082</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52473-2024</t>
        </is>
      </c>
      <c r="B231" s="1" t="n">
        <v>45609</v>
      </c>
      <c r="C231" s="1" t="n">
        <v>46082</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5919-2025</t>
        </is>
      </c>
      <c r="B232" s="1" t="n">
        <v>45695.42197916667</v>
      </c>
      <c r="C232" s="1" t="n">
        <v>46082</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16426-2024</t>
        </is>
      </c>
      <c r="B233" s="1" t="n">
        <v>45407</v>
      </c>
      <c r="C233" s="1" t="n">
        <v>46082</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48462-2025</t>
        </is>
      </c>
      <c r="B234" s="1" t="n">
        <v>45936.31701388889</v>
      </c>
      <c r="C234" s="1" t="n">
        <v>46082</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48462-2025 artfynd.xlsx", "A 48462-2025")</f>
        <v/>
      </c>
      <c r="T234">
        <f>HYPERLINK("https://klasma.github.io/Logging_2309/kartor/A 48462-2025 karta.png", "A 48462-2025")</f>
        <v/>
      </c>
      <c r="V234">
        <f>HYPERLINK("https://klasma.github.io/Logging_2309/klagomål/A 48462-2025 FSC-klagomål.docx", "A 48462-2025")</f>
        <v/>
      </c>
      <c r="W234">
        <f>HYPERLINK("https://klasma.github.io/Logging_2309/klagomålsmail/A 48462-2025 FSC-klagomål mail.docx", "A 48462-2025")</f>
        <v/>
      </c>
      <c r="X234">
        <f>HYPERLINK("https://klasma.github.io/Logging_2309/tillsyn/A 48462-2025 tillsynsbegäran.docx", "A 48462-2025")</f>
        <v/>
      </c>
      <c r="Y234">
        <f>HYPERLINK("https://klasma.github.io/Logging_2309/tillsynsmail/A 48462-2025 tillsynsbegäran mail.docx", "A 48462-2025")</f>
        <v/>
      </c>
      <c r="Z234">
        <f>HYPERLINK("https://klasma.github.io/Logging_2309/fåglar/A 48462-2025 prioriterade fågelarter.docx", "A 48462-2025")</f>
        <v/>
      </c>
    </row>
    <row r="235" ht="15" customHeight="1">
      <c r="A235" t="inlineStr">
        <is>
          <t>A 4348-2025</t>
        </is>
      </c>
      <c r="B235" s="1" t="n">
        <v>45686.27208333334</v>
      </c>
      <c r="C235" s="1" t="n">
        <v>46082</v>
      </c>
      <c r="D235" t="inlineStr">
        <is>
          <t>JÄMTLANDS LÄN</t>
        </is>
      </c>
      <c r="E235" t="inlineStr">
        <is>
          <t>KROKOM</t>
        </is>
      </c>
      <c r="G235" t="n">
        <v>9.199999999999999</v>
      </c>
      <c r="H235" t="n">
        <v>0</v>
      </c>
      <c r="I235" t="n">
        <v>1</v>
      </c>
      <c r="J235" t="n">
        <v>0</v>
      </c>
      <c r="K235" t="n">
        <v>0</v>
      </c>
      <c r="L235" t="n">
        <v>0</v>
      </c>
      <c r="M235" t="n">
        <v>0</v>
      </c>
      <c r="N235" t="n">
        <v>0</v>
      </c>
      <c r="O235" t="n">
        <v>0</v>
      </c>
      <c r="P235" t="n">
        <v>0</v>
      </c>
      <c r="Q235" t="n">
        <v>1</v>
      </c>
      <c r="R235" s="2" t="inlineStr">
        <is>
          <t>Gytterlav</t>
        </is>
      </c>
      <c r="S235">
        <f>HYPERLINK("https://klasma.github.io/Logging_2309/artfynd/A 4348-2025 artfynd.xlsx", "A 4348-2025")</f>
        <v/>
      </c>
      <c r="T235">
        <f>HYPERLINK("https://klasma.github.io/Logging_2309/kartor/A 4348-2025 karta.png", "A 4348-2025")</f>
        <v/>
      </c>
      <c r="V235">
        <f>HYPERLINK("https://klasma.github.io/Logging_2309/klagomål/A 4348-2025 FSC-klagomål.docx", "A 4348-2025")</f>
        <v/>
      </c>
      <c r="W235">
        <f>HYPERLINK("https://klasma.github.io/Logging_2309/klagomålsmail/A 4348-2025 FSC-klagomål mail.docx", "A 4348-2025")</f>
        <v/>
      </c>
      <c r="X235">
        <f>HYPERLINK("https://klasma.github.io/Logging_2309/tillsyn/A 4348-2025 tillsynsbegäran.docx", "A 4348-2025")</f>
        <v/>
      </c>
      <c r="Y235">
        <f>HYPERLINK("https://klasma.github.io/Logging_2309/tillsynsmail/A 4348-2025 tillsynsbegäran mail.docx", "A 4348-2025")</f>
        <v/>
      </c>
    </row>
    <row r="236" ht="15" customHeight="1">
      <c r="A236" t="inlineStr">
        <is>
          <t>A 16125-2025</t>
        </is>
      </c>
      <c r="B236" s="1" t="n">
        <v>45750.42127314815</v>
      </c>
      <c r="C236" s="1" t="n">
        <v>46082</v>
      </c>
      <c r="D236" t="inlineStr">
        <is>
          <t>JÄMTLANDS LÄN</t>
        </is>
      </c>
      <c r="E236" t="inlineStr">
        <is>
          <t>KROKOM</t>
        </is>
      </c>
      <c r="G236" t="n">
        <v>1.5</v>
      </c>
      <c r="H236" t="n">
        <v>0</v>
      </c>
      <c r="I236" t="n">
        <v>0</v>
      </c>
      <c r="J236" t="n">
        <v>1</v>
      </c>
      <c r="K236" t="n">
        <v>0</v>
      </c>
      <c r="L236" t="n">
        <v>0</v>
      </c>
      <c r="M236" t="n">
        <v>0</v>
      </c>
      <c r="N236" t="n">
        <v>0</v>
      </c>
      <c r="O236" t="n">
        <v>1</v>
      </c>
      <c r="P236" t="n">
        <v>0</v>
      </c>
      <c r="Q236" t="n">
        <v>1</v>
      </c>
      <c r="R236" s="2" t="inlineStr">
        <is>
          <t>Månlåsbräken</t>
        </is>
      </c>
      <c r="S236">
        <f>HYPERLINK("https://klasma.github.io/Logging_2309/artfynd/A 16125-2025 artfynd.xlsx", "A 16125-2025")</f>
        <v/>
      </c>
      <c r="T236">
        <f>HYPERLINK("https://klasma.github.io/Logging_2309/kartor/A 16125-2025 karta.png", "A 16125-2025")</f>
        <v/>
      </c>
      <c r="V236">
        <f>HYPERLINK("https://klasma.github.io/Logging_2309/klagomål/A 16125-2025 FSC-klagomål.docx", "A 16125-2025")</f>
        <v/>
      </c>
      <c r="W236">
        <f>HYPERLINK("https://klasma.github.io/Logging_2309/klagomålsmail/A 16125-2025 FSC-klagomål mail.docx", "A 16125-2025")</f>
        <v/>
      </c>
      <c r="X236">
        <f>HYPERLINK("https://klasma.github.io/Logging_2309/tillsyn/A 16125-2025 tillsynsbegäran.docx", "A 16125-2025")</f>
        <v/>
      </c>
      <c r="Y236">
        <f>HYPERLINK("https://klasma.github.io/Logging_2309/tillsynsmail/A 16125-2025 tillsynsbegäran mail.docx", "A 16125-2025")</f>
        <v/>
      </c>
    </row>
    <row r="237" ht="15" customHeight="1">
      <c r="A237" t="inlineStr">
        <is>
          <t>A 71574-2021</t>
        </is>
      </c>
      <c r="B237" s="1" t="n">
        <v>44540</v>
      </c>
      <c r="C237" s="1" t="n">
        <v>46082</v>
      </c>
      <c r="D237" t="inlineStr">
        <is>
          <t>JÄMTLANDS LÄN</t>
        </is>
      </c>
      <c r="E237" t="inlineStr">
        <is>
          <t>KROKOM</t>
        </is>
      </c>
      <c r="G237" t="n">
        <v>1.1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71574-2021 artfynd.xlsx", "A 71574-2021")</f>
        <v/>
      </c>
      <c r="T237">
        <f>HYPERLINK("https://klasma.github.io/Logging_2309/kartor/A 71574-2021 karta.png", "A 71574-2021")</f>
        <v/>
      </c>
      <c r="V237">
        <f>HYPERLINK("https://klasma.github.io/Logging_2309/klagomål/A 71574-2021 FSC-klagomål.docx", "A 71574-2021")</f>
        <v/>
      </c>
      <c r="W237">
        <f>HYPERLINK("https://klasma.github.io/Logging_2309/klagomålsmail/A 71574-2021 FSC-klagomål mail.docx", "A 71574-2021")</f>
        <v/>
      </c>
      <c r="X237">
        <f>HYPERLINK("https://klasma.github.io/Logging_2309/tillsyn/A 71574-2021 tillsynsbegäran.docx", "A 71574-2021")</f>
        <v/>
      </c>
      <c r="Y237">
        <f>HYPERLINK("https://klasma.github.io/Logging_2309/tillsynsmail/A 71574-2021 tillsynsbegäran mail.docx", "A 71574-2021")</f>
        <v/>
      </c>
    </row>
    <row r="238" ht="15" customHeight="1">
      <c r="A238" t="inlineStr">
        <is>
          <t>A 38253-2025</t>
        </is>
      </c>
      <c r="B238" s="1" t="n">
        <v>45883.37883101852</v>
      </c>
      <c r="C238" s="1" t="n">
        <v>46082</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42258-2023</t>
        </is>
      </c>
      <c r="B239" s="1" t="n">
        <v>45180</v>
      </c>
      <c r="C239" s="1" t="n">
        <v>46082</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49385-2024</t>
        </is>
      </c>
      <c r="B240" s="1" t="n">
        <v>45595</v>
      </c>
      <c r="C240" s="1" t="n">
        <v>46082</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26231-2024</t>
        </is>
      </c>
      <c r="B241" s="1" t="n">
        <v>45467</v>
      </c>
      <c r="C241" s="1" t="n">
        <v>46082</v>
      </c>
      <c r="D241" t="inlineStr">
        <is>
          <t>JÄMTLANDS LÄN</t>
        </is>
      </c>
      <c r="E241" t="inlineStr">
        <is>
          <t>KROKOM</t>
        </is>
      </c>
      <c r="G241" t="n">
        <v>14.6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26231-2024 artfynd.xlsx", "A 26231-2024")</f>
        <v/>
      </c>
      <c r="T241">
        <f>HYPERLINK("https://klasma.github.io/Logging_2309/kartor/A 26231-2024 karta.png", "A 26231-2024")</f>
        <v/>
      </c>
      <c r="V241">
        <f>HYPERLINK("https://klasma.github.io/Logging_2309/klagomål/A 26231-2024 FSC-klagomål.docx", "A 26231-2024")</f>
        <v/>
      </c>
      <c r="W241">
        <f>HYPERLINK("https://klasma.github.io/Logging_2309/klagomålsmail/A 26231-2024 FSC-klagomål mail.docx", "A 26231-2024")</f>
        <v/>
      </c>
      <c r="X241">
        <f>HYPERLINK("https://klasma.github.io/Logging_2309/tillsyn/A 26231-2024 tillsynsbegäran.docx", "A 26231-2024")</f>
        <v/>
      </c>
      <c r="Y241">
        <f>HYPERLINK("https://klasma.github.io/Logging_2309/tillsynsmail/A 26231-2024 tillsynsbegäran mail.docx", "A 26231-2024")</f>
        <v/>
      </c>
      <c r="Z241">
        <f>HYPERLINK("https://klasma.github.io/Logging_2309/fåglar/A 26231-2024 prioriterade fågelarter.docx", "A 26231-2024")</f>
        <v/>
      </c>
    </row>
    <row r="242" ht="15" customHeight="1">
      <c r="A242" t="inlineStr">
        <is>
          <t>A 49387-2024</t>
        </is>
      </c>
      <c r="B242" s="1" t="n">
        <v>45595</v>
      </c>
      <c r="C242" s="1" t="n">
        <v>46082</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32756-2023</t>
        </is>
      </c>
      <c r="B243" s="1" t="n">
        <v>45123</v>
      </c>
      <c r="C243" s="1" t="n">
        <v>46082</v>
      </c>
      <c r="D243" t="inlineStr">
        <is>
          <t>JÄMTLANDS LÄN</t>
        </is>
      </c>
      <c r="E243" t="inlineStr">
        <is>
          <t>KROKOM</t>
        </is>
      </c>
      <c r="F243" t="inlineStr">
        <is>
          <t>Övriga Aktiebolag</t>
        </is>
      </c>
      <c r="G243" t="n">
        <v>6.8</v>
      </c>
      <c r="H243" t="n">
        <v>0</v>
      </c>
      <c r="I243" t="n">
        <v>1</v>
      </c>
      <c r="J243" t="n">
        <v>0</v>
      </c>
      <c r="K243" t="n">
        <v>0</v>
      </c>
      <c r="L243" t="n">
        <v>0</v>
      </c>
      <c r="M243" t="n">
        <v>0</v>
      </c>
      <c r="N243" t="n">
        <v>0</v>
      </c>
      <c r="O243" t="n">
        <v>0</v>
      </c>
      <c r="P243" t="n">
        <v>0</v>
      </c>
      <c r="Q243" t="n">
        <v>1</v>
      </c>
      <c r="R243" s="2" t="inlineStr">
        <is>
          <t>Kransrams</t>
        </is>
      </c>
      <c r="S243">
        <f>HYPERLINK("https://klasma.github.io/Logging_2309/artfynd/A 32756-2023 artfynd.xlsx", "A 32756-2023")</f>
        <v/>
      </c>
      <c r="T243">
        <f>HYPERLINK("https://klasma.github.io/Logging_2309/kartor/A 32756-2023 karta.png", "A 32756-2023")</f>
        <v/>
      </c>
      <c r="V243">
        <f>HYPERLINK("https://klasma.github.io/Logging_2309/klagomål/A 32756-2023 FSC-klagomål.docx", "A 32756-2023")</f>
        <v/>
      </c>
      <c r="W243">
        <f>HYPERLINK("https://klasma.github.io/Logging_2309/klagomålsmail/A 32756-2023 FSC-klagomål mail.docx", "A 32756-2023")</f>
        <v/>
      </c>
      <c r="X243">
        <f>HYPERLINK("https://klasma.github.io/Logging_2309/tillsyn/A 32756-2023 tillsynsbegäran.docx", "A 32756-2023")</f>
        <v/>
      </c>
      <c r="Y243">
        <f>HYPERLINK("https://klasma.github.io/Logging_2309/tillsynsmail/A 32756-2023 tillsynsbegäran mail.docx", "A 32756-2023")</f>
        <v/>
      </c>
    </row>
    <row r="244" ht="15" customHeight="1">
      <c r="A244" t="inlineStr">
        <is>
          <t>A 32465-2025</t>
        </is>
      </c>
      <c r="B244" s="1" t="n">
        <v>45838</v>
      </c>
      <c r="C244" s="1" t="n">
        <v>46082</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7005-2022</t>
        </is>
      </c>
      <c r="B245" s="1" t="n">
        <v>44603</v>
      </c>
      <c r="C245" s="1" t="n">
        <v>46082</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49388-2024</t>
        </is>
      </c>
      <c r="B246" s="1" t="n">
        <v>45595</v>
      </c>
      <c r="C246" s="1" t="n">
        <v>46082</v>
      </c>
      <c r="D246" t="inlineStr">
        <is>
          <t>JÄMTLANDS LÄN</t>
        </is>
      </c>
      <c r="E246" t="inlineStr">
        <is>
          <t>KROKOM</t>
        </is>
      </c>
      <c r="G246" t="n">
        <v>7.4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49388-2024 artfynd.xlsx", "A 49388-2024")</f>
        <v/>
      </c>
      <c r="T246">
        <f>HYPERLINK("https://klasma.github.io/Logging_2309/kartor/A 49388-2024 karta.png", "A 49388-2024")</f>
        <v/>
      </c>
      <c r="V246">
        <f>HYPERLINK("https://klasma.github.io/Logging_2309/klagomål/A 49388-2024 FSC-klagomål.docx", "A 49388-2024")</f>
        <v/>
      </c>
      <c r="W246">
        <f>HYPERLINK("https://klasma.github.io/Logging_2309/klagomålsmail/A 49388-2024 FSC-klagomål mail.docx", "A 49388-2024")</f>
        <v/>
      </c>
      <c r="X246">
        <f>HYPERLINK("https://klasma.github.io/Logging_2309/tillsyn/A 49388-2024 tillsynsbegäran.docx", "A 49388-2024")</f>
        <v/>
      </c>
      <c r="Y246">
        <f>HYPERLINK("https://klasma.github.io/Logging_2309/tillsynsmail/A 49388-2024 tillsynsbegäran mail.docx", "A 49388-2024")</f>
        <v/>
      </c>
      <c r="Z246">
        <f>HYPERLINK("https://klasma.github.io/Logging_2309/fåglar/A 49388-2024 prioriterade fågelarter.docx", "A 49388-2024")</f>
        <v/>
      </c>
    </row>
    <row r="247" ht="15" customHeight="1">
      <c r="A247" t="inlineStr">
        <is>
          <t>A 58012-2025</t>
        </is>
      </c>
      <c r="B247" s="1" t="n">
        <v>45982.46929398148</v>
      </c>
      <c r="C247" s="1" t="n">
        <v>46082</v>
      </c>
      <c r="D247" t="inlineStr">
        <is>
          <t>JÄMTLANDS LÄN</t>
        </is>
      </c>
      <c r="E247" t="inlineStr">
        <is>
          <t>KROKOM</t>
        </is>
      </c>
      <c r="G247" t="n">
        <v>6.3</v>
      </c>
      <c r="H247" t="n">
        <v>1</v>
      </c>
      <c r="I247" t="n">
        <v>0</v>
      </c>
      <c r="J247" t="n">
        <v>0</v>
      </c>
      <c r="K247" t="n">
        <v>0</v>
      </c>
      <c r="L247" t="n">
        <v>0</v>
      </c>
      <c r="M247" t="n">
        <v>0</v>
      </c>
      <c r="N247" t="n">
        <v>0</v>
      </c>
      <c r="O247" t="n">
        <v>0</v>
      </c>
      <c r="P247" t="n">
        <v>0</v>
      </c>
      <c r="Q247" t="n">
        <v>1</v>
      </c>
      <c r="R247" s="2" t="inlineStr">
        <is>
          <t>Blåsippa</t>
        </is>
      </c>
      <c r="S247">
        <f>HYPERLINK("https://klasma.github.io/Logging_2309/artfynd/A 58012-2025 artfynd.xlsx", "A 58012-2025")</f>
        <v/>
      </c>
      <c r="T247">
        <f>HYPERLINK("https://klasma.github.io/Logging_2309/kartor/A 58012-2025 karta.png", "A 58012-2025")</f>
        <v/>
      </c>
      <c r="V247">
        <f>HYPERLINK("https://klasma.github.io/Logging_2309/klagomål/A 58012-2025 FSC-klagomål.docx", "A 58012-2025")</f>
        <v/>
      </c>
      <c r="W247">
        <f>HYPERLINK("https://klasma.github.io/Logging_2309/klagomålsmail/A 58012-2025 FSC-klagomål mail.docx", "A 58012-2025")</f>
        <v/>
      </c>
      <c r="X247">
        <f>HYPERLINK("https://klasma.github.io/Logging_2309/tillsyn/A 58012-2025 tillsynsbegäran.docx", "A 58012-2025")</f>
        <v/>
      </c>
      <c r="Y247">
        <f>HYPERLINK("https://klasma.github.io/Logging_2309/tillsynsmail/A 58012-2025 tillsynsbegäran mail.docx", "A 58012-2025")</f>
        <v/>
      </c>
    </row>
    <row r="248" ht="15" customHeight="1">
      <c r="A248" t="inlineStr">
        <is>
          <t>A 3501-2026</t>
        </is>
      </c>
      <c r="B248" s="1" t="n">
        <v>46042.57795138889</v>
      </c>
      <c r="C248" s="1" t="n">
        <v>46082</v>
      </c>
      <c r="D248" t="inlineStr">
        <is>
          <t>JÄMTLANDS LÄN</t>
        </is>
      </c>
      <c r="E248" t="inlineStr">
        <is>
          <t>KROKOM</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3501-2026 artfynd.xlsx", "A 3501-2026")</f>
        <v/>
      </c>
      <c r="T248">
        <f>HYPERLINK("https://klasma.github.io/Logging_2309/kartor/A 3501-2026 karta.png", "A 3501-2026")</f>
        <v/>
      </c>
      <c r="V248">
        <f>HYPERLINK("https://klasma.github.io/Logging_2309/klagomål/A 3501-2026 FSC-klagomål.docx", "A 3501-2026")</f>
        <v/>
      </c>
      <c r="W248">
        <f>HYPERLINK("https://klasma.github.io/Logging_2309/klagomålsmail/A 3501-2026 FSC-klagomål mail.docx", "A 3501-2026")</f>
        <v/>
      </c>
      <c r="X248">
        <f>HYPERLINK("https://klasma.github.io/Logging_2309/tillsyn/A 3501-2026 tillsynsbegäran.docx", "A 3501-2026")</f>
        <v/>
      </c>
      <c r="Y248">
        <f>HYPERLINK("https://klasma.github.io/Logging_2309/tillsynsmail/A 3501-2026 tillsynsbegäran mail.docx", "A 3501-2026")</f>
        <v/>
      </c>
      <c r="Z248">
        <f>HYPERLINK("https://klasma.github.io/Logging_2309/fåglar/A 3501-2026 prioriterade fågelarter.docx", "A 3501-2026")</f>
        <v/>
      </c>
    </row>
    <row r="249" ht="15" customHeight="1">
      <c r="A249" t="inlineStr">
        <is>
          <t>A 814-2022</t>
        </is>
      </c>
      <c r="B249" s="1" t="n">
        <v>44568</v>
      </c>
      <c r="C249" s="1" t="n">
        <v>46082</v>
      </c>
      <c r="D249" t="inlineStr">
        <is>
          <t>JÄMTLANDS LÄN</t>
        </is>
      </c>
      <c r="E249" t="inlineStr">
        <is>
          <t>KROKOM</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814-2022 artfynd.xlsx", "A 814-2022")</f>
        <v/>
      </c>
      <c r="T249">
        <f>HYPERLINK("https://klasma.github.io/Logging_2309/kartor/A 814-2022 karta.png", "A 814-2022")</f>
        <v/>
      </c>
      <c r="V249">
        <f>HYPERLINK("https://klasma.github.io/Logging_2309/klagomål/A 814-2022 FSC-klagomål.docx", "A 814-2022")</f>
        <v/>
      </c>
      <c r="W249">
        <f>HYPERLINK("https://klasma.github.io/Logging_2309/klagomålsmail/A 814-2022 FSC-klagomål mail.docx", "A 814-2022")</f>
        <v/>
      </c>
      <c r="X249">
        <f>HYPERLINK("https://klasma.github.io/Logging_2309/tillsyn/A 814-2022 tillsynsbegäran.docx", "A 814-2022")</f>
        <v/>
      </c>
      <c r="Y249">
        <f>HYPERLINK("https://klasma.github.io/Logging_2309/tillsynsmail/A 814-2022 tillsynsbegäran mail.docx", "A 814-2022")</f>
        <v/>
      </c>
      <c r="Z249">
        <f>HYPERLINK("https://klasma.github.io/Logging_2309/fåglar/A 814-2022 prioriterade fågelarter.docx", "A 814-2022")</f>
        <v/>
      </c>
    </row>
    <row r="250" ht="15" customHeight="1">
      <c r="A250" t="inlineStr">
        <is>
          <t>A 61377-2025</t>
        </is>
      </c>
      <c r="B250" s="1" t="n">
        <v>46001.44233796297</v>
      </c>
      <c r="C250" s="1" t="n">
        <v>46082</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46082</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4717-2026</t>
        </is>
      </c>
      <c r="B252" s="1" t="n">
        <v>46048.46636574074</v>
      </c>
      <c r="C252" s="1" t="n">
        <v>46082</v>
      </c>
      <c r="D252" t="inlineStr">
        <is>
          <t>JÄMTLANDS LÄN</t>
        </is>
      </c>
      <c r="E252" t="inlineStr">
        <is>
          <t>KROKOM</t>
        </is>
      </c>
      <c r="G252" t="n">
        <v>5.7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4717-2026 artfynd.xlsx", "A 4717-2026")</f>
        <v/>
      </c>
      <c r="T252">
        <f>HYPERLINK("https://klasma.github.io/Logging_2309/kartor/A 4717-2026 karta.png", "A 4717-2026")</f>
        <v/>
      </c>
      <c r="V252">
        <f>HYPERLINK("https://klasma.github.io/Logging_2309/klagomål/A 4717-2026 FSC-klagomål.docx", "A 4717-2026")</f>
        <v/>
      </c>
      <c r="W252">
        <f>HYPERLINK("https://klasma.github.io/Logging_2309/klagomålsmail/A 4717-2026 FSC-klagomål mail.docx", "A 4717-2026")</f>
        <v/>
      </c>
      <c r="X252">
        <f>HYPERLINK("https://klasma.github.io/Logging_2309/tillsyn/A 4717-2026 tillsynsbegäran.docx", "A 4717-2026")</f>
        <v/>
      </c>
      <c r="Y252">
        <f>HYPERLINK("https://klasma.github.io/Logging_2309/tillsynsmail/A 4717-2026 tillsynsbegäran mail.docx", "A 4717-2026")</f>
        <v/>
      </c>
      <c r="Z252">
        <f>HYPERLINK("https://klasma.github.io/Logging_2309/fåglar/A 4717-2026 prioriterade fågelarter.docx", "A 4717-2026")</f>
        <v/>
      </c>
    </row>
    <row r="253" ht="15" customHeight="1">
      <c r="A253" t="inlineStr">
        <is>
          <t>A 6705-2025</t>
        </is>
      </c>
      <c r="B253" s="1" t="n">
        <v>45700</v>
      </c>
      <c r="C253" s="1" t="n">
        <v>46082</v>
      </c>
      <c r="D253" t="inlineStr">
        <is>
          <t>JÄMTLANDS LÄN</t>
        </is>
      </c>
      <c r="E253" t="inlineStr">
        <is>
          <t>KROKOM</t>
        </is>
      </c>
      <c r="G253" t="n">
        <v>20.4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6705-2025 artfynd.xlsx", "A 6705-2025")</f>
        <v/>
      </c>
      <c r="T253">
        <f>HYPERLINK("https://klasma.github.io/Logging_2309/kartor/A 6705-2025 karta.png", "A 6705-2025")</f>
        <v/>
      </c>
      <c r="V253">
        <f>HYPERLINK("https://klasma.github.io/Logging_2309/klagomål/A 6705-2025 FSC-klagomål.docx", "A 6705-2025")</f>
        <v/>
      </c>
      <c r="W253">
        <f>HYPERLINK("https://klasma.github.io/Logging_2309/klagomålsmail/A 6705-2025 FSC-klagomål mail.docx", "A 6705-2025")</f>
        <v/>
      </c>
      <c r="X253">
        <f>HYPERLINK("https://klasma.github.io/Logging_2309/tillsyn/A 6705-2025 tillsynsbegäran.docx", "A 6705-2025")</f>
        <v/>
      </c>
      <c r="Y253">
        <f>HYPERLINK("https://klasma.github.io/Logging_2309/tillsynsmail/A 6705-2025 tillsynsbegäran mail.docx", "A 6705-2025")</f>
        <v/>
      </c>
      <c r="Z253">
        <f>HYPERLINK("https://klasma.github.io/Logging_2309/fåglar/A 6705-2025 prioriterade fågelarter.docx", "A 6705-2025")</f>
        <v/>
      </c>
    </row>
    <row r="254" ht="15" customHeight="1">
      <c r="A254" t="inlineStr">
        <is>
          <t>A 5188-2026</t>
        </is>
      </c>
      <c r="B254" s="1" t="n">
        <v>46048</v>
      </c>
      <c r="C254" s="1" t="n">
        <v>46082</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46082</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6575-2026</t>
        </is>
      </c>
      <c r="B256" s="1" t="n">
        <v>46056.44827546296</v>
      </c>
      <c r="C256" s="1" t="n">
        <v>46082</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Garnlav</t>
        </is>
      </c>
      <c r="S256">
        <f>HYPERLINK("https://klasma.github.io/Logging_2309/artfynd/A 6575-2026 artfynd.xlsx", "A 6575-2026")</f>
        <v/>
      </c>
      <c r="T256">
        <f>HYPERLINK("https://klasma.github.io/Logging_2309/kartor/A 6575-2026 karta.png", "A 6575-2026")</f>
        <v/>
      </c>
      <c r="V256">
        <f>HYPERLINK("https://klasma.github.io/Logging_2309/klagomål/A 6575-2026 FSC-klagomål.docx", "A 6575-2026")</f>
        <v/>
      </c>
      <c r="W256">
        <f>HYPERLINK("https://klasma.github.io/Logging_2309/klagomålsmail/A 6575-2026 FSC-klagomål mail.docx", "A 6575-2026")</f>
        <v/>
      </c>
      <c r="X256">
        <f>HYPERLINK("https://klasma.github.io/Logging_2309/tillsyn/A 6575-2026 tillsynsbegäran.docx", "A 6575-2026")</f>
        <v/>
      </c>
      <c r="Y256">
        <f>HYPERLINK("https://klasma.github.io/Logging_2309/tillsynsmail/A 6575-2026 tillsynsbegäran mail.docx", "A 6575-2026")</f>
        <v/>
      </c>
    </row>
    <row r="257" ht="15" customHeight="1">
      <c r="A257" t="inlineStr">
        <is>
          <t>A 6244-2026</t>
        </is>
      </c>
      <c r="B257" s="1" t="n">
        <v>46055.46712962963</v>
      </c>
      <c r="C257" s="1" t="n">
        <v>46082</v>
      </c>
      <c r="D257" t="inlineStr">
        <is>
          <t>JÄMTLANDS LÄN</t>
        </is>
      </c>
      <c r="E257" t="inlineStr">
        <is>
          <t>KROKOM</t>
        </is>
      </c>
      <c r="F257" t="inlineStr">
        <is>
          <t>Övriga Aktiebolag</t>
        </is>
      </c>
      <c r="G257" t="n">
        <v>18.5</v>
      </c>
      <c r="H257" t="n">
        <v>0</v>
      </c>
      <c r="I257" t="n">
        <v>0</v>
      </c>
      <c r="J257" t="n">
        <v>1</v>
      </c>
      <c r="K257" t="n">
        <v>0</v>
      </c>
      <c r="L257" t="n">
        <v>0</v>
      </c>
      <c r="M257" t="n">
        <v>0</v>
      </c>
      <c r="N257" t="n">
        <v>0</v>
      </c>
      <c r="O257" t="n">
        <v>1</v>
      </c>
      <c r="P257" t="n">
        <v>0</v>
      </c>
      <c r="Q257" t="n">
        <v>1</v>
      </c>
      <c r="R257" s="2" t="inlineStr">
        <is>
          <t>Doftskinn</t>
        </is>
      </c>
      <c r="S257">
        <f>HYPERLINK("https://klasma.github.io/Logging_2309/artfynd/A 6244-2026 artfynd.xlsx", "A 6244-2026")</f>
        <v/>
      </c>
      <c r="T257">
        <f>HYPERLINK("https://klasma.github.io/Logging_2309/kartor/A 6244-2026 karta.png", "A 6244-2026")</f>
        <v/>
      </c>
      <c r="V257">
        <f>HYPERLINK("https://klasma.github.io/Logging_2309/klagomål/A 6244-2026 FSC-klagomål.docx", "A 6244-2026")</f>
        <v/>
      </c>
      <c r="W257">
        <f>HYPERLINK("https://klasma.github.io/Logging_2309/klagomålsmail/A 6244-2026 FSC-klagomål mail.docx", "A 6244-2026")</f>
        <v/>
      </c>
      <c r="X257">
        <f>HYPERLINK("https://klasma.github.io/Logging_2309/tillsyn/A 6244-2026 tillsynsbegäran.docx", "A 6244-2026")</f>
        <v/>
      </c>
      <c r="Y257">
        <f>HYPERLINK("https://klasma.github.io/Logging_2309/tillsynsmail/A 6244-2026 tillsynsbegäran mail.docx", "A 6244-2026")</f>
        <v/>
      </c>
    </row>
    <row r="258" ht="15" customHeight="1">
      <c r="A258" t="inlineStr">
        <is>
          <t>A 61451-2025</t>
        </is>
      </c>
      <c r="B258" s="1" t="n">
        <v>46001.57850694445</v>
      </c>
      <c r="C258" s="1" t="n">
        <v>46082</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46082</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8322-2026</t>
        </is>
      </c>
      <c r="B260" s="1" t="n">
        <v>46064.61109953704</v>
      </c>
      <c r="C260" s="1" t="n">
        <v>46082</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7208-2025</t>
        </is>
      </c>
      <c r="B261" s="1" t="n">
        <v>45702.47149305556</v>
      </c>
      <c r="C261" s="1" t="n">
        <v>46082</v>
      </c>
      <c r="D261" t="inlineStr">
        <is>
          <t>JÄMTLANDS LÄN</t>
        </is>
      </c>
      <c r="E261" t="inlineStr">
        <is>
          <t>KROKOM</t>
        </is>
      </c>
      <c r="F261" t="inlineStr">
        <is>
          <t>Övriga Aktiebolag</t>
        </is>
      </c>
      <c r="G261" t="n">
        <v>39.4</v>
      </c>
      <c r="H261" t="n">
        <v>0</v>
      </c>
      <c r="I261" t="n">
        <v>0</v>
      </c>
      <c r="J261" t="n">
        <v>1</v>
      </c>
      <c r="K261" t="n">
        <v>0</v>
      </c>
      <c r="L261" t="n">
        <v>0</v>
      </c>
      <c r="M261" t="n">
        <v>0</v>
      </c>
      <c r="N261" t="n">
        <v>0</v>
      </c>
      <c r="O261" t="n">
        <v>1</v>
      </c>
      <c r="P261" t="n">
        <v>0</v>
      </c>
      <c r="Q261" t="n">
        <v>1</v>
      </c>
      <c r="R261" s="2" t="inlineStr">
        <is>
          <t>Ullticka</t>
        </is>
      </c>
      <c r="S261">
        <f>HYPERLINK("https://klasma.github.io/Logging_2309/artfynd/A 7208-2025 artfynd.xlsx", "A 7208-2025")</f>
        <v/>
      </c>
      <c r="T261">
        <f>HYPERLINK("https://klasma.github.io/Logging_2309/kartor/A 7208-2025 karta.png", "A 7208-2025")</f>
        <v/>
      </c>
      <c r="V261">
        <f>HYPERLINK("https://klasma.github.io/Logging_2309/klagomål/A 7208-2025 FSC-klagomål.docx", "A 7208-2025")</f>
        <v/>
      </c>
      <c r="W261">
        <f>HYPERLINK("https://klasma.github.io/Logging_2309/klagomålsmail/A 7208-2025 FSC-klagomål mail.docx", "A 7208-2025")</f>
        <v/>
      </c>
      <c r="X261">
        <f>HYPERLINK("https://klasma.github.io/Logging_2309/tillsyn/A 7208-2025 tillsynsbegäran.docx", "A 7208-2025")</f>
        <v/>
      </c>
      <c r="Y261">
        <f>HYPERLINK("https://klasma.github.io/Logging_2309/tillsynsmail/A 7208-2025 tillsynsbegäran mail.docx", "A 7208-2025")</f>
        <v/>
      </c>
    </row>
    <row r="262" ht="15" customHeight="1">
      <c r="A262" t="inlineStr">
        <is>
          <t>A 49175-2024</t>
        </is>
      </c>
      <c r="B262" s="1" t="n">
        <v>45595</v>
      </c>
      <c r="C262" s="1" t="n">
        <v>46082</v>
      </c>
      <c r="D262" t="inlineStr">
        <is>
          <t>JÄMTLANDS LÄN</t>
        </is>
      </c>
      <c r="E262" t="inlineStr">
        <is>
          <t>KROKOM</t>
        </is>
      </c>
      <c r="G262" t="n">
        <v>172.9</v>
      </c>
      <c r="H262" t="n">
        <v>0</v>
      </c>
      <c r="I262" t="n">
        <v>0</v>
      </c>
      <c r="J262" t="n">
        <v>1</v>
      </c>
      <c r="K262" t="n">
        <v>0</v>
      </c>
      <c r="L262" t="n">
        <v>0</v>
      </c>
      <c r="M262" t="n">
        <v>0</v>
      </c>
      <c r="N262" t="n">
        <v>0</v>
      </c>
      <c r="O262" t="n">
        <v>1</v>
      </c>
      <c r="P262" t="n">
        <v>0</v>
      </c>
      <c r="Q262" t="n">
        <v>1</v>
      </c>
      <c r="R262" s="2" t="inlineStr">
        <is>
          <t>Granticka</t>
        </is>
      </c>
      <c r="S262">
        <f>HYPERLINK("https://klasma.github.io/Logging_2309/artfynd/A 49175-2024 artfynd.xlsx", "A 49175-2024")</f>
        <v/>
      </c>
      <c r="T262">
        <f>HYPERLINK("https://klasma.github.io/Logging_2309/kartor/A 49175-2024 karta.png", "A 49175-2024")</f>
        <v/>
      </c>
      <c r="V262">
        <f>HYPERLINK("https://klasma.github.io/Logging_2309/klagomål/A 49175-2024 FSC-klagomål.docx", "A 49175-2024")</f>
        <v/>
      </c>
      <c r="W262">
        <f>HYPERLINK("https://klasma.github.io/Logging_2309/klagomålsmail/A 49175-2024 FSC-klagomål mail.docx", "A 49175-2024")</f>
        <v/>
      </c>
      <c r="X262">
        <f>HYPERLINK("https://klasma.github.io/Logging_2309/tillsyn/A 49175-2024 tillsynsbegäran.docx", "A 49175-2024")</f>
        <v/>
      </c>
      <c r="Y262">
        <f>HYPERLINK("https://klasma.github.io/Logging_2309/tillsynsmail/A 49175-2024 tillsynsbegäran mail.docx", "A 49175-2024")</f>
        <v/>
      </c>
    </row>
    <row r="263" ht="15" customHeight="1">
      <c r="A263" t="inlineStr">
        <is>
          <t>A 806-2022</t>
        </is>
      </c>
      <c r="B263" s="1" t="n">
        <v>44568</v>
      </c>
      <c r="C263" s="1" t="n">
        <v>46082</v>
      </c>
      <c r="D263" t="inlineStr">
        <is>
          <t>JÄMTLANDS LÄN</t>
        </is>
      </c>
      <c r="E263" t="inlineStr">
        <is>
          <t>KROKOM</t>
        </is>
      </c>
      <c r="G263" t="n">
        <v>46.8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806-2022 artfynd.xlsx", "A 806-2022")</f>
        <v/>
      </c>
      <c r="T263">
        <f>HYPERLINK("https://klasma.github.io/Logging_2309/kartor/A 806-2022 karta.png", "A 806-2022")</f>
        <v/>
      </c>
      <c r="V263">
        <f>HYPERLINK("https://klasma.github.io/Logging_2309/klagomål/A 806-2022 FSC-klagomål.docx", "A 806-2022")</f>
        <v/>
      </c>
      <c r="W263">
        <f>HYPERLINK("https://klasma.github.io/Logging_2309/klagomålsmail/A 806-2022 FSC-klagomål mail.docx", "A 806-2022")</f>
        <v/>
      </c>
      <c r="X263">
        <f>HYPERLINK("https://klasma.github.io/Logging_2309/tillsyn/A 806-2022 tillsynsbegäran.docx", "A 806-2022")</f>
        <v/>
      </c>
      <c r="Y263">
        <f>HYPERLINK("https://klasma.github.io/Logging_2309/tillsynsmail/A 806-2022 tillsynsbegäran mail.docx", "A 806-2022")</f>
        <v/>
      </c>
      <c r="Z263">
        <f>HYPERLINK("https://klasma.github.io/Logging_2309/fåglar/A 806-2022 prioriterade fågelarter.docx", "A 806-2022")</f>
        <v/>
      </c>
    </row>
    <row r="264" ht="15" customHeight="1">
      <c r="A264" t="inlineStr">
        <is>
          <t>A 804-2022</t>
        </is>
      </c>
      <c r="B264" s="1" t="n">
        <v>44568</v>
      </c>
      <c r="C264" s="1" t="n">
        <v>46082</v>
      </c>
      <c r="D264" t="inlineStr">
        <is>
          <t>JÄMTLANDS LÄN</t>
        </is>
      </c>
      <c r="E264" t="inlineStr">
        <is>
          <t>KROKOM</t>
        </is>
      </c>
      <c r="G264" t="n">
        <v>20</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804-2022 artfynd.xlsx", "A 804-2022")</f>
        <v/>
      </c>
      <c r="T264">
        <f>HYPERLINK("https://klasma.github.io/Logging_2309/kartor/A 804-2022 karta.png", "A 804-2022")</f>
        <v/>
      </c>
      <c r="V264">
        <f>HYPERLINK("https://klasma.github.io/Logging_2309/klagomål/A 804-2022 FSC-klagomål.docx", "A 804-2022")</f>
        <v/>
      </c>
      <c r="W264">
        <f>HYPERLINK("https://klasma.github.io/Logging_2309/klagomålsmail/A 804-2022 FSC-klagomål mail.docx", "A 804-2022")</f>
        <v/>
      </c>
      <c r="X264">
        <f>HYPERLINK("https://klasma.github.io/Logging_2309/tillsyn/A 804-2022 tillsynsbegäran.docx", "A 804-2022")</f>
        <v/>
      </c>
      <c r="Y264">
        <f>HYPERLINK("https://klasma.github.io/Logging_2309/tillsynsmail/A 804-2022 tillsynsbegäran mail.docx", "A 804-2022")</f>
        <v/>
      </c>
      <c r="Z264">
        <f>HYPERLINK("https://klasma.github.io/Logging_2309/fåglar/A 804-2022 prioriterade fågelarter.docx", "A 804-2022")</f>
        <v/>
      </c>
    </row>
    <row r="265" ht="15" customHeight="1">
      <c r="A265" t="inlineStr">
        <is>
          <t>A 4876-2026</t>
        </is>
      </c>
      <c r="B265" s="1" t="n">
        <v>46048</v>
      </c>
      <c r="C265" s="1" t="n">
        <v>46082</v>
      </c>
      <c r="D265" t="inlineStr">
        <is>
          <t>JÄMTLANDS LÄN</t>
        </is>
      </c>
      <c r="E265" t="inlineStr">
        <is>
          <t>KROKOM</t>
        </is>
      </c>
      <c r="G265" t="n">
        <v>34.5</v>
      </c>
      <c r="H265" t="n">
        <v>0</v>
      </c>
      <c r="I265" t="n">
        <v>1</v>
      </c>
      <c r="J265" t="n">
        <v>0</v>
      </c>
      <c r="K265" t="n">
        <v>0</v>
      </c>
      <c r="L265" t="n">
        <v>0</v>
      </c>
      <c r="M265" t="n">
        <v>0</v>
      </c>
      <c r="N265" t="n">
        <v>0</v>
      </c>
      <c r="O265" t="n">
        <v>0</v>
      </c>
      <c r="P265" t="n">
        <v>0</v>
      </c>
      <c r="Q265" t="n">
        <v>1</v>
      </c>
      <c r="R265" s="2" t="inlineStr">
        <is>
          <t>Skinnlav</t>
        </is>
      </c>
      <c r="S265">
        <f>HYPERLINK("https://klasma.github.io/Logging_2309/artfynd/A 4876-2026 artfynd.xlsx", "A 4876-2026")</f>
        <v/>
      </c>
      <c r="T265">
        <f>HYPERLINK("https://klasma.github.io/Logging_2309/kartor/A 4876-2026 karta.png", "A 4876-2026")</f>
        <v/>
      </c>
      <c r="V265">
        <f>HYPERLINK("https://klasma.github.io/Logging_2309/klagomål/A 4876-2026 FSC-klagomål.docx", "A 4876-2026")</f>
        <v/>
      </c>
      <c r="W265">
        <f>HYPERLINK("https://klasma.github.io/Logging_2309/klagomålsmail/A 4876-2026 FSC-klagomål mail.docx", "A 4876-2026")</f>
        <v/>
      </c>
      <c r="X265">
        <f>HYPERLINK("https://klasma.github.io/Logging_2309/tillsyn/A 4876-2026 tillsynsbegäran.docx", "A 4876-2026")</f>
        <v/>
      </c>
      <c r="Y265">
        <f>HYPERLINK("https://klasma.github.io/Logging_2309/tillsynsmail/A 4876-2026 tillsynsbegäran mail.docx", "A 4876-2026")</f>
        <v/>
      </c>
    </row>
    <row r="266" ht="15" customHeight="1">
      <c r="A266" t="inlineStr">
        <is>
          <t>A 1824-2026</t>
        </is>
      </c>
      <c r="B266" s="1" t="n">
        <v>46035.36510416667</v>
      </c>
      <c r="C266" s="1" t="n">
        <v>46082</v>
      </c>
      <c r="D266" t="inlineStr">
        <is>
          <t>JÄMTLANDS LÄN</t>
        </is>
      </c>
      <c r="E266" t="inlineStr">
        <is>
          <t>KROKOM</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HYPERLINK("https://klasma.github.io/Logging_2309/artfynd/A 1824-2026 artfynd.xlsx", "A 1824-2026")</f>
        <v/>
      </c>
      <c r="T266">
        <f>HYPERLINK("https://klasma.github.io/Logging_2309/kartor/A 1824-2026 karta.png", "A 1824-2026")</f>
        <v/>
      </c>
      <c r="V266">
        <f>HYPERLINK("https://klasma.github.io/Logging_2309/klagomål/A 1824-2026 FSC-klagomål.docx", "A 1824-2026")</f>
        <v/>
      </c>
      <c r="W266">
        <f>HYPERLINK("https://klasma.github.io/Logging_2309/klagomålsmail/A 1824-2026 FSC-klagomål mail.docx", "A 1824-2026")</f>
        <v/>
      </c>
      <c r="X266">
        <f>HYPERLINK("https://klasma.github.io/Logging_2309/tillsyn/A 1824-2026 tillsynsbegäran.docx", "A 1824-2026")</f>
        <v/>
      </c>
      <c r="Y266">
        <f>HYPERLINK("https://klasma.github.io/Logging_2309/tillsynsmail/A 1824-2026 tillsynsbegäran mail.docx", "A 1824-2026")</f>
        <v/>
      </c>
    </row>
    <row r="267" ht="15" customHeight="1">
      <c r="A267" t="inlineStr">
        <is>
          <t>A 58805-2024</t>
        </is>
      </c>
      <c r="B267" s="1" t="n">
        <v>45635</v>
      </c>
      <c r="C267" s="1" t="n">
        <v>46082</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56628-2023</t>
        </is>
      </c>
      <c r="B268" s="1" t="n">
        <v>45243</v>
      </c>
      <c r="C268" s="1" t="n">
        <v>46082</v>
      </c>
      <c r="D268" t="inlineStr">
        <is>
          <t>JÄMTLANDS LÄN</t>
        </is>
      </c>
      <c r="E268" t="inlineStr">
        <is>
          <t>KROKOM</t>
        </is>
      </c>
      <c r="G268" t="n">
        <v>17.8</v>
      </c>
      <c r="H268" t="n">
        <v>1</v>
      </c>
      <c r="I268" t="n">
        <v>0</v>
      </c>
      <c r="J268" t="n">
        <v>0</v>
      </c>
      <c r="K268" t="n">
        <v>0</v>
      </c>
      <c r="L268" t="n">
        <v>0</v>
      </c>
      <c r="M268" t="n">
        <v>0</v>
      </c>
      <c r="N268" t="n">
        <v>0</v>
      </c>
      <c r="O268" t="n">
        <v>0</v>
      </c>
      <c r="P268" t="n">
        <v>0</v>
      </c>
      <c r="Q268" t="n">
        <v>1</v>
      </c>
      <c r="R268" s="2" t="inlineStr">
        <is>
          <t>Blåsippa</t>
        </is>
      </c>
      <c r="S268">
        <f>HYPERLINK("https://klasma.github.io/Logging_2309/artfynd/A 56628-2023 artfynd.xlsx", "A 56628-2023")</f>
        <v/>
      </c>
      <c r="T268">
        <f>HYPERLINK("https://klasma.github.io/Logging_2309/kartor/A 56628-2023 karta.png", "A 56628-2023")</f>
        <v/>
      </c>
      <c r="V268">
        <f>HYPERLINK("https://klasma.github.io/Logging_2309/klagomål/A 56628-2023 FSC-klagomål.docx", "A 56628-2023")</f>
        <v/>
      </c>
      <c r="W268">
        <f>HYPERLINK("https://klasma.github.io/Logging_2309/klagomålsmail/A 56628-2023 FSC-klagomål mail.docx", "A 56628-2023")</f>
        <v/>
      </c>
      <c r="X268">
        <f>HYPERLINK("https://klasma.github.io/Logging_2309/tillsyn/A 56628-2023 tillsynsbegäran.docx", "A 56628-2023")</f>
        <v/>
      </c>
      <c r="Y268">
        <f>HYPERLINK("https://klasma.github.io/Logging_2309/tillsynsmail/A 56628-2023 tillsynsbegäran mail.docx", "A 56628-2023")</f>
        <v/>
      </c>
    </row>
    <row r="269" ht="15" customHeight="1">
      <c r="A269" t="inlineStr">
        <is>
          <t>A 19282-2021</t>
        </is>
      </c>
      <c r="B269" s="1" t="n">
        <v>44308</v>
      </c>
      <c r="C269" s="1" t="n">
        <v>46082</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25285-2023</t>
        </is>
      </c>
      <c r="B270" s="1" t="n">
        <v>45079</v>
      </c>
      <c r="C270" s="1" t="n">
        <v>46082</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46082</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19984-2021</t>
        </is>
      </c>
      <c r="B272" s="1" t="n">
        <v>44313</v>
      </c>
      <c r="C272" s="1" t="n">
        <v>46082</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46082</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46082</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46082</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46082</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46082</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46082</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46082</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46082</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46082</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46082</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46082</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46082</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17528-2022</t>
        </is>
      </c>
      <c r="B285" s="1" t="n">
        <v>44679</v>
      </c>
      <c r="C285" s="1" t="n">
        <v>46082</v>
      </c>
      <c r="D285" t="inlineStr">
        <is>
          <t>JÄMTLANDS LÄN</t>
        </is>
      </c>
      <c r="E285" t="inlineStr">
        <is>
          <t>KROKOM</t>
        </is>
      </c>
      <c r="F285" t="inlineStr">
        <is>
          <t>Kyrkan</t>
        </is>
      </c>
      <c r="G285" t="n">
        <v>2.2</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46082</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46082</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46082</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46082</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46082</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46082</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46082</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46082</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46082</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46082</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46082</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46082</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46082</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46082</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46082</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46082</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46082</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46082</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46082</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46082</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46082</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46082</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46082</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46082</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46082</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46082</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46082</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46082</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46082</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46082</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46082</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46082</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46082</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46082</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46082</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46082</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46082</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46082</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46082</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46082</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46082</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46082</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46082</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46082</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46082</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46082</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46082</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46082</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46082</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46082</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46082</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46082</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46082</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46082</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46082</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46082</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46082</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46082</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46082</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46082</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9948-2025</t>
        </is>
      </c>
      <c r="B346" s="1" t="n">
        <v>45719.32584490741</v>
      </c>
      <c r="C346" s="1" t="n">
        <v>46082</v>
      </c>
      <c r="D346" t="inlineStr">
        <is>
          <t>JÄMTLANDS LÄN</t>
        </is>
      </c>
      <c r="E346" t="inlineStr">
        <is>
          <t>KROKOM</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16247-2025</t>
        </is>
      </c>
      <c r="B347" s="1" t="n">
        <v>45749</v>
      </c>
      <c r="C347" s="1" t="n">
        <v>46082</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10220-2025</t>
        </is>
      </c>
      <c r="B348" s="1" t="n">
        <v>45720</v>
      </c>
      <c r="C348" s="1" t="n">
        <v>46082</v>
      </c>
      <c r="D348" t="inlineStr">
        <is>
          <t>JÄMTLANDS LÄN</t>
        </is>
      </c>
      <c r="E348" t="inlineStr">
        <is>
          <t>KROKOM</t>
        </is>
      </c>
      <c r="G348" t="n">
        <v>0.2</v>
      </c>
      <c r="H348" t="n">
        <v>0</v>
      </c>
      <c r="I348" t="n">
        <v>0</v>
      </c>
      <c r="J348" t="n">
        <v>0</v>
      </c>
      <c r="K348" t="n">
        <v>0</v>
      </c>
      <c r="L348" t="n">
        <v>0</v>
      </c>
      <c r="M348" t="n">
        <v>0</v>
      </c>
      <c r="N348" t="n">
        <v>0</v>
      </c>
      <c r="O348" t="n">
        <v>0</v>
      </c>
      <c r="P348" t="n">
        <v>0</v>
      </c>
      <c r="Q348" t="n">
        <v>0</v>
      </c>
      <c r="R348" s="2" t="inlineStr"/>
    </row>
    <row r="349" ht="15" customHeight="1">
      <c r="A349" t="inlineStr">
        <is>
          <t>A 17383-2023</t>
        </is>
      </c>
      <c r="B349" s="1" t="n">
        <v>45035</v>
      </c>
      <c r="C349" s="1" t="n">
        <v>46082</v>
      </c>
      <c r="D349" t="inlineStr">
        <is>
          <t>JÄMTLANDS LÄN</t>
        </is>
      </c>
      <c r="E349" t="inlineStr">
        <is>
          <t>KROKOM</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47606-2023</t>
        </is>
      </c>
      <c r="B350" s="1" t="n">
        <v>45203.46523148148</v>
      </c>
      <c r="C350" s="1" t="n">
        <v>46082</v>
      </c>
      <c r="D350" t="inlineStr">
        <is>
          <t>JÄMTLANDS LÄN</t>
        </is>
      </c>
      <c r="E350" t="inlineStr">
        <is>
          <t>KROKOM</t>
        </is>
      </c>
      <c r="G350" t="n">
        <v>5.5</v>
      </c>
      <c r="H350" t="n">
        <v>0</v>
      </c>
      <c r="I350" t="n">
        <v>0</v>
      </c>
      <c r="J350" t="n">
        <v>0</v>
      </c>
      <c r="K350" t="n">
        <v>0</v>
      </c>
      <c r="L350" t="n">
        <v>0</v>
      </c>
      <c r="M350" t="n">
        <v>0</v>
      </c>
      <c r="N350" t="n">
        <v>0</v>
      </c>
      <c r="O350" t="n">
        <v>0</v>
      </c>
      <c r="P350" t="n">
        <v>0</v>
      </c>
      <c r="Q350" t="n">
        <v>0</v>
      </c>
      <c r="R350" s="2" t="inlineStr"/>
    </row>
    <row r="351" ht="15" customHeight="1">
      <c r="A351" t="inlineStr">
        <is>
          <t>A 41197-2022</t>
        </is>
      </c>
      <c r="B351" s="1" t="n">
        <v>44825</v>
      </c>
      <c r="C351" s="1" t="n">
        <v>46082</v>
      </c>
      <c r="D351" t="inlineStr">
        <is>
          <t>JÄMTLANDS LÄN</t>
        </is>
      </c>
      <c r="E351" t="inlineStr">
        <is>
          <t>KROKOM</t>
        </is>
      </c>
      <c r="G351" t="n">
        <v>0.6</v>
      </c>
      <c r="H351" t="n">
        <v>0</v>
      </c>
      <c r="I351" t="n">
        <v>0</v>
      </c>
      <c r="J351" t="n">
        <v>0</v>
      </c>
      <c r="K351" t="n">
        <v>0</v>
      </c>
      <c r="L351" t="n">
        <v>0</v>
      </c>
      <c r="M351" t="n">
        <v>0</v>
      </c>
      <c r="N351" t="n">
        <v>0</v>
      </c>
      <c r="O351" t="n">
        <v>0</v>
      </c>
      <c r="P351" t="n">
        <v>0</v>
      </c>
      <c r="Q351" t="n">
        <v>0</v>
      </c>
      <c r="R351" s="2" t="inlineStr"/>
    </row>
    <row r="352" ht="15" customHeight="1">
      <c r="A352" t="inlineStr">
        <is>
          <t>A 6145-2025</t>
        </is>
      </c>
      <c r="B352" s="1" t="n">
        <v>45698.39486111111</v>
      </c>
      <c r="C352" s="1" t="n">
        <v>46082</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13249-2024</t>
        </is>
      </c>
      <c r="B353" s="1" t="n">
        <v>45386</v>
      </c>
      <c r="C353" s="1" t="n">
        <v>46082</v>
      </c>
      <c r="D353" t="inlineStr">
        <is>
          <t>JÄMTLANDS LÄN</t>
        </is>
      </c>
      <c r="E353" t="inlineStr">
        <is>
          <t>KROKOM</t>
        </is>
      </c>
      <c r="G353" t="n">
        <v>2.4</v>
      </c>
      <c r="H353" t="n">
        <v>0</v>
      </c>
      <c r="I353" t="n">
        <v>0</v>
      </c>
      <c r="J353" t="n">
        <v>0</v>
      </c>
      <c r="K353" t="n">
        <v>0</v>
      </c>
      <c r="L353" t="n">
        <v>0</v>
      </c>
      <c r="M353" t="n">
        <v>0</v>
      </c>
      <c r="N353" t="n">
        <v>0</v>
      </c>
      <c r="O353" t="n">
        <v>0</v>
      </c>
      <c r="P353" t="n">
        <v>0</v>
      </c>
      <c r="Q353" t="n">
        <v>0</v>
      </c>
      <c r="R353" s="2" t="inlineStr"/>
    </row>
    <row r="354" ht="15" customHeight="1">
      <c r="A354" t="inlineStr">
        <is>
          <t>A 17298-2024</t>
        </is>
      </c>
      <c r="B354" s="1" t="n">
        <v>45414.486875</v>
      </c>
      <c r="C354" s="1" t="n">
        <v>46082</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39696-2024</t>
        </is>
      </c>
      <c r="B355" s="1" t="n">
        <v>45552.57210648148</v>
      </c>
      <c r="C355" s="1" t="n">
        <v>46082</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58677-2023</t>
        </is>
      </c>
      <c r="B356" s="1" t="n">
        <v>45251.65152777778</v>
      </c>
      <c r="C356" s="1" t="n">
        <v>46082</v>
      </c>
      <c r="D356" t="inlineStr">
        <is>
          <t>JÄMTLANDS LÄN</t>
        </is>
      </c>
      <c r="E356" t="inlineStr">
        <is>
          <t>KROKOM</t>
        </is>
      </c>
      <c r="G356" t="n">
        <v>3.6</v>
      </c>
      <c r="H356" t="n">
        <v>0</v>
      </c>
      <c r="I356" t="n">
        <v>0</v>
      </c>
      <c r="J356" t="n">
        <v>0</v>
      </c>
      <c r="K356" t="n">
        <v>0</v>
      </c>
      <c r="L356" t="n">
        <v>0</v>
      </c>
      <c r="M356" t="n">
        <v>0</v>
      </c>
      <c r="N356" t="n">
        <v>0</v>
      </c>
      <c r="O356" t="n">
        <v>0</v>
      </c>
      <c r="P356" t="n">
        <v>0</v>
      </c>
      <c r="Q356" t="n">
        <v>0</v>
      </c>
      <c r="R356" s="2" t="inlineStr"/>
    </row>
    <row r="357" ht="15" customHeight="1">
      <c r="A357" t="inlineStr">
        <is>
          <t>A 9027-2025</t>
        </is>
      </c>
      <c r="B357" s="1" t="n">
        <v>45713.60719907407</v>
      </c>
      <c r="C357" s="1" t="n">
        <v>46082</v>
      </c>
      <c r="D357" t="inlineStr">
        <is>
          <t>JÄMTLANDS LÄN</t>
        </is>
      </c>
      <c r="E357" t="inlineStr">
        <is>
          <t>KROKOM</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43932-2024</t>
        </is>
      </c>
      <c r="B358" s="1" t="n">
        <v>45572.45601851852</v>
      </c>
      <c r="C358" s="1" t="n">
        <v>46082</v>
      </c>
      <c r="D358" t="inlineStr">
        <is>
          <t>JÄMTLANDS LÄN</t>
        </is>
      </c>
      <c r="E358" t="inlineStr">
        <is>
          <t>KROKOM</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46082</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6900-2024</t>
        </is>
      </c>
      <c r="B360" s="1" t="n">
        <v>45342</v>
      </c>
      <c r="C360" s="1" t="n">
        <v>46082</v>
      </c>
      <c r="D360" t="inlineStr">
        <is>
          <t>JÄMTLANDS LÄN</t>
        </is>
      </c>
      <c r="E360" t="inlineStr">
        <is>
          <t>KROKOM</t>
        </is>
      </c>
      <c r="F360" t="inlineStr">
        <is>
          <t>SCA</t>
        </is>
      </c>
      <c r="G360" t="n">
        <v>64.59999999999999</v>
      </c>
      <c r="H360" t="n">
        <v>0</v>
      </c>
      <c r="I360" t="n">
        <v>0</v>
      </c>
      <c r="J360" t="n">
        <v>0</v>
      </c>
      <c r="K360" t="n">
        <v>0</v>
      </c>
      <c r="L360" t="n">
        <v>0</v>
      </c>
      <c r="M360" t="n">
        <v>0</v>
      </c>
      <c r="N360" t="n">
        <v>0</v>
      </c>
      <c r="O360" t="n">
        <v>0</v>
      </c>
      <c r="P360" t="n">
        <v>0</v>
      </c>
      <c r="Q360" t="n">
        <v>0</v>
      </c>
      <c r="R360" s="2" t="inlineStr"/>
    </row>
    <row r="361" ht="15" customHeight="1">
      <c r="A361" t="inlineStr">
        <is>
          <t>A 36122-2022</t>
        </is>
      </c>
      <c r="B361" s="1" t="n">
        <v>44803</v>
      </c>
      <c r="C361" s="1" t="n">
        <v>46082</v>
      </c>
      <c r="D361" t="inlineStr">
        <is>
          <t>JÄMTLANDS LÄN</t>
        </is>
      </c>
      <c r="E361" t="inlineStr">
        <is>
          <t>KROKOM</t>
        </is>
      </c>
      <c r="G361" t="n">
        <v>5.7</v>
      </c>
      <c r="H361" t="n">
        <v>0</v>
      </c>
      <c r="I361" t="n">
        <v>0</v>
      </c>
      <c r="J361" t="n">
        <v>0</v>
      </c>
      <c r="K361" t="n">
        <v>0</v>
      </c>
      <c r="L361" t="n">
        <v>0</v>
      </c>
      <c r="M361" t="n">
        <v>0</v>
      </c>
      <c r="N361" t="n">
        <v>0</v>
      </c>
      <c r="O361" t="n">
        <v>0</v>
      </c>
      <c r="P361" t="n">
        <v>0</v>
      </c>
      <c r="Q361" t="n">
        <v>0</v>
      </c>
      <c r="R361" s="2" t="inlineStr"/>
    </row>
    <row r="362" ht="15" customHeight="1">
      <c r="A362" t="inlineStr">
        <is>
          <t>A 6627-2025</t>
        </is>
      </c>
      <c r="B362" s="1" t="n">
        <v>45700.37127314815</v>
      </c>
      <c r="C362" s="1" t="n">
        <v>46082</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6629-2025</t>
        </is>
      </c>
      <c r="B363" s="1" t="n">
        <v>45700.37481481482</v>
      </c>
      <c r="C363" s="1" t="n">
        <v>46082</v>
      </c>
      <c r="D363" t="inlineStr">
        <is>
          <t>JÄMTLANDS LÄN</t>
        </is>
      </c>
      <c r="E363" t="inlineStr">
        <is>
          <t>KROKOM</t>
        </is>
      </c>
      <c r="F363" t="inlineStr">
        <is>
          <t>Övriga Aktiebolag</t>
        </is>
      </c>
      <c r="G363" t="n">
        <v>24.8</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46082</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15432-2025</t>
        </is>
      </c>
      <c r="B365" s="1" t="n">
        <v>45747.47025462963</v>
      </c>
      <c r="C365" s="1" t="n">
        <v>46082</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21000-2021</t>
        </is>
      </c>
      <c r="B366" s="1" t="n">
        <v>44316</v>
      </c>
      <c r="C366" s="1" t="n">
        <v>46082</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46082</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46082</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43426-2022</t>
        </is>
      </c>
      <c r="B369" s="1" t="n">
        <v>44834.95019675926</v>
      </c>
      <c r="C369" s="1" t="n">
        <v>46082</v>
      </c>
      <c r="D369" t="inlineStr">
        <is>
          <t>JÄMTLANDS LÄN</t>
        </is>
      </c>
      <c r="E369" t="inlineStr">
        <is>
          <t>KROKOM</t>
        </is>
      </c>
      <c r="F369" t="inlineStr">
        <is>
          <t>SCA</t>
        </is>
      </c>
      <c r="G369" t="n">
        <v>34.4</v>
      </c>
      <c r="H369" t="n">
        <v>0</v>
      </c>
      <c r="I369" t="n">
        <v>0</v>
      </c>
      <c r="J369" t="n">
        <v>0</v>
      </c>
      <c r="K369" t="n">
        <v>0</v>
      </c>
      <c r="L369" t="n">
        <v>0</v>
      </c>
      <c r="M369" t="n">
        <v>0</v>
      </c>
      <c r="N369" t="n">
        <v>0</v>
      </c>
      <c r="O369" t="n">
        <v>0</v>
      </c>
      <c r="P369" t="n">
        <v>0</v>
      </c>
      <c r="Q369" t="n">
        <v>0</v>
      </c>
      <c r="R369" s="2" t="inlineStr"/>
    </row>
    <row r="370" ht="15" customHeight="1">
      <c r="A370" t="inlineStr">
        <is>
          <t>A 24387-2023</t>
        </is>
      </c>
      <c r="B370" s="1" t="n">
        <v>45082</v>
      </c>
      <c r="C370" s="1" t="n">
        <v>46082</v>
      </c>
      <c r="D370" t="inlineStr">
        <is>
          <t>JÄMTLANDS LÄN</t>
        </is>
      </c>
      <c r="E370" t="inlineStr">
        <is>
          <t>KROKOM</t>
        </is>
      </c>
      <c r="F370" t="inlineStr">
        <is>
          <t>Kyrkan</t>
        </is>
      </c>
      <c r="G370" t="n">
        <v>21.2</v>
      </c>
      <c r="H370" t="n">
        <v>0</v>
      </c>
      <c r="I370" t="n">
        <v>0</v>
      </c>
      <c r="J370" t="n">
        <v>0</v>
      </c>
      <c r="K370" t="n">
        <v>0</v>
      </c>
      <c r="L370" t="n">
        <v>0</v>
      </c>
      <c r="M370" t="n">
        <v>0</v>
      </c>
      <c r="N370" t="n">
        <v>0</v>
      </c>
      <c r="O370" t="n">
        <v>0</v>
      </c>
      <c r="P370" t="n">
        <v>0</v>
      </c>
      <c r="Q370" t="n">
        <v>0</v>
      </c>
      <c r="R370" s="2" t="inlineStr"/>
    </row>
    <row r="371" ht="15" customHeight="1">
      <c r="A371" t="inlineStr">
        <is>
          <t>A 53765-2022</t>
        </is>
      </c>
      <c r="B371" s="1" t="n">
        <v>44875</v>
      </c>
      <c r="C371" s="1" t="n">
        <v>46082</v>
      </c>
      <c r="D371" t="inlineStr">
        <is>
          <t>JÄMTLANDS LÄN</t>
        </is>
      </c>
      <c r="E371" t="inlineStr">
        <is>
          <t>KROKOM</t>
        </is>
      </c>
      <c r="G371" t="n">
        <v>6.4</v>
      </c>
      <c r="H371" t="n">
        <v>0</v>
      </c>
      <c r="I371" t="n">
        <v>0</v>
      </c>
      <c r="J371" t="n">
        <v>0</v>
      </c>
      <c r="K371" t="n">
        <v>0</v>
      </c>
      <c r="L371" t="n">
        <v>0</v>
      </c>
      <c r="M371" t="n">
        <v>0</v>
      </c>
      <c r="N371" t="n">
        <v>0</v>
      </c>
      <c r="O371" t="n">
        <v>0</v>
      </c>
      <c r="P371" t="n">
        <v>0</v>
      </c>
      <c r="Q371" t="n">
        <v>0</v>
      </c>
      <c r="R371" s="2" t="inlineStr"/>
    </row>
    <row r="372" ht="15" customHeight="1">
      <c r="A372" t="inlineStr">
        <is>
          <t>A 53402-2022</t>
        </is>
      </c>
      <c r="B372" s="1" t="n">
        <v>44874</v>
      </c>
      <c r="C372" s="1" t="n">
        <v>46082</v>
      </c>
      <c r="D372" t="inlineStr">
        <is>
          <t>JÄMTLANDS LÄN</t>
        </is>
      </c>
      <c r="E372" t="inlineStr">
        <is>
          <t>KROKOM</t>
        </is>
      </c>
      <c r="G372" t="n">
        <v>36.7</v>
      </c>
      <c r="H372" t="n">
        <v>0</v>
      </c>
      <c r="I372" t="n">
        <v>0</v>
      </c>
      <c r="J372" t="n">
        <v>0</v>
      </c>
      <c r="K372" t="n">
        <v>0</v>
      </c>
      <c r="L372" t="n">
        <v>0</v>
      </c>
      <c r="M372" t="n">
        <v>0</v>
      </c>
      <c r="N372" t="n">
        <v>0</v>
      </c>
      <c r="O372" t="n">
        <v>0</v>
      </c>
      <c r="P372" t="n">
        <v>0</v>
      </c>
      <c r="Q372" t="n">
        <v>0</v>
      </c>
      <c r="R372" s="2" t="inlineStr"/>
    </row>
    <row r="373" ht="15" customHeight="1">
      <c r="A373" t="inlineStr">
        <is>
          <t>A 14293-2025</t>
        </is>
      </c>
      <c r="B373" s="1" t="n">
        <v>45740</v>
      </c>
      <c r="C373" s="1" t="n">
        <v>46082</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27224-2024</t>
        </is>
      </c>
      <c r="B374" s="1" t="n">
        <v>45471.63390046296</v>
      </c>
      <c r="C374" s="1" t="n">
        <v>46082</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58347-2022</t>
        </is>
      </c>
      <c r="B375" s="1" t="n">
        <v>44901.59349537037</v>
      </c>
      <c r="C375" s="1" t="n">
        <v>46082</v>
      </c>
      <c r="D375" t="inlineStr">
        <is>
          <t>JÄMTLANDS LÄN</t>
        </is>
      </c>
      <c r="E375" t="inlineStr">
        <is>
          <t>KROKOM</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40271-2024</t>
        </is>
      </c>
      <c r="B376" s="1" t="n">
        <v>45554</v>
      </c>
      <c r="C376" s="1" t="n">
        <v>46082</v>
      </c>
      <c r="D376" t="inlineStr">
        <is>
          <t>JÄMTLANDS LÄN</t>
        </is>
      </c>
      <c r="E376" t="inlineStr">
        <is>
          <t>KROKOM</t>
        </is>
      </c>
      <c r="F376" t="inlineStr">
        <is>
          <t>Övriga Aktiebolag</t>
        </is>
      </c>
      <c r="G376" t="n">
        <v>3</v>
      </c>
      <c r="H376" t="n">
        <v>0</v>
      </c>
      <c r="I376" t="n">
        <v>0</v>
      </c>
      <c r="J376" t="n">
        <v>0</v>
      </c>
      <c r="K376" t="n">
        <v>0</v>
      </c>
      <c r="L376" t="n">
        <v>0</v>
      </c>
      <c r="M376" t="n">
        <v>0</v>
      </c>
      <c r="N376" t="n">
        <v>0</v>
      </c>
      <c r="O376" t="n">
        <v>0</v>
      </c>
      <c r="P376" t="n">
        <v>0</v>
      </c>
      <c r="Q376" t="n">
        <v>0</v>
      </c>
      <c r="R376" s="2" t="inlineStr"/>
    </row>
    <row r="377" ht="15" customHeight="1">
      <c r="A377" t="inlineStr">
        <is>
          <t>A 56361-2023</t>
        </is>
      </c>
      <c r="B377" s="1" t="n">
        <v>45243.37567129629</v>
      </c>
      <c r="C377" s="1" t="n">
        <v>46082</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55914-2023</t>
        </is>
      </c>
      <c r="B378" s="1" t="n">
        <v>45239.9681712963</v>
      </c>
      <c r="C378" s="1" t="n">
        <v>46082</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61615-2023</t>
        </is>
      </c>
      <c r="B379" s="1" t="n">
        <v>45265.52887731481</v>
      </c>
      <c r="C379" s="1" t="n">
        <v>46082</v>
      </c>
      <c r="D379" t="inlineStr">
        <is>
          <t>JÄMTLANDS LÄN</t>
        </is>
      </c>
      <c r="E379" t="inlineStr">
        <is>
          <t>KROKOM</t>
        </is>
      </c>
      <c r="G379" t="n">
        <v>3.9</v>
      </c>
      <c r="H379" t="n">
        <v>0</v>
      </c>
      <c r="I379" t="n">
        <v>0</v>
      </c>
      <c r="J379" t="n">
        <v>0</v>
      </c>
      <c r="K379" t="n">
        <v>0</v>
      </c>
      <c r="L379" t="n">
        <v>0</v>
      </c>
      <c r="M379" t="n">
        <v>0</v>
      </c>
      <c r="N379" t="n">
        <v>0</v>
      </c>
      <c r="O379" t="n">
        <v>0</v>
      </c>
      <c r="P379" t="n">
        <v>0</v>
      </c>
      <c r="Q379" t="n">
        <v>0</v>
      </c>
      <c r="R379" s="2" t="inlineStr"/>
    </row>
    <row r="380" ht="15" customHeight="1">
      <c r="A380" t="inlineStr">
        <is>
          <t>A 14827-2024</t>
        </is>
      </c>
      <c r="B380" s="1" t="n">
        <v>45398</v>
      </c>
      <c r="C380" s="1" t="n">
        <v>46082</v>
      </c>
      <c r="D380" t="inlineStr">
        <is>
          <t>JÄMTLANDS LÄN</t>
        </is>
      </c>
      <c r="E380" t="inlineStr">
        <is>
          <t>KROKOM</t>
        </is>
      </c>
      <c r="G380" t="n">
        <v>10</v>
      </c>
      <c r="H380" t="n">
        <v>0</v>
      </c>
      <c r="I380" t="n">
        <v>0</v>
      </c>
      <c r="J380" t="n">
        <v>0</v>
      </c>
      <c r="K380" t="n">
        <v>0</v>
      </c>
      <c r="L380" t="n">
        <v>0</v>
      </c>
      <c r="M380" t="n">
        <v>0</v>
      </c>
      <c r="N380" t="n">
        <v>0</v>
      </c>
      <c r="O380" t="n">
        <v>0</v>
      </c>
      <c r="P380" t="n">
        <v>0</v>
      </c>
      <c r="Q380" t="n">
        <v>0</v>
      </c>
      <c r="R380" s="2" t="inlineStr"/>
    </row>
    <row r="381" ht="15" customHeight="1">
      <c r="A381" t="inlineStr">
        <is>
          <t>A 15638-2025</t>
        </is>
      </c>
      <c r="B381" s="1" t="n">
        <v>45748.3822337963</v>
      </c>
      <c r="C381" s="1" t="n">
        <v>46082</v>
      </c>
      <c r="D381" t="inlineStr">
        <is>
          <t>JÄMTLANDS LÄN</t>
        </is>
      </c>
      <c r="E381" t="inlineStr">
        <is>
          <t>KROKOM</t>
        </is>
      </c>
      <c r="F381" t="inlineStr">
        <is>
          <t>Kyrkan</t>
        </is>
      </c>
      <c r="G381" t="n">
        <v>5.9</v>
      </c>
      <c r="H381" t="n">
        <v>0</v>
      </c>
      <c r="I381" t="n">
        <v>0</v>
      </c>
      <c r="J381" t="n">
        <v>0</v>
      </c>
      <c r="K381" t="n">
        <v>0</v>
      </c>
      <c r="L381" t="n">
        <v>0</v>
      </c>
      <c r="M381" t="n">
        <v>0</v>
      </c>
      <c r="N381" t="n">
        <v>0</v>
      </c>
      <c r="O381" t="n">
        <v>0</v>
      </c>
      <c r="P381" t="n">
        <v>0</v>
      </c>
      <c r="Q381" t="n">
        <v>0</v>
      </c>
      <c r="R381" s="2" t="inlineStr"/>
    </row>
    <row r="382" ht="15" customHeight="1">
      <c r="A382" t="inlineStr">
        <is>
          <t>A 23665-2024</t>
        </is>
      </c>
      <c r="B382" s="1" t="n">
        <v>45454.57899305555</v>
      </c>
      <c r="C382" s="1" t="n">
        <v>46082</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27597-2024</t>
        </is>
      </c>
      <c r="B383" s="1" t="n">
        <v>45474.69155092593</v>
      </c>
      <c r="C383" s="1" t="n">
        <v>46082</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36079-2021</t>
        </is>
      </c>
      <c r="B384" s="1" t="n">
        <v>44389</v>
      </c>
      <c r="C384" s="1" t="n">
        <v>46082</v>
      </c>
      <c r="D384" t="inlineStr">
        <is>
          <t>JÄMTLANDS LÄN</t>
        </is>
      </c>
      <c r="E384" t="inlineStr">
        <is>
          <t>KROKOM</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24333-2024</t>
        </is>
      </c>
      <c r="B385" s="1" t="n">
        <v>45457.55922453704</v>
      </c>
      <c r="C385" s="1" t="n">
        <v>46082</v>
      </c>
      <c r="D385" t="inlineStr">
        <is>
          <t>JÄMTLANDS LÄN</t>
        </is>
      </c>
      <c r="E385" t="inlineStr">
        <is>
          <t>KROKOM</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58355-2023</t>
        </is>
      </c>
      <c r="B386" s="1" t="n">
        <v>45250</v>
      </c>
      <c r="C386" s="1" t="n">
        <v>46082</v>
      </c>
      <c r="D386" t="inlineStr">
        <is>
          <t>JÄMTLANDS LÄN</t>
        </is>
      </c>
      <c r="E386" t="inlineStr">
        <is>
          <t>KROKOM</t>
        </is>
      </c>
      <c r="F386" t="inlineStr">
        <is>
          <t>Övriga Aktiebolag</t>
        </is>
      </c>
      <c r="G386" t="n">
        <v>6.6</v>
      </c>
      <c r="H386" t="n">
        <v>0</v>
      </c>
      <c r="I386" t="n">
        <v>0</v>
      </c>
      <c r="J386" t="n">
        <v>0</v>
      </c>
      <c r="K386" t="n">
        <v>0</v>
      </c>
      <c r="L386" t="n">
        <v>0</v>
      </c>
      <c r="M386" t="n">
        <v>0</v>
      </c>
      <c r="N386" t="n">
        <v>0</v>
      </c>
      <c r="O386" t="n">
        <v>0</v>
      </c>
      <c r="P386" t="n">
        <v>0</v>
      </c>
      <c r="Q386" t="n">
        <v>0</v>
      </c>
      <c r="R386" s="2" t="inlineStr"/>
    </row>
    <row r="387" ht="15" customHeight="1">
      <c r="A387" t="inlineStr">
        <is>
          <t>A 16817-2024</t>
        </is>
      </c>
      <c r="B387" s="1" t="n">
        <v>45411.4666087963</v>
      </c>
      <c r="C387" s="1" t="n">
        <v>46082</v>
      </c>
      <c r="D387" t="inlineStr">
        <is>
          <t>JÄMTLANDS LÄN</t>
        </is>
      </c>
      <c r="E387" t="inlineStr">
        <is>
          <t>KROKOM</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46082</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52911-2023</t>
        </is>
      </c>
      <c r="B389" s="1" t="n">
        <v>45226</v>
      </c>
      <c r="C389" s="1" t="n">
        <v>46082</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14032-2024</t>
        </is>
      </c>
      <c r="B390" s="1" t="n">
        <v>45392</v>
      </c>
      <c r="C390" s="1" t="n">
        <v>46082</v>
      </c>
      <c r="D390" t="inlineStr">
        <is>
          <t>JÄMTLANDS LÄN</t>
        </is>
      </c>
      <c r="E390" t="inlineStr">
        <is>
          <t>KROKOM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46082</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28137-2023</t>
        </is>
      </c>
      <c r="B392" s="1" t="n">
        <v>45096</v>
      </c>
      <c r="C392" s="1" t="n">
        <v>46082</v>
      </c>
      <c r="D392" t="inlineStr">
        <is>
          <t>JÄMTLANDS LÄN</t>
        </is>
      </c>
      <c r="E392" t="inlineStr">
        <is>
          <t>KROKOM</t>
        </is>
      </c>
      <c r="G392" t="n">
        <v>1</v>
      </c>
      <c r="H392" t="n">
        <v>0</v>
      </c>
      <c r="I392" t="n">
        <v>0</v>
      </c>
      <c r="J392" t="n">
        <v>0</v>
      </c>
      <c r="K392" t="n">
        <v>0</v>
      </c>
      <c r="L392" t="n">
        <v>0</v>
      </c>
      <c r="M392" t="n">
        <v>0</v>
      </c>
      <c r="N392" t="n">
        <v>0</v>
      </c>
      <c r="O392" t="n">
        <v>0</v>
      </c>
      <c r="P392" t="n">
        <v>0</v>
      </c>
      <c r="Q392" t="n">
        <v>0</v>
      </c>
      <c r="R392" s="2" t="inlineStr"/>
    </row>
    <row r="393" ht="15" customHeight="1">
      <c r="A393" t="inlineStr">
        <is>
          <t>A 45869-2024</t>
        </is>
      </c>
      <c r="B393" s="1" t="n">
        <v>45580.36991898148</v>
      </c>
      <c r="C393" s="1" t="n">
        <v>46082</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17090-2024</t>
        </is>
      </c>
      <c r="B394" s="1" t="n">
        <v>45412.51260416667</v>
      </c>
      <c r="C394" s="1" t="n">
        <v>46082</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27596-2024</t>
        </is>
      </c>
      <c r="B395" s="1" t="n">
        <v>45474.69074074074</v>
      </c>
      <c r="C395" s="1" t="n">
        <v>46082</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9156-2025</t>
        </is>
      </c>
      <c r="B396" s="1" t="n">
        <v>45714.34859953704</v>
      </c>
      <c r="C396" s="1" t="n">
        <v>46082</v>
      </c>
      <c r="D396" t="inlineStr">
        <is>
          <t>JÄMTLANDS LÄN</t>
        </is>
      </c>
      <c r="E396" t="inlineStr">
        <is>
          <t>KROKOM</t>
        </is>
      </c>
      <c r="F396" t="inlineStr">
        <is>
          <t>Övriga Aktiebolag</t>
        </is>
      </c>
      <c r="G396" t="n">
        <v>26.7</v>
      </c>
      <c r="H396" t="n">
        <v>0</v>
      </c>
      <c r="I396" t="n">
        <v>0</v>
      </c>
      <c r="J396" t="n">
        <v>0</v>
      </c>
      <c r="K396" t="n">
        <v>0</v>
      </c>
      <c r="L396" t="n">
        <v>0</v>
      </c>
      <c r="M396" t="n">
        <v>0</v>
      </c>
      <c r="N396" t="n">
        <v>0</v>
      </c>
      <c r="O396" t="n">
        <v>0</v>
      </c>
      <c r="P396" t="n">
        <v>0</v>
      </c>
      <c r="Q396" t="n">
        <v>0</v>
      </c>
      <c r="R396" s="2" t="inlineStr"/>
      <c r="U396">
        <f>HYPERLINK("https://klasma.github.io/Logging_2309/knärot/A 9156-2025 karta knärot.png", "A 9156-2025")</f>
        <v/>
      </c>
      <c r="V396">
        <f>HYPERLINK("https://klasma.github.io/Logging_2309/klagomål/A 9156-2025 FSC-klagomål.docx", "A 9156-2025")</f>
        <v/>
      </c>
      <c r="W396">
        <f>HYPERLINK("https://klasma.github.io/Logging_2309/klagomålsmail/A 9156-2025 FSC-klagomål mail.docx", "A 9156-2025")</f>
        <v/>
      </c>
      <c r="X396">
        <f>HYPERLINK("https://klasma.github.io/Logging_2309/tillsyn/A 9156-2025 tillsynsbegäran.docx", "A 9156-2025")</f>
        <v/>
      </c>
      <c r="Y396">
        <f>HYPERLINK("https://klasma.github.io/Logging_2309/tillsynsmail/A 9156-2025 tillsynsbegäran mail.docx", "A 9156-2025")</f>
        <v/>
      </c>
    </row>
    <row r="397" ht="15" customHeight="1">
      <c r="A397" t="inlineStr">
        <is>
          <t>A 63960-2023</t>
        </is>
      </c>
      <c r="B397" s="1" t="n">
        <v>45278.65582175926</v>
      </c>
      <c r="C397" s="1" t="n">
        <v>46082</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61675-2022</t>
        </is>
      </c>
      <c r="B398" s="1" t="n">
        <v>44911</v>
      </c>
      <c r="C398" s="1" t="n">
        <v>46082</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26228-2024</t>
        </is>
      </c>
      <c r="B399" s="1" t="n">
        <v>45467</v>
      </c>
      <c r="C399" s="1" t="n">
        <v>46082</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46082</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46082</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29524-2024</t>
        </is>
      </c>
      <c r="B402" s="1" t="n">
        <v>45484</v>
      </c>
      <c r="C402" s="1" t="n">
        <v>46082</v>
      </c>
      <c r="D402" t="inlineStr">
        <is>
          <t>JÄMTLANDS LÄN</t>
        </is>
      </c>
      <c r="E402" t="inlineStr">
        <is>
          <t>KROKOM</t>
        </is>
      </c>
      <c r="F402" t="inlineStr">
        <is>
          <t>Övriga Aktiebolag</t>
        </is>
      </c>
      <c r="G402" t="n">
        <v>10.6</v>
      </c>
      <c r="H402" t="n">
        <v>0</v>
      </c>
      <c r="I402" t="n">
        <v>0</v>
      </c>
      <c r="J402" t="n">
        <v>0</v>
      </c>
      <c r="K402" t="n">
        <v>0</v>
      </c>
      <c r="L402" t="n">
        <v>0</v>
      </c>
      <c r="M402" t="n">
        <v>0</v>
      </c>
      <c r="N402" t="n">
        <v>0</v>
      </c>
      <c r="O402" t="n">
        <v>0</v>
      </c>
      <c r="P402" t="n">
        <v>0</v>
      </c>
      <c r="Q402" t="n">
        <v>0</v>
      </c>
      <c r="R402" s="2" t="inlineStr"/>
    </row>
    <row r="403" ht="15" customHeight="1">
      <c r="A403" t="inlineStr">
        <is>
          <t>A 52258-2022</t>
        </is>
      </c>
      <c r="B403" s="1" t="n">
        <v>44873</v>
      </c>
      <c r="C403" s="1" t="n">
        <v>46082</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28210-2024</t>
        </is>
      </c>
      <c r="B404" s="1" t="n">
        <v>45477.35225694445</v>
      </c>
      <c r="C404" s="1" t="n">
        <v>46082</v>
      </c>
      <c r="D404" t="inlineStr">
        <is>
          <t>JÄMTLANDS LÄN</t>
        </is>
      </c>
      <c r="E404" t="inlineStr">
        <is>
          <t>KROKOM</t>
        </is>
      </c>
      <c r="F404" t="inlineStr">
        <is>
          <t>Övriga Aktiebolag</t>
        </is>
      </c>
      <c r="G404" t="n">
        <v>0.1</v>
      </c>
      <c r="H404" t="n">
        <v>0</v>
      </c>
      <c r="I404" t="n">
        <v>0</v>
      </c>
      <c r="J404" t="n">
        <v>0</v>
      </c>
      <c r="K404" t="n">
        <v>0</v>
      </c>
      <c r="L404" t="n">
        <v>0</v>
      </c>
      <c r="M404" t="n">
        <v>0</v>
      </c>
      <c r="N404" t="n">
        <v>0</v>
      </c>
      <c r="O404" t="n">
        <v>0</v>
      </c>
      <c r="P404" t="n">
        <v>0</v>
      </c>
      <c r="Q404" t="n">
        <v>0</v>
      </c>
      <c r="R404" s="2" t="inlineStr"/>
    </row>
    <row r="405" ht="15" customHeight="1">
      <c r="A405" t="inlineStr">
        <is>
          <t>A 31550-2023</t>
        </is>
      </c>
      <c r="B405" s="1" t="n">
        <v>45117</v>
      </c>
      <c r="C405" s="1" t="n">
        <v>46082</v>
      </c>
      <c r="D405" t="inlineStr">
        <is>
          <t>JÄMTLANDS LÄN</t>
        </is>
      </c>
      <c r="E405" t="inlineStr">
        <is>
          <t>KROKOM</t>
        </is>
      </c>
      <c r="G405" t="n">
        <v>4.5</v>
      </c>
      <c r="H405" t="n">
        <v>0</v>
      </c>
      <c r="I405" t="n">
        <v>0</v>
      </c>
      <c r="J405" t="n">
        <v>0</v>
      </c>
      <c r="K405" t="n">
        <v>0</v>
      </c>
      <c r="L405" t="n">
        <v>0</v>
      </c>
      <c r="M405" t="n">
        <v>0</v>
      </c>
      <c r="N405" t="n">
        <v>0</v>
      </c>
      <c r="O405" t="n">
        <v>0</v>
      </c>
      <c r="P405" t="n">
        <v>0</v>
      </c>
      <c r="Q405" t="n">
        <v>0</v>
      </c>
      <c r="R405" s="2" t="inlineStr"/>
    </row>
    <row r="406" ht="15" customHeight="1">
      <c r="A406" t="inlineStr">
        <is>
          <t>A 2236-2024</t>
        </is>
      </c>
      <c r="B406" s="1" t="n">
        <v>45309.94650462963</v>
      </c>
      <c r="C406" s="1" t="n">
        <v>46082</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35720-2024</t>
        </is>
      </c>
      <c r="B407" s="1" t="n">
        <v>45532.48732638889</v>
      </c>
      <c r="C407" s="1" t="n">
        <v>46082</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66880-2021</t>
        </is>
      </c>
      <c r="B408" s="1" t="n">
        <v>44522.46662037037</v>
      </c>
      <c r="C408" s="1" t="n">
        <v>46082</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233-2023</t>
        </is>
      </c>
      <c r="B409" s="1" t="n">
        <v>44922</v>
      </c>
      <c r="C409" s="1" t="n">
        <v>46082</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19635-2024</t>
        </is>
      </c>
      <c r="B410" s="1" t="n">
        <v>45432.36971064815</v>
      </c>
      <c r="C410" s="1" t="n">
        <v>46082</v>
      </c>
      <c r="D410" t="inlineStr">
        <is>
          <t>JÄMTLANDS LÄN</t>
        </is>
      </c>
      <c r="E410" t="inlineStr">
        <is>
          <t>KROKOM</t>
        </is>
      </c>
      <c r="G410" t="n">
        <v>14.5</v>
      </c>
      <c r="H410" t="n">
        <v>0</v>
      </c>
      <c r="I410" t="n">
        <v>0</v>
      </c>
      <c r="J410" t="n">
        <v>0</v>
      </c>
      <c r="K410" t="n">
        <v>0</v>
      </c>
      <c r="L410" t="n">
        <v>0</v>
      </c>
      <c r="M410" t="n">
        <v>0</v>
      </c>
      <c r="N410" t="n">
        <v>0</v>
      </c>
      <c r="O410" t="n">
        <v>0</v>
      </c>
      <c r="P410" t="n">
        <v>0</v>
      </c>
      <c r="Q410" t="n">
        <v>0</v>
      </c>
      <c r="R410" s="2" t="inlineStr"/>
    </row>
    <row r="411" ht="15" customHeight="1">
      <c r="A411" t="inlineStr">
        <is>
          <t>A 22411-2024</t>
        </is>
      </c>
      <c r="B411" s="1" t="n">
        <v>45446.68733796296</v>
      </c>
      <c r="C411" s="1" t="n">
        <v>46082</v>
      </c>
      <c r="D411" t="inlineStr">
        <is>
          <t>JÄMTLANDS LÄN</t>
        </is>
      </c>
      <c r="E411" t="inlineStr">
        <is>
          <t>KROKOM</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58734-2024</t>
        </is>
      </c>
      <c r="B412" s="1" t="n">
        <v>45635.67949074074</v>
      </c>
      <c r="C412" s="1" t="n">
        <v>46082</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52111-2024</t>
        </is>
      </c>
      <c r="B413" s="1" t="n">
        <v>45608.43930555556</v>
      </c>
      <c r="C413" s="1" t="n">
        <v>46082</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46082</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46082</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27729-2024</t>
        </is>
      </c>
      <c r="B416" s="1" t="n">
        <v>45475</v>
      </c>
      <c r="C416" s="1" t="n">
        <v>46082</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28191-2024</t>
        </is>
      </c>
      <c r="B417" s="1" t="n">
        <v>45477.32728009259</v>
      </c>
      <c r="C417" s="1" t="n">
        <v>46082</v>
      </c>
      <c r="D417" t="inlineStr">
        <is>
          <t>JÄMTLANDS LÄN</t>
        </is>
      </c>
      <c r="E417" t="inlineStr">
        <is>
          <t>KROKOM</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10533-2025</t>
        </is>
      </c>
      <c r="B418" s="1" t="n">
        <v>45721.45563657407</v>
      </c>
      <c r="C418" s="1" t="n">
        <v>46082</v>
      </c>
      <c r="D418" t="inlineStr">
        <is>
          <t>JÄMTLANDS LÄN</t>
        </is>
      </c>
      <c r="E418" t="inlineStr">
        <is>
          <t>KROKOM</t>
        </is>
      </c>
      <c r="F418" t="inlineStr">
        <is>
          <t>SCA</t>
        </is>
      </c>
      <c r="G418" t="n">
        <v>64.90000000000001</v>
      </c>
      <c r="H418" t="n">
        <v>0</v>
      </c>
      <c r="I418" t="n">
        <v>0</v>
      </c>
      <c r="J418" t="n">
        <v>0</v>
      </c>
      <c r="K418" t="n">
        <v>0</v>
      </c>
      <c r="L418" t="n">
        <v>0</v>
      </c>
      <c r="M418" t="n">
        <v>0</v>
      </c>
      <c r="N418" t="n">
        <v>0</v>
      </c>
      <c r="O418" t="n">
        <v>0</v>
      </c>
      <c r="P418" t="n">
        <v>0</v>
      </c>
      <c r="Q418" t="n">
        <v>0</v>
      </c>
      <c r="R418" s="2" t="inlineStr"/>
    </row>
    <row r="419" ht="15" customHeight="1">
      <c r="A419" t="inlineStr">
        <is>
          <t>A 30065-2024</t>
        </is>
      </c>
      <c r="B419" s="1" t="n">
        <v>45488.94857638889</v>
      </c>
      <c r="C419" s="1" t="n">
        <v>46082</v>
      </c>
      <c r="D419" t="inlineStr">
        <is>
          <t>JÄMTLANDS LÄN</t>
        </is>
      </c>
      <c r="E419" t="inlineStr">
        <is>
          <t>KROKOM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29896-2021</t>
        </is>
      </c>
      <c r="B420" s="1" t="n">
        <v>44362</v>
      </c>
      <c r="C420" s="1" t="n">
        <v>46082</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36929-2024</t>
        </is>
      </c>
      <c r="B421" s="1" t="n">
        <v>45538.68200231482</v>
      </c>
      <c r="C421" s="1" t="n">
        <v>46082</v>
      </c>
      <c r="D421" t="inlineStr">
        <is>
          <t>JÄMTLANDS LÄN</t>
        </is>
      </c>
      <c r="E421" t="inlineStr">
        <is>
          <t>KROKOM</t>
        </is>
      </c>
      <c r="G421" t="n">
        <v>1.1</v>
      </c>
      <c r="H421" t="n">
        <v>0</v>
      </c>
      <c r="I421" t="n">
        <v>0</v>
      </c>
      <c r="J421" t="n">
        <v>0</v>
      </c>
      <c r="K421" t="n">
        <v>0</v>
      </c>
      <c r="L421" t="n">
        <v>0</v>
      </c>
      <c r="M421" t="n">
        <v>0</v>
      </c>
      <c r="N421" t="n">
        <v>0</v>
      </c>
      <c r="O421" t="n">
        <v>0</v>
      </c>
      <c r="P421" t="n">
        <v>0</v>
      </c>
      <c r="Q421" t="n">
        <v>0</v>
      </c>
      <c r="R421" s="2" t="inlineStr"/>
    </row>
    <row r="422" ht="15" customHeight="1">
      <c r="A422" t="inlineStr">
        <is>
          <t>A 6214-2022</t>
        </is>
      </c>
      <c r="B422" s="1" t="n">
        <v>44600.37212962963</v>
      </c>
      <c r="C422" s="1" t="n">
        <v>46082</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1877-2023</t>
        </is>
      </c>
      <c r="B423" s="1" t="n">
        <v>44938.93989583333</v>
      </c>
      <c r="C423" s="1" t="n">
        <v>46082</v>
      </c>
      <c r="D423" t="inlineStr">
        <is>
          <t>JÄMTLANDS LÄN</t>
        </is>
      </c>
      <c r="E423" t="inlineStr">
        <is>
          <t>KROKOM</t>
        </is>
      </c>
      <c r="G423" t="n">
        <v>11.1</v>
      </c>
      <c r="H423" t="n">
        <v>0</v>
      </c>
      <c r="I423" t="n">
        <v>0</v>
      </c>
      <c r="J423" t="n">
        <v>0</v>
      </c>
      <c r="K423" t="n">
        <v>0</v>
      </c>
      <c r="L423" t="n">
        <v>0</v>
      </c>
      <c r="M423" t="n">
        <v>0</v>
      </c>
      <c r="N423" t="n">
        <v>0</v>
      </c>
      <c r="O423" t="n">
        <v>0</v>
      </c>
      <c r="P423" t="n">
        <v>0</v>
      </c>
      <c r="Q423" t="n">
        <v>0</v>
      </c>
      <c r="R423" s="2" t="inlineStr"/>
    </row>
    <row r="424" ht="15" customHeight="1">
      <c r="A424" t="inlineStr">
        <is>
          <t>A 4741-2022</t>
        </is>
      </c>
      <c r="B424" s="1" t="n">
        <v>44592</v>
      </c>
      <c r="C424" s="1" t="n">
        <v>46082</v>
      </c>
      <c r="D424" t="inlineStr">
        <is>
          <t>JÄMTLANDS LÄN</t>
        </is>
      </c>
      <c r="E424" t="inlineStr">
        <is>
          <t>KROKOM</t>
        </is>
      </c>
      <c r="G424" t="n">
        <v>54.2</v>
      </c>
      <c r="H424" t="n">
        <v>0</v>
      </c>
      <c r="I424" t="n">
        <v>0</v>
      </c>
      <c r="J424" t="n">
        <v>0</v>
      </c>
      <c r="K424" t="n">
        <v>0</v>
      </c>
      <c r="L424" t="n">
        <v>0</v>
      </c>
      <c r="M424" t="n">
        <v>0</v>
      </c>
      <c r="N424" t="n">
        <v>0</v>
      </c>
      <c r="O424" t="n">
        <v>0</v>
      </c>
      <c r="P424" t="n">
        <v>0</v>
      </c>
      <c r="Q424" t="n">
        <v>0</v>
      </c>
      <c r="R424" s="2" t="inlineStr"/>
    </row>
    <row r="425" ht="15" customHeight="1">
      <c r="A425" t="inlineStr">
        <is>
          <t>A 38416-2025</t>
        </is>
      </c>
      <c r="B425" s="1" t="n">
        <v>45883.61028935185</v>
      </c>
      <c r="C425" s="1" t="n">
        <v>46082</v>
      </c>
      <c r="D425" t="inlineStr">
        <is>
          <t>JÄMTLANDS LÄN</t>
        </is>
      </c>
      <c r="E425" t="inlineStr">
        <is>
          <t>KROKOM</t>
        </is>
      </c>
      <c r="G425" t="n">
        <v>1.6</v>
      </c>
      <c r="H425" t="n">
        <v>0</v>
      </c>
      <c r="I425" t="n">
        <v>0</v>
      </c>
      <c r="J425" t="n">
        <v>0</v>
      </c>
      <c r="K425" t="n">
        <v>0</v>
      </c>
      <c r="L425" t="n">
        <v>0</v>
      </c>
      <c r="M425" t="n">
        <v>0</v>
      </c>
      <c r="N425" t="n">
        <v>0</v>
      </c>
      <c r="O425" t="n">
        <v>0</v>
      </c>
      <c r="P425" t="n">
        <v>0</v>
      </c>
      <c r="Q425" t="n">
        <v>0</v>
      </c>
      <c r="R425" s="2" t="inlineStr"/>
    </row>
    <row r="426" ht="15" customHeight="1">
      <c r="A426" t="inlineStr">
        <is>
          <t>A 4608-2025</t>
        </is>
      </c>
      <c r="B426" s="1" t="n">
        <v>45687</v>
      </c>
      <c r="C426" s="1" t="n">
        <v>46082</v>
      </c>
      <c r="D426" t="inlineStr">
        <is>
          <t>JÄMTLANDS LÄN</t>
        </is>
      </c>
      <c r="E426" t="inlineStr">
        <is>
          <t>KROKOM</t>
        </is>
      </c>
      <c r="F426" t="inlineStr">
        <is>
          <t>SCA</t>
        </is>
      </c>
      <c r="G426" t="n">
        <v>16.6</v>
      </c>
      <c r="H426" t="n">
        <v>0</v>
      </c>
      <c r="I426" t="n">
        <v>0</v>
      </c>
      <c r="J426" t="n">
        <v>0</v>
      </c>
      <c r="K426" t="n">
        <v>0</v>
      </c>
      <c r="L426" t="n">
        <v>0</v>
      </c>
      <c r="M426" t="n">
        <v>0</v>
      </c>
      <c r="N426" t="n">
        <v>0</v>
      </c>
      <c r="O426" t="n">
        <v>0</v>
      </c>
      <c r="P426" t="n">
        <v>0</v>
      </c>
      <c r="Q426" t="n">
        <v>0</v>
      </c>
      <c r="R426" s="2" t="inlineStr"/>
    </row>
    <row r="427" ht="15" customHeight="1">
      <c r="A427" t="inlineStr">
        <is>
          <t>A 61078-2023</t>
        </is>
      </c>
      <c r="B427" s="1" t="n">
        <v>45261</v>
      </c>
      <c r="C427" s="1" t="n">
        <v>46082</v>
      </c>
      <c r="D427" t="inlineStr">
        <is>
          <t>JÄMTLANDS LÄN</t>
        </is>
      </c>
      <c r="E427" t="inlineStr">
        <is>
          <t>KROKOM</t>
        </is>
      </c>
      <c r="G427" t="n">
        <v>5.7</v>
      </c>
      <c r="H427" t="n">
        <v>0</v>
      </c>
      <c r="I427" t="n">
        <v>0</v>
      </c>
      <c r="J427" t="n">
        <v>0</v>
      </c>
      <c r="K427" t="n">
        <v>0</v>
      </c>
      <c r="L427" t="n">
        <v>0</v>
      </c>
      <c r="M427" t="n">
        <v>0</v>
      </c>
      <c r="N427" t="n">
        <v>0</v>
      </c>
      <c r="O427" t="n">
        <v>0</v>
      </c>
      <c r="P427" t="n">
        <v>0</v>
      </c>
      <c r="Q427" t="n">
        <v>0</v>
      </c>
      <c r="R427" s="2" t="inlineStr"/>
    </row>
    <row r="428" ht="15" customHeight="1">
      <c r="A428" t="inlineStr">
        <is>
          <t>A 10498-2025</t>
        </is>
      </c>
      <c r="B428" s="1" t="n">
        <v>45721</v>
      </c>
      <c r="C428" s="1" t="n">
        <v>46082</v>
      </c>
      <c r="D428" t="inlineStr">
        <is>
          <t>JÄMTLANDS LÄN</t>
        </is>
      </c>
      <c r="E428" t="inlineStr">
        <is>
          <t>KROKOM</t>
        </is>
      </c>
      <c r="G428" t="n">
        <v>1</v>
      </c>
      <c r="H428" t="n">
        <v>0</v>
      </c>
      <c r="I428" t="n">
        <v>0</v>
      </c>
      <c r="J428" t="n">
        <v>0</v>
      </c>
      <c r="K428" t="n">
        <v>0</v>
      </c>
      <c r="L428" t="n">
        <v>0</v>
      </c>
      <c r="M428" t="n">
        <v>0</v>
      </c>
      <c r="N428" t="n">
        <v>0</v>
      </c>
      <c r="O428" t="n">
        <v>0</v>
      </c>
      <c r="P428" t="n">
        <v>0</v>
      </c>
      <c r="Q428" t="n">
        <v>0</v>
      </c>
      <c r="R428" s="2" t="inlineStr"/>
    </row>
    <row r="429" ht="15" customHeight="1">
      <c r="A429" t="inlineStr">
        <is>
          <t>A 22629-2022</t>
        </is>
      </c>
      <c r="B429" s="1" t="n">
        <v>44714.438125</v>
      </c>
      <c r="C429" s="1" t="n">
        <v>46082</v>
      </c>
      <c r="D429" t="inlineStr">
        <is>
          <t>JÄMTLANDS LÄN</t>
        </is>
      </c>
      <c r="E429" t="inlineStr">
        <is>
          <t>KROKOM</t>
        </is>
      </c>
      <c r="G429" t="n">
        <v>17.1</v>
      </c>
      <c r="H429" t="n">
        <v>0</v>
      </c>
      <c r="I429" t="n">
        <v>0</v>
      </c>
      <c r="J429" t="n">
        <v>0</v>
      </c>
      <c r="K429" t="n">
        <v>0</v>
      </c>
      <c r="L429" t="n">
        <v>0</v>
      </c>
      <c r="M429" t="n">
        <v>0</v>
      </c>
      <c r="N429" t="n">
        <v>0</v>
      </c>
      <c r="O429" t="n">
        <v>0</v>
      </c>
      <c r="P429" t="n">
        <v>0</v>
      </c>
      <c r="Q429" t="n">
        <v>0</v>
      </c>
      <c r="R429" s="2" t="inlineStr"/>
    </row>
    <row r="430" ht="15" customHeight="1">
      <c r="A430" t="inlineStr">
        <is>
          <t>A 58052-2022</t>
        </is>
      </c>
      <c r="B430" s="1" t="n">
        <v>44893</v>
      </c>
      <c r="C430" s="1" t="n">
        <v>46082</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26212-2025</t>
        </is>
      </c>
      <c r="B431" s="1" t="n">
        <v>45805.54185185185</v>
      </c>
      <c r="C431" s="1" t="n">
        <v>46082</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16345-2025</t>
        </is>
      </c>
      <c r="B432" s="1" t="n">
        <v>45751.3734837963</v>
      </c>
      <c r="C432" s="1" t="n">
        <v>46082</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16481-2025</t>
        </is>
      </c>
      <c r="B433" s="1" t="n">
        <v>45751.57877314815</v>
      </c>
      <c r="C433" s="1" t="n">
        <v>46082</v>
      </c>
      <c r="D433" t="inlineStr">
        <is>
          <t>JÄMTLANDS LÄN</t>
        </is>
      </c>
      <c r="E433" t="inlineStr">
        <is>
          <t>KROKOM</t>
        </is>
      </c>
      <c r="G433" t="n">
        <v>8.4</v>
      </c>
      <c r="H433" t="n">
        <v>0</v>
      </c>
      <c r="I433" t="n">
        <v>0</v>
      </c>
      <c r="J433" t="n">
        <v>0</v>
      </c>
      <c r="K433" t="n">
        <v>0</v>
      </c>
      <c r="L433" t="n">
        <v>0</v>
      </c>
      <c r="M433" t="n">
        <v>0</v>
      </c>
      <c r="N433" t="n">
        <v>0</v>
      </c>
      <c r="O433" t="n">
        <v>0</v>
      </c>
      <c r="P433" t="n">
        <v>0</v>
      </c>
      <c r="Q433" t="n">
        <v>0</v>
      </c>
      <c r="R433" s="2" t="inlineStr"/>
    </row>
    <row r="434" ht="15" customHeight="1">
      <c r="A434" t="inlineStr">
        <is>
          <t>A 16064-2024</t>
        </is>
      </c>
      <c r="B434" s="1" t="n">
        <v>45406.05033564815</v>
      </c>
      <c r="C434" s="1" t="n">
        <v>46082</v>
      </c>
      <c r="D434" t="inlineStr">
        <is>
          <t>JÄMTLANDS LÄN</t>
        </is>
      </c>
      <c r="E434" t="inlineStr">
        <is>
          <t>KROKOM</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12838-2025</t>
        </is>
      </c>
      <c r="B435" s="1" t="n">
        <v>45733</v>
      </c>
      <c r="C435" s="1" t="n">
        <v>46082</v>
      </c>
      <c r="D435" t="inlineStr">
        <is>
          <t>JÄMTLANDS LÄN</t>
        </is>
      </c>
      <c r="E435" t="inlineStr">
        <is>
          <t>KROKOM</t>
        </is>
      </c>
      <c r="G435" t="n">
        <v>59.3</v>
      </c>
      <c r="H435" t="n">
        <v>0</v>
      </c>
      <c r="I435" t="n">
        <v>0</v>
      </c>
      <c r="J435" t="n">
        <v>0</v>
      </c>
      <c r="K435" t="n">
        <v>0</v>
      </c>
      <c r="L435" t="n">
        <v>0</v>
      </c>
      <c r="M435" t="n">
        <v>0</v>
      </c>
      <c r="N435" t="n">
        <v>0</v>
      </c>
      <c r="O435" t="n">
        <v>0</v>
      </c>
      <c r="P435" t="n">
        <v>0</v>
      </c>
      <c r="Q435" t="n">
        <v>0</v>
      </c>
      <c r="R435" s="2" t="inlineStr"/>
    </row>
    <row r="436" ht="15" customHeight="1">
      <c r="A436" t="inlineStr">
        <is>
          <t>A 26272-2025</t>
        </is>
      </c>
      <c r="B436" s="1" t="n">
        <v>45805</v>
      </c>
      <c r="C436" s="1" t="n">
        <v>46082</v>
      </c>
      <c r="D436" t="inlineStr">
        <is>
          <t>JÄMTLANDS LÄN</t>
        </is>
      </c>
      <c r="E436" t="inlineStr">
        <is>
          <t>KROKOM</t>
        </is>
      </c>
      <c r="G436" t="n">
        <v>22.4</v>
      </c>
      <c r="H436" t="n">
        <v>0</v>
      </c>
      <c r="I436" t="n">
        <v>0</v>
      </c>
      <c r="J436" t="n">
        <v>0</v>
      </c>
      <c r="K436" t="n">
        <v>0</v>
      </c>
      <c r="L436" t="n">
        <v>0</v>
      </c>
      <c r="M436" t="n">
        <v>0</v>
      </c>
      <c r="N436" t="n">
        <v>0</v>
      </c>
      <c r="O436" t="n">
        <v>0</v>
      </c>
      <c r="P436" t="n">
        <v>0</v>
      </c>
      <c r="Q436" t="n">
        <v>0</v>
      </c>
      <c r="R436" s="2" t="inlineStr"/>
    </row>
    <row r="437" ht="15" customHeight="1">
      <c r="A437" t="inlineStr">
        <is>
          <t>A 59076-2022</t>
        </is>
      </c>
      <c r="B437" s="1" t="n">
        <v>44904</v>
      </c>
      <c r="C437" s="1" t="n">
        <v>46082</v>
      </c>
      <c r="D437" t="inlineStr">
        <is>
          <t>JÄMTLANDS LÄN</t>
        </is>
      </c>
      <c r="E437" t="inlineStr">
        <is>
          <t>KROKOM</t>
        </is>
      </c>
      <c r="G437" t="n">
        <v>3.4</v>
      </c>
      <c r="H437" t="n">
        <v>0</v>
      </c>
      <c r="I437" t="n">
        <v>0</v>
      </c>
      <c r="J437" t="n">
        <v>0</v>
      </c>
      <c r="K437" t="n">
        <v>0</v>
      </c>
      <c r="L437" t="n">
        <v>0</v>
      </c>
      <c r="M437" t="n">
        <v>0</v>
      </c>
      <c r="N437" t="n">
        <v>0</v>
      </c>
      <c r="O437" t="n">
        <v>0</v>
      </c>
      <c r="P437" t="n">
        <v>0</v>
      </c>
      <c r="Q437" t="n">
        <v>0</v>
      </c>
      <c r="R437" s="2" t="inlineStr"/>
    </row>
    <row r="438" ht="15" customHeight="1">
      <c r="A438" t="inlineStr">
        <is>
          <t>A 5409-2025</t>
        </is>
      </c>
      <c r="B438" s="1" t="n">
        <v>45692</v>
      </c>
      <c r="C438" s="1" t="n">
        <v>46082</v>
      </c>
      <c r="D438" t="inlineStr">
        <is>
          <t>JÄMTLANDS LÄN</t>
        </is>
      </c>
      <c r="E438" t="inlineStr">
        <is>
          <t>KROKOM</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6024-2025</t>
        </is>
      </c>
      <c r="B439" s="1" t="n">
        <v>45695.61160879629</v>
      </c>
      <c r="C439" s="1" t="n">
        <v>46082</v>
      </c>
      <c r="D439" t="inlineStr">
        <is>
          <t>JÄMTLANDS LÄN</t>
        </is>
      </c>
      <c r="E439" t="inlineStr">
        <is>
          <t>KROKOM</t>
        </is>
      </c>
      <c r="F439" t="inlineStr">
        <is>
          <t>Övriga Aktiebolag</t>
        </is>
      </c>
      <c r="G439" t="n">
        <v>3.1</v>
      </c>
      <c r="H439" t="n">
        <v>0</v>
      </c>
      <c r="I439" t="n">
        <v>0</v>
      </c>
      <c r="J439" t="n">
        <v>0</v>
      </c>
      <c r="K439" t="n">
        <v>0</v>
      </c>
      <c r="L439" t="n">
        <v>0</v>
      </c>
      <c r="M439" t="n">
        <v>0</v>
      </c>
      <c r="N439" t="n">
        <v>0</v>
      </c>
      <c r="O439" t="n">
        <v>0</v>
      </c>
      <c r="P439" t="n">
        <v>0</v>
      </c>
      <c r="Q439" t="n">
        <v>0</v>
      </c>
      <c r="R439" s="2" t="inlineStr"/>
    </row>
    <row r="440" ht="15" customHeight="1">
      <c r="A440" t="inlineStr">
        <is>
          <t>A 32676-2023</t>
        </is>
      </c>
      <c r="B440" s="1" t="n">
        <v>45121</v>
      </c>
      <c r="C440" s="1" t="n">
        <v>46082</v>
      </c>
      <c r="D440" t="inlineStr">
        <is>
          <t>JÄMTLANDS LÄN</t>
        </is>
      </c>
      <c r="E440" t="inlineStr">
        <is>
          <t>KROKOM</t>
        </is>
      </c>
      <c r="F440" t="inlineStr">
        <is>
          <t>Övriga Aktiebolag</t>
        </is>
      </c>
      <c r="G440" t="n">
        <v>7.1</v>
      </c>
      <c r="H440" t="n">
        <v>0</v>
      </c>
      <c r="I440" t="n">
        <v>0</v>
      </c>
      <c r="J440" t="n">
        <v>0</v>
      </c>
      <c r="K440" t="n">
        <v>0</v>
      </c>
      <c r="L440" t="n">
        <v>0</v>
      </c>
      <c r="M440" t="n">
        <v>0</v>
      </c>
      <c r="N440" t="n">
        <v>0</v>
      </c>
      <c r="O440" t="n">
        <v>0</v>
      </c>
      <c r="P440" t="n">
        <v>0</v>
      </c>
      <c r="Q440" t="n">
        <v>0</v>
      </c>
      <c r="R440" s="2" t="inlineStr"/>
    </row>
    <row r="441" ht="15" customHeight="1">
      <c r="A441" t="inlineStr">
        <is>
          <t>A 39206-2025</t>
        </is>
      </c>
      <c r="B441" s="1" t="n">
        <v>45888.72766203704</v>
      </c>
      <c r="C441" s="1" t="n">
        <v>46082</v>
      </c>
      <c r="D441" t="inlineStr">
        <is>
          <t>JÄMTLANDS LÄN</t>
        </is>
      </c>
      <c r="E441" t="inlineStr">
        <is>
          <t>KROKOM</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30709-2024</t>
        </is>
      </c>
      <c r="B442" s="1" t="n">
        <v>45496.41289351852</v>
      </c>
      <c r="C442" s="1" t="n">
        <v>46082</v>
      </c>
      <c r="D442" t="inlineStr">
        <is>
          <t>JÄMTLANDS LÄN</t>
        </is>
      </c>
      <c r="E442" t="inlineStr">
        <is>
          <t>KROKOM</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54817-2024</t>
        </is>
      </c>
      <c r="B443" s="1" t="n">
        <v>45618.53126157408</v>
      </c>
      <c r="C443" s="1" t="n">
        <v>46082</v>
      </c>
      <c r="D443" t="inlineStr">
        <is>
          <t>JÄMTLANDS LÄN</t>
        </is>
      </c>
      <c r="E443" t="inlineStr">
        <is>
          <t>KROKOM</t>
        </is>
      </c>
      <c r="G443" t="n">
        <v>8.4</v>
      </c>
      <c r="H443" t="n">
        <v>0</v>
      </c>
      <c r="I443" t="n">
        <v>0</v>
      </c>
      <c r="J443" t="n">
        <v>0</v>
      </c>
      <c r="K443" t="n">
        <v>0</v>
      </c>
      <c r="L443" t="n">
        <v>0</v>
      </c>
      <c r="M443" t="n">
        <v>0</v>
      </c>
      <c r="N443" t="n">
        <v>0</v>
      </c>
      <c r="O443" t="n">
        <v>0</v>
      </c>
      <c r="P443" t="n">
        <v>0</v>
      </c>
      <c r="Q443" t="n">
        <v>0</v>
      </c>
      <c r="R443" s="2" t="inlineStr"/>
    </row>
    <row r="444" ht="15" customHeight="1">
      <c r="A444" t="inlineStr">
        <is>
          <t>A 54823-2024</t>
        </is>
      </c>
      <c r="B444" s="1" t="n">
        <v>45618.53633101852</v>
      </c>
      <c r="C444" s="1" t="n">
        <v>46082</v>
      </c>
      <c r="D444" t="inlineStr">
        <is>
          <t>JÄMTLANDS LÄN</t>
        </is>
      </c>
      <c r="E444" t="inlineStr">
        <is>
          <t>KROKOM</t>
        </is>
      </c>
      <c r="G444" t="n">
        <v>4</v>
      </c>
      <c r="H444" t="n">
        <v>0</v>
      </c>
      <c r="I444" t="n">
        <v>0</v>
      </c>
      <c r="J444" t="n">
        <v>0</v>
      </c>
      <c r="K444" t="n">
        <v>0</v>
      </c>
      <c r="L444" t="n">
        <v>0</v>
      </c>
      <c r="M444" t="n">
        <v>0</v>
      </c>
      <c r="N444" t="n">
        <v>0</v>
      </c>
      <c r="O444" t="n">
        <v>0</v>
      </c>
      <c r="P444" t="n">
        <v>0</v>
      </c>
      <c r="Q444" t="n">
        <v>0</v>
      </c>
      <c r="R444" s="2" t="inlineStr"/>
    </row>
    <row r="445" ht="15" customHeight="1">
      <c r="A445" t="inlineStr">
        <is>
          <t>A 26544-2025</t>
        </is>
      </c>
      <c r="B445" s="1" t="n">
        <v>45807.58930555556</v>
      </c>
      <c r="C445" s="1" t="n">
        <v>46082</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50417-2024</t>
        </is>
      </c>
      <c r="B446" s="1" t="n">
        <v>45601.38071759259</v>
      </c>
      <c r="C446" s="1" t="n">
        <v>46082</v>
      </c>
      <c r="D446" t="inlineStr">
        <is>
          <t>JÄMTLANDS LÄN</t>
        </is>
      </c>
      <c r="E446" t="inlineStr">
        <is>
          <t>KROKOM</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26621-2025</t>
        </is>
      </c>
      <c r="B447" s="1" t="n">
        <v>45810.32105324074</v>
      </c>
      <c r="C447" s="1" t="n">
        <v>46082</v>
      </c>
      <c r="D447" t="inlineStr">
        <is>
          <t>JÄMTLANDS LÄN</t>
        </is>
      </c>
      <c r="E447" t="inlineStr">
        <is>
          <t>KROKOM</t>
        </is>
      </c>
      <c r="G447" t="n">
        <v>0.8</v>
      </c>
      <c r="H447" t="n">
        <v>0</v>
      </c>
      <c r="I447" t="n">
        <v>0</v>
      </c>
      <c r="J447" t="n">
        <v>0</v>
      </c>
      <c r="K447" t="n">
        <v>0</v>
      </c>
      <c r="L447" t="n">
        <v>0</v>
      </c>
      <c r="M447" t="n">
        <v>0</v>
      </c>
      <c r="N447" t="n">
        <v>0</v>
      </c>
      <c r="O447" t="n">
        <v>0</v>
      </c>
      <c r="P447" t="n">
        <v>0</v>
      </c>
      <c r="Q447" t="n">
        <v>0</v>
      </c>
      <c r="R447" s="2" t="inlineStr"/>
    </row>
    <row r="448" ht="15" customHeight="1">
      <c r="A448" t="inlineStr">
        <is>
          <t>A 40213-2024</t>
        </is>
      </c>
      <c r="B448" s="1" t="n">
        <v>45554.59447916667</v>
      </c>
      <c r="C448" s="1" t="n">
        <v>46082</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38894-2025</t>
        </is>
      </c>
      <c r="B449" s="1" t="n">
        <v>45887.59064814815</v>
      </c>
      <c r="C449" s="1" t="n">
        <v>46082</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39368-2024</t>
        </is>
      </c>
      <c r="B450" s="1" t="n">
        <v>45551.47325231481</v>
      </c>
      <c r="C450" s="1" t="n">
        <v>46082</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26527-2025</t>
        </is>
      </c>
      <c r="B451" s="1" t="n">
        <v>45807.56728009259</v>
      </c>
      <c r="C451" s="1" t="n">
        <v>46082</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6590-2025</t>
        </is>
      </c>
      <c r="B452" s="1" t="n">
        <v>45700.30092592593</v>
      </c>
      <c r="C452" s="1" t="n">
        <v>46082</v>
      </c>
      <c r="D452" t="inlineStr">
        <is>
          <t>JÄMTLANDS LÄN</t>
        </is>
      </c>
      <c r="E452" t="inlineStr">
        <is>
          <t>KROKOM</t>
        </is>
      </c>
      <c r="F452" t="inlineStr">
        <is>
          <t>Övriga Aktiebolag</t>
        </is>
      </c>
      <c r="G452" t="n">
        <v>51.6</v>
      </c>
      <c r="H452" t="n">
        <v>0</v>
      </c>
      <c r="I452" t="n">
        <v>0</v>
      </c>
      <c r="J452" t="n">
        <v>0</v>
      </c>
      <c r="K452" t="n">
        <v>0</v>
      </c>
      <c r="L452" t="n">
        <v>0</v>
      </c>
      <c r="M452" t="n">
        <v>0</v>
      </c>
      <c r="N452" t="n">
        <v>0</v>
      </c>
      <c r="O452" t="n">
        <v>0</v>
      </c>
      <c r="P452" t="n">
        <v>0</v>
      </c>
      <c r="Q452" t="n">
        <v>0</v>
      </c>
      <c r="R452" s="2" t="inlineStr"/>
    </row>
    <row r="453" ht="15" customHeight="1">
      <c r="A453" t="inlineStr">
        <is>
          <t>A 31927-2023</t>
        </is>
      </c>
      <c r="B453" s="1" t="n">
        <v>45118.94061342593</v>
      </c>
      <c r="C453" s="1" t="n">
        <v>46082</v>
      </c>
      <c r="D453" t="inlineStr">
        <is>
          <t>JÄMTLANDS LÄN</t>
        </is>
      </c>
      <c r="E453" t="inlineStr">
        <is>
          <t>KROKOM</t>
        </is>
      </c>
      <c r="G453" t="n">
        <v>56.6</v>
      </c>
      <c r="H453" t="n">
        <v>0</v>
      </c>
      <c r="I453" t="n">
        <v>0</v>
      </c>
      <c r="J453" t="n">
        <v>0</v>
      </c>
      <c r="K453" t="n">
        <v>0</v>
      </c>
      <c r="L453" t="n">
        <v>0</v>
      </c>
      <c r="M453" t="n">
        <v>0</v>
      </c>
      <c r="N453" t="n">
        <v>0</v>
      </c>
      <c r="O453" t="n">
        <v>0</v>
      </c>
      <c r="P453" t="n">
        <v>0</v>
      </c>
      <c r="Q453" t="n">
        <v>0</v>
      </c>
      <c r="R453" s="2" t="inlineStr"/>
    </row>
    <row r="454" ht="15" customHeight="1">
      <c r="A454" t="inlineStr">
        <is>
          <t>A 38789-2025</t>
        </is>
      </c>
      <c r="B454" s="1" t="n">
        <v>45887.44883101852</v>
      </c>
      <c r="C454" s="1" t="n">
        <v>46082</v>
      </c>
      <c r="D454" t="inlineStr">
        <is>
          <t>JÄMTLANDS LÄN</t>
        </is>
      </c>
      <c r="E454" t="inlineStr">
        <is>
          <t>KROKOM</t>
        </is>
      </c>
      <c r="G454" t="n">
        <v>3.7</v>
      </c>
      <c r="H454" t="n">
        <v>0</v>
      </c>
      <c r="I454" t="n">
        <v>0</v>
      </c>
      <c r="J454" t="n">
        <v>0</v>
      </c>
      <c r="K454" t="n">
        <v>0</v>
      </c>
      <c r="L454" t="n">
        <v>0</v>
      </c>
      <c r="M454" t="n">
        <v>0</v>
      </c>
      <c r="N454" t="n">
        <v>0</v>
      </c>
      <c r="O454" t="n">
        <v>0</v>
      </c>
      <c r="P454" t="n">
        <v>0</v>
      </c>
      <c r="Q454" t="n">
        <v>0</v>
      </c>
      <c r="R454" s="2" t="inlineStr"/>
    </row>
    <row r="455" ht="15" customHeight="1">
      <c r="A455" t="inlineStr">
        <is>
          <t>A 27431-2024</t>
        </is>
      </c>
      <c r="B455" s="1" t="n">
        <v>45474.3981712963</v>
      </c>
      <c r="C455" s="1" t="n">
        <v>46082</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30383-2024</t>
        </is>
      </c>
      <c r="B456" s="1" t="n">
        <v>45491.44971064815</v>
      </c>
      <c r="C456" s="1" t="n">
        <v>46082</v>
      </c>
      <c r="D456" t="inlineStr">
        <is>
          <t>JÄMTLANDS LÄN</t>
        </is>
      </c>
      <c r="E456" t="inlineStr">
        <is>
          <t>KROKOM</t>
        </is>
      </c>
      <c r="G456" t="n">
        <v>22.9</v>
      </c>
      <c r="H456" t="n">
        <v>0</v>
      </c>
      <c r="I456" t="n">
        <v>0</v>
      </c>
      <c r="J456" t="n">
        <v>0</v>
      </c>
      <c r="K456" t="n">
        <v>0</v>
      </c>
      <c r="L456" t="n">
        <v>0</v>
      </c>
      <c r="M456" t="n">
        <v>0</v>
      </c>
      <c r="N456" t="n">
        <v>0</v>
      </c>
      <c r="O456" t="n">
        <v>0</v>
      </c>
      <c r="P456" t="n">
        <v>0</v>
      </c>
      <c r="Q456" t="n">
        <v>0</v>
      </c>
      <c r="R456" s="2" t="inlineStr"/>
    </row>
    <row r="457" ht="15" customHeight="1">
      <c r="A457" t="inlineStr">
        <is>
          <t>A 13722-2025</t>
        </is>
      </c>
      <c r="B457" s="1" t="n">
        <v>45737.36873842592</v>
      </c>
      <c r="C457" s="1" t="n">
        <v>46082</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39230-2024</t>
        </is>
      </c>
      <c r="B458" s="1" t="n">
        <v>45550.66542824074</v>
      </c>
      <c r="C458" s="1" t="n">
        <v>46082</v>
      </c>
      <c r="D458" t="inlineStr">
        <is>
          <t>JÄMTLANDS LÄN</t>
        </is>
      </c>
      <c r="E458" t="inlineStr">
        <is>
          <t>KROKOM</t>
        </is>
      </c>
      <c r="G458" t="n">
        <v>7.9</v>
      </c>
      <c r="H458" t="n">
        <v>0</v>
      </c>
      <c r="I458" t="n">
        <v>0</v>
      </c>
      <c r="J458" t="n">
        <v>0</v>
      </c>
      <c r="K458" t="n">
        <v>0</v>
      </c>
      <c r="L458" t="n">
        <v>0</v>
      </c>
      <c r="M458" t="n">
        <v>0</v>
      </c>
      <c r="N458" t="n">
        <v>0</v>
      </c>
      <c r="O458" t="n">
        <v>0</v>
      </c>
      <c r="P458" t="n">
        <v>0</v>
      </c>
      <c r="Q458" t="n">
        <v>0</v>
      </c>
      <c r="R458" s="2" t="inlineStr"/>
    </row>
    <row r="459" ht="15" customHeight="1">
      <c r="A459" t="inlineStr">
        <is>
          <t>A 44154-2024</t>
        </is>
      </c>
      <c r="B459" s="1" t="n">
        <v>45572</v>
      </c>
      <c r="C459" s="1" t="n">
        <v>46082</v>
      </c>
      <c r="D459" t="inlineStr">
        <is>
          <t>JÄMTLANDS LÄN</t>
        </is>
      </c>
      <c r="E459" t="inlineStr">
        <is>
          <t>KROKOM</t>
        </is>
      </c>
      <c r="F459" t="inlineStr">
        <is>
          <t>SCA</t>
        </is>
      </c>
      <c r="G459" t="n">
        <v>28.9</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46082</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61732-2021</t>
        </is>
      </c>
      <c r="B461" s="1" t="n">
        <v>44498</v>
      </c>
      <c r="C461" s="1" t="n">
        <v>46082</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27153-2025</t>
        </is>
      </c>
      <c r="B462" s="1" t="n">
        <v>45812.32266203704</v>
      </c>
      <c r="C462" s="1" t="n">
        <v>46082</v>
      </c>
      <c r="D462" t="inlineStr">
        <is>
          <t>JÄMTLANDS LÄN</t>
        </is>
      </c>
      <c r="E462" t="inlineStr">
        <is>
          <t>KROKOM</t>
        </is>
      </c>
      <c r="G462" t="n">
        <v>15.8</v>
      </c>
      <c r="H462" t="n">
        <v>0</v>
      </c>
      <c r="I462" t="n">
        <v>0</v>
      </c>
      <c r="J462" t="n">
        <v>0</v>
      </c>
      <c r="K462" t="n">
        <v>0</v>
      </c>
      <c r="L462" t="n">
        <v>0</v>
      </c>
      <c r="M462" t="n">
        <v>0</v>
      </c>
      <c r="N462" t="n">
        <v>0</v>
      </c>
      <c r="O462" t="n">
        <v>0</v>
      </c>
      <c r="P462" t="n">
        <v>0</v>
      </c>
      <c r="Q462" t="n">
        <v>0</v>
      </c>
      <c r="R462" s="2" t="inlineStr"/>
    </row>
    <row r="463" ht="15" customHeight="1">
      <c r="A463" t="inlineStr">
        <is>
          <t>A 41972-2024</t>
        </is>
      </c>
      <c r="B463" s="1" t="n">
        <v>45561.61515046296</v>
      </c>
      <c r="C463" s="1" t="n">
        <v>46082</v>
      </c>
      <c r="D463" t="inlineStr">
        <is>
          <t>JÄMTLANDS LÄN</t>
        </is>
      </c>
      <c r="E463" t="inlineStr">
        <is>
          <t>KROKOM</t>
        </is>
      </c>
      <c r="G463" t="n">
        <v>1.2</v>
      </c>
      <c r="H463" t="n">
        <v>0</v>
      </c>
      <c r="I463" t="n">
        <v>0</v>
      </c>
      <c r="J463" t="n">
        <v>0</v>
      </c>
      <c r="K463" t="n">
        <v>0</v>
      </c>
      <c r="L463" t="n">
        <v>0</v>
      </c>
      <c r="M463" t="n">
        <v>0</v>
      </c>
      <c r="N463" t="n">
        <v>0</v>
      </c>
      <c r="O463" t="n">
        <v>0</v>
      </c>
      <c r="P463" t="n">
        <v>0</v>
      </c>
      <c r="Q463" t="n">
        <v>0</v>
      </c>
      <c r="R463" s="2" t="inlineStr"/>
    </row>
    <row r="464" ht="15" customHeight="1">
      <c r="A464" t="inlineStr">
        <is>
          <t>A 38885-2025</t>
        </is>
      </c>
      <c r="B464" s="1" t="n">
        <v>45887.58372685185</v>
      </c>
      <c r="C464" s="1" t="n">
        <v>46082</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39205-2025</t>
        </is>
      </c>
      <c r="B465" s="1" t="n">
        <v>45888.72445601852</v>
      </c>
      <c r="C465" s="1" t="n">
        <v>46082</v>
      </c>
      <c r="D465" t="inlineStr">
        <is>
          <t>JÄMTLANDS LÄN</t>
        </is>
      </c>
      <c r="E465" t="inlineStr">
        <is>
          <t>KROKOM</t>
        </is>
      </c>
      <c r="F465" t="inlineStr">
        <is>
          <t>Kyrkan</t>
        </is>
      </c>
      <c r="G465" t="n">
        <v>20.6</v>
      </c>
      <c r="H465" t="n">
        <v>0</v>
      </c>
      <c r="I465" t="n">
        <v>0</v>
      </c>
      <c r="J465" t="n">
        <v>0</v>
      </c>
      <c r="K465" t="n">
        <v>0</v>
      </c>
      <c r="L465" t="n">
        <v>0</v>
      </c>
      <c r="M465" t="n">
        <v>0</v>
      </c>
      <c r="N465" t="n">
        <v>0</v>
      </c>
      <c r="O465" t="n">
        <v>0</v>
      </c>
      <c r="P465" t="n">
        <v>0</v>
      </c>
      <c r="Q465" t="n">
        <v>0</v>
      </c>
      <c r="R465" s="2" t="inlineStr"/>
    </row>
    <row r="466" ht="15" customHeight="1">
      <c r="A466" t="inlineStr">
        <is>
          <t>A 6711-2025</t>
        </is>
      </c>
      <c r="B466" s="1" t="n">
        <v>45700.56194444445</v>
      </c>
      <c r="C466" s="1" t="n">
        <v>46082</v>
      </c>
      <c r="D466" t="inlineStr">
        <is>
          <t>JÄMTLANDS LÄN</t>
        </is>
      </c>
      <c r="E466" t="inlineStr">
        <is>
          <t>KROKOM</t>
        </is>
      </c>
      <c r="F466" t="inlineStr">
        <is>
          <t>Övriga Aktiebolag</t>
        </is>
      </c>
      <c r="G466" t="n">
        <v>37.6</v>
      </c>
      <c r="H466" t="n">
        <v>0</v>
      </c>
      <c r="I466" t="n">
        <v>0</v>
      </c>
      <c r="J466" t="n">
        <v>0</v>
      </c>
      <c r="K466" t="n">
        <v>0</v>
      </c>
      <c r="L466" t="n">
        <v>0</v>
      </c>
      <c r="M466" t="n">
        <v>0</v>
      </c>
      <c r="N466" t="n">
        <v>0</v>
      </c>
      <c r="O466" t="n">
        <v>0</v>
      </c>
      <c r="P466" t="n">
        <v>0</v>
      </c>
      <c r="Q466" t="n">
        <v>0</v>
      </c>
      <c r="R466" s="2" t="inlineStr"/>
    </row>
    <row r="467" ht="15" customHeight="1">
      <c r="A467" t="inlineStr">
        <is>
          <t>A 16199-2025</t>
        </is>
      </c>
      <c r="B467" s="1" t="n">
        <v>45750.60577546297</v>
      </c>
      <c r="C467" s="1" t="n">
        <v>46082</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27104-2025</t>
        </is>
      </c>
      <c r="B468" s="1" t="n">
        <v>45811.69912037037</v>
      </c>
      <c r="C468" s="1" t="n">
        <v>46082</v>
      </c>
      <c r="D468" t="inlineStr">
        <is>
          <t>JÄMTLANDS LÄN</t>
        </is>
      </c>
      <c r="E468" t="inlineStr">
        <is>
          <t>KROKOM</t>
        </is>
      </c>
      <c r="G468" t="n">
        <v>14.4</v>
      </c>
      <c r="H468" t="n">
        <v>0</v>
      </c>
      <c r="I468" t="n">
        <v>0</v>
      </c>
      <c r="J468" t="n">
        <v>0</v>
      </c>
      <c r="K468" t="n">
        <v>0</v>
      </c>
      <c r="L468" t="n">
        <v>0</v>
      </c>
      <c r="M468" t="n">
        <v>0</v>
      </c>
      <c r="N468" t="n">
        <v>0</v>
      </c>
      <c r="O468" t="n">
        <v>0</v>
      </c>
      <c r="P468" t="n">
        <v>0</v>
      </c>
      <c r="Q468" t="n">
        <v>0</v>
      </c>
      <c r="R468" s="2" t="inlineStr"/>
    </row>
    <row r="469" ht="15" customHeight="1">
      <c r="A469" t="inlineStr">
        <is>
          <t>A 44156-2024</t>
        </is>
      </c>
      <c r="B469" s="1" t="n">
        <v>45572</v>
      </c>
      <c r="C469" s="1" t="n">
        <v>46082</v>
      </c>
      <c r="D469" t="inlineStr">
        <is>
          <t>JÄMTLANDS LÄN</t>
        </is>
      </c>
      <c r="E469" t="inlineStr">
        <is>
          <t>KROKOM</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27522-2025</t>
        </is>
      </c>
      <c r="B470" s="1" t="n">
        <v>45813.44443287037</v>
      </c>
      <c r="C470" s="1" t="n">
        <v>46082</v>
      </c>
      <c r="D470" t="inlineStr">
        <is>
          <t>JÄMTLANDS LÄN</t>
        </is>
      </c>
      <c r="E470" t="inlineStr">
        <is>
          <t>KROKOM</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27547-2025</t>
        </is>
      </c>
      <c r="B471" s="1" t="n">
        <v>45813.46969907408</v>
      </c>
      <c r="C471" s="1" t="n">
        <v>46082</v>
      </c>
      <c r="D471" t="inlineStr">
        <is>
          <t>JÄMTLANDS LÄN</t>
        </is>
      </c>
      <c r="E471" t="inlineStr">
        <is>
          <t>KROKOM</t>
        </is>
      </c>
      <c r="G471" t="n">
        <v>3.1</v>
      </c>
      <c r="H471" t="n">
        <v>0</v>
      </c>
      <c r="I471" t="n">
        <v>0</v>
      </c>
      <c r="J471" t="n">
        <v>0</v>
      </c>
      <c r="K471" t="n">
        <v>0</v>
      </c>
      <c r="L471" t="n">
        <v>0</v>
      </c>
      <c r="M471" t="n">
        <v>0</v>
      </c>
      <c r="N471" t="n">
        <v>0</v>
      </c>
      <c r="O471" t="n">
        <v>0</v>
      </c>
      <c r="P471" t="n">
        <v>0</v>
      </c>
      <c r="Q471" t="n">
        <v>0</v>
      </c>
      <c r="R471" s="2" t="inlineStr"/>
    </row>
    <row r="472" ht="15" customHeight="1">
      <c r="A472" t="inlineStr">
        <is>
          <t>A 27833-2025</t>
        </is>
      </c>
      <c r="B472" s="1" t="n">
        <v>45814</v>
      </c>
      <c r="C472" s="1" t="n">
        <v>46082</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27851-2025</t>
        </is>
      </c>
      <c r="B473" s="1" t="n">
        <v>45814</v>
      </c>
      <c r="C473" s="1" t="n">
        <v>46082</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4575-2025</t>
        </is>
      </c>
      <c r="B474" s="1" t="n">
        <v>45687.48931712963</v>
      </c>
      <c r="C474" s="1" t="n">
        <v>46082</v>
      </c>
      <c r="D474" t="inlineStr">
        <is>
          <t>JÄMTLANDS LÄN</t>
        </is>
      </c>
      <c r="E474" t="inlineStr">
        <is>
          <t>KROKOM</t>
        </is>
      </c>
      <c r="G474" t="n">
        <v>0.7</v>
      </c>
      <c r="H474" t="n">
        <v>0</v>
      </c>
      <c r="I474" t="n">
        <v>0</v>
      </c>
      <c r="J474" t="n">
        <v>0</v>
      </c>
      <c r="K474" t="n">
        <v>0</v>
      </c>
      <c r="L474" t="n">
        <v>0</v>
      </c>
      <c r="M474" t="n">
        <v>0</v>
      </c>
      <c r="N474" t="n">
        <v>0</v>
      </c>
      <c r="O474" t="n">
        <v>0</v>
      </c>
      <c r="P474" t="n">
        <v>0</v>
      </c>
      <c r="Q474" t="n">
        <v>0</v>
      </c>
      <c r="R474" s="2" t="inlineStr"/>
    </row>
    <row r="475" ht="15" customHeight="1">
      <c r="A475" t="inlineStr">
        <is>
          <t>A 42774-2024</t>
        </is>
      </c>
      <c r="B475" s="1" t="n">
        <v>45566.51501157408</v>
      </c>
      <c r="C475" s="1" t="n">
        <v>46082</v>
      </c>
      <c r="D475" t="inlineStr">
        <is>
          <t>JÄMTLANDS LÄN</t>
        </is>
      </c>
      <c r="E475" t="inlineStr">
        <is>
          <t>KROKOM</t>
        </is>
      </c>
      <c r="G475" t="n">
        <v>32</v>
      </c>
      <c r="H475" t="n">
        <v>0</v>
      </c>
      <c r="I475" t="n">
        <v>0</v>
      </c>
      <c r="J475" t="n">
        <v>0</v>
      </c>
      <c r="K475" t="n">
        <v>0</v>
      </c>
      <c r="L475" t="n">
        <v>0</v>
      </c>
      <c r="M475" t="n">
        <v>0</v>
      </c>
      <c r="N475" t="n">
        <v>0</v>
      </c>
      <c r="O475" t="n">
        <v>0</v>
      </c>
      <c r="P475" t="n">
        <v>0</v>
      </c>
      <c r="Q475" t="n">
        <v>0</v>
      </c>
      <c r="R475" s="2" t="inlineStr"/>
    </row>
    <row r="476" ht="15" customHeight="1">
      <c r="A476" t="inlineStr">
        <is>
          <t>A 54037-2021</t>
        </is>
      </c>
      <c r="B476" s="1" t="n">
        <v>44470</v>
      </c>
      <c r="C476" s="1" t="n">
        <v>46082</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27703-2025</t>
        </is>
      </c>
      <c r="B477" s="1" t="n">
        <v>45813.68361111111</v>
      </c>
      <c r="C477" s="1" t="n">
        <v>46082</v>
      </c>
      <c r="D477" t="inlineStr">
        <is>
          <t>JÄMTLANDS LÄN</t>
        </is>
      </c>
      <c r="E477" t="inlineStr">
        <is>
          <t>KROKOM</t>
        </is>
      </c>
      <c r="G477" t="n">
        <v>7.1</v>
      </c>
      <c r="H477" t="n">
        <v>0</v>
      </c>
      <c r="I477" t="n">
        <v>0</v>
      </c>
      <c r="J477" t="n">
        <v>0</v>
      </c>
      <c r="K477" t="n">
        <v>0</v>
      </c>
      <c r="L477" t="n">
        <v>0</v>
      </c>
      <c r="M477" t="n">
        <v>0</v>
      </c>
      <c r="N477" t="n">
        <v>0</v>
      </c>
      <c r="O477" t="n">
        <v>0</v>
      </c>
      <c r="P477" t="n">
        <v>0</v>
      </c>
      <c r="Q477" t="n">
        <v>0</v>
      </c>
      <c r="R477" s="2" t="inlineStr"/>
    </row>
    <row r="478" ht="15" customHeight="1">
      <c r="A478" t="inlineStr">
        <is>
          <t>A 22236-2025</t>
        </is>
      </c>
      <c r="B478" s="1" t="n">
        <v>45785.67431712963</v>
      </c>
      <c r="C478" s="1" t="n">
        <v>46082</v>
      </c>
      <c r="D478" t="inlineStr">
        <is>
          <t>JÄMTLANDS LÄN</t>
        </is>
      </c>
      <c r="E478" t="inlineStr">
        <is>
          <t>KROKOM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8695-2025</t>
        </is>
      </c>
      <c r="B479" s="1" t="n">
        <v>45709</v>
      </c>
      <c r="C479" s="1" t="n">
        <v>46082</v>
      </c>
      <c r="D479" t="inlineStr">
        <is>
          <t>JÄMTLANDS LÄN</t>
        </is>
      </c>
      <c r="E479" t="inlineStr">
        <is>
          <t>KROKOM</t>
        </is>
      </c>
      <c r="G479" t="n">
        <v>21.4</v>
      </c>
      <c r="H479" t="n">
        <v>0</v>
      </c>
      <c r="I479" t="n">
        <v>0</v>
      </c>
      <c r="J479" t="n">
        <v>0</v>
      </c>
      <c r="K479" t="n">
        <v>0</v>
      </c>
      <c r="L479" t="n">
        <v>0</v>
      </c>
      <c r="M479" t="n">
        <v>0</v>
      </c>
      <c r="N479" t="n">
        <v>0</v>
      </c>
      <c r="O479" t="n">
        <v>0</v>
      </c>
      <c r="P479" t="n">
        <v>0</v>
      </c>
      <c r="Q479" t="n">
        <v>0</v>
      </c>
      <c r="R479" s="2" t="inlineStr"/>
    </row>
    <row r="480" ht="15" customHeight="1">
      <c r="A480" t="inlineStr">
        <is>
          <t>A 39265-2025</t>
        </is>
      </c>
      <c r="B480" s="1" t="n">
        <v>45889.37520833333</v>
      </c>
      <c r="C480" s="1" t="n">
        <v>46082</v>
      </c>
      <c r="D480" t="inlineStr">
        <is>
          <t>JÄMTLANDS LÄN</t>
        </is>
      </c>
      <c r="E480" t="inlineStr">
        <is>
          <t>KROKOM</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28155-2025</t>
        </is>
      </c>
      <c r="B481" s="1" t="n">
        <v>45818.36246527778</v>
      </c>
      <c r="C481" s="1" t="n">
        <v>46082</v>
      </c>
      <c r="D481" t="inlineStr">
        <is>
          <t>JÄMTLANDS LÄN</t>
        </is>
      </c>
      <c r="E481" t="inlineStr">
        <is>
          <t>KROKOM</t>
        </is>
      </c>
      <c r="F481" t="inlineStr">
        <is>
          <t>Kyrkan</t>
        </is>
      </c>
      <c r="G481" t="n">
        <v>6.1</v>
      </c>
      <c r="H481" t="n">
        <v>0</v>
      </c>
      <c r="I481" t="n">
        <v>0</v>
      </c>
      <c r="J481" t="n">
        <v>0</v>
      </c>
      <c r="K481" t="n">
        <v>0</v>
      </c>
      <c r="L481" t="n">
        <v>0</v>
      </c>
      <c r="M481" t="n">
        <v>0</v>
      </c>
      <c r="N481" t="n">
        <v>0</v>
      </c>
      <c r="O481" t="n">
        <v>0</v>
      </c>
      <c r="P481" t="n">
        <v>0</v>
      </c>
      <c r="Q481" t="n">
        <v>0</v>
      </c>
      <c r="R481" s="2" t="inlineStr"/>
    </row>
    <row r="482" ht="15" customHeight="1">
      <c r="A482" t="inlineStr">
        <is>
          <t>A 28130-2025</t>
        </is>
      </c>
      <c r="B482" s="1" t="n">
        <v>45818.3293287037</v>
      </c>
      <c r="C482" s="1" t="n">
        <v>46082</v>
      </c>
      <c r="D482" t="inlineStr">
        <is>
          <t>JÄMTLANDS LÄN</t>
        </is>
      </c>
      <c r="E482" t="inlineStr">
        <is>
          <t>KROKOM</t>
        </is>
      </c>
      <c r="F482" t="inlineStr">
        <is>
          <t>Kyrkan</t>
        </is>
      </c>
      <c r="G482" t="n">
        <v>10.2</v>
      </c>
      <c r="H482" t="n">
        <v>0</v>
      </c>
      <c r="I482" t="n">
        <v>0</v>
      </c>
      <c r="J482" t="n">
        <v>0</v>
      </c>
      <c r="K482" t="n">
        <v>0</v>
      </c>
      <c r="L482" t="n">
        <v>0</v>
      </c>
      <c r="M482" t="n">
        <v>0</v>
      </c>
      <c r="N482" t="n">
        <v>0</v>
      </c>
      <c r="O482" t="n">
        <v>0</v>
      </c>
      <c r="P482" t="n">
        <v>0</v>
      </c>
      <c r="Q482" t="n">
        <v>0</v>
      </c>
      <c r="R482" s="2" t="inlineStr"/>
    </row>
    <row r="483" ht="15" customHeight="1">
      <c r="A483" t="inlineStr">
        <is>
          <t>A 27973-2025</t>
        </is>
      </c>
      <c r="B483" s="1" t="n">
        <v>45817.56761574074</v>
      </c>
      <c r="C483" s="1" t="n">
        <v>46082</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54160-2023</t>
        </is>
      </c>
      <c r="B484" s="1" t="n">
        <v>45232.46239583333</v>
      </c>
      <c r="C484" s="1" t="n">
        <v>46082</v>
      </c>
      <c r="D484" t="inlineStr">
        <is>
          <t>JÄMTLANDS LÄN</t>
        </is>
      </c>
      <c r="E484" t="inlineStr">
        <is>
          <t>KROKOM</t>
        </is>
      </c>
      <c r="G484" t="n">
        <v>3</v>
      </c>
      <c r="H484" t="n">
        <v>0</v>
      </c>
      <c r="I484" t="n">
        <v>0</v>
      </c>
      <c r="J484" t="n">
        <v>0</v>
      </c>
      <c r="K484" t="n">
        <v>0</v>
      </c>
      <c r="L484" t="n">
        <v>0</v>
      </c>
      <c r="M484" t="n">
        <v>0</v>
      </c>
      <c r="N484" t="n">
        <v>0</v>
      </c>
      <c r="O484" t="n">
        <v>0</v>
      </c>
      <c r="P484" t="n">
        <v>0</v>
      </c>
      <c r="Q484" t="n">
        <v>0</v>
      </c>
      <c r="R484" s="2" t="inlineStr"/>
    </row>
    <row r="485" ht="15" customHeight="1">
      <c r="A485" t="inlineStr">
        <is>
          <t>A 27740-2025</t>
        </is>
      </c>
      <c r="B485" s="1" t="n">
        <v>45815.50844907408</v>
      </c>
      <c r="C485" s="1" t="n">
        <v>46082</v>
      </c>
      <c r="D485" t="inlineStr">
        <is>
          <t>JÄMTLANDS LÄN</t>
        </is>
      </c>
      <c r="E485" t="inlineStr">
        <is>
          <t>KROKOM</t>
        </is>
      </c>
      <c r="G485" t="n">
        <v>9.1</v>
      </c>
      <c r="H485" t="n">
        <v>0</v>
      </c>
      <c r="I485" t="n">
        <v>0</v>
      </c>
      <c r="J485" t="n">
        <v>0</v>
      </c>
      <c r="K485" t="n">
        <v>0</v>
      </c>
      <c r="L485" t="n">
        <v>0</v>
      </c>
      <c r="M485" t="n">
        <v>0</v>
      </c>
      <c r="N485" t="n">
        <v>0</v>
      </c>
      <c r="O485" t="n">
        <v>0</v>
      </c>
      <c r="P485" t="n">
        <v>0</v>
      </c>
      <c r="Q485" t="n">
        <v>0</v>
      </c>
      <c r="R485" s="2" t="inlineStr"/>
    </row>
    <row r="486" ht="15" customHeight="1">
      <c r="A486" t="inlineStr">
        <is>
          <t>A 39753-2024</t>
        </is>
      </c>
      <c r="B486" s="1" t="n">
        <v>45552.67611111111</v>
      </c>
      <c r="C486" s="1" t="n">
        <v>46082</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46082</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40180-2025</t>
        </is>
      </c>
      <c r="B488" s="1" t="n">
        <v>45894.63693287037</v>
      </c>
      <c r="C488" s="1" t="n">
        <v>46082</v>
      </c>
      <c r="D488" t="inlineStr">
        <is>
          <t>JÄMTLANDS LÄN</t>
        </is>
      </c>
      <c r="E488" t="inlineStr">
        <is>
          <t>KROKOM</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28136-2025</t>
        </is>
      </c>
      <c r="B489" s="1" t="n">
        <v>45818.34473379629</v>
      </c>
      <c r="C489" s="1" t="n">
        <v>46082</v>
      </c>
      <c r="D489" t="inlineStr">
        <is>
          <t>JÄMTLANDS LÄN</t>
        </is>
      </c>
      <c r="E489" t="inlineStr">
        <is>
          <t>KROKOM</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28132-2025</t>
        </is>
      </c>
      <c r="B490" s="1" t="n">
        <v>45818.33532407408</v>
      </c>
      <c r="C490" s="1" t="n">
        <v>46082</v>
      </c>
      <c r="D490" t="inlineStr">
        <is>
          <t>JÄMTLANDS LÄN</t>
        </is>
      </c>
      <c r="E490" t="inlineStr">
        <is>
          <t>KROKOM</t>
        </is>
      </c>
      <c r="F490" t="inlineStr">
        <is>
          <t>Kyrkan</t>
        </is>
      </c>
      <c r="G490" t="n">
        <v>4.5</v>
      </c>
      <c r="H490" t="n">
        <v>0</v>
      </c>
      <c r="I490" t="n">
        <v>0</v>
      </c>
      <c r="J490" t="n">
        <v>0</v>
      </c>
      <c r="K490" t="n">
        <v>0</v>
      </c>
      <c r="L490" t="n">
        <v>0</v>
      </c>
      <c r="M490" t="n">
        <v>0</v>
      </c>
      <c r="N490" t="n">
        <v>0</v>
      </c>
      <c r="O490" t="n">
        <v>0</v>
      </c>
      <c r="P490" t="n">
        <v>0</v>
      </c>
      <c r="Q490" t="n">
        <v>0</v>
      </c>
      <c r="R490" s="2" t="inlineStr"/>
    </row>
    <row r="491" ht="15" customHeight="1">
      <c r="A491" t="inlineStr">
        <is>
          <t>A 28147-2025</t>
        </is>
      </c>
      <c r="B491" s="1" t="n">
        <v>45818.34833333334</v>
      </c>
      <c r="C491" s="1" t="n">
        <v>46082</v>
      </c>
      <c r="D491" t="inlineStr">
        <is>
          <t>JÄMTLANDS LÄN</t>
        </is>
      </c>
      <c r="E491" t="inlineStr">
        <is>
          <t>KROKOM</t>
        </is>
      </c>
      <c r="F491" t="inlineStr">
        <is>
          <t>Kyrkan</t>
        </is>
      </c>
      <c r="G491" t="n">
        <v>10.8</v>
      </c>
      <c r="H491" t="n">
        <v>0</v>
      </c>
      <c r="I491" t="n">
        <v>0</v>
      </c>
      <c r="J491" t="n">
        <v>0</v>
      </c>
      <c r="K491" t="n">
        <v>0</v>
      </c>
      <c r="L491" t="n">
        <v>0</v>
      </c>
      <c r="M491" t="n">
        <v>0</v>
      </c>
      <c r="N491" t="n">
        <v>0</v>
      </c>
      <c r="O491" t="n">
        <v>0</v>
      </c>
      <c r="P491" t="n">
        <v>0</v>
      </c>
      <c r="Q491" t="n">
        <v>0</v>
      </c>
      <c r="R491" s="2" t="inlineStr"/>
    </row>
    <row r="492" ht="15" customHeight="1">
      <c r="A492" t="inlineStr">
        <is>
          <t>A 28162-2025</t>
        </is>
      </c>
      <c r="B492" s="1" t="n">
        <v>45818.37056712963</v>
      </c>
      <c r="C492" s="1" t="n">
        <v>46082</v>
      </c>
      <c r="D492" t="inlineStr">
        <is>
          <t>JÄMTLANDS LÄN</t>
        </is>
      </c>
      <c r="E492" t="inlineStr">
        <is>
          <t>KROKOM</t>
        </is>
      </c>
      <c r="F492" t="inlineStr">
        <is>
          <t>Kyrkan</t>
        </is>
      </c>
      <c r="G492" t="n">
        <v>4</v>
      </c>
      <c r="H492" t="n">
        <v>0</v>
      </c>
      <c r="I492" t="n">
        <v>0</v>
      </c>
      <c r="J492" t="n">
        <v>0</v>
      </c>
      <c r="K492" t="n">
        <v>0</v>
      </c>
      <c r="L492" t="n">
        <v>0</v>
      </c>
      <c r="M492" t="n">
        <v>0</v>
      </c>
      <c r="N492" t="n">
        <v>0</v>
      </c>
      <c r="O492" t="n">
        <v>0</v>
      </c>
      <c r="P492" t="n">
        <v>0</v>
      </c>
      <c r="Q492" t="n">
        <v>0</v>
      </c>
      <c r="R492" s="2" t="inlineStr"/>
    </row>
    <row r="493" ht="15" customHeight="1">
      <c r="A493" t="inlineStr">
        <is>
          <t>A 28843-2025</t>
        </is>
      </c>
      <c r="B493" s="1" t="n">
        <v>45820</v>
      </c>
      <c r="C493" s="1" t="n">
        <v>46082</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27899-2025</t>
        </is>
      </c>
      <c r="B494" s="1" t="n">
        <v>45817</v>
      </c>
      <c r="C494" s="1" t="n">
        <v>46082</v>
      </c>
      <c r="D494" t="inlineStr">
        <is>
          <t>JÄMTLANDS LÄN</t>
        </is>
      </c>
      <c r="E494" t="inlineStr">
        <is>
          <t>KROKOM</t>
        </is>
      </c>
      <c r="G494" t="n">
        <v>16.4</v>
      </c>
      <c r="H494" t="n">
        <v>0</v>
      </c>
      <c r="I494" t="n">
        <v>0</v>
      </c>
      <c r="J494" t="n">
        <v>0</v>
      </c>
      <c r="K494" t="n">
        <v>0</v>
      </c>
      <c r="L494" t="n">
        <v>0</v>
      </c>
      <c r="M494" t="n">
        <v>0</v>
      </c>
      <c r="N494" t="n">
        <v>0</v>
      </c>
      <c r="O494" t="n">
        <v>0</v>
      </c>
      <c r="P494" t="n">
        <v>0</v>
      </c>
      <c r="Q494" t="n">
        <v>0</v>
      </c>
      <c r="R494" s="2" t="inlineStr"/>
    </row>
    <row r="495" ht="15" customHeight="1">
      <c r="A495" t="inlineStr">
        <is>
          <t>A 55479-2022</t>
        </is>
      </c>
      <c r="B495" s="1" t="n">
        <v>44887</v>
      </c>
      <c r="C495" s="1" t="n">
        <v>46082</v>
      </c>
      <c r="D495" t="inlineStr">
        <is>
          <t>JÄMTLANDS LÄN</t>
        </is>
      </c>
      <c r="E495" t="inlineStr">
        <is>
          <t>KROKOM</t>
        </is>
      </c>
      <c r="F495" t="inlineStr">
        <is>
          <t>Övriga Aktiebolag</t>
        </is>
      </c>
      <c r="G495" t="n">
        <v>2.7</v>
      </c>
      <c r="H495" t="n">
        <v>0</v>
      </c>
      <c r="I495" t="n">
        <v>0</v>
      </c>
      <c r="J495" t="n">
        <v>0</v>
      </c>
      <c r="K495" t="n">
        <v>0</v>
      </c>
      <c r="L495" t="n">
        <v>0</v>
      </c>
      <c r="M495" t="n">
        <v>0</v>
      </c>
      <c r="N495" t="n">
        <v>0</v>
      </c>
      <c r="O495" t="n">
        <v>0</v>
      </c>
      <c r="P495" t="n">
        <v>0</v>
      </c>
      <c r="Q495" t="n">
        <v>0</v>
      </c>
      <c r="R495" s="2" t="inlineStr"/>
    </row>
    <row r="496" ht="15" customHeight="1">
      <c r="A496" t="inlineStr">
        <is>
          <t>A 11591-2022</t>
        </is>
      </c>
      <c r="B496" s="1" t="n">
        <v>44631</v>
      </c>
      <c r="C496" s="1" t="n">
        <v>46082</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c r="U496">
        <f>HYPERLINK("https://klasma.github.io/Logging_2309/knärot/A 11591-2022 karta knärot.png", "A 11591-2022")</f>
        <v/>
      </c>
      <c r="V496">
        <f>HYPERLINK("https://klasma.github.io/Logging_2309/klagomål/A 11591-2022 FSC-klagomål.docx", "A 11591-2022")</f>
        <v/>
      </c>
      <c r="W496">
        <f>HYPERLINK("https://klasma.github.io/Logging_2309/klagomålsmail/A 11591-2022 FSC-klagomål mail.docx", "A 11591-2022")</f>
        <v/>
      </c>
      <c r="X496">
        <f>HYPERLINK("https://klasma.github.io/Logging_2309/tillsyn/A 11591-2022 tillsynsbegäran.docx", "A 11591-2022")</f>
        <v/>
      </c>
      <c r="Y496">
        <f>HYPERLINK("https://klasma.github.io/Logging_2309/tillsynsmail/A 11591-2022 tillsynsbegäran mail.docx", "A 11591-2022")</f>
        <v/>
      </c>
    </row>
    <row r="497" ht="15" customHeight="1">
      <c r="A497" t="inlineStr">
        <is>
          <t>A 28752-2025</t>
        </is>
      </c>
      <c r="B497" s="1" t="n">
        <v>45820</v>
      </c>
      <c r="C497" s="1" t="n">
        <v>46082</v>
      </c>
      <c r="D497" t="inlineStr">
        <is>
          <t>JÄMTLANDS LÄN</t>
        </is>
      </c>
      <c r="E497" t="inlineStr">
        <is>
          <t>KROKOM</t>
        </is>
      </c>
      <c r="G497" t="n">
        <v>0.5</v>
      </c>
      <c r="H497" t="n">
        <v>0</v>
      </c>
      <c r="I497" t="n">
        <v>0</v>
      </c>
      <c r="J497" t="n">
        <v>0</v>
      </c>
      <c r="K497" t="n">
        <v>0</v>
      </c>
      <c r="L497" t="n">
        <v>0</v>
      </c>
      <c r="M497" t="n">
        <v>0</v>
      </c>
      <c r="N497" t="n">
        <v>0</v>
      </c>
      <c r="O497" t="n">
        <v>0</v>
      </c>
      <c r="P497" t="n">
        <v>0</v>
      </c>
      <c r="Q497" t="n">
        <v>0</v>
      </c>
      <c r="R497" s="2" t="inlineStr"/>
    </row>
    <row r="498" ht="15" customHeight="1">
      <c r="A498" t="inlineStr">
        <is>
          <t>A 28729-2025</t>
        </is>
      </c>
      <c r="B498" s="1" t="n">
        <v>45820.36512731481</v>
      </c>
      <c r="C498" s="1" t="n">
        <v>46082</v>
      </c>
      <c r="D498" t="inlineStr">
        <is>
          <t>JÄMTLANDS LÄN</t>
        </is>
      </c>
      <c r="E498" t="inlineStr">
        <is>
          <t>KROKOM</t>
        </is>
      </c>
      <c r="G498" t="n">
        <v>3.6</v>
      </c>
      <c r="H498" t="n">
        <v>0</v>
      </c>
      <c r="I498" t="n">
        <v>0</v>
      </c>
      <c r="J498" t="n">
        <v>0</v>
      </c>
      <c r="K498" t="n">
        <v>0</v>
      </c>
      <c r="L498" t="n">
        <v>0</v>
      </c>
      <c r="M498" t="n">
        <v>0</v>
      </c>
      <c r="N498" t="n">
        <v>0</v>
      </c>
      <c r="O498" t="n">
        <v>0</v>
      </c>
      <c r="P498" t="n">
        <v>0</v>
      </c>
      <c r="Q498" t="n">
        <v>0</v>
      </c>
      <c r="R498" s="2" t="inlineStr"/>
    </row>
    <row r="499" ht="15" customHeight="1">
      <c r="A499" t="inlineStr">
        <is>
          <t>A 28789-2025</t>
        </is>
      </c>
      <c r="B499" s="1" t="n">
        <v>45820.47200231482</v>
      </c>
      <c r="C499" s="1" t="n">
        <v>46082</v>
      </c>
      <c r="D499" t="inlineStr">
        <is>
          <t>JÄMTLANDS LÄN</t>
        </is>
      </c>
      <c r="E499" t="inlineStr">
        <is>
          <t>KROKOM</t>
        </is>
      </c>
      <c r="F499" t="inlineStr">
        <is>
          <t>Kyrkan</t>
        </is>
      </c>
      <c r="G499" t="n">
        <v>28.4</v>
      </c>
      <c r="H499" t="n">
        <v>0</v>
      </c>
      <c r="I499" t="n">
        <v>0</v>
      </c>
      <c r="J499" t="n">
        <v>0</v>
      </c>
      <c r="K499" t="n">
        <v>0</v>
      </c>
      <c r="L499" t="n">
        <v>0</v>
      </c>
      <c r="M499" t="n">
        <v>0</v>
      </c>
      <c r="N499" t="n">
        <v>0</v>
      </c>
      <c r="O499" t="n">
        <v>0</v>
      </c>
      <c r="P499" t="n">
        <v>0</v>
      </c>
      <c r="Q499" t="n">
        <v>0</v>
      </c>
      <c r="R499" s="2" t="inlineStr"/>
    </row>
    <row r="500" ht="15" customHeight="1">
      <c r="A500" t="inlineStr">
        <is>
          <t>A 20953-2023</t>
        </is>
      </c>
      <c r="B500" s="1" t="n">
        <v>45056</v>
      </c>
      <c r="C500" s="1" t="n">
        <v>46082</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20966-2023</t>
        </is>
      </c>
      <c r="B501" s="1" t="n">
        <v>45056</v>
      </c>
      <c r="C501" s="1" t="n">
        <v>46082</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28848-2025</t>
        </is>
      </c>
      <c r="B502" s="1" t="n">
        <v>45820</v>
      </c>
      <c r="C502" s="1" t="n">
        <v>46082</v>
      </c>
      <c r="D502" t="inlineStr">
        <is>
          <t>JÄMTLANDS LÄN</t>
        </is>
      </c>
      <c r="E502" t="inlineStr">
        <is>
          <t>KROKOM</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28727-2025</t>
        </is>
      </c>
      <c r="B503" s="1" t="n">
        <v>45820.36498842593</v>
      </c>
      <c r="C503" s="1" t="n">
        <v>46082</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28728-2025</t>
        </is>
      </c>
      <c r="B504" s="1" t="n">
        <v>45820.36506944444</v>
      </c>
      <c r="C504" s="1" t="n">
        <v>46082</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5693-2022</t>
        </is>
      </c>
      <c r="B505" s="1" t="n">
        <v>44596</v>
      </c>
      <c r="C505" s="1" t="n">
        <v>46082</v>
      </c>
      <c r="D505" t="inlineStr">
        <is>
          <t>JÄMTLANDS LÄN</t>
        </is>
      </c>
      <c r="E505" t="inlineStr">
        <is>
          <t>KROKOM</t>
        </is>
      </c>
      <c r="G505" t="n">
        <v>40.8</v>
      </c>
      <c r="H505" t="n">
        <v>0</v>
      </c>
      <c r="I505" t="n">
        <v>0</v>
      </c>
      <c r="J505" t="n">
        <v>0</v>
      </c>
      <c r="K505" t="n">
        <v>0</v>
      </c>
      <c r="L505" t="n">
        <v>0</v>
      </c>
      <c r="M505" t="n">
        <v>0</v>
      </c>
      <c r="N505" t="n">
        <v>0</v>
      </c>
      <c r="O505" t="n">
        <v>0</v>
      </c>
      <c r="P505" t="n">
        <v>0</v>
      </c>
      <c r="Q505" t="n">
        <v>0</v>
      </c>
      <c r="R505" s="2" t="inlineStr"/>
    </row>
    <row r="506" ht="15" customHeight="1">
      <c r="A506" t="inlineStr">
        <is>
          <t>A 29001-2025</t>
        </is>
      </c>
      <c r="B506" s="1" t="n">
        <v>45821.39026620371</v>
      </c>
      <c r="C506" s="1" t="n">
        <v>46082</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8011-2025</t>
        </is>
      </c>
      <c r="B507" s="1" t="n">
        <v>45707.55246527777</v>
      </c>
      <c r="C507" s="1" t="n">
        <v>46082</v>
      </c>
      <c r="D507" t="inlineStr">
        <is>
          <t>JÄMTLANDS LÄN</t>
        </is>
      </c>
      <c r="E507" t="inlineStr">
        <is>
          <t>KROKOM</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10397-2025</t>
        </is>
      </c>
      <c r="B508" s="1" t="n">
        <v>45720.60774305555</v>
      </c>
      <c r="C508" s="1" t="n">
        <v>46082</v>
      </c>
      <c r="D508" t="inlineStr">
        <is>
          <t>JÄMTLANDS LÄN</t>
        </is>
      </c>
      <c r="E508" t="inlineStr">
        <is>
          <t>KROKOM</t>
        </is>
      </c>
      <c r="F508" t="inlineStr">
        <is>
          <t>Övriga Aktiebolag</t>
        </is>
      </c>
      <c r="G508" t="n">
        <v>32.9</v>
      </c>
      <c r="H508" t="n">
        <v>0</v>
      </c>
      <c r="I508" t="n">
        <v>0</v>
      </c>
      <c r="J508" t="n">
        <v>0</v>
      </c>
      <c r="K508" t="n">
        <v>0</v>
      </c>
      <c r="L508" t="n">
        <v>0</v>
      </c>
      <c r="M508" t="n">
        <v>0</v>
      </c>
      <c r="N508" t="n">
        <v>0</v>
      </c>
      <c r="O508" t="n">
        <v>0</v>
      </c>
      <c r="P508" t="n">
        <v>0</v>
      </c>
      <c r="Q508" t="n">
        <v>0</v>
      </c>
      <c r="R508" s="2" t="inlineStr"/>
    </row>
    <row r="509" ht="15" customHeight="1">
      <c r="A509" t="inlineStr">
        <is>
          <t>A 29956-2025</t>
        </is>
      </c>
      <c r="B509" s="1" t="n">
        <v>45826.4705787037</v>
      </c>
      <c r="C509" s="1" t="n">
        <v>46082</v>
      </c>
      <c r="D509" t="inlineStr">
        <is>
          <t>JÄMTLANDS LÄN</t>
        </is>
      </c>
      <c r="E509" t="inlineStr">
        <is>
          <t>KROKOM</t>
        </is>
      </c>
      <c r="F509" t="inlineStr">
        <is>
          <t>SCA</t>
        </is>
      </c>
      <c r="G509" t="n">
        <v>16.1</v>
      </c>
      <c r="H509" t="n">
        <v>0</v>
      </c>
      <c r="I509" t="n">
        <v>0</v>
      </c>
      <c r="J509" t="n">
        <v>0</v>
      </c>
      <c r="K509" t="n">
        <v>0</v>
      </c>
      <c r="L509" t="n">
        <v>0</v>
      </c>
      <c r="M509" t="n">
        <v>0</v>
      </c>
      <c r="N509" t="n">
        <v>0</v>
      </c>
      <c r="O509" t="n">
        <v>0</v>
      </c>
      <c r="P509" t="n">
        <v>0</v>
      </c>
      <c r="Q509" t="n">
        <v>0</v>
      </c>
      <c r="R509" s="2" t="inlineStr"/>
    </row>
    <row r="510" ht="15" customHeight="1">
      <c r="A510" t="inlineStr">
        <is>
          <t>A 53827-2024</t>
        </is>
      </c>
      <c r="B510" s="1" t="n">
        <v>45615.61302083333</v>
      </c>
      <c r="C510" s="1" t="n">
        <v>46082</v>
      </c>
      <c r="D510" t="inlineStr">
        <is>
          <t>JÄMTLANDS LÄN</t>
        </is>
      </c>
      <c r="E510" t="inlineStr">
        <is>
          <t>KROKOM</t>
        </is>
      </c>
      <c r="F510" t="inlineStr">
        <is>
          <t>Övriga Aktiebolag</t>
        </is>
      </c>
      <c r="G510" t="n">
        <v>14.2</v>
      </c>
      <c r="H510" t="n">
        <v>0</v>
      </c>
      <c r="I510" t="n">
        <v>0</v>
      </c>
      <c r="J510" t="n">
        <v>0</v>
      </c>
      <c r="K510" t="n">
        <v>0</v>
      </c>
      <c r="L510" t="n">
        <v>0</v>
      </c>
      <c r="M510" t="n">
        <v>0</v>
      </c>
      <c r="N510" t="n">
        <v>0</v>
      </c>
      <c r="O510" t="n">
        <v>0</v>
      </c>
      <c r="P510" t="n">
        <v>0</v>
      </c>
      <c r="Q510" t="n">
        <v>0</v>
      </c>
      <c r="R510" s="2" t="inlineStr"/>
    </row>
    <row r="511" ht="15" customHeight="1">
      <c r="A511" t="inlineStr">
        <is>
          <t>A 40283-2025</t>
        </is>
      </c>
      <c r="B511" s="1" t="n">
        <v>45895.36994212963</v>
      </c>
      <c r="C511" s="1" t="n">
        <v>46082</v>
      </c>
      <c r="D511" t="inlineStr">
        <is>
          <t>JÄMTLANDS LÄN</t>
        </is>
      </c>
      <c r="E511" t="inlineStr">
        <is>
          <t>KROKOM</t>
        </is>
      </c>
      <c r="G511" t="n">
        <v>11.1</v>
      </c>
      <c r="H511" t="n">
        <v>0</v>
      </c>
      <c r="I511" t="n">
        <v>0</v>
      </c>
      <c r="J511" t="n">
        <v>0</v>
      </c>
      <c r="K511" t="n">
        <v>0</v>
      </c>
      <c r="L511" t="n">
        <v>0</v>
      </c>
      <c r="M511" t="n">
        <v>0</v>
      </c>
      <c r="N511" t="n">
        <v>0</v>
      </c>
      <c r="O511" t="n">
        <v>0</v>
      </c>
      <c r="P511" t="n">
        <v>0</v>
      </c>
      <c r="Q511" t="n">
        <v>0</v>
      </c>
      <c r="R511" s="2" t="inlineStr"/>
    </row>
    <row r="512" ht="15" customHeight="1">
      <c r="A512" t="inlineStr">
        <is>
          <t>A 40822-2025</t>
        </is>
      </c>
      <c r="B512" s="1" t="n">
        <v>45897.49424768519</v>
      </c>
      <c r="C512" s="1" t="n">
        <v>46082</v>
      </c>
      <c r="D512" t="inlineStr">
        <is>
          <t>JÄMTLANDS LÄN</t>
        </is>
      </c>
      <c r="E512" t="inlineStr">
        <is>
          <t>KROKOM</t>
        </is>
      </c>
      <c r="G512" t="n">
        <v>3.8</v>
      </c>
      <c r="H512" t="n">
        <v>0</v>
      </c>
      <c r="I512" t="n">
        <v>0</v>
      </c>
      <c r="J512" t="n">
        <v>0</v>
      </c>
      <c r="K512" t="n">
        <v>0</v>
      </c>
      <c r="L512" t="n">
        <v>0</v>
      </c>
      <c r="M512" t="n">
        <v>0</v>
      </c>
      <c r="N512" t="n">
        <v>0</v>
      </c>
      <c r="O512" t="n">
        <v>0</v>
      </c>
      <c r="P512" t="n">
        <v>0</v>
      </c>
      <c r="Q512" t="n">
        <v>0</v>
      </c>
      <c r="R512" s="2" t="inlineStr"/>
    </row>
    <row r="513" ht="15" customHeight="1">
      <c r="A513" t="inlineStr">
        <is>
          <t>A 73174-2021</t>
        </is>
      </c>
      <c r="B513" s="1" t="n">
        <v>44550</v>
      </c>
      <c r="C513" s="1" t="n">
        <v>46082</v>
      </c>
      <c r="D513" t="inlineStr">
        <is>
          <t>JÄMTLANDS LÄN</t>
        </is>
      </c>
      <c r="E513" t="inlineStr">
        <is>
          <t>KROKOM</t>
        </is>
      </c>
      <c r="G513" t="n">
        <v>152.9</v>
      </c>
      <c r="H513" t="n">
        <v>0</v>
      </c>
      <c r="I513" t="n">
        <v>0</v>
      </c>
      <c r="J513" t="n">
        <v>0</v>
      </c>
      <c r="K513" t="n">
        <v>0</v>
      </c>
      <c r="L513" t="n">
        <v>0</v>
      </c>
      <c r="M513" t="n">
        <v>0</v>
      </c>
      <c r="N513" t="n">
        <v>0</v>
      </c>
      <c r="O513" t="n">
        <v>0</v>
      </c>
      <c r="P513" t="n">
        <v>0</v>
      </c>
      <c r="Q513" t="n">
        <v>0</v>
      </c>
      <c r="R513" s="2" t="inlineStr"/>
    </row>
    <row r="514" ht="15" customHeight="1">
      <c r="A514" t="inlineStr">
        <is>
          <t>A 7787-2025</t>
        </is>
      </c>
      <c r="B514" s="1" t="n">
        <v>45706.59251157408</v>
      </c>
      <c r="C514" s="1" t="n">
        <v>46082</v>
      </c>
      <c r="D514" t="inlineStr">
        <is>
          <t>JÄMTLANDS LÄN</t>
        </is>
      </c>
      <c r="E514" t="inlineStr">
        <is>
          <t>KROKOM</t>
        </is>
      </c>
      <c r="F514" t="inlineStr">
        <is>
          <t>Övriga Aktiebolag</t>
        </is>
      </c>
      <c r="G514" t="n">
        <v>16.8</v>
      </c>
      <c r="H514" t="n">
        <v>0</v>
      </c>
      <c r="I514" t="n">
        <v>0</v>
      </c>
      <c r="J514" t="n">
        <v>0</v>
      </c>
      <c r="K514" t="n">
        <v>0</v>
      </c>
      <c r="L514" t="n">
        <v>0</v>
      </c>
      <c r="M514" t="n">
        <v>0</v>
      </c>
      <c r="N514" t="n">
        <v>0</v>
      </c>
      <c r="O514" t="n">
        <v>0</v>
      </c>
      <c r="P514" t="n">
        <v>0</v>
      </c>
      <c r="Q514" t="n">
        <v>0</v>
      </c>
      <c r="R514" s="2" t="inlineStr"/>
    </row>
    <row r="515" ht="15" customHeight="1">
      <c r="A515" t="inlineStr">
        <is>
          <t>A 40796-2025</t>
        </is>
      </c>
      <c r="B515" s="1" t="n">
        <v>45897.44951388889</v>
      </c>
      <c r="C515" s="1" t="n">
        <v>46082</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40806-2025</t>
        </is>
      </c>
      <c r="B516" s="1" t="n">
        <v>45897.46832175926</v>
      </c>
      <c r="C516" s="1" t="n">
        <v>46082</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54039-2021</t>
        </is>
      </c>
      <c r="B517" s="1" t="n">
        <v>44470.39989583333</v>
      </c>
      <c r="C517" s="1" t="n">
        <v>46082</v>
      </c>
      <c r="D517" t="inlineStr">
        <is>
          <t>JÄMTLANDS LÄN</t>
        </is>
      </c>
      <c r="E517" t="inlineStr">
        <is>
          <t>KROKOM</t>
        </is>
      </c>
      <c r="G517" t="n">
        <v>9.9</v>
      </c>
      <c r="H517" t="n">
        <v>0</v>
      </c>
      <c r="I517" t="n">
        <v>0</v>
      </c>
      <c r="J517" t="n">
        <v>0</v>
      </c>
      <c r="K517" t="n">
        <v>0</v>
      </c>
      <c r="L517" t="n">
        <v>0</v>
      </c>
      <c r="M517" t="n">
        <v>0</v>
      </c>
      <c r="N517" t="n">
        <v>0</v>
      </c>
      <c r="O517" t="n">
        <v>0</v>
      </c>
      <c r="P517" t="n">
        <v>0</v>
      </c>
      <c r="Q517" t="n">
        <v>0</v>
      </c>
      <c r="R517" s="2" t="inlineStr"/>
    </row>
    <row r="518" ht="15" customHeight="1">
      <c r="A518" t="inlineStr">
        <is>
          <t>A 15663-2025</t>
        </is>
      </c>
      <c r="B518" s="1" t="n">
        <v>45748</v>
      </c>
      <c r="C518" s="1" t="n">
        <v>46082</v>
      </c>
      <c r="D518" t="inlineStr">
        <is>
          <t>JÄMTLANDS LÄN</t>
        </is>
      </c>
      <c r="E518" t="inlineStr">
        <is>
          <t>KROKOM</t>
        </is>
      </c>
      <c r="F518" t="inlineStr">
        <is>
          <t>Övriga Aktiebolag</t>
        </is>
      </c>
      <c r="G518" t="n">
        <v>11.5</v>
      </c>
      <c r="H518" t="n">
        <v>0</v>
      </c>
      <c r="I518" t="n">
        <v>0</v>
      </c>
      <c r="J518" t="n">
        <v>0</v>
      </c>
      <c r="K518" t="n">
        <v>0</v>
      </c>
      <c r="L518" t="n">
        <v>0</v>
      </c>
      <c r="M518" t="n">
        <v>0</v>
      </c>
      <c r="N518" t="n">
        <v>0</v>
      </c>
      <c r="O518" t="n">
        <v>0</v>
      </c>
      <c r="P518" t="n">
        <v>0</v>
      </c>
      <c r="Q518" t="n">
        <v>0</v>
      </c>
      <c r="R518" s="2" t="inlineStr"/>
    </row>
    <row r="519" ht="15" customHeight="1">
      <c r="A519" t="inlineStr">
        <is>
          <t>A 7111-2024</t>
        </is>
      </c>
      <c r="B519" s="1" t="n">
        <v>45343.95162037037</v>
      </c>
      <c r="C519" s="1" t="n">
        <v>46082</v>
      </c>
      <c r="D519" t="inlineStr">
        <is>
          <t>JÄMTLANDS LÄN</t>
        </is>
      </c>
      <c r="E519" t="inlineStr">
        <is>
          <t>KROKOM</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36588-2025</t>
        </is>
      </c>
      <c r="B520" s="1" t="n">
        <v>45870</v>
      </c>
      <c r="C520" s="1" t="n">
        <v>46082</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41425-2025</t>
        </is>
      </c>
      <c r="B521" s="1" t="n">
        <v>45901.38590277778</v>
      </c>
      <c r="C521" s="1" t="n">
        <v>46082</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42235-2025</t>
        </is>
      </c>
      <c r="B522" s="1" t="n">
        <v>45904.56144675926</v>
      </c>
      <c r="C522" s="1" t="n">
        <v>46082</v>
      </c>
      <c r="D522" t="inlineStr">
        <is>
          <t>JÄMTLANDS LÄN</t>
        </is>
      </c>
      <c r="E522" t="inlineStr">
        <is>
          <t>KROKOM</t>
        </is>
      </c>
      <c r="G522" t="n">
        <v>0.8</v>
      </c>
      <c r="H522" t="n">
        <v>0</v>
      </c>
      <c r="I522" t="n">
        <v>0</v>
      </c>
      <c r="J522" t="n">
        <v>0</v>
      </c>
      <c r="K522" t="n">
        <v>0</v>
      </c>
      <c r="L522" t="n">
        <v>0</v>
      </c>
      <c r="M522" t="n">
        <v>0</v>
      </c>
      <c r="N522" t="n">
        <v>0</v>
      </c>
      <c r="O522" t="n">
        <v>0</v>
      </c>
      <c r="P522" t="n">
        <v>0</v>
      </c>
      <c r="Q522" t="n">
        <v>0</v>
      </c>
      <c r="R522" s="2" t="inlineStr"/>
    </row>
    <row r="523" ht="15" customHeight="1">
      <c r="A523" t="inlineStr">
        <is>
          <t>A 30890-2025</t>
        </is>
      </c>
      <c r="B523" s="1" t="n">
        <v>45832.34630787037</v>
      </c>
      <c r="C523" s="1" t="n">
        <v>46082</v>
      </c>
      <c r="D523" t="inlineStr">
        <is>
          <t>JÄMTLANDS LÄN</t>
        </is>
      </c>
      <c r="E523" t="inlineStr">
        <is>
          <t>KROKOM</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46082</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31032-2025</t>
        </is>
      </c>
      <c r="B525" s="1" t="n">
        <v>45832.53935185185</v>
      </c>
      <c r="C525" s="1" t="n">
        <v>46082</v>
      </c>
      <c r="D525" t="inlineStr">
        <is>
          <t>JÄMTLANDS LÄN</t>
        </is>
      </c>
      <c r="E525" t="inlineStr">
        <is>
          <t>KROKOM</t>
        </is>
      </c>
      <c r="F525" t="inlineStr">
        <is>
          <t>Övriga Aktiebolag</t>
        </is>
      </c>
      <c r="G525" t="n">
        <v>1.6</v>
      </c>
      <c r="H525" t="n">
        <v>0</v>
      </c>
      <c r="I525" t="n">
        <v>0</v>
      </c>
      <c r="J525" t="n">
        <v>0</v>
      </c>
      <c r="K525" t="n">
        <v>0</v>
      </c>
      <c r="L525" t="n">
        <v>0</v>
      </c>
      <c r="M525" t="n">
        <v>0</v>
      </c>
      <c r="N525" t="n">
        <v>0</v>
      </c>
      <c r="O525" t="n">
        <v>0</v>
      </c>
      <c r="P525" t="n">
        <v>0</v>
      </c>
      <c r="Q525" t="n">
        <v>0</v>
      </c>
      <c r="R525" s="2" t="inlineStr"/>
    </row>
    <row r="526" ht="15" customHeight="1">
      <c r="A526" t="inlineStr">
        <is>
          <t>A 31027-2025</t>
        </is>
      </c>
      <c r="B526" s="1" t="n">
        <v>45832.53225694445</v>
      </c>
      <c r="C526" s="1" t="n">
        <v>46082</v>
      </c>
      <c r="D526" t="inlineStr">
        <is>
          <t>JÄMTLANDS LÄN</t>
        </is>
      </c>
      <c r="E526" t="inlineStr">
        <is>
          <t>KROKOM</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58416-2024</t>
        </is>
      </c>
      <c r="B527" s="1" t="n">
        <v>45634.79854166666</v>
      </c>
      <c r="C527" s="1" t="n">
        <v>46082</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46082</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53807-2024</t>
        </is>
      </c>
      <c r="B529" s="1" t="n">
        <v>45615.59521990741</v>
      </c>
      <c r="C529" s="1" t="n">
        <v>46082</v>
      </c>
      <c r="D529" t="inlineStr">
        <is>
          <t>JÄMTLANDS LÄN</t>
        </is>
      </c>
      <c r="E529" t="inlineStr">
        <is>
          <t>KROKOM</t>
        </is>
      </c>
      <c r="G529" t="n">
        <v>6.5</v>
      </c>
      <c r="H529" t="n">
        <v>0</v>
      </c>
      <c r="I529" t="n">
        <v>0</v>
      </c>
      <c r="J529" t="n">
        <v>0</v>
      </c>
      <c r="K529" t="n">
        <v>0</v>
      </c>
      <c r="L529" t="n">
        <v>0</v>
      </c>
      <c r="M529" t="n">
        <v>0</v>
      </c>
      <c r="N529" t="n">
        <v>0</v>
      </c>
      <c r="O529" t="n">
        <v>0</v>
      </c>
      <c r="P529" t="n">
        <v>0</v>
      </c>
      <c r="Q529" t="n">
        <v>0</v>
      </c>
      <c r="R529" s="2" t="inlineStr"/>
    </row>
    <row r="530" ht="15" customHeight="1">
      <c r="A530" t="inlineStr">
        <is>
          <t>A 42445-2025</t>
        </is>
      </c>
      <c r="B530" s="1" t="n">
        <v>45905.4375</v>
      </c>
      <c r="C530" s="1" t="n">
        <v>46082</v>
      </c>
      <c r="D530" t="inlineStr">
        <is>
          <t>JÄMTLANDS LÄN</t>
        </is>
      </c>
      <c r="E530" t="inlineStr">
        <is>
          <t>KROKOM</t>
        </is>
      </c>
      <c r="G530" t="n">
        <v>2.8</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46082</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15528-2024</t>
        </is>
      </c>
      <c r="B532" s="1" t="n">
        <v>45401.59810185185</v>
      </c>
      <c r="C532" s="1" t="n">
        <v>46082</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31290-2025</t>
        </is>
      </c>
      <c r="B533" s="1" t="n">
        <v>45833.36050925926</v>
      </c>
      <c r="C533" s="1" t="n">
        <v>46082</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31291-2025</t>
        </is>
      </c>
      <c r="B534" s="1" t="n">
        <v>45833.36083333333</v>
      </c>
      <c r="C534" s="1" t="n">
        <v>46082</v>
      </c>
      <c r="D534" t="inlineStr">
        <is>
          <t>JÄMTLANDS LÄN</t>
        </is>
      </c>
      <c r="E534" t="inlineStr">
        <is>
          <t>KROKOM</t>
        </is>
      </c>
      <c r="G534" t="n">
        <v>4.5</v>
      </c>
      <c r="H534" t="n">
        <v>0</v>
      </c>
      <c r="I534" t="n">
        <v>0</v>
      </c>
      <c r="J534" t="n">
        <v>0</v>
      </c>
      <c r="K534" t="n">
        <v>0</v>
      </c>
      <c r="L534" t="n">
        <v>0</v>
      </c>
      <c r="M534" t="n">
        <v>0</v>
      </c>
      <c r="N534" t="n">
        <v>0</v>
      </c>
      <c r="O534" t="n">
        <v>0</v>
      </c>
      <c r="P534" t="n">
        <v>0</v>
      </c>
      <c r="Q534" t="n">
        <v>0</v>
      </c>
      <c r="R534" s="2" t="inlineStr"/>
    </row>
    <row r="535" ht="15" customHeight="1">
      <c r="A535" t="inlineStr">
        <is>
          <t>A 27075-2022</t>
        </is>
      </c>
      <c r="B535" s="1" t="n">
        <v>44741</v>
      </c>
      <c r="C535" s="1" t="n">
        <v>46082</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20798-2025</t>
        </is>
      </c>
      <c r="B536" s="1" t="n">
        <v>45776</v>
      </c>
      <c r="C536" s="1" t="n">
        <v>46082</v>
      </c>
      <c r="D536" t="inlineStr">
        <is>
          <t>JÄMTLANDS LÄN</t>
        </is>
      </c>
      <c r="E536" t="inlineStr">
        <is>
          <t>KROKOM</t>
        </is>
      </c>
      <c r="G536" t="n">
        <v>2.2</v>
      </c>
      <c r="H536" t="n">
        <v>0</v>
      </c>
      <c r="I536" t="n">
        <v>0</v>
      </c>
      <c r="J536" t="n">
        <v>0</v>
      </c>
      <c r="K536" t="n">
        <v>0</v>
      </c>
      <c r="L536" t="n">
        <v>0</v>
      </c>
      <c r="M536" t="n">
        <v>0</v>
      </c>
      <c r="N536" t="n">
        <v>0</v>
      </c>
      <c r="O536" t="n">
        <v>0</v>
      </c>
      <c r="P536" t="n">
        <v>0</v>
      </c>
      <c r="Q536" t="n">
        <v>0</v>
      </c>
      <c r="R536" s="2" t="inlineStr"/>
    </row>
    <row r="537" ht="15" customHeight="1">
      <c r="A537" t="inlineStr">
        <is>
          <t>A 31654-2025</t>
        </is>
      </c>
      <c r="B537" s="1" t="n">
        <v>45834.34726851852</v>
      </c>
      <c r="C537" s="1" t="n">
        <v>46082</v>
      </c>
      <c r="D537" t="inlineStr">
        <is>
          <t>JÄMTLANDS LÄN</t>
        </is>
      </c>
      <c r="E537" t="inlineStr">
        <is>
          <t>KROKOM</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24559-2024</t>
        </is>
      </c>
      <c r="B538" s="1" t="n">
        <v>45460.44076388889</v>
      </c>
      <c r="C538" s="1" t="n">
        <v>46082</v>
      </c>
      <c r="D538" t="inlineStr">
        <is>
          <t>JÄMTLANDS LÄN</t>
        </is>
      </c>
      <c r="E538" t="inlineStr">
        <is>
          <t>KROKOM</t>
        </is>
      </c>
      <c r="G538" t="n">
        <v>0.9</v>
      </c>
      <c r="H538" t="n">
        <v>0</v>
      </c>
      <c r="I538" t="n">
        <v>0</v>
      </c>
      <c r="J538" t="n">
        <v>0</v>
      </c>
      <c r="K538" t="n">
        <v>0</v>
      </c>
      <c r="L538" t="n">
        <v>0</v>
      </c>
      <c r="M538" t="n">
        <v>0</v>
      </c>
      <c r="N538" t="n">
        <v>0</v>
      </c>
      <c r="O538" t="n">
        <v>0</v>
      </c>
      <c r="P538" t="n">
        <v>0</v>
      </c>
      <c r="Q538" t="n">
        <v>0</v>
      </c>
      <c r="R538" s="2" t="inlineStr"/>
    </row>
    <row r="539" ht="15" customHeight="1">
      <c r="A539" t="inlineStr">
        <is>
          <t>A 31852-2025</t>
        </is>
      </c>
      <c r="B539" s="1" t="n">
        <v>45834.61517361111</v>
      </c>
      <c r="C539" s="1" t="n">
        <v>46082</v>
      </c>
      <c r="D539" t="inlineStr">
        <is>
          <t>JÄMTLANDS LÄN</t>
        </is>
      </c>
      <c r="E539" t="inlineStr">
        <is>
          <t>KROKOM</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7908-2025</t>
        </is>
      </c>
      <c r="B540" s="1" t="n">
        <v>45707.33935185185</v>
      </c>
      <c r="C540" s="1" t="n">
        <v>46082</v>
      </c>
      <c r="D540" t="inlineStr">
        <is>
          <t>JÄMTLANDS LÄN</t>
        </is>
      </c>
      <c r="E540" t="inlineStr">
        <is>
          <t>KROKOM</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20210-2025</t>
        </is>
      </c>
      <c r="B541" s="1" t="n">
        <v>45772.62052083333</v>
      </c>
      <c r="C541" s="1" t="n">
        <v>46082</v>
      </c>
      <c r="D541" t="inlineStr">
        <is>
          <t>JÄMTLANDS LÄN</t>
        </is>
      </c>
      <c r="E541" t="inlineStr">
        <is>
          <t>KROKOM</t>
        </is>
      </c>
      <c r="G541" t="n">
        <v>12.3</v>
      </c>
      <c r="H541" t="n">
        <v>0</v>
      </c>
      <c r="I541" t="n">
        <v>0</v>
      </c>
      <c r="J541" t="n">
        <v>0</v>
      </c>
      <c r="K541" t="n">
        <v>0</v>
      </c>
      <c r="L541" t="n">
        <v>0</v>
      </c>
      <c r="M541" t="n">
        <v>0</v>
      </c>
      <c r="N541" t="n">
        <v>0</v>
      </c>
      <c r="O541" t="n">
        <v>0</v>
      </c>
      <c r="P541" t="n">
        <v>0</v>
      </c>
      <c r="Q541" t="n">
        <v>0</v>
      </c>
      <c r="R541" s="2" t="inlineStr"/>
    </row>
    <row r="542" ht="15" customHeight="1">
      <c r="A542" t="inlineStr">
        <is>
          <t>A 31292-2025</t>
        </is>
      </c>
      <c r="B542" s="1" t="n">
        <v>45833.36111111111</v>
      </c>
      <c r="C542" s="1" t="n">
        <v>46082</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58563-2023</t>
        </is>
      </c>
      <c r="B543" s="1" t="n">
        <v>45246</v>
      </c>
      <c r="C543" s="1" t="n">
        <v>46082</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33359-2022</t>
        </is>
      </c>
      <c r="B544" s="1" t="n">
        <v>44788</v>
      </c>
      <c r="C544" s="1" t="n">
        <v>46082</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58415-2024</t>
        </is>
      </c>
      <c r="B545" s="1" t="n">
        <v>45634.7925</v>
      </c>
      <c r="C545" s="1" t="n">
        <v>46082</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6585-2025</t>
        </is>
      </c>
      <c r="B546" s="1" t="n">
        <v>45700.27895833334</v>
      </c>
      <c r="C546" s="1" t="n">
        <v>46082</v>
      </c>
      <c r="D546" t="inlineStr">
        <is>
          <t>JÄMTLANDS LÄN</t>
        </is>
      </c>
      <c r="E546" t="inlineStr">
        <is>
          <t>KROKOM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8868-2025</t>
        </is>
      </c>
      <c r="B547" s="1" t="n">
        <v>45713.36836805556</v>
      </c>
      <c r="C547" s="1" t="n">
        <v>46082</v>
      </c>
      <c r="D547" t="inlineStr">
        <is>
          <t>JÄMTLANDS LÄN</t>
        </is>
      </c>
      <c r="E547" t="inlineStr">
        <is>
          <t>KROKOM</t>
        </is>
      </c>
      <c r="F547" t="inlineStr">
        <is>
          <t>Övriga Aktiebolag</t>
        </is>
      </c>
      <c r="G547" t="n">
        <v>4.2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46082</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32038-2025</t>
        </is>
      </c>
      <c r="B549" s="1" t="n">
        <v>45835.42712962963</v>
      </c>
      <c r="C549" s="1" t="n">
        <v>46082</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row>
    <row r="550" ht="15" customHeight="1">
      <c r="A550" t="inlineStr">
        <is>
          <t>A 6451-2022</t>
        </is>
      </c>
      <c r="B550" s="1" t="n">
        <v>44601.35342592592</v>
      </c>
      <c r="C550" s="1" t="n">
        <v>46082</v>
      </c>
      <c r="D550" t="inlineStr">
        <is>
          <t>JÄMTLANDS LÄN</t>
        </is>
      </c>
      <c r="E550" t="inlineStr">
        <is>
          <t>KROKOM</t>
        </is>
      </c>
      <c r="G550" t="n">
        <v>5.8</v>
      </c>
      <c r="H550" t="n">
        <v>0</v>
      </c>
      <c r="I550" t="n">
        <v>0</v>
      </c>
      <c r="J550" t="n">
        <v>0</v>
      </c>
      <c r="K550" t="n">
        <v>0</v>
      </c>
      <c r="L550" t="n">
        <v>0</v>
      </c>
      <c r="M550" t="n">
        <v>0</v>
      </c>
      <c r="N550" t="n">
        <v>0</v>
      </c>
      <c r="O550" t="n">
        <v>0</v>
      </c>
      <c r="P550" t="n">
        <v>0</v>
      </c>
      <c r="Q550" t="n">
        <v>0</v>
      </c>
      <c r="R550" s="2" t="inlineStr"/>
    </row>
    <row r="551" ht="15" customHeight="1">
      <c r="A551" t="inlineStr">
        <is>
          <t>A 37465-2025</t>
        </is>
      </c>
      <c r="B551" s="1" t="n">
        <v>45877.57403935185</v>
      </c>
      <c r="C551" s="1" t="n">
        <v>46082</v>
      </c>
      <c r="D551" t="inlineStr">
        <is>
          <t>JÄMTLANDS LÄN</t>
        </is>
      </c>
      <c r="E551" t="inlineStr">
        <is>
          <t>KROKOM</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51910-2023</t>
        </is>
      </c>
      <c r="B552" s="1" t="n">
        <v>45216</v>
      </c>
      <c r="C552" s="1" t="n">
        <v>46082</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3257-2024</t>
        </is>
      </c>
      <c r="B553" s="1" t="n">
        <v>45316</v>
      </c>
      <c r="C553" s="1" t="n">
        <v>46082</v>
      </c>
      <c r="D553" t="inlineStr">
        <is>
          <t>JÄMTLANDS LÄN</t>
        </is>
      </c>
      <c r="E553" t="inlineStr">
        <is>
          <t>KROKOM</t>
        </is>
      </c>
      <c r="G553" t="n">
        <v>6.5</v>
      </c>
      <c r="H553" t="n">
        <v>0</v>
      </c>
      <c r="I553" t="n">
        <v>0</v>
      </c>
      <c r="J553" t="n">
        <v>0</v>
      </c>
      <c r="K553" t="n">
        <v>0</v>
      </c>
      <c r="L553" t="n">
        <v>0</v>
      </c>
      <c r="M553" t="n">
        <v>0</v>
      </c>
      <c r="N553" t="n">
        <v>0</v>
      </c>
      <c r="O553" t="n">
        <v>0</v>
      </c>
      <c r="P553" t="n">
        <v>0</v>
      </c>
      <c r="Q553" t="n">
        <v>0</v>
      </c>
      <c r="R553" s="2" t="inlineStr"/>
    </row>
    <row r="554" ht="15" customHeight="1">
      <c r="A554" t="inlineStr">
        <is>
          <t>A 20174-2025</t>
        </is>
      </c>
      <c r="B554" s="1" t="n">
        <v>45772.58283564815</v>
      </c>
      <c r="C554" s="1" t="n">
        <v>46082</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20181-2025</t>
        </is>
      </c>
      <c r="B555" s="1" t="n">
        <v>45772.59200231481</v>
      </c>
      <c r="C555" s="1" t="n">
        <v>46082</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25421-2022</t>
        </is>
      </c>
      <c r="B556" s="1" t="n">
        <v>44732</v>
      </c>
      <c r="C556" s="1" t="n">
        <v>46082</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33045-2025</t>
        </is>
      </c>
      <c r="B557" s="1" t="n">
        <v>45840.40717592592</v>
      </c>
      <c r="C557" s="1" t="n">
        <v>46082</v>
      </c>
      <c r="D557" t="inlineStr">
        <is>
          <t>JÄMTLANDS LÄN</t>
        </is>
      </c>
      <c r="E557" t="inlineStr">
        <is>
          <t>KROKOM</t>
        </is>
      </c>
      <c r="F557" t="inlineStr">
        <is>
          <t>SCA</t>
        </is>
      </c>
      <c r="G557" t="n">
        <v>18.7</v>
      </c>
      <c r="H557" t="n">
        <v>0</v>
      </c>
      <c r="I557" t="n">
        <v>0</v>
      </c>
      <c r="J557" t="n">
        <v>0</v>
      </c>
      <c r="K557" t="n">
        <v>0</v>
      </c>
      <c r="L557" t="n">
        <v>0</v>
      </c>
      <c r="M557" t="n">
        <v>0</v>
      </c>
      <c r="N557" t="n">
        <v>0</v>
      </c>
      <c r="O557" t="n">
        <v>0</v>
      </c>
      <c r="P557" t="n">
        <v>0</v>
      </c>
      <c r="Q557" t="n">
        <v>0</v>
      </c>
      <c r="R557" s="2" t="inlineStr"/>
    </row>
    <row r="558" ht="15" customHeight="1">
      <c r="A558" t="inlineStr">
        <is>
          <t>A 32896-2025</t>
        </is>
      </c>
      <c r="B558" s="1" t="n">
        <v>45839.61541666667</v>
      </c>
      <c r="C558" s="1" t="n">
        <v>46082</v>
      </c>
      <c r="D558" t="inlineStr">
        <is>
          <t>JÄMTLANDS LÄN</t>
        </is>
      </c>
      <c r="E558" t="inlineStr">
        <is>
          <t>KROKOM</t>
        </is>
      </c>
      <c r="F558" t="inlineStr">
        <is>
          <t>SCA</t>
        </is>
      </c>
      <c r="G558" t="n">
        <v>17.9</v>
      </c>
      <c r="H558" t="n">
        <v>0</v>
      </c>
      <c r="I558" t="n">
        <v>0</v>
      </c>
      <c r="J558" t="n">
        <v>0</v>
      </c>
      <c r="K558" t="n">
        <v>0</v>
      </c>
      <c r="L558" t="n">
        <v>0</v>
      </c>
      <c r="M558" t="n">
        <v>0</v>
      </c>
      <c r="N558" t="n">
        <v>0</v>
      </c>
      <c r="O558" t="n">
        <v>0</v>
      </c>
      <c r="P558" t="n">
        <v>0</v>
      </c>
      <c r="Q558" t="n">
        <v>0</v>
      </c>
      <c r="R558" s="2" t="inlineStr"/>
    </row>
    <row r="559" ht="15" customHeight="1">
      <c r="A559" t="inlineStr">
        <is>
          <t>A 32897-2025</t>
        </is>
      </c>
      <c r="B559" s="1" t="n">
        <v>45839.61563657408</v>
      </c>
      <c r="C559" s="1" t="n">
        <v>46082</v>
      </c>
      <c r="D559" t="inlineStr">
        <is>
          <t>JÄMTLANDS LÄN</t>
        </is>
      </c>
      <c r="E559" t="inlineStr">
        <is>
          <t>KROKOM</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32966-2025</t>
        </is>
      </c>
      <c r="B560" s="1" t="n">
        <v>45839.72320601852</v>
      </c>
      <c r="C560" s="1" t="n">
        <v>46082</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32898-2025</t>
        </is>
      </c>
      <c r="B561" s="1" t="n">
        <v>45839.61582175926</v>
      </c>
      <c r="C561" s="1" t="n">
        <v>46082</v>
      </c>
      <c r="D561" t="inlineStr">
        <is>
          <t>JÄMTLANDS LÄN</t>
        </is>
      </c>
      <c r="E561" t="inlineStr">
        <is>
          <t>KROKOM</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32899-2025</t>
        </is>
      </c>
      <c r="B562" s="1" t="n">
        <v>45839.61594907408</v>
      </c>
      <c r="C562" s="1" t="n">
        <v>46082</v>
      </c>
      <c r="D562" t="inlineStr">
        <is>
          <t>JÄMTLANDS LÄN</t>
        </is>
      </c>
      <c r="E562" t="inlineStr">
        <is>
          <t>KROKOM</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31537-2023</t>
        </is>
      </c>
      <c r="B563" s="1" t="n">
        <v>45117</v>
      </c>
      <c r="C563" s="1" t="n">
        <v>46082</v>
      </c>
      <c r="D563" t="inlineStr">
        <is>
          <t>JÄMTLANDS LÄN</t>
        </is>
      </c>
      <c r="E563" t="inlineStr">
        <is>
          <t>KROKOM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32765-2023</t>
        </is>
      </c>
      <c r="B564" s="1" t="n">
        <v>45123.61459490741</v>
      </c>
      <c r="C564" s="1" t="n">
        <v>46082</v>
      </c>
      <c r="D564" t="inlineStr">
        <is>
          <t>JÄMTLANDS LÄN</t>
        </is>
      </c>
      <c r="E564" t="inlineStr">
        <is>
          <t>KROKOM</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50206-2024</t>
        </is>
      </c>
      <c r="B565" s="1" t="n">
        <v>45600.49616898148</v>
      </c>
      <c r="C565" s="1" t="n">
        <v>46082</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33677-2025</t>
        </is>
      </c>
      <c r="B566" s="1" t="n">
        <v>45841.67834490741</v>
      </c>
      <c r="C566" s="1" t="n">
        <v>46082</v>
      </c>
      <c r="D566" t="inlineStr">
        <is>
          <t>JÄMTLANDS LÄN</t>
        </is>
      </c>
      <c r="E566" t="inlineStr">
        <is>
          <t>KROKOM</t>
        </is>
      </c>
      <c r="F566" t="inlineStr">
        <is>
          <t>SCA</t>
        </is>
      </c>
      <c r="G566" t="n">
        <v>13.7</v>
      </c>
      <c r="H566" t="n">
        <v>0</v>
      </c>
      <c r="I566" t="n">
        <v>0</v>
      </c>
      <c r="J566" t="n">
        <v>0</v>
      </c>
      <c r="K566" t="n">
        <v>0</v>
      </c>
      <c r="L566" t="n">
        <v>0</v>
      </c>
      <c r="M566" t="n">
        <v>0</v>
      </c>
      <c r="N566" t="n">
        <v>0</v>
      </c>
      <c r="O566" t="n">
        <v>0</v>
      </c>
      <c r="P566" t="n">
        <v>0</v>
      </c>
      <c r="Q566" t="n">
        <v>0</v>
      </c>
      <c r="R566" s="2" t="inlineStr"/>
    </row>
    <row r="567" ht="15" customHeight="1">
      <c r="A567" t="inlineStr">
        <is>
          <t>A 18406-2025</t>
        </is>
      </c>
      <c r="B567" s="1" t="n">
        <v>45762.60907407408</v>
      </c>
      <c r="C567" s="1" t="n">
        <v>46082</v>
      </c>
      <c r="D567" t="inlineStr">
        <is>
          <t>JÄMTLANDS LÄN</t>
        </is>
      </c>
      <c r="E567" t="inlineStr">
        <is>
          <t>KROKOM</t>
        </is>
      </c>
      <c r="F567" t="inlineStr">
        <is>
          <t>Övriga Aktiebolag</t>
        </is>
      </c>
      <c r="G567" t="n">
        <v>34.3</v>
      </c>
      <c r="H567" t="n">
        <v>0</v>
      </c>
      <c r="I567" t="n">
        <v>0</v>
      </c>
      <c r="J567" t="n">
        <v>0</v>
      </c>
      <c r="K567" t="n">
        <v>0</v>
      </c>
      <c r="L567" t="n">
        <v>0</v>
      </c>
      <c r="M567" t="n">
        <v>0</v>
      </c>
      <c r="N567" t="n">
        <v>0</v>
      </c>
      <c r="O567" t="n">
        <v>0</v>
      </c>
      <c r="P567" t="n">
        <v>0</v>
      </c>
      <c r="Q567" t="n">
        <v>0</v>
      </c>
      <c r="R567" s="2" t="inlineStr"/>
    </row>
    <row r="568" ht="15" customHeight="1">
      <c r="A568" t="inlineStr">
        <is>
          <t>A 31538-2023</t>
        </is>
      </c>
      <c r="B568" s="1" t="n">
        <v>45117</v>
      </c>
      <c r="C568" s="1" t="n">
        <v>46082</v>
      </c>
      <c r="D568" t="inlineStr">
        <is>
          <t>JÄMTLANDS LÄN</t>
        </is>
      </c>
      <c r="E568" t="inlineStr">
        <is>
          <t>KROKOM</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33777-2025</t>
        </is>
      </c>
      <c r="B569" s="1" t="n">
        <v>45842.39587962963</v>
      </c>
      <c r="C569" s="1" t="n">
        <v>46082</v>
      </c>
      <c r="D569" t="inlineStr">
        <is>
          <t>JÄMTLANDS LÄN</t>
        </is>
      </c>
      <c r="E569" t="inlineStr">
        <is>
          <t>KROKOM</t>
        </is>
      </c>
      <c r="F569" t="inlineStr">
        <is>
          <t>Övriga Aktiebolag</t>
        </is>
      </c>
      <c r="G569" t="n">
        <v>0.3</v>
      </c>
      <c r="H569" t="n">
        <v>0</v>
      </c>
      <c r="I569" t="n">
        <v>0</v>
      </c>
      <c r="J569" t="n">
        <v>0</v>
      </c>
      <c r="K569" t="n">
        <v>0</v>
      </c>
      <c r="L569" t="n">
        <v>0</v>
      </c>
      <c r="M569" t="n">
        <v>0</v>
      </c>
      <c r="N569" t="n">
        <v>0</v>
      </c>
      <c r="O569" t="n">
        <v>0</v>
      </c>
      <c r="P569" t="n">
        <v>0</v>
      </c>
      <c r="Q569" t="n">
        <v>0</v>
      </c>
      <c r="R569" s="2" t="inlineStr"/>
    </row>
    <row r="570" ht="15" customHeight="1">
      <c r="A570" t="inlineStr">
        <is>
          <t>A 33779-2025</t>
        </is>
      </c>
      <c r="B570" s="1" t="n">
        <v>45842.40013888889</v>
      </c>
      <c r="C570" s="1" t="n">
        <v>46082</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44519-2024</t>
        </is>
      </c>
      <c r="B571" s="1" t="n">
        <v>45574.43403935185</v>
      </c>
      <c r="C571" s="1" t="n">
        <v>46082</v>
      </c>
      <c r="D571" t="inlineStr">
        <is>
          <t>JÄMTLANDS LÄN</t>
        </is>
      </c>
      <c r="E571" t="inlineStr">
        <is>
          <t>KROKOM</t>
        </is>
      </c>
      <c r="G571" t="n">
        <v>0.8</v>
      </c>
      <c r="H571" t="n">
        <v>0</v>
      </c>
      <c r="I571" t="n">
        <v>0</v>
      </c>
      <c r="J571" t="n">
        <v>0</v>
      </c>
      <c r="K571" t="n">
        <v>0</v>
      </c>
      <c r="L571" t="n">
        <v>0</v>
      </c>
      <c r="M571" t="n">
        <v>0</v>
      </c>
      <c r="N571" t="n">
        <v>0</v>
      </c>
      <c r="O571" t="n">
        <v>0</v>
      </c>
      <c r="P571" t="n">
        <v>0</v>
      </c>
      <c r="Q571" t="n">
        <v>0</v>
      </c>
      <c r="R571" s="2" t="inlineStr"/>
    </row>
    <row r="572" ht="15" customHeight="1">
      <c r="A572" t="inlineStr">
        <is>
          <t>A 33915-2025</t>
        </is>
      </c>
      <c r="B572" s="1" t="n">
        <v>45842.6099537037</v>
      </c>
      <c r="C572" s="1" t="n">
        <v>46082</v>
      </c>
      <c r="D572" t="inlineStr">
        <is>
          <t>JÄMTLANDS LÄN</t>
        </is>
      </c>
      <c r="E572" t="inlineStr">
        <is>
          <t>KROKOM</t>
        </is>
      </c>
      <c r="G572" t="n">
        <v>1.5</v>
      </c>
      <c r="H572" t="n">
        <v>0</v>
      </c>
      <c r="I572" t="n">
        <v>0</v>
      </c>
      <c r="J572" t="n">
        <v>0</v>
      </c>
      <c r="K572" t="n">
        <v>0</v>
      </c>
      <c r="L572" t="n">
        <v>0</v>
      </c>
      <c r="M572" t="n">
        <v>0</v>
      </c>
      <c r="N572" t="n">
        <v>0</v>
      </c>
      <c r="O572" t="n">
        <v>0</v>
      </c>
      <c r="P572" t="n">
        <v>0</v>
      </c>
      <c r="Q572" t="n">
        <v>0</v>
      </c>
      <c r="R572" s="2" t="inlineStr"/>
    </row>
    <row r="573" ht="15" customHeight="1">
      <c r="A573" t="inlineStr">
        <is>
          <t>A 33418-2025</t>
        </is>
      </c>
      <c r="B573" s="1" t="n">
        <v>45841.43987268519</v>
      </c>
      <c r="C573" s="1" t="n">
        <v>46082</v>
      </c>
      <c r="D573" t="inlineStr">
        <is>
          <t>JÄMTLANDS LÄN</t>
        </is>
      </c>
      <c r="E573" t="inlineStr">
        <is>
          <t>KROKOM</t>
        </is>
      </c>
      <c r="G573" t="n">
        <v>3.9</v>
      </c>
      <c r="H573" t="n">
        <v>0</v>
      </c>
      <c r="I573" t="n">
        <v>0</v>
      </c>
      <c r="J573" t="n">
        <v>0</v>
      </c>
      <c r="K573" t="n">
        <v>0</v>
      </c>
      <c r="L573" t="n">
        <v>0</v>
      </c>
      <c r="M573" t="n">
        <v>0</v>
      </c>
      <c r="N573" t="n">
        <v>0</v>
      </c>
      <c r="O573" t="n">
        <v>0</v>
      </c>
      <c r="P573" t="n">
        <v>0</v>
      </c>
      <c r="Q573" t="n">
        <v>0</v>
      </c>
      <c r="R573" s="2" t="inlineStr"/>
    </row>
    <row r="574" ht="15" customHeight="1">
      <c r="A574" t="inlineStr">
        <is>
          <t>A 43785-2025</t>
        </is>
      </c>
      <c r="B574" s="1" t="n">
        <v>45912</v>
      </c>
      <c r="C574" s="1" t="n">
        <v>46082</v>
      </c>
      <c r="D574" t="inlineStr">
        <is>
          <t>JÄMTLANDS LÄN</t>
        </is>
      </c>
      <c r="E574" t="inlineStr">
        <is>
          <t>KROKOM</t>
        </is>
      </c>
      <c r="G574" t="n">
        <v>2</v>
      </c>
      <c r="H574" t="n">
        <v>0</v>
      </c>
      <c r="I574" t="n">
        <v>0</v>
      </c>
      <c r="J574" t="n">
        <v>0</v>
      </c>
      <c r="K574" t="n">
        <v>0</v>
      </c>
      <c r="L574" t="n">
        <v>0</v>
      </c>
      <c r="M574" t="n">
        <v>0</v>
      </c>
      <c r="N574" t="n">
        <v>0</v>
      </c>
      <c r="O574" t="n">
        <v>0</v>
      </c>
      <c r="P574" t="n">
        <v>0</v>
      </c>
      <c r="Q574" t="n">
        <v>0</v>
      </c>
      <c r="R574" s="2" t="inlineStr"/>
    </row>
    <row r="575" ht="15" customHeight="1">
      <c r="A575" t="inlineStr">
        <is>
          <t>A 54828-2024</t>
        </is>
      </c>
      <c r="B575" s="1" t="n">
        <v>45618.54398148148</v>
      </c>
      <c r="C575" s="1" t="n">
        <v>46082</v>
      </c>
      <c r="D575" t="inlineStr">
        <is>
          <t>JÄMTLANDS LÄN</t>
        </is>
      </c>
      <c r="E575" t="inlineStr">
        <is>
          <t>KROKOM</t>
        </is>
      </c>
      <c r="G575" t="n">
        <v>8.1</v>
      </c>
      <c r="H575" t="n">
        <v>0</v>
      </c>
      <c r="I575" t="n">
        <v>0</v>
      </c>
      <c r="J575" t="n">
        <v>0</v>
      </c>
      <c r="K575" t="n">
        <v>0</v>
      </c>
      <c r="L575" t="n">
        <v>0</v>
      </c>
      <c r="M575" t="n">
        <v>0</v>
      </c>
      <c r="N575" t="n">
        <v>0</v>
      </c>
      <c r="O575" t="n">
        <v>0</v>
      </c>
      <c r="P575" t="n">
        <v>0</v>
      </c>
      <c r="Q575" t="n">
        <v>0</v>
      </c>
      <c r="R575" s="2" t="inlineStr"/>
    </row>
    <row r="576" ht="15" customHeight="1">
      <c r="A576" t="inlineStr">
        <is>
          <t>A 33945-2025</t>
        </is>
      </c>
      <c r="B576" s="1" t="n">
        <v>45842</v>
      </c>
      <c r="C576" s="1" t="n">
        <v>46082</v>
      </c>
      <c r="D576" t="inlineStr">
        <is>
          <t>JÄMTLANDS LÄN</t>
        </is>
      </c>
      <c r="E576" t="inlineStr">
        <is>
          <t>KROKOM</t>
        </is>
      </c>
      <c r="G576" t="n">
        <v>7</v>
      </c>
      <c r="H576" t="n">
        <v>0</v>
      </c>
      <c r="I576" t="n">
        <v>0</v>
      </c>
      <c r="J576" t="n">
        <v>0</v>
      </c>
      <c r="K576" t="n">
        <v>0</v>
      </c>
      <c r="L576" t="n">
        <v>0</v>
      </c>
      <c r="M576" t="n">
        <v>0</v>
      </c>
      <c r="N576" t="n">
        <v>0</v>
      </c>
      <c r="O576" t="n">
        <v>0</v>
      </c>
      <c r="P576" t="n">
        <v>0</v>
      </c>
      <c r="Q576" t="n">
        <v>0</v>
      </c>
      <c r="R576" s="2" t="inlineStr"/>
    </row>
    <row r="577" ht="15" customHeight="1">
      <c r="A577" t="inlineStr">
        <is>
          <t>A 31988-2024</t>
        </is>
      </c>
      <c r="B577" s="1" t="n">
        <v>45510.58033564815</v>
      </c>
      <c r="C577" s="1" t="n">
        <v>46082</v>
      </c>
      <c r="D577" t="inlineStr">
        <is>
          <t>JÄMTLANDS LÄN</t>
        </is>
      </c>
      <c r="E577" t="inlineStr">
        <is>
          <t>KROKOM</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33925-2025</t>
        </is>
      </c>
      <c r="B578" s="1" t="n">
        <v>45842</v>
      </c>
      <c r="C578" s="1" t="n">
        <v>46082</v>
      </c>
      <c r="D578" t="inlineStr">
        <is>
          <t>JÄMTLANDS LÄN</t>
        </is>
      </c>
      <c r="E578" t="inlineStr">
        <is>
          <t>KROKOM</t>
        </is>
      </c>
      <c r="G578" t="n">
        <v>1.2</v>
      </c>
      <c r="H578" t="n">
        <v>0</v>
      </c>
      <c r="I578" t="n">
        <v>0</v>
      </c>
      <c r="J578" t="n">
        <v>0</v>
      </c>
      <c r="K578" t="n">
        <v>0</v>
      </c>
      <c r="L578" t="n">
        <v>0</v>
      </c>
      <c r="M578" t="n">
        <v>0</v>
      </c>
      <c r="N578" t="n">
        <v>0</v>
      </c>
      <c r="O578" t="n">
        <v>0</v>
      </c>
      <c r="P578" t="n">
        <v>0</v>
      </c>
      <c r="Q578" t="n">
        <v>0</v>
      </c>
      <c r="R578" s="2" t="inlineStr"/>
    </row>
    <row r="579" ht="15" customHeight="1">
      <c r="A579" t="inlineStr">
        <is>
          <t>A 5935-2025</t>
        </is>
      </c>
      <c r="B579" s="1" t="n">
        <v>45695.45013888889</v>
      </c>
      <c r="C579" s="1" t="n">
        <v>46082</v>
      </c>
      <c r="D579" t="inlineStr">
        <is>
          <t>JÄMTLANDS LÄN</t>
        </is>
      </c>
      <c r="E579" t="inlineStr">
        <is>
          <t>KROKOM</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24252-2024</t>
        </is>
      </c>
      <c r="B580" s="1" t="n">
        <v>45457.38799768518</v>
      </c>
      <c r="C580" s="1" t="n">
        <v>46082</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34701-2025</t>
        </is>
      </c>
      <c r="B581" s="1" t="n">
        <v>45848.48070601852</v>
      </c>
      <c r="C581" s="1" t="n">
        <v>46082</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27000-2021</t>
        </is>
      </c>
      <c r="B582" s="1" t="n">
        <v>44349</v>
      </c>
      <c r="C582" s="1" t="n">
        <v>46082</v>
      </c>
      <c r="D582" t="inlineStr">
        <is>
          <t>JÄMTLANDS LÄN</t>
        </is>
      </c>
      <c r="E582" t="inlineStr">
        <is>
          <t>KROKOM</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34535-2025</t>
        </is>
      </c>
      <c r="B583" s="1" t="n">
        <v>45847.51106481482</v>
      </c>
      <c r="C583" s="1" t="n">
        <v>46082</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46082</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34608-2025</t>
        </is>
      </c>
      <c r="B585" s="1" t="n">
        <v>45847.65717592592</v>
      </c>
      <c r="C585" s="1" t="n">
        <v>46082</v>
      </c>
      <c r="D585" t="inlineStr">
        <is>
          <t>JÄMTLANDS LÄN</t>
        </is>
      </c>
      <c r="E585" t="inlineStr">
        <is>
          <t>KROKOM</t>
        </is>
      </c>
      <c r="F585" t="inlineStr">
        <is>
          <t>SCA</t>
        </is>
      </c>
      <c r="G585" t="n">
        <v>7.6</v>
      </c>
      <c r="H585" t="n">
        <v>0</v>
      </c>
      <c r="I585" t="n">
        <v>0</v>
      </c>
      <c r="J585" t="n">
        <v>0</v>
      </c>
      <c r="K585" t="n">
        <v>0</v>
      </c>
      <c r="L585" t="n">
        <v>0</v>
      </c>
      <c r="M585" t="n">
        <v>0</v>
      </c>
      <c r="N585" t="n">
        <v>0</v>
      </c>
      <c r="O585" t="n">
        <v>0</v>
      </c>
      <c r="P585" t="n">
        <v>0</v>
      </c>
      <c r="Q585" t="n">
        <v>0</v>
      </c>
      <c r="R585" s="2" t="inlineStr"/>
    </row>
    <row r="586" ht="15" customHeight="1">
      <c r="A586" t="inlineStr">
        <is>
          <t>A 34737-2025</t>
        </is>
      </c>
      <c r="B586" s="1" t="n">
        <v>45848.60371527778</v>
      </c>
      <c r="C586" s="1" t="n">
        <v>46082</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34829-2025</t>
        </is>
      </c>
      <c r="B587" s="1" t="n">
        <v>45849.3859837963</v>
      </c>
      <c r="C587" s="1" t="n">
        <v>46082</v>
      </c>
      <c r="D587" t="inlineStr">
        <is>
          <t>JÄMTLANDS LÄN</t>
        </is>
      </c>
      <c r="E587" t="inlineStr">
        <is>
          <t>KROKOM</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67740-2021</t>
        </is>
      </c>
      <c r="B588" s="1" t="n">
        <v>44524</v>
      </c>
      <c r="C588" s="1" t="n">
        <v>46082</v>
      </c>
      <c r="D588" t="inlineStr">
        <is>
          <t>JÄMTLANDS LÄN</t>
        </is>
      </c>
      <c r="E588" t="inlineStr">
        <is>
          <t>KROKOM</t>
        </is>
      </c>
      <c r="G588" t="n">
        <v>12.3</v>
      </c>
      <c r="H588" t="n">
        <v>0</v>
      </c>
      <c r="I588" t="n">
        <v>0</v>
      </c>
      <c r="J588" t="n">
        <v>0</v>
      </c>
      <c r="K588" t="n">
        <v>0</v>
      </c>
      <c r="L588" t="n">
        <v>0</v>
      </c>
      <c r="M588" t="n">
        <v>0</v>
      </c>
      <c r="N588" t="n">
        <v>0</v>
      </c>
      <c r="O588" t="n">
        <v>0</v>
      </c>
      <c r="P588" t="n">
        <v>0</v>
      </c>
      <c r="Q588" t="n">
        <v>0</v>
      </c>
      <c r="R588" s="2" t="inlineStr"/>
    </row>
    <row r="589" ht="15" customHeight="1">
      <c r="A589" t="inlineStr">
        <is>
          <t>A 44138-2025</t>
        </is>
      </c>
      <c r="B589" s="1" t="n">
        <v>45915.58836805556</v>
      </c>
      <c r="C589" s="1" t="n">
        <v>46082</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43996-2025</t>
        </is>
      </c>
      <c r="B590" s="1" t="n">
        <v>45915</v>
      </c>
      <c r="C590" s="1" t="n">
        <v>46082</v>
      </c>
      <c r="D590" t="inlineStr">
        <is>
          <t>JÄMTLANDS LÄN</t>
        </is>
      </c>
      <c r="E590" t="inlineStr">
        <is>
          <t>KROKOM</t>
        </is>
      </c>
      <c r="G590" t="n">
        <v>24.2</v>
      </c>
      <c r="H590" t="n">
        <v>0</v>
      </c>
      <c r="I590" t="n">
        <v>0</v>
      </c>
      <c r="J590" t="n">
        <v>0</v>
      </c>
      <c r="K590" t="n">
        <v>0</v>
      </c>
      <c r="L590" t="n">
        <v>0</v>
      </c>
      <c r="M590" t="n">
        <v>0</v>
      </c>
      <c r="N590" t="n">
        <v>0</v>
      </c>
      <c r="O590" t="n">
        <v>0</v>
      </c>
      <c r="P590" t="n">
        <v>0</v>
      </c>
      <c r="Q590" t="n">
        <v>0</v>
      </c>
      <c r="R590" s="2" t="inlineStr"/>
    </row>
    <row r="591" ht="15" customHeight="1">
      <c r="A591" t="inlineStr">
        <is>
          <t>A 52217-2024</t>
        </is>
      </c>
      <c r="B591" s="1" t="n">
        <v>45607</v>
      </c>
      <c r="C591" s="1" t="n">
        <v>46082</v>
      </c>
      <c r="D591" t="inlineStr">
        <is>
          <t>JÄMTLANDS LÄN</t>
        </is>
      </c>
      <c r="E591" t="inlineStr">
        <is>
          <t>KROKOM</t>
        </is>
      </c>
      <c r="G591" t="n">
        <v>0.2</v>
      </c>
      <c r="H591" t="n">
        <v>0</v>
      </c>
      <c r="I591" t="n">
        <v>0</v>
      </c>
      <c r="J591" t="n">
        <v>0</v>
      </c>
      <c r="K591" t="n">
        <v>0</v>
      </c>
      <c r="L591" t="n">
        <v>0</v>
      </c>
      <c r="M591" t="n">
        <v>0</v>
      </c>
      <c r="N591" t="n">
        <v>0</v>
      </c>
      <c r="O591" t="n">
        <v>0</v>
      </c>
      <c r="P591" t="n">
        <v>0</v>
      </c>
      <c r="Q591" t="n">
        <v>0</v>
      </c>
      <c r="R591" s="2" t="inlineStr"/>
    </row>
    <row r="592" ht="15" customHeight="1">
      <c r="A592" t="inlineStr">
        <is>
          <t>A 53541-2024</t>
        </is>
      </c>
      <c r="B592" s="1" t="n">
        <v>45614.63606481482</v>
      </c>
      <c r="C592" s="1" t="n">
        <v>46082</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45614.63701388889</v>
      </c>
      <c r="C593" s="1" t="n">
        <v>46082</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35354-2025</t>
        </is>
      </c>
      <c r="B594" s="1" t="n">
        <v>45854.65378472222</v>
      </c>
      <c r="C594" s="1" t="n">
        <v>46082</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15451-2021</t>
        </is>
      </c>
      <c r="B595" s="1" t="n">
        <v>44285</v>
      </c>
      <c r="C595" s="1" t="n">
        <v>46082</v>
      </c>
      <c r="D595" t="inlineStr">
        <is>
          <t>JÄMTLANDS LÄN</t>
        </is>
      </c>
      <c r="E595" t="inlineStr">
        <is>
          <t>KROKOM</t>
        </is>
      </c>
      <c r="G595" t="n">
        <v>6.7</v>
      </c>
      <c r="H595" t="n">
        <v>0</v>
      </c>
      <c r="I595" t="n">
        <v>0</v>
      </c>
      <c r="J595" t="n">
        <v>0</v>
      </c>
      <c r="K595" t="n">
        <v>0</v>
      </c>
      <c r="L595" t="n">
        <v>0</v>
      </c>
      <c r="M595" t="n">
        <v>0</v>
      </c>
      <c r="N595" t="n">
        <v>0</v>
      </c>
      <c r="O595" t="n">
        <v>0</v>
      </c>
      <c r="P595" t="n">
        <v>0</v>
      </c>
      <c r="Q595" t="n">
        <v>0</v>
      </c>
      <c r="R595" s="2" t="inlineStr"/>
    </row>
    <row r="596" ht="15" customHeight="1">
      <c r="A596" t="inlineStr">
        <is>
          <t>A 35238-2025</t>
        </is>
      </c>
      <c r="B596" s="1" t="n">
        <v>45853.6156712963</v>
      </c>
      <c r="C596" s="1" t="n">
        <v>46082</v>
      </c>
      <c r="D596" t="inlineStr">
        <is>
          <t>JÄMTLANDS LÄN</t>
        </is>
      </c>
      <c r="E596" t="inlineStr">
        <is>
          <t>KROKOM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35359-2025</t>
        </is>
      </c>
      <c r="B597" s="1" t="n">
        <v>45854.66518518519</v>
      </c>
      <c r="C597" s="1" t="n">
        <v>46082</v>
      </c>
      <c r="D597" t="inlineStr">
        <is>
          <t>JÄMTLANDS LÄN</t>
        </is>
      </c>
      <c r="E597" t="inlineStr">
        <is>
          <t>KROKOM</t>
        </is>
      </c>
      <c r="G597" t="n">
        <v>2.9</v>
      </c>
      <c r="H597" t="n">
        <v>0</v>
      </c>
      <c r="I597" t="n">
        <v>0</v>
      </c>
      <c r="J597" t="n">
        <v>0</v>
      </c>
      <c r="K597" t="n">
        <v>0</v>
      </c>
      <c r="L597" t="n">
        <v>0</v>
      </c>
      <c r="M597" t="n">
        <v>0</v>
      </c>
      <c r="N597" t="n">
        <v>0</v>
      </c>
      <c r="O597" t="n">
        <v>0</v>
      </c>
      <c r="P597" t="n">
        <v>0</v>
      </c>
      <c r="Q597" t="n">
        <v>0</v>
      </c>
      <c r="R597" s="2" t="inlineStr"/>
    </row>
    <row r="598" ht="15" customHeight="1">
      <c r="A598" t="inlineStr">
        <is>
          <t>A 11056-2025</t>
        </is>
      </c>
      <c r="B598" s="1" t="n">
        <v>45723.50841435185</v>
      </c>
      <c r="C598" s="1" t="n">
        <v>46082</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35460-2025</t>
        </is>
      </c>
      <c r="B599" s="1" t="n">
        <v>45855.61193287037</v>
      </c>
      <c r="C599" s="1" t="n">
        <v>46082</v>
      </c>
      <c r="D599" t="inlineStr">
        <is>
          <t>JÄMTLANDS LÄN</t>
        </is>
      </c>
      <c r="E599" t="inlineStr">
        <is>
          <t>KROKOM</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34801-2023</t>
        </is>
      </c>
      <c r="B600" s="1" t="n">
        <v>45140</v>
      </c>
      <c r="C600" s="1" t="n">
        <v>46082</v>
      </c>
      <c r="D600" t="inlineStr">
        <is>
          <t>JÄMTLANDS LÄN</t>
        </is>
      </c>
      <c r="E600" t="inlineStr">
        <is>
          <t>KROKOM</t>
        </is>
      </c>
      <c r="G600" t="n">
        <v>1.4</v>
      </c>
      <c r="H600" t="n">
        <v>0</v>
      </c>
      <c r="I600" t="n">
        <v>0</v>
      </c>
      <c r="J600" t="n">
        <v>0</v>
      </c>
      <c r="K600" t="n">
        <v>0</v>
      </c>
      <c r="L600" t="n">
        <v>0</v>
      </c>
      <c r="M600" t="n">
        <v>0</v>
      </c>
      <c r="N600" t="n">
        <v>0</v>
      </c>
      <c r="O600" t="n">
        <v>0</v>
      </c>
      <c r="P600" t="n">
        <v>0</v>
      </c>
      <c r="Q600" t="n">
        <v>0</v>
      </c>
      <c r="R600" s="2" t="inlineStr"/>
    </row>
    <row r="601" ht="15" customHeight="1">
      <c r="A601" t="inlineStr">
        <is>
          <t>A 26721-2023</t>
        </is>
      </c>
      <c r="B601" s="1" t="n">
        <v>45090</v>
      </c>
      <c r="C601" s="1" t="n">
        <v>46082</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25775-2024</t>
        </is>
      </c>
      <c r="B602" s="1" t="n">
        <v>45466.62116898148</v>
      </c>
      <c r="C602" s="1" t="n">
        <v>46082</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35778-2025</t>
        </is>
      </c>
      <c r="B603" s="1" t="n">
        <v>45860</v>
      </c>
      <c r="C603" s="1" t="n">
        <v>46082</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60172-2024</t>
        </is>
      </c>
      <c r="B604" s="1" t="n">
        <v>45642.6366087963</v>
      </c>
      <c r="C604" s="1" t="n">
        <v>46082</v>
      </c>
      <c r="D604" t="inlineStr">
        <is>
          <t>JÄMTLANDS LÄN</t>
        </is>
      </c>
      <c r="E604" t="inlineStr">
        <is>
          <t>KROKOM</t>
        </is>
      </c>
      <c r="G604" t="n">
        <v>1.4</v>
      </c>
      <c r="H604" t="n">
        <v>0</v>
      </c>
      <c r="I604" t="n">
        <v>0</v>
      </c>
      <c r="J604" t="n">
        <v>0</v>
      </c>
      <c r="K604" t="n">
        <v>0</v>
      </c>
      <c r="L604" t="n">
        <v>0</v>
      </c>
      <c r="M604" t="n">
        <v>0</v>
      </c>
      <c r="N604" t="n">
        <v>0</v>
      </c>
      <c r="O604" t="n">
        <v>0</v>
      </c>
      <c r="P604" t="n">
        <v>0</v>
      </c>
      <c r="Q604" t="n">
        <v>0</v>
      </c>
      <c r="R604" s="2" t="inlineStr"/>
    </row>
    <row r="605" ht="15" customHeight="1">
      <c r="A605" t="inlineStr">
        <is>
          <t>A 21663-2025</t>
        </is>
      </c>
      <c r="B605" s="1" t="n">
        <v>45783</v>
      </c>
      <c r="C605" s="1" t="n">
        <v>46082</v>
      </c>
      <c r="D605" t="inlineStr">
        <is>
          <t>JÄMTLANDS LÄN</t>
        </is>
      </c>
      <c r="E605" t="inlineStr">
        <is>
          <t>KROKOM</t>
        </is>
      </c>
      <c r="G605" t="n">
        <v>5.2</v>
      </c>
      <c r="H605" t="n">
        <v>0</v>
      </c>
      <c r="I605" t="n">
        <v>0</v>
      </c>
      <c r="J605" t="n">
        <v>0</v>
      </c>
      <c r="K605" t="n">
        <v>0</v>
      </c>
      <c r="L605" t="n">
        <v>0</v>
      </c>
      <c r="M605" t="n">
        <v>0</v>
      </c>
      <c r="N605" t="n">
        <v>0</v>
      </c>
      <c r="O605" t="n">
        <v>0</v>
      </c>
      <c r="P605" t="n">
        <v>0</v>
      </c>
      <c r="Q605" t="n">
        <v>0</v>
      </c>
      <c r="R605" s="2" t="inlineStr"/>
    </row>
    <row r="606" ht="15" customHeight="1">
      <c r="A606" t="inlineStr">
        <is>
          <t>A 23601-2021</t>
        </is>
      </c>
      <c r="B606" s="1" t="n">
        <v>44334</v>
      </c>
      <c r="C606" s="1" t="n">
        <v>46082</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6066-2025</t>
        </is>
      </c>
      <c r="B607" s="1" t="n">
        <v>45696.3440162037</v>
      </c>
      <c r="C607" s="1" t="n">
        <v>46082</v>
      </c>
      <c r="D607" t="inlineStr">
        <is>
          <t>JÄMTLANDS LÄN</t>
        </is>
      </c>
      <c r="E607" t="inlineStr">
        <is>
          <t>KROKOM</t>
        </is>
      </c>
      <c r="G607" t="n">
        <v>5.3</v>
      </c>
      <c r="H607" t="n">
        <v>0</v>
      </c>
      <c r="I607" t="n">
        <v>0</v>
      </c>
      <c r="J607" t="n">
        <v>0</v>
      </c>
      <c r="K607" t="n">
        <v>0</v>
      </c>
      <c r="L607" t="n">
        <v>0</v>
      </c>
      <c r="M607" t="n">
        <v>0</v>
      </c>
      <c r="N607" t="n">
        <v>0</v>
      </c>
      <c r="O607" t="n">
        <v>0</v>
      </c>
      <c r="P607" t="n">
        <v>0</v>
      </c>
      <c r="Q607" t="n">
        <v>0</v>
      </c>
      <c r="R607" s="2" t="inlineStr"/>
    </row>
    <row r="608" ht="15" customHeight="1">
      <c r="A608" t="inlineStr">
        <is>
          <t>A 35864-2025</t>
        </is>
      </c>
      <c r="B608" s="1" t="n">
        <v>45861.6841087963</v>
      </c>
      <c r="C608" s="1" t="n">
        <v>46082</v>
      </c>
      <c r="D608" t="inlineStr">
        <is>
          <t>JÄMTLANDS LÄN</t>
        </is>
      </c>
      <c r="E608" t="inlineStr">
        <is>
          <t>KROKOM</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35875-2025</t>
        </is>
      </c>
      <c r="B609" s="1" t="n">
        <v>45862.34668981482</v>
      </c>
      <c r="C609" s="1" t="n">
        <v>46082</v>
      </c>
      <c r="D609" t="inlineStr">
        <is>
          <t>JÄMTLANDS LÄN</t>
        </is>
      </c>
      <c r="E609" t="inlineStr">
        <is>
          <t>KROKOM</t>
        </is>
      </c>
      <c r="F609" t="inlineStr">
        <is>
          <t>Övriga Aktiebolag</t>
        </is>
      </c>
      <c r="G609" t="n">
        <v>14.9</v>
      </c>
      <c r="H609" t="n">
        <v>0</v>
      </c>
      <c r="I609" t="n">
        <v>0</v>
      </c>
      <c r="J609" t="n">
        <v>0</v>
      </c>
      <c r="K609" t="n">
        <v>0</v>
      </c>
      <c r="L609" t="n">
        <v>0</v>
      </c>
      <c r="M609" t="n">
        <v>0</v>
      </c>
      <c r="N609" t="n">
        <v>0</v>
      </c>
      <c r="O609" t="n">
        <v>0</v>
      </c>
      <c r="P609" t="n">
        <v>0</v>
      </c>
      <c r="Q609" t="n">
        <v>0</v>
      </c>
      <c r="R609" s="2" t="inlineStr"/>
    </row>
    <row r="610" ht="15" customHeight="1">
      <c r="A610" t="inlineStr">
        <is>
          <t>A 23539-2024</t>
        </is>
      </c>
      <c r="B610" s="1" t="n">
        <v>45453.95237268518</v>
      </c>
      <c r="C610" s="1" t="n">
        <v>46082</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44888-2025</t>
        </is>
      </c>
      <c r="B611" s="1" t="n">
        <v>45918.49489583333</v>
      </c>
      <c r="C611" s="1" t="n">
        <v>46082</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59619-2024</t>
        </is>
      </c>
      <c r="B612" s="1" t="n">
        <v>45638.81375</v>
      </c>
      <c r="C612" s="1" t="n">
        <v>46082</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21617-2025</t>
        </is>
      </c>
      <c r="B613" s="1" t="n">
        <v>45783</v>
      </c>
      <c r="C613" s="1" t="n">
        <v>46082</v>
      </c>
      <c r="D613" t="inlineStr">
        <is>
          <t>JÄMTLANDS LÄN</t>
        </is>
      </c>
      <c r="E613" t="inlineStr">
        <is>
          <t>KROKOM</t>
        </is>
      </c>
      <c r="G613" t="n">
        <v>2.6</v>
      </c>
      <c r="H613" t="n">
        <v>0</v>
      </c>
      <c r="I613" t="n">
        <v>0</v>
      </c>
      <c r="J613" t="n">
        <v>0</v>
      </c>
      <c r="K613" t="n">
        <v>0</v>
      </c>
      <c r="L613" t="n">
        <v>0</v>
      </c>
      <c r="M613" t="n">
        <v>0</v>
      </c>
      <c r="N613" t="n">
        <v>0</v>
      </c>
      <c r="O613" t="n">
        <v>0</v>
      </c>
      <c r="P613" t="n">
        <v>0</v>
      </c>
      <c r="Q613" t="n">
        <v>0</v>
      </c>
      <c r="R613" s="2" t="inlineStr"/>
    </row>
    <row r="614" ht="15" customHeight="1">
      <c r="A614" t="inlineStr">
        <is>
          <t>A 45464-2025</t>
        </is>
      </c>
      <c r="B614" s="1" t="n">
        <v>45922.4984837963</v>
      </c>
      <c r="C614" s="1" t="n">
        <v>46082</v>
      </c>
      <c r="D614" t="inlineStr">
        <is>
          <t>JÄMTLANDS LÄN</t>
        </is>
      </c>
      <c r="E614" t="inlineStr">
        <is>
          <t>KROKOM</t>
        </is>
      </c>
      <c r="G614" t="n">
        <v>0.2</v>
      </c>
      <c r="H614" t="n">
        <v>0</v>
      </c>
      <c r="I614" t="n">
        <v>0</v>
      </c>
      <c r="J614" t="n">
        <v>0</v>
      </c>
      <c r="K614" t="n">
        <v>0</v>
      </c>
      <c r="L614" t="n">
        <v>0</v>
      </c>
      <c r="M614" t="n">
        <v>0</v>
      </c>
      <c r="N614" t="n">
        <v>0</v>
      </c>
      <c r="O614" t="n">
        <v>0</v>
      </c>
      <c r="P614" t="n">
        <v>0</v>
      </c>
      <c r="Q614" t="n">
        <v>0</v>
      </c>
      <c r="R614" s="2" t="inlineStr"/>
    </row>
    <row r="615" ht="15" customHeight="1">
      <c r="A615" t="inlineStr">
        <is>
          <t>A 47060-2024</t>
        </is>
      </c>
      <c r="B615" s="1" t="n">
        <v>45586.46927083333</v>
      </c>
      <c r="C615" s="1" t="n">
        <v>46082</v>
      </c>
      <c r="D615" t="inlineStr">
        <is>
          <t>JÄMTLANDS LÄN</t>
        </is>
      </c>
      <c r="E615" t="inlineStr">
        <is>
          <t>KROKOM</t>
        </is>
      </c>
      <c r="G615" t="n">
        <v>2.9</v>
      </c>
      <c r="H615" t="n">
        <v>0</v>
      </c>
      <c r="I615" t="n">
        <v>0</v>
      </c>
      <c r="J615" t="n">
        <v>0</v>
      </c>
      <c r="K615" t="n">
        <v>0</v>
      </c>
      <c r="L615" t="n">
        <v>0</v>
      </c>
      <c r="M615" t="n">
        <v>0</v>
      </c>
      <c r="N615" t="n">
        <v>0</v>
      </c>
      <c r="O615" t="n">
        <v>0</v>
      </c>
      <c r="P615" t="n">
        <v>0</v>
      </c>
      <c r="Q615" t="n">
        <v>0</v>
      </c>
      <c r="R615" s="2" t="inlineStr"/>
    </row>
    <row r="616" ht="15" customHeight="1">
      <c r="A616" t="inlineStr">
        <is>
          <t>A 35985-2025</t>
        </is>
      </c>
      <c r="B616" s="1" t="n">
        <v>45863.45778935185</v>
      </c>
      <c r="C616" s="1" t="n">
        <v>46082</v>
      </c>
      <c r="D616" t="inlineStr">
        <is>
          <t>JÄMTLANDS LÄN</t>
        </is>
      </c>
      <c r="E616" t="inlineStr">
        <is>
          <t>KROKOM</t>
        </is>
      </c>
      <c r="G616" t="n">
        <v>0.2</v>
      </c>
      <c r="H616" t="n">
        <v>0</v>
      </c>
      <c r="I616" t="n">
        <v>0</v>
      </c>
      <c r="J616" t="n">
        <v>0</v>
      </c>
      <c r="K616" t="n">
        <v>0</v>
      </c>
      <c r="L616" t="n">
        <v>0</v>
      </c>
      <c r="M616" t="n">
        <v>0</v>
      </c>
      <c r="N616" t="n">
        <v>0</v>
      </c>
      <c r="O616" t="n">
        <v>0</v>
      </c>
      <c r="P616" t="n">
        <v>0</v>
      </c>
      <c r="Q616" t="n">
        <v>0</v>
      </c>
      <c r="R616" s="2" t="inlineStr"/>
    </row>
    <row r="617" ht="15" customHeight="1">
      <c r="A617" t="inlineStr">
        <is>
          <t>A 45462-2025</t>
        </is>
      </c>
      <c r="B617" s="1" t="n">
        <v>45922.49604166667</v>
      </c>
      <c r="C617" s="1" t="n">
        <v>46082</v>
      </c>
      <c r="D617" t="inlineStr">
        <is>
          <t>JÄMTLANDS LÄN</t>
        </is>
      </c>
      <c r="E617" t="inlineStr">
        <is>
          <t>KROKOM</t>
        </is>
      </c>
      <c r="G617" t="n">
        <v>2.4</v>
      </c>
      <c r="H617" t="n">
        <v>0</v>
      </c>
      <c r="I617" t="n">
        <v>0</v>
      </c>
      <c r="J617" t="n">
        <v>0</v>
      </c>
      <c r="K617" t="n">
        <v>0</v>
      </c>
      <c r="L617" t="n">
        <v>0</v>
      </c>
      <c r="M617" t="n">
        <v>0</v>
      </c>
      <c r="N617" t="n">
        <v>0</v>
      </c>
      <c r="O617" t="n">
        <v>0</v>
      </c>
      <c r="P617" t="n">
        <v>0</v>
      </c>
      <c r="Q617" t="n">
        <v>0</v>
      </c>
      <c r="R617" s="2" t="inlineStr"/>
    </row>
    <row r="618" ht="15" customHeight="1">
      <c r="A618" t="inlineStr">
        <is>
          <t>A 36044-2025</t>
        </is>
      </c>
      <c r="B618" s="1" t="n">
        <v>45863</v>
      </c>
      <c r="C618" s="1" t="n">
        <v>46082</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36182-2025</t>
        </is>
      </c>
      <c r="B619" s="1" t="n">
        <v>45867.41707175926</v>
      </c>
      <c r="C619" s="1" t="n">
        <v>46082</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36209-2025</t>
        </is>
      </c>
      <c r="B620" s="1" t="n">
        <v>45867.46560185185</v>
      </c>
      <c r="C620" s="1" t="n">
        <v>46082</v>
      </c>
      <c r="D620" t="inlineStr">
        <is>
          <t>JÄMTLANDS LÄN</t>
        </is>
      </c>
      <c r="E620" t="inlineStr">
        <is>
          <t>KROKOM</t>
        </is>
      </c>
      <c r="G620" t="n">
        <v>9.4</v>
      </c>
      <c r="H620" t="n">
        <v>0</v>
      </c>
      <c r="I620" t="n">
        <v>0</v>
      </c>
      <c r="J620" t="n">
        <v>0</v>
      </c>
      <c r="K620" t="n">
        <v>0</v>
      </c>
      <c r="L620" t="n">
        <v>0</v>
      </c>
      <c r="M620" t="n">
        <v>0</v>
      </c>
      <c r="N620" t="n">
        <v>0</v>
      </c>
      <c r="O620" t="n">
        <v>0</v>
      </c>
      <c r="P620" t="n">
        <v>0</v>
      </c>
      <c r="Q620" t="n">
        <v>0</v>
      </c>
      <c r="R620" s="2" t="inlineStr"/>
    </row>
    <row r="621" ht="15" customHeight="1">
      <c r="A621" t="inlineStr">
        <is>
          <t>A 23139-2021</t>
        </is>
      </c>
      <c r="B621" s="1" t="n">
        <v>44331</v>
      </c>
      <c r="C621" s="1" t="n">
        <v>46082</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5356-2025</t>
        </is>
      </c>
      <c r="B622" s="1" t="n">
        <v>45692</v>
      </c>
      <c r="C622" s="1" t="n">
        <v>46082</v>
      </c>
      <c r="D622" t="inlineStr">
        <is>
          <t>JÄMTLANDS LÄN</t>
        </is>
      </c>
      <c r="E622" t="inlineStr">
        <is>
          <t>KROKOM</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45253-2025</t>
        </is>
      </c>
      <c r="B623" s="1" t="n">
        <v>45919.61512731481</v>
      </c>
      <c r="C623" s="1" t="n">
        <v>46082</v>
      </c>
      <c r="D623" t="inlineStr">
        <is>
          <t>JÄMTLANDS LÄN</t>
        </is>
      </c>
      <c r="E623" t="inlineStr">
        <is>
          <t>KROKOM</t>
        </is>
      </c>
      <c r="G623" t="n">
        <v>4.1</v>
      </c>
      <c r="H623" t="n">
        <v>0</v>
      </c>
      <c r="I623" t="n">
        <v>0</v>
      </c>
      <c r="J623" t="n">
        <v>0</v>
      </c>
      <c r="K623" t="n">
        <v>0</v>
      </c>
      <c r="L623" t="n">
        <v>0</v>
      </c>
      <c r="M623" t="n">
        <v>0</v>
      </c>
      <c r="N623" t="n">
        <v>0</v>
      </c>
      <c r="O623" t="n">
        <v>0</v>
      </c>
      <c r="P623" t="n">
        <v>0</v>
      </c>
      <c r="Q623" t="n">
        <v>0</v>
      </c>
      <c r="R623" s="2" t="inlineStr"/>
    </row>
    <row r="624" ht="15" customHeight="1">
      <c r="A624" t="inlineStr">
        <is>
          <t>A 46141-2025</t>
        </is>
      </c>
      <c r="B624" s="1" t="n">
        <v>45924.60287037037</v>
      </c>
      <c r="C624" s="1" t="n">
        <v>46082</v>
      </c>
      <c r="D624" t="inlineStr">
        <is>
          <t>JÄMTLANDS LÄN</t>
        </is>
      </c>
      <c r="E624" t="inlineStr">
        <is>
          <t>KROKOM</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46099-2025</t>
        </is>
      </c>
      <c r="B625" s="1" t="n">
        <v>45924.54465277777</v>
      </c>
      <c r="C625" s="1" t="n">
        <v>46082</v>
      </c>
      <c r="D625" t="inlineStr">
        <is>
          <t>JÄMTLANDS LÄN</t>
        </is>
      </c>
      <c r="E625" t="inlineStr">
        <is>
          <t>KROKOM</t>
        </is>
      </c>
      <c r="F625" t="inlineStr">
        <is>
          <t>Övriga Aktiebolag</t>
        </is>
      </c>
      <c r="G625" t="n">
        <v>13.4</v>
      </c>
      <c r="H625" t="n">
        <v>0</v>
      </c>
      <c r="I625" t="n">
        <v>0</v>
      </c>
      <c r="J625" t="n">
        <v>0</v>
      </c>
      <c r="K625" t="n">
        <v>0</v>
      </c>
      <c r="L625" t="n">
        <v>0</v>
      </c>
      <c r="M625" t="n">
        <v>0</v>
      </c>
      <c r="N625" t="n">
        <v>0</v>
      </c>
      <c r="O625" t="n">
        <v>0</v>
      </c>
      <c r="P625" t="n">
        <v>0</v>
      </c>
      <c r="Q625" t="n">
        <v>0</v>
      </c>
      <c r="R625" s="2" t="inlineStr"/>
    </row>
    <row r="626" ht="15" customHeight="1">
      <c r="A626" t="inlineStr">
        <is>
          <t>A 5680-2025</t>
        </is>
      </c>
      <c r="B626" s="1" t="n">
        <v>45694.34268518518</v>
      </c>
      <c r="C626" s="1" t="n">
        <v>46082</v>
      </c>
      <c r="D626" t="inlineStr">
        <is>
          <t>JÄMTLANDS LÄN</t>
        </is>
      </c>
      <c r="E626" t="inlineStr">
        <is>
          <t>KROKOM</t>
        </is>
      </c>
      <c r="F626" t="inlineStr">
        <is>
          <t>Övriga Aktiebolag</t>
        </is>
      </c>
      <c r="G626" t="n">
        <v>48.4</v>
      </c>
      <c r="H626" t="n">
        <v>0</v>
      </c>
      <c r="I626" t="n">
        <v>0</v>
      </c>
      <c r="J626" t="n">
        <v>0</v>
      </c>
      <c r="K626" t="n">
        <v>0</v>
      </c>
      <c r="L626" t="n">
        <v>0</v>
      </c>
      <c r="M626" t="n">
        <v>0</v>
      </c>
      <c r="N626" t="n">
        <v>0</v>
      </c>
      <c r="O626" t="n">
        <v>0</v>
      </c>
      <c r="P626" t="n">
        <v>0</v>
      </c>
      <c r="Q626" t="n">
        <v>0</v>
      </c>
      <c r="R626" s="2" t="inlineStr"/>
    </row>
    <row r="627" ht="15" customHeight="1">
      <c r="A627" t="inlineStr">
        <is>
          <t>A 47850-2023</t>
        </is>
      </c>
      <c r="B627" s="1" t="n">
        <v>45204.40770833333</v>
      </c>
      <c r="C627" s="1" t="n">
        <v>46082</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26184-2024</t>
        </is>
      </c>
      <c r="B628" s="1" t="n">
        <v>45467</v>
      </c>
      <c r="C628" s="1" t="n">
        <v>46082</v>
      </c>
      <c r="D628" t="inlineStr">
        <is>
          <t>JÄMTLANDS LÄN</t>
        </is>
      </c>
      <c r="E628" t="inlineStr">
        <is>
          <t>KROKOM</t>
        </is>
      </c>
      <c r="G628" t="n">
        <v>65.7</v>
      </c>
      <c r="H628" t="n">
        <v>0</v>
      </c>
      <c r="I628" t="n">
        <v>0</v>
      </c>
      <c r="J628" t="n">
        <v>0</v>
      </c>
      <c r="K628" t="n">
        <v>0</v>
      </c>
      <c r="L628" t="n">
        <v>0</v>
      </c>
      <c r="M628" t="n">
        <v>0</v>
      </c>
      <c r="N628" t="n">
        <v>0</v>
      </c>
      <c r="O628" t="n">
        <v>0</v>
      </c>
      <c r="P628" t="n">
        <v>0</v>
      </c>
      <c r="Q628" t="n">
        <v>0</v>
      </c>
      <c r="R628" s="2" t="inlineStr"/>
    </row>
    <row r="629" ht="15" customHeight="1">
      <c r="A629" t="inlineStr">
        <is>
          <t>A 45778-2025</t>
        </is>
      </c>
      <c r="B629" s="1" t="n">
        <v>45923.54756944445</v>
      </c>
      <c r="C629" s="1" t="n">
        <v>46082</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45780-2025</t>
        </is>
      </c>
      <c r="B630" s="1" t="n">
        <v>45923.54827546296</v>
      </c>
      <c r="C630" s="1" t="n">
        <v>46082</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53568-2024</t>
        </is>
      </c>
      <c r="B631" s="1" t="n">
        <v>45614.65925925926</v>
      </c>
      <c r="C631" s="1" t="n">
        <v>46082</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33480-2024</t>
        </is>
      </c>
      <c r="B632" s="1" t="n">
        <v>45519.60965277778</v>
      </c>
      <c r="C632" s="1" t="n">
        <v>46082</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34516-2025</t>
        </is>
      </c>
      <c r="B633" s="1" t="n">
        <v>45847.46462962963</v>
      </c>
      <c r="C633" s="1" t="n">
        <v>46082</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44663-2025</t>
        </is>
      </c>
      <c r="B634" s="1" t="n">
        <v>45917</v>
      </c>
      <c r="C634" s="1" t="n">
        <v>46082</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36429-2025</t>
        </is>
      </c>
      <c r="B635" s="1" t="n">
        <v>45869.34439814815</v>
      </c>
      <c r="C635" s="1" t="n">
        <v>46082</v>
      </c>
      <c r="D635" t="inlineStr">
        <is>
          <t>JÄMTLANDS LÄN</t>
        </is>
      </c>
      <c r="E635" t="inlineStr">
        <is>
          <t>KROKOM</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14234-2025</t>
        </is>
      </c>
      <c r="B636" s="1" t="n">
        <v>45740</v>
      </c>
      <c r="C636" s="1" t="n">
        <v>46082</v>
      </c>
      <c r="D636" t="inlineStr">
        <is>
          <t>JÄMTLANDS LÄN</t>
        </is>
      </c>
      <c r="E636" t="inlineStr">
        <is>
          <t>KROKOM</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46516-2025</t>
        </is>
      </c>
      <c r="B637" s="1" t="n">
        <v>45926.29324074074</v>
      </c>
      <c r="C637" s="1" t="n">
        <v>46082</v>
      </c>
      <c r="D637" t="inlineStr">
        <is>
          <t>JÄMTLANDS LÄN</t>
        </is>
      </c>
      <c r="E637" t="inlineStr">
        <is>
          <t>KROKOM</t>
        </is>
      </c>
      <c r="F637" t="inlineStr">
        <is>
          <t>Övriga Aktiebolag</t>
        </is>
      </c>
      <c r="G637" t="n">
        <v>18.7</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46082</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46082</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46274-2025</t>
        </is>
      </c>
      <c r="B640" s="1" t="n">
        <v>45925.37074074074</v>
      </c>
      <c r="C640" s="1" t="n">
        <v>46082</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46295-2025</t>
        </is>
      </c>
      <c r="B641" s="1" t="n">
        <v>45925.39686342593</v>
      </c>
      <c r="C641" s="1" t="n">
        <v>46082</v>
      </c>
      <c r="D641" t="inlineStr">
        <is>
          <t>JÄMTLANDS LÄN</t>
        </is>
      </c>
      <c r="E641" t="inlineStr">
        <is>
          <t>KROKOM</t>
        </is>
      </c>
      <c r="F641" t="inlineStr">
        <is>
          <t>Övriga Aktiebolag</t>
        </is>
      </c>
      <c r="G641" t="n">
        <v>5.6</v>
      </c>
      <c r="H641" t="n">
        <v>0</v>
      </c>
      <c r="I641" t="n">
        <v>0</v>
      </c>
      <c r="J641" t="n">
        <v>0</v>
      </c>
      <c r="K641" t="n">
        <v>0</v>
      </c>
      <c r="L641" t="n">
        <v>0</v>
      </c>
      <c r="M641" t="n">
        <v>0</v>
      </c>
      <c r="N641" t="n">
        <v>0</v>
      </c>
      <c r="O641" t="n">
        <v>0</v>
      </c>
      <c r="P641" t="n">
        <v>0</v>
      </c>
      <c r="Q641" t="n">
        <v>0</v>
      </c>
      <c r="R641" s="2" t="inlineStr"/>
    </row>
    <row r="642" ht="15" customHeight="1">
      <c r="A642" t="inlineStr">
        <is>
          <t>A 58482-2024</t>
        </is>
      </c>
      <c r="B642" s="1" t="n">
        <v>45635</v>
      </c>
      <c r="C642" s="1" t="n">
        <v>46082</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46308-2025</t>
        </is>
      </c>
      <c r="B643" s="1" t="n">
        <v>45925.43271990741</v>
      </c>
      <c r="C643" s="1" t="n">
        <v>46082</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47136-2025</t>
        </is>
      </c>
      <c r="B644" s="1" t="n">
        <v>45929.69844907407</v>
      </c>
      <c r="C644" s="1" t="n">
        <v>46082</v>
      </c>
      <c r="D644" t="inlineStr">
        <is>
          <t>JÄMTLANDS LÄN</t>
        </is>
      </c>
      <c r="E644" t="inlineStr">
        <is>
          <t>KROKOM</t>
        </is>
      </c>
      <c r="F644" t="inlineStr">
        <is>
          <t>SCA</t>
        </is>
      </c>
      <c r="G644" t="n">
        <v>25.1</v>
      </c>
      <c r="H644" t="n">
        <v>0</v>
      </c>
      <c r="I644" t="n">
        <v>0</v>
      </c>
      <c r="J644" t="n">
        <v>0</v>
      </c>
      <c r="K644" t="n">
        <v>0</v>
      </c>
      <c r="L644" t="n">
        <v>0</v>
      </c>
      <c r="M644" t="n">
        <v>0</v>
      </c>
      <c r="N644" t="n">
        <v>0</v>
      </c>
      <c r="O644" t="n">
        <v>0</v>
      </c>
      <c r="P644" t="n">
        <v>0</v>
      </c>
      <c r="Q644" t="n">
        <v>0</v>
      </c>
      <c r="R644" s="2" t="inlineStr"/>
    </row>
    <row r="645" ht="15" customHeight="1">
      <c r="A645" t="inlineStr">
        <is>
          <t>A 33802-2021</t>
        </is>
      </c>
      <c r="B645" s="1" t="n">
        <v>44377</v>
      </c>
      <c r="C645" s="1" t="n">
        <v>46082</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47438-2025</t>
        </is>
      </c>
      <c r="B646" s="1" t="n">
        <v>45930.63726851852</v>
      </c>
      <c r="C646" s="1" t="n">
        <v>46082</v>
      </c>
      <c r="D646" t="inlineStr">
        <is>
          <t>JÄMTLANDS LÄN</t>
        </is>
      </c>
      <c r="E646" t="inlineStr">
        <is>
          <t>KROKOM</t>
        </is>
      </c>
      <c r="F646" t="inlineStr">
        <is>
          <t>SCA</t>
        </is>
      </c>
      <c r="G646" t="n">
        <v>35.4</v>
      </c>
      <c r="H646" t="n">
        <v>0</v>
      </c>
      <c r="I646" t="n">
        <v>0</v>
      </c>
      <c r="J646" t="n">
        <v>0</v>
      </c>
      <c r="K646" t="n">
        <v>0</v>
      </c>
      <c r="L646" t="n">
        <v>0</v>
      </c>
      <c r="M646" t="n">
        <v>0</v>
      </c>
      <c r="N646" t="n">
        <v>0</v>
      </c>
      <c r="O646" t="n">
        <v>0</v>
      </c>
      <c r="P646" t="n">
        <v>0</v>
      </c>
      <c r="Q646" t="n">
        <v>0</v>
      </c>
      <c r="R646" s="2" t="inlineStr"/>
    </row>
    <row r="647" ht="15" customHeight="1">
      <c r="A647" t="inlineStr">
        <is>
          <t>A 9016-2025</t>
        </is>
      </c>
      <c r="B647" s="1" t="n">
        <v>45713.59163194444</v>
      </c>
      <c r="C647" s="1" t="n">
        <v>46082</v>
      </c>
      <c r="D647" t="inlineStr">
        <is>
          <t>JÄMTLANDS LÄN</t>
        </is>
      </c>
      <c r="E647" t="inlineStr">
        <is>
          <t>KROKOM</t>
        </is>
      </c>
      <c r="F647" t="inlineStr">
        <is>
          <t>Övriga Aktiebolag</t>
        </is>
      </c>
      <c r="G647" t="n">
        <v>19.3</v>
      </c>
      <c r="H647" t="n">
        <v>0</v>
      </c>
      <c r="I647" t="n">
        <v>0</v>
      </c>
      <c r="J647" t="n">
        <v>0</v>
      </c>
      <c r="K647" t="n">
        <v>0</v>
      </c>
      <c r="L647" t="n">
        <v>0</v>
      </c>
      <c r="M647" t="n">
        <v>0</v>
      </c>
      <c r="N647" t="n">
        <v>0</v>
      </c>
      <c r="O647" t="n">
        <v>0</v>
      </c>
      <c r="P647" t="n">
        <v>0</v>
      </c>
      <c r="Q647" t="n">
        <v>0</v>
      </c>
      <c r="R647" s="2" t="inlineStr"/>
    </row>
    <row r="648" ht="15" customHeight="1">
      <c r="A648" t="inlineStr">
        <is>
          <t>A 47435-2025</t>
        </is>
      </c>
      <c r="B648" s="1" t="n">
        <v>45930.63673611111</v>
      </c>
      <c r="C648" s="1" t="n">
        <v>46082</v>
      </c>
      <c r="D648" t="inlineStr">
        <is>
          <t>JÄMTLANDS LÄN</t>
        </is>
      </c>
      <c r="E648" t="inlineStr">
        <is>
          <t>KROKOM</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47462-2025</t>
        </is>
      </c>
      <c r="B649" s="1" t="n">
        <v>45930.66175925926</v>
      </c>
      <c r="C649" s="1" t="n">
        <v>46082</v>
      </c>
      <c r="D649" t="inlineStr">
        <is>
          <t>JÄMTLANDS LÄN</t>
        </is>
      </c>
      <c r="E649" t="inlineStr">
        <is>
          <t>KROKOM</t>
        </is>
      </c>
      <c r="F649" t="inlineStr">
        <is>
          <t>Övriga Aktiebolag</t>
        </is>
      </c>
      <c r="G649" t="n">
        <v>8.9</v>
      </c>
      <c r="H649" t="n">
        <v>0</v>
      </c>
      <c r="I649" t="n">
        <v>0</v>
      </c>
      <c r="J649" t="n">
        <v>0</v>
      </c>
      <c r="K649" t="n">
        <v>0</v>
      </c>
      <c r="L649" t="n">
        <v>0</v>
      </c>
      <c r="M649" t="n">
        <v>0</v>
      </c>
      <c r="N649" t="n">
        <v>0</v>
      </c>
      <c r="O649" t="n">
        <v>0</v>
      </c>
      <c r="P649" t="n">
        <v>0</v>
      </c>
      <c r="Q649" t="n">
        <v>0</v>
      </c>
      <c r="R649" s="2" t="inlineStr"/>
    </row>
    <row r="650" ht="15" customHeight="1">
      <c r="A650" t="inlineStr">
        <is>
          <t>A 31905-2021</t>
        </is>
      </c>
      <c r="B650" s="1" t="n">
        <v>44370</v>
      </c>
      <c r="C650" s="1" t="n">
        <v>46082</v>
      </c>
      <c r="D650" t="inlineStr">
        <is>
          <t>JÄMTLANDS LÄN</t>
        </is>
      </c>
      <c r="E650" t="inlineStr">
        <is>
          <t>KROKOM</t>
        </is>
      </c>
      <c r="G650" t="n">
        <v>12.9</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46082</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7952-2023</t>
        </is>
      </c>
      <c r="B652" s="1" t="n">
        <v>44970</v>
      </c>
      <c r="C652" s="1" t="n">
        <v>46082</v>
      </c>
      <c r="D652" t="inlineStr">
        <is>
          <t>JÄMTLANDS LÄN</t>
        </is>
      </c>
      <c r="E652" t="inlineStr">
        <is>
          <t>KROKOM</t>
        </is>
      </c>
      <c r="G652" t="n">
        <v>4.8</v>
      </c>
      <c r="H652" t="n">
        <v>0</v>
      </c>
      <c r="I652" t="n">
        <v>0</v>
      </c>
      <c r="J652" t="n">
        <v>0</v>
      </c>
      <c r="K652" t="n">
        <v>0</v>
      </c>
      <c r="L652" t="n">
        <v>0</v>
      </c>
      <c r="M652" t="n">
        <v>0</v>
      </c>
      <c r="N652" t="n">
        <v>0</v>
      </c>
      <c r="O652" t="n">
        <v>0</v>
      </c>
      <c r="P652" t="n">
        <v>0</v>
      </c>
      <c r="Q652" t="n">
        <v>0</v>
      </c>
      <c r="R652" s="2" t="inlineStr"/>
    </row>
    <row r="653" ht="15" customHeight="1">
      <c r="A653" t="inlineStr">
        <is>
          <t>A 14184-2024</t>
        </is>
      </c>
      <c r="B653" s="1" t="n">
        <v>45393</v>
      </c>
      <c r="C653" s="1" t="n">
        <v>46082</v>
      </c>
      <c r="D653" t="inlineStr">
        <is>
          <t>JÄMTLANDS LÄN</t>
        </is>
      </c>
      <c r="E653" t="inlineStr">
        <is>
          <t>KROKOM</t>
        </is>
      </c>
      <c r="G653" t="n">
        <v>1.7</v>
      </c>
      <c r="H653" t="n">
        <v>0</v>
      </c>
      <c r="I653" t="n">
        <v>0</v>
      </c>
      <c r="J653" t="n">
        <v>0</v>
      </c>
      <c r="K653" t="n">
        <v>0</v>
      </c>
      <c r="L653" t="n">
        <v>0</v>
      </c>
      <c r="M653" t="n">
        <v>0</v>
      </c>
      <c r="N653" t="n">
        <v>0</v>
      </c>
      <c r="O653" t="n">
        <v>0</v>
      </c>
      <c r="P653" t="n">
        <v>0</v>
      </c>
      <c r="Q653" t="n">
        <v>0</v>
      </c>
      <c r="R653" s="2" t="inlineStr"/>
    </row>
    <row r="654" ht="15" customHeight="1">
      <c r="A654" t="inlineStr">
        <is>
          <t>A 41142-2023</t>
        </is>
      </c>
      <c r="B654" s="1" t="n">
        <v>45173</v>
      </c>
      <c r="C654" s="1" t="n">
        <v>46082</v>
      </c>
      <c r="D654" t="inlineStr">
        <is>
          <t>JÄMTLANDS LÄN</t>
        </is>
      </c>
      <c r="E654" t="inlineStr">
        <is>
          <t>KROKOM</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47809-2025</t>
        </is>
      </c>
      <c r="B655" s="1" t="n">
        <v>45931.98023148148</v>
      </c>
      <c r="C655" s="1" t="n">
        <v>46082</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5798-2025</t>
        </is>
      </c>
      <c r="B656" s="1" t="n">
        <v>45694.65905092593</v>
      </c>
      <c r="C656" s="1" t="n">
        <v>46082</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48049-2025</t>
        </is>
      </c>
      <c r="B657" s="1" t="n">
        <v>45932.67771990741</v>
      </c>
      <c r="C657" s="1" t="n">
        <v>46082</v>
      </c>
      <c r="D657" t="inlineStr">
        <is>
          <t>JÄMTLANDS LÄN</t>
        </is>
      </c>
      <c r="E657" t="inlineStr">
        <is>
          <t>KROKOM</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50719-2024</t>
        </is>
      </c>
      <c r="B658" s="1" t="n">
        <v>45602.38614583333</v>
      </c>
      <c r="C658" s="1" t="n">
        <v>46082</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16349-2024</t>
        </is>
      </c>
      <c r="B659" s="1" t="n">
        <v>45407</v>
      </c>
      <c r="C659" s="1" t="n">
        <v>46082</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37349-2025</t>
        </is>
      </c>
      <c r="B660" s="1" t="n">
        <v>45876</v>
      </c>
      <c r="C660" s="1" t="n">
        <v>46082</v>
      </c>
      <c r="D660" t="inlineStr">
        <is>
          <t>JÄMTLANDS LÄN</t>
        </is>
      </c>
      <c r="E660" t="inlineStr">
        <is>
          <t>KROKOM</t>
        </is>
      </c>
      <c r="G660" t="n">
        <v>7.9</v>
      </c>
      <c r="H660" t="n">
        <v>0</v>
      </c>
      <c r="I660" t="n">
        <v>0</v>
      </c>
      <c r="J660" t="n">
        <v>0</v>
      </c>
      <c r="K660" t="n">
        <v>0</v>
      </c>
      <c r="L660" t="n">
        <v>0</v>
      </c>
      <c r="M660" t="n">
        <v>0</v>
      </c>
      <c r="N660" t="n">
        <v>0</v>
      </c>
      <c r="O660" t="n">
        <v>0</v>
      </c>
      <c r="P660" t="n">
        <v>0</v>
      </c>
      <c r="Q660" t="n">
        <v>0</v>
      </c>
      <c r="R660" s="2" t="inlineStr"/>
    </row>
    <row r="661" ht="15" customHeight="1">
      <c r="A661" t="inlineStr">
        <is>
          <t>A 37350-2025</t>
        </is>
      </c>
      <c r="B661" s="1" t="n">
        <v>45876</v>
      </c>
      <c r="C661" s="1" t="n">
        <v>46082</v>
      </c>
      <c r="D661" t="inlineStr">
        <is>
          <t>JÄMTLANDS LÄN</t>
        </is>
      </c>
      <c r="E661" t="inlineStr">
        <is>
          <t>KROKOM</t>
        </is>
      </c>
      <c r="G661" t="n">
        <v>29.9</v>
      </c>
      <c r="H661" t="n">
        <v>0</v>
      </c>
      <c r="I661" t="n">
        <v>0</v>
      </c>
      <c r="J661" t="n">
        <v>0</v>
      </c>
      <c r="K661" t="n">
        <v>0</v>
      </c>
      <c r="L661" t="n">
        <v>0</v>
      </c>
      <c r="M661" t="n">
        <v>0</v>
      </c>
      <c r="N661" t="n">
        <v>0</v>
      </c>
      <c r="O661" t="n">
        <v>0</v>
      </c>
      <c r="P661" t="n">
        <v>0</v>
      </c>
      <c r="Q661" t="n">
        <v>0</v>
      </c>
      <c r="R661" s="2" t="inlineStr"/>
    </row>
    <row r="662" ht="15" customHeight="1">
      <c r="A662" t="inlineStr">
        <is>
          <t>A 9025-2025</t>
        </is>
      </c>
      <c r="B662" s="1" t="n">
        <v>45713.59952546296</v>
      </c>
      <c r="C662" s="1" t="n">
        <v>46082</v>
      </c>
      <c r="D662" t="inlineStr">
        <is>
          <t>JÄMTLANDS LÄN</t>
        </is>
      </c>
      <c r="E662" t="inlineStr">
        <is>
          <t>KROKOM</t>
        </is>
      </c>
      <c r="F662" t="inlineStr">
        <is>
          <t>Övriga Aktiebolag</t>
        </is>
      </c>
      <c r="G662" t="n">
        <v>28.4</v>
      </c>
      <c r="H662" t="n">
        <v>0</v>
      </c>
      <c r="I662" t="n">
        <v>0</v>
      </c>
      <c r="J662" t="n">
        <v>0</v>
      </c>
      <c r="K662" t="n">
        <v>0</v>
      </c>
      <c r="L662" t="n">
        <v>0</v>
      </c>
      <c r="M662" t="n">
        <v>0</v>
      </c>
      <c r="N662" t="n">
        <v>0</v>
      </c>
      <c r="O662" t="n">
        <v>0</v>
      </c>
      <c r="P662" t="n">
        <v>0</v>
      </c>
      <c r="Q662" t="n">
        <v>0</v>
      </c>
      <c r="R662" s="2" t="inlineStr"/>
    </row>
    <row r="663" ht="15" customHeight="1">
      <c r="A663" t="inlineStr">
        <is>
          <t>A 43373-2025</t>
        </is>
      </c>
      <c r="B663" s="1" t="n">
        <v>45911</v>
      </c>
      <c r="C663" s="1" t="n">
        <v>46082</v>
      </c>
      <c r="D663" t="inlineStr">
        <is>
          <t>JÄMTLANDS LÄN</t>
        </is>
      </c>
      <c r="E663" t="inlineStr">
        <is>
          <t>KROKOM</t>
        </is>
      </c>
      <c r="G663" t="n">
        <v>34.9</v>
      </c>
      <c r="H663" t="n">
        <v>0</v>
      </c>
      <c r="I663" t="n">
        <v>0</v>
      </c>
      <c r="J663" t="n">
        <v>0</v>
      </c>
      <c r="K663" t="n">
        <v>0</v>
      </c>
      <c r="L663" t="n">
        <v>0</v>
      </c>
      <c r="M663" t="n">
        <v>0</v>
      </c>
      <c r="N663" t="n">
        <v>0</v>
      </c>
      <c r="O663" t="n">
        <v>0</v>
      </c>
      <c r="P663" t="n">
        <v>0</v>
      </c>
      <c r="Q663" t="n">
        <v>0</v>
      </c>
      <c r="R663" s="2" t="inlineStr"/>
    </row>
    <row r="664" ht="15" customHeight="1">
      <c r="A664" t="inlineStr">
        <is>
          <t>A 37346-2025</t>
        </is>
      </c>
      <c r="B664" s="1" t="n">
        <v>45876</v>
      </c>
      <c r="C664" s="1" t="n">
        <v>46082</v>
      </c>
      <c r="D664" t="inlineStr">
        <is>
          <t>JÄMTLANDS LÄN</t>
        </is>
      </c>
      <c r="E664" t="inlineStr">
        <is>
          <t>KROKOM</t>
        </is>
      </c>
      <c r="G664" t="n">
        <v>5</v>
      </c>
      <c r="H664" t="n">
        <v>0</v>
      </c>
      <c r="I664" t="n">
        <v>0</v>
      </c>
      <c r="J664" t="n">
        <v>0</v>
      </c>
      <c r="K664" t="n">
        <v>0</v>
      </c>
      <c r="L664" t="n">
        <v>0</v>
      </c>
      <c r="M664" t="n">
        <v>0</v>
      </c>
      <c r="N664" t="n">
        <v>0</v>
      </c>
      <c r="O664" t="n">
        <v>0</v>
      </c>
      <c r="P664" t="n">
        <v>0</v>
      </c>
      <c r="Q664" t="n">
        <v>0</v>
      </c>
      <c r="R664" s="2" t="inlineStr"/>
    </row>
    <row r="665" ht="15" customHeight="1">
      <c r="A665" t="inlineStr">
        <is>
          <t>A 61966-2024</t>
        </is>
      </c>
      <c r="B665" s="1" t="n">
        <v>45653.57240740741</v>
      </c>
      <c r="C665" s="1" t="n">
        <v>46082</v>
      </c>
      <c r="D665" t="inlineStr">
        <is>
          <t>JÄMTLANDS LÄN</t>
        </is>
      </c>
      <c r="E665" t="inlineStr">
        <is>
          <t>KROKOM</t>
        </is>
      </c>
      <c r="F665" t="inlineStr">
        <is>
          <t>Övriga Aktiebolag</t>
        </is>
      </c>
      <c r="G665" t="n">
        <v>15.7</v>
      </c>
      <c r="H665" t="n">
        <v>0</v>
      </c>
      <c r="I665" t="n">
        <v>0</v>
      </c>
      <c r="J665" t="n">
        <v>0</v>
      </c>
      <c r="K665" t="n">
        <v>0</v>
      </c>
      <c r="L665" t="n">
        <v>0</v>
      </c>
      <c r="M665" t="n">
        <v>0</v>
      </c>
      <c r="N665" t="n">
        <v>0</v>
      </c>
      <c r="O665" t="n">
        <v>0</v>
      </c>
      <c r="P665" t="n">
        <v>0</v>
      </c>
      <c r="Q665" t="n">
        <v>0</v>
      </c>
      <c r="R665" s="2" t="inlineStr"/>
    </row>
    <row r="666" ht="15" customHeight="1">
      <c r="A666" t="inlineStr">
        <is>
          <t>A 37111-2025</t>
        </is>
      </c>
      <c r="B666" s="1" t="n">
        <v>45875.51046296296</v>
      </c>
      <c r="C666" s="1" t="n">
        <v>46082</v>
      </c>
      <c r="D666" t="inlineStr">
        <is>
          <t>JÄMTLANDS LÄN</t>
        </is>
      </c>
      <c r="E666" t="inlineStr">
        <is>
          <t>KROKOM</t>
        </is>
      </c>
      <c r="G666" t="n">
        <v>8.1</v>
      </c>
      <c r="H666" t="n">
        <v>0</v>
      </c>
      <c r="I666" t="n">
        <v>0</v>
      </c>
      <c r="J666" t="n">
        <v>0</v>
      </c>
      <c r="K666" t="n">
        <v>0</v>
      </c>
      <c r="L666" t="n">
        <v>0</v>
      </c>
      <c r="M666" t="n">
        <v>0</v>
      </c>
      <c r="N666" t="n">
        <v>0</v>
      </c>
      <c r="O666" t="n">
        <v>0</v>
      </c>
      <c r="P666" t="n">
        <v>0</v>
      </c>
      <c r="Q666" t="n">
        <v>0</v>
      </c>
      <c r="R666" s="2" t="inlineStr"/>
    </row>
    <row r="667" ht="15" customHeight="1">
      <c r="A667" t="inlineStr">
        <is>
          <t>A 43371-2025</t>
        </is>
      </c>
      <c r="B667" s="1" t="n">
        <v>45911</v>
      </c>
      <c r="C667" s="1" t="n">
        <v>46082</v>
      </c>
      <c r="D667" t="inlineStr">
        <is>
          <t>JÄMTLANDS LÄN</t>
        </is>
      </c>
      <c r="E667" t="inlineStr">
        <is>
          <t>KROKOM</t>
        </is>
      </c>
      <c r="G667" t="n">
        <v>7.3</v>
      </c>
      <c r="H667" t="n">
        <v>0</v>
      </c>
      <c r="I667" t="n">
        <v>0</v>
      </c>
      <c r="J667" t="n">
        <v>0</v>
      </c>
      <c r="K667" t="n">
        <v>0</v>
      </c>
      <c r="L667" t="n">
        <v>0</v>
      </c>
      <c r="M667" t="n">
        <v>0</v>
      </c>
      <c r="N667" t="n">
        <v>0</v>
      </c>
      <c r="O667" t="n">
        <v>0</v>
      </c>
      <c r="P667" t="n">
        <v>0</v>
      </c>
      <c r="Q667" t="n">
        <v>0</v>
      </c>
      <c r="R667" s="2" t="inlineStr"/>
    </row>
    <row r="668" ht="15" customHeight="1">
      <c r="A668" t="inlineStr">
        <is>
          <t>A 5378-2025</t>
        </is>
      </c>
      <c r="B668" s="1" t="n">
        <v>45692.60364583333</v>
      </c>
      <c r="C668" s="1" t="n">
        <v>46082</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37530-2025</t>
        </is>
      </c>
      <c r="B669" s="1" t="n">
        <v>45878</v>
      </c>
      <c r="C669" s="1" t="n">
        <v>46082</v>
      </c>
      <c r="D669" t="inlineStr">
        <is>
          <t>JÄMTLANDS LÄN</t>
        </is>
      </c>
      <c r="E669" t="inlineStr">
        <is>
          <t>KROKOM</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11059-2024</t>
        </is>
      </c>
      <c r="B670" s="1" t="n">
        <v>45370</v>
      </c>
      <c r="C670" s="1" t="n">
        <v>46082</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38748-2024</t>
        </is>
      </c>
      <c r="B671" s="1" t="n">
        <v>45547.42736111111</v>
      </c>
      <c r="C671" s="1" t="n">
        <v>46082</v>
      </c>
      <c r="D671" t="inlineStr">
        <is>
          <t>JÄMTLANDS LÄN</t>
        </is>
      </c>
      <c r="E671" t="inlineStr">
        <is>
          <t>KROKOM</t>
        </is>
      </c>
      <c r="G671" t="n">
        <v>0.1</v>
      </c>
      <c r="H671" t="n">
        <v>0</v>
      </c>
      <c r="I671" t="n">
        <v>0</v>
      </c>
      <c r="J671" t="n">
        <v>0</v>
      </c>
      <c r="K671" t="n">
        <v>0</v>
      </c>
      <c r="L671" t="n">
        <v>0</v>
      </c>
      <c r="M671" t="n">
        <v>0</v>
      </c>
      <c r="N671" t="n">
        <v>0</v>
      </c>
      <c r="O671" t="n">
        <v>0</v>
      </c>
      <c r="P671" t="n">
        <v>0</v>
      </c>
      <c r="Q671" t="n">
        <v>0</v>
      </c>
      <c r="R671" s="2" t="inlineStr"/>
    </row>
    <row r="672" ht="15" customHeight="1">
      <c r="A672" t="inlineStr">
        <is>
          <t>A 9023-2025</t>
        </is>
      </c>
      <c r="B672" s="1" t="n">
        <v>45713.59741898148</v>
      </c>
      <c r="C672" s="1" t="n">
        <v>46082</v>
      </c>
      <c r="D672" t="inlineStr">
        <is>
          <t>JÄMTLANDS LÄN</t>
        </is>
      </c>
      <c r="E672" t="inlineStr">
        <is>
          <t>KROKOM</t>
        </is>
      </c>
      <c r="F672" t="inlineStr">
        <is>
          <t>Övriga Aktiebolag</t>
        </is>
      </c>
      <c r="G672" t="n">
        <v>16.8</v>
      </c>
      <c r="H672" t="n">
        <v>0</v>
      </c>
      <c r="I672" t="n">
        <v>0</v>
      </c>
      <c r="J672" t="n">
        <v>0</v>
      </c>
      <c r="K672" t="n">
        <v>0</v>
      </c>
      <c r="L672" t="n">
        <v>0</v>
      </c>
      <c r="M672" t="n">
        <v>0</v>
      </c>
      <c r="N672" t="n">
        <v>0</v>
      </c>
      <c r="O672" t="n">
        <v>0</v>
      </c>
      <c r="P672" t="n">
        <v>0</v>
      </c>
      <c r="Q672" t="n">
        <v>0</v>
      </c>
      <c r="R672" s="2" t="inlineStr"/>
    </row>
    <row r="673" ht="15" customHeight="1">
      <c r="A673" t="inlineStr">
        <is>
          <t>A 7962-2023</t>
        </is>
      </c>
      <c r="B673" s="1" t="n">
        <v>44970</v>
      </c>
      <c r="C673" s="1" t="n">
        <v>46082</v>
      </c>
      <c r="D673" t="inlineStr">
        <is>
          <t>JÄMTLANDS LÄN</t>
        </is>
      </c>
      <c r="E673" t="inlineStr">
        <is>
          <t>KROKOM</t>
        </is>
      </c>
      <c r="G673" t="n">
        <v>12.2</v>
      </c>
      <c r="H673" t="n">
        <v>0</v>
      </c>
      <c r="I673" t="n">
        <v>0</v>
      </c>
      <c r="J673" t="n">
        <v>0</v>
      </c>
      <c r="K673" t="n">
        <v>0</v>
      </c>
      <c r="L673" t="n">
        <v>0</v>
      </c>
      <c r="M673" t="n">
        <v>0</v>
      </c>
      <c r="N673" t="n">
        <v>0</v>
      </c>
      <c r="O673" t="n">
        <v>0</v>
      </c>
      <c r="P673" t="n">
        <v>0</v>
      </c>
      <c r="Q673" t="n">
        <v>0</v>
      </c>
      <c r="R673" s="2" t="inlineStr"/>
    </row>
    <row r="674" ht="15" customHeight="1">
      <c r="A674" t="inlineStr">
        <is>
          <t>A 37820-2025</t>
        </is>
      </c>
      <c r="B674" s="1" t="n">
        <v>45881.39909722222</v>
      </c>
      <c r="C674" s="1" t="n">
        <v>46082</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32244-2024</t>
        </is>
      </c>
      <c r="B675" s="1" t="n">
        <v>45511.95109953704</v>
      </c>
      <c r="C675" s="1" t="n">
        <v>46082</v>
      </c>
      <c r="D675" t="inlineStr">
        <is>
          <t>JÄMTLANDS LÄN</t>
        </is>
      </c>
      <c r="E675" t="inlineStr">
        <is>
          <t>KROKOM</t>
        </is>
      </c>
      <c r="G675" t="n">
        <v>3.1</v>
      </c>
      <c r="H675" t="n">
        <v>0</v>
      </c>
      <c r="I675" t="n">
        <v>0</v>
      </c>
      <c r="J675" t="n">
        <v>0</v>
      </c>
      <c r="K675" t="n">
        <v>0</v>
      </c>
      <c r="L675" t="n">
        <v>0</v>
      </c>
      <c r="M675" t="n">
        <v>0</v>
      </c>
      <c r="N675" t="n">
        <v>0</v>
      </c>
      <c r="O675" t="n">
        <v>0</v>
      </c>
      <c r="P675" t="n">
        <v>0</v>
      </c>
      <c r="Q675" t="n">
        <v>0</v>
      </c>
      <c r="R675" s="2" t="inlineStr"/>
    </row>
    <row r="676" ht="15" customHeight="1">
      <c r="A676" t="inlineStr">
        <is>
          <t>A 53055-2023</t>
        </is>
      </c>
      <c r="B676" s="1" t="n">
        <v>45226</v>
      </c>
      <c r="C676" s="1" t="n">
        <v>46082</v>
      </c>
      <c r="D676" t="inlineStr">
        <is>
          <t>JÄMTLANDS LÄN</t>
        </is>
      </c>
      <c r="E676" t="inlineStr">
        <is>
          <t>KROKOM</t>
        </is>
      </c>
      <c r="G676" t="n">
        <v>3.4</v>
      </c>
      <c r="H676" t="n">
        <v>0</v>
      </c>
      <c r="I676" t="n">
        <v>0</v>
      </c>
      <c r="J676" t="n">
        <v>0</v>
      </c>
      <c r="K676" t="n">
        <v>0</v>
      </c>
      <c r="L676" t="n">
        <v>0</v>
      </c>
      <c r="M676" t="n">
        <v>0</v>
      </c>
      <c r="N676" t="n">
        <v>0</v>
      </c>
      <c r="O676" t="n">
        <v>0</v>
      </c>
      <c r="P676" t="n">
        <v>0</v>
      </c>
      <c r="Q676" t="n">
        <v>0</v>
      </c>
      <c r="R676" s="2" t="inlineStr"/>
    </row>
    <row r="677" ht="15" customHeight="1">
      <c r="A677" t="inlineStr">
        <is>
          <t>A 30158-2022</t>
        </is>
      </c>
      <c r="B677" s="1" t="n">
        <v>44757</v>
      </c>
      <c r="C677" s="1" t="n">
        <v>46082</v>
      </c>
      <c r="D677" t="inlineStr">
        <is>
          <t>JÄMTLANDS LÄN</t>
        </is>
      </c>
      <c r="E677" t="inlineStr">
        <is>
          <t>KROKOM</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23507-2024</t>
        </is>
      </c>
      <c r="B678" s="1" t="n">
        <v>45453</v>
      </c>
      <c r="C678" s="1" t="n">
        <v>46082</v>
      </c>
      <c r="D678" t="inlineStr">
        <is>
          <t>JÄMTLANDS LÄN</t>
        </is>
      </c>
      <c r="E678" t="inlineStr">
        <is>
          <t>KROKOM</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47517-2025</t>
        </is>
      </c>
      <c r="B679" s="1" t="n">
        <v>45931.28456018519</v>
      </c>
      <c r="C679" s="1" t="n">
        <v>46082</v>
      </c>
      <c r="D679" t="inlineStr">
        <is>
          <t>JÄMTLANDS LÄN</t>
        </is>
      </c>
      <c r="E679" t="inlineStr">
        <is>
          <t>KROKOM</t>
        </is>
      </c>
      <c r="F679" t="inlineStr">
        <is>
          <t>Övriga Aktiebolag</t>
        </is>
      </c>
      <c r="G679" t="n">
        <v>18.4</v>
      </c>
      <c r="H679" t="n">
        <v>0</v>
      </c>
      <c r="I679" t="n">
        <v>0</v>
      </c>
      <c r="J679" t="n">
        <v>0</v>
      </c>
      <c r="K679" t="n">
        <v>0</v>
      </c>
      <c r="L679" t="n">
        <v>0</v>
      </c>
      <c r="M679" t="n">
        <v>0</v>
      </c>
      <c r="N679" t="n">
        <v>0</v>
      </c>
      <c r="O679" t="n">
        <v>0</v>
      </c>
      <c r="P679" t="n">
        <v>0</v>
      </c>
      <c r="Q679" t="n">
        <v>0</v>
      </c>
      <c r="R679" s="2" t="inlineStr"/>
    </row>
    <row r="680" ht="15" customHeight="1">
      <c r="A680" t="inlineStr">
        <is>
          <t>A 38747-2024</t>
        </is>
      </c>
      <c r="B680" s="1" t="n">
        <v>45547.42732638889</v>
      </c>
      <c r="C680" s="1" t="n">
        <v>46082</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30979-2024</t>
        </is>
      </c>
      <c r="B681" s="1" t="n">
        <v>45499.48672453704</v>
      </c>
      <c r="C681" s="1" t="n">
        <v>46082</v>
      </c>
      <c r="D681" t="inlineStr">
        <is>
          <t>JÄMTLANDS LÄN</t>
        </is>
      </c>
      <c r="E681" t="inlineStr">
        <is>
          <t>KROKOM</t>
        </is>
      </c>
      <c r="G681" t="n">
        <v>18.2</v>
      </c>
      <c r="H681" t="n">
        <v>0</v>
      </c>
      <c r="I681" t="n">
        <v>0</v>
      </c>
      <c r="J681" t="n">
        <v>0</v>
      </c>
      <c r="K681" t="n">
        <v>0</v>
      </c>
      <c r="L681" t="n">
        <v>0</v>
      </c>
      <c r="M681" t="n">
        <v>0</v>
      </c>
      <c r="N681" t="n">
        <v>0</v>
      </c>
      <c r="O681" t="n">
        <v>0</v>
      </c>
      <c r="P681" t="n">
        <v>0</v>
      </c>
      <c r="Q681" t="n">
        <v>0</v>
      </c>
      <c r="R681" s="2" t="inlineStr"/>
    </row>
    <row r="682" ht="15" customHeight="1">
      <c r="A682" t="inlineStr">
        <is>
          <t>A 32472-2021</t>
        </is>
      </c>
      <c r="B682" s="1" t="n">
        <v>44371</v>
      </c>
      <c r="C682" s="1" t="n">
        <v>46082</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34794-2022</t>
        </is>
      </c>
      <c r="B683" s="1" t="n">
        <v>44795</v>
      </c>
      <c r="C683" s="1" t="n">
        <v>46082</v>
      </c>
      <c r="D683" t="inlineStr">
        <is>
          <t>JÄMTLANDS LÄN</t>
        </is>
      </c>
      <c r="E683" t="inlineStr">
        <is>
          <t>KROKOM</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37821-2025</t>
        </is>
      </c>
      <c r="B684" s="1" t="n">
        <v>45881.40521990741</v>
      </c>
      <c r="C684" s="1" t="n">
        <v>46082</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4570-2025</t>
        </is>
      </c>
      <c r="B685" s="1" t="n">
        <v>45687</v>
      </c>
      <c r="C685" s="1" t="n">
        <v>46082</v>
      </c>
      <c r="D685" t="inlineStr">
        <is>
          <t>JÄMTLANDS LÄN</t>
        </is>
      </c>
      <c r="E685" t="inlineStr">
        <is>
          <t>KROKOM</t>
        </is>
      </c>
      <c r="G685" t="n">
        <v>4.6</v>
      </c>
      <c r="H685" t="n">
        <v>0</v>
      </c>
      <c r="I685" t="n">
        <v>0</v>
      </c>
      <c r="J685" t="n">
        <v>0</v>
      </c>
      <c r="K685" t="n">
        <v>0</v>
      </c>
      <c r="L685" t="n">
        <v>0</v>
      </c>
      <c r="M685" t="n">
        <v>0</v>
      </c>
      <c r="N685" t="n">
        <v>0</v>
      </c>
      <c r="O685" t="n">
        <v>0</v>
      </c>
      <c r="P685" t="n">
        <v>0</v>
      </c>
      <c r="Q685" t="n">
        <v>0</v>
      </c>
      <c r="R685" s="2" t="inlineStr"/>
    </row>
    <row r="686" ht="15" customHeight="1">
      <c r="A686" t="inlineStr">
        <is>
          <t>A 15761-2025</t>
        </is>
      </c>
      <c r="B686" s="1" t="n">
        <v>45748.57269675926</v>
      </c>
      <c r="C686" s="1" t="n">
        <v>46082</v>
      </c>
      <c r="D686" t="inlineStr">
        <is>
          <t>JÄMTLANDS LÄN</t>
        </is>
      </c>
      <c r="E686" t="inlineStr">
        <is>
          <t>KROKOM</t>
        </is>
      </c>
      <c r="G686" t="n">
        <v>48.1</v>
      </c>
      <c r="H686" t="n">
        <v>0</v>
      </c>
      <c r="I686" t="n">
        <v>0</v>
      </c>
      <c r="J686" t="n">
        <v>0</v>
      </c>
      <c r="K686" t="n">
        <v>0</v>
      </c>
      <c r="L686" t="n">
        <v>0</v>
      </c>
      <c r="M686" t="n">
        <v>0</v>
      </c>
      <c r="N686" t="n">
        <v>0</v>
      </c>
      <c r="O686" t="n">
        <v>0</v>
      </c>
      <c r="P686" t="n">
        <v>0</v>
      </c>
      <c r="Q686" t="n">
        <v>0</v>
      </c>
      <c r="R686" s="2" t="inlineStr"/>
    </row>
    <row r="687" ht="15" customHeight="1">
      <c r="A687" t="inlineStr">
        <is>
          <t>A 61742-2024</t>
        </is>
      </c>
      <c r="B687" s="1" t="n">
        <v>45649.38149305555</v>
      </c>
      <c r="C687" s="1" t="n">
        <v>46082</v>
      </c>
      <c r="D687" t="inlineStr">
        <is>
          <t>JÄMTLANDS LÄN</t>
        </is>
      </c>
      <c r="E687" t="inlineStr">
        <is>
          <t>KROKOM</t>
        </is>
      </c>
      <c r="G687" t="n">
        <v>13.3</v>
      </c>
      <c r="H687" t="n">
        <v>0</v>
      </c>
      <c r="I687" t="n">
        <v>0</v>
      </c>
      <c r="J687" t="n">
        <v>0</v>
      </c>
      <c r="K687" t="n">
        <v>0</v>
      </c>
      <c r="L687" t="n">
        <v>0</v>
      </c>
      <c r="M687" t="n">
        <v>0</v>
      </c>
      <c r="N687" t="n">
        <v>0</v>
      </c>
      <c r="O687" t="n">
        <v>0</v>
      </c>
      <c r="P687" t="n">
        <v>0</v>
      </c>
      <c r="Q687" t="n">
        <v>0</v>
      </c>
      <c r="R687" s="2" t="inlineStr"/>
    </row>
    <row r="688" ht="15" customHeight="1">
      <c r="A688" t="inlineStr">
        <is>
          <t>A 18841-2025</t>
        </is>
      </c>
      <c r="B688" s="1" t="n">
        <v>45764.40834490741</v>
      </c>
      <c r="C688" s="1" t="n">
        <v>46082</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9963-2025</t>
        </is>
      </c>
      <c r="B689" s="1" t="n">
        <v>45719.37307870371</v>
      </c>
      <c r="C689" s="1" t="n">
        <v>46082</v>
      </c>
      <c r="D689" t="inlineStr">
        <is>
          <t>JÄMTLANDS LÄN</t>
        </is>
      </c>
      <c r="E689" t="inlineStr">
        <is>
          <t>KROKOM</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48272-2025</t>
        </is>
      </c>
      <c r="B690" s="1" t="n">
        <v>45933.57362268519</v>
      </c>
      <c r="C690" s="1" t="n">
        <v>46082</v>
      </c>
      <c r="D690" t="inlineStr">
        <is>
          <t>JÄMTLANDS LÄN</t>
        </is>
      </c>
      <c r="E690" t="inlineStr">
        <is>
          <t>KROKOM</t>
        </is>
      </c>
      <c r="G690" t="n">
        <v>3.4</v>
      </c>
      <c r="H690" t="n">
        <v>0</v>
      </c>
      <c r="I690" t="n">
        <v>0</v>
      </c>
      <c r="J690" t="n">
        <v>0</v>
      </c>
      <c r="K690" t="n">
        <v>0</v>
      </c>
      <c r="L690" t="n">
        <v>0</v>
      </c>
      <c r="M690" t="n">
        <v>0</v>
      </c>
      <c r="N690" t="n">
        <v>0</v>
      </c>
      <c r="O690" t="n">
        <v>0</v>
      </c>
      <c r="P690" t="n">
        <v>0</v>
      </c>
      <c r="Q690" t="n">
        <v>0</v>
      </c>
      <c r="R690" s="2" t="inlineStr"/>
    </row>
    <row r="691" ht="15" customHeight="1">
      <c r="A691" t="inlineStr">
        <is>
          <t>A 48438-2025</t>
        </is>
      </c>
      <c r="B691" s="1" t="n">
        <v>45935.4812962963</v>
      </c>
      <c r="C691" s="1" t="n">
        <v>46082</v>
      </c>
      <c r="D691" t="inlineStr">
        <is>
          <t>JÄMTLANDS LÄN</t>
        </is>
      </c>
      <c r="E691" t="inlineStr">
        <is>
          <t>KROKOM</t>
        </is>
      </c>
      <c r="G691" t="n">
        <v>1.7</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46082</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48255-2025</t>
        </is>
      </c>
      <c r="B693" s="1" t="n">
        <v>45933.55407407408</v>
      </c>
      <c r="C693" s="1" t="n">
        <v>46082</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48469-2025</t>
        </is>
      </c>
      <c r="B694" s="1" t="n">
        <v>45936.34489583333</v>
      </c>
      <c r="C694" s="1" t="n">
        <v>46082</v>
      </c>
      <c r="D694" t="inlineStr">
        <is>
          <t>JÄMTLANDS LÄN</t>
        </is>
      </c>
      <c r="E694" t="inlineStr">
        <is>
          <t>KROKOM</t>
        </is>
      </c>
      <c r="F694" t="inlineStr">
        <is>
          <t>SCA</t>
        </is>
      </c>
      <c r="G694" t="n">
        <v>15.2</v>
      </c>
      <c r="H694" t="n">
        <v>0</v>
      </c>
      <c r="I694" t="n">
        <v>0</v>
      </c>
      <c r="J694" t="n">
        <v>0</v>
      </c>
      <c r="K694" t="n">
        <v>0</v>
      </c>
      <c r="L694" t="n">
        <v>0</v>
      </c>
      <c r="M694" t="n">
        <v>0</v>
      </c>
      <c r="N694" t="n">
        <v>0</v>
      </c>
      <c r="O694" t="n">
        <v>0</v>
      </c>
      <c r="P694" t="n">
        <v>0</v>
      </c>
      <c r="Q694" t="n">
        <v>0</v>
      </c>
      <c r="R694" s="2" t="inlineStr"/>
    </row>
    <row r="695" ht="15" customHeight="1">
      <c r="A695" t="inlineStr">
        <is>
          <t>A 48470-2025</t>
        </is>
      </c>
      <c r="B695" s="1" t="n">
        <v>45936.34504629629</v>
      </c>
      <c r="C695" s="1" t="n">
        <v>46082</v>
      </c>
      <c r="D695" t="inlineStr">
        <is>
          <t>JÄMTLANDS LÄN</t>
        </is>
      </c>
      <c r="E695" t="inlineStr">
        <is>
          <t>KROKOM</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48323-2025</t>
        </is>
      </c>
      <c r="B696" s="1" t="n">
        <v>45933.62793981482</v>
      </c>
      <c r="C696" s="1" t="n">
        <v>46082</v>
      </c>
      <c r="D696" t="inlineStr">
        <is>
          <t>JÄMTLANDS LÄN</t>
        </is>
      </c>
      <c r="E696" t="inlineStr">
        <is>
          <t>KROKOM</t>
        </is>
      </c>
      <c r="G696" t="n">
        <v>2.8</v>
      </c>
      <c r="H696" t="n">
        <v>0</v>
      </c>
      <c r="I696" t="n">
        <v>0</v>
      </c>
      <c r="J696" t="n">
        <v>0</v>
      </c>
      <c r="K696" t="n">
        <v>0</v>
      </c>
      <c r="L696" t="n">
        <v>0</v>
      </c>
      <c r="M696" t="n">
        <v>0</v>
      </c>
      <c r="N696" t="n">
        <v>0</v>
      </c>
      <c r="O696" t="n">
        <v>0</v>
      </c>
      <c r="P696" t="n">
        <v>0</v>
      </c>
      <c r="Q696" t="n">
        <v>0</v>
      </c>
      <c r="R696" s="2" t="inlineStr"/>
    </row>
    <row r="697" ht="15" customHeight="1">
      <c r="A697" t="inlineStr">
        <is>
          <t>A 48468-2025</t>
        </is>
      </c>
      <c r="B697" s="1" t="n">
        <v>45936.34469907408</v>
      </c>
      <c r="C697" s="1" t="n">
        <v>46082</v>
      </c>
      <c r="D697" t="inlineStr">
        <is>
          <t>JÄMTLANDS LÄN</t>
        </is>
      </c>
      <c r="E697" t="inlineStr">
        <is>
          <t>KROKOM</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34289-2021</t>
        </is>
      </c>
      <c r="B698" s="1" t="n">
        <v>44379.59675925926</v>
      </c>
      <c r="C698" s="1" t="n">
        <v>46082</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48666-2025</t>
        </is>
      </c>
      <c r="B699" s="1" t="n">
        <v>45936.57368055556</v>
      </c>
      <c r="C699" s="1" t="n">
        <v>46082</v>
      </c>
      <c r="D699" t="inlineStr">
        <is>
          <t>JÄMTLANDS LÄN</t>
        </is>
      </c>
      <c r="E699" t="inlineStr">
        <is>
          <t>KROKOM</t>
        </is>
      </c>
      <c r="F699" t="inlineStr">
        <is>
          <t>SCA</t>
        </is>
      </c>
      <c r="G699" t="n">
        <v>12.9</v>
      </c>
      <c r="H699" t="n">
        <v>0</v>
      </c>
      <c r="I699" t="n">
        <v>0</v>
      </c>
      <c r="J699" t="n">
        <v>0</v>
      </c>
      <c r="K699" t="n">
        <v>0</v>
      </c>
      <c r="L699" t="n">
        <v>0</v>
      </c>
      <c r="M699" t="n">
        <v>0</v>
      </c>
      <c r="N699" t="n">
        <v>0</v>
      </c>
      <c r="O699" t="n">
        <v>0</v>
      </c>
      <c r="P699" t="n">
        <v>0</v>
      </c>
      <c r="Q699" t="n">
        <v>0</v>
      </c>
      <c r="R699" s="2" t="inlineStr"/>
    </row>
    <row r="700" ht="15" customHeight="1">
      <c r="A700" t="inlineStr">
        <is>
          <t>A 22681-2025</t>
        </is>
      </c>
      <c r="B700" s="1" t="n">
        <v>45786</v>
      </c>
      <c r="C700" s="1" t="n">
        <v>46082</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48798-2025</t>
        </is>
      </c>
      <c r="B701" s="1" t="n">
        <v>45937.34465277778</v>
      </c>
      <c r="C701" s="1" t="n">
        <v>46082</v>
      </c>
      <c r="D701" t="inlineStr">
        <is>
          <t>JÄMTLANDS LÄN</t>
        </is>
      </c>
      <c r="E701" t="inlineStr">
        <is>
          <t>KROKOM</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49063-2025</t>
        </is>
      </c>
      <c r="B702" s="1" t="n">
        <v>45937.64388888889</v>
      </c>
      <c r="C702" s="1" t="n">
        <v>46082</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17840-2025</t>
        </is>
      </c>
      <c r="B703" s="1" t="n">
        <v>45758.58943287037</v>
      </c>
      <c r="C703" s="1" t="n">
        <v>46082</v>
      </c>
      <c r="D703" t="inlineStr">
        <is>
          <t>JÄMTLANDS LÄN</t>
        </is>
      </c>
      <c r="E703" t="inlineStr">
        <is>
          <t>KROKOM</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46082</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49009-2025</t>
        </is>
      </c>
      <c r="B705" s="1" t="n">
        <v>45937.60777777778</v>
      </c>
      <c r="C705" s="1" t="n">
        <v>46082</v>
      </c>
      <c r="D705" t="inlineStr">
        <is>
          <t>JÄMTLANDS LÄN</t>
        </is>
      </c>
      <c r="E705" t="inlineStr">
        <is>
          <t>KROKOM</t>
        </is>
      </c>
      <c r="G705" t="n">
        <v>1.1</v>
      </c>
      <c r="H705" t="n">
        <v>0</v>
      </c>
      <c r="I705" t="n">
        <v>0</v>
      </c>
      <c r="J705" t="n">
        <v>0</v>
      </c>
      <c r="K705" t="n">
        <v>0</v>
      </c>
      <c r="L705" t="n">
        <v>0</v>
      </c>
      <c r="M705" t="n">
        <v>0</v>
      </c>
      <c r="N705" t="n">
        <v>0</v>
      </c>
      <c r="O705" t="n">
        <v>0</v>
      </c>
      <c r="P705" t="n">
        <v>0</v>
      </c>
      <c r="Q705" t="n">
        <v>0</v>
      </c>
      <c r="R705" s="2" t="inlineStr"/>
    </row>
    <row r="706" ht="15" customHeight="1">
      <c r="A706" t="inlineStr">
        <is>
          <t>A 1477-2025</t>
        </is>
      </c>
      <c r="B706" s="1" t="n">
        <v>45670</v>
      </c>
      <c r="C706" s="1" t="n">
        <v>46082</v>
      </c>
      <c r="D706" t="inlineStr">
        <is>
          <t>JÄMTLANDS LÄN</t>
        </is>
      </c>
      <c r="E706" t="inlineStr">
        <is>
          <t>KROKOM</t>
        </is>
      </c>
      <c r="G706" t="n">
        <v>7.3</v>
      </c>
      <c r="H706" t="n">
        <v>0</v>
      </c>
      <c r="I706" t="n">
        <v>0</v>
      </c>
      <c r="J706" t="n">
        <v>0</v>
      </c>
      <c r="K706" t="n">
        <v>0</v>
      </c>
      <c r="L706" t="n">
        <v>0</v>
      </c>
      <c r="M706" t="n">
        <v>0</v>
      </c>
      <c r="N706" t="n">
        <v>0</v>
      </c>
      <c r="O706" t="n">
        <v>0</v>
      </c>
      <c r="P706" t="n">
        <v>0</v>
      </c>
      <c r="Q706" t="n">
        <v>0</v>
      </c>
      <c r="R706" s="2" t="inlineStr"/>
    </row>
    <row r="707" ht="15" customHeight="1">
      <c r="A707" t="inlineStr">
        <is>
          <t>A 9755-2024</t>
        </is>
      </c>
      <c r="B707" s="1" t="n">
        <v>45362</v>
      </c>
      <c r="C707" s="1" t="n">
        <v>46082</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48801-2025</t>
        </is>
      </c>
      <c r="B708" s="1" t="n">
        <v>45937.34515046296</v>
      </c>
      <c r="C708" s="1" t="n">
        <v>46082</v>
      </c>
      <c r="D708" t="inlineStr">
        <is>
          <t>JÄMTLANDS LÄN</t>
        </is>
      </c>
      <c r="E708" t="inlineStr">
        <is>
          <t>KROKOM</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57149-2023</t>
        </is>
      </c>
      <c r="B709" s="1" t="n">
        <v>45245</v>
      </c>
      <c r="C709" s="1" t="n">
        <v>46082</v>
      </c>
      <c r="D709" t="inlineStr">
        <is>
          <t>JÄMTLANDS LÄN</t>
        </is>
      </c>
      <c r="E709" t="inlineStr">
        <is>
          <t>KROKOM</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49067-2025</t>
        </is>
      </c>
      <c r="B710" s="1" t="n">
        <v>45937.64741898148</v>
      </c>
      <c r="C710" s="1" t="n">
        <v>46082</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14233-2025</t>
        </is>
      </c>
      <c r="B711" s="1" t="n">
        <v>45740</v>
      </c>
      <c r="C711" s="1" t="n">
        <v>46082</v>
      </c>
      <c r="D711" t="inlineStr">
        <is>
          <t>JÄMTLANDS LÄN</t>
        </is>
      </c>
      <c r="E711" t="inlineStr">
        <is>
          <t>KROKOM</t>
        </is>
      </c>
      <c r="F711" t="inlineStr">
        <is>
          <t>Övriga statliga verk och myndigheter</t>
        </is>
      </c>
      <c r="G711" t="n">
        <v>2.5</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46082</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46082</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23539-2024</t>
        </is>
      </c>
      <c r="B714" s="1" t="n">
        <v>45453.95237268518</v>
      </c>
      <c r="C714" s="1" t="n">
        <v>46082</v>
      </c>
      <c r="D714" t="inlineStr">
        <is>
          <t>JÄMTLANDS LÄN</t>
        </is>
      </c>
      <c r="E714" t="inlineStr">
        <is>
          <t>KROKOM</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6185-2025</t>
        </is>
      </c>
      <c r="B715" s="1" t="n">
        <v>45698.45653935185</v>
      </c>
      <c r="C715" s="1" t="n">
        <v>46082</v>
      </c>
      <c r="D715" t="inlineStr">
        <is>
          <t>JÄMTLANDS LÄN</t>
        </is>
      </c>
      <c r="E715" t="inlineStr">
        <is>
          <t>KROKOM</t>
        </is>
      </c>
      <c r="G715" t="n">
        <v>14.7</v>
      </c>
      <c r="H715" t="n">
        <v>0</v>
      </c>
      <c r="I715" t="n">
        <v>0</v>
      </c>
      <c r="J715" t="n">
        <v>0</v>
      </c>
      <c r="K715" t="n">
        <v>0</v>
      </c>
      <c r="L715" t="n">
        <v>0</v>
      </c>
      <c r="M715" t="n">
        <v>0</v>
      </c>
      <c r="N715" t="n">
        <v>0</v>
      </c>
      <c r="O715" t="n">
        <v>0</v>
      </c>
      <c r="P715" t="n">
        <v>0</v>
      </c>
      <c r="Q715" t="n">
        <v>0</v>
      </c>
      <c r="R715" s="2" t="inlineStr"/>
    </row>
    <row r="716" ht="15" customHeight="1">
      <c r="A716" t="inlineStr">
        <is>
          <t>A 49838-2025</t>
        </is>
      </c>
      <c r="B716" s="1" t="n">
        <v>45940.46920138889</v>
      </c>
      <c r="C716" s="1" t="n">
        <v>46082</v>
      </c>
      <c r="D716" t="inlineStr">
        <is>
          <t>JÄMTLANDS LÄN</t>
        </is>
      </c>
      <c r="E716" t="inlineStr">
        <is>
          <t>KROKOM</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49534-2025</t>
        </is>
      </c>
      <c r="B717" s="1" t="n">
        <v>45939.41162037037</v>
      </c>
      <c r="C717" s="1" t="n">
        <v>46082</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6042-2025</t>
        </is>
      </c>
      <c r="B718" s="1" t="n">
        <v>45695</v>
      </c>
      <c r="C718" s="1" t="n">
        <v>46082</v>
      </c>
      <c r="D718" t="inlineStr">
        <is>
          <t>JÄMTLANDS LÄN</t>
        </is>
      </c>
      <c r="E718" t="inlineStr">
        <is>
          <t>KROKOM</t>
        </is>
      </c>
      <c r="F718" t="inlineStr">
        <is>
          <t>Övriga Aktiebolag</t>
        </is>
      </c>
      <c r="G718" t="n">
        <v>8.9</v>
      </c>
      <c r="H718" t="n">
        <v>0</v>
      </c>
      <c r="I718" t="n">
        <v>0</v>
      </c>
      <c r="J718" t="n">
        <v>0</v>
      </c>
      <c r="K718" t="n">
        <v>0</v>
      </c>
      <c r="L718" t="n">
        <v>0</v>
      </c>
      <c r="M718" t="n">
        <v>0</v>
      </c>
      <c r="N718" t="n">
        <v>0</v>
      </c>
      <c r="O718" t="n">
        <v>0</v>
      </c>
      <c r="P718" t="n">
        <v>0</v>
      </c>
      <c r="Q718" t="n">
        <v>0</v>
      </c>
      <c r="R718" s="2" t="inlineStr"/>
    </row>
    <row r="719" ht="15" customHeight="1">
      <c r="A719" t="inlineStr">
        <is>
          <t>A 49557-2025</t>
        </is>
      </c>
      <c r="B719" s="1" t="n">
        <v>45939.45077546296</v>
      </c>
      <c r="C719" s="1" t="n">
        <v>46082</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49644-2025</t>
        </is>
      </c>
      <c r="B720" s="1" t="n">
        <v>45939.61568287037</v>
      </c>
      <c r="C720" s="1" t="n">
        <v>46082</v>
      </c>
      <c r="D720" t="inlineStr">
        <is>
          <t>JÄMTLANDS LÄN</t>
        </is>
      </c>
      <c r="E720" t="inlineStr">
        <is>
          <t>KROKOM</t>
        </is>
      </c>
      <c r="G720" t="n">
        <v>2.4</v>
      </c>
      <c r="H720" t="n">
        <v>0</v>
      </c>
      <c r="I720" t="n">
        <v>0</v>
      </c>
      <c r="J720" t="n">
        <v>0</v>
      </c>
      <c r="K720" t="n">
        <v>0</v>
      </c>
      <c r="L720" t="n">
        <v>0</v>
      </c>
      <c r="M720" t="n">
        <v>0</v>
      </c>
      <c r="N720" t="n">
        <v>0</v>
      </c>
      <c r="O720" t="n">
        <v>0</v>
      </c>
      <c r="P720" t="n">
        <v>0</v>
      </c>
      <c r="Q720" t="n">
        <v>0</v>
      </c>
      <c r="R720" s="2" t="inlineStr"/>
    </row>
    <row r="721" ht="15" customHeight="1">
      <c r="A721" t="inlineStr">
        <is>
          <t>A 10581-2025</t>
        </is>
      </c>
      <c r="B721" s="1" t="n">
        <v>45721.54896990741</v>
      </c>
      <c r="C721" s="1" t="n">
        <v>46082</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47625-2023</t>
        </is>
      </c>
      <c r="B722" s="1" t="n">
        <v>45203</v>
      </c>
      <c r="C722" s="1" t="n">
        <v>46082</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49514-2025</t>
        </is>
      </c>
      <c r="B723" s="1" t="n">
        <v>45939.38530092593</v>
      </c>
      <c r="C723" s="1" t="n">
        <v>46082</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50010-2025</t>
        </is>
      </c>
      <c r="B724" s="1" t="n">
        <v>45943.34546296296</v>
      </c>
      <c r="C724" s="1" t="n">
        <v>46082</v>
      </c>
      <c r="D724" t="inlineStr">
        <is>
          <t>JÄMTLANDS LÄN</t>
        </is>
      </c>
      <c r="E724" t="inlineStr">
        <is>
          <t>KROKOM</t>
        </is>
      </c>
      <c r="F724" t="inlineStr">
        <is>
          <t>SCA</t>
        </is>
      </c>
      <c r="G724" t="n">
        <v>35.8</v>
      </c>
      <c r="H724" t="n">
        <v>0</v>
      </c>
      <c r="I724" t="n">
        <v>0</v>
      </c>
      <c r="J724" t="n">
        <v>0</v>
      </c>
      <c r="K724" t="n">
        <v>0</v>
      </c>
      <c r="L724" t="n">
        <v>0</v>
      </c>
      <c r="M724" t="n">
        <v>0</v>
      </c>
      <c r="N724" t="n">
        <v>0</v>
      </c>
      <c r="O724" t="n">
        <v>0</v>
      </c>
      <c r="P724" t="n">
        <v>0</v>
      </c>
      <c r="Q724" t="n">
        <v>0</v>
      </c>
      <c r="R724" s="2" t="inlineStr"/>
    </row>
    <row r="725" ht="15" customHeight="1">
      <c r="A725" t="inlineStr">
        <is>
          <t>A 50002-2025</t>
        </is>
      </c>
      <c r="B725" s="1" t="n">
        <v>45943.34451388889</v>
      </c>
      <c r="C725" s="1" t="n">
        <v>46082</v>
      </c>
      <c r="D725" t="inlineStr">
        <is>
          <t>JÄMTLANDS LÄN</t>
        </is>
      </c>
      <c r="E725" t="inlineStr">
        <is>
          <t>KROKOM</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50003-2025</t>
        </is>
      </c>
      <c r="B726" s="1" t="n">
        <v>45943.34457175926</v>
      </c>
      <c r="C726" s="1" t="n">
        <v>46082</v>
      </c>
      <c r="D726" t="inlineStr">
        <is>
          <t>JÄMTLANDS LÄN</t>
        </is>
      </c>
      <c r="E726" t="inlineStr">
        <is>
          <t>KROKOM</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50004-2025</t>
        </is>
      </c>
      <c r="B727" s="1" t="n">
        <v>45943.34472222222</v>
      </c>
      <c r="C727" s="1" t="n">
        <v>46082</v>
      </c>
      <c r="D727" t="inlineStr">
        <is>
          <t>JÄMTLANDS LÄN</t>
        </is>
      </c>
      <c r="E727" t="inlineStr">
        <is>
          <t>KROKOM</t>
        </is>
      </c>
      <c r="F727" t="inlineStr">
        <is>
          <t>SCA</t>
        </is>
      </c>
      <c r="G727" t="n">
        <v>13.9</v>
      </c>
      <c r="H727" t="n">
        <v>0</v>
      </c>
      <c r="I727" t="n">
        <v>0</v>
      </c>
      <c r="J727" t="n">
        <v>0</v>
      </c>
      <c r="K727" t="n">
        <v>0</v>
      </c>
      <c r="L727" t="n">
        <v>0</v>
      </c>
      <c r="M727" t="n">
        <v>0</v>
      </c>
      <c r="N727" t="n">
        <v>0</v>
      </c>
      <c r="O727" t="n">
        <v>0</v>
      </c>
      <c r="P727" t="n">
        <v>0</v>
      </c>
      <c r="Q727" t="n">
        <v>0</v>
      </c>
      <c r="R727" s="2" t="inlineStr"/>
    </row>
    <row r="728" ht="15" customHeight="1">
      <c r="A728" t="inlineStr">
        <is>
          <t>A 20742-2023</t>
        </is>
      </c>
      <c r="B728" s="1" t="n">
        <v>45055</v>
      </c>
      <c r="C728" s="1" t="n">
        <v>46082</v>
      </c>
      <c r="D728" t="inlineStr">
        <is>
          <t>JÄMTLANDS LÄN</t>
        </is>
      </c>
      <c r="E728" t="inlineStr">
        <is>
          <t>KROKOM</t>
        </is>
      </c>
      <c r="G728" t="n">
        <v>0.4</v>
      </c>
      <c r="H728" t="n">
        <v>0</v>
      </c>
      <c r="I728" t="n">
        <v>0</v>
      </c>
      <c r="J728" t="n">
        <v>0</v>
      </c>
      <c r="K728" t="n">
        <v>0</v>
      </c>
      <c r="L728" t="n">
        <v>0</v>
      </c>
      <c r="M728" t="n">
        <v>0</v>
      </c>
      <c r="N728" t="n">
        <v>0</v>
      </c>
      <c r="O728" t="n">
        <v>0</v>
      </c>
      <c r="P728" t="n">
        <v>0</v>
      </c>
      <c r="Q728" t="n">
        <v>0</v>
      </c>
      <c r="R728" s="2" t="inlineStr"/>
    </row>
    <row r="729" ht="15" customHeight="1">
      <c r="A729" t="inlineStr">
        <is>
          <t>A 50806-2025</t>
        </is>
      </c>
      <c r="B729" s="1" t="n">
        <v>45946.50797453704</v>
      </c>
      <c r="C729" s="1" t="n">
        <v>46082</v>
      </c>
      <c r="D729" t="inlineStr">
        <is>
          <t>JÄMTLANDS LÄN</t>
        </is>
      </c>
      <c r="E729" t="inlineStr">
        <is>
          <t>KROKOM</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18583-2025</t>
        </is>
      </c>
      <c r="B730" s="1" t="n">
        <v>45763.46918981482</v>
      </c>
      <c r="C730" s="1" t="n">
        <v>46082</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50455-2025</t>
        </is>
      </c>
      <c r="B731" s="1" t="n">
        <v>45945.33297453704</v>
      </c>
      <c r="C731" s="1" t="n">
        <v>46082</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51317-2025</t>
        </is>
      </c>
      <c r="B732" s="1" t="n">
        <v>45950.38090277778</v>
      </c>
      <c r="C732" s="1" t="n">
        <v>46082</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32318-2025</t>
        </is>
      </c>
      <c r="B733" s="1" t="n">
        <v>45836.34413194445</v>
      </c>
      <c r="C733" s="1" t="n">
        <v>46082</v>
      </c>
      <c r="D733" t="inlineStr">
        <is>
          <t>JÄMTLANDS LÄN</t>
        </is>
      </c>
      <c r="E733" t="inlineStr">
        <is>
          <t>KROKOM</t>
        </is>
      </c>
      <c r="F733" t="inlineStr">
        <is>
          <t>SCA</t>
        </is>
      </c>
      <c r="G733" t="n">
        <v>13.8</v>
      </c>
      <c r="H733" t="n">
        <v>0</v>
      </c>
      <c r="I733" t="n">
        <v>0</v>
      </c>
      <c r="J733" t="n">
        <v>0</v>
      </c>
      <c r="K733" t="n">
        <v>0</v>
      </c>
      <c r="L733" t="n">
        <v>0</v>
      </c>
      <c r="M733" t="n">
        <v>0</v>
      </c>
      <c r="N733" t="n">
        <v>0</v>
      </c>
      <c r="O733" t="n">
        <v>0</v>
      </c>
      <c r="P733" t="n">
        <v>0</v>
      </c>
      <c r="Q733" t="n">
        <v>0</v>
      </c>
      <c r="R733" s="2" t="inlineStr"/>
    </row>
    <row r="734" ht="15" customHeight="1">
      <c r="A734" t="inlineStr">
        <is>
          <t>A 52086-2024</t>
        </is>
      </c>
      <c r="B734" s="1" t="n">
        <v>45608</v>
      </c>
      <c r="C734" s="1" t="n">
        <v>46082</v>
      </c>
      <c r="D734" t="inlineStr">
        <is>
          <t>JÄMTLANDS LÄN</t>
        </is>
      </c>
      <c r="E734" t="inlineStr">
        <is>
          <t>KROKOM</t>
        </is>
      </c>
      <c r="G734" t="n">
        <v>3.3</v>
      </c>
      <c r="H734" t="n">
        <v>0</v>
      </c>
      <c r="I734" t="n">
        <v>0</v>
      </c>
      <c r="J734" t="n">
        <v>0</v>
      </c>
      <c r="K734" t="n">
        <v>0</v>
      </c>
      <c r="L734" t="n">
        <v>0</v>
      </c>
      <c r="M734" t="n">
        <v>0</v>
      </c>
      <c r="N734" t="n">
        <v>0</v>
      </c>
      <c r="O734" t="n">
        <v>0</v>
      </c>
      <c r="P734" t="n">
        <v>0</v>
      </c>
      <c r="Q734" t="n">
        <v>0</v>
      </c>
      <c r="R734" s="2" t="inlineStr"/>
    </row>
    <row r="735" ht="15" customHeight="1">
      <c r="A735" t="inlineStr">
        <is>
          <t>A 7391-2025</t>
        </is>
      </c>
      <c r="B735" s="1" t="n">
        <v>45705.33446759259</v>
      </c>
      <c r="C735" s="1" t="n">
        <v>46082</v>
      </c>
      <c r="D735" t="inlineStr">
        <is>
          <t>JÄMTLANDS LÄN</t>
        </is>
      </c>
      <c r="E735" t="inlineStr">
        <is>
          <t>KROKOM</t>
        </is>
      </c>
      <c r="F735" t="inlineStr">
        <is>
          <t>Övriga Aktiebolag</t>
        </is>
      </c>
      <c r="G735" t="n">
        <v>7.9</v>
      </c>
      <c r="H735" t="n">
        <v>0</v>
      </c>
      <c r="I735" t="n">
        <v>0</v>
      </c>
      <c r="J735" t="n">
        <v>0</v>
      </c>
      <c r="K735" t="n">
        <v>0</v>
      </c>
      <c r="L735" t="n">
        <v>0</v>
      </c>
      <c r="M735" t="n">
        <v>0</v>
      </c>
      <c r="N735" t="n">
        <v>0</v>
      </c>
      <c r="O735" t="n">
        <v>0</v>
      </c>
      <c r="P735" t="n">
        <v>0</v>
      </c>
      <c r="Q735" t="n">
        <v>0</v>
      </c>
      <c r="R735" s="2" t="inlineStr"/>
    </row>
    <row r="736" ht="15" customHeight="1">
      <c r="A736" t="inlineStr">
        <is>
          <t>A 33451-2025</t>
        </is>
      </c>
      <c r="B736" s="1" t="n">
        <v>45841.46925925926</v>
      </c>
      <c r="C736" s="1" t="n">
        <v>46082</v>
      </c>
      <c r="D736" t="inlineStr">
        <is>
          <t>JÄMTLANDS LÄN</t>
        </is>
      </c>
      <c r="E736" t="inlineStr">
        <is>
          <t>KROKOM</t>
        </is>
      </c>
      <c r="F736" t="inlineStr">
        <is>
          <t>SCA</t>
        </is>
      </c>
      <c r="G736" t="n">
        <v>17.5</v>
      </c>
      <c r="H736" t="n">
        <v>0</v>
      </c>
      <c r="I736" t="n">
        <v>0</v>
      </c>
      <c r="J736" t="n">
        <v>0</v>
      </c>
      <c r="K736" t="n">
        <v>0</v>
      </c>
      <c r="L736" t="n">
        <v>0</v>
      </c>
      <c r="M736" t="n">
        <v>0</v>
      </c>
      <c r="N736" t="n">
        <v>0</v>
      </c>
      <c r="O736" t="n">
        <v>0</v>
      </c>
      <c r="P736" t="n">
        <v>0</v>
      </c>
      <c r="Q736" t="n">
        <v>0</v>
      </c>
      <c r="R736" s="2" t="inlineStr"/>
    </row>
    <row r="737" ht="15" customHeight="1">
      <c r="A737" t="inlineStr">
        <is>
          <t>A 55455-2022</t>
        </is>
      </c>
      <c r="B737" s="1" t="n">
        <v>44887</v>
      </c>
      <c r="C737" s="1" t="n">
        <v>46082</v>
      </c>
      <c r="D737" t="inlineStr">
        <is>
          <t>JÄMTLANDS LÄN</t>
        </is>
      </c>
      <c r="E737" t="inlineStr">
        <is>
          <t>KROKOM</t>
        </is>
      </c>
      <c r="F737" t="inlineStr">
        <is>
          <t>Övriga Aktiebolag</t>
        </is>
      </c>
      <c r="G737" t="n">
        <v>5.2</v>
      </c>
      <c r="H737" t="n">
        <v>0</v>
      </c>
      <c r="I737" t="n">
        <v>0</v>
      </c>
      <c r="J737" t="n">
        <v>0</v>
      </c>
      <c r="K737" t="n">
        <v>0</v>
      </c>
      <c r="L737" t="n">
        <v>0</v>
      </c>
      <c r="M737" t="n">
        <v>0</v>
      </c>
      <c r="N737" t="n">
        <v>0</v>
      </c>
      <c r="O737" t="n">
        <v>0</v>
      </c>
      <c r="P737" t="n">
        <v>0</v>
      </c>
      <c r="Q737" t="n">
        <v>0</v>
      </c>
      <c r="R737" s="2" t="inlineStr"/>
    </row>
    <row r="738" ht="15" customHeight="1">
      <c r="A738" t="inlineStr">
        <is>
          <t>A 31277-2025</t>
        </is>
      </c>
      <c r="B738" s="1" t="n">
        <v>45833.34490740741</v>
      </c>
      <c r="C738" s="1" t="n">
        <v>46082</v>
      </c>
      <c r="D738" t="inlineStr">
        <is>
          <t>JÄMTLANDS LÄN</t>
        </is>
      </c>
      <c r="E738" t="inlineStr">
        <is>
          <t>KROKOM</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51470-2025</t>
        </is>
      </c>
      <c r="B739" s="1" t="n">
        <v>45950.61659722222</v>
      </c>
      <c r="C739" s="1" t="n">
        <v>46082</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51471-2025</t>
        </is>
      </c>
      <c r="B740" s="1" t="n">
        <v>45950.61703703704</v>
      </c>
      <c r="C740" s="1" t="n">
        <v>46082</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51472-2025</t>
        </is>
      </c>
      <c r="B741" s="1" t="n">
        <v>45950.61744212963</v>
      </c>
      <c r="C741" s="1" t="n">
        <v>46082</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37615-2025</t>
        </is>
      </c>
      <c r="B742" s="1" t="n">
        <v>45880</v>
      </c>
      <c r="C742" s="1" t="n">
        <v>46082</v>
      </c>
      <c r="D742" t="inlineStr">
        <is>
          <t>JÄMTLANDS LÄN</t>
        </is>
      </c>
      <c r="E742" t="inlineStr">
        <is>
          <t>KROKOM</t>
        </is>
      </c>
      <c r="G742" t="n">
        <v>33.6</v>
      </c>
      <c r="H742" t="n">
        <v>0</v>
      </c>
      <c r="I742" t="n">
        <v>0</v>
      </c>
      <c r="J742" t="n">
        <v>0</v>
      </c>
      <c r="K742" t="n">
        <v>0</v>
      </c>
      <c r="L742" t="n">
        <v>0</v>
      </c>
      <c r="M742" t="n">
        <v>0</v>
      </c>
      <c r="N742" t="n">
        <v>0</v>
      </c>
      <c r="O742" t="n">
        <v>0</v>
      </c>
      <c r="P742" t="n">
        <v>0</v>
      </c>
      <c r="Q742" t="n">
        <v>0</v>
      </c>
      <c r="R742" s="2" t="inlineStr"/>
    </row>
    <row r="743" ht="15" customHeight="1">
      <c r="A743" t="inlineStr">
        <is>
          <t>A 30175-2025</t>
        </is>
      </c>
      <c r="B743" s="1" t="n">
        <v>45827.34488425926</v>
      </c>
      <c r="C743" s="1" t="n">
        <v>46082</v>
      </c>
      <c r="D743" t="inlineStr">
        <is>
          <t>JÄMTLANDS LÄN</t>
        </is>
      </c>
      <c r="E743" t="inlineStr">
        <is>
          <t>KROKOM</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50990-2025</t>
        </is>
      </c>
      <c r="B744" s="1" t="n">
        <v>45947.34591435185</v>
      </c>
      <c r="C744" s="1" t="n">
        <v>46082</v>
      </c>
      <c r="D744" t="inlineStr">
        <is>
          <t>JÄMTLANDS LÄN</t>
        </is>
      </c>
      <c r="E744" t="inlineStr">
        <is>
          <t>KROKOM</t>
        </is>
      </c>
      <c r="G744" t="n">
        <v>5.3</v>
      </c>
      <c r="H744" t="n">
        <v>0</v>
      </c>
      <c r="I744" t="n">
        <v>0</v>
      </c>
      <c r="J744" t="n">
        <v>0</v>
      </c>
      <c r="K744" t="n">
        <v>0</v>
      </c>
      <c r="L744" t="n">
        <v>0</v>
      </c>
      <c r="M744" t="n">
        <v>0</v>
      </c>
      <c r="N744" t="n">
        <v>0</v>
      </c>
      <c r="O744" t="n">
        <v>0</v>
      </c>
      <c r="P744" t="n">
        <v>0</v>
      </c>
      <c r="Q744" t="n">
        <v>0</v>
      </c>
      <c r="R744" s="2" t="inlineStr"/>
    </row>
    <row r="745" ht="15" customHeight="1">
      <c r="A745" t="inlineStr">
        <is>
          <t>A 20735-2023</t>
        </is>
      </c>
      <c r="B745" s="1" t="n">
        <v>45055</v>
      </c>
      <c r="C745" s="1" t="n">
        <v>46082</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61767-2024</t>
        </is>
      </c>
      <c r="B746" s="1" t="n">
        <v>45649.45143518518</v>
      </c>
      <c r="C746" s="1" t="n">
        <v>46082</v>
      </c>
      <c r="D746" t="inlineStr">
        <is>
          <t>JÄMTLANDS LÄN</t>
        </is>
      </c>
      <c r="E746" t="inlineStr">
        <is>
          <t>KROKOM</t>
        </is>
      </c>
      <c r="G746" t="n">
        <v>3.1</v>
      </c>
      <c r="H746" t="n">
        <v>0</v>
      </c>
      <c r="I746" t="n">
        <v>0</v>
      </c>
      <c r="J746" t="n">
        <v>0</v>
      </c>
      <c r="K746" t="n">
        <v>0</v>
      </c>
      <c r="L746" t="n">
        <v>0</v>
      </c>
      <c r="M746" t="n">
        <v>0</v>
      </c>
      <c r="N746" t="n">
        <v>0</v>
      </c>
      <c r="O746" t="n">
        <v>0</v>
      </c>
      <c r="P746" t="n">
        <v>0</v>
      </c>
      <c r="Q746" t="n">
        <v>0</v>
      </c>
      <c r="R746" s="2" t="inlineStr"/>
    </row>
    <row r="747" ht="15" customHeight="1">
      <c r="A747" t="inlineStr">
        <is>
          <t>A 1473-2025</t>
        </is>
      </c>
      <c r="B747" s="1" t="n">
        <v>45670</v>
      </c>
      <c r="C747" s="1" t="n">
        <v>46082</v>
      </c>
      <c r="D747" t="inlineStr">
        <is>
          <t>JÄMTLANDS LÄN</t>
        </is>
      </c>
      <c r="E747" t="inlineStr">
        <is>
          <t>KROKOM</t>
        </is>
      </c>
      <c r="G747" t="n">
        <v>7.6</v>
      </c>
      <c r="H747" t="n">
        <v>0</v>
      </c>
      <c r="I747" t="n">
        <v>0</v>
      </c>
      <c r="J747" t="n">
        <v>0</v>
      </c>
      <c r="K747" t="n">
        <v>0</v>
      </c>
      <c r="L747" t="n">
        <v>0</v>
      </c>
      <c r="M747" t="n">
        <v>0</v>
      </c>
      <c r="N747" t="n">
        <v>0</v>
      </c>
      <c r="O747" t="n">
        <v>0</v>
      </c>
      <c r="P747" t="n">
        <v>0</v>
      </c>
      <c r="Q747" t="n">
        <v>0</v>
      </c>
      <c r="R747" s="2" t="inlineStr"/>
    </row>
    <row r="748" ht="15" customHeight="1">
      <c r="A748" t="inlineStr">
        <is>
          <t>A 2480-2025</t>
        </is>
      </c>
      <c r="B748" s="1" t="n">
        <v>45674</v>
      </c>
      <c r="C748" s="1" t="n">
        <v>46082</v>
      </c>
      <c r="D748" t="inlineStr">
        <is>
          <t>JÄMTLANDS LÄN</t>
        </is>
      </c>
      <c r="E748" t="inlineStr">
        <is>
          <t>KROKOM</t>
        </is>
      </c>
      <c r="G748" t="n">
        <v>4</v>
      </c>
      <c r="H748" t="n">
        <v>0</v>
      </c>
      <c r="I748" t="n">
        <v>0</v>
      </c>
      <c r="J748" t="n">
        <v>0</v>
      </c>
      <c r="K748" t="n">
        <v>0</v>
      </c>
      <c r="L748" t="n">
        <v>0</v>
      </c>
      <c r="M748" t="n">
        <v>0</v>
      </c>
      <c r="N748" t="n">
        <v>0</v>
      </c>
      <c r="O748" t="n">
        <v>0</v>
      </c>
      <c r="P748" t="n">
        <v>0</v>
      </c>
      <c r="Q748" t="n">
        <v>0</v>
      </c>
      <c r="R748" s="2" t="inlineStr"/>
    </row>
    <row r="749" ht="15" customHeight="1">
      <c r="A749" t="inlineStr">
        <is>
          <t>A 51735-2025</t>
        </is>
      </c>
      <c r="B749" s="1" t="n">
        <v>45951.59516203704</v>
      </c>
      <c r="C749" s="1" t="n">
        <v>46082</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23214-2024</t>
        </is>
      </c>
      <c r="B750" s="1" t="n">
        <v>45452.55271990741</v>
      </c>
      <c r="C750" s="1" t="n">
        <v>46082</v>
      </c>
      <c r="D750" t="inlineStr">
        <is>
          <t>JÄMTLANDS LÄN</t>
        </is>
      </c>
      <c r="E750" t="inlineStr">
        <is>
          <t>KROKOM</t>
        </is>
      </c>
      <c r="F750" t="inlineStr">
        <is>
          <t>Övriga Aktiebolag</t>
        </is>
      </c>
      <c r="G750" t="n">
        <v>0.4</v>
      </c>
      <c r="H750" t="n">
        <v>0</v>
      </c>
      <c r="I750" t="n">
        <v>0</v>
      </c>
      <c r="J750" t="n">
        <v>0</v>
      </c>
      <c r="K750" t="n">
        <v>0</v>
      </c>
      <c r="L750" t="n">
        <v>0</v>
      </c>
      <c r="M750" t="n">
        <v>0</v>
      </c>
      <c r="N750" t="n">
        <v>0</v>
      </c>
      <c r="O750" t="n">
        <v>0</v>
      </c>
      <c r="P750" t="n">
        <v>0</v>
      </c>
      <c r="Q750" t="n">
        <v>0</v>
      </c>
      <c r="R750" s="2" t="inlineStr"/>
    </row>
    <row r="751" ht="15" customHeight="1">
      <c r="A751" t="inlineStr">
        <is>
          <t>A 52014-2025</t>
        </is>
      </c>
      <c r="B751" s="1" t="n">
        <v>45952</v>
      </c>
      <c r="C751" s="1" t="n">
        <v>46082</v>
      </c>
      <c r="D751" t="inlineStr">
        <is>
          <t>JÄMTLANDS LÄN</t>
        </is>
      </c>
      <c r="E751" t="inlineStr">
        <is>
          <t>KROKOM</t>
        </is>
      </c>
      <c r="G751" t="n">
        <v>39</v>
      </c>
      <c r="H751" t="n">
        <v>0</v>
      </c>
      <c r="I751" t="n">
        <v>0</v>
      </c>
      <c r="J751" t="n">
        <v>0</v>
      </c>
      <c r="K751" t="n">
        <v>0</v>
      </c>
      <c r="L751" t="n">
        <v>0</v>
      </c>
      <c r="M751" t="n">
        <v>0</v>
      </c>
      <c r="N751" t="n">
        <v>0</v>
      </c>
      <c r="O751" t="n">
        <v>0</v>
      </c>
      <c r="P751" t="n">
        <v>0</v>
      </c>
      <c r="Q751" t="n">
        <v>0</v>
      </c>
      <c r="R751" s="2" t="inlineStr"/>
    </row>
    <row r="752" ht="15" customHeight="1">
      <c r="A752" t="inlineStr">
        <is>
          <t>A 8167-2025</t>
        </is>
      </c>
      <c r="B752" s="1" t="n">
        <v>45708</v>
      </c>
      <c r="C752" s="1" t="n">
        <v>46082</v>
      </c>
      <c r="D752" t="inlineStr">
        <is>
          <t>JÄMTLANDS LÄN</t>
        </is>
      </c>
      <c r="E752" t="inlineStr">
        <is>
          <t>KROKOM</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52032-2025</t>
        </is>
      </c>
      <c r="B753" s="1" t="n">
        <v>45952.61193287037</v>
      </c>
      <c r="C753" s="1" t="n">
        <v>46082</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50177-2021</t>
        </is>
      </c>
      <c r="B754" s="1" t="n">
        <v>44456</v>
      </c>
      <c r="C754" s="1" t="n">
        <v>46082</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7079-2025</t>
        </is>
      </c>
      <c r="B755" s="1" t="n">
        <v>45701</v>
      </c>
      <c r="C755" s="1" t="n">
        <v>46082</v>
      </c>
      <c r="D755" t="inlineStr">
        <is>
          <t>JÄMTLANDS LÄN</t>
        </is>
      </c>
      <c r="E755" t="inlineStr">
        <is>
          <t>KROKOM</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8168-2025</t>
        </is>
      </c>
      <c r="B756" s="1" t="n">
        <v>45708</v>
      </c>
      <c r="C756" s="1" t="n">
        <v>46082</v>
      </c>
      <c r="D756" t="inlineStr">
        <is>
          <t>JÄMTLANDS LÄN</t>
        </is>
      </c>
      <c r="E756" t="inlineStr">
        <is>
          <t>KROKOM</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15209-2025</t>
        </is>
      </c>
      <c r="B757" s="1" t="n">
        <v>45744</v>
      </c>
      <c r="C757" s="1" t="n">
        <v>46082</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57459-2024</t>
        </is>
      </c>
      <c r="B758" s="1" t="n">
        <v>45630</v>
      </c>
      <c r="C758" s="1" t="n">
        <v>46082</v>
      </c>
      <c r="D758" t="inlineStr">
        <is>
          <t>JÄMTLANDS LÄN</t>
        </is>
      </c>
      <c r="E758" t="inlineStr">
        <is>
          <t>KROKOM</t>
        </is>
      </c>
      <c r="G758" t="n">
        <v>19.2</v>
      </c>
      <c r="H758" t="n">
        <v>0</v>
      </c>
      <c r="I758" t="n">
        <v>0</v>
      </c>
      <c r="J758" t="n">
        <v>0</v>
      </c>
      <c r="K758" t="n">
        <v>0</v>
      </c>
      <c r="L758" t="n">
        <v>0</v>
      </c>
      <c r="M758" t="n">
        <v>0</v>
      </c>
      <c r="N758" t="n">
        <v>0</v>
      </c>
      <c r="O758" t="n">
        <v>0</v>
      </c>
      <c r="P758" t="n">
        <v>0</v>
      </c>
      <c r="Q758" t="n">
        <v>0</v>
      </c>
      <c r="R758" s="2" t="inlineStr"/>
    </row>
    <row r="759" ht="15" customHeight="1">
      <c r="A759" t="inlineStr">
        <is>
          <t>A 26207-2024</t>
        </is>
      </c>
      <c r="B759" s="1" t="n">
        <v>45467</v>
      </c>
      <c r="C759" s="1" t="n">
        <v>46082</v>
      </c>
      <c r="D759" t="inlineStr">
        <is>
          <t>JÄMTLANDS LÄN</t>
        </is>
      </c>
      <c r="E759" t="inlineStr">
        <is>
          <t>KROKOM</t>
        </is>
      </c>
      <c r="G759" t="n">
        <v>14.4</v>
      </c>
      <c r="H759" t="n">
        <v>0</v>
      </c>
      <c r="I759" t="n">
        <v>0</v>
      </c>
      <c r="J759" t="n">
        <v>0</v>
      </c>
      <c r="K759" t="n">
        <v>0</v>
      </c>
      <c r="L759" t="n">
        <v>0</v>
      </c>
      <c r="M759" t="n">
        <v>0</v>
      </c>
      <c r="N759" t="n">
        <v>0</v>
      </c>
      <c r="O759" t="n">
        <v>0</v>
      </c>
      <c r="P759" t="n">
        <v>0</v>
      </c>
      <c r="Q759" t="n">
        <v>0</v>
      </c>
      <c r="R759" s="2" t="inlineStr"/>
    </row>
    <row r="760" ht="15" customHeight="1">
      <c r="A760" t="inlineStr">
        <is>
          <t>A 52528-2025</t>
        </is>
      </c>
      <c r="B760" s="1" t="n">
        <v>45954.53189814815</v>
      </c>
      <c r="C760" s="1" t="n">
        <v>46082</v>
      </c>
      <c r="D760" t="inlineStr">
        <is>
          <t>JÄMTLANDS LÄN</t>
        </is>
      </c>
      <c r="E760" t="inlineStr">
        <is>
          <t>KROKOM</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16548-2025</t>
        </is>
      </c>
      <c r="B761" s="1" t="n">
        <v>45751.6877662037</v>
      </c>
      <c r="C761" s="1" t="n">
        <v>46082</v>
      </c>
      <c r="D761" t="inlineStr">
        <is>
          <t>JÄMTLANDS LÄN</t>
        </is>
      </c>
      <c r="E761" t="inlineStr">
        <is>
          <t>KROKOM</t>
        </is>
      </c>
      <c r="F761" t="inlineStr">
        <is>
          <t>Övriga Aktiebolag</t>
        </is>
      </c>
      <c r="G761" t="n">
        <v>10.9</v>
      </c>
      <c r="H761" t="n">
        <v>0</v>
      </c>
      <c r="I761" t="n">
        <v>0</v>
      </c>
      <c r="J761" t="n">
        <v>0</v>
      </c>
      <c r="K761" t="n">
        <v>0</v>
      </c>
      <c r="L761" t="n">
        <v>0</v>
      </c>
      <c r="M761" t="n">
        <v>0</v>
      </c>
      <c r="N761" t="n">
        <v>0</v>
      </c>
      <c r="O761" t="n">
        <v>0</v>
      </c>
      <c r="P761" t="n">
        <v>0</v>
      </c>
      <c r="Q761" t="n">
        <v>0</v>
      </c>
      <c r="R761" s="2" t="inlineStr"/>
    </row>
    <row r="762" ht="15" customHeight="1">
      <c r="A762" t="inlineStr">
        <is>
          <t>A 16278-2025</t>
        </is>
      </c>
      <c r="B762" s="1" t="n">
        <v>45751.28243055556</v>
      </c>
      <c r="C762" s="1" t="n">
        <v>46082</v>
      </c>
      <c r="D762" t="inlineStr">
        <is>
          <t>JÄMTLANDS LÄN</t>
        </is>
      </c>
      <c r="E762" t="inlineStr">
        <is>
          <t>KROKOM</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52315-2025</t>
        </is>
      </c>
      <c r="B763" s="1" t="n">
        <v>45953.65322916667</v>
      </c>
      <c r="C763" s="1" t="n">
        <v>46082</v>
      </c>
      <c r="D763" t="inlineStr">
        <is>
          <t>JÄMTLANDS LÄN</t>
        </is>
      </c>
      <c r="E763" t="inlineStr">
        <is>
          <t>KROKOM</t>
        </is>
      </c>
      <c r="G763" t="n">
        <v>6.6</v>
      </c>
      <c r="H763" t="n">
        <v>0</v>
      </c>
      <c r="I763" t="n">
        <v>0</v>
      </c>
      <c r="J763" t="n">
        <v>0</v>
      </c>
      <c r="K763" t="n">
        <v>0</v>
      </c>
      <c r="L763" t="n">
        <v>0</v>
      </c>
      <c r="M763" t="n">
        <v>0</v>
      </c>
      <c r="N763" t="n">
        <v>0</v>
      </c>
      <c r="O763" t="n">
        <v>0</v>
      </c>
      <c r="P763" t="n">
        <v>0</v>
      </c>
      <c r="Q763" t="n">
        <v>0</v>
      </c>
      <c r="R763" s="2" t="inlineStr"/>
    </row>
    <row r="764" ht="15" customHeight="1">
      <c r="A764" t="inlineStr">
        <is>
          <t>A 52302-2025</t>
        </is>
      </c>
      <c r="B764" s="1" t="n">
        <v>45953.62150462963</v>
      </c>
      <c r="C764" s="1" t="n">
        <v>46082</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52304-2025</t>
        </is>
      </c>
      <c r="B765" s="1" t="n">
        <v>45953.62553240741</v>
      </c>
      <c r="C765" s="1" t="n">
        <v>46082</v>
      </c>
      <c r="D765" t="inlineStr">
        <is>
          <t>JÄMTLANDS LÄN</t>
        </is>
      </c>
      <c r="E765" t="inlineStr">
        <is>
          <t>KROKOM</t>
        </is>
      </c>
      <c r="G765" t="n">
        <v>3.4</v>
      </c>
      <c r="H765" t="n">
        <v>0</v>
      </c>
      <c r="I765" t="n">
        <v>0</v>
      </c>
      <c r="J765" t="n">
        <v>0</v>
      </c>
      <c r="K765" t="n">
        <v>0</v>
      </c>
      <c r="L765" t="n">
        <v>0</v>
      </c>
      <c r="M765" t="n">
        <v>0</v>
      </c>
      <c r="N765" t="n">
        <v>0</v>
      </c>
      <c r="O765" t="n">
        <v>0</v>
      </c>
      <c r="P765" t="n">
        <v>0</v>
      </c>
      <c r="Q765" t="n">
        <v>0</v>
      </c>
      <c r="R765" s="2" t="inlineStr"/>
    </row>
    <row r="766" ht="15" customHeight="1">
      <c r="A766" t="inlineStr">
        <is>
          <t>A 12188-2024</t>
        </is>
      </c>
      <c r="B766" s="1" t="n">
        <v>45377</v>
      </c>
      <c r="C766" s="1" t="n">
        <v>46082</v>
      </c>
      <c r="D766" t="inlineStr">
        <is>
          <t>JÄMTLANDS LÄN</t>
        </is>
      </c>
      <c r="E766" t="inlineStr">
        <is>
          <t>KROKOM</t>
        </is>
      </c>
      <c r="G766" t="n">
        <v>7.9</v>
      </c>
      <c r="H766" t="n">
        <v>0</v>
      </c>
      <c r="I766" t="n">
        <v>0</v>
      </c>
      <c r="J766" t="n">
        <v>0</v>
      </c>
      <c r="K766" t="n">
        <v>0</v>
      </c>
      <c r="L766" t="n">
        <v>0</v>
      </c>
      <c r="M766" t="n">
        <v>0</v>
      </c>
      <c r="N766" t="n">
        <v>0</v>
      </c>
      <c r="O766" t="n">
        <v>0</v>
      </c>
      <c r="P766" t="n">
        <v>0</v>
      </c>
      <c r="Q766" t="n">
        <v>0</v>
      </c>
      <c r="R766" s="2" t="inlineStr"/>
    </row>
    <row r="767" ht="15" customHeight="1">
      <c r="A767" t="inlineStr">
        <is>
          <t>A 52431-2025</t>
        </is>
      </c>
      <c r="B767" s="1" t="n">
        <v>45954.38606481482</v>
      </c>
      <c r="C767" s="1" t="n">
        <v>46082</v>
      </c>
      <c r="D767" t="inlineStr">
        <is>
          <t>JÄMTLANDS LÄN</t>
        </is>
      </c>
      <c r="E767" t="inlineStr">
        <is>
          <t>KROKOM</t>
        </is>
      </c>
      <c r="G767" t="n">
        <v>7.8</v>
      </c>
      <c r="H767" t="n">
        <v>0</v>
      </c>
      <c r="I767" t="n">
        <v>0</v>
      </c>
      <c r="J767" t="n">
        <v>0</v>
      </c>
      <c r="K767" t="n">
        <v>0</v>
      </c>
      <c r="L767" t="n">
        <v>0</v>
      </c>
      <c r="M767" t="n">
        <v>0</v>
      </c>
      <c r="N767" t="n">
        <v>0</v>
      </c>
      <c r="O767" t="n">
        <v>0</v>
      </c>
      <c r="P767" t="n">
        <v>0</v>
      </c>
      <c r="Q767" t="n">
        <v>0</v>
      </c>
      <c r="R767" s="2" t="inlineStr"/>
    </row>
    <row r="768" ht="15" customHeight="1">
      <c r="A768" t="inlineStr">
        <is>
          <t>A 41497-2024</t>
        </is>
      </c>
      <c r="B768" s="1" t="n">
        <v>45560.45841435185</v>
      </c>
      <c r="C768" s="1" t="n">
        <v>46082</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60680-2023</t>
        </is>
      </c>
      <c r="B769" s="1" t="n">
        <v>45260</v>
      </c>
      <c r="C769" s="1" t="n">
        <v>46082</v>
      </c>
      <c r="D769" t="inlineStr">
        <is>
          <t>JÄMTLANDS LÄN</t>
        </is>
      </c>
      <c r="E769" t="inlineStr">
        <is>
          <t>KROKOM</t>
        </is>
      </c>
      <c r="G769" t="n">
        <v>1</v>
      </c>
      <c r="H769" t="n">
        <v>0</v>
      </c>
      <c r="I769" t="n">
        <v>0</v>
      </c>
      <c r="J769" t="n">
        <v>0</v>
      </c>
      <c r="K769" t="n">
        <v>0</v>
      </c>
      <c r="L769" t="n">
        <v>0</v>
      </c>
      <c r="M769" t="n">
        <v>0</v>
      </c>
      <c r="N769" t="n">
        <v>0</v>
      </c>
      <c r="O769" t="n">
        <v>0</v>
      </c>
      <c r="P769" t="n">
        <v>0</v>
      </c>
      <c r="Q769" t="n">
        <v>0</v>
      </c>
      <c r="R769" s="2" t="inlineStr"/>
    </row>
    <row r="770" ht="15" customHeight="1">
      <c r="A770" t="inlineStr">
        <is>
          <t>A 52527-2025</t>
        </is>
      </c>
      <c r="B770" s="1" t="n">
        <v>45954.53168981482</v>
      </c>
      <c r="C770" s="1" t="n">
        <v>46082</v>
      </c>
      <c r="D770" t="inlineStr">
        <is>
          <t>JÄMTLANDS LÄN</t>
        </is>
      </c>
      <c r="E770" t="inlineStr">
        <is>
          <t>KROKOM</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71572-2021</t>
        </is>
      </c>
      <c r="B771" s="1" t="n">
        <v>44540</v>
      </c>
      <c r="C771" s="1" t="n">
        <v>46082</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52300-2025</t>
        </is>
      </c>
      <c r="B772" s="1" t="n">
        <v>45953.61458333334</v>
      </c>
      <c r="C772" s="1" t="n">
        <v>46082</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52619-2025</t>
        </is>
      </c>
      <c r="B773" s="1" t="n">
        <v>45954.68111111111</v>
      </c>
      <c r="C773" s="1" t="n">
        <v>46082</v>
      </c>
      <c r="D773" t="inlineStr">
        <is>
          <t>JÄMTLANDS LÄN</t>
        </is>
      </c>
      <c r="E773" t="inlineStr">
        <is>
          <t>KROKOM</t>
        </is>
      </c>
      <c r="G773" t="n">
        <v>11.8</v>
      </c>
      <c r="H773" t="n">
        <v>0</v>
      </c>
      <c r="I773" t="n">
        <v>0</v>
      </c>
      <c r="J773" t="n">
        <v>0</v>
      </c>
      <c r="K773" t="n">
        <v>0</v>
      </c>
      <c r="L773" t="n">
        <v>0</v>
      </c>
      <c r="M773" t="n">
        <v>0</v>
      </c>
      <c r="N773" t="n">
        <v>0</v>
      </c>
      <c r="O773" t="n">
        <v>0</v>
      </c>
      <c r="P773" t="n">
        <v>0</v>
      </c>
      <c r="Q773" t="n">
        <v>0</v>
      </c>
      <c r="R773" s="2" t="inlineStr"/>
    </row>
    <row r="774" ht="15" customHeight="1">
      <c r="A774" t="inlineStr">
        <is>
          <t>A 4369-2025</t>
        </is>
      </c>
      <c r="B774" s="1" t="n">
        <v>45686.35247685185</v>
      </c>
      <c r="C774" s="1" t="n">
        <v>46082</v>
      </c>
      <c r="D774" t="inlineStr">
        <is>
          <t>JÄMTLANDS LÄN</t>
        </is>
      </c>
      <c r="E774" t="inlineStr">
        <is>
          <t>KROKOM</t>
        </is>
      </c>
      <c r="F774" t="inlineStr">
        <is>
          <t>SCA</t>
        </is>
      </c>
      <c r="G774" t="n">
        <v>45.4</v>
      </c>
      <c r="H774" t="n">
        <v>0</v>
      </c>
      <c r="I774" t="n">
        <v>0</v>
      </c>
      <c r="J774" t="n">
        <v>0</v>
      </c>
      <c r="K774" t="n">
        <v>0</v>
      </c>
      <c r="L774" t="n">
        <v>0</v>
      </c>
      <c r="M774" t="n">
        <v>0</v>
      </c>
      <c r="N774" t="n">
        <v>0</v>
      </c>
      <c r="O774" t="n">
        <v>0</v>
      </c>
      <c r="P774" t="n">
        <v>0</v>
      </c>
      <c r="Q774" t="n">
        <v>0</v>
      </c>
      <c r="R774" s="2" t="inlineStr"/>
    </row>
    <row r="775" ht="15" customHeight="1">
      <c r="A775" t="inlineStr">
        <is>
          <t>A 61244-2025</t>
        </is>
      </c>
      <c r="B775" s="1" t="n">
        <v>46000.65929398148</v>
      </c>
      <c r="C775" s="1" t="n">
        <v>46082</v>
      </c>
      <c r="D775" t="inlineStr">
        <is>
          <t>JÄMTLANDS LÄN</t>
        </is>
      </c>
      <c r="E775" t="inlineStr">
        <is>
          <t>KROKOM</t>
        </is>
      </c>
      <c r="G775" t="n">
        <v>0.7</v>
      </c>
      <c r="H775" t="n">
        <v>0</v>
      </c>
      <c r="I775" t="n">
        <v>0</v>
      </c>
      <c r="J775" t="n">
        <v>0</v>
      </c>
      <c r="K775" t="n">
        <v>0</v>
      </c>
      <c r="L775" t="n">
        <v>0</v>
      </c>
      <c r="M775" t="n">
        <v>0</v>
      </c>
      <c r="N775" t="n">
        <v>0</v>
      </c>
      <c r="O775" t="n">
        <v>0</v>
      </c>
      <c r="P775" t="n">
        <v>0</v>
      </c>
      <c r="Q775" t="n">
        <v>0</v>
      </c>
      <c r="R775" s="2" t="inlineStr"/>
    </row>
    <row r="776" ht="15" customHeight="1">
      <c r="A776" t="inlineStr">
        <is>
          <t>A 18826-2023</t>
        </is>
      </c>
      <c r="B776" s="1" t="n">
        <v>45042</v>
      </c>
      <c r="C776" s="1" t="n">
        <v>46082</v>
      </c>
      <c r="D776" t="inlineStr">
        <is>
          <t>JÄMTLANDS LÄN</t>
        </is>
      </c>
      <c r="E776" t="inlineStr">
        <is>
          <t>KROKOM</t>
        </is>
      </c>
      <c r="G776" t="n">
        <v>17.1</v>
      </c>
      <c r="H776" t="n">
        <v>0</v>
      </c>
      <c r="I776" t="n">
        <v>0</v>
      </c>
      <c r="J776" t="n">
        <v>0</v>
      </c>
      <c r="K776" t="n">
        <v>0</v>
      </c>
      <c r="L776" t="n">
        <v>0</v>
      </c>
      <c r="M776" t="n">
        <v>0</v>
      </c>
      <c r="N776" t="n">
        <v>0</v>
      </c>
      <c r="O776" t="n">
        <v>0</v>
      </c>
      <c r="P776" t="n">
        <v>0</v>
      </c>
      <c r="Q776" t="n">
        <v>0</v>
      </c>
      <c r="R776" s="2" t="inlineStr"/>
    </row>
    <row r="777" ht="15" customHeight="1">
      <c r="A777" t="inlineStr">
        <is>
          <t>A 59668-2023</t>
        </is>
      </c>
      <c r="B777" s="1" t="n">
        <v>45254</v>
      </c>
      <c r="C777" s="1" t="n">
        <v>46082</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53227-2025</t>
        </is>
      </c>
      <c r="B778" s="1" t="n">
        <v>45958.61497685185</v>
      </c>
      <c r="C778" s="1" t="n">
        <v>46082</v>
      </c>
      <c r="D778" t="inlineStr">
        <is>
          <t>JÄMTLANDS LÄN</t>
        </is>
      </c>
      <c r="E778" t="inlineStr">
        <is>
          <t>KROKOM</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49643-2025</t>
        </is>
      </c>
      <c r="B779" s="1" t="n">
        <v>45939</v>
      </c>
      <c r="C779" s="1" t="n">
        <v>46082</v>
      </c>
      <c r="D779" t="inlineStr">
        <is>
          <t>JÄMTLANDS LÄN</t>
        </is>
      </c>
      <c r="E779" t="inlineStr">
        <is>
          <t>KROKOM</t>
        </is>
      </c>
      <c r="G779" t="n">
        <v>3</v>
      </c>
      <c r="H779" t="n">
        <v>0</v>
      </c>
      <c r="I779" t="n">
        <v>0</v>
      </c>
      <c r="J779" t="n">
        <v>0</v>
      </c>
      <c r="K779" t="n">
        <v>0</v>
      </c>
      <c r="L779" t="n">
        <v>0</v>
      </c>
      <c r="M779" t="n">
        <v>0</v>
      </c>
      <c r="N779" t="n">
        <v>0</v>
      </c>
      <c r="O779" t="n">
        <v>0</v>
      </c>
      <c r="P779" t="n">
        <v>0</v>
      </c>
      <c r="Q779" t="n">
        <v>0</v>
      </c>
      <c r="R779" s="2" t="inlineStr"/>
    </row>
    <row r="780" ht="15" customHeight="1">
      <c r="A780" t="inlineStr">
        <is>
          <t>A 34502-2023</t>
        </is>
      </c>
      <c r="B780" s="1" t="n">
        <v>45133</v>
      </c>
      <c r="C780" s="1" t="n">
        <v>46082</v>
      </c>
      <c r="D780" t="inlineStr">
        <is>
          <t>JÄMTLANDS LÄN</t>
        </is>
      </c>
      <c r="E780" t="inlineStr">
        <is>
          <t>KROKOM</t>
        </is>
      </c>
      <c r="G780" t="n">
        <v>6.9</v>
      </c>
      <c r="H780" t="n">
        <v>0</v>
      </c>
      <c r="I780" t="n">
        <v>0</v>
      </c>
      <c r="J780" t="n">
        <v>0</v>
      </c>
      <c r="K780" t="n">
        <v>0</v>
      </c>
      <c r="L780" t="n">
        <v>0</v>
      </c>
      <c r="M780" t="n">
        <v>0</v>
      </c>
      <c r="N780" t="n">
        <v>0</v>
      </c>
      <c r="O780" t="n">
        <v>0</v>
      </c>
      <c r="P780" t="n">
        <v>0</v>
      </c>
      <c r="Q780" t="n">
        <v>0</v>
      </c>
      <c r="R780" s="2" t="inlineStr"/>
    </row>
    <row r="781" ht="15" customHeight="1">
      <c r="A781" t="inlineStr">
        <is>
          <t>A 71307-2021</t>
        </is>
      </c>
      <c r="B781" s="1" t="n">
        <v>44539</v>
      </c>
      <c r="C781" s="1" t="n">
        <v>46082</v>
      </c>
      <c r="D781" t="inlineStr">
        <is>
          <t>JÄMTLANDS LÄN</t>
        </is>
      </c>
      <c r="E781" t="inlineStr">
        <is>
          <t>KROKOM</t>
        </is>
      </c>
      <c r="G781" t="n">
        <v>21.5</v>
      </c>
      <c r="H781" t="n">
        <v>0</v>
      </c>
      <c r="I781" t="n">
        <v>0</v>
      </c>
      <c r="J781" t="n">
        <v>0</v>
      </c>
      <c r="K781" t="n">
        <v>0</v>
      </c>
      <c r="L781" t="n">
        <v>0</v>
      </c>
      <c r="M781" t="n">
        <v>0</v>
      </c>
      <c r="N781" t="n">
        <v>0</v>
      </c>
      <c r="O781" t="n">
        <v>0</v>
      </c>
      <c r="P781" t="n">
        <v>0</v>
      </c>
      <c r="Q781" t="n">
        <v>0</v>
      </c>
      <c r="R781" s="2" t="inlineStr"/>
    </row>
    <row r="782" ht="15" customHeight="1">
      <c r="A782" t="inlineStr">
        <is>
          <t>A 57239-2023</t>
        </is>
      </c>
      <c r="B782" s="1" t="n">
        <v>45245.5478125</v>
      </c>
      <c r="C782" s="1" t="n">
        <v>46082</v>
      </c>
      <c r="D782" t="inlineStr">
        <is>
          <t>JÄMTLANDS LÄN</t>
        </is>
      </c>
      <c r="E782" t="inlineStr">
        <is>
          <t>KROKOM</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11639-2024</t>
        </is>
      </c>
      <c r="B783" s="1" t="n">
        <v>45373</v>
      </c>
      <c r="C783" s="1" t="n">
        <v>46082</v>
      </c>
      <c r="D783" t="inlineStr">
        <is>
          <t>JÄMTLANDS LÄN</t>
        </is>
      </c>
      <c r="E783" t="inlineStr">
        <is>
          <t>KROKOM</t>
        </is>
      </c>
      <c r="G783" t="n">
        <v>22.2</v>
      </c>
      <c r="H783" t="n">
        <v>0</v>
      </c>
      <c r="I783" t="n">
        <v>0</v>
      </c>
      <c r="J783" t="n">
        <v>0</v>
      </c>
      <c r="K783" t="n">
        <v>0</v>
      </c>
      <c r="L783" t="n">
        <v>0</v>
      </c>
      <c r="M783" t="n">
        <v>0</v>
      </c>
      <c r="N783" t="n">
        <v>0</v>
      </c>
      <c r="O783" t="n">
        <v>0</v>
      </c>
      <c r="P783" t="n">
        <v>0</v>
      </c>
      <c r="Q783" t="n">
        <v>0</v>
      </c>
      <c r="R783" s="2" t="inlineStr"/>
    </row>
    <row r="784" ht="15" customHeight="1">
      <c r="A784" t="inlineStr">
        <is>
          <t>A 53699-2025</t>
        </is>
      </c>
      <c r="B784" s="1" t="n">
        <v>45960.59421296296</v>
      </c>
      <c r="C784" s="1" t="n">
        <v>46082</v>
      </c>
      <c r="D784" t="inlineStr">
        <is>
          <t>JÄMTLANDS LÄN</t>
        </is>
      </c>
      <c r="E784" t="inlineStr">
        <is>
          <t>KROKOM</t>
        </is>
      </c>
      <c r="G784" t="n">
        <v>2.7</v>
      </c>
      <c r="H784" t="n">
        <v>0</v>
      </c>
      <c r="I784" t="n">
        <v>0</v>
      </c>
      <c r="J784" t="n">
        <v>0</v>
      </c>
      <c r="K784" t="n">
        <v>0</v>
      </c>
      <c r="L784" t="n">
        <v>0</v>
      </c>
      <c r="M784" t="n">
        <v>0</v>
      </c>
      <c r="N784" t="n">
        <v>0</v>
      </c>
      <c r="O784" t="n">
        <v>0</v>
      </c>
      <c r="P784" t="n">
        <v>0</v>
      </c>
      <c r="Q784" t="n">
        <v>0</v>
      </c>
      <c r="R784" s="2" t="inlineStr"/>
    </row>
    <row r="785" ht="15" customHeight="1">
      <c r="A785" t="inlineStr">
        <is>
          <t>A 42828-2023</t>
        </is>
      </c>
      <c r="B785" s="1" t="n">
        <v>45182</v>
      </c>
      <c r="C785" s="1" t="n">
        <v>46082</v>
      </c>
      <c r="D785" t="inlineStr">
        <is>
          <t>JÄMTLANDS LÄN</t>
        </is>
      </c>
      <c r="E785" t="inlineStr">
        <is>
          <t>KROKOM</t>
        </is>
      </c>
      <c r="G785" t="n">
        <v>0.2</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46082</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54740-2025</t>
        </is>
      </c>
      <c r="B787" s="1" t="n">
        <v>45966.57206018519</v>
      </c>
      <c r="C787" s="1" t="n">
        <v>46082</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54806-2025</t>
        </is>
      </c>
      <c r="B788" s="1" t="n">
        <v>45966.6437037037</v>
      </c>
      <c r="C788" s="1" t="n">
        <v>46082</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9132-2023</t>
        </is>
      </c>
      <c r="B789" s="1" t="n">
        <v>44974</v>
      </c>
      <c r="C789" s="1" t="n">
        <v>46082</v>
      </c>
      <c r="D789" t="inlineStr">
        <is>
          <t>JÄMTLANDS LÄN</t>
        </is>
      </c>
      <c r="E789" t="inlineStr">
        <is>
          <t>KROKOM</t>
        </is>
      </c>
      <c r="F789" t="inlineStr">
        <is>
          <t>SCA</t>
        </is>
      </c>
      <c r="G789" t="n">
        <v>22.7</v>
      </c>
      <c r="H789" t="n">
        <v>0</v>
      </c>
      <c r="I789" t="n">
        <v>0</v>
      </c>
      <c r="J789" t="n">
        <v>0</v>
      </c>
      <c r="K789" t="n">
        <v>0</v>
      </c>
      <c r="L789" t="n">
        <v>0</v>
      </c>
      <c r="M789" t="n">
        <v>0</v>
      </c>
      <c r="N789" t="n">
        <v>0</v>
      </c>
      <c r="O789" t="n">
        <v>0</v>
      </c>
      <c r="P789" t="n">
        <v>0</v>
      </c>
      <c r="Q789" t="n">
        <v>0</v>
      </c>
      <c r="R789" s="2" t="inlineStr"/>
    </row>
    <row r="790" ht="15" customHeight="1">
      <c r="A790" t="inlineStr">
        <is>
          <t>A 54714-2025</t>
        </is>
      </c>
      <c r="B790" s="1" t="n">
        <v>45966.50523148148</v>
      </c>
      <c r="C790" s="1" t="n">
        <v>46082</v>
      </c>
      <c r="D790" t="inlineStr">
        <is>
          <t>JÄMTLANDS LÄN</t>
        </is>
      </c>
      <c r="E790" t="inlineStr">
        <is>
          <t>KROKOM</t>
        </is>
      </c>
      <c r="G790" t="n">
        <v>0.9</v>
      </c>
      <c r="H790" t="n">
        <v>0</v>
      </c>
      <c r="I790" t="n">
        <v>0</v>
      </c>
      <c r="J790" t="n">
        <v>0</v>
      </c>
      <c r="K790" t="n">
        <v>0</v>
      </c>
      <c r="L790" t="n">
        <v>0</v>
      </c>
      <c r="M790" t="n">
        <v>0</v>
      </c>
      <c r="N790" t="n">
        <v>0</v>
      </c>
      <c r="O790" t="n">
        <v>0</v>
      </c>
      <c r="P790" t="n">
        <v>0</v>
      </c>
      <c r="Q790" t="n">
        <v>0</v>
      </c>
      <c r="R790" s="2" t="inlineStr"/>
    </row>
    <row r="791" ht="15" customHeight="1">
      <c r="A791" t="inlineStr">
        <is>
          <t>A 54639-2025</t>
        </is>
      </c>
      <c r="B791" s="1" t="n">
        <v>45966</v>
      </c>
      <c r="C791" s="1" t="n">
        <v>46082</v>
      </c>
      <c r="D791" t="inlineStr">
        <is>
          <t>JÄMTLANDS LÄN</t>
        </is>
      </c>
      <c r="E791" t="inlineStr">
        <is>
          <t>KROKOM</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54706-2025</t>
        </is>
      </c>
      <c r="B792" s="1" t="n">
        <v>45966.48873842593</v>
      </c>
      <c r="C792" s="1" t="n">
        <v>46082</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54787-2025</t>
        </is>
      </c>
      <c r="B793" s="1" t="n">
        <v>45966.62802083333</v>
      </c>
      <c r="C793" s="1" t="n">
        <v>46082</v>
      </c>
      <c r="D793" t="inlineStr">
        <is>
          <t>JÄMTLANDS LÄN</t>
        </is>
      </c>
      <c r="E793" t="inlineStr">
        <is>
          <t>KROKOM</t>
        </is>
      </c>
      <c r="G793" t="n">
        <v>8.9</v>
      </c>
      <c r="H793" t="n">
        <v>0</v>
      </c>
      <c r="I793" t="n">
        <v>0</v>
      </c>
      <c r="J793" t="n">
        <v>0</v>
      </c>
      <c r="K793" t="n">
        <v>0</v>
      </c>
      <c r="L793" t="n">
        <v>0</v>
      </c>
      <c r="M793" t="n">
        <v>0</v>
      </c>
      <c r="N793" t="n">
        <v>0</v>
      </c>
      <c r="O793" t="n">
        <v>0</v>
      </c>
      <c r="P793" t="n">
        <v>0</v>
      </c>
      <c r="Q793" t="n">
        <v>0</v>
      </c>
      <c r="R793" s="2" t="inlineStr"/>
    </row>
    <row r="794" ht="15" customHeight="1">
      <c r="A794" t="inlineStr">
        <is>
          <t>A 57304-2021</t>
        </is>
      </c>
      <c r="B794" s="1" t="n">
        <v>44483.42253472222</v>
      </c>
      <c r="C794" s="1" t="n">
        <v>46082</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54791-2025</t>
        </is>
      </c>
      <c r="B795" s="1" t="n">
        <v>45966.63326388889</v>
      </c>
      <c r="C795" s="1" t="n">
        <v>46082</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54641-2025</t>
        </is>
      </c>
      <c r="B796" s="1" t="n">
        <v>45966.36547453704</v>
      </c>
      <c r="C796" s="1" t="n">
        <v>46082</v>
      </c>
      <c r="D796" t="inlineStr">
        <is>
          <t>JÄMTLANDS LÄN</t>
        </is>
      </c>
      <c r="E796" t="inlineStr">
        <is>
          <t>KROKOM</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54821-2025</t>
        </is>
      </c>
      <c r="B797" s="1" t="n">
        <v>45966.6591087963</v>
      </c>
      <c r="C797" s="1" t="n">
        <v>46082</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27440-2024</t>
        </is>
      </c>
      <c r="B798" s="1" t="n">
        <v>45474</v>
      </c>
      <c r="C798" s="1" t="n">
        <v>46082</v>
      </c>
      <c r="D798" t="inlineStr">
        <is>
          <t>JÄMTLANDS LÄN</t>
        </is>
      </c>
      <c r="E798" t="inlineStr">
        <is>
          <t>KROKOM</t>
        </is>
      </c>
      <c r="G798" t="n">
        <v>2.9</v>
      </c>
      <c r="H798" t="n">
        <v>0</v>
      </c>
      <c r="I798" t="n">
        <v>0</v>
      </c>
      <c r="J798" t="n">
        <v>0</v>
      </c>
      <c r="K798" t="n">
        <v>0</v>
      </c>
      <c r="L798" t="n">
        <v>0</v>
      </c>
      <c r="M798" t="n">
        <v>0</v>
      </c>
      <c r="N798" t="n">
        <v>0</v>
      </c>
      <c r="O798" t="n">
        <v>0</v>
      </c>
      <c r="P798" t="n">
        <v>0</v>
      </c>
      <c r="Q798" t="n">
        <v>0</v>
      </c>
      <c r="R798" s="2" t="inlineStr"/>
    </row>
    <row r="799" ht="15" customHeight="1">
      <c r="A799" t="inlineStr">
        <is>
          <t>A 64764-2023</t>
        </is>
      </c>
      <c r="B799" s="1" t="n">
        <v>45282</v>
      </c>
      <c r="C799" s="1" t="n">
        <v>46082</v>
      </c>
      <c r="D799" t="inlineStr">
        <is>
          <t>JÄMTLANDS LÄN</t>
        </is>
      </c>
      <c r="E799" t="inlineStr">
        <is>
          <t>KROKOM</t>
        </is>
      </c>
      <c r="G799" t="n">
        <v>1.6</v>
      </c>
      <c r="H799" t="n">
        <v>0</v>
      </c>
      <c r="I799" t="n">
        <v>0</v>
      </c>
      <c r="J799" t="n">
        <v>0</v>
      </c>
      <c r="K799" t="n">
        <v>0</v>
      </c>
      <c r="L799" t="n">
        <v>0</v>
      </c>
      <c r="M799" t="n">
        <v>0</v>
      </c>
      <c r="N799" t="n">
        <v>0</v>
      </c>
      <c r="O799" t="n">
        <v>0</v>
      </c>
      <c r="P799" t="n">
        <v>0</v>
      </c>
      <c r="Q799" t="n">
        <v>0</v>
      </c>
      <c r="R799" s="2" t="inlineStr"/>
    </row>
    <row r="800" ht="15" customHeight="1">
      <c r="A800" t="inlineStr">
        <is>
          <t>A 28595-2024</t>
        </is>
      </c>
      <c r="B800" s="1" t="n">
        <v>45478.42063657408</v>
      </c>
      <c r="C800" s="1" t="n">
        <v>46082</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55060-2025</t>
        </is>
      </c>
      <c r="B801" s="1" t="n">
        <v>45967.68814814815</v>
      </c>
      <c r="C801" s="1" t="n">
        <v>46082</v>
      </c>
      <c r="D801" t="inlineStr">
        <is>
          <t>JÄMTLANDS LÄN</t>
        </is>
      </c>
      <c r="E801" t="inlineStr">
        <is>
          <t>KROKOM</t>
        </is>
      </c>
      <c r="F801" t="inlineStr">
        <is>
          <t>Kyrkan</t>
        </is>
      </c>
      <c r="G801" t="n">
        <v>59.7</v>
      </c>
      <c r="H801" t="n">
        <v>0</v>
      </c>
      <c r="I801" t="n">
        <v>0</v>
      </c>
      <c r="J801" t="n">
        <v>0</v>
      </c>
      <c r="K801" t="n">
        <v>0</v>
      </c>
      <c r="L801" t="n">
        <v>0</v>
      </c>
      <c r="M801" t="n">
        <v>0</v>
      </c>
      <c r="N801" t="n">
        <v>0</v>
      </c>
      <c r="O801" t="n">
        <v>0</v>
      </c>
      <c r="P801" t="n">
        <v>0</v>
      </c>
      <c r="Q801" t="n">
        <v>0</v>
      </c>
      <c r="R801" s="2" t="inlineStr"/>
    </row>
    <row r="802" ht="15" customHeight="1">
      <c r="A802" t="inlineStr">
        <is>
          <t>A 55062-2025</t>
        </is>
      </c>
      <c r="B802" s="1" t="n">
        <v>45967.69768518519</v>
      </c>
      <c r="C802" s="1" t="n">
        <v>46082</v>
      </c>
      <c r="D802" t="inlineStr">
        <is>
          <t>JÄMTLANDS LÄN</t>
        </is>
      </c>
      <c r="E802" t="inlineStr">
        <is>
          <t>KROKOM</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65508-2021</t>
        </is>
      </c>
      <c r="B803" s="1" t="n">
        <v>44516</v>
      </c>
      <c r="C803" s="1" t="n">
        <v>46082</v>
      </c>
      <c r="D803" t="inlineStr">
        <is>
          <t>JÄMTLANDS LÄN</t>
        </is>
      </c>
      <c r="E803" t="inlineStr">
        <is>
          <t>KROKOM</t>
        </is>
      </c>
      <c r="G803" t="n">
        <v>0.3</v>
      </c>
      <c r="H803" t="n">
        <v>0</v>
      </c>
      <c r="I803" t="n">
        <v>0</v>
      </c>
      <c r="J803" t="n">
        <v>0</v>
      </c>
      <c r="K803" t="n">
        <v>0</v>
      </c>
      <c r="L803" t="n">
        <v>0</v>
      </c>
      <c r="M803" t="n">
        <v>0</v>
      </c>
      <c r="N803" t="n">
        <v>0</v>
      </c>
      <c r="O803" t="n">
        <v>0</v>
      </c>
      <c r="P803" t="n">
        <v>0</v>
      </c>
      <c r="Q803" t="n">
        <v>0</v>
      </c>
      <c r="R803" s="2" t="inlineStr"/>
    </row>
    <row r="804" ht="15" customHeight="1">
      <c r="A804" t="inlineStr">
        <is>
          <t>A 54895-2025</t>
        </is>
      </c>
      <c r="B804" s="1" t="n">
        <v>45967.36524305555</v>
      </c>
      <c r="C804" s="1" t="n">
        <v>46082</v>
      </c>
      <c r="D804" t="inlineStr">
        <is>
          <t>JÄMTLANDS LÄN</t>
        </is>
      </c>
      <c r="E804" t="inlineStr">
        <is>
          <t>KROKOM</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36439-2023</t>
        </is>
      </c>
      <c r="B805" s="1" t="n">
        <v>45152</v>
      </c>
      <c r="C805" s="1" t="n">
        <v>46082</v>
      </c>
      <c r="D805" t="inlineStr">
        <is>
          <t>JÄMTLANDS LÄN</t>
        </is>
      </c>
      <c r="E805" t="inlineStr">
        <is>
          <t>KROKOM</t>
        </is>
      </c>
      <c r="F805" t="inlineStr">
        <is>
          <t>Övriga Aktiebolag</t>
        </is>
      </c>
      <c r="G805" t="n">
        <v>7.4</v>
      </c>
      <c r="H805" t="n">
        <v>0</v>
      </c>
      <c r="I805" t="n">
        <v>0</v>
      </c>
      <c r="J805" t="n">
        <v>0</v>
      </c>
      <c r="K805" t="n">
        <v>0</v>
      </c>
      <c r="L805" t="n">
        <v>0</v>
      </c>
      <c r="M805" t="n">
        <v>0</v>
      </c>
      <c r="N805" t="n">
        <v>0</v>
      </c>
      <c r="O805" t="n">
        <v>0</v>
      </c>
      <c r="P805" t="n">
        <v>0</v>
      </c>
      <c r="Q805" t="n">
        <v>0</v>
      </c>
      <c r="R805" s="2" t="inlineStr"/>
    </row>
    <row r="806" ht="15" customHeight="1">
      <c r="A806" t="inlineStr">
        <is>
          <t>A 55236-2025</t>
        </is>
      </c>
      <c r="B806" s="1" t="n">
        <v>45968.61451388889</v>
      </c>
      <c r="C806" s="1" t="n">
        <v>46082</v>
      </c>
      <c r="D806" t="inlineStr">
        <is>
          <t>JÄMTLANDS LÄN</t>
        </is>
      </c>
      <c r="E806" t="inlineStr">
        <is>
          <t>KROKOM</t>
        </is>
      </c>
      <c r="G806" t="n">
        <v>14.3</v>
      </c>
      <c r="H806" t="n">
        <v>0</v>
      </c>
      <c r="I806" t="n">
        <v>0</v>
      </c>
      <c r="J806" t="n">
        <v>0</v>
      </c>
      <c r="K806" t="n">
        <v>0</v>
      </c>
      <c r="L806" t="n">
        <v>0</v>
      </c>
      <c r="M806" t="n">
        <v>0</v>
      </c>
      <c r="N806" t="n">
        <v>0</v>
      </c>
      <c r="O806" t="n">
        <v>0</v>
      </c>
      <c r="P806" t="n">
        <v>0</v>
      </c>
      <c r="Q806" t="n">
        <v>0</v>
      </c>
      <c r="R806" s="2" t="inlineStr"/>
    </row>
    <row r="807" ht="15" customHeight="1">
      <c r="A807" t="inlineStr">
        <is>
          <t>A 54933-2025</t>
        </is>
      </c>
      <c r="B807" s="1" t="n">
        <v>45967.42778935185</v>
      </c>
      <c r="C807" s="1" t="n">
        <v>46082</v>
      </c>
      <c r="D807" t="inlineStr">
        <is>
          <t>JÄMTLANDS LÄN</t>
        </is>
      </c>
      <c r="E807" t="inlineStr">
        <is>
          <t>KROKOM</t>
        </is>
      </c>
      <c r="F807" t="inlineStr">
        <is>
          <t>SCA</t>
        </is>
      </c>
      <c r="G807" t="n">
        <v>12.8</v>
      </c>
      <c r="H807" t="n">
        <v>0</v>
      </c>
      <c r="I807" t="n">
        <v>0</v>
      </c>
      <c r="J807" t="n">
        <v>0</v>
      </c>
      <c r="K807" t="n">
        <v>0</v>
      </c>
      <c r="L807" t="n">
        <v>0</v>
      </c>
      <c r="M807" t="n">
        <v>0</v>
      </c>
      <c r="N807" t="n">
        <v>0</v>
      </c>
      <c r="O807" t="n">
        <v>0</v>
      </c>
      <c r="P807" t="n">
        <v>0</v>
      </c>
      <c r="Q807" t="n">
        <v>0</v>
      </c>
      <c r="R807" s="2" t="inlineStr"/>
    </row>
    <row r="808" ht="15" customHeight="1">
      <c r="A808" t="inlineStr">
        <is>
          <t>A 62739-2021</t>
        </is>
      </c>
      <c r="B808" s="1" t="n">
        <v>44504</v>
      </c>
      <c r="C808" s="1" t="n">
        <v>46082</v>
      </c>
      <c r="D808" t="inlineStr">
        <is>
          <t>JÄMTLANDS LÄN</t>
        </is>
      </c>
      <c r="E808" t="inlineStr">
        <is>
          <t>KROKOM</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55517-2025</t>
        </is>
      </c>
      <c r="B809" s="1" t="n">
        <v>45971.60344907407</v>
      </c>
      <c r="C809" s="1" t="n">
        <v>46082</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39263-2024</t>
        </is>
      </c>
      <c r="B810" s="1" t="n">
        <v>45551.34414351852</v>
      </c>
      <c r="C810" s="1" t="n">
        <v>46082</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55782-2025</t>
        </is>
      </c>
      <c r="B811" s="1" t="n">
        <v>45972.63504629629</v>
      </c>
      <c r="C811" s="1" t="n">
        <v>46082</v>
      </c>
      <c r="D811" t="inlineStr">
        <is>
          <t>JÄMTLANDS LÄN</t>
        </is>
      </c>
      <c r="E811" t="inlineStr">
        <is>
          <t>KROKOM</t>
        </is>
      </c>
      <c r="F811" t="inlineStr">
        <is>
          <t>Övriga Aktiebolag</t>
        </is>
      </c>
      <c r="G811" t="n">
        <v>10</v>
      </c>
      <c r="H811" t="n">
        <v>0</v>
      </c>
      <c r="I811" t="n">
        <v>0</v>
      </c>
      <c r="J811" t="n">
        <v>0</v>
      </c>
      <c r="K811" t="n">
        <v>0</v>
      </c>
      <c r="L811" t="n">
        <v>0</v>
      </c>
      <c r="M811" t="n">
        <v>0</v>
      </c>
      <c r="N811" t="n">
        <v>0</v>
      </c>
      <c r="O811" t="n">
        <v>0</v>
      </c>
      <c r="P811" t="n">
        <v>0</v>
      </c>
      <c r="Q811" t="n">
        <v>0</v>
      </c>
      <c r="R811" s="2" t="inlineStr"/>
    </row>
    <row r="812" ht="15" customHeight="1">
      <c r="A812" t="inlineStr">
        <is>
          <t>A 55564-2025</t>
        </is>
      </c>
      <c r="B812" s="1" t="n">
        <v>45971.65542824074</v>
      </c>
      <c r="C812" s="1" t="n">
        <v>46082</v>
      </c>
      <c r="D812" t="inlineStr">
        <is>
          <t>JÄMTLANDS LÄN</t>
        </is>
      </c>
      <c r="E812" t="inlineStr">
        <is>
          <t>KROKOM</t>
        </is>
      </c>
      <c r="G812" t="n">
        <v>5.4</v>
      </c>
      <c r="H812" t="n">
        <v>0</v>
      </c>
      <c r="I812" t="n">
        <v>0</v>
      </c>
      <c r="J812" t="n">
        <v>0</v>
      </c>
      <c r="K812" t="n">
        <v>0</v>
      </c>
      <c r="L812" t="n">
        <v>0</v>
      </c>
      <c r="M812" t="n">
        <v>0</v>
      </c>
      <c r="N812" t="n">
        <v>0</v>
      </c>
      <c r="O812" t="n">
        <v>0</v>
      </c>
      <c r="P812" t="n">
        <v>0</v>
      </c>
      <c r="Q812" t="n">
        <v>0</v>
      </c>
      <c r="R812" s="2" t="inlineStr"/>
    </row>
    <row r="813" ht="15" customHeight="1">
      <c r="A813" t="inlineStr">
        <is>
          <t>A 52313-2024</t>
        </is>
      </c>
      <c r="B813" s="1" t="n">
        <v>45608.86341435185</v>
      </c>
      <c r="C813" s="1" t="n">
        <v>46082</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55400-2025</t>
        </is>
      </c>
      <c r="B814" s="1" t="n">
        <v>45971.44931712963</v>
      </c>
      <c r="C814" s="1" t="n">
        <v>46082</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56087-2025</t>
        </is>
      </c>
      <c r="B815" s="1" t="n">
        <v>45973.6665625</v>
      </c>
      <c r="C815" s="1" t="n">
        <v>46082</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32692-2023</t>
        </is>
      </c>
      <c r="B816" s="1" t="n">
        <v>45112</v>
      </c>
      <c r="C816" s="1" t="n">
        <v>46082</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17820-2024</t>
        </is>
      </c>
      <c r="B817" s="1" t="n">
        <v>45418.94616898148</v>
      </c>
      <c r="C817" s="1" t="n">
        <v>46082</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56038-2025</t>
        </is>
      </c>
      <c r="B818" s="1" t="n">
        <v>45973.61100694445</v>
      </c>
      <c r="C818" s="1" t="n">
        <v>46082</v>
      </c>
      <c r="D818" t="inlineStr">
        <is>
          <t>JÄMTLANDS LÄN</t>
        </is>
      </c>
      <c r="E818" t="inlineStr">
        <is>
          <t>KROKOM</t>
        </is>
      </c>
      <c r="G818" t="n">
        <v>2.2</v>
      </c>
      <c r="H818" t="n">
        <v>0</v>
      </c>
      <c r="I818" t="n">
        <v>0</v>
      </c>
      <c r="J818" t="n">
        <v>0</v>
      </c>
      <c r="K818" t="n">
        <v>0</v>
      </c>
      <c r="L818" t="n">
        <v>0</v>
      </c>
      <c r="M818" t="n">
        <v>0</v>
      </c>
      <c r="N818" t="n">
        <v>0</v>
      </c>
      <c r="O818" t="n">
        <v>0</v>
      </c>
      <c r="P818" t="n">
        <v>0</v>
      </c>
      <c r="Q818" t="n">
        <v>0</v>
      </c>
      <c r="R818" s="2" t="inlineStr"/>
    </row>
    <row r="819" ht="15" customHeight="1">
      <c r="A819" t="inlineStr">
        <is>
          <t>A 31601-2023</t>
        </is>
      </c>
      <c r="B819" s="1" t="n">
        <v>45117</v>
      </c>
      <c r="C819" s="1" t="n">
        <v>46082</v>
      </c>
      <c r="D819" t="inlineStr">
        <is>
          <t>JÄMTLANDS LÄN</t>
        </is>
      </c>
      <c r="E819" t="inlineStr">
        <is>
          <t>KROKOM</t>
        </is>
      </c>
      <c r="G819" t="n">
        <v>1.1</v>
      </c>
      <c r="H819" t="n">
        <v>0</v>
      </c>
      <c r="I819" t="n">
        <v>0</v>
      </c>
      <c r="J819" t="n">
        <v>0</v>
      </c>
      <c r="K819" t="n">
        <v>0</v>
      </c>
      <c r="L819" t="n">
        <v>0</v>
      </c>
      <c r="M819" t="n">
        <v>0</v>
      </c>
      <c r="N819" t="n">
        <v>0</v>
      </c>
      <c r="O819" t="n">
        <v>0</v>
      </c>
      <c r="P819" t="n">
        <v>0</v>
      </c>
      <c r="Q819" t="n">
        <v>0</v>
      </c>
      <c r="R819" s="2" t="inlineStr"/>
    </row>
    <row r="820" ht="15" customHeight="1">
      <c r="A820" t="inlineStr">
        <is>
          <t>A 45777-2024</t>
        </is>
      </c>
      <c r="B820" s="1" t="n">
        <v>45579.66459490741</v>
      </c>
      <c r="C820" s="1" t="n">
        <v>46082</v>
      </c>
      <c r="D820" t="inlineStr">
        <is>
          <t>JÄMTLANDS LÄN</t>
        </is>
      </c>
      <c r="E820" t="inlineStr">
        <is>
          <t>KROKOM</t>
        </is>
      </c>
      <c r="G820" t="n">
        <v>5.3</v>
      </c>
      <c r="H820" t="n">
        <v>0</v>
      </c>
      <c r="I820" t="n">
        <v>0</v>
      </c>
      <c r="J820" t="n">
        <v>0</v>
      </c>
      <c r="K820" t="n">
        <v>0</v>
      </c>
      <c r="L820" t="n">
        <v>0</v>
      </c>
      <c r="M820" t="n">
        <v>0</v>
      </c>
      <c r="N820" t="n">
        <v>0</v>
      </c>
      <c r="O820" t="n">
        <v>0</v>
      </c>
      <c r="P820" t="n">
        <v>0</v>
      </c>
      <c r="Q820" t="n">
        <v>0</v>
      </c>
      <c r="R820" s="2" t="inlineStr"/>
    </row>
    <row r="821" ht="15" customHeight="1">
      <c r="A821" t="inlineStr">
        <is>
          <t>A 14029-2024</t>
        </is>
      </c>
      <c r="B821" s="1" t="n">
        <v>45392</v>
      </c>
      <c r="C821" s="1" t="n">
        <v>46082</v>
      </c>
      <c r="D821" t="inlineStr">
        <is>
          <t>JÄMTLANDS LÄN</t>
        </is>
      </c>
      <c r="E821" t="inlineStr">
        <is>
          <t>KROKOM</t>
        </is>
      </c>
      <c r="F821" t="inlineStr">
        <is>
          <t>Kyrkan</t>
        </is>
      </c>
      <c r="G821" t="n">
        <v>1.1</v>
      </c>
      <c r="H821" t="n">
        <v>0</v>
      </c>
      <c r="I821" t="n">
        <v>0</v>
      </c>
      <c r="J821" t="n">
        <v>0</v>
      </c>
      <c r="K821" t="n">
        <v>0</v>
      </c>
      <c r="L821" t="n">
        <v>0</v>
      </c>
      <c r="M821" t="n">
        <v>0</v>
      </c>
      <c r="N821" t="n">
        <v>0</v>
      </c>
      <c r="O821" t="n">
        <v>0</v>
      </c>
      <c r="P821" t="n">
        <v>0</v>
      </c>
      <c r="Q821" t="n">
        <v>0</v>
      </c>
      <c r="R821" s="2" t="inlineStr"/>
    </row>
    <row r="822" ht="15" customHeight="1">
      <c r="A822" t="inlineStr">
        <is>
          <t>A 56557-2021</t>
        </is>
      </c>
      <c r="B822" s="1" t="n">
        <v>44480</v>
      </c>
      <c r="C822" s="1" t="n">
        <v>46082</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56095-2025</t>
        </is>
      </c>
      <c r="B823" s="1" t="n">
        <v>45973.67952546296</v>
      </c>
      <c r="C823" s="1" t="n">
        <v>46082</v>
      </c>
      <c r="D823" t="inlineStr">
        <is>
          <t>JÄMTLANDS LÄN</t>
        </is>
      </c>
      <c r="E823" t="inlineStr">
        <is>
          <t>KROKOM</t>
        </is>
      </c>
      <c r="G823" t="n">
        <v>3.3</v>
      </c>
      <c r="H823" t="n">
        <v>0</v>
      </c>
      <c r="I823" t="n">
        <v>0</v>
      </c>
      <c r="J823" t="n">
        <v>0</v>
      </c>
      <c r="K823" t="n">
        <v>0</v>
      </c>
      <c r="L823" t="n">
        <v>0</v>
      </c>
      <c r="M823" t="n">
        <v>0</v>
      </c>
      <c r="N823" t="n">
        <v>0</v>
      </c>
      <c r="O823" t="n">
        <v>0</v>
      </c>
      <c r="P823" t="n">
        <v>0</v>
      </c>
      <c r="Q823" t="n">
        <v>0</v>
      </c>
      <c r="R823" s="2" t="inlineStr"/>
    </row>
    <row r="824" ht="15" customHeight="1">
      <c r="A824" t="inlineStr">
        <is>
          <t>A 56177-2025</t>
        </is>
      </c>
      <c r="B824" s="1" t="n">
        <v>45974.39988425926</v>
      </c>
      <c r="C824" s="1" t="n">
        <v>46082</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33653-2023</t>
        </is>
      </c>
      <c r="B825" s="1" t="n">
        <v>45119</v>
      </c>
      <c r="C825" s="1" t="n">
        <v>46082</v>
      </c>
      <c r="D825" t="inlineStr">
        <is>
          <t>JÄMTLANDS LÄN</t>
        </is>
      </c>
      <c r="E825" t="inlineStr">
        <is>
          <t>KROKOM</t>
        </is>
      </c>
      <c r="G825" t="n">
        <v>0.4</v>
      </c>
      <c r="H825" t="n">
        <v>0</v>
      </c>
      <c r="I825" t="n">
        <v>0</v>
      </c>
      <c r="J825" t="n">
        <v>0</v>
      </c>
      <c r="K825" t="n">
        <v>0</v>
      </c>
      <c r="L825" t="n">
        <v>0</v>
      </c>
      <c r="M825" t="n">
        <v>0</v>
      </c>
      <c r="N825" t="n">
        <v>0</v>
      </c>
      <c r="O825" t="n">
        <v>0</v>
      </c>
      <c r="P825" t="n">
        <v>0</v>
      </c>
      <c r="Q825" t="n">
        <v>0</v>
      </c>
      <c r="R825" s="2" t="inlineStr"/>
    </row>
    <row r="826" ht="15" customHeight="1">
      <c r="A826" t="inlineStr">
        <is>
          <t>A 42372-2023</t>
        </is>
      </c>
      <c r="B826" s="1" t="n">
        <v>45180</v>
      </c>
      <c r="C826" s="1" t="n">
        <v>46082</v>
      </c>
      <c r="D826" t="inlineStr">
        <is>
          <t>JÄMTLANDS LÄN</t>
        </is>
      </c>
      <c r="E826" t="inlineStr">
        <is>
          <t>KROKOM</t>
        </is>
      </c>
      <c r="F826" t="inlineStr">
        <is>
          <t>Övriga Aktiebolag</t>
        </is>
      </c>
      <c r="G826" t="n">
        <v>0.2</v>
      </c>
      <c r="H826" t="n">
        <v>0</v>
      </c>
      <c r="I826" t="n">
        <v>0</v>
      </c>
      <c r="J826" t="n">
        <v>0</v>
      </c>
      <c r="K826" t="n">
        <v>0</v>
      </c>
      <c r="L826" t="n">
        <v>0</v>
      </c>
      <c r="M826" t="n">
        <v>0</v>
      </c>
      <c r="N826" t="n">
        <v>0</v>
      </c>
      <c r="O826" t="n">
        <v>0</v>
      </c>
      <c r="P826" t="n">
        <v>0</v>
      </c>
      <c r="Q826" t="n">
        <v>0</v>
      </c>
      <c r="R826" s="2" t="inlineStr"/>
    </row>
    <row r="827" ht="15" customHeight="1">
      <c r="A827" t="inlineStr">
        <is>
          <t>A 56433-2025</t>
        </is>
      </c>
      <c r="B827" s="1" t="n">
        <v>45975.34655092593</v>
      </c>
      <c r="C827" s="1" t="n">
        <v>46082</v>
      </c>
      <c r="D827" t="inlineStr">
        <is>
          <t>JÄMTLANDS LÄN</t>
        </is>
      </c>
      <c r="E827" t="inlineStr">
        <is>
          <t>KROKOM</t>
        </is>
      </c>
      <c r="F827" t="inlineStr">
        <is>
          <t>SCA</t>
        </is>
      </c>
      <c r="G827" t="n">
        <v>6.5</v>
      </c>
      <c r="H827" t="n">
        <v>0</v>
      </c>
      <c r="I827" t="n">
        <v>0</v>
      </c>
      <c r="J827" t="n">
        <v>0</v>
      </c>
      <c r="K827" t="n">
        <v>0</v>
      </c>
      <c r="L827" t="n">
        <v>0</v>
      </c>
      <c r="M827" t="n">
        <v>0</v>
      </c>
      <c r="N827" t="n">
        <v>0</v>
      </c>
      <c r="O827" t="n">
        <v>0</v>
      </c>
      <c r="P827" t="n">
        <v>0</v>
      </c>
      <c r="Q827" t="n">
        <v>0</v>
      </c>
      <c r="R827" s="2" t="inlineStr"/>
    </row>
    <row r="828" ht="15" customHeight="1">
      <c r="A828" t="inlineStr">
        <is>
          <t>A 7724-2025</t>
        </is>
      </c>
      <c r="B828" s="1" t="n">
        <v>45706</v>
      </c>
      <c r="C828" s="1" t="n">
        <v>46082</v>
      </c>
      <c r="D828" t="inlineStr">
        <is>
          <t>JÄMTLANDS LÄN</t>
        </is>
      </c>
      <c r="E828" t="inlineStr">
        <is>
          <t>KROKOM</t>
        </is>
      </c>
      <c r="G828" t="n">
        <v>1.8</v>
      </c>
      <c r="H828" t="n">
        <v>0</v>
      </c>
      <c r="I828" t="n">
        <v>0</v>
      </c>
      <c r="J828" t="n">
        <v>0</v>
      </c>
      <c r="K828" t="n">
        <v>0</v>
      </c>
      <c r="L828" t="n">
        <v>0</v>
      </c>
      <c r="M828" t="n">
        <v>0</v>
      </c>
      <c r="N828" t="n">
        <v>0</v>
      </c>
      <c r="O828" t="n">
        <v>0</v>
      </c>
      <c r="P828" t="n">
        <v>0</v>
      </c>
      <c r="Q828" t="n">
        <v>0</v>
      </c>
      <c r="R828" s="2" t="inlineStr"/>
    </row>
    <row r="829" ht="15" customHeight="1">
      <c r="A829" t="inlineStr">
        <is>
          <t>A 1119-2025</t>
        </is>
      </c>
      <c r="B829" s="1" t="n">
        <v>45666.65987268519</v>
      </c>
      <c r="C829" s="1" t="n">
        <v>46082</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56636-2025</t>
        </is>
      </c>
      <c r="B830" s="1" t="n">
        <v>45975.61663194445</v>
      </c>
      <c r="C830" s="1" t="n">
        <v>46082</v>
      </c>
      <c r="D830" t="inlineStr">
        <is>
          <t>JÄMTLANDS LÄN</t>
        </is>
      </c>
      <c r="E830" t="inlineStr">
        <is>
          <t>KROKOM</t>
        </is>
      </c>
      <c r="F830" t="inlineStr">
        <is>
          <t>SCA</t>
        </is>
      </c>
      <c r="G830" t="n">
        <v>37.5</v>
      </c>
      <c r="H830" t="n">
        <v>0</v>
      </c>
      <c r="I830" t="n">
        <v>0</v>
      </c>
      <c r="J830" t="n">
        <v>0</v>
      </c>
      <c r="K830" t="n">
        <v>0</v>
      </c>
      <c r="L830" t="n">
        <v>0</v>
      </c>
      <c r="M830" t="n">
        <v>0</v>
      </c>
      <c r="N830" t="n">
        <v>0</v>
      </c>
      <c r="O830" t="n">
        <v>0</v>
      </c>
      <c r="P830" t="n">
        <v>0</v>
      </c>
      <c r="Q830" t="n">
        <v>0</v>
      </c>
      <c r="R830" s="2" t="inlineStr"/>
    </row>
    <row r="831" ht="15" customHeight="1">
      <c r="A831" t="inlineStr">
        <is>
          <t>A 56432-2025</t>
        </is>
      </c>
      <c r="B831" s="1" t="n">
        <v>45975.34650462963</v>
      </c>
      <c r="C831" s="1" t="n">
        <v>46082</v>
      </c>
      <c r="D831" t="inlineStr">
        <is>
          <t>JÄMTLANDS LÄN</t>
        </is>
      </c>
      <c r="E831" t="inlineStr">
        <is>
          <t>KROKOM</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56892-2025</t>
        </is>
      </c>
      <c r="B832" s="1" t="n">
        <v>45978.56626157407</v>
      </c>
      <c r="C832" s="1" t="n">
        <v>46082</v>
      </c>
      <c r="D832" t="inlineStr">
        <is>
          <t>JÄMTLANDS LÄN</t>
        </is>
      </c>
      <c r="E832" t="inlineStr">
        <is>
          <t>KROKOM</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56900-2025</t>
        </is>
      </c>
      <c r="B833" s="1" t="n">
        <v>45978.57273148148</v>
      </c>
      <c r="C833" s="1" t="n">
        <v>46082</v>
      </c>
      <c r="D833" t="inlineStr">
        <is>
          <t>JÄMTLANDS LÄN</t>
        </is>
      </c>
      <c r="E833" t="inlineStr">
        <is>
          <t>KROKOM</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29986-2023</t>
        </is>
      </c>
      <c r="B834" s="1" t="n">
        <v>45109.44534722222</v>
      </c>
      <c r="C834" s="1" t="n">
        <v>46082</v>
      </c>
      <c r="D834" t="inlineStr">
        <is>
          <t>JÄMTLANDS LÄN</t>
        </is>
      </c>
      <c r="E834" t="inlineStr">
        <is>
          <t>KROKOM</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57152-2025</t>
        </is>
      </c>
      <c r="B835" s="1" t="n">
        <v>45979.50850694445</v>
      </c>
      <c r="C835" s="1" t="n">
        <v>46082</v>
      </c>
      <c r="D835" t="inlineStr">
        <is>
          <t>JÄMTLANDS LÄN</t>
        </is>
      </c>
      <c r="E835" t="inlineStr">
        <is>
          <t>KROKOM</t>
        </is>
      </c>
      <c r="G835" t="n">
        <v>2.4</v>
      </c>
      <c r="H835" t="n">
        <v>0</v>
      </c>
      <c r="I835" t="n">
        <v>0</v>
      </c>
      <c r="J835" t="n">
        <v>0</v>
      </c>
      <c r="K835" t="n">
        <v>0</v>
      </c>
      <c r="L835" t="n">
        <v>0</v>
      </c>
      <c r="M835" t="n">
        <v>0</v>
      </c>
      <c r="N835" t="n">
        <v>0</v>
      </c>
      <c r="O835" t="n">
        <v>0</v>
      </c>
      <c r="P835" t="n">
        <v>0</v>
      </c>
      <c r="Q835" t="n">
        <v>0</v>
      </c>
      <c r="R835" s="2" t="inlineStr"/>
    </row>
    <row r="836" ht="15" customHeight="1">
      <c r="A836" t="inlineStr">
        <is>
          <t>A 50738-2024</t>
        </is>
      </c>
      <c r="B836" s="1" t="n">
        <v>45602.39862268518</v>
      </c>
      <c r="C836" s="1" t="n">
        <v>46082</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50755-2024</t>
        </is>
      </c>
      <c r="B837" s="1" t="n">
        <v>45602.42878472222</v>
      </c>
      <c r="C837" s="1" t="n">
        <v>46082</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8369-2023</t>
        </is>
      </c>
      <c r="B838" s="1" t="n">
        <v>44971</v>
      </c>
      <c r="C838" s="1" t="n">
        <v>46082</v>
      </c>
      <c r="D838" t="inlineStr">
        <is>
          <t>JÄMTLANDS LÄN</t>
        </is>
      </c>
      <c r="E838" t="inlineStr">
        <is>
          <t>KROKOM</t>
        </is>
      </c>
      <c r="G838" t="n">
        <v>47.2</v>
      </c>
      <c r="H838" t="n">
        <v>0</v>
      </c>
      <c r="I838" t="n">
        <v>0</v>
      </c>
      <c r="J838" t="n">
        <v>0</v>
      </c>
      <c r="K838" t="n">
        <v>0</v>
      </c>
      <c r="L838" t="n">
        <v>0</v>
      </c>
      <c r="M838" t="n">
        <v>0</v>
      </c>
      <c r="N838" t="n">
        <v>0</v>
      </c>
      <c r="O838" t="n">
        <v>0</v>
      </c>
      <c r="P838" t="n">
        <v>0</v>
      </c>
      <c r="Q838" t="n">
        <v>0</v>
      </c>
      <c r="R838" s="2" t="inlineStr"/>
    </row>
    <row r="839" ht="15" customHeight="1">
      <c r="A839" t="inlineStr">
        <is>
          <t>A 56328-2023</t>
        </is>
      </c>
      <c r="B839" s="1" t="n">
        <v>45243.33297453704</v>
      </c>
      <c r="C839" s="1" t="n">
        <v>46082</v>
      </c>
      <c r="D839" t="inlineStr">
        <is>
          <t>JÄMTLANDS LÄN</t>
        </is>
      </c>
      <c r="E839" t="inlineStr">
        <is>
          <t>KROKOM</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35257-2023</t>
        </is>
      </c>
      <c r="B840" s="1" t="n">
        <v>45145.95255787037</v>
      </c>
      <c r="C840" s="1" t="n">
        <v>46082</v>
      </c>
      <c r="D840" t="inlineStr">
        <is>
          <t>JÄMTLANDS LÄN</t>
        </is>
      </c>
      <c r="E840" t="inlineStr">
        <is>
          <t>KROKOM</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58128-2025</t>
        </is>
      </c>
      <c r="B841" s="1" t="n">
        <v>45982.61541666667</v>
      </c>
      <c r="C841" s="1" t="n">
        <v>46082</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58129-2025</t>
        </is>
      </c>
      <c r="B842" s="1" t="n">
        <v>45982.61546296296</v>
      </c>
      <c r="C842" s="1" t="n">
        <v>46082</v>
      </c>
      <c r="D842" t="inlineStr">
        <is>
          <t>JÄMTLANDS LÄN</t>
        </is>
      </c>
      <c r="E842" t="inlineStr">
        <is>
          <t>KROKOM</t>
        </is>
      </c>
      <c r="G842" t="n">
        <v>1.5</v>
      </c>
      <c r="H842" t="n">
        <v>0</v>
      </c>
      <c r="I842" t="n">
        <v>0</v>
      </c>
      <c r="J842" t="n">
        <v>0</v>
      </c>
      <c r="K842" t="n">
        <v>0</v>
      </c>
      <c r="L842" t="n">
        <v>0</v>
      </c>
      <c r="M842" t="n">
        <v>0</v>
      </c>
      <c r="N842" t="n">
        <v>0</v>
      </c>
      <c r="O842" t="n">
        <v>0</v>
      </c>
      <c r="P842" t="n">
        <v>0</v>
      </c>
      <c r="Q842" t="n">
        <v>0</v>
      </c>
      <c r="R842" s="2" t="inlineStr"/>
    </row>
    <row r="843" ht="15" customHeight="1">
      <c r="A843" t="inlineStr">
        <is>
          <t>A 58131-2025</t>
        </is>
      </c>
      <c r="B843" s="1" t="n">
        <v>45982.61557870371</v>
      </c>
      <c r="C843" s="1" t="n">
        <v>46082</v>
      </c>
      <c r="D843" t="inlineStr">
        <is>
          <t>JÄMTLANDS LÄN</t>
        </is>
      </c>
      <c r="E843" t="inlineStr">
        <is>
          <t>KROKOM</t>
        </is>
      </c>
      <c r="G843" t="n">
        <v>1.1</v>
      </c>
      <c r="H843" t="n">
        <v>0</v>
      </c>
      <c r="I843" t="n">
        <v>0</v>
      </c>
      <c r="J843" t="n">
        <v>0</v>
      </c>
      <c r="K843" t="n">
        <v>0</v>
      </c>
      <c r="L843" t="n">
        <v>0</v>
      </c>
      <c r="M843" t="n">
        <v>0</v>
      </c>
      <c r="N843" t="n">
        <v>0</v>
      </c>
      <c r="O843" t="n">
        <v>0</v>
      </c>
      <c r="P843" t="n">
        <v>0</v>
      </c>
      <c r="Q843" t="n">
        <v>0</v>
      </c>
      <c r="R843" s="2" t="inlineStr"/>
    </row>
    <row r="844" ht="15" customHeight="1">
      <c r="A844" t="inlineStr">
        <is>
          <t>A 58130-2025</t>
        </is>
      </c>
      <c r="B844" s="1" t="n">
        <v>45982.61550925926</v>
      </c>
      <c r="C844" s="1" t="n">
        <v>46082</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58013-2025</t>
        </is>
      </c>
      <c r="B845" s="1" t="n">
        <v>45982.46936342592</v>
      </c>
      <c r="C845" s="1" t="n">
        <v>46082</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46785-2024</t>
        </is>
      </c>
      <c r="B846" s="1" t="n">
        <v>45583.52885416667</v>
      </c>
      <c r="C846" s="1" t="n">
        <v>46082</v>
      </c>
      <c r="D846" t="inlineStr">
        <is>
          <t>JÄMTLANDS LÄN</t>
        </is>
      </c>
      <c r="E846" t="inlineStr">
        <is>
          <t>KROKOM</t>
        </is>
      </c>
      <c r="G846" t="n">
        <v>3.4</v>
      </c>
      <c r="H846" t="n">
        <v>0</v>
      </c>
      <c r="I846" t="n">
        <v>0</v>
      </c>
      <c r="J846" t="n">
        <v>0</v>
      </c>
      <c r="K846" t="n">
        <v>0</v>
      </c>
      <c r="L846" t="n">
        <v>0</v>
      </c>
      <c r="M846" t="n">
        <v>0</v>
      </c>
      <c r="N846" t="n">
        <v>0</v>
      </c>
      <c r="O846" t="n">
        <v>0</v>
      </c>
      <c r="P846" t="n">
        <v>0</v>
      </c>
      <c r="Q846" t="n">
        <v>0</v>
      </c>
      <c r="R846" s="2" t="inlineStr"/>
    </row>
    <row r="847" ht="15" customHeight="1">
      <c r="A847" t="inlineStr">
        <is>
          <t>A 64299-2021</t>
        </is>
      </c>
      <c r="B847" s="1" t="n">
        <v>44510.9491087963</v>
      </c>
      <c r="C847" s="1" t="n">
        <v>46082</v>
      </c>
      <c r="D847" t="inlineStr">
        <is>
          <t>JÄMTLANDS LÄN</t>
        </is>
      </c>
      <c r="E847" t="inlineStr">
        <is>
          <t>KROKOM</t>
        </is>
      </c>
      <c r="G847" t="n">
        <v>3.7</v>
      </c>
      <c r="H847" t="n">
        <v>0</v>
      </c>
      <c r="I847" t="n">
        <v>0</v>
      </c>
      <c r="J847" t="n">
        <v>0</v>
      </c>
      <c r="K847" t="n">
        <v>0</v>
      </c>
      <c r="L847" t="n">
        <v>0</v>
      </c>
      <c r="M847" t="n">
        <v>0</v>
      </c>
      <c r="N847" t="n">
        <v>0</v>
      </c>
      <c r="O847" t="n">
        <v>0</v>
      </c>
      <c r="P847" t="n">
        <v>0</v>
      </c>
      <c r="Q847" t="n">
        <v>0</v>
      </c>
      <c r="R847" s="2" t="inlineStr"/>
    </row>
    <row r="848" ht="15" customHeight="1">
      <c r="A848" t="inlineStr">
        <is>
          <t>A 58596-2025</t>
        </is>
      </c>
      <c r="B848" s="1" t="n">
        <v>45986.42089120371</v>
      </c>
      <c r="C848" s="1" t="n">
        <v>46082</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58487-2024</t>
        </is>
      </c>
      <c r="B849" s="1" t="n">
        <v>45635.39820601852</v>
      </c>
      <c r="C849" s="1" t="n">
        <v>46082</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3231-2022</t>
        </is>
      </c>
      <c r="B850" s="1" t="n">
        <v>44582</v>
      </c>
      <c r="C850" s="1" t="n">
        <v>46082</v>
      </c>
      <c r="D850" t="inlineStr">
        <is>
          <t>JÄMTLANDS LÄN</t>
        </is>
      </c>
      <c r="E850" t="inlineStr">
        <is>
          <t>KROKOM</t>
        </is>
      </c>
      <c r="G850" t="n">
        <v>23</v>
      </c>
      <c r="H850" t="n">
        <v>0</v>
      </c>
      <c r="I850" t="n">
        <v>0</v>
      </c>
      <c r="J850" t="n">
        <v>0</v>
      </c>
      <c r="K850" t="n">
        <v>0</v>
      </c>
      <c r="L850" t="n">
        <v>0</v>
      </c>
      <c r="M850" t="n">
        <v>0</v>
      </c>
      <c r="N850" t="n">
        <v>0</v>
      </c>
      <c r="O850" t="n">
        <v>0</v>
      </c>
      <c r="P850" t="n">
        <v>0</v>
      </c>
      <c r="Q850" t="n">
        <v>0</v>
      </c>
      <c r="R850" s="2" t="inlineStr"/>
    </row>
    <row r="851" ht="15" customHeight="1">
      <c r="A851" t="inlineStr">
        <is>
          <t>A 10646-2025</t>
        </is>
      </c>
      <c r="B851" s="1" t="n">
        <v>45721.66456018519</v>
      </c>
      <c r="C851" s="1" t="n">
        <v>46082</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29477-2024</t>
        </is>
      </c>
      <c r="B852" s="1" t="n">
        <v>45484</v>
      </c>
      <c r="C852" s="1" t="n">
        <v>46082</v>
      </c>
      <c r="D852" t="inlineStr">
        <is>
          <t>JÄMTLANDS LÄN</t>
        </is>
      </c>
      <c r="E852" t="inlineStr">
        <is>
          <t>KROKOM</t>
        </is>
      </c>
      <c r="F852" t="inlineStr">
        <is>
          <t>Övriga Aktiebolag</t>
        </is>
      </c>
      <c r="G852" t="n">
        <v>1</v>
      </c>
      <c r="H852" t="n">
        <v>0</v>
      </c>
      <c r="I852" t="n">
        <v>0</v>
      </c>
      <c r="J852" t="n">
        <v>0</v>
      </c>
      <c r="K852" t="n">
        <v>0</v>
      </c>
      <c r="L852" t="n">
        <v>0</v>
      </c>
      <c r="M852" t="n">
        <v>0</v>
      </c>
      <c r="N852" t="n">
        <v>0</v>
      </c>
      <c r="O852" t="n">
        <v>0</v>
      </c>
      <c r="P852" t="n">
        <v>0</v>
      </c>
      <c r="Q852" t="n">
        <v>0</v>
      </c>
      <c r="R852" s="2" t="inlineStr"/>
    </row>
    <row r="853" ht="15" customHeight="1">
      <c r="A853" t="inlineStr">
        <is>
          <t>A 53540-2024</t>
        </is>
      </c>
      <c r="B853" s="1" t="n">
        <v>45614.63575231482</v>
      </c>
      <c r="C853" s="1" t="n">
        <v>46082</v>
      </c>
      <c r="D853" t="inlineStr">
        <is>
          <t>JÄMTLANDS LÄN</t>
        </is>
      </c>
      <c r="E853" t="inlineStr">
        <is>
          <t>KROKOM</t>
        </is>
      </c>
      <c r="G853" t="n">
        <v>4.7</v>
      </c>
      <c r="H853" t="n">
        <v>0</v>
      </c>
      <c r="I853" t="n">
        <v>0</v>
      </c>
      <c r="J853" t="n">
        <v>0</v>
      </c>
      <c r="K853" t="n">
        <v>0</v>
      </c>
      <c r="L853" t="n">
        <v>0</v>
      </c>
      <c r="M853" t="n">
        <v>0</v>
      </c>
      <c r="N853" t="n">
        <v>0</v>
      </c>
      <c r="O853" t="n">
        <v>0</v>
      </c>
      <c r="P853" t="n">
        <v>0</v>
      </c>
      <c r="Q853" t="n">
        <v>0</v>
      </c>
      <c r="R853" s="2" t="inlineStr"/>
    </row>
    <row r="854" ht="15" customHeight="1">
      <c r="A854" t="inlineStr">
        <is>
          <t>A 58186-2025</t>
        </is>
      </c>
      <c r="B854" s="1" t="n">
        <v>45983.47826388889</v>
      </c>
      <c r="C854" s="1" t="n">
        <v>46082</v>
      </c>
      <c r="D854" t="inlineStr">
        <is>
          <t>JÄMTLANDS LÄN</t>
        </is>
      </c>
      <c r="E854" t="inlineStr">
        <is>
          <t>KROKOM</t>
        </is>
      </c>
      <c r="G854" t="n">
        <v>7.9</v>
      </c>
      <c r="H854" t="n">
        <v>0</v>
      </c>
      <c r="I854" t="n">
        <v>0</v>
      </c>
      <c r="J854" t="n">
        <v>0</v>
      </c>
      <c r="K854" t="n">
        <v>0</v>
      </c>
      <c r="L854" t="n">
        <v>0</v>
      </c>
      <c r="M854" t="n">
        <v>0</v>
      </c>
      <c r="N854" t="n">
        <v>0</v>
      </c>
      <c r="O854" t="n">
        <v>0</v>
      </c>
      <c r="P854" t="n">
        <v>0</v>
      </c>
      <c r="Q854" t="n">
        <v>0</v>
      </c>
      <c r="R854" s="2" t="inlineStr"/>
    </row>
    <row r="855" ht="15" customHeight="1">
      <c r="A855" t="inlineStr">
        <is>
          <t>A 58591-2025</t>
        </is>
      </c>
      <c r="B855" s="1" t="n">
        <v>45986.40993055556</v>
      </c>
      <c r="C855" s="1" t="n">
        <v>46082</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280-2025</t>
        </is>
      </c>
      <c r="B856" s="1" t="n">
        <v>45660.49618055556</v>
      </c>
      <c r="C856" s="1" t="n">
        <v>46082</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59152-2025</t>
        </is>
      </c>
      <c r="B857" s="1" t="n">
        <v>45988.53221064815</v>
      </c>
      <c r="C857" s="1" t="n">
        <v>46082</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59151-2025</t>
        </is>
      </c>
      <c r="B858" s="1" t="n">
        <v>45988.53212962963</v>
      </c>
      <c r="C858" s="1" t="n">
        <v>46082</v>
      </c>
      <c r="D858" t="inlineStr">
        <is>
          <t>JÄMTLANDS LÄN</t>
        </is>
      </c>
      <c r="E858" t="inlineStr">
        <is>
          <t>KROKOM</t>
        </is>
      </c>
      <c r="G858" t="n">
        <v>1.7</v>
      </c>
      <c r="H858" t="n">
        <v>0</v>
      </c>
      <c r="I858" t="n">
        <v>0</v>
      </c>
      <c r="J858" t="n">
        <v>0</v>
      </c>
      <c r="K858" t="n">
        <v>0</v>
      </c>
      <c r="L858" t="n">
        <v>0</v>
      </c>
      <c r="M858" t="n">
        <v>0</v>
      </c>
      <c r="N858" t="n">
        <v>0</v>
      </c>
      <c r="O858" t="n">
        <v>0</v>
      </c>
      <c r="P858" t="n">
        <v>0</v>
      </c>
      <c r="Q858" t="n">
        <v>0</v>
      </c>
      <c r="R858" s="2" t="inlineStr"/>
    </row>
    <row r="859" ht="15" customHeight="1">
      <c r="A859" t="inlineStr">
        <is>
          <t>A 39490-2022</t>
        </is>
      </c>
      <c r="B859" s="1" t="n">
        <v>44818</v>
      </c>
      <c r="C859" s="1" t="n">
        <v>46082</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59087-2025</t>
        </is>
      </c>
      <c r="B860" s="1" t="n">
        <v>45988.44469907408</v>
      </c>
      <c r="C860" s="1" t="n">
        <v>46082</v>
      </c>
      <c r="D860" t="inlineStr">
        <is>
          <t>JÄMTLANDS LÄN</t>
        </is>
      </c>
      <c r="E860" t="inlineStr">
        <is>
          <t>KROKOM</t>
        </is>
      </c>
      <c r="G860" t="n">
        <v>5.4</v>
      </c>
      <c r="H860" t="n">
        <v>0</v>
      </c>
      <c r="I860" t="n">
        <v>0</v>
      </c>
      <c r="J860" t="n">
        <v>0</v>
      </c>
      <c r="K860" t="n">
        <v>0</v>
      </c>
      <c r="L860" t="n">
        <v>0</v>
      </c>
      <c r="M860" t="n">
        <v>0</v>
      </c>
      <c r="N860" t="n">
        <v>0</v>
      </c>
      <c r="O860" t="n">
        <v>0</v>
      </c>
      <c r="P860" t="n">
        <v>0</v>
      </c>
      <c r="Q860" t="n">
        <v>0</v>
      </c>
      <c r="R860" s="2" t="inlineStr"/>
    </row>
    <row r="861" ht="15" customHeight="1">
      <c r="A861" t="inlineStr">
        <is>
          <t>A 9043-2025</t>
        </is>
      </c>
      <c r="B861" s="1" t="n">
        <v>45713</v>
      </c>
      <c r="C861" s="1" t="n">
        <v>46082</v>
      </c>
      <c r="D861" t="inlineStr">
        <is>
          <t>JÄMTLANDS LÄN</t>
        </is>
      </c>
      <c r="E861" t="inlineStr">
        <is>
          <t>KROKOM</t>
        </is>
      </c>
      <c r="F861" t="inlineStr">
        <is>
          <t>Övriga Aktiebolag</t>
        </is>
      </c>
      <c r="G861" t="n">
        <v>43.6</v>
      </c>
      <c r="H861" t="n">
        <v>0</v>
      </c>
      <c r="I861" t="n">
        <v>0</v>
      </c>
      <c r="J861" t="n">
        <v>0</v>
      </c>
      <c r="K861" t="n">
        <v>0</v>
      </c>
      <c r="L861" t="n">
        <v>0</v>
      </c>
      <c r="M861" t="n">
        <v>0</v>
      </c>
      <c r="N861" t="n">
        <v>0</v>
      </c>
      <c r="O861" t="n">
        <v>0</v>
      </c>
      <c r="P861" t="n">
        <v>0</v>
      </c>
      <c r="Q861" t="n">
        <v>0</v>
      </c>
      <c r="R861" s="2" t="inlineStr"/>
    </row>
    <row r="862" ht="15" customHeight="1">
      <c r="A862" t="inlineStr">
        <is>
          <t>A 27954-2024</t>
        </is>
      </c>
      <c r="B862" s="1" t="n">
        <v>45476</v>
      </c>
      <c r="C862" s="1" t="n">
        <v>46082</v>
      </c>
      <c r="D862" t="inlineStr">
        <is>
          <t>JÄMTLANDS LÄN</t>
        </is>
      </c>
      <c r="E862" t="inlineStr">
        <is>
          <t>KROKOM</t>
        </is>
      </c>
      <c r="G862" t="n">
        <v>0.1</v>
      </c>
      <c r="H862" t="n">
        <v>0</v>
      </c>
      <c r="I862" t="n">
        <v>0</v>
      </c>
      <c r="J862" t="n">
        <v>0</v>
      </c>
      <c r="K862" t="n">
        <v>0</v>
      </c>
      <c r="L862" t="n">
        <v>0</v>
      </c>
      <c r="M862" t="n">
        <v>0</v>
      </c>
      <c r="N862" t="n">
        <v>0</v>
      </c>
      <c r="O862" t="n">
        <v>0</v>
      </c>
      <c r="P862" t="n">
        <v>0</v>
      </c>
      <c r="Q862" t="n">
        <v>0</v>
      </c>
      <c r="R862" s="2" t="inlineStr"/>
    </row>
    <row r="863" ht="15" customHeight="1">
      <c r="A863" t="inlineStr">
        <is>
          <t>A 58992-2025</t>
        </is>
      </c>
      <c r="B863" s="1" t="n">
        <v>45987</v>
      </c>
      <c r="C863" s="1" t="n">
        <v>46082</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51060-2024</t>
        </is>
      </c>
      <c r="B864" s="1" t="n">
        <v>45603.44815972223</v>
      </c>
      <c r="C864" s="1" t="n">
        <v>46082</v>
      </c>
      <c r="D864" t="inlineStr">
        <is>
          <t>JÄMTLANDS LÄN</t>
        </is>
      </c>
      <c r="E864" t="inlineStr">
        <is>
          <t>KROKOM</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74011-2021</t>
        </is>
      </c>
      <c r="B865" s="1" t="n">
        <v>44557</v>
      </c>
      <c r="C865" s="1" t="n">
        <v>46082</v>
      </c>
      <c r="D865" t="inlineStr">
        <is>
          <t>JÄMTLANDS LÄN</t>
        </is>
      </c>
      <c r="E865" t="inlineStr">
        <is>
          <t>KROKOM</t>
        </is>
      </c>
      <c r="G865" t="n">
        <v>33.2</v>
      </c>
      <c r="H865" t="n">
        <v>0</v>
      </c>
      <c r="I865" t="n">
        <v>0</v>
      </c>
      <c r="J865" t="n">
        <v>0</v>
      </c>
      <c r="K865" t="n">
        <v>0</v>
      </c>
      <c r="L865" t="n">
        <v>0</v>
      </c>
      <c r="M865" t="n">
        <v>0</v>
      </c>
      <c r="N865" t="n">
        <v>0</v>
      </c>
      <c r="O865" t="n">
        <v>0</v>
      </c>
      <c r="P865" t="n">
        <v>0</v>
      </c>
      <c r="Q865" t="n">
        <v>0</v>
      </c>
      <c r="R865" s="2" t="inlineStr"/>
    </row>
    <row r="866" ht="15" customHeight="1">
      <c r="A866" t="inlineStr">
        <is>
          <t>A 59845-2025</t>
        </is>
      </c>
      <c r="B866" s="1" t="n">
        <v>45992.68405092593</v>
      </c>
      <c r="C866" s="1" t="n">
        <v>46082</v>
      </c>
      <c r="D866" t="inlineStr">
        <is>
          <t>JÄMTLANDS LÄN</t>
        </is>
      </c>
      <c r="E866" t="inlineStr">
        <is>
          <t>KROKOM</t>
        </is>
      </c>
      <c r="G866" t="n">
        <v>6.1</v>
      </c>
      <c r="H866" t="n">
        <v>0</v>
      </c>
      <c r="I866" t="n">
        <v>0</v>
      </c>
      <c r="J866" t="n">
        <v>0</v>
      </c>
      <c r="K866" t="n">
        <v>0</v>
      </c>
      <c r="L866" t="n">
        <v>0</v>
      </c>
      <c r="M866" t="n">
        <v>0</v>
      </c>
      <c r="N866" t="n">
        <v>0</v>
      </c>
      <c r="O866" t="n">
        <v>0</v>
      </c>
      <c r="P866" t="n">
        <v>0</v>
      </c>
      <c r="Q866" t="n">
        <v>0</v>
      </c>
      <c r="R866" s="2" t="inlineStr"/>
    </row>
    <row r="867" ht="15" customHeight="1">
      <c r="A867" t="inlineStr">
        <is>
          <t>A 59369-2025</t>
        </is>
      </c>
      <c r="B867" s="1" t="n">
        <v>45989.44903935185</v>
      </c>
      <c r="C867" s="1" t="n">
        <v>46082</v>
      </c>
      <c r="D867" t="inlineStr">
        <is>
          <t>JÄMTLANDS LÄN</t>
        </is>
      </c>
      <c r="E867" t="inlineStr">
        <is>
          <t>KROKOM</t>
        </is>
      </c>
      <c r="G867" t="n">
        <v>25.2</v>
      </c>
      <c r="H867" t="n">
        <v>0</v>
      </c>
      <c r="I867" t="n">
        <v>0</v>
      </c>
      <c r="J867" t="n">
        <v>0</v>
      </c>
      <c r="K867" t="n">
        <v>0</v>
      </c>
      <c r="L867" t="n">
        <v>0</v>
      </c>
      <c r="M867" t="n">
        <v>0</v>
      </c>
      <c r="N867" t="n">
        <v>0</v>
      </c>
      <c r="O867" t="n">
        <v>0</v>
      </c>
      <c r="P867" t="n">
        <v>0</v>
      </c>
      <c r="Q867" t="n">
        <v>0</v>
      </c>
      <c r="R867" s="2" t="inlineStr"/>
    </row>
    <row r="868" ht="15" customHeight="1">
      <c r="A868" t="inlineStr">
        <is>
          <t>A 59371-2025</t>
        </is>
      </c>
      <c r="B868" s="1" t="n">
        <v>45989.44918981481</v>
      </c>
      <c r="C868" s="1" t="n">
        <v>46082</v>
      </c>
      <c r="D868" t="inlineStr">
        <is>
          <t>JÄMTLANDS LÄN</t>
        </is>
      </c>
      <c r="E868" t="inlineStr">
        <is>
          <t>KROKOM</t>
        </is>
      </c>
      <c r="G868" t="n">
        <v>2.9</v>
      </c>
      <c r="H868" t="n">
        <v>0</v>
      </c>
      <c r="I868" t="n">
        <v>0</v>
      </c>
      <c r="J868" t="n">
        <v>0</v>
      </c>
      <c r="K868" t="n">
        <v>0</v>
      </c>
      <c r="L868" t="n">
        <v>0</v>
      </c>
      <c r="M868" t="n">
        <v>0</v>
      </c>
      <c r="N868" t="n">
        <v>0</v>
      </c>
      <c r="O868" t="n">
        <v>0</v>
      </c>
      <c r="P868" t="n">
        <v>0</v>
      </c>
      <c r="Q868" t="n">
        <v>0</v>
      </c>
      <c r="R868" s="2" t="inlineStr"/>
    </row>
    <row r="869" ht="15" customHeight="1">
      <c r="A869" t="inlineStr">
        <is>
          <t>A 59335-2025</t>
        </is>
      </c>
      <c r="B869" s="1" t="n">
        <v>45989.36508101852</v>
      </c>
      <c r="C869" s="1" t="n">
        <v>46082</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9313-2025</t>
        </is>
      </c>
      <c r="B870" s="1" t="n">
        <v>45714.69212962963</v>
      </c>
      <c r="C870" s="1" t="n">
        <v>46082</v>
      </c>
      <c r="D870" t="inlineStr">
        <is>
          <t>JÄMTLANDS LÄN</t>
        </is>
      </c>
      <c r="E870" t="inlineStr">
        <is>
          <t>KROKOM</t>
        </is>
      </c>
      <c r="F870" t="inlineStr">
        <is>
          <t>Kyrkan</t>
        </is>
      </c>
      <c r="G870" t="n">
        <v>3.3</v>
      </c>
      <c r="H870" t="n">
        <v>0</v>
      </c>
      <c r="I870" t="n">
        <v>0</v>
      </c>
      <c r="J870" t="n">
        <v>0</v>
      </c>
      <c r="K870" t="n">
        <v>0</v>
      </c>
      <c r="L870" t="n">
        <v>0</v>
      </c>
      <c r="M870" t="n">
        <v>0</v>
      </c>
      <c r="N870" t="n">
        <v>0</v>
      </c>
      <c r="O870" t="n">
        <v>0</v>
      </c>
      <c r="P870" t="n">
        <v>0</v>
      </c>
      <c r="Q870" t="n">
        <v>0</v>
      </c>
      <c r="R870" s="2" t="inlineStr"/>
    </row>
    <row r="871" ht="15" customHeight="1">
      <c r="A871" t="inlineStr">
        <is>
          <t>A 15231-2022</t>
        </is>
      </c>
      <c r="B871" s="1" t="n">
        <v>44658</v>
      </c>
      <c r="C871" s="1" t="n">
        <v>46082</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47721-2024</t>
        </is>
      </c>
      <c r="B872" s="1" t="n">
        <v>45588</v>
      </c>
      <c r="C872" s="1" t="n">
        <v>46082</v>
      </c>
      <c r="D872" t="inlineStr">
        <is>
          <t>JÄMTLANDS LÄN</t>
        </is>
      </c>
      <c r="E872" t="inlineStr">
        <is>
          <t>KROKOM</t>
        </is>
      </c>
      <c r="G872" t="n">
        <v>19.2</v>
      </c>
      <c r="H872" t="n">
        <v>0</v>
      </c>
      <c r="I872" t="n">
        <v>0</v>
      </c>
      <c r="J872" t="n">
        <v>0</v>
      </c>
      <c r="K872" t="n">
        <v>0</v>
      </c>
      <c r="L872" t="n">
        <v>0</v>
      </c>
      <c r="M872" t="n">
        <v>0</v>
      </c>
      <c r="N872" t="n">
        <v>0</v>
      </c>
      <c r="O872" t="n">
        <v>0</v>
      </c>
      <c r="P872" t="n">
        <v>0</v>
      </c>
      <c r="Q872" t="n">
        <v>0</v>
      </c>
      <c r="R872" s="2" t="inlineStr"/>
    </row>
    <row r="873" ht="15" customHeight="1">
      <c r="A873" t="inlineStr">
        <is>
          <t>A 59705-2025</t>
        </is>
      </c>
      <c r="B873" s="1" t="n">
        <v>45992.50228009259</v>
      </c>
      <c r="C873" s="1" t="n">
        <v>46082</v>
      </c>
      <c r="D873" t="inlineStr">
        <is>
          <t>JÄMTLANDS LÄN</t>
        </is>
      </c>
      <c r="E873" t="inlineStr">
        <is>
          <t>KROKOM</t>
        </is>
      </c>
      <c r="G873" t="n">
        <v>2.4</v>
      </c>
      <c r="H873" t="n">
        <v>0</v>
      </c>
      <c r="I873" t="n">
        <v>0</v>
      </c>
      <c r="J873" t="n">
        <v>0</v>
      </c>
      <c r="K873" t="n">
        <v>0</v>
      </c>
      <c r="L873" t="n">
        <v>0</v>
      </c>
      <c r="M873" t="n">
        <v>0</v>
      </c>
      <c r="N873" t="n">
        <v>0</v>
      </c>
      <c r="O873" t="n">
        <v>0</v>
      </c>
      <c r="P873" t="n">
        <v>0</v>
      </c>
      <c r="Q873" t="n">
        <v>0</v>
      </c>
      <c r="R873" s="2" t="inlineStr"/>
    </row>
    <row r="874" ht="15" customHeight="1">
      <c r="A874" t="inlineStr">
        <is>
          <t>A 59417-2025</t>
        </is>
      </c>
      <c r="B874" s="1" t="n">
        <v>45989.51085648148</v>
      </c>
      <c r="C874" s="1" t="n">
        <v>46082</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41675-2024</t>
        </is>
      </c>
      <c r="B875" s="1" t="n">
        <v>45560.6599537037</v>
      </c>
      <c r="C875" s="1" t="n">
        <v>46082</v>
      </c>
      <c r="D875" t="inlineStr">
        <is>
          <t>JÄMTLANDS LÄN</t>
        </is>
      </c>
      <c r="E875" t="inlineStr">
        <is>
          <t>KROKOM</t>
        </is>
      </c>
      <c r="G875" t="n">
        <v>7</v>
      </c>
      <c r="H875" t="n">
        <v>0</v>
      </c>
      <c r="I875" t="n">
        <v>0</v>
      </c>
      <c r="J875" t="n">
        <v>0</v>
      </c>
      <c r="K875" t="n">
        <v>0</v>
      </c>
      <c r="L875" t="n">
        <v>0</v>
      </c>
      <c r="M875" t="n">
        <v>0</v>
      </c>
      <c r="N875" t="n">
        <v>0</v>
      </c>
      <c r="O875" t="n">
        <v>0</v>
      </c>
      <c r="P875" t="n">
        <v>0</v>
      </c>
      <c r="Q875" t="n">
        <v>0</v>
      </c>
      <c r="R875" s="2" t="inlineStr"/>
    </row>
    <row r="876" ht="15" customHeight="1">
      <c r="A876" t="inlineStr">
        <is>
          <t>A 60176-2025</t>
        </is>
      </c>
      <c r="B876" s="1" t="n">
        <v>45994.45447916666</v>
      </c>
      <c r="C876" s="1" t="n">
        <v>46082</v>
      </c>
      <c r="D876" t="inlineStr">
        <is>
          <t>JÄMTLANDS LÄN</t>
        </is>
      </c>
      <c r="E876" t="inlineStr">
        <is>
          <t>KROKOM</t>
        </is>
      </c>
      <c r="G876" t="n">
        <v>9.4</v>
      </c>
      <c r="H876" t="n">
        <v>0</v>
      </c>
      <c r="I876" t="n">
        <v>0</v>
      </c>
      <c r="J876" t="n">
        <v>0</v>
      </c>
      <c r="K876" t="n">
        <v>0</v>
      </c>
      <c r="L876" t="n">
        <v>0</v>
      </c>
      <c r="M876" t="n">
        <v>0</v>
      </c>
      <c r="N876" t="n">
        <v>0</v>
      </c>
      <c r="O876" t="n">
        <v>0</v>
      </c>
      <c r="P876" t="n">
        <v>0</v>
      </c>
      <c r="Q876" t="n">
        <v>0</v>
      </c>
      <c r="R876" s="2" t="inlineStr"/>
    </row>
    <row r="877" ht="15" customHeight="1">
      <c r="A877" t="inlineStr">
        <is>
          <t>A 60281-2025</t>
        </is>
      </c>
      <c r="B877" s="1" t="n">
        <v>45994.639375</v>
      </c>
      <c r="C877" s="1" t="n">
        <v>46082</v>
      </c>
      <c r="D877" t="inlineStr">
        <is>
          <t>JÄMTLANDS LÄN</t>
        </is>
      </c>
      <c r="E877" t="inlineStr">
        <is>
          <t>KROKOM</t>
        </is>
      </c>
      <c r="G877" t="n">
        <v>1.5</v>
      </c>
      <c r="H877" t="n">
        <v>0</v>
      </c>
      <c r="I877" t="n">
        <v>0</v>
      </c>
      <c r="J877" t="n">
        <v>0</v>
      </c>
      <c r="K877" t="n">
        <v>0</v>
      </c>
      <c r="L877" t="n">
        <v>0</v>
      </c>
      <c r="M877" t="n">
        <v>0</v>
      </c>
      <c r="N877" t="n">
        <v>0</v>
      </c>
      <c r="O877" t="n">
        <v>0</v>
      </c>
      <c r="P877" t="n">
        <v>0</v>
      </c>
      <c r="Q877" t="n">
        <v>0</v>
      </c>
      <c r="R877" s="2" t="inlineStr"/>
    </row>
    <row r="878" ht="15" customHeight="1">
      <c r="A878" t="inlineStr">
        <is>
          <t>A 59922-2025</t>
        </is>
      </c>
      <c r="B878" s="1" t="n">
        <v>45993.38613425926</v>
      </c>
      <c r="C878" s="1" t="n">
        <v>46082</v>
      </c>
      <c r="D878" t="inlineStr">
        <is>
          <t>JÄMTLANDS LÄN</t>
        </is>
      </c>
      <c r="E878" t="inlineStr">
        <is>
          <t>KROKOM</t>
        </is>
      </c>
      <c r="G878" t="n">
        <v>7.8</v>
      </c>
      <c r="H878" t="n">
        <v>0</v>
      </c>
      <c r="I878" t="n">
        <v>0</v>
      </c>
      <c r="J878" t="n">
        <v>0</v>
      </c>
      <c r="K878" t="n">
        <v>0</v>
      </c>
      <c r="L878" t="n">
        <v>0</v>
      </c>
      <c r="M878" t="n">
        <v>0</v>
      </c>
      <c r="N878" t="n">
        <v>0</v>
      </c>
      <c r="O878" t="n">
        <v>0</v>
      </c>
      <c r="P878" t="n">
        <v>0</v>
      </c>
      <c r="Q878" t="n">
        <v>0</v>
      </c>
      <c r="R878" s="2" t="inlineStr"/>
    </row>
    <row r="879" ht="15" customHeight="1">
      <c r="A879" t="inlineStr">
        <is>
          <t>A 60222-2025</t>
        </is>
      </c>
      <c r="B879" s="1" t="n">
        <v>45994</v>
      </c>
      <c r="C879" s="1" t="n">
        <v>46082</v>
      </c>
      <c r="D879" t="inlineStr">
        <is>
          <t>JÄMTLANDS LÄN</t>
        </is>
      </c>
      <c r="E879" t="inlineStr">
        <is>
          <t>KROKOM</t>
        </is>
      </c>
      <c r="G879" t="n">
        <v>4.2</v>
      </c>
      <c r="H879" t="n">
        <v>0</v>
      </c>
      <c r="I879" t="n">
        <v>0</v>
      </c>
      <c r="J879" t="n">
        <v>0</v>
      </c>
      <c r="K879" t="n">
        <v>0</v>
      </c>
      <c r="L879" t="n">
        <v>0</v>
      </c>
      <c r="M879" t="n">
        <v>0</v>
      </c>
      <c r="N879" t="n">
        <v>0</v>
      </c>
      <c r="O879" t="n">
        <v>0</v>
      </c>
      <c r="P879" t="n">
        <v>0</v>
      </c>
      <c r="Q879" t="n">
        <v>0</v>
      </c>
      <c r="R879" s="2" t="inlineStr"/>
    </row>
    <row r="880" ht="15" customHeight="1">
      <c r="A880" t="inlineStr">
        <is>
          <t>A 6342-2025</t>
        </is>
      </c>
      <c r="B880" s="1" t="n">
        <v>45699</v>
      </c>
      <c r="C880" s="1" t="n">
        <v>46082</v>
      </c>
      <c r="D880" t="inlineStr">
        <is>
          <t>JÄMTLANDS LÄN</t>
        </is>
      </c>
      <c r="E880" t="inlineStr">
        <is>
          <t>KROKOM</t>
        </is>
      </c>
      <c r="F880" t="inlineStr">
        <is>
          <t>Övriga Aktiebolag</t>
        </is>
      </c>
      <c r="G880" t="n">
        <v>6.5</v>
      </c>
      <c r="H880" t="n">
        <v>0</v>
      </c>
      <c r="I880" t="n">
        <v>0</v>
      </c>
      <c r="J880" t="n">
        <v>0</v>
      </c>
      <c r="K880" t="n">
        <v>0</v>
      </c>
      <c r="L880" t="n">
        <v>0</v>
      </c>
      <c r="M880" t="n">
        <v>0</v>
      </c>
      <c r="N880" t="n">
        <v>0</v>
      </c>
      <c r="O880" t="n">
        <v>0</v>
      </c>
      <c r="P880" t="n">
        <v>0</v>
      </c>
      <c r="Q880" t="n">
        <v>0</v>
      </c>
      <c r="R880" s="2" t="inlineStr"/>
    </row>
    <row r="881" ht="15" customHeight="1">
      <c r="A881" t="inlineStr">
        <is>
          <t>A 10782-2023</t>
        </is>
      </c>
      <c r="B881" s="1" t="n">
        <v>44988.94056712963</v>
      </c>
      <c r="C881" s="1" t="n">
        <v>46082</v>
      </c>
      <c r="D881" t="inlineStr">
        <is>
          <t>JÄMTLANDS LÄN</t>
        </is>
      </c>
      <c r="E881" t="inlineStr">
        <is>
          <t>KROKOM</t>
        </is>
      </c>
      <c r="F881" t="inlineStr">
        <is>
          <t>SCA</t>
        </is>
      </c>
      <c r="G881" t="n">
        <v>68.8</v>
      </c>
      <c r="H881" t="n">
        <v>0</v>
      </c>
      <c r="I881" t="n">
        <v>0</v>
      </c>
      <c r="J881" t="n">
        <v>0</v>
      </c>
      <c r="K881" t="n">
        <v>0</v>
      </c>
      <c r="L881" t="n">
        <v>0</v>
      </c>
      <c r="M881" t="n">
        <v>0</v>
      </c>
      <c r="N881" t="n">
        <v>0</v>
      </c>
      <c r="O881" t="n">
        <v>0</v>
      </c>
      <c r="P881" t="n">
        <v>0</v>
      </c>
      <c r="Q881" t="n">
        <v>0</v>
      </c>
      <c r="R881" s="2" t="inlineStr"/>
    </row>
    <row r="882" ht="15" customHeight="1">
      <c r="A882" t="inlineStr">
        <is>
          <t>A 60609-2025</t>
        </is>
      </c>
      <c r="B882" s="1" t="n">
        <v>45996.36501157407</v>
      </c>
      <c r="C882" s="1" t="n">
        <v>46082</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46632-2023</t>
        </is>
      </c>
      <c r="B883" s="1" t="n">
        <v>45198.42734953704</v>
      </c>
      <c r="C883" s="1" t="n">
        <v>46082</v>
      </c>
      <c r="D883" t="inlineStr">
        <is>
          <t>JÄMTLANDS LÄN</t>
        </is>
      </c>
      <c r="E883" t="inlineStr">
        <is>
          <t>KROKOM</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2828-2026</t>
        </is>
      </c>
      <c r="B884" s="1" t="n">
        <v>46036</v>
      </c>
      <c r="C884" s="1" t="n">
        <v>46082</v>
      </c>
      <c r="D884" t="inlineStr">
        <is>
          <t>JÄMTLANDS LÄN</t>
        </is>
      </c>
      <c r="E884" t="inlineStr">
        <is>
          <t>KROKOM</t>
        </is>
      </c>
      <c r="G884" t="n">
        <v>35.7</v>
      </c>
      <c r="H884" t="n">
        <v>0</v>
      </c>
      <c r="I884" t="n">
        <v>0</v>
      </c>
      <c r="J884" t="n">
        <v>0</v>
      </c>
      <c r="K884" t="n">
        <v>0</v>
      </c>
      <c r="L884" t="n">
        <v>0</v>
      </c>
      <c r="M884" t="n">
        <v>0</v>
      </c>
      <c r="N884" t="n">
        <v>0</v>
      </c>
      <c r="O884" t="n">
        <v>0</v>
      </c>
      <c r="P884" t="n">
        <v>0</v>
      </c>
      <c r="Q884" t="n">
        <v>0</v>
      </c>
      <c r="R884" s="2" t="inlineStr"/>
    </row>
    <row r="885" ht="15" customHeight="1">
      <c r="A885" t="inlineStr">
        <is>
          <t>A 60385-2025</t>
        </is>
      </c>
      <c r="B885" s="1" t="n">
        <v>45995.38047453704</v>
      </c>
      <c r="C885" s="1" t="n">
        <v>46082</v>
      </c>
      <c r="D885" t="inlineStr">
        <is>
          <t>JÄMTLANDS LÄN</t>
        </is>
      </c>
      <c r="E885" t="inlineStr">
        <is>
          <t>KROKOM</t>
        </is>
      </c>
      <c r="G885" t="n">
        <v>2.4</v>
      </c>
      <c r="H885" t="n">
        <v>0</v>
      </c>
      <c r="I885" t="n">
        <v>0</v>
      </c>
      <c r="J885" t="n">
        <v>0</v>
      </c>
      <c r="K885" t="n">
        <v>0</v>
      </c>
      <c r="L885" t="n">
        <v>0</v>
      </c>
      <c r="M885" t="n">
        <v>0</v>
      </c>
      <c r="N885" t="n">
        <v>0</v>
      </c>
      <c r="O885" t="n">
        <v>0</v>
      </c>
      <c r="P885" t="n">
        <v>0</v>
      </c>
      <c r="Q885" t="n">
        <v>0</v>
      </c>
      <c r="R885" s="2" t="inlineStr"/>
    </row>
    <row r="886" ht="15" customHeight="1">
      <c r="A886" t="inlineStr">
        <is>
          <t>A 18476-2022</t>
        </is>
      </c>
      <c r="B886" s="1" t="n">
        <v>44686</v>
      </c>
      <c r="C886" s="1" t="n">
        <v>46082</v>
      </c>
      <c r="D886" t="inlineStr">
        <is>
          <t>JÄMTLANDS LÄN</t>
        </is>
      </c>
      <c r="E886" t="inlineStr">
        <is>
          <t>KROKOM</t>
        </is>
      </c>
      <c r="G886" t="n">
        <v>11.7</v>
      </c>
      <c r="H886" t="n">
        <v>0</v>
      </c>
      <c r="I886" t="n">
        <v>0</v>
      </c>
      <c r="J886" t="n">
        <v>0</v>
      </c>
      <c r="K886" t="n">
        <v>0</v>
      </c>
      <c r="L886" t="n">
        <v>0</v>
      </c>
      <c r="M886" t="n">
        <v>0</v>
      </c>
      <c r="N886" t="n">
        <v>0</v>
      </c>
      <c r="O886" t="n">
        <v>0</v>
      </c>
      <c r="P886" t="n">
        <v>0</v>
      </c>
      <c r="Q886" t="n">
        <v>0</v>
      </c>
      <c r="R886" s="2" t="inlineStr"/>
    </row>
    <row r="887" ht="15" customHeight="1">
      <c r="A887" t="inlineStr">
        <is>
          <t>A 60425-2025</t>
        </is>
      </c>
      <c r="B887" s="1" t="n">
        <v>45995.46976851852</v>
      </c>
      <c r="C887" s="1" t="n">
        <v>46082</v>
      </c>
      <c r="D887" t="inlineStr">
        <is>
          <t>JÄMTLANDS LÄN</t>
        </is>
      </c>
      <c r="E887" t="inlineStr">
        <is>
          <t>KROKOM</t>
        </is>
      </c>
      <c r="G887" t="n">
        <v>5.2</v>
      </c>
      <c r="H887" t="n">
        <v>0</v>
      </c>
      <c r="I887" t="n">
        <v>0</v>
      </c>
      <c r="J887" t="n">
        <v>0</v>
      </c>
      <c r="K887" t="n">
        <v>0</v>
      </c>
      <c r="L887" t="n">
        <v>0</v>
      </c>
      <c r="M887" t="n">
        <v>0</v>
      </c>
      <c r="N887" t="n">
        <v>0</v>
      </c>
      <c r="O887" t="n">
        <v>0</v>
      </c>
      <c r="P887" t="n">
        <v>0</v>
      </c>
      <c r="Q887" t="n">
        <v>0</v>
      </c>
      <c r="R887" s="2" t="inlineStr"/>
    </row>
    <row r="888" ht="15" customHeight="1">
      <c r="A888" t="inlineStr">
        <is>
          <t>A 44296-2024</t>
        </is>
      </c>
      <c r="B888" s="1" t="n">
        <v>45573.54893518519</v>
      </c>
      <c r="C888" s="1" t="n">
        <v>46082</v>
      </c>
      <c r="D888" t="inlineStr">
        <is>
          <t>JÄMTLANDS LÄN</t>
        </is>
      </c>
      <c r="E888" t="inlineStr">
        <is>
          <t>KROKOM</t>
        </is>
      </c>
      <c r="G888" t="n">
        <v>6.1</v>
      </c>
      <c r="H888" t="n">
        <v>0</v>
      </c>
      <c r="I888" t="n">
        <v>0</v>
      </c>
      <c r="J888" t="n">
        <v>0</v>
      </c>
      <c r="K888" t="n">
        <v>0</v>
      </c>
      <c r="L888" t="n">
        <v>0</v>
      </c>
      <c r="M888" t="n">
        <v>0</v>
      </c>
      <c r="N888" t="n">
        <v>0</v>
      </c>
      <c r="O888" t="n">
        <v>0</v>
      </c>
      <c r="P888" t="n">
        <v>0</v>
      </c>
      <c r="Q888" t="n">
        <v>0</v>
      </c>
      <c r="R888" s="2" t="inlineStr"/>
    </row>
    <row r="889" ht="15" customHeight="1">
      <c r="A889" t="inlineStr">
        <is>
          <t>A 19698-2024</t>
        </is>
      </c>
      <c r="B889" s="1" t="n">
        <v>45432.54027777778</v>
      </c>
      <c r="C889" s="1" t="n">
        <v>46082</v>
      </c>
      <c r="D889" t="inlineStr">
        <is>
          <t>JÄMTLANDS LÄN</t>
        </is>
      </c>
      <c r="E889" t="inlineStr">
        <is>
          <t>KROKOM</t>
        </is>
      </c>
      <c r="G889" t="n">
        <v>15.9</v>
      </c>
      <c r="H889" t="n">
        <v>0</v>
      </c>
      <c r="I889" t="n">
        <v>0</v>
      </c>
      <c r="J889" t="n">
        <v>0</v>
      </c>
      <c r="K889" t="n">
        <v>0</v>
      </c>
      <c r="L889" t="n">
        <v>0</v>
      </c>
      <c r="M889" t="n">
        <v>0</v>
      </c>
      <c r="N889" t="n">
        <v>0</v>
      </c>
      <c r="O889" t="n">
        <v>0</v>
      </c>
      <c r="P889" t="n">
        <v>0</v>
      </c>
      <c r="Q889" t="n">
        <v>0</v>
      </c>
      <c r="R889" s="2" t="inlineStr"/>
    </row>
    <row r="890" ht="15" customHeight="1">
      <c r="A890" t="inlineStr">
        <is>
          <t>A 42825-2023</t>
        </is>
      </c>
      <c r="B890" s="1" t="n">
        <v>45182</v>
      </c>
      <c r="C890" s="1" t="n">
        <v>46082</v>
      </c>
      <c r="D890" t="inlineStr">
        <is>
          <t>JÄMTLANDS LÄN</t>
        </is>
      </c>
      <c r="E890" t="inlineStr">
        <is>
          <t>KROKOM</t>
        </is>
      </c>
      <c r="G890" t="n">
        <v>0.2</v>
      </c>
      <c r="H890" t="n">
        <v>0</v>
      </c>
      <c r="I890" t="n">
        <v>0</v>
      </c>
      <c r="J890" t="n">
        <v>0</v>
      </c>
      <c r="K890" t="n">
        <v>0</v>
      </c>
      <c r="L890" t="n">
        <v>0</v>
      </c>
      <c r="M890" t="n">
        <v>0</v>
      </c>
      <c r="N890" t="n">
        <v>0</v>
      </c>
      <c r="O890" t="n">
        <v>0</v>
      </c>
      <c r="P890" t="n">
        <v>0</v>
      </c>
      <c r="Q890" t="n">
        <v>0</v>
      </c>
      <c r="R890" s="2" t="inlineStr"/>
    </row>
    <row r="891" ht="15" customHeight="1">
      <c r="A891" t="inlineStr">
        <is>
          <t>A 60611-2025</t>
        </is>
      </c>
      <c r="B891" s="1" t="n">
        <v>45996.36534722222</v>
      </c>
      <c r="C891" s="1" t="n">
        <v>46082</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60462-2025</t>
        </is>
      </c>
      <c r="B892" s="1" t="n">
        <v>45995.55258101852</v>
      </c>
      <c r="C892" s="1" t="n">
        <v>46082</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60610-2025</t>
        </is>
      </c>
      <c r="B893" s="1" t="n">
        <v>45996.36520833334</v>
      </c>
      <c r="C893" s="1" t="n">
        <v>46082</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61294-2025</t>
        </is>
      </c>
      <c r="B894" s="1" t="n">
        <v>46000</v>
      </c>
      <c r="C894" s="1" t="n">
        <v>46082</v>
      </c>
      <c r="D894" t="inlineStr">
        <is>
          <t>JÄMTLANDS LÄN</t>
        </is>
      </c>
      <c r="E894" t="inlineStr">
        <is>
          <t>KROKOM</t>
        </is>
      </c>
      <c r="G894" t="n">
        <v>0.9</v>
      </c>
      <c r="H894" t="n">
        <v>0</v>
      </c>
      <c r="I894" t="n">
        <v>0</v>
      </c>
      <c r="J894" t="n">
        <v>0</v>
      </c>
      <c r="K894" t="n">
        <v>0</v>
      </c>
      <c r="L894" t="n">
        <v>0</v>
      </c>
      <c r="M894" t="n">
        <v>0</v>
      </c>
      <c r="N894" t="n">
        <v>0</v>
      </c>
      <c r="O894" t="n">
        <v>0</v>
      </c>
      <c r="P894" t="n">
        <v>0</v>
      </c>
      <c r="Q894" t="n">
        <v>0</v>
      </c>
      <c r="R894" s="2" t="inlineStr"/>
    </row>
    <row r="895" ht="15" customHeight="1">
      <c r="A895" t="inlineStr">
        <is>
          <t>A 52590-2023</t>
        </is>
      </c>
      <c r="B895" s="1" t="n">
        <v>45225.60212962963</v>
      </c>
      <c r="C895" s="1" t="n">
        <v>46082</v>
      </c>
      <c r="D895" t="inlineStr">
        <is>
          <t>JÄMTLANDS LÄN</t>
        </is>
      </c>
      <c r="E895" t="inlineStr">
        <is>
          <t>KROKOM</t>
        </is>
      </c>
      <c r="G895" t="n">
        <v>9</v>
      </c>
      <c r="H895" t="n">
        <v>0</v>
      </c>
      <c r="I895" t="n">
        <v>0</v>
      </c>
      <c r="J895" t="n">
        <v>0</v>
      </c>
      <c r="K895" t="n">
        <v>0</v>
      </c>
      <c r="L895" t="n">
        <v>0</v>
      </c>
      <c r="M895" t="n">
        <v>0</v>
      </c>
      <c r="N895" t="n">
        <v>0</v>
      </c>
      <c r="O895" t="n">
        <v>0</v>
      </c>
      <c r="P895" t="n">
        <v>0</v>
      </c>
      <c r="Q895" t="n">
        <v>0</v>
      </c>
      <c r="R895" s="2" t="inlineStr"/>
    </row>
    <row r="896" ht="15" customHeight="1">
      <c r="A896" t="inlineStr">
        <is>
          <t>A 61256-2025</t>
        </is>
      </c>
      <c r="B896" s="1" t="n">
        <v>46000</v>
      </c>
      <c r="C896" s="1" t="n">
        <v>46082</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61198-2025</t>
        </is>
      </c>
      <c r="B897" s="1" t="n">
        <v>46000.60819444444</v>
      </c>
      <c r="C897" s="1" t="n">
        <v>46082</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3408-2026</t>
        </is>
      </c>
      <c r="B898" s="1" t="n">
        <v>46042.40603009259</v>
      </c>
      <c r="C898" s="1" t="n">
        <v>46082</v>
      </c>
      <c r="D898" t="inlineStr">
        <is>
          <t>JÄMTLANDS LÄN</t>
        </is>
      </c>
      <c r="E898" t="inlineStr">
        <is>
          <t>KROKOM</t>
        </is>
      </c>
      <c r="G898" t="n">
        <v>3.8</v>
      </c>
      <c r="H898" t="n">
        <v>0</v>
      </c>
      <c r="I898" t="n">
        <v>0</v>
      </c>
      <c r="J898" t="n">
        <v>0</v>
      </c>
      <c r="K898" t="n">
        <v>0</v>
      </c>
      <c r="L898" t="n">
        <v>0</v>
      </c>
      <c r="M898" t="n">
        <v>0</v>
      </c>
      <c r="N898" t="n">
        <v>0</v>
      </c>
      <c r="O898" t="n">
        <v>0</v>
      </c>
      <c r="P898" t="n">
        <v>0</v>
      </c>
      <c r="Q898" t="n">
        <v>0</v>
      </c>
      <c r="R898" s="2" t="inlineStr"/>
    </row>
    <row r="899" ht="15" customHeight="1">
      <c r="A899" t="inlineStr">
        <is>
          <t>A 14170-2024</t>
        </is>
      </c>
      <c r="B899" s="1" t="n">
        <v>45392</v>
      </c>
      <c r="C899" s="1" t="n">
        <v>46082</v>
      </c>
      <c r="D899" t="inlineStr">
        <is>
          <t>JÄMTLANDS LÄN</t>
        </is>
      </c>
      <c r="E899" t="inlineStr">
        <is>
          <t>KROKOM</t>
        </is>
      </c>
      <c r="G899" t="n">
        <v>4.9</v>
      </c>
      <c r="H899" t="n">
        <v>0</v>
      </c>
      <c r="I899" t="n">
        <v>0</v>
      </c>
      <c r="J899" t="n">
        <v>0</v>
      </c>
      <c r="K899" t="n">
        <v>0</v>
      </c>
      <c r="L899" t="n">
        <v>0</v>
      </c>
      <c r="M899" t="n">
        <v>0</v>
      </c>
      <c r="N899" t="n">
        <v>0</v>
      </c>
      <c r="O899" t="n">
        <v>0</v>
      </c>
      <c r="P899" t="n">
        <v>0</v>
      </c>
      <c r="Q899" t="n">
        <v>0</v>
      </c>
      <c r="R899" s="2" t="inlineStr"/>
    </row>
    <row r="900" ht="15" customHeight="1">
      <c r="A900" t="inlineStr">
        <is>
          <t>A 14171-2024</t>
        </is>
      </c>
      <c r="B900" s="1" t="n">
        <v>45392</v>
      </c>
      <c r="C900" s="1" t="n">
        <v>46082</v>
      </c>
      <c r="D900" t="inlineStr">
        <is>
          <t>JÄMTLANDS LÄN</t>
        </is>
      </c>
      <c r="E900" t="inlineStr">
        <is>
          <t>KROKOM</t>
        </is>
      </c>
      <c r="G900" t="n">
        <v>5.9</v>
      </c>
      <c r="H900" t="n">
        <v>0</v>
      </c>
      <c r="I900" t="n">
        <v>0</v>
      </c>
      <c r="J900" t="n">
        <v>0</v>
      </c>
      <c r="K900" t="n">
        <v>0</v>
      </c>
      <c r="L900" t="n">
        <v>0</v>
      </c>
      <c r="M900" t="n">
        <v>0</v>
      </c>
      <c r="N900" t="n">
        <v>0</v>
      </c>
      <c r="O900" t="n">
        <v>0</v>
      </c>
      <c r="P900" t="n">
        <v>0</v>
      </c>
      <c r="Q900" t="n">
        <v>0</v>
      </c>
      <c r="R900" s="2" t="inlineStr"/>
    </row>
    <row r="901" ht="15" customHeight="1">
      <c r="A901" t="inlineStr">
        <is>
          <t>A 3591-2026</t>
        </is>
      </c>
      <c r="B901" s="1" t="n">
        <v>46042.77245370371</v>
      </c>
      <c r="C901" s="1" t="n">
        <v>46082</v>
      </c>
      <c r="D901" t="inlineStr">
        <is>
          <t>JÄMTLANDS LÄN</t>
        </is>
      </c>
      <c r="E901" t="inlineStr">
        <is>
          <t>KROKOM</t>
        </is>
      </c>
      <c r="G901" t="n">
        <v>5.1</v>
      </c>
      <c r="H901" t="n">
        <v>0</v>
      </c>
      <c r="I901" t="n">
        <v>0</v>
      </c>
      <c r="J901" t="n">
        <v>0</v>
      </c>
      <c r="K901" t="n">
        <v>0</v>
      </c>
      <c r="L901" t="n">
        <v>0</v>
      </c>
      <c r="M901" t="n">
        <v>0</v>
      </c>
      <c r="N901" t="n">
        <v>0</v>
      </c>
      <c r="O901" t="n">
        <v>0</v>
      </c>
      <c r="P901" t="n">
        <v>0</v>
      </c>
      <c r="Q901" t="n">
        <v>0</v>
      </c>
      <c r="R901" s="2" t="inlineStr"/>
    </row>
    <row r="902" ht="15" customHeight="1">
      <c r="A902" t="inlineStr">
        <is>
          <t>A 47838-2023</t>
        </is>
      </c>
      <c r="B902" s="1" t="n">
        <v>45204</v>
      </c>
      <c r="C902" s="1" t="n">
        <v>46082</v>
      </c>
      <c r="D902" t="inlineStr">
        <is>
          <t>JÄMTLANDS LÄN</t>
        </is>
      </c>
      <c r="E902" t="inlineStr">
        <is>
          <t>KROKOM</t>
        </is>
      </c>
      <c r="G902" t="n">
        <v>11.8</v>
      </c>
      <c r="H902" t="n">
        <v>0</v>
      </c>
      <c r="I902" t="n">
        <v>0</v>
      </c>
      <c r="J902" t="n">
        <v>0</v>
      </c>
      <c r="K902" t="n">
        <v>0</v>
      </c>
      <c r="L902" t="n">
        <v>0</v>
      </c>
      <c r="M902" t="n">
        <v>0</v>
      </c>
      <c r="N902" t="n">
        <v>0</v>
      </c>
      <c r="O902" t="n">
        <v>0</v>
      </c>
      <c r="P902" t="n">
        <v>0</v>
      </c>
      <c r="Q902" t="n">
        <v>0</v>
      </c>
      <c r="R902" s="2" t="inlineStr"/>
    </row>
    <row r="903" ht="15" customHeight="1">
      <c r="A903" t="inlineStr">
        <is>
          <t>A 5907-2025</t>
        </is>
      </c>
      <c r="B903" s="1" t="n">
        <v>45695.4046875</v>
      </c>
      <c r="C903" s="1" t="n">
        <v>46082</v>
      </c>
      <c r="D903" t="inlineStr">
        <is>
          <t>JÄMTLANDS LÄN</t>
        </is>
      </c>
      <c r="E903" t="inlineStr">
        <is>
          <t>KROKOM</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5920-2025</t>
        </is>
      </c>
      <c r="B904" s="1" t="n">
        <v>45695.42418981482</v>
      </c>
      <c r="C904" s="1" t="n">
        <v>46082</v>
      </c>
      <c r="D904" t="inlineStr">
        <is>
          <t>JÄMTLANDS LÄN</t>
        </is>
      </c>
      <c r="E904" t="inlineStr">
        <is>
          <t>KROKOM</t>
        </is>
      </c>
      <c r="F904" t="inlineStr">
        <is>
          <t>Övriga Aktiebolag</t>
        </is>
      </c>
      <c r="G904" t="n">
        <v>6.8</v>
      </c>
      <c r="H904" t="n">
        <v>0</v>
      </c>
      <c r="I904" t="n">
        <v>0</v>
      </c>
      <c r="J904" t="n">
        <v>0</v>
      </c>
      <c r="K904" t="n">
        <v>0</v>
      </c>
      <c r="L904" t="n">
        <v>0</v>
      </c>
      <c r="M904" t="n">
        <v>0</v>
      </c>
      <c r="N904" t="n">
        <v>0</v>
      </c>
      <c r="O904" t="n">
        <v>0</v>
      </c>
      <c r="P904" t="n">
        <v>0</v>
      </c>
      <c r="Q904" t="n">
        <v>0</v>
      </c>
      <c r="R904" s="2" t="inlineStr"/>
    </row>
    <row r="905" ht="15" customHeight="1">
      <c r="A905" t="inlineStr">
        <is>
          <t>A 61052-2025</t>
        </is>
      </c>
      <c r="B905" s="1" t="n">
        <v>46000.32486111111</v>
      </c>
      <c r="C905" s="1" t="n">
        <v>46082</v>
      </c>
      <c r="D905" t="inlineStr">
        <is>
          <t>JÄMTLANDS LÄN</t>
        </is>
      </c>
      <c r="E905" t="inlineStr">
        <is>
          <t>KROKOM</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60818-2025</t>
        </is>
      </c>
      <c r="B906" s="1" t="n">
        <v>45999.45039351852</v>
      </c>
      <c r="C906" s="1" t="n">
        <v>46082</v>
      </c>
      <c r="D906" t="inlineStr">
        <is>
          <t>JÄMTLANDS LÄN</t>
        </is>
      </c>
      <c r="E906" t="inlineStr">
        <is>
          <t>KROKOM</t>
        </is>
      </c>
      <c r="F906" t="inlineStr">
        <is>
          <t>Övriga Aktiebolag</t>
        </is>
      </c>
      <c r="G906" t="n">
        <v>6.7</v>
      </c>
      <c r="H906" t="n">
        <v>0</v>
      </c>
      <c r="I906" t="n">
        <v>0</v>
      </c>
      <c r="J906" t="n">
        <v>0</v>
      </c>
      <c r="K906" t="n">
        <v>0</v>
      </c>
      <c r="L906" t="n">
        <v>0</v>
      </c>
      <c r="M906" t="n">
        <v>0</v>
      </c>
      <c r="N906" t="n">
        <v>0</v>
      </c>
      <c r="O906" t="n">
        <v>0</v>
      </c>
      <c r="P906" t="n">
        <v>0</v>
      </c>
      <c r="Q906" t="n">
        <v>0</v>
      </c>
      <c r="R906" s="2" t="inlineStr"/>
    </row>
    <row r="907" ht="15" customHeight="1">
      <c r="A907" t="inlineStr">
        <is>
          <t>A 61206-2025</t>
        </is>
      </c>
      <c r="B907" s="1" t="n">
        <v>46000.6144212963</v>
      </c>
      <c r="C907" s="1" t="n">
        <v>46082</v>
      </c>
      <c r="D907" t="inlineStr">
        <is>
          <t>JÄMTLANDS LÄN</t>
        </is>
      </c>
      <c r="E907" t="inlineStr">
        <is>
          <t>KROKOM</t>
        </is>
      </c>
      <c r="F907" t="inlineStr">
        <is>
          <t>Övriga Aktiebolag</t>
        </is>
      </c>
      <c r="G907" t="n">
        <v>2.1</v>
      </c>
      <c r="H907" t="n">
        <v>0</v>
      </c>
      <c r="I907" t="n">
        <v>0</v>
      </c>
      <c r="J907" t="n">
        <v>0</v>
      </c>
      <c r="K907" t="n">
        <v>0</v>
      </c>
      <c r="L907" t="n">
        <v>0</v>
      </c>
      <c r="M907" t="n">
        <v>0</v>
      </c>
      <c r="N907" t="n">
        <v>0</v>
      </c>
      <c r="O907" t="n">
        <v>0</v>
      </c>
      <c r="P907" t="n">
        <v>0</v>
      </c>
      <c r="Q907" t="n">
        <v>0</v>
      </c>
      <c r="R907" s="2" t="inlineStr"/>
    </row>
    <row r="908" ht="15" customHeight="1">
      <c r="A908" t="inlineStr">
        <is>
          <t>A 61219-2025</t>
        </is>
      </c>
      <c r="B908" s="1" t="n">
        <v>46000.62464120371</v>
      </c>
      <c r="C908" s="1" t="n">
        <v>46082</v>
      </c>
      <c r="D908" t="inlineStr">
        <is>
          <t>JÄMTLANDS LÄN</t>
        </is>
      </c>
      <c r="E908" t="inlineStr">
        <is>
          <t>KROKOM</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42393-2024</t>
        </is>
      </c>
      <c r="B909" s="1" t="n">
        <v>45565.32449074074</v>
      </c>
      <c r="C909" s="1" t="n">
        <v>46082</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3230-2026</t>
        </is>
      </c>
      <c r="B910" s="1" t="n">
        <v>46041.55299768518</v>
      </c>
      <c r="C910" s="1" t="n">
        <v>46082</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61194-2025</t>
        </is>
      </c>
      <c r="B911" s="1" t="n">
        <v>46000.60290509259</v>
      </c>
      <c r="C911" s="1" t="n">
        <v>46082</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40221-2024</t>
        </is>
      </c>
      <c r="B912" s="1" t="n">
        <v>45554.59550925926</v>
      </c>
      <c r="C912" s="1" t="n">
        <v>46082</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62131-2024</t>
        </is>
      </c>
      <c r="B913" s="1" t="n">
        <v>45656</v>
      </c>
      <c r="C913" s="1" t="n">
        <v>46082</v>
      </c>
      <c r="D913" t="inlineStr">
        <is>
          <t>JÄMTLANDS LÄN</t>
        </is>
      </c>
      <c r="E913" t="inlineStr">
        <is>
          <t>KROKOM</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15310-2025</t>
        </is>
      </c>
      <c r="B914" s="1" t="n">
        <v>45746.79134259259</v>
      </c>
      <c r="C914" s="1" t="n">
        <v>46082</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3693-2026</t>
        </is>
      </c>
      <c r="B915" s="1" t="n">
        <v>46043</v>
      </c>
      <c r="C915" s="1" t="n">
        <v>46082</v>
      </c>
      <c r="D915" t="inlineStr">
        <is>
          <t>JÄMTLANDS LÄN</t>
        </is>
      </c>
      <c r="E915" t="inlineStr">
        <is>
          <t>KROKOM</t>
        </is>
      </c>
      <c r="G915" t="n">
        <v>6.9</v>
      </c>
      <c r="H915" t="n">
        <v>0</v>
      </c>
      <c r="I915" t="n">
        <v>0</v>
      </c>
      <c r="J915" t="n">
        <v>0</v>
      </c>
      <c r="K915" t="n">
        <v>0</v>
      </c>
      <c r="L915" t="n">
        <v>0</v>
      </c>
      <c r="M915" t="n">
        <v>0</v>
      </c>
      <c r="N915" t="n">
        <v>0</v>
      </c>
      <c r="O915" t="n">
        <v>0</v>
      </c>
      <c r="P915" t="n">
        <v>0</v>
      </c>
      <c r="Q915" t="n">
        <v>0</v>
      </c>
      <c r="R915" s="2" t="inlineStr"/>
    </row>
    <row r="916" ht="15" customHeight="1">
      <c r="A916" t="inlineStr">
        <is>
          <t>A 9796-2025</t>
        </is>
      </c>
      <c r="B916" s="1" t="n">
        <v>45716.55237268518</v>
      </c>
      <c r="C916" s="1" t="n">
        <v>46082</v>
      </c>
      <c r="D916" t="inlineStr">
        <is>
          <t>JÄMTLANDS LÄN</t>
        </is>
      </c>
      <c r="E916" t="inlineStr">
        <is>
          <t>KROKOM</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61402-2025</t>
        </is>
      </c>
      <c r="B917" s="1" t="n">
        <v>46001.48325231481</v>
      </c>
      <c r="C917" s="1" t="n">
        <v>46082</v>
      </c>
      <c r="D917" t="inlineStr">
        <is>
          <t>JÄMTLANDS LÄN</t>
        </is>
      </c>
      <c r="E917" t="inlineStr">
        <is>
          <t>KROKOM</t>
        </is>
      </c>
      <c r="G917" t="n">
        <v>11.5</v>
      </c>
      <c r="H917" t="n">
        <v>0</v>
      </c>
      <c r="I917" t="n">
        <v>0</v>
      </c>
      <c r="J917" t="n">
        <v>0</v>
      </c>
      <c r="K917" t="n">
        <v>0</v>
      </c>
      <c r="L917" t="n">
        <v>0</v>
      </c>
      <c r="M917" t="n">
        <v>0</v>
      </c>
      <c r="N917" t="n">
        <v>0</v>
      </c>
      <c r="O917" t="n">
        <v>0</v>
      </c>
      <c r="P917" t="n">
        <v>0</v>
      </c>
      <c r="Q917" t="n">
        <v>0</v>
      </c>
      <c r="R917" s="2" t="inlineStr"/>
    </row>
    <row r="918" ht="15" customHeight="1">
      <c r="A918" t="inlineStr">
        <is>
          <t>A 1323-2025</t>
        </is>
      </c>
      <c r="B918" s="1" t="n">
        <v>45667.57217592592</v>
      </c>
      <c r="C918" s="1" t="n">
        <v>46082</v>
      </c>
      <c r="D918" t="inlineStr">
        <is>
          <t>JÄMTLANDS LÄN</t>
        </is>
      </c>
      <c r="E918" t="inlineStr">
        <is>
          <t>KROKOM</t>
        </is>
      </c>
      <c r="G918" t="n">
        <v>5.9</v>
      </c>
      <c r="H918" t="n">
        <v>0</v>
      </c>
      <c r="I918" t="n">
        <v>0</v>
      </c>
      <c r="J918" t="n">
        <v>0</v>
      </c>
      <c r="K918" t="n">
        <v>0</v>
      </c>
      <c r="L918" t="n">
        <v>0</v>
      </c>
      <c r="M918" t="n">
        <v>0</v>
      </c>
      <c r="N918" t="n">
        <v>0</v>
      </c>
      <c r="O918" t="n">
        <v>0</v>
      </c>
      <c r="P918" t="n">
        <v>0</v>
      </c>
      <c r="Q918" t="n">
        <v>0</v>
      </c>
      <c r="R918" s="2" t="inlineStr"/>
    </row>
    <row r="919" ht="15" customHeight="1">
      <c r="A919" t="inlineStr">
        <is>
          <t>A 61575-2025</t>
        </is>
      </c>
      <c r="B919" s="1" t="n">
        <v>46002.32048611111</v>
      </c>
      <c r="C919" s="1" t="n">
        <v>46082</v>
      </c>
      <c r="D919" t="inlineStr">
        <is>
          <t>JÄMTLANDS LÄN</t>
        </is>
      </c>
      <c r="E919" t="inlineStr">
        <is>
          <t>KROKOM</t>
        </is>
      </c>
      <c r="F919" t="inlineStr">
        <is>
          <t>Övriga Aktiebolag</t>
        </is>
      </c>
      <c r="G919" t="n">
        <v>11.1</v>
      </c>
      <c r="H919" t="n">
        <v>0</v>
      </c>
      <c r="I919" t="n">
        <v>0</v>
      </c>
      <c r="J919" t="n">
        <v>0</v>
      </c>
      <c r="K919" t="n">
        <v>0</v>
      </c>
      <c r="L919" t="n">
        <v>0</v>
      </c>
      <c r="M919" t="n">
        <v>0</v>
      </c>
      <c r="N919" t="n">
        <v>0</v>
      </c>
      <c r="O919" t="n">
        <v>0</v>
      </c>
      <c r="P919" t="n">
        <v>0</v>
      </c>
      <c r="Q919" t="n">
        <v>0</v>
      </c>
      <c r="R919" s="2" t="inlineStr"/>
    </row>
    <row r="920" ht="15" customHeight="1">
      <c r="A920" t="inlineStr">
        <is>
          <t>A 6524-2025</t>
        </is>
      </c>
      <c r="B920" s="1" t="n">
        <v>45699.66576388889</v>
      </c>
      <c r="C920" s="1" t="n">
        <v>46082</v>
      </c>
      <c r="D920" t="inlineStr">
        <is>
          <t>JÄMTLANDS LÄN</t>
        </is>
      </c>
      <c r="E920" t="inlineStr">
        <is>
          <t>KROKOM</t>
        </is>
      </c>
      <c r="F920" t="inlineStr">
        <is>
          <t>Övriga Aktiebolag</t>
        </is>
      </c>
      <c r="G920" t="n">
        <v>51.6</v>
      </c>
      <c r="H920" t="n">
        <v>0</v>
      </c>
      <c r="I920" t="n">
        <v>0</v>
      </c>
      <c r="J920" t="n">
        <v>0</v>
      </c>
      <c r="K920" t="n">
        <v>0</v>
      </c>
      <c r="L920" t="n">
        <v>0</v>
      </c>
      <c r="M920" t="n">
        <v>0</v>
      </c>
      <c r="N920" t="n">
        <v>0</v>
      </c>
      <c r="O920" t="n">
        <v>0</v>
      </c>
      <c r="P920" t="n">
        <v>0</v>
      </c>
      <c r="Q920" t="n">
        <v>0</v>
      </c>
      <c r="R920" s="2" t="inlineStr"/>
    </row>
    <row r="921" ht="15" customHeight="1">
      <c r="A921" t="inlineStr">
        <is>
          <t>A 3776-2026</t>
        </is>
      </c>
      <c r="B921" s="1" t="n">
        <v>46043</v>
      </c>
      <c r="C921" s="1" t="n">
        <v>46082</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46046-2023</t>
        </is>
      </c>
      <c r="B922" s="1" t="n">
        <v>45190</v>
      </c>
      <c r="C922" s="1" t="n">
        <v>46082</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3802-2026</t>
        </is>
      </c>
      <c r="B923" s="1" t="n">
        <v>46043.58290509259</v>
      </c>
      <c r="C923" s="1" t="n">
        <v>46082</v>
      </c>
      <c r="D923" t="inlineStr">
        <is>
          <t>JÄMTLANDS LÄN</t>
        </is>
      </c>
      <c r="E923" t="inlineStr">
        <is>
          <t>KROKOM</t>
        </is>
      </c>
      <c r="G923" t="n">
        <v>6.7</v>
      </c>
      <c r="H923" t="n">
        <v>0</v>
      </c>
      <c r="I923" t="n">
        <v>0</v>
      </c>
      <c r="J923" t="n">
        <v>0</v>
      </c>
      <c r="K923" t="n">
        <v>0</v>
      </c>
      <c r="L923" t="n">
        <v>0</v>
      </c>
      <c r="M923" t="n">
        <v>0</v>
      </c>
      <c r="N923" t="n">
        <v>0</v>
      </c>
      <c r="O923" t="n">
        <v>0</v>
      </c>
      <c r="P923" t="n">
        <v>0</v>
      </c>
      <c r="Q923" t="n">
        <v>0</v>
      </c>
      <c r="R923" s="2" t="inlineStr"/>
    </row>
    <row r="924" ht="15" customHeight="1">
      <c r="A924" t="inlineStr">
        <is>
          <t>A 4423-2025</t>
        </is>
      </c>
      <c r="B924" s="1" t="n">
        <v>45686</v>
      </c>
      <c r="C924" s="1" t="n">
        <v>46082</v>
      </c>
      <c r="D924" t="inlineStr">
        <is>
          <t>JÄMTLANDS LÄN</t>
        </is>
      </c>
      <c r="E924" t="inlineStr">
        <is>
          <t>KROKOM</t>
        </is>
      </c>
      <c r="G924" t="n">
        <v>17.3</v>
      </c>
      <c r="H924" t="n">
        <v>0</v>
      </c>
      <c r="I924" t="n">
        <v>0</v>
      </c>
      <c r="J924" t="n">
        <v>0</v>
      </c>
      <c r="K924" t="n">
        <v>0</v>
      </c>
      <c r="L924" t="n">
        <v>0</v>
      </c>
      <c r="M924" t="n">
        <v>0</v>
      </c>
      <c r="N924" t="n">
        <v>0</v>
      </c>
      <c r="O924" t="n">
        <v>0</v>
      </c>
      <c r="P924" t="n">
        <v>0</v>
      </c>
      <c r="Q924" t="n">
        <v>0</v>
      </c>
      <c r="R924" s="2" t="inlineStr"/>
    </row>
    <row r="925" ht="15" customHeight="1">
      <c r="A925" t="inlineStr">
        <is>
          <t>A 61045-2025</t>
        </is>
      </c>
      <c r="B925" s="1" t="n">
        <v>46000.28285879629</v>
      </c>
      <c r="C925" s="1" t="n">
        <v>46082</v>
      </c>
      <c r="D925" t="inlineStr">
        <is>
          <t>JÄMTLANDS LÄN</t>
        </is>
      </c>
      <c r="E925" t="inlineStr">
        <is>
          <t>KROKOM</t>
        </is>
      </c>
      <c r="F925" t="inlineStr">
        <is>
          <t>Övriga Aktiebolag</t>
        </is>
      </c>
      <c r="G925" t="n">
        <v>8.1</v>
      </c>
      <c r="H925" t="n">
        <v>0</v>
      </c>
      <c r="I925" t="n">
        <v>0</v>
      </c>
      <c r="J925" t="n">
        <v>0</v>
      </c>
      <c r="K925" t="n">
        <v>0</v>
      </c>
      <c r="L925" t="n">
        <v>0</v>
      </c>
      <c r="M925" t="n">
        <v>0</v>
      </c>
      <c r="N925" t="n">
        <v>0</v>
      </c>
      <c r="O925" t="n">
        <v>0</v>
      </c>
      <c r="P925" t="n">
        <v>0</v>
      </c>
      <c r="Q925" t="n">
        <v>0</v>
      </c>
      <c r="R925" s="2" t="inlineStr"/>
    </row>
    <row r="926" ht="15" customHeight="1">
      <c r="A926" t="inlineStr">
        <is>
          <t>A 61161-2025</t>
        </is>
      </c>
      <c r="B926" s="1" t="n">
        <v>46000.55484953704</v>
      </c>
      <c r="C926" s="1" t="n">
        <v>46082</v>
      </c>
      <c r="D926" t="inlineStr">
        <is>
          <t>JÄMTLANDS LÄN</t>
        </is>
      </c>
      <c r="E926" t="inlineStr">
        <is>
          <t>KROKOM</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61044-2025</t>
        </is>
      </c>
      <c r="B927" s="1" t="n">
        <v>46000.28030092592</v>
      </c>
      <c r="C927" s="1" t="n">
        <v>46082</v>
      </c>
      <c r="D927" t="inlineStr">
        <is>
          <t>JÄMTLANDS LÄN</t>
        </is>
      </c>
      <c r="E927" t="inlineStr">
        <is>
          <t>KROKOM</t>
        </is>
      </c>
      <c r="F927" t="inlineStr">
        <is>
          <t>Övriga Aktiebolag</t>
        </is>
      </c>
      <c r="G927" t="n">
        <v>15.8</v>
      </c>
      <c r="H927" t="n">
        <v>0</v>
      </c>
      <c r="I927" t="n">
        <v>0</v>
      </c>
      <c r="J927" t="n">
        <v>0</v>
      </c>
      <c r="K927" t="n">
        <v>0</v>
      </c>
      <c r="L927" t="n">
        <v>0</v>
      </c>
      <c r="M927" t="n">
        <v>0</v>
      </c>
      <c r="N927" t="n">
        <v>0</v>
      </c>
      <c r="O927" t="n">
        <v>0</v>
      </c>
      <c r="P927" t="n">
        <v>0</v>
      </c>
      <c r="Q927" t="n">
        <v>0</v>
      </c>
      <c r="R927" s="2" t="inlineStr"/>
    </row>
    <row r="928" ht="15" customHeight="1">
      <c r="A928" t="inlineStr">
        <is>
          <t>A 3695-2026</t>
        </is>
      </c>
      <c r="B928" s="1" t="n">
        <v>46043</v>
      </c>
      <c r="C928" s="1" t="n">
        <v>46082</v>
      </c>
      <c r="D928" t="inlineStr">
        <is>
          <t>JÄMTLANDS LÄN</t>
        </is>
      </c>
      <c r="E928" t="inlineStr">
        <is>
          <t>KROKOM</t>
        </is>
      </c>
      <c r="G928" t="n">
        <v>4.1</v>
      </c>
      <c r="H928" t="n">
        <v>0</v>
      </c>
      <c r="I928" t="n">
        <v>0</v>
      </c>
      <c r="J928" t="n">
        <v>0</v>
      </c>
      <c r="K928" t="n">
        <v>0</v>
      </c>
      <c r="L928" t="n">
        <v>0</v>
      </c>
      <c r="M928" t="n">
        <v>0</v>
      </c>
      <c r="N928" t="n">
        <v>0</v>
      </c>
      <c r="O928" t="n">
        <v>0</v>
      </c>
      <c r="P928" t="n">
        <v>0</v>
      </c>
      <c r="Q928" t="n">
        <v>0</v>
      </c>
      <c r="R928" s="2" t="inlineStr"/>
    </row>
    <row r="929" ht="15" customHeight="1">
      <c r="A929" t="inlineStr">
        <is>
          <t>A 41784-2023</t>
        </is>
      </c>
      <c r="B929" s="1" t="n">
        <v>45176</v>
      </c>
      <c r="C929" s="1" t="n">
        <v>46082</v>
      </c>
      <c r="D929" t="inlineStr">
        <is>
          <t>JÄMTLANDS LÄN</t>
        </is>
      </c>
      <c r="E929" t="inlineStr">
        <is>
          <t>KROKOM</t>
        </is>
      </c>
      <c r="F929" t="inlineStr">
        <is>
          <t>Övriga Aktiebolag</t>
        </is>
      </c>
      <c r="G929" t="n">
        <v>3.1</v>
      </c>
      <c r="H929" t="n">
        <v>0</v>
      </c>
      <c r="I929" t="n">
        <v>0</v>
      </c>
      <c r="J929" t="n">
        <v>0</v>
      </c>
      <c r="K929" t="n">
        <v>0</v>
      </c>
      <c r="L929" t="n">
        <v>0</v>
      </c>
      <c r="M929" t="n">
        <v>0</v>
      </c>
      <c r="N929" t="n">
        <v>0</v>
      </c>
      <c r="O929" t="n">
        <v>0</v>
      </c>
      <c r="P929" t="n">
        <v>0</v>
      </c>
      <c r="Q929" t="n">
        <v>0</v>
      </c>
      <c r="R929" s="2" t="inlineStr"/>
    </row>
    <row r="930" ht="15" customHeight="1">
      <c r="A930" t="inlineStr">
        <is>
          <t>A 5785-2025</t>
        </is>
      </c>
      <c r="B930" s="1" t="n">
        <v>45694.64416666667</v>
      </c>
      <c r="C930" s="1" t="n">
        <v>46082</v>
      </c>
      <c r="D930" t="inlineStr">
        <is>
          <t>JÄMTLANDS LÄN</t>
        </is>
      </c>
      <c r="E930" t="inlineStr">
        <is>
          <t>KROKOM</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3875-2026</t>
        </is>
      </c>
      <c r="B931" s="1" t="n">
        <v>46043.64546296297</v>
      </c>
      <c r="C931" s="1" t="n">
        <v>46082</v>
      </c>
      <c r="D931" t="inlineStr">
        <is>
          <t>JÄMTLANDS LÄN</t>
        </is>
      </c>
      <c r="E931" t="inlineStr">
        <is>
          <t>KROKOM</t>
        </is>
      </c>
      <c r="G931" t="n">
        <v>5.8</v>
      </c>
      <c r="H931" t="n">
        <v>0</v>
      </c>
      <c r="I931" t="n">
        <v>0</v>
      </c>
      <c r="J931" t="n">
        <v>0</v>
      </c>
      <c r="K931" t="n">
        <v>0</v>
      </c>
      <c r="L931" t="n">
        <v>0</v>
      </c>
      <c r="M931" t="n">
        <v>0</v>
      </c>
      <c r="N931" t="n">
        <v>0</v>
      </c>
      <c r="O931" t="n">
        <v>0</v>
      </c>
      <c r="P931" t="n">
        <v>0</v>
      </c>
      <c r="Q931" t="n">
        <v>0</v>
      </c>
      <c r="R931" s="2" t="inlineStr"/>
    </row>
    <row r="932" ht="15" customHeight="1">
      <c r="A932" t="inlineStr">
        <is>
          <t>A 4275-2026</t>
        </is>
      </c>
      <c r="B932" s="1" t="n">
        <v>46045.36793981482</v>
      </c>
      <c r="C932" s="1" t="n">
        <v>46082</v>
      </c>
      <c r="D932" t="inlineStr">
        <is>
          <t>JÄMTLANDS LÄN</t>
        </is>
      </c>
      <c r="E932" t="inlineStr">
        <is>
          <t>KROKOM</t>
        </is>
      </c>
      <c r="G932" t="n">
        <v>7.1</v>
      </c>
      <c r="H932" t="n">
        <v>0</v>
      </c>
      <c r="I932" t="n">
        <v>0</v>
      </c>
      <c r="J932" t="n">
        <v>0</v>
      </c>
      <c r="K932" t="n">
        <v>0</v>
      </c>
      <c r="L932" t="n">
        <v>0</v>
      </c>
      <c r="M932" t="n">
        <v>0</v>
      </c>
      <c r="N932" t="n">
        <v>0</v>
      </c>
      <c r="O932" t="n">
        <v>0</v>
      </c>
      <c r="P932" t="n">
        <v>0</v>
      </c>
      <c r="Q932" t="n">
        <v>0</v>
      </c>
      <c r="R932" s="2" t="inlineStr"/>
    </row>
    <row r="933" ht="15" customHeight="1">
      <c r="A933" t="inlineStr">
        <is>
          <t>A 4407-2026</t>
        </is>
      </c>
      <c r="B933" s="1" t="n">
        <v>46045.59451388889</v>
      </c>
      <c r="C933" s="1" t="n">
        <v>46082</v>
      </c>
      <c r="D933" t="inlineStr">
        <is>
          <t>JÄMTLANDS LÄN</t>
        </is>
      </c>
      <c r="E933" t="inlineStr">
        <is>
          <t>KROKOM</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4410-2026</t>
        </is>
      </c>
      <c r="B934" s="1" t="n">
        <v>46045.59483796296</v>
      </c>
      <c r="C934" s="1" t="n">
        <v>46082</v>
      </c>
      <c r="D934" t="inlineStr">
        <is>
          <t>JÄMTLANDS LÄN</t>
        </is>
      </c>
      <c r="E934" t="inlineStr">
        <is>
          <t>KROKOM</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4656-2026</t>
        </is>
      </c>
      <c r="B935" s="1" t="n">
        <v>46048.40761574074</v>
      </c>
      <c r="C935" s="1" t="n">
        <v>46082</v>
      </c>
      <c r="D935" t="inlineStr">
        <is>
          <t>JÄMTLANDS LÄN</t>
        </is>
      </c>
      <c r="E935" t="inlineStr">
        <is>
          <t>KROKOM</t>
        </is>
      </c>
      <c r="G935" t="n">
        <v>0.5</v>
      </c>
      <c r="H935" t="n">
        <v>0</v>
      </c>
      <c r="I935" t="n">
        <v>0</v>
      </c>
      <c r="J935" t="n">
        <v>0</v>
      </c>
      <c r="K935" t="n">
        <v>0</v>
      </c>
      <c r="L935" t="n">
        <v>0</v>
      </c>
      <c r="M935" t="n">
        <v>0</v>
      </c>
      <c r="N935" t="n">
        <v>0</v>
      </c>
      <c r="O935" t="n">
        <v>0</v>
      </c>
      <c r="P935" t="n">
        <v>0</v>
      </c>
      <c r="Q935" t="n">
        <v>0</v>
      </c>
      <c r="R935" s="2" t="inlineStr"/>
    </row>
    <row r="936" ht="15" customHeight="1">
      <c r="A936" t="inlineStr">
        <is>
          <t>A 4658-2026</t>
        </is>
      </c>
      <c r="B936" s="1" t="n">
        <v>46048.40784722222</v>
      </c>
      <c r="C936" s="1" t="n">
        <v>46082</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61956-2025</t>
        </is>
      </c>
      <c r="B937" s="1" t="n">
        <v>46003.57759259259</v>
      </c>
      <c r="C937" s="1" t="n">
        <v>46082</v>
      </c>
      <c r="D937" t="inlineStr">
        <is>
          <t>JÄMTLANDS LÄN</t>
        </is>
      </c>
      <c r="E937" t="inlineStr">
        <is>
          <t>KROKOM</t>
        </is>
      </c>
      <c r="F937" t="inlineStr">
        <is>
          <t>Övriga Aktiebolag</t>
        </is>
      </c>
      <c r="G937" t="n">
        <v>0.6</v>
      </c>
      <c r="H937" t="n">
        <v>0</v>
      </c>
      <c r="I937" t="n">
        <v>0</v>
      </c>
      <c r="J937" t="n">
        <v>0</v>
      </c>
      <c r="K937" t="n">
        <v>0</v>
      </c>
      <c r="L937" t="n">
        <v>0</v>
      </c>
      <c r="M937" t="n">
        <v>0</v>
      </c>
      <c r="N937" t="n">
        <v>0</v>
      </c>
      <c r="O937" t="n">
        <v>0</v>
      </c>
      <c r="P937" t="n">
        <v>0</v>
      </c>
      <c r="Q937" t="n">
        <v>0</v>
      </c>
      <c r="R937" s="2" t="inlineStr"/>
    </row>
    <row r="938" ht="15" customHeight="1">
      <c r="A938" t="inlineStr">
        <is>
          <t>A 54975-2024</t>
        </is>
      </c>
      <c r="B938" s="1" t="n">
        <v>45620.67667824074</v>
      </c>
      <c r="C938" s="1" t="n">
        <v>46082</v>
      </c>
      <c r="D938" t="inlineStr">
        <is>
          <t>JÄMTLANDS LÄN</t>
        </is>
      </c>
      <c r="E938" t="inlineStr">
        <is>
          <t>KROKOM</t>
        </is>
      </c>
      <c r="G938" t="n">
        <v>24.1</v>
      </c>
      <c r="H938" t="n">
        <v>0</v>
      </c>
      <c r="I938" t="n">
        <v>0</v>
      </c>
      <c r="J938" t="n">
        <v>0</v>
      </c>
      <c r="K938" t="n">
        <v>0</v>
      </c>
      <c r="L938" t="n">
        <v>0</v>
      </c>
      <c r="M938" t="n">
        <v>0</v>
      </c>
      <c r="N938" t="n">
        <v>0</v>
      </c>
      <c r="O938" t="n">
        <v>0</v>
      </c>
      <c r="P938" t="n">
        <v>0</v>
      </c>
      <c r="Q938" t="n">
        <v>0</v>
      </c>
      <c r="R938" s="2" t="inlineStr"/>
    </row>
    <row r="939" ht="15" customHeight="1">
      <c r="A939" t="inlineStr">
        <is>
          <t>A 54043-2023</t>
        </is>
      </c>
      <c r="B939" s="1" t="n">
        <v>45231</v>
      </c>
      <c r="C939" s="1" t="n">
        <v>46082</v>
      </c>
      <c r="D939" t="inlineStr">
        <is>
          <t>JÄMTLANDS LÄN</t>
        </is>
      </c>
      <c r="E939" t="inlineStr">
        <is>
          <t>KROKOM</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4702-2026</t>
        </is>
      </c>
      <c r="B940" s="1" t="n">
        <v>46048.4506712963</v>
      </c>
      <c r="C940" s="1" t="n">
        <v>46082</v>
      </c>
      <c r="D940" t="inlineStr">
        <is>
          <t>JÄMTLANDS LÄN</t>
        </is>
      </c>
      <c r="E940" t="inlineStr">
        <is>
          <t>KROKOM</t>
        </is>
      </c>
      <c r="G940" t="n">
        <v>6.5</v>
      </c>
      <c r="H940" t="n">
        <v>0</v>
      </c>
      <c r="I940" t="n">
        <v>0</v>
      </c>
      <c r="J940" t="n">
        <v>0</v>
      </c>
      <c r="K940" t="n">
        <v>0</v>
      </c>
      <c r="L940" t="n">
        <v>0</v>
      </c>
      <c r="M940" t="n">
        <v>0</v>
      </c>
      <c r="N940" t="n">
        <v>0</v>
      </c>
      <c r="O940" t="n">
        <v>0</v>
      </c>
      <c r="P940" t="n">
        <v>0</v>
      </c>
      <c r="Q940" t="n">
        <v>0</v>
      </c>
      <c r="R940" s="2" t="inlineStr"/>
    </row>
    <row r="941" ht="15" customHeight="1">
      <c r="A941" t="inlineStr">
        <is>
          <t>A 4749-2026</t>
        </is>
      </c>
      <c r="B941" s="1" t="n">
        <v>46048.51130787037</v>
      </c>
      <c r="C941" s="1" t="n">
        <v>46082</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4778-2026</t>
        </is>
      </c>
      <c r="B942" s="1" t="n">
        <v>46048.55277777778</v>
      </c>
      <c r="C942" s="1" t="n">
        <v>46082</v>
      </c>
      <c r="D942" t="inlineStr">
        <is>
          <t>JÄMTLANDS LÄN</t>
        </is>
      </c>
      <c r="E942" t="inlineStr">
        <is>
          <t>KROKOM</t>
        </is>
      </c>
      <c r="G942" t="n">
        <v>10</v>
      </c>
      <c r="H942" t="n">
        <v>0</v>
      </c>
      <c r="I942" t="n">
        <v>0</v>
      </c>
      <c r="J942" t="n">
        <v>0</v>
      </c>
      <c r="K942" t="n">
        <v>0</v>
      </c>
      <c r="L942" t="n">
        <v>0</v>
      </c>
      <c r="M942" t="n">
        <v>0</v>
      </c>
      <c r="N942" t="n">
        <v>0</v>
      </c>
      <c r="O942" t="n">
        <v>0</v>
      </c>
      <c r="P942" t="n">
        <v>0</v>
      </c>
      <c r="Q942" t="n">
        <v>0</v>
      </c>
      <c r="R942" s="2" t="inlineStr"/>
    </row>
    <row r="943" ht="15" customHeight="1">
      <c r="A943" t="inlineStr">
        <is>
          <t>A 4694-2026</t>
        </is>
      </c>
      <c r="B943" s="1" t="n">
        <v>46048.44809027778</v>
      </c>
      <c r="C943" s="1" t="n">
        <v>46082</v>
      </c>
      <c r="D943" t="inlineStr">
        <is>
          <t>JÄMTLANDS LÄN</t>
        </is>
      </c>
      <c r="E943" t="inlineStr">
        <is>
          <t>KROKOM</t>
        </is>
      </c>
      <c r="G943" t="n">
        <v>4.5</v>
      </c>
      <c r="H943" t="n">
        <v>0</v>
      </c>
      <c r="I943" t="n">
        <v>0</v>
      </c>
      <c r="J943" t="n">
        <v>0</v>
      </c>
      <c r="K943" t="n">
        <v>0</v>
      </c>
      <c r="L943" t="n">
        <v>0</v>
      </c>
      <c r="M943" t="n">
        <v>0</v>
      </c>
      <c r="N943" t="n">
        <v>0</v>
      </c>
      <c r="O943" t="n">
        <v>0</v>
      </c>
      <c r="P943" t="n">
        <v>0</v>
      </c>
      <c r="Q943" t="n">
        <v>0</v>
      </c>
      <c r="R943" s="2" t="inlineStr"/>
    </row>
    <row r="944" ht="15" customHeight="1">
      <c r="A944" t="inlineStr">
        <is>
          <t>A 4697-2026</t>
        </is>
      </c>
      <c r="B944" s="1" t="n">
        <v>46048.4484375</v>
      </c>
      <c r="C944" s="1" t="n">
        <v>46082</v>
      </c>
      <c r="D944" t="inlineStr">
        <is>
          <t>JÄMTLANDS LÄN</t>
        </is>
      </c>
      <c r="E944" t="inlineStr">
        <is>
          <t>KROKOM</t>
        </is>
      </c>
      <c r="G944" t="n">
        <v>4.7</v>
      </c>
      <c r="H944" t="n">
        <v>0</v>
      </c>
      <c r="I944" t="n">
        <v>0</v>
      </c>
      <c r="J944" t="n">
        <v>0</v>
      </c>
      <c r="K944" t="n">
        <v>0</v>
      </c>
      <c r="L944" t="n">
        <v>0</v>
      </c>
      <c r="M944" t="n">
        <v>0</v>
      </c>
      <c r="N944" t="n">
        <v>0</v>
      </c>
      <c r="O944" t="n">
        <v>0</v>
      </c>
      <c r="P944" t="n">
        <v>0</v>
      </c>
      <c r="Q944" t="n">
        <v>0</v>
      </c>
      <c r="R944" s="2" t="inlineStr"/>
    </row>
    <row r="945" ht="15" customHeight="1">
      <c r="A945" t="inlineStr">
        <is>
          <t>A 4408-2026</t>
        </is>
      </c>
      <c r="B945" s="1" t="n">
        <v>46045.59466435185</v>
      </c>
      <c r="C945" s="1" t="n">
        <v>46082</v>
      </c>
      <c r="D945" t="inlineStr">
        <is>
          <t>JÄMTLANDS LÄN</t>
        </is>
      </c>
      <c r="E945" t="inlineStr">
        <is>
          <t>KROKOM</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61875-2025</t>
        </is>
      </c>
      <c r="B946" s="1" t="n">
        <v>46003.4094675926</v>
      </c>
      <c r="C946" s="1" t="n">
        <v>46082</v>
      </c>
      <c r="D946" t="inlineStr">
        <is>
          <t>JÄMTLANDS LÄN</t>
        </is>
      </c>
      <c r="E946" t="inlineStr">
        <is>
          <t>KROKOM</t>
        </is>
      </c>
      <c r="G946" t="n">
        <v>3.8</v>
      </c>
      <c r="H946" t="n">
        <v>0</v>
      </c>
      <c r="I946" t="n">
        <v>0</v>
      </c>
      <c r="J946" t="n">
        <v>0</v>
      </c>
      <c r="K946" t="n">
        <v>0</v>
      </c>
      <c r="L946" t="n">
        <v>0</v>
      </c>
      <c r="M946" t="n">
        <v>0</v>
      </c>
      <c r="N946" t="n">
        <v>0</v>
      </c>
      <c r="O946" t="n">
        <v>0</v>
      </c>
      <c r="P946" t="n">
        <v>0</v>
      </c>
      <c r="Q946" t="n">
        <v>0</v>
      </c>
      <c r="R946" s="2" t="inlineStr"/>
    </row>
    <row r="947" ht="15" customHeight="1">
      <c r="A947" t="inlineStr">
        <is>
          <t>A 61990-2025</t>
        </is>
      </c>
      <c r="B947" s="1" t="n">
        <v>46003</v>
      </c>
      <c r="C947" s="1" t="n">
        <v>46082</v>
      </c>
      <c r="D947" t="inlineStr">
        <is>
          <t>JÄMTLANDS LÄN</t>
        </is>
      </c>
      <c r="E947" t="inlineStr">
        <is>
          <t>KROKOM</t>
        </is>
      </c>
      <c r="G947" t="n">
        <v>7.9</v>
      </c>
      <c r="H947" t="n">
        <v>0</v>
      </c>
      <c r="I947" t="n">
        <v>0</v>
      </c>
      <c r="J947" t="n">
        <v>0</v>
      </c>
      <c r="K947" t="n">
        <v>0</v>
      </c>
      <c r="L947" t="n">
        <v>0</v>
      </c>
      <c r="M947" t="n">
        <v>0</v>
      </c>
      <c r="N947" t="n">
        <v>0</v>
      </c>
      <c r="O947" t="n">
        <v>0</v>
      </c>
      <c r="P947" t="n">
        <v>0</v>
      </c>
      <c r="Q947" t="n">
        <v>0</v>
      </c>
      <c r="R947" s="2" t="inlineStr"/>
    </row>
    <row r="948" ht="15" customHeight="1">
      <c r="A948" t="inlineStr">
        <is>
          <t>A 4748-2026</t>
        </is>
      </c>
      <c r="B948" s="1" t="n">
        <v>46048.5112037037</v>
      </c>
      <c r="C948" s="1" t="n">
        <v>46082</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62041-2025</t>
        </is>
      </c>
      <c r="B949" s="1" t="n">
        <v>46005</v>
      </c>
      <c r="C949" s="1" t="n">
        <v>46082</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4751-2026</t>
        </is>
      </c>
      <c r="B950" s="1" t="n">
        <v>46048.51173611111</v>
      </c>
      <c r="C950" s="1" t="n">
        <v>46082</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15524-2024</t>
        </is>
      </c>
      <c r="B951" s="1" t="n">
        <v>45401.59133101852</v>
      </c>
      <c r="C951" s="1" t="n">
        <v>46082</v>
      </c>
      <c r="D951" t="inlineStr">
        <is>
          <t>JÄMTLANDS LÄN</t>
        </is>
      </c>
      <c r="E951" t="inlineStr">
        <is>
          <t>KROKOM</t>
        </is>
      </c>
      <c r="G951" t="n">
        <v>2.4</v>
      </c>
      <c r="H951" t="n">
        <v>0</v>
      </c>
      <c r="I951" t="n">
        <v>0</v>
      </c>
      <c r="J951" t="n">
        <v>0</v>
      </c>
      <c r="K951" t="n">
        <v>0</v>
      </c>
      <c r="L951" t="n">
        <v>0</v>
      </c>
      <c r="M951" t="n">
        <v>0</v>
      </c>
      <c r="N951" t="n">
        <v>0</v>
      </c>
      <c r="O951" t="n">
        <v>0</v>
      </c>
      <c r="P951" t="n">
        <v>0</v>
      </c>
      <c r="Q951" t="n">
        <v>0</v>
      </c>
      <c r="R951" s="2" t="inlineStr"/>
    </row>
    <row r="952" ht="15" customHeight="1">
      <c r="A952" t="inlineStr">
        <is>
          <t>A 4600-2026</t>
        </is>
      </c>
      <c r="B952" s="1" t="n">
        <v>46048.3550925926</v>
      </c>
      <c r="C952" s="1" t="n">
        <v>46082</v>
      </c>
      <c r="D952" t="inlineStr">
        <is>
          <t>JÄMTLANDS LÄN</t>
        </is>
      </c>
      <c r="E952" t="inlineStr">
        <is>
          <t>KROKOM</t>
        </is>
      </c>
      <c r="F952" t="inlineStr">
        <is>
          <t>Övriga Aktiebolag</t>
        </is>
      </c>
      <c r="G952" t="n">
        <v>27.4</v>
      </c>
      <c r="H952" t="n">
        <v>0</v>
      </c>
      <c r="I952" t="n">
        <v>0</v>
      </c>
      <c r="J952" t="n">
        <v>0</v>
      </c>
      <c r="K952" t="n">
        <v>0</v>
      </c>
      <c r="L952" t="n">
        <v>0</v>
      </c>
      <c r="M952" t="n">
        <v>0</v>
      </c>
      <c r="N952" t="n">
        <v>0</v>
      </c>
      <c r="O952" t="n">
        <v>0</v>
      </c>
      <c r="P952" t="n">
        <v>0</v>
      </c>
      <c r="Q952" t="n">
        <v>0</v>
      </c>
      <c r="R952" s="2" t="inlineStr"/>
    </row>
    <row r="953" ht="15" customHeight="1">
      <c r="A953" t="inlineStr">
        <is>
          <t>A 5637-2025</t>
        </is>
      </c>
      <c r="B953" s="1" t="n">
        <v>45693.67361111111</v>
      </c>
      <c r="C953" s="1" t="n">
        <v>46082</v>
      </c>
      <c r="D953" t="inlineStr">
        <is>
          <t>JÄMTLANDS LÄN</t>
        </is>
      </c>
      <c r="E953" t="inlineStr">
        <is>
          <t>KROKOM</t>
        </is>
      </c>
      <c r="F953" t="inlineStr">
        <is>
          <t>Övriga Aktiebolag</t>
        </is>
      </c>
      <c r="G953" t="n">
        <v>57.8</v>
      </c>
      <c r="H953" t="n">
        <v>0</v>
      </c>
      <c r="I953" t="n">
        <v>0</v>
      </c>
      <c r="J953" t="n">
        <v>0</v>
      </c>
      <c r="K953" t="n">
        <v>0</v>
      </c>
      <c r="L953" t="n">
        <v>0</v>
      </c>
      <c r="M953" t="n">
        <v>0</v>
      </c>
      <c r="N953" t="n">
        <v>0</v>
      </c>
      <c r="O953" t="n">
        <v>0</v>
      </c>
      <c r="P953" t="n">
        <v>0</v>
      </c>
      <c r="Q953" t="n">
        <v>0</v>
      </c>
      <c r="R953" s="2" t="inlineStr"/>
    </row>
    <row r="954" ht="15" customHeight="1">
      <c r="A954" t="inlineStr">
        <is>
          <t>A 4691-2026</t>
        </is>
      </c>
      <c r="B954" s="1" t="n">
        <v>46048.44567129629</v>
      </c>
      <c r="C954" s="1" t="n">
        <v>46082</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4747-2026</t>
        </is>
      </c>
      <c r="B955" s="1" t="n">
        <v>46048.51119212963</v>
      </c>
      <c r="C955" s="1" t="n">
        <v>46082</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4750-2026</t>
        </is>
      </c>
      <c r="B956" s="1" t="n">
        <v>46048.51131944444</v>
      </c>
      <c r="C956" s="1" t="n">
        <v>46082</v>
      </c>
      <c r="D956" t="inlineStr">
        <is>
          <t>JÄMTLANDS LÄN</t>
        </is>
      </c>
      <c r="E956" t="inlineStr">
        <is>
          <t>KROKOM</t>
        </is>
      </c>
      <c r="G956" t="n">
        <v>7.7</v>
      </c>
      <c r="H956" t="n">
        <v>0</v>
      </c>
      <c r="I956" t="n">
        <v>0</v>
      </c>
      <c r="J956" t="n">
        <v>0</v>
      </c>
      <c r="K956" t="n">
        <v>0</v>
      </c>
      <c r="L956" t="n">
        <v>0</v>
      </c>
      <c r="M956" t="n">
        <v>0</v>
      </c>
      <c r="N956" t="n">
        <v>0</v>
      </c>
      <c r="O956" t="n">
        <v>0</v>
      </c>
      <c r="P956" t="n">
        <v>0</v>
      </c>
      <c r="Q956" t="n">
        <v>0</v>
      </c>
      <c r="R956" s="2" t="inlineStr"/>
    </row>
    <row r="957" ht="15" customHeight="1">
      <c r="A957" t="inlineStr">
        <is>
          <t>A 59620-2024</t>
        </is>
      </c>
      <c r="B957" s="1" t="n">
        <v>45638.81385416666</v>
      </c>
      <c r="C957" s="1" t="n">
        <v>46082</v>
      </c>
      <c r="D957" t="inlineStr">
        <is>
          <t>JÄMTLANDS LÄN</t>
        </is>
      </c>
      <c r="E957" t="inlineStr">
        <is>
          <t>KROKOM</t>
        </is>
      </c>
      <c r="G957" t="n">
        <v>0.4</v>
      </c>
      <c r="H957" t="n">
        <v>0</v>
      </c>
      <c r="I957" t="n">
        <v>0</v>
      </c>
      <c r="J957" t="n">
        <v>0</v>
      </c>
      <c r="K957" t="n">
        <v>0</v>
      </c>
      <c r="L957" t="n">
        <v>0</v>
      </c>
      <c r="M957" t="n">
        <v>0</v>
      </c>
      <c r="N957" t="n">
        <v>0</v>
      </c>
      <c r="O957" t="n">
        <v>0</v>
      </c>
      <c r="P957" t="n">
        <v>0</v>
      </c>
      <c r="Q957" t="n">
        <v>0</v>
      </c>
      <c r="R957" s="2" t="inlineStr"/>
    </row>
    <row r="958" ht="15" customHeight="1">
      <c r="A958" t="inlineStr">
        <is>
          <t>A 7366-2025</t>
        </is>
      </c>
      <c r="B958" s="1" t="n">
        <v>45704.71069444445</v>
      </c>
      <c r="C958" s="1" t="n">
        <v>46082</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4619-2026</t>
        </is>
      </c>
      <c r="B959" s="1" t="n">
        <v>46048.37532407408</v>
      </c>
      <c r="C959" s="1" t="n">
        <v>46082</v>
      </c>
      <c r="D959" t="inlineStr">
        <is>
          <t>JÄMTLANDS LÄN</t>
        </is>
      </c>
      <c r="E959" t="inlineStr">
        <is>
          <t>KROKOM</t>
        </is>
      </c>
      <c r="F959" t="inlineStr">
        <is>
          <t>Övriga Aktiebolag</t>
        </is>
      </c>
      <c r="G959" t="n">
        <v>5.4</v>
      </c>
      <c r="H959" t="n">
        <v>0</v>
      </c>
      <c r="I959" t="n">
        <v>0</v>
      </c>
      <c r="J959" t="n">
        <v>0</v>
      </c>
      <c r="K959" t="n">
        <v>0</v>
      </c>
      <c r="L959" t="n">
        <v>0</v>
      </c>
      <c r="M959" t="n">
        <v>0</v>
      </c>
      <c r="N959" t="n">
        <v>0</v>
      </c>
      <c r="O959" t="n">
        <v>0</v>
      </c>
      <c r="P959" t="n">
        <v>0</v>
      </c>
      <c r="Q959" t="n">
        <v>0</v>
      </c>
      <c r="R959" s="2" t="inlineStr"/>
    </row>
    <row r="960" ht="15" customHeight="1">
      <c r="A960" t="inlineStr">
        <is>
          <t>A 4655-2026</t>
        </is>
      </c>
      <c r="B960" s="1" t="n">
        <v>46048.40759259259</v>
      </c>
      <c r="C960" s="1" t="n">
        <v>46082</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4659-2026</t>
        </is>
      </c>
      <c r="B961" s="1" t="n">
        <v>46048.40785879629</v>
      </c>
      <c r="C961" s="1" t="n">
        <v>46082</v>
      </c>
      <c r="D961" t="inlineStr">
        <is>
          <t>JÄMTLANDS LÄN</t>
        </is>
      </c>
      <c r="E961" t="inlineStr">
        <is>
          <t>KROKOM</t>
        </is>
      </c>
      <c r="G961" t="n">
        <v>0.8</v>
      </c>
      <c r="H961" t="n">
        <v>0</v>
      </c>
      <c r="I961" t="n">
        <v>0</v>
      </c>
      <c r="J961" t="n">
        <v>0</v>
      </c>
      <c r="K961" t="n">
        <v>0</v>
      </c>
      <c r="L961" t="n">
        <v>0</v>
      </c>
      <c r="M961" t="n">
        <v>0</v>
      </c>
      <c r="N961" t="n">
        <v>0</v>
      </c>
      <c r="O961" t="n">
        <v>0</v>
      </c>
      <c r="P961" t="n">
        <v>0</v>
      </c>
      <c r="Q961" t="n">
        <v>0</v>
      </c>
      <c r="R961" s="2" t="inlineStr"/>
    </row>
    <row r="962" ht="15" customHeight="1">
      <c r="A962" t="inlineStr">
        <is>
          <t>A 62000-2025</t>
        </is>
      </c>
      <c r="B962" s="1" t="n">
        <v>46003</v>
      </c>
      <c r="C962" s="1" t="n">
        <v>46082</v>
      </c>
      <c r="D962" t="inlineStr">
        <is>
          <t>JÄMTLANDS LÄN</t>
        </is>
      </c>
      <c r="E962" t="inlineStr">
        <is>
          <t>KROKOM</t>
        </is>
      </c>
      <c r="G962" t="n">
        <v>11.2</v>
      </c>
      <c r="H962" t="n">
        <v>0</v>
      </c>
      <c r="I962" t="n">
        <v>0</v>
      </c>
      <c r="J962" t="n">
        <v>0</v>
      </c>
      <c r="K962" t="n">
        <v>0</v>
      </c>
      <c r="L962" t="n">
        <v>0</v>
      </c>
      <c r="M962" t="n">
        <v>0</v>
      </c>
      <c r="N962" t="n">
        <v>0</v>
      </c>
      <c r="O962" t="n">
        <v>0</v>
      </c>
      <c r="P962" t="n">
        <v>0</v>
      </c>
      <c r="Q962" t="n">
        <v>0</v>
      </c>
      <c r="R962" s="2" t="inlineStr"/>
    </row>
    <row r="963" ht="15" customHeight="1">
      <c r="A963" t="inlineStr">
        <is>
          <t>A 4757-2026</t>
        </is>
      </c>
      <c r="B963" s="1" t="n">
        <v>46048.53383101852</v>
      </c>
      <c r="C963" s="1" t="n">
        <v>46082</v>
      </c>
      <c r="D963" t="inlineStr">
        <is>
          <t>JÄMTLANDS LÄN</t>
        </is>
      </c>
      <c r="E963" t="inlineStr">
        <is>
          <t>KROKOM</t>
        </is>
      </c>
      <c r="G963" t="n">
        <v>5.8</v>
      </c>
      <c r="H963" t="n">
        <v>0</v>
      </c>
      <c r="I963" t="n">
        <v>0</v>
      </c>
      <c r="J963" t="n">
        <v>0</v>
      </c>
      <c r="K963" t="n">
        <v>0</v>
      </c>
      <c r="L963" t="n">
        <v>0</v>
      </c>
      <c r="M963" t="n">
        <v>0</v>
      </c>
      <c r="N963" t="n">
        <v>0</v>
      </c>
      <c r="O963" t="n">
        <v>0</v>
      </c>
      <c r="P963" t="n">
        <v>0</v>
      </c>
      <c r="Q963" t="n">
        <v>0</v>
      </c>
      <c r="R963" s="2" t="inlineStr"/>
    </row>
    <row r="964" ht="15" customHeight="1">
      <c r="A964" t="inlineStr">
        <is>
          <t>A 5364-2025</t>
        </is>
      </c>
      <c r="B964" s="1" t="n">
        <v>45692.58106481482</v>
      </c>
      <c r="C964" s="1" t="n">
        <v>46082</v>
      </c>
      <c r="D964" t="inlineStr">
        <is>
          <t>JÄMTLANDS LÄN</t>
        </is>
      </c>
      <c r="E964" t="inlineStr">
        <is>
          <t>KROKOM</t>
        </is>
      </c>
      <c r="G964" t="n">
        <v>25.4</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46082</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4660-2026</t>
        </is>
      </c>
      <c r="B966" s="1" t="n">
        <v>46048.40788194445</v>
      </c>
      <c r="C966" s="1" t="n">
        <v>46082</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55831-2024</t>
        </is>
      </c>
      <c r="B967" s="1" t="n">
        <v>45623.48571759259</v>
      </c>
      <c r="C967" s="1" t="n">
        <v>46082</v>
      </c>
      <c r="D967" t="inlineStr">
        <is>
          <t>JÄMTLANDS LÄN</t>
        </is>
      </c>
      <c r="E967" t="inlineStr">
        <is>
          <t>KROKOM</t>
        </is>
      </c>
      <c r="G967" t="n">
        <v>1.6</v>
      </c>
      <c r="H967" t="n">
        <v>0</v>
      </c>
      <c r="I967" t="n">
        <v>0</v>
      </c>
      <c r="J967" t="n">
        <v>0</v>
      </c>
      <c r="K967" t="n">
        <v>0</v>
      </c>
      <c r="L967" t="n">
        <v>0</v>
      </c>
      <c r="M967" t="n">
        <v>0</v>
      </c>
      <c r="N967" t="n">
        <v>0</v>
      </c>
      <c r="O967" t="n">
        <v>0</v>
      </c>
      <c r="P967" t="n">
        <v>0</v>
      </c>
      <c r="Q967" t="n">
        <v>0</v>
      </c>
      <c r="R967" s="2" t="inlineStr"/>
    </row>
    <row r="968" ht="15" customHeight="1">
      <c r="A968" t="inlineStr">
        <is>
          <t>A 4550-2026</t>
        </is>
      </c>
      <c r="B968" s="1" t="n">
        <v>46047.55603009259</v>
      </c>
      <c r="C968" s="1" t="n">
        <v>46082</v>
      </c>
      <c r="D968" t="inlineStr">
        <is>
          <t>JÄMTLANDS LÄN</t>
        </is>
      </c>
      <c r="E968" t="inlineStr">
        <is>
          <t>KROKOM</t>
        </is>
      </c>
      <c r="F968" t="inlineStr">
        <is>
          <t>Övriga Aktiebolag</t>
        </is>
      </c>
      <c r="G968" t="n">
        <v>10.5</v>
      </c>
      <c r="H968" t="n">
        <v>0</v>
      </c>
      <c r="I968" t="n">
        <v>0</v>
      </c>
      <c r="J968" t="n">
        <v>0</v>
      </c>
      <c r="K968" t="n">
        <v>0</v>
      </c>
      <c r="L968" t="n">
        <v>0</v>
      </c>
      <c r="M968" t="n">
        <v>0</v>
      </c>
      <c r="N968" t="n">
        <v>0</v>
      </c>
      <c r="O968" t="n">
        <v>0</v>
      </c>
      <c r="P968" t="n">
        <v>0</v>
      </c>
      <c r="Q968" t="n">
        <v>0</v>
      </c>
      <c r="R968" s="2" t="inlineStr"/>
    </row>
    <row r="969" ht="15" customHeight="1">
      <c r="A969" t="inlineStr">
        <is>
          <t>A 4274-2026</t>
        </is>
      </c>
      <c r="B969" s="1" t="n">
        <v>46045.36503472222</v>
      </c>
      <c r="C969" s="1" t="n">
        <v>46082</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46046.64258101852</v>
      </c>
      <c r="C970" s="1" t="n">
        <v>46082</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7013-2025</t>
        </is>
      </c>
      <c r="B971" s="1" t="n">
        <v>45701.60901620371</v>
      </c>
      <c r="C971" s="1" t="n">
        <v>46082</v>
      </c>
      <c r="D971" t="inlineStr">
        <is>
          <t>JÄMTLANDS LÄN</t>
        </is>
      </c>
      <c r="E971" t="inlineStr">
        <is>
          <t>KROKOM</t>
        </is>
      </c>
      <c r="G971" t="n">
        <v>4.3</v>
      </c>
      <c r="H971" t="n">
        <v>0</v>
      </c>
      <c r="I971" t="n">
        <v>0</v>
      </c>
      <c r="J971" t="n">
        <v>0</v>
      </c>
      <c r="K971" t="n">
        <v>0</v>
      </c>
      <c r="L971" t="n">
        <v>0</v>
      </c>
      <c r="M971" t="n">
        <v>0</v>
      </c>
      <c r="N971" t="n">
        <v>0</v>
      </c>
      <c r="O971" t="n">
        <v>0</v>
      </c>
      <c r="P971" t="n">
        <v>0</v>
      </c>
      <c r="Q971" t="n">
        <v>0</v>
      </c>
      <c r="R971" s="2" t="inlineStr"/>
    </row>
    <row r="972" ht="15" customHeight="1">
      <c r="A972" t="inlineStr">
        <is>
          <t>A 5704-2025</t>
        </is>
      </c>
      <c r="B972" s="1" t="n">
        <v>45694.43806712963</v>
      </c>
      <c r="C972" s="1" t="n">
        <v>46082</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2782-2025</t>
        </is>
      </c>
      <c r="B973" s="1" t="n">
        <v>45676</v>
      </c>
      <c r="C973" s="1" t="n">
        <v>46082</v>
      </c>
      <c r="D973" t="inlineStr">
        <is>
          <t>JÄMTLANDS LÄN</t>
        </is>
      </c>
      <c r="E973" t="inlineStr">
        <is>
          <t>KROKOM</t>
        </is>
      </c>
      <c r="G973" t="n">
        <v>18.6</v>
      </c>
      <c r="H973" t="n">
        <v>0</v>
      </c>
      <c r="I973" t="n">
        <v>0</v>
      </c>
      <c r="J973" t="n">
        <v>0</v>
      </c>
      <c r="K973" t="n">
        <v>0</v>
      </c>
      <c r="L973" t="n">
        <v>0</v>
      </c>
      <c r="M973" t="n">
        <v>0</v>
      </c>
      <c r="N973" t="n">
        <v>0</v>
      </c>
      <c r="O973" t="n">
        <v>0</v>
      </c>
      <c r="P973" t="n">
        <v>0</v>
      </c>
      <c r="Q973" t="n">
        <v>0</v>
      </c>
      <c r="R973" s="2" t="inlineStr"/>
    </row>
    <row r="974" ht="15" customHeight="1">
      <c r="A974" t="inlineStr">
        <is>
          <t>A 18080-2025</t>
        </is>
      </c>
      <c r="B974" s="1" t="n">
        <v>45761.50909722222</v>
      </c>
      <c r="C974" s="1" t="n">
        <v>46082</v>
      </c>
      <c r="D974" t="inlineStr">
        <is>
          <t>JÄMTLANDS LÄN</t>
        </is>
      </c>
      <c r="E974" t="inlineStr">
        <is>
          <t>KROKOM</t>
        </is>
      </c>
      <c r="G974" t="n">
        <v>21.9</v>
      </c>
      <c r="H974" t="n">
        <v>0</v>
      </c>
      <c r="I974" t="n">
        <v>0</v>
      </c>
      <c r="J974" t="n">
        <v>0</v>
      </c>
      <c r="K974" t="n">
        <v>0</v>
      </c>
      <c r="L974" t="n">
        <v>0</v>
      </c>
      <c r="M974" t="n">
        <v>0</v>
      </c>
      <c r="N974" t="n">
        <v>0</v>
      </c>
      <c r="O974" t="n">
        <v>0</v>
      </c>
      <c r="P974" t="n">
        <v>0</v>
      </c>
      <c r="Q974" t="n">
        <v>0</v>
      </c>
      <c r="R974" s="2" t="inlineStr"/>
    </row>
    <row r="975" ht="15" customHeight="1">
      <c r="A975" t="inlineStr">
        <is>
          <t>A 62508-2025</t>
        </is>
      </c>
      <c r="B975" s="1" t="n">
        <v>46007.59456018519</v>
      </c>
      <c r="C975" s="1" t="n">
        <v>46082</v>
      </c>
      <c r="D975" t="inlineStr">
        <is>
          <t>JÄMTLANDS LÄN</t>
        </is>
      </c>
      <c r="E975" t="inlineStr">
        <is>
          <t>KROKOM</t>
        </is>
      </c>
      <c r="G975" t="n">
        <v>44.9</v>
      </c>
      <c r="H975" t="n">
        <v>0</v>
      </c>
      <c r="I975" t="n">
        <v>0</v>
      </c>
      <c r="J975" t="n">
        <v>0</v>
      </c>
      <c r="K975" t="n">
        <v>0</v>
      </c>
      <c r="L975" t="n">
        <v>0</v>
      </c>
      <c r="M975" t="n">
        <v>0</v>
      </c>
      <c r="N975" t="n">
        <v>0</v>
      </c>
      <c r="O975" t="n">
        <v>0</v>
      </c>
      <c r="P975" t="n">
        <v>0</v>
      </c>
      <c r="Q975" t="n">
        <v>0</v>
      </c>
      <c r="R975" s="2" t="inlineStr"/>
    </row>
    <row r="976" ht="15" customHeight="1">
      <c r="A976" t="inlineStr">
        <is>
          <t>A 51929-2023</t>
        </is>
      </c>
      <c r="B976" s="1" t="n">
        <v>45216</v>
      </c>
      <c r="C976" s="1" t="n">
        <v>46082</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62716-2025</t>
        </is>
      </c>
      <c r="B977" s="1" t="n">
        <v>46008.53166666667</v>
      </c>
      <c r="C977" s="1" t="n">
        <v>46082</v>
      </c>
      <c r="D977" t="inlineStr">
        <is>
          <t>JÄMTLANDS LÄN</t>
        </is>
      </c>
      <c r="E977" t="inlineStr">
        <is>
          <t>KROKOM</t>
        </is>
      </c>
      <c r="G977" t="n">
        <v>9.1</v>
      </c>
      <c r="H977" t="n">
        <v>0</v>
      </c>
      <c r="I977" t="n">
        <v>0</v>
      </c>
      <c r="J977" t="n">
        <v>0</v>
      </c>
      <c r="K977" t="n">
        <v>0</v>
      </c>
      <c r="L977" t="n">
        <v>0</v>
      </c>
      <c r="M977" t="n">
        <v>0</v>
      </c>
      <c r="N977" t="n">
        <v>0</v>
      </c>
      <c r="O977" t="n">
        <v>0</v>
      </c>
      <c r="P977" t="n">
        <v>0</v>
      </c>
      <c r="Q977" t="n">
        <v>0</v>
      </c>
      <c r="R977" s="2" t="inlineStr"/>
    </row>
    <row r="978" ht="15" customHeight="1">
      <c r="A978" t="inlineStr">
        <is>
          <t>A 10552-2025</t>
        </is>
      </c>
      <c r="B978" s="1" t="n">
        <v>45721.5113425926</v>
      </c>
      <c r="C978" s="1" t="n">
        <v>46082</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7556-2025</t>
        </is>
      </c>
      <c r="B979" s="1" t="n">
        <v>45705</v>
      </c>
      <c r="C979" s="1" t="n">
        <v>46082</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53543-2024</t>
        </is>
      </c>
      <c r="B980" s="1" t="n">
        <v>45614.63697916667</v>
      </c>
      <c r="C980" s="1" t="n">
        <v>46082</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22865-2022</t>
        </is>
      </c>
      <c r="B981" s="1" t="n">
        <v>44715.48863425926</v>
      </c>
      <c r="C981" s="1" t="n">
        <v>46082</v>
      </c>
      <c r="D981" t="inlineStr">
        <is>
          <t>JÄMTLANDS LÄN</t>
        </is>
      </c>
      <c r="E981" t="inlineStr">
        <is>
          <t>KROKOM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62505-2025</t>
        </is>
      </c>
      <c r="B982" s="1" t="n">
        <v>46007.59438657408</v>
      </c>
      <c r="C982" s="1" t="n">
        <v>46082</v>
      </c>
      <c r="D982" t="inlineStr">
        <is>
          <t>JÄMTLANDS LÄN</t>
        </is>
      </c>
      <c r="E982" t="inlineStr">
        <is>
          <t>KROKOM</t>
        </is>
      </c>
      <c r="G982" t="n">
        <v>5</v>
      </c>
      <c r="H982" t="n">
        <v>0</v>
      </c>
      <c r="I982" t="n">
        <v>0</v>
      </c>
      <c r="J982" t="n">
        <v>0</v>
      </c>
      <c r="K982" t="n">
        <v>0</v>
      </c>
      <c r="L982" t="n">
        <v>0</v>
      </c>
      <c r="M982" t="n">
        <v>0</v>
      </c>
      <c r="N982" t="n">
        <v>0</v>
      </c>
      <c r="O982" t="n">
        <v>0</v>
      </c>
      <c r="P982" t="n">
        <v>0</v>
      </c>
      <c r="Q982" t="n">
        <v>0</v>
      </c>
      <c r="R982" s="2" t="inlineStr"/>
    </row>
    <row r="983" ht="15" customHeight="1">
      <c r="A983" t="inlineStr">
        <is>
          <t>A 5186-2026</t>
        </is>
      </c>
      <c r="B983" s="1" t="n">
        <v>46049.6571412037</v>
      </c>
      <c r="C983" s="1" t="n">
        <v>46082</v>
      </c>
      <c r="D983" t="inlineStr">
        <is>
          <t>JÄMTLANDS LÄN</t>
        </is>
      </c>
      <c r="E983" t="inlineStr">
        <is>
          <t>KROKOM</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62372-2025</t>
        </is>
      </c>
      <c r="B984" s="1" t="n">
        <v>46007.34444444445</v>
      </c>
      <c r="C984" s="1" t="n">
        <v>46082</v>
      </c>
      <c r="D984" t="inlineStr">
        <is>
          <t>JÄMTLANDS LÄN</t>
        </is>
      </c>
      <c r="E984" t="inlineStr">
        <is>
          <t>KROKOM</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62506-2025</t>
        </is>
      </c>
      <c r="B985" s="1" t="n">
        <v>46007.59445601852</v>
      </c>
      <c r="C985" s="1" t="n">
        <v>46082</v>
      </c>
      <c r="D985" t="inlineStr">
        <is>
          <t>JÄMTLANDS LÄN</t>
        </is>
      </c>
      <c r="E985" t="inlineStr">
        <is>
          <t>KROKOM</t>
        </is>
      </c>
      <c r="G985" t="n">
        <v>1.6</v>
      </c>
      <c r="H985" t="n">
        <v>0</v>
      </c>
      <c r="I985" t="n">
        <v>0</v>
      </c>
      <c r="J985" t="n">
        <v>0</v>
      </c>
      <c r="K985" t="n">
        <v>0</v>
      </c>
      <c r="L985" t="n">
        <v>0</v>
      </c>
      <c r="M985" t="n">
        <v>0</v>
      </c>
      <c r="N985" t="n">
        <v>0</v>
      </c>
      <c r="O985" t="n">
        <v>0</v>
      </c>
      <c r="P985" t="n">
        <v>0</v>
      </c>
      <c r="Q985" t="n">
        <v>0</v>
      </c>
      <c r="R985" s="2" t="inlineStr"/>
    </row>
    <row r="986" ht="15" customHeight="1">
      <c r="A986" t="inlineStr">
        <is>
          <t>A 62507-2025</t>
        </is>
      </c>
      <c r="B986" s="1" t="n">
        <v>46007.59450231482</v>
      </c>
      <c r="C986" s="1" t="n">
        <v>46082</v>
      </c>
      <c r="D986" t="inlineStr">
        <is>
          <t>JÄMTLANDS LÄN</t>
        </is>
      </c>
      <c r="E986" t="inlineStr">
        <is>
          <t>KROKOM</t>
        </is>
      </c>
      <c r="G986" t="n">
        <v>3.5</v>
      </c>
      <c r="H986" t="n">
        <v>0</v>
      </c>
      <c r="I986" t="n">
        <v>0</v>
      </c>
      <c r="J986" t="n">
        <v>0</v>
      </c>
      <c r="K986" t="n">
        <v>0</v>
      </c>
      <c r="L986" t="n">
        <v>0</v>
      </c>
      <c r="M986" t="n">
        <v>0</v>
      </c>
      <c r="N986" t="n">
        <v>0</v>
      </c>
      <c r="O986" t="n">
        <v>0</v>
      </c>
      <c r="P986" t="n">
        <v>0</v>
      </c>
      <c r="Q986" t="n">
        <v>0</v>
      </c>
      <c r="R986" s="2" t="inlineStr"/>
    </row>
    <row r="987" ht="15" customHeight="1">
      <c r="A987" t="inlineStr">
        <is>
          <t>A 5558-2025</t>
        </is>
      </c>
      <c r="B987" s="1" t="n">
        <v>45693.48239583334</v>
      </c>
      <c r="C987" s="1" t="n">
        <v>46082</v>
      </c>
      <c r="D987" t="inlineStr">
        <is>
          <t>JÄMTLANDS LÄN</t>
        </is>
      </c>
      <c r="E987" t="inlineStr">
        <is>
          <t>KROKOM</t>
        </is>
      </c>
      <c r="G987" t="n">
        <v>31.1</v>
      </c>
      <c r="H987" t="n">
        <v>0</v>
      </c>
      <c r="I987" t="n">
        <v>0</v>
      </c>
      <c r="J987" t="n">
        <v>0</v>
      </c>
      <c r="K987" t="n">
        <v>0</v>
      </c>
      <c r="L987" t="n">
        <v>0</v>
      </c>
      <c r="M987" t="n">
        <v>0</v>
      </c>
      <c r="N987" t="n">
        <v>0</v>
      </c>
      <c r="O987" t="n">
        <v>0</v>
      </c>
      <c r="P987" t="n">
        <v>0</v>
      </c>
      <c r="Q987" t="n">
        <v>0</v>
      </c>
      <c r="R987" s="2" t="inlineStr"/>
    </row>
    <row r="988" ht="15" customHeight="1">
      <c r="A988" t="inlineStr">
        <is>
          <t>A 62392-2025</t>
        </is>
      </c>
      <c r="B988" s="1" t="n">
        <v>46007</v>
      </c>
      <c r="C988" s="1" t="n">
        <v>46082</v>
      </c>
      <c r="D988" t="inlineStr">
        <is>
          <t>JÄMTLANDS LÄN</t>
        </is>
      </c>
      <c r="E988" t="inlineStr">
        <is>
          <t>KROKOM</t>
        </is>
      </c>
      <c r="G988" t="n">
        <v>1.4</v>
      </c>
      <c r="H988" t="n">
        <v>0</v>
      </c>
      <c r="I988" t="n">
        <v>0</v>
      </c>
      <c r="J988" t="n">
        <v>0</v>
      </c>
      <c r="K988" t="n">
        <v>0</v>
      </c>
      <c r="L988" t="n">
        <v>0</v>
      </c>
      <c r="M988" t="n">
        <v>0</v>
      </c>
      <c r="N988" t="n">
        <v>0</v>
      </c>
      <c r="O988" t="n">
        <v>0</v>
      </c>
      <c r="P988" t="n">
        <v>0</v>
      </c>
      <c r="Q988" t="n">
        <v>0</v>
      </c>
      <c r="R988" s="2" t="inlineStr"/>
    </row>
    <row r="989" ht="15" customHeight="1">
      <c r="A989" t="inlineStr">
        <is>
          <t>A 6208-2025</t>
        </is>
      </c>
      <c r="B989" s="1" t="n">
        <v>45698.4930787037</v>
      </c>
      <c r="C989" s="1" t="n">
        <v>46082</v>
      </c>
      <c r="D989" t="inlineStr">
        <is>
          <t>JÄMTLANDS LÄN</t>
        </is>
      </c>
      <c r="E989" t="inlineStr">
        <is>
          <t>KROKOM</t>
        </is>
      </c>
      <c r="G989" t="n">
        <v>7.6</v>
      </c>
      <c r="H989" t="n">
        <v>0</v>
      </c>
      <c r="I989" t="n">
        <v>0</v>
      </c>
      <c r="J989" t="n">
        <v>0</v>
      </c>
      <c r="K989" t="n">
        <v>0</v>
      </c>
      <c r="L989" t="n">
        <v>0</v>
      </c>
      <c r="M989" t="n">
        <v>0</v>
      </c>
      <c r="N989" t="n">
        <v>0</v>
      </c>
      <c r="O989" t="n">
        <v>0</v>
      </c>
      <c r="P989" t="n">
        <v>0</v>
      </c>
      <c r="Q989" t="n">
        <v>0</v>
      </c>
      <c r="R989" s="2" t="inlineStr"/>
    </row>
    <row r="990" ht="15" customHeight="1">
      <c r="A990" t="inlineStr">
        <is>
          <t>A 62709-2025</t>
        </is>
      </c>
      <c r="B990" s="1" t="n">
        <v>46008.51083333333</v>
      </c>
      <c r="C990" s="1" t="n">
        <v>46082</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62710-2025</t>
        </is>
      </c>
      <c r="B991" s="1" t="n">
        <v>46008.51097222222</v>
      </c>
      <c r="C991" s="1" t="n">
        <v>46082</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4657-2026</t>
        </is>
      </c>
      <c r="B992" s="1" t="n">
        <v>46048</v>
      </c>
      <c r="C992" s="1" t="n">
        <v>46082</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6245-2025</t>
        </is>
      </c>
      <c r="B993" s="1" t="n">
        <v>45698.57129629629</v>
      </c>
      <c r="C993" s="1" t="n">
        <v>46082</v>
      </c>
      <c r="D993" t="inlineStr">
        <is>
          <t>JÄMTLANDS LÄN</t>
        </is>
      </c>
      <c r="E993" t="inlineStr">
        <is>
          <t>KROKOM</t>
        </is>
      </c>
      <c r="G993" t="n">
        <v>9.9</v>
      </c>
      <c r="H993" t="n">
        <v>0</v>
      </c>
      <c r="I993" t="n">
        <v>0</v>
      </c>
      <c r="J993" t="n">
        <v>0</v>
      </c>
      <c r="K993" t="n">
        <v>0</v>
      </c>
      <c r="L993" t="n">
        <v>0</v>
      </c>
      <c r="M993" t="n">
        <v>0</v>
      </c>
      <c r="N993" t="n">
        <v>0</v>
      </c>
      <c r="O993" t="n">
        <v>0</v>
      </c>
      <c r="P993" t="n">
        <v>0</v>
      </c>
      <c r="Q993" t="n">
        <v>0</v>
      </c>
      <c r="R993" s="2" t="inlineStr"/>
    </row>
    <row r="994" ht="15" customHeight="1">
      <c r="A994" t="inlineStr">
        <is>
          <t>A 4383-2025</t>
        </is>
      </c>
      <c r="B994" s="1" t="n">
        <v>45686.39777777778</v>
      </c>
      <c r="C994" s="1" t="n">
        <v>46082</v>
      </c>
      <c r="D994" t="inlineStr">
        <is>
          <t>JÄMTLANDS LÄN</t>
        </is>
      </c>
      <c r="E994" t="inlineStr">
        <is>
          <t>KROKOM</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56538-2023</t>
        </is>
      </c>
      <c r="B995" s="1" t="n">
        <v>45238</v>
      </c>
      <c r="C995" s="1" t="n">
        <v>46082</v>
      </c>
      <c r="D995" t="inlineStr">
        <is>
          <t>JÄMTLANDS LÄN</t>
        </is>
      </c>
      <c r="E995" t="inlineStr">
        <is>
          <t>KROKOM</t>
        </is>
      </c>
      <c r="G995" t="n">
        <v>17.7</v>
      </c>
      <c r="H995" t="n">
        <v>0</v>
      </c>
      <c r="I995" t="n">
        <v>0</v>
      </c>
      <c r="J995" t="n">
        <v>0</v>
      </c>
      <c r="K995" t="n">
        <v>0</v>
      </c>
      <c r="L995" t="n">
        <v>0</v>
      </c>
      <c r="M995" t="n">
        <v>0</v>
      </c>
      <c r="N995" t="n">
        <v>0</v>
      </c>
      <c r="O995" t="n">
        <v>0</v>
      </c>
      <c r="P995" t="n">
        <v>0</v>
      </c>
      <c r="Q995" t="n">
        <v>0</v>
      </c>
      <c r="R995" s="2" t="inlineStr"/>
    </row>
    <row r="996" ht="15" customHeight="1">
      <c r="A996" t="inlineStr">
        <is>
          <t>A 5789-2026</t>
        </is>
      </c>
      <c r="B996" s="1" t="n">
        <v>46051.67745370371</v>
      </c>
      <c r="C996" s="1" t="n">
        <v>46082</v>
      </c>
      <c r="D996" t="inlineStr">
        <is>
          <t>JÄMTLANDS LÄN</t>
        </is>
      </c>
      <c r="E996" t="inlineStr">
        <is>
          <t>KROKOM</t>
        </is>
      </c>
      <c r="G996" t="n">
        <v>6.7</v>
      </c>
      <c r="H996" t="n">
        <v>0</v>
      </c>
      <c r="I996" t="n">
        <v>0</v>
      </c>
      <c r="J996" t="n">
        <v>0</v>
      </c>
      <c r="K996" t="n">
        <v>0</v>
      </c>
      <c r="L996" t="n">
        <v>0</v>
      </c>
      <c r="M996" t="n">
        <v>0</v>
      </c>
      <c r="N996" t="n">
        <v>0</v>
      </c>
      <c r="O996" t="n">
        <v>0</v>
      </c>
      <c r="P996" t="n">
        <v>0</v>
      </c>
      <c r="Q996" t="n">
        <v>0</v>
      </c>
      <c r="R996" s="2" t="inlineStr"/>
    </row>
    <row r="997" ht="15" customHeight="1">
      <c r="A997" t="inlineStr">
        <is>
          <t>A 15776-2025</t>
        </is>
      </c>
      <c r="B997" s="1" t="n">
        <v>45748.59744212963</v>
      </c>
      <c r="C997" s="1" t="n">
        <v>46082</v>
      </c>
      <c r="D997" t="inlineStr">
        <is>
          <t>JÄMTLANDS LÄN</t>
        </is>
      </c>
      <c r="E997" t="inlineStr">
        <is>
          <t>KROKOM</t>
        </is>
      </c>
      <c r="G997" t="n">
        <v>46.5</v>
      </c>
      <c r="H997" t="n">
        <v>0</v>
      </c>
      <c r="I997" t="n">
        <v>0</v>
      </c>
      <c r="J997" t="n">
        <v>0</v>
      </c>
      <c r="K997" t="n">
        <v>0</v>
      </c>
      <c r="L997" t="n">
        <v>0</v>
      </c>
      <c r="M997" t="n">
        <v>0</v>
      </c>
      <c r="N997" t="n">
        <v>0</v>
      </c>
      <c r="O997" t="n">
        <v>0</v>
      </c>
      <c r="P997" t="n">
        <v>0</v>
      </c>
      <c r="Q997" t="n">
        <v>0</v>
      </c>
      <c r="R997" s="2" t="inlineStr"/>
    </row>
    <row r="998" ht="15" customHeight="1">
      <c r="A998" t="inlineStr">
        <is>
          <t>A 5578-2026</t>
        </is>
      </c>
      <c r="B998" s="1" t="n">
        <v>46051.28758101852</v>
      </c>
      <c r="C998" s="1" t="n">
        <v>46082</v>
      </c>
      <c r="D998" t="inlineStr">
        <is>
          <t>JÄMTLANDS LÄN</t>
        </is>
      </c>
      <c r="E998" t="inlineStr">
        <is>
          <t>KROKOM</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5680-2026</t>
        </is>
      </c>
      <c r="B999" s="1" t="n">
        <v>46051.47840277778</v>
      </c>
      <c r="C999" s="1" t="n">
        <v>46082</v>
      </c>
      <c r="D999" t="inlineStr">
        <is>
          <t>JÄMTLANDS LÄN</t>
        </is>
      </c>
      <c r="E999" t="inlineStr">
        <is>
          <t>KROKOM</t>
        </is>
      </c>
      <c r="G999" t="n">
        <v>10.6</v>
      </c>
      <c r="H999" t="n">
        <v>0</v>
      </c>
      <c r="I999" t="n">
        <v>0</v>
      </c>
      <c r="J999" t="n">
        <v>0</v>
      </c>
      <c r="K999" t="n">
        <v>0</v>
      </c>
      <c r="L999" t="n">
        <v>0</v>
      </c>
      <c r="M999" t="n">
        <v>0</v>
      </c>
      <c r="N999" t="n">
        <v>0</v>
      </c>
      <c r="O999" t="n">
        <v>0</v>
      </c>
      <c r="P999" t="n">
        <v>0</v>
      </c>
      <c r="Q999" t="n">
        <v>0</v>
      </c>
      <c r="R999" s="2" t="inlineStr"/>
    </row>
    <row r="1000" ht="15" customHeight="1">
      <c r="A1000" t="inlineStr">
        <is>
          <t>A 10279-2025</t>
        </is>
      </c>
      <c r="B1000" s="1" t="n">
        <v>45720.40268518519</v>
      </c>
      <c r="C1000" s="1" t="n">
        <v>46082</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5591-2026</t>
        </is>
      </c>
      <c r="B1001" s="1" t="n">
        <v>46051.32770833333</v>
      </c>
      <c r="C1001" s="1" t="n">
        <v>46082</v>
      </c>
      <c r="D1001" t="inlineStr">
        <is>
          <t>JÄMTLANDS LÄN</t>
        </is>
      </c>
      <c r="E1001" t="inlineStr">
        <is>
          <t>KROKOM</t>
        </is>
      </c>
      <c r="F1001" t="inlineStr">
        <is>
          <t>Övriga Aktiebolag</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12813-2023</t>
        </is>
      </c>
      <c r="B1002" s="1" t="n">
        <v>45000</v>
      </c>
      <c r="C1002" s="1" t="n">
        <v>46082</v>
      </c>
      <c r="D1002" t="inlineStr">
        <is>
          <t>JÄMTLANDS LÄN</t>
        </is>
      </c>
      <c r="E1002" t="inlineStr">
        <is>
          <t>KROKOM</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46082</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45929-2025</t>
        </is>
      </c>
      <c r="B1004" s="1" t="n">
        <v>45923</v>
      </c>
      <c r="C1004" s="1" t="n">
        <v>46082</v>
      </c>
      <c r="D1004" t="inlineStr">
        <is>
          <t>JÄMTLANDS LÄN</t>
        </is>
      </c>
      <c r="E1004" t="inlineStr">
        <is>
          <t>KROKOM</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18942-2025</t>
        </is>
      </c>
      <c r="B1005" s="1" t="n">
        <v>45764</v>
      </c>
      <c r="C1005" s="1" t="n">
        <v>46082</v>
      </c>
      <c r="D1005" t="inlineStr">
        <is>
          <t>JÄMTLANDS LÄN</t>
        </is>
      </c>
      <c r="E1005" t="inlineStr">
        <is>
          <t>KROKOM</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65-2026</t>
        </is>
      </c>
      <c r="B1006" s="1" t="n">
        <v>46014</v>
      </c>
      <c r="C1006" s="1" t="n">
        <v>46082</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692-2025</t>
        </is>
      </c>
      <c r="B1007" s="1" t="n">
        <v>45662</v>
      </c>
      <c r="C1007" s="1" t="n">
        <v>46082</v>
      </c>
      <c r="D1007" t="inlineStr">
        <is>
          <t>JÄMTLANDS LÄN</t>
        </is>
      </c>
      <c r="E1007" t="inlineStr">
        <is>
          <t>KROKOM</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6253-2026</t>
        </is>
      </c>
      <c r="B1008" s="1" t="n">
        <v>46055.4729050926</v>
      </c>
      <c r="C1008" s="1" t="n">
        <v>46082</v>
      </c>
      <c r="D1008" t="inlineStr">
        <is>
          <t>JÄMTLANDS LÄN</t>
        </is>
      </c>
      <c r="E1008" t="inlineStr">
        <is>
          <t>KROKOM</t>
        </is>
      </c>
      <c r="F1008" t="inlineStr">
        <is>
          <t>Övriga Aktiebolag</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31426-2025</t>
        </is>
      </c>
      <c r="B1009" s="1" t="n">
        <v>45833</v>
      </c>
      <c r="C1009" s="1" t="n">
        <v>46082</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31427-2025</t>
        </is>
      </c>
      <c r="B1010" s="1" t="n">
        <v>45833</v>
      </c>
      <c r="C1010" s="1" t="n">
        <v>46082</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6656-2026</t>
        </is>
      </c>
      <c r="B1011" s="1" t="n">
        <v>46056.56085648148</v>
      </c>
      <c r="C1011" s="1" t="n">
        <v>46082</v>
      </c>
      <c r="D1011" t="inlineStr">
        <is>
          <t>JÄMTLANDS LÄN</t>
        </is>
      </c>
      <c r="E1011" t="inlineStr">
        <is>
          <t>KROKOM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5533-2025</t>
        </is>
      </c>
      <c r="B1012" s="1" t="n">
        <v>45693</v>
      </c>
      <c r="C1012" s="1" t="n">
        <v>46082</v>
      </c>
      <c r="D1012" t="inlineStr">
        <is>
          <t>JÄMTLANDS LÄN</t>
        </is>
      </c>
      <c r="E1012" t="inlineStr">
        <is>
          <t>KROKOM</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31543-2025</t>
        </is>
      </c>
      <c r="B1013" s="1" t="n">
        <v>45833</v>
      </c>
      <c r="C1013" s="1" t="n">
        <v>46082</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40364-2023</t>
        </is>
      </c>
      <c r="B1014" s="1" t="n">
        <v>45168</v>
      </c>
      <c r="C1014" s="1" t="n">
        <v>46082</v>
      </c>
      <c r="D1014" t="inlineStr">
        <is>
          <t>JÄMTLANDS LÄN</t>
        </is>
      </c>
      <c r="E1014" t="inlineStr">
        <is>
          <t>KROKOM</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34278-2022</t>
        </is>
      </c>
      <c r="B1015" s="1" t="n">
        <v>44792.27644675926</v>
      </c>
      <c r="C1015" s="1" t="n">
        <v>46082</v>
      </c>
      <c r="D1015" t="inlineStr">
        <is>
          <t>JÄMTLANDS LÄN</t>
        </is>
      </c>
      <c r="E1015" t="inlineStr">
        <is>
          <t>KROKOM</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29238-2022</t>
        </is>
      </c>
      <c r="B1016" s="1" t="n">
        <v>44750</v>
      </c>
      <c r="C1016" s="1" t="n">
        <v>46082</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23512-2022</t>
        </is>
      </c>
      <c r="B1017" s="1" t="n">
        <v>44721.39003472222</v>
      </c>
      <c r="C1017" s="1" t="n">
        <v>46082</v>
      </c>
      <c r="D1017" t="inlineStr">
        <is>
          <t>JÄMTLANDS LÄN</t>
        </is>
      </c>
      <c r="E1017" t="inlineStr">
        <is>
          <t>KROKOM</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24441-2022</t>
        </is>
      </c>
      <c r="B1018" s="1" t="n">
        <v>44726</v>
      </c>
      <c r="C1018" s="1" t="n">
        <v>46082</v>
      </c>
      <c r="D1018" t="inlineStr">
        <is>
          <t>JÄMTLANDS LÄN</t>
        </is>
      </c>
      <c r="E1018" t="inlineStr">
        <is>
          <t>KROKOM</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7130-2026</t>
        </is>
      </c>
      <c r="B1019" s="1" t="n">
        <v>46058.39744212963</v>
      </c>
      <c r="C1019" s="1" t="n">
        <v>46082</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6882-2026</t>
        </is>
      </c>
      <c r="B1020" s="1" t="n">
        <v>46057.46314814815</v>
      </c>
      <c r="C1020" s="1" t="n">
        <v>46082</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3963-2026</t>
        </is>
      </c>
      <c r="B1021" s="1" t="n">
        <v>46044</v>
      </c>
      <c r="C1021" s="1" t="n">
        <v>46082</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6825-2026</t>
        </is>
      </c>
      <c r="B1022" s="1" t="n">
        <v>46057.39299768519</v>
      </c>
      <c r="C1022" s="1" t="n">
        <v>46082</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29379-2024</t>
        </is>
      </c>
      <c r="B1023" s="1" t="n">
        <v>45483</v>
      </c>
      <c r="C1023" s="1" t="n">
        <v>46082</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41628-2024</t>
        </is>
      </c>
      <c r="B1024" s="1" t="n">
        <v>45560</v>
      </c>
      <c r="C1024" s="1" t="n">
        <v>46082</v>
      </c>
      <c r="D1024" t="inlineStr">
        <is>
          <t>JÄMTLANDS LÄN</t>
        </is>
      </c>
      <c r="E1024" t="inlineStr">
        <is>
          <t>KROKOM</t>
        </is>
      </c>
      <c r="F1024" t="inlineStr">
        <is>
          <t>Övriga Aktiebolag</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63665-2025</t>
        </is>
      </c>
      <c r="B1025" s="1" t="n">
        <v>46014.45636574074</v>
      </c>
      <c r="C1025" s="1" t="n">
        <v>46082</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48769-2022</t>
        </is>
      </c>
      <c r="B1026" s="1" t="n">
        <v>44855</v>
      </c>
      <c r="C1026" s="1" t="n">
        <v>46082</v>
      </c>
      <c r="D1026" t="inlineStr">
        <is>
          <t>JÄMTLANDS LÄN</t>
        </is>
      </c>
      <c r="E1026" t="inlineStr">
        <is>
          <t>KROKOM</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48777-2022</t>
        </is>
      </c>
      <c r="B1027" s="1" t="n">
        <v>44855</v>
      </c>
      <c r="C1027" s="1" t="n">
        <v>46082</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54491-2022</t>
        </is>
      </c>
      <c r="B1028" s="1" t="n">
        <v>44880</v>
      </c>
      <c r="C1028" s="1" t="n">
        <v>46082</v>
      </c>
      <c r="D1028" t="inlineStr">
        <is>
          <t>JÄMTLANDS LÄN</t>
        </is>
      </c>
      <c r="E1028" t="inlineStr">
        <is>
          <t>KROKOM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7169-2026</t>
        </is>
      </c>
      <c r="B1029" s="1" t="n">
        <v>46058.45940972222</v>
      </c>
      <c r="C1029" s="1" t="n">
        <v>46082</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10133-2025</t>
        </is>
      </c>
      <c r="B1030" s="1" t="n">
        <v>45719</v>
      </c>
      <c r="C1030" s="1" t="n">
        <v>46082</v>
      </c>
      <c r="D1030" t="inlineStr">
        <is>
          <t>JÄMTLANDS LÄN</t>
        </is>
      </c>
      <c r="E1030" t="inlineStr">
        <is>
          <t>KROKOM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6800-2026</t>
        </is>
      </c>
      <c r="B1031" s="1" t="n">
        <v>46057.34800925926</v>
      </c>
      <c r="C1031" s="1" t="n">
        <v>46082</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27178-2022</t>
        </is>
      </c>
      <c r="B1032" s="1" t="n">
        <v>44741</v>
      </c>
      <c r="C1032" s="1" t="n">
        <v>46082</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16129-2025</t>
        </is>
      </c>
      <c r="B1033" s="1" t="n">
        <v>45750.42650462963</v>
      </c>
      <c r="C1033" s="1" t="n">
        <v>46082</v>
      </c>
      <c r="D1033" t="inlineStr">
        <is>
          <t>JÄMTLANDS LÄN</t>
        </is>
      </c>
      <c r="E1033" t="inlineStr">
        <is>
          <t>KROKOM</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6924-2026</t>
        </is>
      </c>
      <c r="B1034" s="1" t="n">
        <v>46057.54111111111</v>
      </c>
      <c r="C1034" s="1" t="n">
        <v>46082</v>
      </c>
      <c r="D1034" t="inlineStr">
        <is>
          <t>JÄMTLANDS LÄN</t>
        </is>
      </c>
      <c r="E1034" t="inlineStr">
        <is>
          <t>KROKOM</t>
        </is>
      </c>
      <c r="G1034" t="n">
        <v>14.8</v>
      </c>
      <c r="H1034" t="n">
        <v>0</v>
      </c>
      <c r="I1034" t="n">
        <v>0</v>
      </c>
      <c r="J1034" t="n">
        <v>0</v>
      </c>
      <c r="K1034" t="n">
        <v>0</v>
      </c>
      <c r="L1034" t="n">
        <v>0</v>
      </c>
      <c r="M1034" t="n">
        <v>0</v>
      </c>
      <c r="N1034" t="n">
        <v>0</v>
      </c>
      <c r="O1034" t="n">
        <v>0</v>
      </c>
      <c r="P1034" t="n">
        <v>0</v>
      </c>
      <c r="Q1034" t="n">
        <v>0</v>
      </c>
      <c r="R1034" s="2" t="inlineStr"/>
    </row>
    <row r="1035" ht="15" customHeight="1">
      <c r="A1035" t="inlineStr">
        <is>
          <t>A 24402-2022</t>
        </is>
      </c>
      <c r="B1035" s="1" t="n">
        <v>44726</v>
      </c>
      <c r="C1035" s="1" t="n">
        <v>46082</v>
      </c>
      <c r="D1035" t="inlineStr">
        <is>
          <t>JÄMTLANDS LÄN</t>
        </is>
      </c>
      <c r="E1035" t="inlineStr">
        <is>
          <t>KROKOM</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6916-2026</t>
        </is>
      </c>
      <c r="B1036" s="1" t="n">
        <v>46057.52412037037</v>
      </c>
      <c r="C1036" s="1" t="n">
        <v>46082</v>
      </c>
      <c r="D1036" t="inlineStr">
        <is>
          <t>JÄMTLANDS LÄN</t>
        </is>
      </c>
      <c r="E1036" t="inlineStr">
        <is>
          <t>KROKOM</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6837-2026</t>
        </is>
      </c>
      <c r="B1037" s="1" t="n">
        <v>46057.40917824074</v>
      </c>
      <c r="C1037" s="1" t="n">
        <v>46082</v>
      </c>
      <c r="D1037" t="inlineStr">
        <is>
          <t>JÄMTLANDS LÄN</t>
        </is>
      </c>
      <c r="E1037" t="inlineStr">
        <is>
          <t>KROKOM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61443-2025</t>
        </is>
      </c>
      <c r="B1038" s="1" t="n">
        <v>46001.57354166666</v>
      </c>
      <c r="C1038" s="1" t="n">
        <v>46082</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63772-2025</t>
        </is>
      </c>
      <c r="B1039" s="1" t="n">
        <v>46018.98585648148</v>
      </c>
      <c r="C1039" s="1" t="n">
        <v>46082</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3490-2026</t>
        </is>
      </c>
      <c r="B1040" s="1" t="n">
        <v>46042.56903935185</v>
      </c>
      <c r="C1040" s="1" t="n">
        <v>46082</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8880-2025</t>
        </is>
      </c>
      <c r="B1041" s="1" t="n">
        <v>45713.38028935185</v>
      </c>
      <c r="C1041" s="1" t="n">
        <v>46082</v>
      </c>
      <c r="D1041" t="inlineStr">
        <is>
          <t>JÄMTLANDS LÄN</t>
        </is>
      </c>
      <c r="E1041" t="inlineStr">
        <is>
          <t>KROKOM</t>
        </is>
      </c>
      <c r="F1041" t="inlineStr">
        <is>
          <t>Övriga Aktiebolag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61476-2025</t>
        </is>
      </c>
      <c r="B1042" s="1" t="n">
        <v>46001.62010416666</v>
      </c>
      <c r="C1042" s="1" t="n">
        <v>46082</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61478-2025</t>
        </is>
      </c>
      <c r="B1043" s="1" t="n">
        <v>46001.62261574074</v>
      </c>
      <c r="C1043" s="1" t="n">
        <v>46082</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6804-2025</t>
        </is>
      </c>
      <c r="B1044" s="1" t="n">
        <v>45700.6833912037</v>
      </c>
      <c r="C1044" s="1" t="n">
        <v>46082</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15231-2025</t>
        </is>
      </c>
      <c r="B1045" s="1" t="n">
        <v>45744.59894675926</v>
      </c>
      <c r="C1045" s="1" t="n">
        <v>46082</v>
      </c>
      <c r="D1045" t="inlineStr">
        <is>
          <t>JÄMTLANDS LÄN</t>
        </is>
      </c>
      <c r="E1045" t="inlineStr">
        <is>
          <t>KROKOM</t>
        </is>
      </c>
      <c r="F1045" t="inlineStr">
        <is>
          <t>Övriga Aktiebolag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64174-2023</t>
        </is>
      </c>
      <c r="B1046" s="1" t="n">
        <v>45279</v>
      </c>
      <c r="C1046" s="1" t="n">
        <v>46082</v>
      </c>
      <c r="D1046" t="inlineStr">
        <is>
          <t>JÄMTLANDS LÄN</t>
        </is>
      </c>
      <c r="E1046" t="inlineStr">
        <is>
          <t>KROKOM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63773-2025</t>
        </is>
      </c>
      <c r="B1047" s="1" t="n">
        <v>46019.00192129629</v>
      </c>
      <c r="C1047" s="1" t="n">
        <v>46082</v>
      </c>
      <c r="D1047" t="inlineStr">
        <is>
          <t>JÄMTLANDS LÄN</t>
        </is>
      </c>
      <c r="E1047" t="inlineStr">
        <is>
          <t>KROKOM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63771-2025</t>
        </is>
      </c>
      <c r="B1048" s="1" t="n">
        <v>46018.98166666667</v>
      </c>
      <c r="C1048" s="1" t="n">
        <v>46082</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59973-2023</t>
        </is>
      </c>
      <c r="B1049" s="1" t="n">
        <v>45257</v>
      </c>
      <c r="C1049" s="1" t="n">
        <v>46082</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63770-2025</t>
        </is>
      </c>
      <c r="B1050" s="1" t="n">
        <v>46018.93976851852</v>
      </c>
      <c r="C1050" s="1" t="n">
        <v>46082</v>
      </c>
      <c r="D1050" t="inlineStr">
        <is>
          <t>JÄMTLANDS LÄN</t>
        </is>
      </c>
      <c r="E1050" t="inlineStr">
        <is>
          <t>KROKOM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24103-2025</t>
        </is>
      </c>
      <c r="B1051" s="1" t="n">
        <v>45796</v>
      </c>
      <c r="C1051" s="1" t="n">
        <v>46082</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63775-2025</t>
        </is>
      </c>
      <c r="B1052" s="1" t="n">
        <v>46019.02924768518</v>
      </c>
      <c r="C1052" s="1" t="n">
        <v>46082</v>
      </c>
      <c r="D1052" t="inlineStr">
        <is>
          <t>JÄMTLANDS LÄN</t>
        </is>
      </c>
      <c r="E1052" t="inlineStr">
        <is>
          <t>KROKOM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63776-2025</t>
        </is>
      </c>
      <c r="B1053" s="1" t="n">
        <v>46019.2824537037</v>
      </c>
      <c r="C1053" s="1" t="n">
        <v>46082</v>
      </c>
      <c r="D1053" t="inlineStr">
        <is>
          <t>JÄMTLANDS LÄN</t>
        </is>
      </c>
      <c r="E1053" t="inlineStr">
        <is>
          <t>KROKOM</t>
        </is>
      </c>
      <c r="F1053" t="inlineStr">
        <is>
          <t>Övriga Aktiebolag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57856-2023</t>
        </is>
      </c>
      <c r="B1054" s="1" t="n">
        <v>45247</v>
      </c>
      <c r="C1054" s="1" t="n">
        <v>46082</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63768-2025</t>
        </is>
      </c>
      <c r="B1055" s="1" t="n">
        <v>46018.93873842592</v>
      </c>
      <c r="C1055" s="1" t="n">
        <v>46082</v>
      </c>
      <c r="D1055" t="inlineStr">
        <is>
          <t>JÄMTLANDS LÄN</t>
        </is>
      </c>
      <c r="E1055" t="inlineStr">
        <is>
          <t>KROKOM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63769-2025</t>
        </is>
      </c>
      <c r="B1056" s="1" t="n">
        <v>46018.93935185186</v>
      </c>
      <c r="C1056" s="1" t="n">
        <v>46082</v>
      </c>
      <c r="D1056" t="inlineStr">
        <is>
          <t>JÄMTLANDS LÄN</t>
        </is>
      </c>
      <c r="E1056" t="inlineStr">
        <is>
          <t>KROKOM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63850-2025</t>
        </is>
      </c>
      <c r="B1057" s="1" t="n">
        <v>46020.45539351852</v>
      </c>
      <c r="C1057" s="1" t="n">
        <v>46082</v>
      </c>
      <c r="D1057" t="inlineStr">
        <is>
          <t>JÄMTLANDS LÄN</t>
        </is>
      </c>
      <c r="E1057" t="inlineStr">
        <is>
          <t>KROKOM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9022-2025</t>
        </is>
      </c>
      <c r="B1058" s="1" t="n">
        <v>45713.59623842593</v>
      </c>
      <c r="C1058" s="1" t="n">
        <v>46082</v>
      </c>
      <c r="D1058" t="inlineStr">
        <is>
          <t>JÄMTLANDS LÄN</t>
        </is>
      </c>
      <c r="E1058" t="inlineStr">
        <is>
          <t>KROKOM</t>
        </is>
      </c>
      <c r="F1058" t="inlineStr">
        <is>
          <t>Övriga Aktiebolag</t>
        </is>
      </c>
      <c r="G1058" t="n">
        <v>29.9</v>
      </c>
      <c r="H1058" t="n">
        <v>0</v>
      </c>
      <c r="I1058" t="n">
        <v>0</v>
      </c>
      <c r="J1058" t="n">
        <v>0</v>
      </c>
      <c r="K1058" t="n">
        <v>0</v>
      </c>
      <c r="L1058" t="n">
        <v>0</v>
      </c>
      <c r="M1058" t="n">
        <v>0</v>
      </c>
      <c r="N1058" t="n">
        <v>0</v>
      </c>
      <c r="O1058" t="n">
        <v>0</v>
      </c>
      <c r="P1058" t="n">
        <v>0</v>
      </c>
      <c r="Q1058" t="n">
        <v>0</v>
      </c>
      <c r="R1058" s="2" t="inlineStr"/>
    </row>
    <row r="1059" ht="15" customHeight="1">
      <c r="A1059" t="inlineStr">
        <is>
          <t>A 30160-2022</t>
        </is>
      </c>
      <c r="B1059" s="1" t="n">
        <v>44757</v>
      </c>
      <c r="C1059" s="1" t="n">
        <v>46082</v>
      </c>
      <c r="D1059" t="inlineStr">
        <is>
          <t>JÄMTLANDS LÄN</t>
        </is>
      </c>
      <c r="E1059" t="inlineStr">
        <is>
          <t>KROKOM</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57857-2025</t>
        </is>
      </c>
      <c r="B1060" s="1" t="n">
        <v>45981.63960648148</v>
      </c>
      <c r="C1060" s="1" t="n">
        <v>46082</v>
      </c>
      <c r="D1060" t="inlineStr">
        <is>
          <t>JÄMTLANDS LÄN</t>
        </is>
      </c>
      <c r="E1060" t="inlineStr">
        <is>
          <t>KROKOM</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1852-2025</t>
        </is>
      </c>
      <c r="B1061" s="1" t="n">
        <v>45671.59114583334</v>
      </c>
      <c r="C1061" s="1" t="n">
        <v>46082</v>
      </c>
      <c r="D1061" t="inlineStr">
        <is>
          <t>JÄMTLANDS LÄN</t>
        </is>
      </c>
      <c r="E1061" t="inlineStr">
        <is>
          <t>KROKOM</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61453-2025</t>
        </is>
      </c>
      <c r="B1062" s="1" t="n">
        <v>46001.58243055556</v>
      </c>
      <c r="C1062" s="1" t="n">
        <v>46082</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61454-2025</t>
        </is>
      </c>
      <c r="B1063" s="1" t="n">
        <v>46001.58518518518</v>
      </c>
      <c r="C1063" s="1" t="n">
        <v>46082</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63774-2025</t>
        </is>
      </c>
      <c r="B1064" s="1" t="n">
        <v>46019.01190972222</v>
      </c>
      <c r="C1064" s="1" t="n">
        <v>46082</v>
      </c>
      <c r="D1064" t="inlineStr">
        <is>
          <t>JÄMTLANDS LÄN</t>
        </is>
      </c>
      <c r="E1064" t="inlineStr">
        <is>
          <t>KROKOM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21990-2022</t>
        </is>
      </c>
      <c r="B1065" s="1" t="n">
        <v>44711</v>
      </c>
      <c r="C1065" s="1" t="n">
        <v>46082</v>
      </c>
      <c r="D1065" t="inlineStr">
        <is>
          <t>JÄMTLANDS LÄN</t>
        </is>
      </c>
      <c r="E1065" t="inlineStr">
        <is>
          <t>KROKOM</t>
        </is>
      </c>
      <c r="F1065" t="inlineStr">
        <is>
          <t>Övriga Aktiebolag</t>
        </is>
      </c>
      <c r="G1065" t="n">
        <v>26.3</v>
      </c>
      <c r="H1065" t="n">
        <v>0</v>
      </c>
      <c r="I1065" t="n">
        <v>0</v>
      </c>
      <c r="J1065" t="n">
        <v>0</v>
      </c>
      <c r="K1065" t="n">
        <v>0</v>
      </c>
      <c r="L1065" t="n">
        <v>0</v>
      </c>
      <c r="M1065" t="n">
        <v>0</v>
      </c>
      <c r="N1065" t="n">
        <v>0</v>
      </c>
      <c r="O1065" t="n">
        <v>0</v>
      </c>
      <c r="P1065" t="n">
        <v>0</v>
      </c>
      <c r="Q1065" t="n">
        <v>0</v>
      </c>
      <c r="R1065" s="2" t="inlineStr"/>
    </row>
    <row r="1066" ht="15" customHeight="1">
      <c r="A1066" t="inlineStr">
        <is>
          <t>A 8057-2026</t>
        </is>
      </c>
      <c r="B1066" s="1" t="n">
        <v>46062</v>
      </c>
      <c r="C1066" s="1" t="n">
        <v>46082</v>
      </c>
      <c r="D1066" t="inlineStr">
        <is>
          <t>JÄMTLANDS LÄN</t>
        </is>
      </c>
      <c r="E1066" t="inlineStr">
        <is>
          <t>KROKOM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10842-2024</t>
        </is>
      </c>
      <c r="B1067" s="1" t="n">
        <v>45369</v>
      </c>
      <c r="C1067" s="1" t="n">
        <v>46082</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63532-2023</t>
        </is>
      </c>
      <c r="B1068" s="1" t="n">
        <v>45274</v>
      </c>
      <c r="C1068" s="1" t="n">
        <v>46082</v>
      </c>
      <c r="D1068" t="inlineStr">
        <is>
          <t>JÄMTLANDS LÄN</t>
        </is>
      </c>
      <c r="E1068" t="inlineStr">
        <is>
          <t>KROKOM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8330-2026</t>
        </is>
      </c>
      <c r="B1069" s="1" t="n">
        <v>46064.62232638889</v>
      </c>
      <c r="C1069" s="1" t="n">
        <v>46082</v>
      </c>
      <c r="D1069" t="inlineStr">
        <is>
          <t>JÄMTLANDS LÄN</t>
        </is>
      </c>
      <c r="E1069" t="inlineStr">
        <is>
          <t>KROKOM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8037-2026</t>
        </is>
      </c>
      <c r="B1070" s="1" t="n">
        <v>46062</v>
      </c>
      <c r="C1070" s="1" t="n">
        <v>46082</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8209-2026</t>
        </is>
      </c>
      <c r="B1071" s="1" t="n">
        <v>46064.44895833333</v>
      </c>
      <c r="C1071" s="1" t="n">
        <v>46082</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47587-2023</t>
        </is>
      </c>
      <c r="B1072" s="1" t="n">
        <v>45203.44248842593</v>
      </c>
      <c r="C1072" s="1" t="n">
        <v>46082</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39127-2023</t>
        </is>
      </c>
      <c r="B1073" s="1" t="n">
        <v>45165.70483796296</v>
      </c>
      <c r="C1073" s="1" t="n">
        <v>46082</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22890-2024</t>
        </is>
      </c>
      <c r="B1074" s="1" t="n">
        <v>45448.67574074074</v>
      </c>
      <c r="C1074" s="1" t="n">
        <v>46082</v>
      </c>
      <c r="D1074" t="inlineStr">
        <is>
          <t>JÄMTLANDS LÄN</t>
        </is>
      </c>
      <c r="E1074" t="inlineStr">
        <is>
          <t>KROKOM</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30-2026</t>
        </is>
      </c>
      <c r="B1075" s="1" t="n">
        <v>46024.35299768519</v>
      </c>
      <c r="C1075" s="1" t="n">
        <v>46082</v>
      </c>
      <c r="D1075" t="inlineStr">
        <is>
          <t>JÄMTLANDS LÄN</t>
        </is>
      </c>
      <c r="E1075" t="inlineStr">
        <is>
          <t>KROKOM</t>
        </is>
      </c>
      <c r="F1075" t="inlineStr">
        <is>
          <t>Övriga Aktiebolag</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46753-2022</t>
        </is>
      </c>
      <c r="B1076" s="1" t="n">
        <v>44847</v>
      </c>
      <c r="C1076" s="1" t="n">
        <v>46082</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46761-2022</t>
        </is>
      </c>
      <c r="B1077" s="1" t="n">
        <v>44847</v>
      </c>
      <c r="C1077" s="1" t="n">
        <v>46082</v>
      </c>
      <c r="D1077" t="inlineStr">
        <is>
          <t>JÄMTLANDS LÄN</t>
        </is>
      </c>
      <c r="E1077" t="inlineStr">
        <is>
          <t>KROKOM</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48417-2022</t>
        </is>
      </c>
      <c r="B1078" s="1" t="n">
        <v>44858</v>
      </c>
      <c r="C1078" s="1" t="n">
        <v>46082</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7118-2026</t>
        </is>
      </c>
      <c r="B1079" s="1" t="n">
        <v>46058.37922453704</v>
      </c>
      <c r="C1079" s="1" t="n">
        <v>46082</v>
      </c>
      <c r="D1079" t="inlineStr">
        <is>
          <t>JÄMTLANDS LÄN</t>
        </is>
      </c>
      <c r="E1079" t="inlineStr">
        <is>
          <t>KROKOM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46082</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16225-2025</t>
        </is>
      </c>
      <c r="B1081" s="1" t="n">
        <v>45750.6447800926</v>
      </c>
      <c r="C1081" s="1" t="n">
        <v>46082</v>
      </c>
      <c r="D1081" t="inlineStr">
        <is>
          <t>JÄMTLANDS LÄN</t>
        </is>
      </c>
      <c r="E1081" t="inlineStr">
        <is>
          <t>KROKOM</t>
        </is>
      </c>
      <c r="F1081" t="inlineStr">
        <is>
          <t>Övriga Aktiebolag</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17510-2025</t>
        </is>
      </c>
      <c r="B1082" s="1" t="n">
        <v>45757.56491898148</v>
      </c>
      <c r="C1082" s="1" t="n">
        <v>46082</v>
      </c>
      <c r="D1082" t="inlineStr">
        <is>
          <t>JÄMTLANDS LÄN</t>
        </is>
      </c>
      <c r="E1082" t="inlineStr">
        <is>
          <t>KROKOM</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9039-2026</t>
        </is>
      </c>
      <c r="B1083" s="1" t="n">
        <v>46069.53791666667</v>
      </c>
      <c r="C1083" s="1" t="n">
        <v>46082</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15885-2023</t>
        </is>
      </c>
      <c r="B1084" s="1" t="n">
        <v>45022</v>
      </c>
      <c r="C1084" s="1" t="n">
        <v>46082</v>
      </c>
      <c r="D1084" t="inlineStr">
        <is>
          <t>JÄMTLANDS LÄN</t>
        </is>
      </c>
      <c r="E1084" t="inlineStr">
        <is>
          <t>KROKOM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60102-2023</t>
        </is>
      </c>
      <c r="B1085" s="1" t="n">
        <v>45257</v>
      </c>
      <c r="C1085" s="1" t="n">
        <v>46082</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7763-2024</t>
        </is>
      </c>
      <c r="B1086" s="1" t="n">
        <v>45348</v>
      </c>
      <c r="C1086" s="1" t="n">
        <v>46082</v>
      </c>
      <c r="D1086" t="inlineStr">
        <is>
          <t>JÄMTLANDS LÄN</t>
        </is>
      </c>
      <c r="E1086" t="inlineStr">
        <is>
          <t>KROKOM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9164-2026</t>
        </is>
      </c>
      <c r="B1087" s="1" t="n">
        <v>46070.35418981482</v>
      </c>
      <c r="C1087" s="1" t="n">
        <v>46082</v>
      </c>
      <c r="D1087" t="inlineStr">
        <is>
          <t>JÄMTLANDS LÄN</t>
        </is>
      </c>
      <c r="E1087" t="inlineStr">
        <is>
          <t>KROKOM</t>
        </is>
      </c>
      <c r="F1087" t="inlineStr">
        <is>
          <t>Övriga Aktiebolag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9168-2026</t>
        </is>
      </c>
      <c r="B1088" s="1" t="n">
        <v>46070.36040509259</v>
      </c>
      <c r="C1088" s="1" t="n">
        <v>46082</v>
      </c>
      <c r="D1088" t="inlineStr">
        <is>
          <t>JÄMTLANDS LÄN</t>
        </is>
      </c>
      <c r="E1088" t="inlineStr">
        <is>
          <t>KROKOM</t>
        </is>
      </c>
      <c r="F1088" t="inlineStr">
        <is>
          <t>Övriga Aktiebolag</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400-2026</t>
        </is>
      </c>
      <c r="B1089" s="1" t="n">
        <v>46028.65902777778</v>
      </c>
      <c r="C1089" s="1" t="n">
        <v>46082</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9180-2026</t>
        </is>
      </c>
      <c r="B1090" s="1" t="n">
        <v>46070.36953703704</v>
      </c>
      <c r="C1090" s="1" t="n">
        <v>46082</v>
      </c>
      <c r="D1090" t="inlineStr">
        <is>
          <t>JÄMTLANDS LÄN</t>
        </is>
      </c>
      <c r="E1090" t="inlineStr">
        <is>
          <t>KROKOM</t>
        </is>
      </c>
      <c r="F1090" t="inlineStr">
        <is>
          <t>Övriga Aktiebolag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16545-2024</t>
        </is>
      </c>
      <c r="B1091" s="1" t="n">
        <v>45408</v>
      </c>
      <c r="C1091" s="1" t="n">
        <v>46082</v>
      </c>
      <c r="D1091" t="inlineStr">
        <is>
          <t>JÄMTLANDS LÄN</t>
        </is>
      </c>
      <c r="E1091" t="inlineStr">
        <is>
          <t>KROKOM</t>
        </is>
      </c>
      <c r="G1091" t="n">
        <v>46.1</v>
      </c>
      <c r="H1091" t="n">
        <v>0</v>
      </c>
      <c r="I1091" t="n">
        <v>0</v>
      </c>
      <c r="J1091" t="n">
        <v>0</v>
      </c>
      <c r="K1091" t="n">
        <v>0</v>
      </c>
      <c r="L1091" t="n">
        <v>0</v>
      </c>
      <c r="M1091" t="n">
        <v>0</v>
      </c>
      <c r="N1091" t="n">
        <v>0</v>
      </c>
      <c r="O1091" t="n">
        <v>0</v>
      </c>
      <c r="P1091" t="n">
        <v>0</v>
      </c>
      <c r="Q1091" t="n">
        <v>0</v>
      </c>
      <c r="R1091" s="2" t="inlineStr"/>
    </row>
    <row r="1092" ht="15" customHeight="1">
      <c r="A1092" t="inlineStr">
        <is>
          <t>A 9057-2026</t>
        </is>
      </c>
      <c r="B1092" s="1" t="n">
        <v>46069.56244212963</v>
      </c>
      <c r="C1092" s="1" t="n">
        <v>46082</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9098-2026</t>
        </is>
      </c>
      <c r="B1093" s="1" t="n">
        <v>46069.6367824074</v>
      </c>
      <c r="C1093" s="1" t="n">
        <v>46082</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31821-2023</t>
        </is>
      </c>
      <c r="B1094" s="1" t="n">
        <v>45118</v>
      </c>
      <c r="C1094" s="1" t="n">
        <v>46082</v>
      </c>
      <c r="D1094" t="inlineStr">
        <is>
          <t>JÄMTLANDS LÄN</t>
        </is>
      </c>
      <c r="E1094" t="inlineStr">
        <is>
          <t>KROKOM</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6909-2026</t>
        </is>
      </c>
      <c r="B1095" s="1" t="n">
        <v>46057.51038194444</v>
      </c>
      <c r="C1095" s="1" t="n">
        <v>46082</v>
      </c>
      <c r="D1095" t="inlineStr">
        <is>
          <t>JÄMTLANDS LÄN</t>
        </is>
      </c>
      <c r="E1095" t="inlineStr">
        <is>
          <t>KROKOM</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502-2026</t>
        </is>
      </c>
      <c r="B1096" s="1" t="n">
        <v>46029.43747685185</v>
      </c>
      <c r="C1096" s="1" t="n">
        <v>46082</v>
      </c>
      <c r="D1096" t="inlineStr">
        <is>
          <t>JÄMTLANDS LÄN</t>
        </is>
      </c>
      <c r="E1096" t="inlineStr">
        <is>
          <t>KROKOM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504-2026</t>
        </is>
      </c>
      <c r="B1097" s="1" t="n">
        <v>46029.43922453704</v>
      </c>
      <c r="C1097" s="1" t="n">
        <v>46082</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9837-2026</t>
        </is>
      </c>
      <c r="B1098" s="1" t="n">
        <v>46072.67766203704</v>
      </c>
      <c r="C1098" s="1" t="n">
        <v>46082</v>
      </c>
      <c r="D1098" t="inlineStr">
        <is>
          <t>JÄMTLANDS LÄN</t>
        </is>
      </c>
      <c r="E1098" t="inlineStr">
        <is>
          <t>KROKOM</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9838-2026</t>
        </is>
      </c>
      <c r="B1099" s="1" t="n">
        <v>46072.67773148148</v>
      </c>
      <c r="C1099" s="1" t="n">
        <v>46082</v>
      </c>
      <c r="D1099" t="inlineStr">
        <is>
          <t>JÄMTLANDS LÄN</t>
        </is>
      </c>
      <c r="E1099" t="inlineStr">
        <is>
          <t>KROKOM</t>
        </is>
      </c>
      <c r="F1099" t="inlineStr">
        <is>
          <t>SCA</t>
        </is>
      </c>
      <c r="G1099" t="n">
        <v>13.8</v>
      </c>
      <c r="H1099" t="n">
        <v>0</v>
      </c>
      <c r="I1099" t="n">
        <v>0</v>
      </c>
      <c r="J1099" t="n">
        <v>0</v>
      </c>
      <c r="K1099" t="n">
        <v>0</v>
      </c>
      <c r="L1099" t="n">
        <v>0</v>
      </c>
      <c r="M1099" t="n">
        <v>0</v>
      </c>
      <c r="N1099" t="n">
        <v>0</v>
      </c>
      <c r="O1099" t="n">
        <v>0</v>
      </c>
      <c r="P1099" t="n">
        <v>0</v>
      </c>
      <c r="Q1099" t="n">
        <v>0</v>
      </c>
      <c r="R1099" s="2" t="inlineStr"/>
    </row>
    <row r="1100" ht="15" customHeight="1">
      <c r="A1100" t="inlineStr">
        <is>
          <t>A 869-2026</t>
        </is>
      </c>
      <c r="B1100" s="1" t="n">
        <v>46030.43342592593</v>
      </c>
      <c r="C1100" s="1" t="n">
        <v>46082</v>
      </c>
      <c r="D1100" t="inlineStr">
        <is>
          <t>JÄMTLANDS LÄN</t>
        </is>
      </c>
      <c r="E1100" t="inlineStr">
        <is>
          <t>KROKOM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9665-2026</t>
        </is>
      </c>
      <c r="B1101" s="1" t="n">
        <v>46072.36784722222</v>
      </c>
      <c r="C1101" s="1" t="n">
        <v>46082</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9473-2026</t>
        </is>
      </c>
      <c r="B1102" s="1" t="n">
        <v>46071.51774305556</v>
      </c>
      <c r="C1102" s="1" t="n">
        <v>46082</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42398-2024</t>
        </is>
      </c>
      <c r="B1103" s="1" t="n">
        <v>45565.33152777778</v>
      </c>
      <c r="C1103" s="1" t="n">
        <v>46082</v>
      </c>
      <c r="D1103" t="inlineStr">
        <is>
          <t>JÄMTLANDS LÄN</t>
        </is>
      </c>
      <c r="E1103" t="inlineStr">
        <is>
          <t>KROKOM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9799-2026</t>
        </is>
      </c>
      <c r="B1104" s="1" t="n">
        <v>46072.61539351852</v>
      </c>
      <c r="C1104" s="1" t="n">
        <v>46082</v>
      </c>
      <c r="D1104" t="inlineStr">
        <is>
          <t>JÄMTLANDS LÄN</t>
        </is>
      </c>
      <c r="E1104" t="inlineStr">
        <is>
          <t>KROKOM</t>
        </is>
      </c>
      <c r="F1104" t="inlineStr">
        <is>
          <t>SCA</t>
        </is>
      </c>
      <c r="G1104" t="n">
        <v>19.2</v>
      </c>
      <c r="H1104" t="n">
        <v>0</v>
      </c>
      <c r="I1104" t="n">
        <v>0</v>
      </c>
      <c r="J1104" t="n">
        <v>0</v>
      </c>
      <c r="K1104" t="n">
        <v>0</v>
      </c>
      <c r="L1104" t="n">
        <v>0</v>
      </c>
      <c r="M1104" t="n">
        <v>0</v>
      </c>
      <c r="N1104" t="n">
        <v>0</v>
      </c>
      <c r="O1104" t="n">
        <v>0</v>
      </c>
      <c r="P1104" t="n">
        <v>0</v>
      </c>
      <c r="Q1104" t="n">
        <v>0</v>
      </c>
      <c r="R1104" s="2" t="inlineStr"/>
    </row>
    <row r="1105" ht="15" customHeight="1">
      <c r="A1105" t="inlineStr">
        <is>
          <t>A 34720-2023</t>
        </is>
      </c>
      <c r="B1105" s="1" t="n">
        <v>45139</v>
      </c>
      <c r="C1105" s="1" t="n">
        <v>46082</v>
      </c>
      <c r="D1105" t="inlineStr">
        <is>
          <t>JÄMTLANDS LÄN</t>
        </is>
      </c>
      <c r="E1105" t="inlineStr">
        <is>
          <t>KROKOM</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72064-2021</t>
        </is>
      </c>
      <c r="B1106" s="1" t="n">
        <v>44544.49326388889</v>
      </c>
      <c r="C1106" s="1" t="n">
        <v>46082</v>
      </c>
      <c r="D1106" t="inlineStr">
        <is>
          <t>JÄMTLANDS LÄN</t>
        </is>
      </c>
      <c r="E1106" t="inlineStr">
        <is>
          <t>KROKOM</t>
        </is>
      </c>
      <c r="G1106" t="n">
        <v>18.7</v>
      </c>
      <c r="H1106" t="n">
        <v>0</v>
      </c>
      <c r="I1106" t="n">
        <v>0</v>
      </c>
      <c r="J1106" t="n">
        <v>0</v>
      </c>
      <c r="K1106" t="n">
        <v>0</v>
      </c>
      <c r="L1106" t="n">
        <v>0</v>
      </c>
      <c r="M1106" t="n">
        <v>0</v>
      </c>
      <c r="N1106" t="n">
        <v>0</v>
      </c>
      <c r="O1106" t="n">
        <v>0</v>
      </c>
      <c r="P1106" t="n">
        <v>0</v>
      </c>
      <c r="Q1106" t="n">
        <v>0</v>
      </c>
      <c r="R1106" s="2" t="inlineStr"/>
    </row>
    <row r="1107" ht="15" customHeight="1">
      <c r="A1107" t="inlineStr">
        <is>
          <t>A 50919-2024</t>
        </is>
      </c>
      <c r="B1107" s="1" t="n">
        <v>45602</v>
      </c>
      <c r="C1107" s="1" t="n">
        <v>46082</v>
      </c>
      <c r="D1107" t="inlineStr">
        <is>
          <t>JÄMTLANDS LÄN</t>
        </is>
      </c>
      <c r="E1107" t="inlineStr">
        <is>
          <t>KROKOM</t>
        </is>
      </c>
      <c r="G1107" t="n">
        <v>33.7</v>
      </c>
      <c r="H1107" t="n">
        <v>0</v>
      </c>
      <c r="I1107" t="n">
        <v>0</v>
      </c>
      <c r="J1107" t="n">
        <v>0</v>
      </c>
      <c r="K1107" t="n">
        <v>0</v>
      </c>
      <c r="L1107" t="n">
        <v>0</v>
      </c>
      <c r="M1107" t="n">
        <v>0</v>
      </c>
      <c r="N1107" t="n">
        <v>0</v>
      </c>
      <c r="O1107" t="n">
        <v>0</v>
      </c>
      <c r="P1107" t="n">
        <v>0</v>
      </c>
      <c r="Q1107" t="n">
        <v>0</v>
      </c>
      <c r="R1107" s="2" t="inlineStr"/>
    </row>
    <row r="1108" ht="15" customHeight="1">
      <c r="A1108" t="inlineStr">
        <is>
          <t>A 1653-2026</t>
        </is>
      </c>
      <c r="B1108" s="1" t="n">
        <v>46034.53180555555</v>
      </c>
      <c r="C1108" s="1" t="n">
        <v>46082</v>
      </c>
      <c r="D1108" t="inlineStr">
        <is>
          <t>JÄMTLANDS LÄN</t>
        </is>
      </c>
      <c r="E1108" t="inlineStr">
        <is>
          <t>KROKOM</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25428-2022</t>
        </is>
      </c>
      <c r="B1109" s="1" t="n">
        <v>44732</v>
      </c>
      <c r="C1109" s="1" t="n">
        <v>46082</v>
      </c>
      <c r="D1109" t="inlineStr">
        <is>
          <t>JÄMTLANDS LÄN</t>
        </is>
      </c>
      <c r="E1109" t="inlineStr">
        <is>
          <t>KROKOM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50302-2022</t>
        </is>
      </c>
      <c r="B1110" s="1" t="n">
        <v>44865</v>
      </c>
      <c r="C1110" s="1" t="n">
        <v>46082</v>
      </c>
      <c r="D1110" t="inlineStr">
        <is>
          <t>JÄMTLANDS LÄN</t>
        </is>
      </c>
      <c r="E1110" t="inlineStr">
        <is>
          <t>KROKOM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50433-2024</t>
        </is>
      </c>
      <c r="B1111" s="1" t="n">
        <v>45601</v>
      </c>
      <c r="C1111" s="1" t="n">
        <v>46082</v>
      </c>
      <c r="D1111" t="inlineStr">
        <is>
          <t>JÄMTLANDS LÄN</t>
        </is>
      </c>
      <c r="E1111" t="inlineStr">
        <is>
          <t>KROKOM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52240-2024</t>
        </is>
      </c>
      <c r="B1112" s="1" t="n">
        <v>45608.61923611111</v>
      </c>
      <c r="C1112" s="1" t="n">
        <v>46082</v>
      </c>
      <c r="D1112" t="inlineStr">
        <is>
          <t>JÄMTLANDS LÄN</t>
        </is>
      </c>
      <c r="E1112" t="inlineStr">
        <is>
          <t>KROKOM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50129-2024</t>
        </is>
      </c>
      <c r="B1113" s="1" t="n">
        <v>45600.433125</v>
      </c>
      <c r="C1113" s="1" t="n">
        <v>46082</v>
      </c>
      <c r="D1113" t="inlineStr">
        <is>
          <t>JÄMTLANDS LÄN</t>
        </is>
      </c>
      <c r="E1113" t="inlineStr">
        <is>
          <t>KROKOM</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6991-2025</t>
        </is>
      </c>
      <c r="B1114" s="1" t="n">
        <v>45701.57363425926</v>
      </c>
      <c r="C1114" s="1" t="n">
        <v>46082</v>
      </c>
      <c r="D1114" t="inlineStr">
        <is>
          <t>JÄMTLANDS LÄN</t>
        </is>
      </c>
      <c r="E1114" t="inlineStr">
        <is>
          <t>KROKOM</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10467-2026</t>
        </is>
      </c>
      <c r="B1115" s="1" t="n">
        <v>46077.46896990741</v>
      </c>
      <c r="C1115" s="1" t="n">
        <v>46082</v>
      </c>
      <c r="D1115" t="inlineStr">
        <is>
          <t>JÄMTLANDS LÄN</t>
        </is>
      </c>
      <c r="E1115" t="inlineStr">
        <is>
          <t>KROKOM</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10499-2026</t>
        </is>
      </c>
      <c r="B1116" s="1" t="n">
        <v>46077.54814814815</v>
      </c>
      <c r="C1116" s="1" t="n">
        <v>46082</v>
      </c>
      <c r="D1116" t="inlineStr">
        <is>
          <t>JÄMTLANDS LÄN</t>
        </is>
      </c>
      <c r="E1116" t="inlineStr">
        <is>
          <t>KROKOM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23832-2021</t>
        </is>
      </c>
      <c r="B1117" s="1" t="n">
        <v>44335</v>
      </c>
      <c r="C1117" s="1" t="n">
        <v>46082</v>
      </c>
      <c r="D1117" t="inlineStr">
        <is>
          <t>JÄMTLANDS LÄN</t>
        </is>
      </c>
      <c r="E1117" t="inlineStr">
        <is>
          <t>KROKOM</t>
        </is>
      </c>
      <c r="G1117" t="n">
        <v>20</v>
      </c>
      <c r="H1117" t="n">
        <v>0</v>
      </c>
      <c r="I1117" t="n">
        <v>0</v>
      </c>
      <c r="J1117" t="n">
        <v>0</v>
      </c>
      <c r="K1117" t="n">
        <v>0</v>
      </c>
      <c r="L1117" t="n">
        <v>0</v>
      </c>
      <c r="M1117" t="n">
        <v>0</v>
      </c>
      <c r="N1117" t="n">
        <v>0</v>
      </c>
      <c r="O1117" t="n">
        <v>0</v>
      </c>
      <c r="P1117" t="n">
        <v>0</v>
      </c>
      <c r="Q1117" t="n">
        <v>0</v>
      </c>
      <c r="R1117" s="2" t="inlineStr"/>
    </row>
    <row r="1118" ht="15" customHeight="1">
      <c r="A1118" t="inlineStr">
        <is>
          <t>A 52268-2022</t>
        </is>
      </c>
      <c r="B1118" s="1" t="n">
        <v>44873</v>
      </c>
      <c r="C1118" s="1" t="n">
        <v>46082</v>
      </c>
      <c r="D1118" t="inlineStr">
        <is>
          <t>JÄMTLANDS LÄN</t>
        </is>
      </c>
      <c r="E1118" t="inlineStr">
        <is>
          <t>KROKOM</t>
        </is>
      </c>
      <c r="G1118" t="n">
        <v>0.7</v>
      </c>
      <c r="H1118" t="n">
        <v>0</v>
      </c>
      <c r="I1118" t="n">
        <v>0</v>
      </c>
      <c r="J1118" t="n">
        <v>0</v>
      </c>
      <c r="K1118" t="n">
        <v>0</v>
      </c>
      <c r="L1118" t="n">
        <v>0</v>
      </c>
      <c r="M1118" t="n">
        <v>0</v>
      </c>
      <c r="N1118" t="n">
        <v>0</v>
      </c>
      <c r="O1118" t="n">
        <v>0</v>
      </c>
      <c r="P1118" t="n">
        <v>0</v>
      </c>
      <c r="Q1118" t="n">
        <v>0</v>
      </c>
      <c r="R1118" s="2" t="inlineStr"/>
      <c r="U1118">
        <f>HYPERLINK("https://klasma.github.io/Logging_2309/knärot/A 52268-2022 karta knärot.png", "A 52268-2022")</f>
        <v/>
      </c>
      <c r="V1118">
        <f>HYPERLINK("https://klasma.github.io/Logging_2309/klagomål/A 52268-2022 FSC-klagomål.docx", "A 52268-2022")</f>
        <v/>
      </c>
      <c r="W1118">
        <f>HYPERLINK("https://klasma.github.io/Logging_2309/klagomålsmail/A 52268-2022 FSC-klagomål mail.docx", "A 52268-2022")</f>
        <v/>
      </c>
      <c r="X1118">
        <f>HYPERLINK("https://klasma.github.io/Logging_2309/tillsyn/A 52268-2022 tillsynsbegäran.docx", "A 52268-2022")</f>
        <v/>
      </c>
      <c r="Y1118">
        <f>HYPERLINK("https://klasma.github.io/Logging_2309/tillsynsmail/A 52268-2022 tillsynsbegäran mail.docx", "A 52268-2022")</f>
        <v/>
      </c>
    </row>
    <row r="1119" ht="15" customHeight="1">
      <c r="A1119" t="inlineStr">
        <is>
          <t>A 2356-2026</t>
        </is>
      </c>
      <c r="B1119" s="1" t="n">
        <v>46036.6363425926</v>
      </c>
      <c r="C1119" s="1" t="n">
        <v>46082</v>
      </c>
      <c r="D1119" t="inlineStr">
        <is>
          <t>JÄMTLANDS LÄN</t>
        </is>
      </c>
      <c r="E1119" t="inlineStr">
        <is>
          <t>KROKOM</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58313-2022</t>
        </is>
      </c>
      <c r="B1120" s="1" t="n">
        <v>44901.54615740741</v>
      </c>
      <c r="C1120" s="1" t="n">
        <v>46082</v>
      </c>
      <c r="D1120" t="inlineStr">
        <is>
          <t>JÄMTLANDS LÄN</t>
        </is>
      </c>
      <c r="E1120" t="inlineStr">
        <is>
          <t>KROKOM</t>
        </is>
      </c>
      <c r="F1120" t="inlineStr">
        <is>
          <t>Övriga Aktiebolag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2096-2026</t>
        </is>
      </c>
      <c r="B1121" s="1" t="n">
        <v>46036.36533564814</v>
      </c>
      <c r="C1121" s="1" t="n">
        <v>46082</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15876-2025</t>
        </is>
      </c>
      <c r="B1122" s="1" t="n">
        <v>45749.38379629629</v>
      </c>
      <c r="C1122" s="1" t="n">
        <v>46082</v>
      </c>
      <c r="D1122" t="inlineStr">
        <is>
          <t>JÄMTLANDS LÄN</t>
        </is>
      </c>
      <c r="E1122" t="inlineStr">
        <is>
          <t>KROKOM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46644-2022</t>
        </is>
      </c>
      <c r="B1123" s="1" t="n">
        <v>44849.8044212963</v>
      </c>
      <c r="C1123" s="1" t="n">
        <v>46082</v>
      </c>
      <c r="D1123" t="inlineStr">
        <is>
          <t>JÄMTLANDS LÄN</t>
        </is>
      </c>
      <c r="E1123" t="inlineStr">
        <is>
          <t>KROKOM</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41439-2024</t>
        </is>
      </c>
      <c r="B1124" s="1" t="n">
        <v>45560.38056712963</v>
      </c>
      <c r="C1124" s="1" t="n">
        <v>46082</v>
      </c>
      <c r="D1124" t="inlineStr">
        <is>
          <t>JÄMTLANDS LÄN</t>
        </is>
      </c>
      <c r="E1124" t="inlineStr">
        <is>
          <t>KROKOM</t>
        </is>
      </c>
      <c r="F1124" t="inlineStr">
        <is>
          <t>Övriga Aktiebolag</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8976-2026</t>
        </is>
      </c>
      <c r="B1125" s="1" t="n">
        <v>46069</v>
      </c>
      <c r="C1125" s="1" t="n">
        <v>46082</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2210-2026</t>
        </is>
      </c>
      <c r="B1126" s="1" t="n">
        <v>46036.48995370371</v>
      </c>
      <c r="C1126" s="1" t="n">
        <v>46082</v>
      </c>
      <c r="D1126" t="inlineStr">
        <is>
          <t>JÄMTLANDS LÄN</t>
        </is>
      </c>
      <c r="E1126" t="inlineStr">
        <is>
          <t>KROKOM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1965-2026</t>
        </is>
      </c>
      <c r="B1127" s="1" t="n">
        <v>46035.63621527778</v>
      </c>
      <c r="C1127" s="1" t="n">
        <v>46082</v>
      </c>
      <c r="D1127" t="inlineStr">
        <is>
          <t>JÄMTLANDS LÄN</t>
        </is>
      </c>
      <c r="E1127" t="inlineStr">
        <is>
          <t>KROKOM</t>
        </is>
      </c>
      <c r="F1127" t="inlineStr">
        <is>
          <t>SCA</t>
        </is>
      </c>
      <c r="G1127" t="n">
        <v>30</v>
      </c>
      <c r="H1127" t="n">
        <v>0</v>
      </c>
      <c r="I1127" t="n">
        <v>0</v>
      </c>
      <c r="J1127" t="n">
        <v>0</v>
      </c>
      <c r="K1127" t="n">
        <v>0</v>
      </c>
      <c r="L1127" t="n">
        <v>0</v>
      </c>
      <c r="M1127" t="n">
        <v>0</v>
      </c>
      <c r="N1127" t="n">
        <v>0</v>
      </c>
      <c r="O1127" t="n">
        <v>0</v>
      </c>
      <c r="P1127" t="n">
        <v>0</v>
      </c>
      <c r="Q1127" t="n">
        <v>0</v>
      </c>
      <c r="R1127" s="2" t="inlineStr"/>
    </row>
    <row r="1128" ht="15" customHeight="1">
      <c r="A1128" t="inlineStr">
        <is>
          <t>A 2609-2023</t>
        </is>
      </c>
      <c r="B1128" s="1" t="n">
        <v>44939</v>
      </c>
      <c r="C1128" s="1" t="n">
        <v>46082</v>
      </c>
      <c r="D1128" t="inlineStr">
        <is>
          <t>JÄMTLANDS LÄN</t>
        </is>
      </c>
      <c r="E1128" t="inlineStr">
        <is>
          <t>KROKOM</t>
        </is>
      </c>
      <c r="G1128" t="n">
        <v>16.9</v>
      </c>
      <c r="H1128" t="n">
        <v>0</v>
      </c>
      <c r="I1128" t="n">
        <v>0</v>
      </c>
      <c r="J1128" t="n">
        <v>0</v>
      </c>
      <c r="K1128" t="n">
        <v>0</v>
      </c>
      <c r="L1128" t="n">
        <v>0</v>
      </c>
      <c r="M1128" t="n">
        <v>0</v>
      </c>
      <c r="N1128" t="n">
        <v>0</v>
      </c>
      <c r="O1128" t="n">
        <v>0</v>
      </c>
      <c r="P1128" t="n">
        <v>0</v>
      </c>
      <c r="Q1128" t="n">
        <v>0</v>
      </c>
      <c r="R1128" s="2" t="inlineStr"/>
    </row>
    <row r="1129" ht="15" customHeight="1">
      <c r="A1129" t="inlineStr">
        <is>
          <t>A 2657-2026</t>
        </is>
      </c>
      <c r="B1129" s="1" t="n">
        <v>46037</v>
      </c>
      <c r="C1129" s="1" t="n">
        <v>46082</v>
      </c>
      <c r="D1129" t="inlineStr">
        <is>
          <t>JÄMTLANDS LÄN</t>
        </is>
      </c>
      <c r="E1129" t="inlineStr">
        <is>
          <t>KROKOM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53506-2025</t>
        </is>
      </c>
      <c r="B1130" s="1" t="n">
        <v>45960.34460648148</v>
      </c>
      <c r="C1130" s="1" t="n">
        <v>46082</v>
      </c>
      <c r="D1130" t="inlineStr">
        <is>
          <t>JÄMTLANDS LÄN</t>
        </is>
      </c>
      <c r="E1130" t="inlineStr">
        <is>
          <t>KROKOM</t>
        </is>
      </c>
      <c r="F1130" t="inlineStr">
        <is>
          <t>SCA</t>
        </is>
      </c>
      <c r="G1130" t="n">
        <v>13.9</v>
      </c>
      <c r="H1130" t="n">
        <v>0</v>
      </c>
      <c r="I1130" t="n">
        <v>0</v>
      </c>
      <c r="J1130" t="n">
        <v>0</v>
      </c>
      <c r="K1130" t="n">
        <v>0</v>
      </c>
      <c r="L1130" t="n">
        <v>0</v>
      </c>
      <c r="M1130" t="n">
        <v>0</v>
      </c>
      <c r="N1130" t="n">
        <v>0</v>
      </c>
      <c r="O1130" t="n">
        <v>0</v>
      </c>
      <c r="P1130" t="n">
        <v>0</v>
      </c>
      <c r="Q1130" t="n">
        <v>0</v>
      </c>
      <c r="R1130" s="2" t="inlineStr"/>
    </row>
    <row r="1131" ht="15" customHeight="1">
      <c r="A1131" t="inlineStr">
        <is>
          <t>A 30728-2022</t>
        </is>
      </c>
      <c r="B1131" s="1" t="n">
        <v>44764</v>
      </c>
      <c r="C1131" s="1" t="n">
        <v>46082</v>
      </c>
      <c r="D1131" t="inlineStr">
        <is>
          <t>JÄMTLANDS LÄN</t>
        </is>
      </c>
      <c r="E1131" t="inlineStr">
        <is>
          <t>KROKOM</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30729-2022</t>
        </is>
      </c>
      <c r="B1132" s="1" t="n">
        <v>44764</v>
      </c>
      <c r="C1132" s="1" t="n">
        <v>46082</v>
      </c>
      <c r="D1132" t="inlineStr">
        <is>
          <t>JÄMTLANDS LÄN</t>
        </is>
      </c>
      <c r="E1132" t="inlineStr">
        <is>
          <t>KROKOM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53771-2022</t>
        </is>
      </c>
      <c r="B1133" s="1" t="n">
        <v>44875</v>
      </c>
      <c r="C1133" s="1" t="n">
        <v>46082</v>
      </c>
      <c r="D1133" t="inlineStr">
        <is>
          <t>JÄMTLANDS LÄN</t>
        </is>
      </c>
      <c r="E1133" t="inlineStr">
        <is>
          <t>KROKOM</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58617-2025</t>
        </is>
      </c>
      <c r="B1134" s="1" t="n">
        <v>45986.46921296296</v>
      </c>
      <c r="C1134" s="1" t="n">
        <v>46082</v>
      </c>
      <c r="D1134" t="inlineStr">
        <is>
          <t>JÄMTLANDS LÄN</t>
        </is>
      </c>
      <c r="E1134" t="inlineStr">
        <is>
          <t>KROKOM</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7630-2023</t>
        </is>
      </c>
      <c r="B1135" s="1" t="n">
        <v>44972.55690972223</v>
      </c>
      <c r="C1135" s="1" t="n">
        <v>46082</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26414-2024</t>
        </is>
      </c>
      <c r="B1136" s="1" t="n">
        <v>45469</v>
      </c>
      <c r="C1136" s="1" t="n">
        <v>46082</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50011-2025</t>
        </is>
      </c>
      <c r="B1137" s="1" t="n">
        <v>45943.34561342592</v>
      </c>
      <c r="C1137" s="1" t="n">
        <v>46082</v>
      </c>
      <c r="D1137" t="inlineStr">
        <is>
          <t>JÄMTLANDS LÄN</t>
        </is>
      </c>
      <c r="E1137" t="inlineStr">
        <is>
          <t>KROKOM</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40394-2024</t>
        </is>
      </c>
      <c r="B1138" s="1" t="n">
        <v>45555.43584490741</v>
      </c>
      <c r="C1138" s="1" t="n">
        <v>46082</v>
      </c>
      <c r="D1138" t="inlineStr">
        <is>
          <t>JÄMTLANDS LÄN</t>
        </is>
      </c>
      <c r="E1138" t="inlineStr">
        <is>
          <t>KROKOM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11238-2026</t>
        </is>
      </c>
      <c r="B1139" s="1" t="n">
        <v>46080.51462962963</v>
      </c>
      <c r="C1139" s="1" t="n">
        <v>46082</v>
      </c>
      <c r="D1139" t="inlineStr">
        <is>
          <t>JÄMTLANDS LÄN</t>
        </is>
      </c>
      <c r="E1139" t="inlineStr">
        <is>
          <t>KROKOM</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58589-2025</t>
        </is>
      </c>
      <c r="B1140" s="1" t="n">
        <v>45986.40680555555</v>
      </c>
      <c r="C1140" s="1" t="n">
        <v>46082</v>
      </c>
      <c r="D1140" t="inlineStr">
        <is>
          <t>JÄMTLANDS LÄN</t>
        </is>
      </c>
      <c r="E1140" t="inlineStr">
        <is>
          <t>KROKOM</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38850-2025</t>
        </is>
      </c>
      <c r="B1141" s="1" t="n">
        <v>45887.55252314815</v>
      </c>
      <c r="C1141" s="1" t="n">
        <v>46082</v>
      </c>
      <c r="D1141" t="inlineStr">
        <is>
          <t>JÄMTLANDS LÄN</t>
        </is>
      </c>
      <c r="E1141" t="inlineStr">
        <is>
          <t>KROKOM</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50006-2025</t>
        </is>
      </c>
      <c r="B1142" s="1" t="n">
        <v>45943.34502314815</v>
      </c>
      <c r="C1142" s="1" t="n">
        <v>46082</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37886-2025</t>
        </is>
      </c>
      <c r="B1143" s="1" t="n">
        <v>45881.51081018519</v>
      </c>
      <c r="C1143" s="1" t="n">
        <v>46082</v>
      </c>
      <c r="D1143" t="inlineStr">
        <is>
          <t>JÄMTLANDS LÄN</t>
        </is>
      </c>
      <c r="E1143" t="inlineStr">
        <is>
          <t>KROKOM</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39271-2025</t>
        </is>
      </c>
      <c r="B1144" s="1" t="n">
        <v>45889.38626157407</v>
      </c>
      <c r="C1144" s="1" t="n">
        <v>46082</v>
      </c>
      <c r="D1144" t="inlineStr">
        <is>
          <t>JÄMTLANDS LÄN</t>
        </is>
      </c>
      <c r="E1144" t="inlineStr">
        <is>
          <t>KROKOM</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46082</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4942-2026</t>
        </is>
      </c>
      <c r="B1146" s="1" t="n">
        <v>46048</v>
      </c>
      <c r="C1146" s="1" t="n">
        <v>46082</v>
      </c>
      <c r="D1146" t="inlineStr">
        <is>
          <t>JÄMTLANDS LÄN</t>
        </is>
      </c>
      <c r="E1146" t="inlineStr">
        <is>
          <t>KROKOM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50270-2023</t>
        </is>
      </c>
      <c r="B1147" s="1" t="n">
        <v>45216.3965625</v>
      </c>
      <c r="C1147" s="1" t="n">
        <v>46082</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57514-2023</t>
        </is>
      </c>
      <c r="B1148" s="1" t="n">
        <v>45246</v>
      </c>
      <c r="C1148" s="1" t="n">
        <v>46082</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65236-2023</t>
        </is>
      </c>
      <c r="B1149" s="1" t="n">
        <v>45289</v>
      </c>
      <c r="C1149" s="1" t="n">
        <v>46082</v>
      </c>
      <c r="D1149" t="inlineStr">
        <is>
          <t>JÄMTLANDS LÄN</t>
        </is>
      </c>
      <c r="E1149" t="inlineStr">
        <is>
          <t>KROKOM</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12471-2024</t>
        </is>
      </c>
      <c r="B1150" s="1" t="n">
        <v>45378</v>
      </c>
      <c r="C1150" s="1" t="n">
        <v>46082</v>
      </c>
      <c r="D1150" t="inlineStr">
        <is>
          <t>JÄMTLANDS LÄN</t>
        </is>
      </c>
      <c r="E1150" t="inlineStr">
        <is>
          <t>KROKOM</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40507-2025</t>
        </is>
      </c>
      <c r="B1151" s="1" t="n">
        <v>45896.34443287037</v>
      </c>
      <c r="C1151" s="1" t="n">
        <v>46082</v>
      </c>
      <c r="D1151" t="inlineStr">
        <is>
          <t>JÄMTLANDS LÄN</t>
        </is>
      </c>
      <c r="E1151" t="inlineStr">
        <is>
          <t>KROKOM</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38024-2025</t>
        </is>
      </c>
      <c r="B1152" s="1" t="n">
        <v>45882.34510416666</v>
      </c>
      <c r="C1152" s="1" t="n">
        <v>46082</v>
      </c>
      <c r="D1152" t="inlineStr">
        <is>
          <t>JÄMTLANDS LÄN</t>
        </is>
      </c>
      <c r="E1152" t="inlineStr">
        <is>
          <t>KROKOM</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41971-2024</t>
        </is>
      </c>
      <c r="B1153" s="1" t="n">
        <v>45561.61509259259</v>
      </c>
      <c r="C1153" s="1" t="n">
        <v>46082</v>
      </c>
      <c r="D1153" t="inlineStr">
        <is>
          <t>JÄMTLANDS LÄN</t>
        </is>
      </c>
      <c r="E1153" t="inlineStr">
        <is>
          <t>KROKOM</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53507-2025</t>
        </is>
      </c>
      <c r="B1154" s="1" t="n">
        <v>45960.34476851852</v>
      </c>
      <c r="C1154" s="1" t="n">
        <v>46082</v>
      </c>
      <c r="D1154" t="inlineStr">
        <is>
          <t>JÄMTLANDS LÄN</t>
        </is>
      </c>
      <c r="E1154" t="inlineStr">
        <is>
          <t>KROKOM</t>
        </is>
      </c>
      <c r="F1154" t="inlineStr">
        <is>
          <t>SCA</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53467-2025</t>
        </is>
      </c>
      <c r="B1155" s="1" t="n">
        <v>45959.69841435185</v>
      </c>
      <c r="C1155" s="1" t="n">
        <v>46082</v>
      </c>
      <c r="D1155" t="inlineStr">
        <is>
          <t>JÄMTLANDS LÄN</t>
        </is>
      </c>
      <c r="E1155" t="inlineStr">
        <is>
          <t>KROKOM</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38205-2025</t>
        </is>
      </c>
      <c r="B1156" s="1" t="n">
        <v>45882.69851851852</v>
      </c>
      <c r="C1156" s="1" t="n">
        <v>46082</v>
      </c>
      <c r="D1156" t="inlineStr">
        <is>
          <t>JÄMTLANDS LÄN</t>
        </is>
      </c>
      <c r="E1156" t="inlineStr">
        <is>
          <t>KROKOM</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17591-2023</t>
        </is>
      </c>
      <c r="B1157" s="1" t="n">
        <v>45036</v>
      </c>
      <c r="C1157" s="1" t="n">
        <v>46082</v>
      </c>
      <c r="D1157" t="inlineStr">
        <is>
          <t>JÄMTLANDS LÄN</t>
        </is>
      </c>
      <c r="E1157" t="inlineStr">
        <is>
          <t>KROKOM</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17594-2023</t>
        </is>
      </c>
      <c r="B1158" s="1" t="n">
        <v>45036</v>
      </c>
      <c r="C1158" s="1" t="n">
        <v>46082</v>
      </c>
      <c r="D1158" t="inlineStr">
        <is>
          <t>JÄMTLANDS LÄN</t>
        </is>
      </c>
      <c r="E1158" t="inlineStr">
        <is>
          <t>KROKOM</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50951-2024</t>
        </is>
      </c>
      <c r="B1159" s="1" t="n">
        <v>45603.28460648148</v>
      </c>
      <c r="C1159" s="1" t="n">
        <v>46082</v>
      </c>
      <c r="D1159" t="inlineStr">
        <is>
          <t>JÄMTLANDS LÄN</t>
        </is>
      </c>
      <c r="E1159" t="inlineStr">
        <is>
          <t>KROKOM</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52666-2024</t>
        </is>
      </c>
      <c r="B1160" s="1" t="n">
        <v>45610.36561342593</v>
      </c>
      <c r="C1160" s="1" t="n">
        <v>46082</v>
      </c>
      <c r="D1160" t="inlineStr">
        <is>
          <t>JÄMTLANDS LÄN</t>
        </is>
      </c>
      <c r="E1160" t="inlineStr">
        <is>
          <t>KROKOM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53916-2023</t>
        </is>
      </c>
      <c r="B1161" s="1" t="n">
        <v>45231</v>
      </c>
      <c r="C1161" s="1" t="n">
        <v>46082</v>
      </c>
      <c r="D1161" t="inlineStr">
        <is>
          <t>JÄMTLANDS LÄN</t>
        </is>
      </c>
      <c r="E1161" t="inlineStr">
        <is>
          <t>KROKOM</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58390-2021</t>
        </is>
      </c>
      <c r="B1162" s="1" t="n">
        <v>44488.47928240741</v>
      </c>
      <c r="C1162" s="1" t="n">
        <v>46082</v>
      </c>
      <c r="D1162" t="inlineStr">
        <is>
          <t>JÄMTLANDS LÄN</t>
        </is>
      </c>
      <c r="E1162" t="inlineStr">
        <is>
          <t>KROKOM</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29224-2023</t>
        </is>
      </c>
      <c r="B1163" s="1" t="n">
        <v>45097</v>
      </c>
      <c r="C1163" s="1" t="n">
        <v>46082</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52869-2023</t>
        </is>
      </c>
      <c r="B1164" s="1" t="n">
        <v>45226</v>
      </c>
      <c r="C1164" s="1" t="n">
        <v>46082</v>
      </c>
      <c r="D1164" t="inlineStr">
        <is>
          <t>JÄMTLANDS LÄN</t>
        </is>
      </c>
      <c r="E1164" t="inlineStr">
        <is>
          <t>KROKOM</t>
        </is>
      </c>
      <c r="G1164" t="n">
        <v>0</v>
      </c>
      <c r="H1164" t="n">
        <v>0</v>
      </c>
      <c r="I1164" t="n">
        <v>0</v>
      </c>
      <c r="J1164" t="n">
        <v>0</v>
      </c>
      <c r="K1164" t="n">
        <v>0</v>
      </c>
      <c r="L1164" t="n">
        <v>0</v>
      </c>
      <c r="M1164" t="n">
        <v>0</v>
      </c>
      <c r="N1164" t="n">
        <v>0</v>
      </c>
      <c r="O1164" t="n">
        <v>0</v>
      </c>
      <c r="P1164" t="n">
        <v>0</v>
      </c>
      <c r="Q1164" t="n">
        <v>0</v>
      </c>
      <c r="R1164" s="2" t="inlineStr"/>
    </row>
    <row r="1165" ht="15" customHeight="1">
      <c r="A1165" t="inlineStr">
        <is>
          <t>A 5722-2023</t>
        </is>
      </c>
      <c r="B1165" s="1" t="n">
        <v>44961</v>
      </c>
      <c r="C1165" s="1" t="n">
        <v>46082</v>
      </c>
      <c r="D1165" t="inlineStr">
        <is>
          <t>JÄMTLANDS LÄN</t>
        </is>
      </c>
      <c r="E1165" t="inlineStr">
        <is>
          <t>KROKOM</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36567-2021</t>
        </is>
      </c>
      <c r="B1166" s="1" t="n">
        <v>44391</v>
      </c>
      <c r="C1166" s="1" t="n">
        <v>46082</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29936-2023</t>
        </is>
      </c>
      <c r="B1167" s="1" t="n">
        <v>45107</v>
      </c>
      <c r="C1167" s="1" t="n">
        <v>46082</v>
      </c>
      <c r="D1167" t="inlineStr">
        <is>
          <t>JÄMTLANDS LÄN</t>
        </is>
      </c>
      <c r="E1167" t="inlineStr">
        <is>
          <t>KROKOM</t>
        </is>
      </c>
      <c r="G1167" t="n">
        <v>77.40000000000001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55043-2024</t>
        </is>
      </c>
      <c r="B1168" s="1" t="n">
        <v>45621</v>
      </c>
      <c r="C1168" s="1" t="n">
        <v>46082</v>
      </c>
      <c r="D1168" t="inlineStr">
        <is>
          <t>JÄMTLANDS LÄN</t>
        </is>
      </c>
      <c r="E1168" t="inlineStr">
        <is>
          <t>KROKOM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60173-2024</t>
        </is>
      </c>
      <c r="B1169" s="1" t="n">
        <v>45642.63666666667</v>
      </c>
      <c r="C1169" s="1" t="n">
        <v>46082</v>
      </c>
      <c r="D1169" t="inlineStr">
        <is>
          <t>JÄMTLANDS LÄN</t>
        </is>
      </c>
      <c r="E1169" t="inlineStr">
        <is>
          <t>KROKOM</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42439-2023</t>
        </is>
      </c>
      <c r="B1170" s="1" t="n">
        <v>45180.6391087963</v>
      </c>
      <c r="C1170" s="1" t="n">
        <v>46082</v>
      </c>
      <c r="D1170" t="inlineStr">
        <is>
          <t>JÄMTLANDS LÄN</t>
        </is>
      </c>
      <c r="E1170" t="inlineStr">
        <is>
          <t>KROKOM</t>
        </is>
      </c>
      <c r="F1170" t="inlineStr">
        <is>
          <t>Övriga Aktiebolag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51939-2024</t>
        </is>
      </c>
      <c r="B1171" s="1" t="n">
        <v>45607.63211805555</v>
      </c>
      <c r="C1171" s="1" t="n">
        <v>46082</v>
      </c>
      <c r="D1171" t="inlineStr">
        <is>
          <t>JÄMTLANDS LÄN</t>
        </is>
      </c>
      <c r="E1171" t="inlineStr">
        <is>
          <t>KROKOM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36491-2021</t>
        </is>
      </c>
      <c r="B1172" s="1" t="n">
        <v>44390</v>
      </c>
      <c r="C1172" s="1" t="n">
        <v>46082</v>
      </c>
      <c r="D1172" t="inlineStr">
        <is>
          <t>JÄMTLANDS LÄN</t>
        </is>
      </c>
      <c r="E1172" t="inlineStr">
        <is>
          <t>KROKOM</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50881-2024</t>
        </is>
      </c>
      <c r="B1173" s="1" t="n">
        <v>45602.65599537037</v>
      </c>
      <c r="C1173" s="1" t="n">
        <v>46082</v>
      </c>
      <c r="D1173" t="inlineStr">
        <is>
          <t>JÄMTLANDS LÄN</t>
        </is>
      </c>
      <c r="E1173" t="inlineStr">
        <is>
          <t>KROKOM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46061-2023</t>
        </is>
      </c>
      <c r="B1174" s="1" t="n">
        <v>45190</v>
      </c>
      <c r="C1174" s="1" t="n">
        <v>46082</v>
      </c>
      <c r="D1174" t="inlineStr">
        <is>
          <t>JÄMTLANDS LÄN</t>
        </is>
      </c>
      <c r="E1174" t="inlineStr">
        <is>
          <t>KROKOM</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19478-2023</t>
        </is>
      </c>
      <c r="B1175" s="1" t="n">
        <v>45050</v>
      </c>
      <c r="C1175" s="1" t="n">
        <v>46082</v>
      </c>
      <c r="D1175" t="inlineStr">
        <is>
          <t>JÄMTLANDS LÄN</t>
        </is>
      </c>
      <c r="E1175" t="inlineStr">
        <is>
          <t>KROKOM</t>
        </is>
      </c>
      <c r="F1175" t="inlineStr">
        <is>
          <t>Övriga Aktiebolag</t>
        </is>
      </c>
      <c r="G1175" t="n">
        <v>22.2</v>
      </c>
      <c r="H1175" t="n">
        <v>0</v>
      </c>
      <c r="I1175" t="n">
        <v>0</v>
      </c>
      <c r="J1175" t="n">
        <v>0</v>
      </c>
      <c r="K1175" t="n">
        <v>0</v>
      </c>
      <c r="L1175" t="n">
        <v>0</v>
      </c>
      <c r="M1175" t="n">
        <v>0</v>
      </c>
      <c r="N1175" t="n">
        <v>0</v>
      </c>
      <c r="O1175" t="n">
        <v>0</v>
      </c>
      <c r="P1175" t="n">
        <v>0</v>
      </c>
      <c r="Q1175" t="n">
        <v>0</v>
      </c>
      <c r="R1175" s="2" t="inlineStr"/>
    </row>
    <row r="1176" ht="15" customHeight="1">
      <c r="A1176" t="inlineStr">
        <is>
          <t>A 23319-2024</t>
        </is>
      </c>
      <c r="B1176" s="1" t="n">
        <v>45453.45515046296</v>
      </c>
      <c r="C1176" s="1" t="n">
        <v>46082</v>
      </c>
      <c r="D1176" t="inlineStr">
        <is>
          <t>JÄMTLANDS LÄN</t>
        </is>
      </c>
      <c r="E1176" t="inlineStr">
        <is>
          <t>KROKOM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20982-2023</t>
        </is>
      </c>
      <c r="B1177" s="1" t="n">
        <v>45056</v>
      </c>
      <c r="C1177" s="1" t="n">
        <v>46082</v>
      </c>
      <c r="D1177" t="inlineStr">
        <is>
          <t>JÄMTLANDS LÄN</t>
        </is>
      </c>
      <c r="E1177" t="inlineStr">
        <is>
          <t>KROKOM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50822-2024</t>
        </is>
      </c>
      <c r="B1178" s="1" t="n">
        <v>45602.57827546296</v>
      </c>
      <c r="C1178" s="1" t="n">
        <v>46082</v>
      </c>
      <c r="D1178" t="inlineStr">
        <is>
          <t>JÄMTLANDS LÄN</t>
        </is>
      </c>
      <c r="E1178" t="inlineStr">
        <is>
          <t>KROKOM</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10588-2025</t>
        </is>
      </c>
      <c r="B1179" s="1" t="n">
        <v>45721.55653935186</v>
      </c>
      <c r="C1179" s="1" t="n">
        <v>46082</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44453-2023</t>
        </is>
      </c>
      <c r="B1180" s="1" t="n">
        <v>45189</v>
      </c>
      <c r="C1180" s="1" t="n">
        <v>46082</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23215-2024</t>
        </is>
      </c>
      <c r="B1181" s="1" t="n">
        <v>45452.56446759259</v>
      </c>
      <c r="C1181" s="1" t="n">
        <v>46082</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3329-2025</t>
        </is>
      </c>
      <c r="B1182" s="1" t="n">
        <v>45679.70027777777</v>
      </c>
      <c r="C1182" s="1" t="n">
        <v>46082</v>
      </c>
      <c r="D1182" t="inlineStr">
        <is>
          <t>JÄMTLANDS LÄN</t>
        </is>
      </c>
      <c r="E1182" t="inlineStr">
        <is>
          <t>KROKOM</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50255-2024</t>
        </is>
      </c>
      <c r="B1183" s="1" t="n">
        <v>45600.58076388889</v>
      </c>
      <c r="C1183" s="1" t="n">
        <v>46082</v>
      </c>
      <c r="D1183" t="inlineStr">
        <is>
          <t>JÄMTLANDS LÄN</t>
        </is>
      </c>
      <c r="E1183" t="inlineStr">
        <is>
          <t>KROKOM</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41700-2024</t>
        </is>
      </c>
      <c r="B1184" s="1" t="n">
        <v>45560.69164351852</v>
      </c>
      <c r="C1184" s="1" t="n">
        <v>46082</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59668-2022</t>
        </is>
      </c>
      <c r="B1185" s="1" t="n">
        <v>44908</v>
      </c>
      <c r="C1185" s="1" t="n">
        <v>46082</v>
      </c>
      <c r="D1185" t="inlineStr">
        <is>
          <t>JÄMTLANDS LÄN</t>
        </is>
      </c>
      <c r="E1185" t="inlineStr">
        <is>
          <t>KROKOM</t>
        </is>
      </c>
      <c r="F1185" t="inlineStr">
        <is>
          <t>Övriga Aktiebolag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47098-2024</t>
        </is>
      </c>
      <c r="B1186" s="1" t="n">
        <v>45586.53618055556</v>
      </c>
      <c r="C1186" s="1" t="n">
        <v>46082</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24484-2024</t>
        </is>
      </c>
      <c r="B1187" s="1" t="n">
        <v>45459.55150462963</v>
      </c>
      <c r="C1187" s="1" t="n">
        <v>46082</v>
      </c>
      <c r="D1187" t="inlineStr">
        <is>
          <t>JÄMTLANDS LÄN</t>
        </is>
      </c>
      <c r="E1187" t="inlineStr">
        <is>
          <t>KROKOM</t>
        </is>
      </c>
      <c r="F1187" t="inlineStr">
        <is>
          <t>Övriga Aktiebolag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52213-2024</t>
        </is>
      </c>
      <c r="B1188" s="1" t="n">
        <v>45607</v>
      </c>
      <c r="C1188" s="1" t="n">
        <v>46082</v>
      </c>
      <c r="D1188" t="inlineStr">
        <is>
          <t>JÄMTLANDS LÄN</t>
        </is>
      </c>
      <c r="E1188" t="inlineStr">
        <is>
          <t>KROKOM</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30016-2024</t>
        </is>
      </c>
      <c r="B1189" s="1" t="n">
        <v>45485</v>
      </c>
      <c r="C1189" s="1" t="n">
        <v>46082</v>
      </c>
      <c r="D1189" t="inlineStr">
        <is>
          <t>JÄMTLANDS LÄN</t>
        </is>
      </c>
      <c r="E1189" t="inlineStr">
        <is>
          <t>KROKOM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826-2025</t>
        </is>
      </c>
      <c r="B1190" s="1" t="n">
        <v>45665.57373842593</v>
      </c>
      <c r="C1190" s="1" t="n">
        <v>46082</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19634-2025</t>
        </is>
      </c>
      <c r="B1191" s="1" t="n">
        <v>45770.64677083334</v>
      </c>
      <c r="C1191" s="1" t="n">
        <v>46082</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53825-2024</t>
        </is>
      </c>
      <c r="B1192" s="1" t="n">
        <v>45615.61121527778</v>
      </c>
      <c r="C1192" s="1" t="n">
        <v>46082</v>
      </c>
      <c r="D1192" t="inlineStr">
        <is>
          <t>JÄMTLANDS LÄN</t>
        </is>
      </c>
      <c r="E1192" t="inlineStr">
        <is>
          <t>KROKOM</t>
        </is>
      </c>
      <c r="F1192" t="inlineStr">
        <is>
          <t>Övriga Aktiebolag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52237-2024</t>
        </is>
      </c>
      <c r="B1193" s="1" t="n">
        <v>45608.61606481481</v>
      </c>
      <c r="C1193" s="1" t="n">
        <v>46082</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48560-2024</t>
        </is>
      </c>
      <c r="B1194" s="1" t="n">
        <v>45593.38568287037</v>
      </c>
      <c r="C1194" s="1" t="n">
        <v>46082</v>
      </c>
      <c r="D1194" t="inlineStr">
        <is>
          <t>JÄMTLANDS LÄN</t>
        </is>
      </c>
      <c r="E1194" t="inlineStr">
        <is>
          <t>KROKOM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2051-2025</t>
        </is>
      </c>
      <c r="B1195" s="1" t="n">
        <v>45672.53806712963</v>
      </c>
      <c r="C1195" s="1" t="n">
        <v>46082</v>
      </c>
      <c r="D1195" t="inlineStr">
        <is>
          <t>JÄMTLANDS LÄN</t>
        </is>
      </c>
      <c r="E1195" t="inlineStr">
        <is>
          <t>KROKOM</t>
        </is>
      </c>
      <c r="F1195" t="inlineStr">
        <is>
          <t>Kyrkan</t>
        </is>
      </c>
      <c r="G1195" t="n">
        <v>87.90000000000001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44594-2023</t>
        </is>
      </c>
      <c r="B1196" s="1" t="n">
        <v>45189.60987268519</v>
      </c>
      <c r="C1196" s="1" t="n">
        <v>46082</v>
      </c>
      <c r="D1196" t="inlineStr">
        <is>
          <t>JÄMTLANDS LÄN</t>
        </is>
      </c>
      <c r="E1196" t="inlineStr">
        <is>
          <t>KROKOM</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61776-2024</t>
        </is>
      </c>
      <c r="B1197" s="1" t="n">
        <v>45649.4634375</v>
      </c>
      <c r="C1197" s="1" t="n">
        <v>46082</v>
      </c>
      <c r="D1197" t="inlineStr">
        <is>
          <t>JÄMTLANDS LÄN</t>
        </is>
      </c>
      <c r="E1197" t="inlineStr">
        <is>
          <t>KROKOM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60491-2024</t>
        </is>
      </c>
      <c r="B1198" s="1" t="n">
        <v>45643.65354166667</v>
      </c>
      <c r="C1198" s="1" t="n">
        <v>46082</v>
      </c>
      <c r="D1198" t="inlineStr">
        <is>
          <t>JÄMTLANDS LÄN</t>
        </is>
      </c>
      <c r="E1198" t="inlineStr">
        <is>
          <t>KROKOM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57575-2024</t>
        </is>
      </c>
      <c r="B1199" s="1" t="n">
        <v>45630.47099537037</v>
      </c>
      <c r="C1199" s="1" t="n">
        <v>46082</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2257-2024</t>
        </is>
      </c>
      <c r="B1200" s="1" t="n">
        <v>45310</v>
      </c>
      <c r="C1200" s="1" t="n">
        <v>46082</v>
      </c>
      <c r="D1200" t="inlineStr">
        <is>
          <t>JÄMTLANDS LÄN</t>
        </is>
      </c>
      <c r="E1200" t="inlineStr">
        <is>
          <t>KROKOM</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38043-2023</t>
        </is>
      </c>
      <c r="B1201" s="1" t="n">
        <v>45160.66704861111</v>
      </c>
      <c r="C1201" s="1" t="n">
        <v>46082</v>
      </c>
      <c r="D1201" t="inlineStr">
        <is>
          <t>JÄMTLANDS LÄN</t>
        </is>
      </c>
      <c r="E1201" t="inlineStr">
        <is>
          <t>KROKOM</t>
        </is>
      </c>
      <c r="F1201" t="inlineStr">
        <is>
          <t>Övriga Aktiebolag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46082</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35767-2024</t>
        </is>
      </c>
      <c r="B1203" s="1" t="n">
        <v>45532.58101851852</v>
      </c>
      <c r="C1203" s="1" t="n">
        <v>46082</v>
      </c>
      <c r="D1203" t="inlineStr">
        <is>
          <t>JÄMTLANDS LÄN</t>
        </is>
      </c>
      <c r="E1203" t="inlineStr">
        <is>
          <t>KROKOM</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17887-2025</t>
        </is>
      </c>
      <c r="B1204" s="1" t="n">
        <v>45758.66180555556</v>
      </c>
      <c r="C1204" s="1" t="n">
        <v>46082</v>
      </c>
      <c r="D1204" t="inlineStr">
        <is>
          <t>JÄMTLANDS LÄN</t>
        </is>
      </c>
      <c r="E1204" t="inlineStr">
        <is>
          <t>KROKOM</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17888-2025</t>
        </is>
      </c>
      <c r="B1205" s="1" t="n">
        <v>45758.67065972222</v>
      </c>
      <c r="C1205" s="1" t="n">
        <v>46082</v>
      </c>
      <c r="D1205" t="inlineStr">
        <is>
          <t>JÄMTLANDS LÄN</t>
        </is>
      </c>
      <c r="E1205" t="inlineStr">
        <is>
          <t>KROKOM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10773-2024</t>
        </is>
      </c>
      <c r="B1206" s="1" t="n">
        <v>45369</v>
      </c>
      <c r="C1206" s="1" t="n">
        <v>46082</v>
      </c>
      <c r="D1206" t="inlineStr">
        <is>
          <t>JÄMTLANDS LÄN</t>
        </is>
      </c>
      <c r="E1206" t="inlineStr">
        <is>
          <t>KROKOM</t>
        </is>
      </c>
      <c r="G1206" t="n">
        <v>27.1</v>
      </c>
      <c r="H1206" t="n">
        <v>0</v>
      </c>
      <c r="I1206" t="n">
        <v>0</v>
      </c>
      <c r="J1206" t="n">
        <v>0</v>
      </c>
      <c r="K1206" t="n">
        <v>0</v>
      </c>
      <c r="L1206" t="n">
        <v>0</v>
      </c>
      <c r="M1206" t="n">
        <v>0</v>
      </c>
      <c r="N1206" t="n">
        <v>0</v>
      </c>
      <c r="O1206" t="n">
        <v>0</v>
      </c>
      <c r="P1206" t="n">
        <v>0</v>
      </c>
      <c r="Q1206" t="n">
        <v>0</v>
      </c>
      <c r="R1206" s="2" t="inlineStr"/>
    </row>
    <row r="1207" ht="15" customHeight="1">
      <c r="A1207" t="inlineStr">
        <is>
          <t>A 5402-2025</t>
        </is>
      </c>
      <c r="B1207" s="1" t="n">
        <v>45692.64298611111</v>
      </c>
      <c r="C1207" s="1" t="n">
        <v>46082</v>
      </c>
      <c r="D1207" t="inlineStr">
        <is>
          <t>JÄMTLANDS LÄN</t>
        </is>
      </c>
      <c r="E1207" t="inlineStr">
        <is>
          <t>KROKOM</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11243-2025</t>
        </is>
      </c>
      <c r="B1208" s="1" t="n">
        <v>45726.37850694444</v>
      </c>
      <c r="C1208" s="1" t="n">
        <v>46082</v>
      </c>
      <c r="D1208" t="inlineStr">
        <is>
          <t>JÄMTLANDS LÄN</t>
        </is>
      </c>
      <c r="E1208" t="inlineStr">
        <is>
          <t>KROKOM</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49046-2023</t>
        </is>
      </c>
      <c r="B1209" s="1" t="n">
        <v>45209</v>
      </c>
      <c r="C1209" s="1" t="n">
        <v>46082</v>
      </c>
      <c r="D1209" t="inlineStr">
        <is>
          <t>JÄMTLANDS LÄN</t>
        </is>
      </c>
      <c r="E1209" t="inlineStr">
        <is>
          <t>KROKOM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15422-2025</t>
        </is>
      </c>
      <c r="B1210" s="1" t="n">
        <v>45746</v>
      </c>
      <c r="C1210" s="1" t="n">
        <v>46082</v>
      </c>
      <c r="D1210" t="inlineStr">
        <is>
          <t>JÄMTLANDS LÄN</t>
        </is>
      </c>
      <c r="E1210" t="inlineStr">
        <is>
          <t>KROKOM</t>
        </is>
      </c>
      <c r="F1210" t="inlineStr">
        <is>
          <t>SCA</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11197-2024</t>
        </is>
      </c>
      <c r="B1211" s="1" t="n">
        <v>45371</v>
      </c>
      <c r="C1211" s="1" t="n">
        <v>46082</v>
      </c>
      <c r="D1211" t="inlineStr">
        <is>
          <t>JÄMTLANDS LÄN</t>
        </is>
      </c>
      <c r="E1211" t="inlineStr">
        <is>
          <t>KROKOM</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26805-2023</t>
        </is>
      </c>
      <c r="B1212" s="1" t="n">
        <v>45090</v>
      </c>
      <c r="C1212" s="1" t="n">
        <v>46082</v>
      </c>
      <c r="D1212" t="inlineStr">
        <is>
          <t>JÄMTLANDS LÄN</t>
        </is>
      </c>
      <c r="E1212" t="inlineStr">
        <is>
          <t>KROKOM</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40219-2024</t>
        </is>
      </c>
      <c r="B1213" s="1" t="n">
        <v>45554.59538194445</v>
      </c>
      <c r="C1213" s="1" t="n">
        <v>46082</v>
      </c>
      <c r="D1213" t="inlineStr">
        <is>
          <t>JÄMTLANDS LÄN</t>
        </is>
      </c>
      <c r="E1213" t="inlineStr">
        <is>
          <t>KROKOM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11386-2025</t>
        </is>
      </c>
      <c r="B1214" s="1" t="n">
        <v>45726.56341435185</v>
      </c>
      <c r="C1214" s="1" t="n">
        <v>46082</v>
      </c>
      <c r="D1214" t="inlineStr">
        <is>
          <t>JÄMTLANDS LÄN</t>
        </is>
      </c>
      <c r="E1214" t="inlineStr">
        <is>
          <t>KROKOM</t>
        </is>
      </c>
      <c r="F1214" t="inlineStr">
        <is>
          <t>Övriga Aktiebolag</t>
        </is>
      </c>
      <c r="G1214" t="n">
        <v>42.4</v>
      </c>
      <c r="H1214" t="n">
        <v>0</v>
      </c>
      <c r="I1214" t="n">
        <v>0</v>
      </c>
      <c r="J1214" t="n">
        <v>0</v>
      </c>
      <c r="K1214" t="n">
        <v>0</v>
      </c>
      <c r="L1214" t="n">
        <v>0</v>
      </c>
      <c r="M1214" t="n">
        <v>0</v>
      </c>
      <c r="N1214" t="n">
        <v>0</v>
      </c>
      <c r="O1214" t="n">
        <v>0</v>
      </c>
      <c r="P1214" t="n">
        <v>0</v>
      </c>
      <c r="Q1214" t="n">
        <v>0</v>
      </c>
      <c r="R1214" s="2" t="inlineStr"/>
    </row>
    <row r="1215" ht="15" customHeight="1">
      <c r="A1215" t="inlineStr">
        <is>
          <t>A 11403-2025</t>
        </is>
      </c>
      <c r="B1215" s="1" t="n">
        <v>45726.5827199074</v>
      </c>
      <c r="C1215" s="1" t="n">
        <v>46082</v>
      </c>
      <c r="D1215" t="inlineStr">
        <is>
          <t>JÄMTLANDS LÄN</t>
        </is>
      </c>
      <c r="E1215" t="inlineStr">
        <is>
          <t>KROKOM</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11436-2025</t>
        </is>
      </c>
      <c r="B1216" s="1" t="n">
        <v>45726.61520833334</v>
      </c>
      <c r="C1216" s="1" t="n">
        <v>46082</v>
      </c>
      <c r="D1216" t="inlineStr">
        <is>
          <t>JÄMTLANDS LÄN</t>
        </is>
      </c>
      <c r="E1216" t="inlineStr">
        <is>
          <t>KROKOM</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49875-2024</t>
        </is>
      </c>
      <c r="B1217" s="1" t="n">
        <v>45597.49638888889</v>
      </c>
      <c r="C1217" s="1" t="n">
        <v>46082</v>
      </c>
      <c r="D1217" t="inlineStr">
        <is>
          <t>JÄMTLANDS LÄN</t>
        </is>
      </c>
      <c r="E1217" t="inlineStr">
        <is>
          <t>KROKOM</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64163-2023</t>
        </is>
      </c>
      <c r="B1218" s="1" t="n">
        <v>45279</v>
      </c>
      <c r="C1218" s="1" t="n">
        <v>46082</v>
      </c>
      <c r="D1218" t="inlineStr">
        <is>
          <t>JÄMTLANDS LÄN</t>
        </is>
      </c>
      <c r="E1218" t="inlineStr">
        <is>
          <t>KROKOM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51345-2022</t>
        </is>
      </c>
      <c r="B1219" s="1" t="n">
        <v>44866</v>
      </c>
      <c r="C1219" s="1" t="n">
        <v>46082</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11193-2024</t>
        </is>
      </c>
      <c r="B1220" s="1" t="n">
        <v>45371</v>
      </c>
      <c r="C1220" s="1" t="n">
        <v>46082</v>
      </c>
      <c r="D1220" t="inlineStr">
        <is>
          <t>JÄMTLANDS LÄN</t>
        </is>
      </c>
      <c r="E1220" t="inlineStr">
        <is>
          <t>KROKOM</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6347-2023</t>
        </is>
      </c>
      <c r="B1221" s="1" t="n">
        <v>44965</v>
      </c>
      <c r="C1221" s="1" t="n">
        <v>46082</v>
      </c>
      <c r="D1221" t="inlineStr">
        <is>
          <t>JÄMTLANDS LÄN</t>
        </is>
      </c>
      <c r="E1221" t="inlineStr">
        <is>
          <t>KROKOM</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62413-2023</t>
        </is>
      </c>
      <c r="B1222" s="1" t="n">
        <v>45266</v>
      </c>
      <c r="C1222" s="1" t="n">
        <v>46082</v>
      </c>
      <c r="D1222" t="inlineStr">
        <is>
          <t>JÄMTLANDS LÄN</t>
        </is>
      </c>
      <c r="E1222" t="inlineStr">
        <is>
          <t>KROKOM</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57259-2023</t>
        </is>
      </c>
      <c r="B1223" s="1" t="n">
        <v>45245</v>
      </c>
      <c r="C1223" s="1" t="n">
        <v>46082</v>
      </c>
      <c r="D1223" t="inlineStr">
        <is>
          <t>JÄMTLANDS LÄN</t>
        </is>
      </c>
      <c r="E1223" t="inlineStr">
        <is>
          <t>KROKOM</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5173-2025</t>
        </is>
      </c>
      <c r="B1224" s="1" t="n">
        <v>45691.61996527778</v>
      </c>
      <c r="C1224" s="1" t="n">
        <v>46082</v>
      </c>
      <c r="D1224" t="inlineStr">
        <is>
          <t>JÄMTLANDS LÄN</t>
        </is>
      </c>
      <c r="E1224" t="inlineStr">
        <is>
          <t>KROKOM</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10532-2025</t>
        </is>
      </c>
      <c r="B1225" s="1" t="n">
        <v>45721.4546412037</v>
      </c>
      <c r="C1225" s="1" t="n">
        <v>46082</v>
      </c>
      <c r="D1225" t="inlineStr">
        <is>
          <t>JÄMTLANDS LÄN</t>
        </is>
      </c>
      <c r="E1225" t="inlineStr">
        <is>
          <t>KROKOM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22258-2024</t>
        </is>
      </c>
      <c r="B1226" s="1" t="n">
        <v>45446.47634259259</v>
      </c>
      <c r="C1226" s="1" t="n">
        <v>46082</v>
      </c>
      <c r="D1226" t="inlineStr">
        <is>
          <t>JÄMTLANDS LÄN</t>
        </is>
      </c>
      <c r="E1226" t="inlineStr">
        <is>
          <t>KROKOM</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29484-2024</t>
        </is>
      </c>
      <c r="B1227" s="1" t="n">
        <v>45484</v>
      </c>
      <c r="C1227" s="1" t="n">
        <v>46082</v>
      </c>
      <c r="D1227" t="inlineStr">
        <is>
          <t>JÄMTLANDS LÄN</t>
        </is>
      </c>
      <c r="E1227" t="inlineStr">
        <is>
          <t>KROKOM</t>
        </is>
      </c>
      <c r="F1227" t="inlineStr">
        <is>
          <t>Övriga Aktiebolag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34902-2024</t>
        </is>
      </c>
      <c r="B1228" s="1" t="n">
        <v>45527.39858796296</v>
      </c>
      <c r="C1228" s="1" t="n">
        <v>46082</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28780-2024</t>
        </is>
      </c>
      <c r="B1229" s="1" t="n">
        <v>45478.60708333334</v>
      </c>
      <c r="C1229" s="1" t="n">
        <v>46082</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26693-2023</t>
        </is>
      </c>
      <c r="B1230" s="1" t="n">
        <v>45090</v>
      </c>
      <c r="C1230" s="1" t="n">
        <v>46082</v>
      </c>
      <c r="D1230" t="inlineStr">
        <is>
          <t>JÄMTLANDS LÄN</t>
        </is>
      </c>
      <c r="E1230" t="inlineStr">
        <is>
          <t>KROKOM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45415.45006944444</v>
      </c>
      <c r="C1231" s="1" t="n">
        <v>46082</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17950-2025</t>
        </is>
      </c>
      <c r="B1232" s="1" t="n">
        <v>45760.81083333334</v>
      </c>
      <c r="C1232" s="1" t="n">
        <v>46082</v>
      </c>
      <c r="D1232" t="inlineStr">
        <is>
          <t>JÄMTLANDS LÄN</t>
        </is>
      </c>
      <c r="E1232" t="inlineStr">
        <is>
          <t>KROKOM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50391-2024</t>
        </is>
      </c>
      <c r="B1233" s="1" t="n">
        <v>45601.33743055556</v>
      </c>
      <c r="C1233" s="1" t="n">
        <v>46082</v>
      </c>
      <c r="D1233" t="inlineStr">
        <is>
          <t>JÄMTLANDS LÄN</t>
        </is>
      </c>
      <c r="E1233" t="inlineStr">
        <is>
          <t>KROKOM</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56927-2023</t>
        </is>
      </c>
      <c r="B1234" s="1" t="n">
        <v>45244</v>
      </c>
      <c r="C1234" s="1" t="n">
        <v>46082</v>
      </c>
      <c r="D1234" t="inlineStr">
        <is>
          <t>JÄMTLANDS LÄN</t>
        </is>
      </c>
      <c r="E1234" t="inlineStr">
        <is>
          <t>KROKOM</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46082</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18980-2025</t>
        </is>
      </c>
      <c r="B1236" s="1" t="n">
        <v>45764.55260416667</v>
      </c>
      <c r="C1236" s="1" t="n">
        <v>46082</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50782-2023</t>
        </is>
      </c>
      <c r="B1237" s="1" t="n">
        <v>45217</v>
      </c>
      <c r="C1237" s="1" t="n">
        <v>46082</v>
      </c>
      <c r="D1237" t="inlineStr">
        <is>
          <t>JÄMTLANDS LÄN</t>
        </is>
      </c>
      <c r="E1237" t="inlineStr">
        <is>
          <t>KROKOM</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39126-2023</t>
        </is>
      </c>
      <c r="B1238" s="1" t="n">
        <v>45165.69965277778</v>
      </c>
      <c r="C1238" s="1" t="n">
        <v>46082</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47635-2023</t>
        </is>
      </c>
      <c r="B1239" s="1" t="n">
        <v>45203</v>
      </c>
      <c r="C1239" s="1" t="n">
        <v>46082</v>
      </c>
      <c r="D1239" t="inlineStr">
        <is>
          <t>JÄMTLANDS LÄN</t>
        </is>
      </c>
      <c r="E1239" t="inlineStr">
        <is>
          <t>KROKOM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4354-2025</t>
        </is>
      </c>
      <c r="B1240" s="1" t="n">
        <v>45686.32671296296</v>
      </c>
      <c r="C1240" s="1" t="n">
        <v>46082</v>
      </c>
      <c r="D1240" t="inlineStr">
        <is>
          <t>JÄMTLANDS LÄN</t>
        </is>
      </c>
      <c r="E1240" t="inlineStr">
        <is>
          <t>KROKOM</t>
        </is>
      </c>
      <c r="F1240" t="inlineStr">
        <is>
          <t>SCA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7072-2025</t>
        </is>
      </c>
      <c r="B1241" s="1" t="n">
        <v>45701</v>
      </c>
      <c r="C1241" s="1" t="n">
        <v>46082</v>
      </c>
      <c r="D1241" t="inlineStr">
        <is>
          <t>JÄMTLANDS LÄN</t>
        </is>
      </c>
      <c r="E1241" t="inlineStr">
        <is>
          <t>KROKOM</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9623-2025</t>
        </is>
      </c>
      <c r="B1242" s="1" t="n">
        <v>45715</v>
      </c>
      <c r="C1242" s="1" t="n">
        <v>46082</v>
      </c>
      <c r="D1242" t="inlineStr">
        <is>
          <t>JÄMTLANDS LÄN</t>
        </is>
      </c>
      <c r="E1242" t="inlineStr">
        <is>
          <t>KROKOM</t>
        </is>
      </c>
      <c r="F1242" t="inlineStr">
        <is>
          <t>Kyrkan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5498-2025</t>
        </is>
      </c>
      <c r="B1243" s="1" t="n">
        <v>45693</v>
      </c>
      <c r="C1243" s="1" t="n">
        <v>46082</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8784-2025</t>
        </is>
      </c>
      <c r="B1244" s="1" t="n">
        <v>45712</v>
      </c>
      <c r="C1244" s="1" t="n">
        <v>46082</v>
      </c>
      <c r="D1244" t="inlineStr">
        <is>
          <t>JÄMTLANDS LÄN</t>
        </is>
      </c>
      <c r="E1244" t="inlineStr">
        <is>
          <t>KROKOM</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46082</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21239-2025</t>
        </is>
      </c>
      <c r="B1246" s="1" t="n">
        <v>45779.56659722222</v>
      </c>
      <c r="C1246" s="1" t="n">
        <v>46082</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21276-2025</t>
        </is>
      </c>
      <c r="B1247" s="1" t="n">
        <v>45779.63834490741</v>
      </c>
      <c r="C1247" s="1" t="n">
        <v>46082</v>
      </c>
      <c r="D1247" t="inlineStr">
        <is>
          <t>JÄMTLANDS LÄN</t>
        </is>
      </c>
      <c r="E1247" t="inlineStr">
        <is>
          <t>KROKOM</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21254-2025</t>
        </is>
      </c>
      <c r="B1248" s="1" t="n">
        <v>45779.57626157408</v>
      </c>
      <c r="C1248" s="1" t="n">
        <v>46082</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21280-2025</t>
        </is>
      </c>
      <c r="B1249" s="1" t="n">
        <v>45779.65980324074</v>
      </c>
      <c r="C1249" s="1" t="n">
        <v>46082</v>
      </c>
      <c r="D1249" t="inlineStr">
        <is>
          <t>JÄMTLANDS LÄN</t>
        </is>
      </c>
      <c r="E1249" t="inlineStr">
        <is>
          <t>KROKOM</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21172-2025</t>
        </is>
      </c>
      <c r="B1250" s="1" t="n">
        <v>45779.42630787037</v>
      </c>
      <c r="C1250" s="1" t="n">
        <v>46082</v>
      </c>
      <c r="D1250" t="inlineStr">
        <is>
          <t>JÄMTLANDS LÄN</t>
        </is>
      </c>
      <c r="E1250" t="inlineStr">
        <is>
          <t>KROKOM</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21240-2025</t>
        </is>
      </c>
      <c r="B1251" s="1" t="n">
        <v>45779.5674074074</v>
      </c>
      <c r="C1251" s="1" t="n">
        <v>46082</v>
      </c>
      <c r="D1251" t="inlineStr">
        <is>
          <t>JÄMTLANDS LÄN</t>
        </is>
      </c>
      <c r="E1251" t="inlineStr">
        <is>
          <t>KROKOM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46082</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21654-2025</t>
        </is>
      </c>
      <c r="B1253" s="1" t="n">
        <v>45783.45121527778</v>
      </c>
      <c r="C1253" s="1" t="n">
        <v>46082</v>
      </c>
      <c r="D1253" t="inlineStr">
        <is>
          <t>JÄMTLANDS LÄN</t>
        </is>
      </c>
      <c r="E1253" t="inlineStr">
        <is>
          <t>KROKOM</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21643-2025</t>
        </is>
      </c>
      <c r="B1254" s="1" t="n">
        <v>45783.43409722222</v>
      </c>
      <c r="C1254" s="1" t="n">
        <v>46082</v>
      </c>
      <c r="D1254" t="inlineStr">
        <is>
          <t>JÄMTLANDS LÄN</t>
        </is>
      </c>
      <c r="E1254" t="inlineStr">
        <is>
          <t>KROKOM</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8872-2025</t>
        </is>
      </c>
      <c r="B1255" s="1" t="n">
        <v>45713.37111111111</v>
      </c>
      <c r="C1255" s="1" t="n">
        <v>46082</v>
      </c>
      <c r="D1255" t="inlineStr">
        <is>
          <t>JÄMTLANDS LÄN</t>
        </is>
      </c>
      <c r="E1255" t="inlineStr">
        <is>
          <t>KROKOM</t>
        </is>
      </c>
      <c r="F1255" t="inlineStr">
        <is>
          <t>Övriga Aktiebolag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46082</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14240-2025</t>
        </is>
      </c>
      <c r="B1257" s="1" t="n">
        <v>45740</v>
      </c>
      <c r="C1257" s="1" t="n">
        <v>46082</v>
      </c>
      <c r="D1257" t="inlineStr">
        <is>
          <t>JÄMTLANDS LÄN</t>
        </is>
      </c>
      <c r="E1257" t="inlineStr">
        <is>
          <t>KROKOM</t>
        </is>
      </c>
      <c r="G1257" t="n">
        <v>30.3</v>
      </c>
      <c r="H1257" t="n">
        <v>0</v>
      </c>
      <c r="I1257" t="n">
        <v>0</v>
      </c>
      <c r="J1257" t="n">
        <v>0</v>
      </c>
      <c r="K1257" t="n">
        <v>0</v>
      </c>
      <c r="L1257" t="n">
        <v>0</v>
      </c>
      <c r="M1257" t="n">
        <v>0</v>
      </c>
      <c r="N1257" t="n">
        <v>0</v>
      </c>
      <c r="O1257" t="n">
        <v>0</v>
      </c>
      <c r="P1257" t="n">
        <v>0</v>
      </c>
      <c r="Q1257" t="n">
        <v>0</v>
      </c>
      <c r="R1257" s="2" t="inlineStr"/>
    </row>
    <row r="1258" ht="15" customHeight="1">
      <c r="A1258" t="inlineStr">
        <is>
          <t>A 22297-2025</t>
        </is>
      </c>
      <c r="B1258" s="1" t="n">
        <v>45786.35219907408</v>
      </c>
      <c r="C1258" s="1" t="n">
        <v>46082</v>
      </c>
      <c r="D1258" t="inlineStr">
        <is>
          <t>JÄMTLANDS LÄN</t>
        </is>
      </c>
      <c r="E1258" t="inlineStr">
        <is>
          <t>KROKOM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22122-2025</t>
        </is>
      </c>
      <c r="B1259" s="1" t="n">
        <v>45785.52112268518</v>
      </c>
      <c r="C1259" s="1" t="n">
        <v>46082</v>
      </c>
      <c r="D1259" t="inlineStr">
        <is>
          <t>JÄMTLANDS LÄN</t>
        </is>
      </c>
      <c r="E1259" t="inlineStr">
        <is>
          <t>KROKOM</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46082</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46082</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22304-2025</t>
        </is>
      </c>
      <c r="B1262" s="1" t="n">
        <v>45786</v>
      </c>
      <c r="C1262" s="1" t="n">
        <v>46082</v>
      </c>
      <c r="D1262" t="inlineStr">
        <is>
          <t>JÄMTLANDS LÄN</t>
        </is>
      </c>
      <c r="E1262" t="inlineStr">
        <is>
          <t>KROKOM</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22499-2025</t>
        </is>
      </c>
      <c r="B1263" s="1" t="n">
        <v>45786.65702546296</v>
      </c>
      <c r="C1263" s="1" t="n">
        <v>46082</v>
      </c>
      <c r="D1263" t="inlineStr">
        <is>
          <t>JÄMTLANDS LÄN</t>
        </is>
      </c>
      <c r="E1263" t="inlineStr">
        <is>
          <t>KROKOM</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22503-2025</t>
        </is>
      </c>
      <c r="B1264" s="1" t="n">
        <v>45786.66140046297</v>
      </c>
      <c r="C1264" s="1" t="n">
        <v>46082</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9388-2025</t>
        </is>
      </c>
      <c r="B1265" s="1" t="n">
        <v>45715</v>
      </c>
      <c r="C1265" s="1" t="n">
        <v>46082</v>
      </c>
      <c r="D1265" t="inlineStr">
        <is>
          <t>JÄMTLANDS LÄN</t>
        </is>
      </c>
      <c r="E1265" t="inlineStr">
        <is>
          <t>KROKOM</t>
        </is>
      </c>
      <c r="F1265" t="inlineStr">
        <is>
          <t>Övriga Aktiebolag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22115-2025</t>
        </is>
      </c>
      <c r="B1266" s="1" t="n">
        <v>45785.51092592593</v>
      </c>
      <c r="C1266" s="1" t="n">
        <v>46082</v>
      </c>
      <c r="D1266" t="inlineStr">
        <is>
          <t>JÄMTLANDS LÄN</t>
        </is>
      </c>
      <c r="E1266" t="inlineStr">
        <is>
          <t>KROKOM</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22731-2025</t>
        </is>
      </c>
      <c r="B1267" s="1" t="n">
        <v>45789.58238425926</v>
      </c>
      <c r="C1267" s="1" t="n">
        <v>46082</v>
      </c>
      <c r="D1267" t="inlineStr">
        <is>
          <t>JÄMTLANDS LÄN</t>
        </is>
      </c>
      <c r="E1267" t="inlineStr">
        <is>
          <t>KROKOM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22751-2025</t>
        </is>
      </c>
      <c r="B1268" s="1" t="n">
        <v>45789.61349537037</v>
      </c>
      <c r="C1268" s="1" t="n">
        <v>46082</v>
      </c>
      <c r="D1268" t="inlineStr">
        <is>
          <t>JÄMTLANDS LÄN</t>
        </is>
      </c>
      <c r="E1268" t="inlineStr">
        <is>
          <t>KROKOM</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58136-2024</t>
        </is>
      </c>
      <c r="B1269" s="1" t="n">
        <v>45632</v>
      </c>
      <c r="C1269" s="1" t="n">
        <v>46082</v>
      </c>
      <c r="D1269" t="inlineStr">
        <is>
          <t>JÄMTLANDS LÄN</t>
        </is>
      </c>
      <c r="E1269" t="inlineStr">
        <is>
          <t>KROKOM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31655-2025</t>
        </is>
      </c>
      <c r="B1270" s="1" t="n">
        <v>45834.34737268519</v>
      </c>
      <c r="C1270" s="1" t="n">
        <v>46082</v>
      </c>
      <c r="D1270" t="inlineStr">
        <is>
          <t>JÄMTLANDS LÄN</t>
        </is>
      </c>
      <c r="E1270" t="inlineStr">
        <is>
          <t>KROKOM</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45822-2023</t>
        </is>
      </c>
      <c r="B1271" s="1" t="n">
        <v>45195</v>
      </c>
      <c r="C1271" s="1" t="n">
        <v>46082</v>
      </c>
      <c r="D1271" t="inlineStr">
        <is>
          <t>JÄMTLANDS LÄN</t>
        </is>
      </c>
      <c r="E1271" t="inlineStr">
        <is>
          <t>KROKOM</t>
        </is>
      </c>
      <c r="F1271" t="inlineStr">
        <is>
          <t>Övriga Aktiebolag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57985-2024</t>
        </is>
      </c>
      <c r="B1272" s="1" t="n">
        <v>45631.61869212963</v>
      </c>
      <c r="C1272" s="1" t="n">
        <v>46082</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6015-2025</t>
        </is>
      </c>
      <c r="B1273" s="1" t="n">
        <v>45695.60015046296</v>
      </c>
      <c r="C1273" s="1" t="n">
        <v>46082</v>
      </c>
      <c r="D1273" t="inlineStr">
        <is>
          <t>JÄMTLANDS LÄN</t>
        </is>
      </c>
      <c r="E1273" t="inlineStr">
        <is>
          <t>KROKOM</t>
        </is>
      </c>
      <c r="F1273" t="inlineStr">
        <is>
          <t>Övriga Aktiebolag</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39169-2023</t>
        </is>
      </c>
      <c r="B1274" s="1" t="n">
        <v>45166</v>
      </c>
      <c r="C1274" s="1" t="n">
        <v>46082</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36577-2021</t>
        </is>
      </c>
      <c r="B1275" s="1" t="n">
        <v>44391</v>
      </c>
      <c r="C1275" s="1" t="n">
        <v>46082</v>
      </c>
      <c r="D1275" t="inlineStr">
        <is>
          <t>JÄMTLANDS LÄN</t>
        </is>
      </c>
      <c r="E1275" t="inlineStr">
        <is>
          <t>KROKOM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46082</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23080-2025</t>
        </is>
      </c>
      <c r="B1277" s="1" t="n">
        <v>45791.3162037037</v>
      </c>
      <c r="C1277" s="1" t="n">
        <v>46082</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24062-2025</t>
        </is>
      </c>
      <c r="B1278" s="1" t="n">
        <v>45796.52836805556</v>
      </c>
      <c r="C1278" s="1" t="n">
        <v>46082</v>
      </c>
      <c r="D1278" t="inlineStr">
        <is>
          <t>JÄMTLANDS LÄN</t>
        </is>
      </c>
      <c r="E1278" t="inlineStr">
        <is>
          <t>KROKOM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46082</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46082</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6148-2025</t>
        </is>
      </c>
      <c r="B1281" s="1" t="n">
        <v>45698.40146990741</v>
      </c>
      <c r="C1281" s="1" t="n">
        <v>46082</v>
      </c>
      <c r="D1281" t="inlineStr">
        <is>
          <t>JÄMTLANDS LÄN</t>
        </is>
      </c>
      <c r="E1281" t="inlineStr">
        <is>
          <t>KROKOM</t>
        </is>
      </c>
      <c r="G1281" t="n">
        <v>43.6</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46082</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5998-2025</t>
        </is>
      </c>
      <c r="B1283" s="1" t="n">
        <v>45695.57171296296</v>
      </c>
      <c r="C1283" s="1" t="n">
        <v>46082</v>
      </c>
      <c r="D1283" t="inlineStr">
        <is>
          <t>JÄMTLANDS LÄN</t>
        </is>
      </c>
      <c r="E1283" t="inlineStr">
        <is>
          <t>KROKOM</t>
        </is>
      </c>
      <c r="F1283" t="inlineStr">
        <is>
          <t>Övriga Aktiebolag</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24649-2025</t>
        </is>
      </c>
      <c r="B1284" s="1" t="n">
        <v>45798.63611111111</v>
      </c>
      <c r="C1284" s="1" t="n">
        <v>46082</v>
      </c>
      <c r="D1284" t="inlineStr">
        <is>
          <t>JÄMTLANDS LÄN</t>
        </is>
      </c>
      <c r="E1284" t="inlineStr">
        <is>
          <t>KROKOM</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25302-2025</t>
        </is>
      </c>
      <c r="B1285" s="1" t="n">
        <v>45800.57129629629</v>
      </c>
      <c r="C1285" s="1" t="n">
        <v>46082</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25312-2025</t>
        </is>
      </c>
      <c r="B1286" s="1" t="n">
        <v>45800.57461805556</v>
      </c>
      <c r="C1286" s="1" t="n">
        <v>46082</v>
      </c>
      <c r="D1286" t="inlineStr">
        <is>
          <t>JÄMTLANDS LÄN</t>
        </is>
      </c>
      <c r="E1286" t="inlineStr">
        <is>
          <t>KROKOM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25295-2025</t>
        </is>
      </c>
      <c r="B1287" s="1" t="n">
        <v>45800.56810185185</v>
      </c>
      <c r="C1287" s="1" t="n">
        <v>46082</v>
      </c>
      <c r="D1287" t="inlineStr">
        <is>
          <t>JÄMTLANDS LÄN</t>
        </is>
      </c>
      <c r="E1287" t="inlineStr">
        <is>
          <t>KROKOM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23083-2025</t>
        </is>
      </c>
      <c r="B1288" s="1" t="n">
        <v>45791</v>
      </c>
      <c r="C1288" s="1" t="n">
        <v>46082</v>
      </c>
      <c r="D1288" t="inlineStr">
        <is>
          <t>JÄMTLANDS LÄN</t>
        </is>
      </c>
      <c r="E1288" t="inlineStr">
        <is>
          <t>KROKOM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25398-2025</t>
        </is>
      </c>
      <c r="B1289" s="1" t="n">
        <v>45800.65177083333</v>
      </c>
      <c r="C1289" s="1" t="n">
        <v>46082</v>
      </c>
      <c r="D1289" t="inlineStr">
        <is>
          <t>JÄMTLANDS LÄN</t>
        </is>
      </c>
      <c r="E1289" t="inlineStr">
        <is>
          <t>KROKOM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25386-2025</t>
        </is>
      </c>
      <c r="B1290" s="1" t="n">
        <v>45800.64319444444</v>
      </c>
      <c r="C1290" s="1" t="n">
        <v>46082</v>
      </c>
      <c r="D1290" t="inlineStr">
        <is>
          <t>JÄMTLANDS LÄN</t>
        </is>
      </c>
      <c r="E1290" t="inlineStr">
        <is>
          <t>KROKOM</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4058-2025</t>
        </is>
      </c>
      <c r="B1291" s="1" t="n">
        <v>45684.62510416667</v>
      </c>
      <c r="C1291" s="1" t="n">
        <v>46082</v>
      </c>
      <c r="D1291" t="inlineStr">
        <is>
          <t>JÄMTLANDS LÄN</t>
        </is>
      </c>
      <c r="E1291" t="inlineStr">
        <is>
          <t>KROKOM</t>
        </is>
      </c>
      <c r="F1291" t="inlineStr">
        <is>
          <t>Kyrkan</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15341-2025</t>
        </is>
      </c>
      <c r="B1292" s="1" t="n">
        <v>45746</v>
      </c>
      <c r="C1292" s="1" t="n">
        <v>46082</v>
      </c>
      <c r="D1292" t="inlineStr">
        <is>
          <t>JÄMTLANDS LÄN</t>
        </is>
      </c>
      <c r="E1292" t="inlineStr">
        <is>
          <t>KROKOM</t>
        </is>
      </c>
      <c r="F1292" t="inlineStr">
        <is>
          <t>SCA</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25681-2025</t>
        </is>
      </c>
      <c r="B1293" s="1" t="n">
        <v>45800</v>
      </c>
      <c r="C1293" s="1" t="n">
        <v>46082</v>
      </c>
      <c r="D1293" t="inlineStr">
        <is>
          <t>JÄMTLANDS LÄN</t>
        </is>
      </c>
      <c r="E1293" t="inlineStr">
        <is>
          <t>KROKOM</t>
        </is>
      </c>
      <c r="G1293" t="n">
        <v>12</v>
      </c>
      <c r="H1293" t="n">
        <v>0</v>
      </c>
      <c r="I1293" t="n">
        <v>0</v>
      </c>
      <c r="J1293" t="n">
        <v>0</v>
      </c>
      <c r="K1293" t="n">
        <v>0</v>
      </c>
      <c r="L1293" t="n">
        <v>0</v>
      </c>
      <c r="M1293" t="n">
        <v>0</v>
      </c>
      <c r="N1293" t="n">
        <v>0</v>
      </c>
      <c r="O1293" t="n">
        <v>0</v>
      </c>
      <c r="P1293" t="n">
        <v>0</v>
      </c>
      <c r="Q1293" t="n">
        <v>0</v>
      </c>
      <c r="R1293" s="2" t="inlineStr"/>
    </row>
    <row r="1294">
      <c r="A1294" t="inlineStr">
        <is>
          <t>A 25710-2025</t>
        </is>
      </c>
      <c r="B1294" s="1" t="n">
        <v>45803.6837962963</v>
      </c>
      <c r="C1294" s="1" t="n">
        <v>46082</v>
      </c>
      <c r="D1294" t="inlineStr">
        <is>
          <t>JÄMTLANDS LÄN</t>
        </is>
      </c>
      <c r="E1294" t="inlineStr">
        <is>
          <t>KROKOM</t>
        </is>
      </c>
      <c r="G1294" t="n">
        <v>1</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2026-03-01T11:07:40Z</dcterms:created>
  <dcterms:modified xmlns:dcterms="http://purl.org/dc/terms/" xmlns:xsi="http://www.w3.org/2001/XMLSchema-instance" xsi:type="dcterms:W3CDTF">2026-03-01T11:07:41Z</dcterms:modified>
</cp:coreProperties>
</file>