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46167</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46167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46167</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46167</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46167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46167</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46167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46167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46167</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17285-2026</t>
        </is>
      </c>
      <c r="B16" s="1" t="n">
        <v>46119.53811342592</v>
      </c>
      <c r="C16" s="1" t="n">
        <v>46167</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46167</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46167</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43368-2025</t>
        </is>
      </c>
      <c r="B19" s="1" t="n">
        <v>45911</v>
      </c>
      <c r="C19" s="1" t="n">
        <v>46167</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33846-2023</t>
        </is>
      </c>
      <c r="B20" s="1" t="n">
        <v>45121</v>
      </c>
      <c r="C20" s="1" t="n">
        <v>46167</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61248-2025</t>
        </is>
      </c>
      <c r="B21" s="1" t="n">
        <v>46000.66444444445</v>
      </c>
      <c r="C21" s="1" t="n">
        <v>46167</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46167</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46167</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46167</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46167</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46167</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46167</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46167</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46167</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46167</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46167</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46167</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46167</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46167</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46167</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54353-2025</t>
        </is>
      </c>
      <c r="B36" s="1" t="n">
        <v>45965</v>
      </c>
      <c r="C36" s="1" t="n">
        <v>46167</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60873-2024</t>
        </is>
      </c>
      <c r="B37" s="1" t="n">
        <v>45644</v>
      </c>
      <c r="C37" s="1" t="n">
        <v>46167</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46167</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46167</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36309-2024</t>
        </is>
      </c>
      <c r="B40" s="1" t="n">
        <v>45534</v>
      </c>
      <c r="C40" s="1" t="n">
        <v>46167</v>
      </c>
      <c r="D40" t="inlineStr">
        <is>
          <t>JÄMTLANDS LÄN</t>
        </is>
      </c>
      <c r="E40" t="inlineStr">
        <is>
          <t>KROKOM</t>
        </is>
      </c>
      <c r="F40" t="inlineStr">
        <is>
          <t>Övriga Aktiebolag</t>
        </is>
      </c>
      <c r="G40" t="n">
        <v>10.5</v>
      </c>
      <c r="H40" t="n">
        <v>3</v>
      </c>
      <c r="I40" t="n">
        <v>2</v>
      </c>
      <c r="J40" t="n">
        <v>9</v>
      </c>
      <c r="K40" t="n">
        <v>2</v>
      </c>
      <c r="L40" t="n">
        <v>0</v>
      </c>
      <c r="M40" t="n">
        <v>0</v>
      </c>
      <c r="N40" t="n">
        <v>0</v>
      </c>
      <c r="O40" t="n">
        <v>11</v>
      </c>
      <c r="P40" t="n">
        <v>2</v>
      </c>
      <c r="Q40" t="n">
        <v>14</v>
      </c>
      <c r="R40" s="2" t="inlineStr">
        <is>
          <t>Knärot
Sprickporing
Doftskinn
Garnlav
Granticka
Harticka
Koralltaggsvamp
Lunglav
Skrovellav
Tretåig hackspett
Ullticka
Diskvaxskivling
Korallblylav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19403-2024</t>
        </is>
      </c>
      <c r="B41" s="1" t="n">
        <v>45428</v>
      </c>
      <c r="C41" s="1" t="n">
        <v>46167</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46167</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46167</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46167</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46167</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46167</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46167</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46167</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21932-2025</t>
        </is>
      </c>
      <c r="B49" s="1" t="n">
        <v>45784</v>
      </c>
      <c r="C49" s="1" t="n">
        <v>46167</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6253-2026</t>
        </is>
      </c>
      <c r="B50" s="1" t="n">
        <v>46055.4729050926</v>
      </c>
      <c r="C50" s="1" t="n">
        <v>46167</v>
      </c>
      <c r="D50" t="inlineStr">
        <is>
          <t>JÄMTLANDS LÄN</t>
        </is>
      </c>
      <c r="E50" t="inlineStr">
        <is>
          <t>KROKOM</t>
        </is>
      </c>
      <c r="F50" t="inlineStr">
        <is>
          <t>Övriga Aktiebolag</t>
        </is>
      </c>
      <c r="G50" t="n">
        <v>12.1</v>
      </c>
      <c r="H50" t="n">
        <v>2</v>
      </c>
      <c r="I50" t="n">
        <v>4</v>
      </c>
      <c r="J50" t="n">
        <v>5</v>
      </c>
      <c r="K50" t="n">
        <v>3</v>
      </c>
      <c r="L50" t="n">
        <v>0</v>
      </c>
      <c r="M50" t="n">
        <v>0</v>
      </c>
      <c r="N50" t="n">
        <v>0</v>
      </c>
      <c r="O50" t="n">
        <v>8</v>
      </c>
      <c r="P50" t="n">
        <v>3</v>
      </c>
      <c r="Q50" t="n">
        <v>12</v>
      </c>
      <c r="R50" s="2" t="inlineStr">
        <is>
          <t>Liten sotlav
Norsk näverlav
Skuggkraterlav
Gammelgransskål
Garnlav
Liten svartspik
Talltita
Tretåig hackspett
Gytterlav
Luddlav
Sotlav
Stuplav</t>
        </is>
      </c>
      <c r="S50">
        <f>HYPERLINK("https://klasma.github.io/Logging_2309/artfynd/A 6253-2026 artfynd.xlsx", "A 6253-2026")</f>
        <v/>
      </c>
      <c r="T50">
        <f>HYPERLINK("https://klasma.github.io/Logging_2309/kartor/A 6253-2026 karta.png", "A 6253-2026")</f>
        <v/>
      </c>
      <c r="V50">
        <f>HYPERLINK("https://klasma.github.io/Logging_2309/klagomål/A 6253-2026 FSC-klagomål.docx", "A 6253-2026")</f>
        <v/>
      </c>
      <c r="W50">
        <f>HYPERLINK("https://klasma.github.io/Logging_2309/klagomålsmail/A 6253-2026 FSC-klagomål mail.docx", "A 6253-2026")</f>
        <v/>
      </c>
      <c r="X50">
        <f>HYPERLINK("https://klasma.github.io/Logging_2309/tillsyn/A 6253-2026 tillsynsbegäran.docx", "A 6253-2026")</f>
        <v/>
      </c>
      <c r="Y50">
        <f>HYPERLINK("https://klasma.github.io/Logging_2309/tillsynsmail/A 6253-2026 tillsynsbegäran mail.docx", "A 6253-2026")</f>
        <v/>
      </c>
      <c r="Z50">
        <f>HYPERLINK("https://klasma.github.io/Logging_2309/fåglar/A 6253-2026 prioriterade fågelarter.docx", "A 6253-2026")</f>
        <v/>
      </c>
    </row>
    <row r="51" ht="15" customHeight="1">
      <c r="A51" t="inlineStr">
        <is>
          <t>A 61388-2024</t>
        </is>
      </c>
      <c r="B51" s="1" t="n">
        <v>45646</v>
      </c>
      <c r="C51" s="1" t="n">
        <v>46167</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46167</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46167</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46167</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46167</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46167</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46167</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46167</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46167</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46167</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46167</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46167</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46167</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46167</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46167</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3431-2026</t>
        </is>
      </c>
      <c r="B66" s="1" t="n">
        <v>46042.45576388889</v>
      </c>
      <c r="C66" s="1" t="n">
        <v>46167</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17100-2026</t>
        </is>
      </c>
      <c r="B67" s="1" t="n">
        <v>46114.60100694445</v>
      </c>
      <c r="C67" s="1" t="n">
        <v>46167</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46038-2024</t>
        </is>
      </c>
      <c r="B68" s="1" t="n">
        <v>45580</v>
      </c>
      <c r="C68" s="1" t="n">
        <v>46167</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52633-2023</t>
        </is>
      </c>
      <c r="B69" s="1" t="n">
        <v>45219</v>
      </c>
      <c r="C69" s="1" t="n">
        <v>46167</v>
      </c>
      <c r="D69" t="inlineStr">
        <is>
          <t>JÄMTLANDS LÄN</t>
        </is>
      </c>
      <c r="E69" t="inlineStr">
        <is>
          <t>KROKOM</t>
        </is>
      </c>
      <c r="G69" t="n">
        <v>35.2</v>
      </c>
      <c r="H69" t="n">
        <v>3</v>
      </c>
      <c r="I69" t="n">
        <v>1</v>
      </c>
      <c r="J69" t="n">
        <v>5</v>
      </c>
      <c r="K69" t="n">
        <v>2</v>
      </c>
      <c r="L69" t="n">
        <v>0</v>
      </c>
      <c r="M69" t="n">
        <v>0</v>
      </c>
      <c r="N69" t="n">
        <v>0</v>
      </c>
      <c r="O69" t="n">
        <v>7</v>
      </c>
      <c r="P69" t="n">
        <v>2</v>
      </c>
      <c r="Q69" t="n">
        <v>9</v>
      </c>
      <c r="R69" s="2" t="inlineStr">
        <is>
          <t>Läderlappslav
Smalskaftslav
Doftskinn
Garnlav
Granticka
Lunglav
Tretåig hackspett
Spindelblomster
Lavskrika</t>
        </is>
      </c>
      <c r="S69">
        <f>HYPERLINK("https://klasma.github.io/Logging_2309/artfynd/A 52633-2023 artfynd.xlsx", "A 52633-2023")</f>
        <v/>
      </c>
      <c r="T69">
        <f>HYPERLINK("https://klasma.github.io/Logging_2309/kartor/A 52633-2023 karta.png", "A 52633-2023")</f>
        <v/>
      </c>
      <c r="V69">
        <f>HYPERLINK("https://klasma.github.io/Logging_2309/klagomål/A 52633-2023 FSC-klagomål.docx", "A 52633-2023")</f>
        <v/>
      </c>
      <c r="W69">
        <f>HYPERLINK("https://klasma.github.io/Logging_2309/klagomålsmail/A 52633-2023 FSC-klagomål mail.docx", "A 52633-2023")</f>
        <v/>
      </c>
      <c r="X69">
        <f>HYPERLINK("https://klasma.github.io/Logging_2309/tillsyn/A 52633-2023 tillsynsbegäran.docx", "A 52633-2023")</f>
        <v/>
      </c>
      <c r="Y69">
        <f>HYPERLINK("https://klasma.github.io/Logging_2309/tillsynsmail/A 52633-2023 tillsynsbegäran mail.docx", "A 52633-2023")</f>
        <v/>
      </c>
      <c r="Z69">
        <f>HYPERLINK("https://klasma.github.io/Logging_2309/fåglar/A 52633-2023 prioriterade fågelarter.docx", "A 52633-2023")</f>
        <v/>
      </c>
    </row>
    <row r="70" ht="15" customHeight="1">
      <c r="A70" t="inlineStr">
        <is>
          <t>A 61749-2021</t>
        </is>
      </c>
      <c r="B70" s="1" t="n">
        <v>44498</v>
      </c>
      <c r="C70" s="1" t="n">
        <v>46167</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46167</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35883-2025</t>
        </is>
      </c>
      <c r="B72" s="1" t="n">
        <v>45862</v>
      </c>
      <c r="C72" s="1" t="n">
        <v>46167</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11238-2026</t>
        </is>
      </c>
      <c r="B73" s="1" t="n">
        <v>46080</v>
      </c>
      <c r="C73" s="1" t="n">
        <v>46167</v>
      </c>
      <c r="D73" t="inlineStr">
        <is>
          <t>JÄMTLANDS LÄN</t>
        </is>
      </c>
      <c r="E73" t="inlineStr">
        <is>
          <t>KROKOM</t>
        </is>
      </c>
      <c r="G73" t="n">
        <v>12.6</v>
      </c>
      <c r="H73" t="n">
        <v>3</v>
      </c>
      <c r="I73" t="n">
        <v>3</v>
      </c>
      <c r="J73" t="n">
        <v>4</v>
      </c>
      <c r="K73" t="n">
        <v>0</v>
      </c>
      <c r="L73" t="n">
        <v>0</v>
      </c>
      <c r="M73" t="n">
        <v>0</v>
      </c>
      <c r="N73" t="n">
        <v>0</v>
      </c>
      <c r="O73" t="n">
        <v>4</v>
      </c>
      <c r="P73" t="n">
        <v>0</v>
      </c>
      <c r="Q73" t="n">
        <v>8</v>
      </c>
      <c r="R73" s="2" t="inlineStr">
        <is>
          <t>Harticka
Talltita
Tretåig hackspett
Ullticka
Stuplav
Svavelriska
Trådticka
Blåsippa</t>
        </is>
      </c>
      <c r="S73">
        <f>HYPERLINK("https://klasma.github.io/Logging_2309/artfynd/A 11238-2026 artfynd.xlsx", "A 11238-2026")</f>
        <v/>
      </c>
      <c r="T73">
        <f>HYPERLINK("https://klasma.github.io/Logging_2309/kartor/A 11238-2026 karta.png", "A 11238-2026")</f>
        <v/>
      </c>
      <c r="V73">
        <f>HYPERLINK("https://klasma.github.io/Logging_2309/klagomål/A 11238-2026 FSC-klagomål.docx", "A 11238-2026")</f>
        <v/>
      </c>
      <c r="W73">
        <f>HYPERLINK("https://klasma.github.io/Logging_2309/klagomålsmail/A 11238-2026 FSC-klagomål mail.docx", "A 11238-2026")</f>
        <v/>
      </c>
      <c r="X73">
        <f>HYPERLINK("https://klasma.github.io/Logging_2309/tillsyn/A 11238-2026 tillsynsbegäran.docx", "A 11238-2026")</f>
        <v/>
      </c>
      <c r="Y73">
        <f>HYPERLINK("https://klasma.github.io/Logging_2309/tillsynsmail/A 11238-2026 tillsynsbegäran mail.docx", "A 11238-2026")</f>
        <v/>
      </c>
      <c r="Z73">
        <f>HYPERLINK("https://klasma.github.io/Logging_2309/fåglar/A 11238-2026 prioriterade fågelarter.docx", "A 11238-2026")</f>
        <v/>
      </c>
    </row>
    <row r="74" ht="15" customHeight="1">
      <c r="A74" t="inlineStr">
        <is>
          <t>A 44344-2025</t>
        </is>
      </c>
      <c r="B74" s="1" t="n">
        <v>45916.43416666667</v>
      </c>
      <c r="C74" s="1" t="n">
        <v>46167</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40206-2023</t>
        </is>
      </c>
      <c r="B75" s="1" t="n">
        <v>45169</v>
      </c>
      <c r="C75" s="1" t="n">
        <v>46167</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53766-2025</t>
        </is>
      </c>
      <c r="B76" s="1" t="n">
        <v>45960.67778935185</v>
      </c>
      <c r="C76" s="1" t="n">
        <v>46167</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62118-2023</t>
        </is>
      </c>
      <c r="B77" s="1" t="n">
        <v>45267</v>
      </c>
      <c r="C77" s="1" t="n">
        <v>46167</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63661-2025</t>
        </is>
      </c>
      <c r="B78" s="1" t="n">
        <v>46014.45053240741</v>
      </c>
      <c r="C78" s="1" t="n">
        <v>46167</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18872-2026</t>
        </is>
      </c>
      <c r="B79" s="1" t="n">
        <v>46129.41</v>
      </c>
      <c r="C79" s="1" t="n">
        <v>46167</v>
      </c>
      <c r="D79" t="inlineStr">
        <is>
          <t>JÄMTLANDS LÄN</t>
        </is>
      </c>
      <c r="E79" t="inlineStr">
        <is>
          <t>KROKOM</t>
        </is>
      </c>
      <c r="G79" t="n">
        <v>4.5</v>
      </c>
      <c r="H79" t="n">
        <v>4</v>
      </c>
      <c r="I79" t="n">
        <v>1</v>
      </c>
      <c r="J79" t="n">
        <v>5</v>
      </c>
      <c r="K79" t="n">
        <v>2</v>
      </c>
      <c r="L79" t="n">
        <v>0</v>
      </c>
      <c r="M79" t="n">
        <v>0</v>
      </c>
      <c r="N79" t="n">
        <v>0</v>
      </c>
      <c r="O79" t="n">
        <v>7</v>
      </c>
      <c r="P79" t="n">
        <v>2</v>
      </c>
      <c r="Q79" t="n">
        <v>8</v>
      </c>
      <c r="R79" s="2" t="inlineStr">
        <is>
          <t>Frösöstarr
Knärot
Garnlav
Lunglav
Stiftgelélav
Talltita
Tretåig hackspett
Guckusko</t>
        </is>
      </c>
      <c r="S79">
        <f>HYPERLINK("https://klasma.github.io/Logging_2309/artfynd/A 18872-2026 artfynd.xlsx", "A 18872-2026")</f>
        <v/>
      </c>
      <c r="T79">
        <f>HYPERLINK("https://klasma.github.io/Logging_2309/kartor/A 18872-2026 karta.png", "A 18872-2026")</f>
        <v/>
      </c>
      <c r="U79">
        <f>HYPERLINK("https://klasma.github.io/Logging_2309/knärot/A 18872-2026 karta knärot.png", "A 18872-2026")</f>
        <v/>
      </c>
      <c r="V79">
        <f>HYPERLINK("https://klasma.github.io/Logging_2309/klagomål/A 18872-2026 FSC-klagomål.docx", "A 18872-2026")</f>
        <v/>
      </c>
      <c r="W79">
        <f>HYPERLINK("https://klasma.github.io/Logging_2309/klagomålsmail/A 18872-2026 FSC-klagomål mail.docx", "A 18872-2026")</f>
        <v/>
      </c>
      <c r="X79">
        <f>HYPERLINK("https://klasma.github.io/Logging_2309/tillsyn/A 18872-2026 tillsynsbegäran.docx", "A 18872-2026")</f>
        <v/>
      </c>
      <c r="Y79">
        <f>HYPERLINK("https://klasma.github.io/Logging_2309/tillsynsmail/A 18872-2026 tillsynsbegäran mail.docx", "A 18872-2026")</f>
        <v/>
      </c>
      <c r="Z79">
        <f>HYPERLINK("https://klasma.github.io/Logging_2309/fåglar/A 18872-2026 prioriterade fågelarter.docx", "A 18872-2026")</f>
        <v/>
      </c>
    </row>
    <row r="80" ht="15" customHeight="1">
      <c r="A80" t="inlineStr">
        <is>
          <t>A 933-2026</t>
        </is>
      </c>
      <c r="B80" s="1" t="n">
        <v>46030.51732638889</v>
      </c>
      <c r="C80" s="1" t="n">
        <v>46167</v>
      </c>
      <c r="D80" t="inlineStr">
        <is>
          <t>JÄMTLANDS LÄN</t>
        </is>
      </c>
      <c r="E80" t="inlineStr">
        <is>
          <t>KROKOM</t>
        </is>
      </c>
      <c r="G80" t="n">
        <v>22.9</v>
      </c>
      <c r="H80" t="n">
        <v>3</v>
      </c>
      <c r="I80" t="n">
        <v>0</v>
      </c>
      <c r="J80" t="n">
        <v>6</v>
      </c>
      <c r="K80" t="n">
        <v>2</v>
      </c>
      <c r="L80" t="n">
        <v>0</v>
      </c>
      <c r="M80" t="n">
        <v>0</v>
      </c>
      <c r="N80" t="n">
        <v>0</v>
      </c>
      <c r="O80" t="n">
        <v>8</v>
      </c>
      <c r="P80" t="n">
        <v>2</v>
      </c>
      <c r="Q80" t="n">
        <v>8</v>
      </c>
      <c r="R80" s="2" t="inlineStr">
        <is>
          <t>Rynkskinn
Sprickporing
Doftskinn
Garnlav
Spillkråka
Tretåig hackspett
Ullticka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24370-2024</t>
        </is>
      </c>
      <c r="B81" s="1" t="n">
        <v>45457</v>
      </c>
      <c r="C81" s="1" t="n">
        <v>46167</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46167</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46167</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46167</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35884-2025</t>
        </is>
      </c>
      <c r="B85" s="1" t="n">
        <v>45862</v>
      </c>
      <c r="C85" s="1" t="n">
        <v>46167</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15025-2026</t>
        </is>
      </c>
      <c r="B86" s="1" t="n">
        <v>46104</v>
      </c>
      <c r="C86" s="1" t="n">
        <v>46167</v>
      </c>
      <c r="D86" t="inlineStr">
        <is>
          <t>JÄMTLANDS LÄN</t>
        </is>
      </c>
      <c r="E86" t="inlineStr">
        <is>
          <t>KROKOM</t>
        </is>
      </c>
      <c r="G86" t="n">
        <v>15.2</v>
      </c>
      <c r="H86" t="n">
        <v>2</v>
      </c>
      <c r="I86" t="n">
        <v>0</v>
      </c>
      <c r="J86" t="n">
        <v>6</v>
      </c>
      <c r="K86" t="n">
        <v>1</v>
      </c>
      <c r="L86" t="n">
        <v>0</v>
      </c>
      <c r="M86" t="n">
        <v>0</v>
      </c>
      <c r="N86" t="n">
        <v>0</v>
      </c>
      <c r="O86" t="n">
        <v>7</v>
      </c>
      <c r="P86" t="n">
        <v>1</v>
      </c>
      <c r="Q86" t="n">
        <v>7</v>
      </c>
      <c r="R86" s="2" t="inlineStr">
        <is>
          <t>Rynkskinn
Doftskinn
Garnlav
Harticka
Spillkråka
Tretåig hackspett
Ullticka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61448-2021</t>
        </is>
      </c>
      <c r="B87" s="1" t="n">
        <v>44500</v>
      </c>
      <c r="C87" s="1" t="n">
        <v>46167</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27771-2024</t>
        </is>
      </c>
      <c r="B88" s="1" t="n">
        <v>45475</v>
      </c>
      <c r="C88" s="1" t="n">
        <v>46167</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50411-2025</t>
        </is>
      </c>
      <c r="B89" s="1" t="n">
        <v>45944.64482638889</v>
      </c>
      <c r="C89" s="1" t="n">
        <v>46167</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37408-2025</t>
        </is>
      </c>
      <c r="B90" s="1" t="n">
        <v>45877</v>
      </c>
      <c r="C90" s="1" t="n">
        <v>46167</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3134-2024</t>
        </is>
      </c>
      <c r="B91" s="1" t="n">
        <v>45316</v>
      </c>
      <c r="C91" s="1" t="n">
        <v>46167</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62205-2025</t>
        </is>
      </c>
      <c r="B92" s="1" t="n">
        <v>46006.56194444445</v>
      </c>
      <c r="C92" s="1" t="n">
        <v>46167</v>
      </c>
      <c r="D92" t="inlineStr">
        <is>
          <t>JÄMTLANDS LÄN</t>
        </is>
      </c>
      <c r="E92" t="inlineStr">
        <is>
          <t>KROKOM</t>
        </is>
      </c>
      <c r="G92" t="n">
        <v>34.7</v>
      </c>
      <c r="H92" t="n">
        <v>3</v>
      </c>
      <c r="I92" t="n">
        <v>0</v>
      </c>
      <c r="J92" t="n">
        <v>6</v>
      </c>
      <c r="K92" t="n">
        <v>0</v>
      </c>
      <c r="L92" t="n">
        <v>0</v>
      </c>
      <c r="M92" t="n">
        <v>0</v>
      </c>
      <c r="N92" t="n">
        <v>0</v>
      </c>
      <c r="O92" t="n">
        <v>6</v>
      </c>
      <c r="P92" t="n">
        <v>0</v>
      </c>
      <c r="Q92" t="n">
        <v>7</v>
      </c>
      <c r="R92" s="2" t="inlineStr">
        <is>
          <t>Garnlav
Granticka
Harticka
Skrovellav
Spillkråka
Tretåig hackspett
Lavskrika</t>
        </is>
      </c>
      <c r="S92">
        <f>HYPERLINK("https://klasma.github.io/Logging_2309/artfynd/A 62205-2025 artfynd.xlsx", "A 62205-2025")</f>
        <v/>
      </c>
      <c r="T92">
        <f>HYPERLINK("https://klasma.github.io/Logging_2309/kartor/A 62205-2025 karta.png", "A 62205-2025")</f>
        <v/>
      </c>
      <c r="V92">
        <f>HYPERLINK("https://klasma.github.io/Logging_2309/klagomål/A 62205-2025 FSC-klagomål.docx", "A 62205-2025")</f>
        <v/>
      </c>
      <c r="W92">
        <f>HYPERLINK("https://klasma.github.io/Logging_2309/klagomålsmail/A 62205-2025 FSC-klagomål mail.docx", "A 62205-2025")</f>
        <v/>
      </c>
      <c r="X92">
        <f>HYPERLINK("https://klasma.github.io/Logging_2309/tillsyn/A 62205-2025 tillsynsbegäran.docx", "A 62205-2025")</f>
        <v/>
      </c>
      <c r="Y92">
        <f>HYPERLINK("https://klasma.github.io/Logging_2309/tillsynsmail/A 62205-2025 tillsynsbegäran mail.docx", "A 62205-2025")</f>
        <v/>
      </c>
      <c r="Z92">
        <f>HYPERLINK("https://klasma.github.io/Logging_2309/fåglar/A 62205-2025 prioriterade fågelarter.docx", "A 62205-2025")</f>
        <v/>
      </c>
    </row>
    <row r="93" ht="15" customHeight="1">
      <c r="A93" t="inlineStr">
        <is>
          <t>A 61231-2025</t>
        </is>
      </c>
      <c r="B93" s="1" t="n">
        <v>46000.63320601852</v>
      </c>
      <c r="C93" s="1" t="n">
        <v>46167</v>
      </c>
      <c r="D93" t="inlineStr">
        <is>
          <t>JÄMTLANDS LÄN</t>
        </is>
      </c>
      <c r="E93" t="inlineStr">
        <is>
          <t>KROKOM</t>
        </is>
      </c>
      <c r="F93" t="inlineStr">
        <is>
          <t>Övriga Aktiebolag</t>
        </is>
      </c>
      <c r="G93" t="n">
        <v>11.1</v>
      </c>
      <c r="H93" t="n">
        <v>1</v>
      </c>
      <c r="I93" t="n">
        <v>1</v>
      </c>
      <c r="J93" t="n">
        <v>6</v>
      </c>
      <c r="K93" t="n">
        <v>0</v>
      </c>
      <c r="L93" t="n">
        <v>0</v>
      </c>
      <c r="M93" t="n">
        <v>0</v>
      </c>
      <c r="N93" t="n">
        <v>0</v>
      </c>
      <c r="O93" t="n">
        <v>6</v>
      </c>
      <c r="P93" t="n">
        <v>0</v>
      </c>
      <c r="Q93" t="n">
        <v>7</v>
      </c>
      <c r="R93" s="2" t="inlineStr">
        <is>
          <t>Doftskinn
Garnlav
Granticka
Harticka
Tretåig hackspett
Vitgrynig nållav
Trådticka</t>
        </is>
      </c>
      <c r="S93">
        <f>HYPERLINK("https://klasma.github.io/Logging_2309/artfynd/A 61231-2025 artfynd.xlsx", "A 61231-2025")</f>
        <v/>
      </c>
      <c r="T93">
        <f>HYPERLINK("https://klasma.github.io/Logging_2309/kartor/A 61231-2025 karta.png", "A 61231-2025")</f>
        <v/>
      </c>
      <c r="V93">
        <f>HYPERLINK("https://klasma.github.io/Logging_2309/klagomål/A 61231-2025 FSC-klagomål.docx", "A 61231-2025")</f>
        <v/>
      </c>
      <c r="W93">
        <f>HYPERLINK("https://klasma.github.io/Logging_2309/klagomålsmail/A 61231-2025 FSC-klagomål mail.docx", "A 61231-2025")</f>
        <v/>
      </c>
      <c r="X93">
        <f>HYPERLINK("https://klasma.github.io/Logging_2309/tillsyn/A 61231-2025 tillsynsbegäran.docx", "A 61231-2025")</f>
        <v/>
      </c>
      <c r="Y93">
        <f>HYPERLINK("https://klasma.github.io/Logging_2309/tillsynsmail/A 61231-2025 tillsynsbegäran mail.docx", "A 61231-2025")</f>
        <v/>
      </c>
      <c r="Z93">
        <f>HYPERLINK("https://klasma.github.io/Logging_2309/fåglar/A 61231-2025 prioriterade fågelarter.docx", "A 61231-2025")</f>
        <v/>
      </c>
    </row>
    <row r="94" ht="15" customHeight="1">
      <c r="A94" t="inlineStr">
        <is>
          <t>A 15831-2026</t>
        </is>
      </c>
      <c r="B94" s="1" t="n">
        <v>46107</v>
      </c>
      <c r="C94" s="1" t="n">
        <v>46167</v>
      </c>
      <c r="D94" t="inlineStr">
        <is>
          <t>JÄMTLANDS LÄN</t>
        </is>
      </c>
      <c r="E94" t="inlineStr">
        <is>
          <t>KROKOM</t>
        </is>
      </c>
      <c r="F94" t="inlineStr">
        <is>
          <t>Övriga Aktiebolag</t>
        </is>
      </c>
      <c r="G94" t="n">
        <v>39</v>
      </c>
      <c r="H94" t="n">
        <v>2</v>
      </c>
      <c r="I94" t="n">
        <v>4</v>
      </c>
      <c r="J94" t="n">
        <v>3</v>
      </c>
      <c r="K94" t="n">
        <v>0</v>
      </c>
      <c r="L94" t="n">
        <v>0</v>
      </c>
      <c r="M94" t="n">
        <v>0</v>
      </c>
      <c r="N94" t="n">
        <v>0</v>
      </c>
      <c r="O94" t="n">
        <v>3</v>
      </c>
      <c r="P94" t="n">
        <v>0</v>
      </c>
      <c r="Q94" t="n">
        <v>7</v>
      </c>
      <c r="R94" s="2" t="inlineStr">
        <is>
          <t>Garnlav
Granticka
Skrovellav
Korallrot
Spindelblomster
Stuplav
Vedticka</t>
        </is>
      </c>
      <c r="S94">
        <f>HYPERLINK("https://klasma.github.io/Logging_2309/artfynd/A 15831-2026 artfynd.xlsx", "A 15831-2026")</f>
        <v/>
      </c>
      <c r="T94">
        <f>HYPERLINK("https://klasma.github.io/Logging_2309/kartor/A 15831-2026 karta.png", "A 15831-2026")</f>
        <v/>
      </c>
      <c r="V94">
        <f>HYPERLINK("https://klasma.github.io/Logging_2309/klagomål/A 15831-2026 FSC-klagomål.docx", "A 15831-2026")</f>
        <v/>
      </c>
      <c r="W94">
        <f>HYPERLINK("https://klasma.github.io/Logging_2309/klagomålsmail/A 15831-2026 FSC-klagomål mail.docx", "A 15831-2026")</f>
        <v/>
      </c>
      <c r="X94">
        <f>HYPERLINK("https://klasma.github.io/Logging_2309/tillsyn/A 15831-2026 tillsynsbegäran.docx", "A 15831-2026")</f>
        <v/>
      </c>
      <c r="Y94">
        <f>HYPERLINK("https://klasma.github.io/Logging_2309/tillsynsmail/A 15831-2026 tillsynsbegäran mail.docx", "A 15831-2026")</f>
        <v/>
      </c>
    </row>
    <row r="95" ht="15" customHeight="1">
      <c r="A95" t="inlineStr">
        <is>
          <t>A 50196-2025</t>
        </is>
      </c>
      <c r="B95" s="1" t="n">
        <v>45943</v>
      </c>
      <c r="C95" s="1" t="n">
        <v>46167</v>
      </c>
      <c r="D95" t="inlineStr">
        <is>
          <t>JÄMTLANDS LÄN</t>
        </is>
      </c>
      <c r="E95" t="inlineStr">
        <is>
          <t>KROKOM</t>
        </is>
      </c>
      <c r="G95" t="n">
        <v>10.2</v>
      </c>
      <c r="H95" t="n">
        <v>2</v>
      </c>
      <c r="I95" t="n">
        <v>1</v>
      </c>
      <c r="J95" t="n">
        <v>5</v>
      </c>
      <c r="K95" t="n">
        <v>0</v>
      </c>
      <c r="L95" t="n">
        <v>0</v>
      </c>
      <c r="M95" t="n">
        <v>0</v>
      </c>
      <c r="N95" t="n">
        <v>0</v>
      </c>
      <c r="O95" t="n">
        <v>5</v>
      </c>
      <c r="P95" t="n">
        <v>0</v>
      </c>
      <c r="Q95" t="n">
        <v>7</v>
      </c>
      <c r="R95" s="2" t="inlineStr">
        <is>
          <t>Doftskinn
Garnlav
Granticka
Lunglav
Tretåig hackspett
Trådticka
Lavskrika</t>
        </is>
      </c>
      <c r="S95">
        <f>HYPERLINK("https://klasma.github.io/Logging_2309/artfynd/A 50196-2025 artfynd.xlsx", "A 50196-2025")</f>
        <v/>
      </c>
      <c r="T95">
        <f>HYPERLINK("https://klasma.github.io/Logging_2309/kartor/A 50196-2025 karta.png", "A 50196-2025")</f>
        <v/>
      </c>
      <c r="V95">
        <f>HYPERLINK("https://klasma.github.io/Logging_2309/klagomål/A 50196-2025 FSC-klagomål.docx", "A 50196-2025")</f>
        <v/>
      </c>
      <c r="W95">
        <f>HYPERLINK("https://klasma.github.io/Logging_2309/klagomålsmail/A 50196-2025 FSC-klagomål mail.docx", "A 50196-2025")</f>
        <v/>
      </c>
      <c r="X95">
        <f>HYPERLINK("https://klasma.github.io/Logging_2309/tillsyn/A 50196-2025 tillsynsbegäran.docx", "A 50196-2025")</f>
        <v/>
      </c>
      <c r="Y95">
        <f>HYPERLINK("https://klasma.github.io/Logging_2309/tillsynsmail/A 50196-2025 tillsynsbegäran mail.docx", "A 50196-2025")</f>
        <v/>
      </c>
      <c r="Z95">
        <f>HYPERLINK("https://klasma.github.io/Logging_2309/fåglar/A 50196-2025 prioriterade fågelarter.docx", "A 50196-2025")</f>
        <v/>
      </c>
    </row>
    <row r="96" ht="15" customHeight="1">
      <c r="A96" t="inlineStr">
        <is>
          <t>A 36373-2023</t>
        </is>
      </c>
      <c r="B96" s="1" t="n">
        <v>45149</v>
      </c>
      <c r="C96" s="1" t="n">
        <v>46167</v>
      </c>
      <c r="D96" t="inlineStr">
        <is>
          <t>JÄMTLANDS LÄN</t>
        </is>
      </c>
      <c r="E96" t="inlineStr">
        <is>
          <t>KROKOM</t>
        </is>
      </c>
      <c r="G96" t="n">
        <v>13.8</v>
      </c>
      <c r="H96" t="n">
        <v>1</v>
      </c>
      <c r="I96" t="n">
        <v>1</v>
      </c>
      <c r="J96" t="n">
        <v>5</v>
      </c>
      <c r="K96" t="n">
        <v>1</v>
      </c>
      <c r="L96" t="n">
        <v>0</v>
      </c>
      <c r="M96" t="n">
        <v>0</v>
      </c>
      <c r="N96" t="n">
        <v>0</v>
      </c>
      <c r="O96" t="n">
        <v>6</v>
      </c>
      <c r="P96" t="n">
        <v>1</v>
      </c>
      <c r="Q96" t="n">
        <v>7</v>
      </c>
      <c r="R96" s="2" t="inlineStr">
        <is>
          <t>Rynkskinn
Garnlav
Granticka
Tretåig hackspett
Ullticka
Vitgrynig nållav
Trådticka</t>
        </is>
      </c>
      <c r="S96">
        <f>HYPERLINK("https://klasma.github.io/Logging_2309/artfynd/A 36373-2023 artfynd.xlsx", "A 36373-2023")</f>
        <v/>
      </c>
      <c r="T96">
        <f>HYPERLINK("https://klasma.github.io/Logging_2309/kartor/A 36373-2023 karta.png", "A 36373-2023")</f>
        <v/>
      </c>
      <c r="V96">
        <f>HYPERLINK("https://klasma.github.io/Logging_2309/klagomål/A 36373-2023 FSC-klagomål.docx", "A 36373-2023")</f>
        <v/>
      </c>
      <c r="W96">
        <f>HYPERLINK("https://klasma.github.io/Logging_2309/klagomålsmail/A 36373-2023 FSC-klagomål mail.docx", "A 36373-2023")</f>
        <v/>
      </c>
      <c r="X96">
        <f>HYPERLINK("https://klasma.github.io/Logging_2309/tillsyn/A 36373-2023 tillsynsbegäran.docx", "A 36373-2023")</f>
        <v/>
      </c>
      <c r="Y96">
        <f>HYPERLINK("https://klasma.github.io/Logging_2309/tillsynsmail/A 36373-2023 tillsynsbegäran mail.docx", "A 36373-2023")</f>
        <v/>
      </c>
      <c r="Z96">
        <f>HYPERLINK("https://klasma.github.io/Logging_2309/fåglar/A 36373-2023 prioriterade fågelarter.docx", "A 36373-2023")</f>
        <v/>
      </c>
    </row>
    <row r="97" ht="15" customHeight="1">
      <c r="A97" t="inlineStr">
        <is>
          <t>A 32949-2025</t>
        </is>
      </c>
      <c r="B97" s="1" t="n">
        <v>45839.68914351852</v>
      </c>
      <c r="C97" s="1" t="n">
        <v>46167</v>
      </c>
      <c r="D97" t="inlineStr">
        <is>
          <t>JÄMTLANDS LÄN</t>
        </is>
      </c>
      <c r="E97" t="inlineStr">
        <is>
          <t>KROKOM</t>
        </is>
      </c>
      <c r="G97" t="n">
        <v>26.3</v>
      </c>
      <c r="H97" t="n">
        <v>4</v>
      </c>
      <c r="I97" t="n">
        <v>1</v>
      </c>
      <c r="J97" t="n">
        <v>4</v>
      </c>
      <c r="K97" t="n">
        <v>0</v>
      </c>
      <c r="L97" t="n">
        <v>0</v>
      </c>
      <c r="M97" t="n">
        <v>0</v>
      </c>
      <c r="N97" t="n">
        <v>0</v>
      </c>
      <c r="O97" t="n">
        <v>4</v>
      </c>
      <c r="P97" t="n">
        <v>0</v>
      </c>
      <c r="Q97" t="n">
        <v>7</v>
      </c>
      <c r="R97" s="2" t="inlineStr">
        <is>
          <t>Lunglav
Skrovellav
Talltita
Tretåig hackspett
Norrlandslav
Kungsfågel
Tjäder</t>
        </is>
      </c>
      <c r="S97">
        <f>HYPERLINK("https://klasma.github.io/Logging_2309/artfynd/A 32949-2025 artfynd.xlsx", "A 32949-2025")</f>
        <v/>
      </c>
      <c r="T97">
        <f>HYPERLINK("https://klasma.github.io/Logging_2309/kartor/A 32949-2025 karta.png", "A 32949-2025")</f>
        <v/>
      </c>
      <c r="V97">
        <f>HYPERLINK("https://klasma.github.io/Logging_2309/klagomål/A 32949-2025 FSC-klagomål.docx", "A 32949-2025")</f>
        <v/>
      </c>
      <c r="W97">
        <f>HYPERLINK("https://klasma.github.io/Logging_2309/klagomålsmail/A 32949-2025 FSC-klagomål mail.docx", "A 32949-2025")</f>
        <v/>
      </c>
      <c r="X97">
        <f>HYPERLINK("https://klasma.github.io/Logging_2309/tillsyn/A 32949-2025 tillsynsbegäran.docx", "A 32949-2025")</f>
        <v/>
      </c>
      <c r="Y97">
        <f>HYPERLINK("https://klasma.github.io/Logging_2309/tillsynsmail/A 32949-2025 tillsynsbegäran mail.docx", "A 32949-2025")</f>
        <v/>
      </c>
      <c r="Z97">
        <f>HYPERLINK("https://klasma.github.io/Logging_2309/fåglar/A 32949-2025 prioriterade fågelarter.docx", "A 32949-2025")</f>
        <v/>
      </c>
    </row>
    <row r="98" ht="15" customHeight="1">
      <c r="A98" t="inlineStr">
        <is>
          <t>A 70205-2021</t>
        </is>
      </c>
      <c r="B98" s="1" t="n">
        <v>44534</v>
      </c>
      <c r="C98" s="1" t="n">
        <v>46167</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46167</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46167</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46167</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27490-2024</t>
        </is>
      </c>
      <c r="B102" s="1" t="n">
        <v>45474</v>
      </c>
      <c r="C102" s="1" t="n">
        <v>46167</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60967-2025</t>
        </is>
      </c>
      <c r="B103" s="1" t="n">
        <v>45999.67776620371</v>
      </c>
      <c r="C103" s="1" t="n">
        <v>46167</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35158-2022</t>
        </is>
      </c>
      <c r="B104" s="1" t="n">
        <v>44797</v>
      </c>
      <c r="C104" s="1" t="n">
        <v>46167</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46167</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62177-2025</t>
        </is>
      </c>
      <c r="B106" s="1" t="n">
        <v>46006.51480324074</v>
      </c>
      <c r="C106" s="1" t="n">
        <v>46167</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61382-2025</t>
        </is>
      </c>
      <c r="B107" s="1" t="n">
        <v>46001.44696759259</v>
      </c>
      <c r="C107" s="1" t="n">
        <v>46167</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11097-2024</t>
        </is>
      </c>
      <c r="B108" s="1" t="n">
        <v>45370</v>
      </c>
      <c r="C108" s="1" t="n">
        <v>46167</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46167</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46167</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58951-2023</t>
        </is>
      </c>
      <c r="B111" s="1" t="n">
        <v>45252</v>
      </c>
      <c r="C111" s="1" t="n">
        <v>46167</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56194-2021</t>
        </is>
      </c>
      <c r="B112" s="1" t="n">
        <v>44477</v>
      </c>
      <c r="C112" s="1" t="n">
        <v>46167</v>
      </c>
      <c r="D112" t="inlineStr">
        <is>
          <t>JÄMTLANDS LÄN</t>
        </is>
      </c>
      <c r="E112" t="inlineStr">
        <is>
          <t>KROKOM</t>
        </is>
      </c>
      <c r="F112" t="inlineStr">
        <is>
          <t>Övriga Aktiebolag</t>
        </is>
      </c>
      <c r="G112" t="n">
        <v>25.1</v>
      </c>
      <c r="H112" t="n">
        <v>0</v>
      </c>
      <c r="I112" t="n">
        <v>5</v>
      </c>
      <c r="J112" t="n">
        <v>1</v>
      </c>
      <c r="K112" t="n">
        <v>0</v>
      </c>
      <c r="L112" t="n">
        <v>0</v>
      </c>
      <c r="M112" t="n">
        <v>0</v>
      </c>
      <c r="N112" t="n">
        <v>0</v>
      </c>
      <c r="O112" t="n">
        <v>1</v>
      </c>
      <c r="P112" t="n">
        <v>0</v>
      </c>
      <c r="Q112" t="n">
        <v>6</v>
      </c>
      <c r="R112" s="2" t="inlineStr">
        <is>
          <t>Lunglav
Granriska
Kambräken
Korallblylav
Luddlav
Västlig hakmossa</t>
        </is>
      </c>
      <c r="S112">
        <f>HYPERLINK("https://klasma.github.io/Logging_2309/artfynd/A 56194-2021 artfynd.xlsx", "A 56194-2021")</f>
        <v/>
      </c>
      <c r="T112">
        <f>HYPERLINK("https://klasma.github.io/Logging_2309/kartor/A 56194-2021 karta.png", "A 56194-2021")</f>
        <v/>
      </c>
      <c r="V112">
        <f>HYPERLINK("https://klasma.github.io/Logging_2309/klagomål/A 56194-2021 FSC-klagomål.docx", "A 56194-2021")</f>
        <v/>
      </c>
      <c r="W112">
        <f>HYPERLINK("https://klasma.github.io/Logging_2309/klagomålsmail/A 56194-2021 FSC-klagomål mail.docx", "A 56194-2021")</f>
        <v/>
      </c>
      <c r="X112">
        <f>HYPERLINK("https://klasma.github.io/Logging_2309/tillsyn/A 56194-2021 tillsynsbegäran.docx", "A 56194-2021")</f>
        <v/>
      </c>
      <c r="Y112">
        <f>HYPERLINK("https://klasma.github.io/Logging_2309/tillsynsmail/A 56194-2021 tillsynsbegäran mail.docx", "A 56194-2021")</f>
        <v/>
      </c>
    </row>
    <row r="113" ht="15" customHeight="1">
      <c r="A113" t="inlineStr">
        <is>
          <t>A 46118-2024</t>
        </is>
      </c>
      <c r="B113" s="1" t="n">
        <v>45581</v>
      </c>
      <c r="C113" s="1" t="n">
        <v>46167</v>
      </c>
      <c r="D113" t="inlineStr">
        <is>
          <t>JÄMTLANDS LÄN</t>
        </is>
      </c>
      <c r="E113" t="inlineStr">
        <is>
          <t>KROKOM</t>
        </is>
      </c>
      <c r="G113" t="n">
        <v>12.3</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65187-2021</t>
        </is>
      </c>
      <c r="B114" s="1" t="n">
        <v>44515</v>
      </c>
      <c r="C114" s="1" t="n">
        <v>46167</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46167</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36995-2025</t>
        </is>
      </c>
      <c r="B116" s="1" t="n">
        <v>45874.67765046296</v>
      </c>
      <c r="C116" s="1" t="n">
        <v>46167</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48914-2021</t>
        </is>
      </c>
      <c r="B117" s="1" t="n">
        <v>44452</v>
      </c>
      <c r="C117" s="1" t="n">
        <v>46167</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53815-2024</t>
        </is>
      </c>
      <c r="B118" s="1" t="n">
        <v>45615</v>
      </c>
      <c r="C118" s="1" t="n">
        <v>46167</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72538-2021</t>
        </is>
      </c>
      <c r="B119" s="1" t="n">
        <v>44546</v>
      </c>
      <c r="C119" s="1" t="n">
        <v>46167</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59039-2022</t>
        </is>
      </c>
      <c r="B120" s="1" t="n">
        <v>44903</v>
      </c>
      <c r="C120" s="1" t="n">
        <v>46167</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35749-2024</t>
        </is>
      </c>
      <c r="B121" s="1" t="n">
        <v>45532</v>
      </c>
      <c r="C121" s="1" t="n">
        <v>46167</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11319-2025</t>
        </is>
      </c>
      <c r="B122" s="1" t="n">
        <v>45726</v>
      </c>
      <c r="C122" s="1" t="n">
        <v>46167</v>
      </c>
      <c r="D122" t="inlineStr">
        <is>
          <t>JÄMTLANDS LÄN</t>
        </is>
      </c>
      <c r="E122" t="inlineStr">
        <is>
          <t>KROKOM</t>
        </is>
      </c>
      <c r="G122" t="n">
        <v>13.8</v>
      </c>
      <c r="H122" t="n">
        <v>1</v>
      </c>
      <c r="I122" t="n">
        <v>4</v>
      </c>
      <c r="J122" t="n">
        <v>1</v>
      </c>
      <c r="K122" t="n">
        <v>0</v>
      </c>
      <c r="L122" t="n">
        <v>0</v>
      </c>
      <c r="M122" t="n">
        <v>0</v>
      </c>
      <c r="N122" t="n">
        <v>0</v>
      </c>
      <c r="O122" t="n">
        <v>1</v>
      </c>
      <c r="P122" t="n">
        <v>0</v>
      </c>
      <c r="Q122" t="n">
        <v>5</v>
      </c>
      <c r="R122" s="2" t="inlineStr">
        <is>
          <t>Lunglav
Bårdlav
Luddlav
Plattlummer
Stuplav</t>
        </is>
      </c>
      <c r="S122">
        <f>HYPERLINK("https://klasma.github.io/Logging_2309/artfynd/A 11319-2025 artfynd.xlsx", "A 11319-2025")</f>
        <v/>
      </c>
      <c r="T122">
        <f>HYPERLINK("https://klasma.github.io/Logging_2309/kartor/A 11319-2025 karta.png", "A 11319-2025")</f>
        <v/>
      </c>
      <c r="V122">
        <f>HYPERLINK("https://klasma.github.io/Logging_2309/klagomål/A 11319-2025 FSC-klagomål.docx", "A 11319-2025")</f>
        <v/>
      </c>
      <c r="W122">
        <f>HYPERLINK("https://klasma.github.io/Logging_2309/klagomålsmail/A 11319-2025 FSC-klagomål mail.docx", "A 11319-2025")</f>
        <v/>
      </c>
      <c r="X122">
        <f>HYPERLINK("https://klasma.github.io/Logging_2309/tillsyn/A 11319-2025 tillsynsbegäran.docx", "A 11319-2025")</f>
        <v/>
      </c>
      <c r="Y122">
        <f>HYPERLINK("https://klasma.github.io/Logging_2309/tillsynsmail/A 11319-2025 tillsynsbegäran mail.docx", "A 11319-2025")</f>
        <v/>
      </c>
    </row>
    <row r="123" ht="15" customHeight="1">
      <c r="A123" t="inlineStr">
        <is>
          <t>A 74005-2021</t>
        </is>
      </c>
      <c r="B123" s="1" t="n">
        <v>44557</v>
      </c>
      <c r="C123" s="1" t="n">
        <v>46167</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71570-2021</t>
        </is>
      </c>
      <c r="B124" s="1" t="n">
        <v>44540</v>
      </c>
      <c r="C124" s="1" t="n">
        <v>46167</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39487-2024</t>
        </is>
      </c>
      <c r="B125" s="1" t="n">
        <v>45551</v>
      </c>
      <c r="C125" s="1" t="n">
        <v>46167</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60977-2025</t>
        </is>
      </c>
      <c r="B126" s="1" t="n">
        <v>45999.69837962963</v>
      </c>
      <c r="C126" s="1" t="n">
        <v>46167</v>
      </c>
      <c r="D126" t="inlineStr">
        <is>
          <t>JÄMTLANDS LÄN</t>
        </is>
      </c>
      <c r="E126" t="inlineStr">
        <is>
          <t>KROKOM</t>
        </is>
      </c>
      <c r="G126" t="n">
        <v>36.4</v>
      </c>
      <c r="H126" t="n">
        <v>3</v>
      </c>
      <c r="I126" t="n">
        <v>0</v>
      </c>
      <c r="J126" t="n">
        <v>4</v>
      </c>
      <c r="K126" t="n">
        <v>0</v>
      </c>
      <c r="L126" t="n">
        <v>0</v>
      </c>
      <c r="M126" t="n">
        <v>0</v>
      </c>
      <c r="N126" t="n">
        <v>0</v>
      </c>
      <c r="O126" t="n">
        <v>4</v>
      </c>
      <c r="P126" t="n">
        <v>0</v>
      </c>
      <c r="Q126" t="n">
        <v>5</v>
      </c>
      <c r="R126" s="2" t="inlineStr">
        <is>
          <t>Granticka
Harticka
Spillkråka
Tretåig hackspett
Lavskrika</t>
        </is>
      </c>
      <c r="S126">
        <f>HYPERLINK("https://klasma.github.io/Logging_2309/artfynd/A 60977-2025 artfynd.xlsx", "A 60977-2025")</f>
        <v/>
      </c>
      <c r="T126">
        <f>HYPERLINK("https://klasma.github.io/Logging_2309/kartor/A 60977-2025 karta.png", "A 60977-2025")</f>
        <v/>
      </c>
      <c r="V126">
        <f>HYPERLINK("https://klasma.github.io/Logging_2309/klagomål/A 60977-2025 FSC-klagomål.docx", "A 60977-2025")</f>
        <v/>
      </c>
      <c r="W126">
        <f>HYPERLINK("https://klasma.github.io/Logging_2309/klagomålsmail/A 60977-2025 FSC-klagomål mail.docx", "A 60977-2025")</f>
        <v/>
      </c>
      <c r="X126">
        <f>HYPERLINK("https://klasma.github.io/Logging_2309/tillsyn/A 60977-2025 tillsynsbegäran.docx", "A 60977-2025")</f>
        <v/>
      </c>
      <c r="Y126">
        <f>HYPERLINK("https://klasma.github.io/Logging_2309/tillsynsmail/A 60977-2025 tillsynsbegäran mail.docx", "A 60977-2025")</f>
        <v/>
      </c>
      <c r="Z126">
        <f>HYPERLINK("https://klasma.github.io/Logging_2309/fåglar/A 60977-2025 prioriterade fågelarter.docx", "A 60977-2025")</f>
        <v/>
      </c>
    </row>
    <row r="127" ht="15" customHeight="1">
      <c r="A127" t="inlineStr">
        <is>
          <t>A 32658-2025</t>
        </is>
      </c>
      <c r="B127" s="1" t="n">
        <v>45838.67858796296</v>
      </c>
      <c r="C127" s="1" t="n">
        <v>46167</v>
      </c>
      <c r="D127" t="inlineStr">
        <is>
          <t>JÄMTLANDS LÄN</t>
        </is>
      </c>
      <c r="E127" t="inlineStr">
        <is>
          <t>KROKOM</t>
        </is>
      </c>
      <c r="F127" t="inlineStr">
        <is>
          <t>SCA</t>
        </is>
      </c>
      <c r="G127" t="n">
        <v>5.6</v>
      </c>
      <c r="H127" t="n">
        <v>0</v>
      </c>
      <c r="I127" t="n">
        <v>1</v>
      </c>
      <c r="J127" t="n">
        <v>3</v>
      </c>
      <c r="K127" t="n">
        <v>1</v>
      </c>
      <c r="L127" t="n">
        <v>0</v>
      </c>
      <c r="M127" t="n">
        <v>0</v>
      </c>
      <c r="N127" t="n">
        <v>0</v>
      </c>
      <c r="O127" t="n">
        <v>4</v>
      </c>
      <c r="P127" t="n">
        <v>1</v>
      </c>
      <c r="Q127" t="n">
        <v>5</v>
      </c>
      <c r="R127" s="2" t="inlineStr">
        <is>
          <t>Gräddporing
Kolflarnlav
Vedskivlav
Vitplätt
Gullgröppa</t>
        </is>
      </c>
      <c r="S127">
        <f>HYPERLINK("https://klasma.github.io/Logging_2309/artfynd/A 32658-2025 artfynd.xlsx", "A 32658-2025")</f>
        <v/>
      </c>
      <c r="T127">
        <f>HYPERLINK("https://klasma.github.io/Logging_2309/kartor/A 32658-2025 karta.png", "A 32658-2025")</f>
        <v/>
      </c>
      <c r="V127">
        <f>HYPERLINK("https://klasma.github.io/Logging_2309/klagomål/A 32658-2025 FSC-klagomål.docx", "A 32658-2025")</f>
        <v/>
      </c>
      <c r="W127">
        <f>HYPERLINK("https://klasma.github.io/Logging_2309/klagomålsmail/A 32658-2025 FSC-klagomål mail.docx", "A 32658-2025")</f>
        <v/>
      </c>
      <c r="X127">
        <f>HYPERLINK("https://klasma.github.io/Logging_2309/tillsyn/A 32658-2025 tillsynsbegäran.docx", "A 32658-2025")</f>
        <v/>
      </c>
      <c r="Y127">
        <f>HYPERLINK("https://klasma.github.io/Logging_2309/tillsynsmail/A 32658-2025 tillsynsbegäran mail.docx", "A 32658-2025")</f>
        <v/>
      </c>
    </row>
    <row r="128" ht="15" customHeight="1">
      <c r="A128" t="inlineStr">
        <is>
          <t>A 64302-2021</t>
        </is>
      </c>
      <c r="B128" s="1" t="n">
        <v>44510.94930555556</v>
      </c>
      <c r="C128" s="1" t="n">
        <v>46167</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46167</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46167</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46167</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46167</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34855-2025</t>
        </is>
      </c>
      <c r="B133" s="1" t="n">
        <v>45849.42818287037</v>
      </c>
      <c r="C133" s="1" t="n">
        <v>46167</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56312-2024</t>
        </is>
      </c>
      <c r="B134" s="1" t="n">
        <v>45624</v>
      </c>
      <c r="C134" s="1" t="n">
        <v>46167</v>
      </c>
      <c r="D134" t="inlineStr">
        <is>
          <t>JÄMTLANDS LÄN</t>
        </is>
      </c>
      <c r="E134" t="inlineStr">
        <is>
          <t>KROKOM</t>
        </is>
      </c>
      <c r="G134" t="n">
        <v>7.2</v>
      </c>
      <c r="H134" t="n">
        <v>2</v>
      </c>
      <c r="I134" t="n">
        <v>0</v>
      </c>
      <c r="J134" t="n">
        <v>4</v>
      </c>
      <c r="K134" t="n">
        <v>0</v>
      </c>
      <c r="L134" t="n">
        <v>0</v>
      </c>
      <c r="M134" t="n">
        <v>0</v>
      </c>
      <c r="N134" t="n">
        <v>0</v>
      </c>
      <c r="O134" t="n">
        <v>4</v>
      </c>
      <c r="P134" t="n">
        <v>0</v>
      </c>
      <c r="Q134" t="n">
        <v>4</v>
      </c>
      <c r="R134" s="2" t="inlineStr">
        <is>
          <t>Granticka
Spillkråka
Tretåig hackspett
Ullticka</t>
        </is>
      </c>
      <c r="S134">
        <f>HYPERLINK("https://klasma.github.io/Logging_2309/artfynd/A 56312-2024 artfynd.xlsx", "A 56312-2024")</f>
        <v/>
      </c>
      <c r="T134">
        <f>HYPERLINK("https://klasma.github.io/Logging_2309/kartor/A 56312-2024 karta.png", "A 56312-2024")</f>
        <v/>
      </c>
      <c r="V134">
        <f>HYPERLINK("https://klasma.github.io/Logging_2309/klagomål/A 56312-2024 FSC-klagomål.docx", "A 56312-2024")</f>
        <v/>
      </c>
      <c r="W134">
        <f>HYPERLINK("https://klasma.github.io/Logging_2309/klagomålsmail/A 56312-2024 FSC-klagomål mail.docx", "A 56312-2024")</f>
        <v/>
      </c>
      <c r="X134">
        <f>HYPERLINK("https://klasma.github.io/Logging_2309/tillsyn/A 56312-2024 tillsynsbegäran.docx", "A 56312-2024")</f>
        <v/>
      </c>
      <c r="Y134">
        <f>HYPERLINK("https://klasma.github.io/Logging_2309/tillsynsmail/A 56312-2024 tillsynsbegäran mail.docx", "A 56312-2024")</f>
        <v/>
      </c>
      <c r="Z134">
        <f>HYPERLINK("https://klasma.github.io/Logging_2309/fåglar/A 56312-2024 prioriterade fågelarter.docx", "A 56312-2024")</f>
        <v/>
      </c>
    </row>
    <row r="135" ht="15" customHeight="1">
      <c r="A135" t="inlineStr">
        <is>
          <t>A 979-2026</t>
        </is>
      </c>
      <c r="B135" s="1" t="n">
        <v>46030.5737962963</v>
      </c>
      <c r="C135" s="1" t="n">
        <v>46167</v>
      </c>
      <c r="D135" t="inlineStr">
        <is>
          <t>JÄMTLANDS LÄN</t>
        </is>
      </c>
      <c r="E135" t="inlineStr">
        <is>
          <t>KROKOM</t>
        </is>
      </c>
      <c r="G135" t="n">
        <v>3.2</v>
      </c>
      <c r="H135" t="n">
        <v>2</v>
      </c>
      <c r="I135" t="n">
        <v>0</v>
      </c>
      <c r="J135" t="n">
        <v>4</v>
      </c>
      <c r="K135" t="n">
        <v>0</v>
      </c>
      <c r="L135" t="n">
        <v>0</v>
      </c>
      <c r="M135" t="n">
        <v>0</v>
      </c>
      <c r="N135" t="n">
        <v>0</v>
      </c>
      <c r="O135" t="n">
        <v>4</v>
      </c>
      <c r="P135" t="n">
        <v>0</v>
      </c>
      <c r="Q135" t="n">
        <v>4</v>
      </c>
      <c r="R135" s="2" t="inlineStr">
        <is>
          <t>Garnlav
Granticka
Järpe
Tretåig hackspett</t>
        </is>
      </c>
      <c r="S135">
        <f>HYPERLINK("https://klasma.github.io/Logging_2309/artfynd/A 979-2026 artfynd.xlsx", "A 979-2026")</f>
        <v/>
      </c>
      <c r="T135">
        <f>HYPERLINK("https://klasma.github.io/Logging_2309/kartor/A 979-2026 karta.png", "A 979-2026")</f>
        <v/>
      </c>
      <c r="V135">
        <f>HYPERLINK("https://klasma.github.io/Logging_2309/klagomål/A 979-2026 FSC-klagomål.docx", "A 979-2026")</f>
        <v/>
      </c>
      <c r="W135">
        <f>HYPERLINK("https://klasma.github.io/Logging_2309/klagomålsmail/A 979-2026 FSC-klagomål mail.docx", "A 979-2026")</f>
        <v/>
      </c>
      <c r="X135">
        <f>HYPERLINK("https://klasma.github.io/Logging_2309/tillsyn/A 979-2026 tillsynsbegäran.docx", "A 979-2026")</f>
        <v/>
      </c>
      <c r="Y135">
        <f>HYPERLINK("https://klasma.github.io/Logging_2309/tillsynsmail/A 979-2026 tillsynsbegäran mail.docx", "A 979-2026")</f>
        <v/>
      </c>
      <c r="Z135">
        <f>HYPERLINK("https://klasma.github.io/Logging_2309/fåglar/A 979-2026 prioriterade fågelarter.docx", "A 979-2026")</f>
        <v/>
      </c>
    </row>
    <row r="136" ht="15" customHeight="1">
      <c r="A136" t="inlineStr">
        <is>
          <t>A 58205-2024</t>
        </is>
      </c>
      <c r="B136" s="1" t="n">
        <v>45632</v>
      </c>
      <c r="C136" s="1" t="n">
        <v>46167</v>
      </c>
      <c r="D136" t="inlineStr">
        <is>
          <t>JÄMTLANDS LÄN</t>
        </is>
      </c>
      <c r="E136" t="inlineStr">
        <is>
          <t>KROKOM</t>
        </is>
      </c>
      <c r="G136" t="n">
        <v>14</v>
      </c>
      <c r="H136" t="n">
        <v>0</v>
      </c>
      <c r="I136" t="n">
        <v>1</v>
      </c>
      <c r="J136" t="n">
        <v>3</v>
      </c>
      <c r="K136" t="n">
        <v>0</v>
      </c>
      <c r="L136" t="n">
        <v>0</v>
      </c>
      <c r="M136" t="n">
        <v>0</v>
      </c>
      <c r="N136" t="n">
        <v>0</v>
      </c>
      <c r="O136" t="n">
        <v>3</v>
      </c>
      <c r="P136" t="n">
        <v>0</v>
      </c>
      <c r="Q136" t="n">
        <v>4</v>
      </c>
      <c r="R136" s="2" t="inlineStr">
        <is>
          <t>Lunglav
Skrovellav
Ullticka
Vedticka</t>
        </is>
      </c>
      <c r="S136">
        <f>HYPERLINK("https://klasma.github.io/Logging_2309/artfynd/A 58205-2024 artfynd.xlsx", "A 58205-2024")</f>
        <v/>
      </c>
      <c r="T136">
        <f>HYPERLINK("https://klasma.github.io/Logging_2309/kartor/A 58205-2024 karta.png", "A 58205-2024")</f>
        <v/>
      </c>
      <c r="V136">
        <f>HYPERLINK("https://klasma.github.io/Logging_2309/klagomål/A 58205-2024 FSC-klagomål.docx", "A 58205-2024")</f>
        <v/>
      </c>
      <c r="W136">
        <f>HYPERLINK("https://klasma.github.io/Logging_2309/klagomålsmail/A 58205-2024 FSC-klagomål mail.docx", "A 58205-2024")</f>
        <v/>
      </c>
      <c r="X136">
        <f>HYPERLINK("https://klasma.github.io/Logging_2309/tillsyn/A 58205-2024 tillsynsbegäran.docx", "A 58205-2024")</f>
        <v/>
      </c>
      <c r="Y136">
        <f>HYPERLINK("https://klasma.github.io/Logging_2309/tillsynsmail/A 58205-2024 tillsynsbegäran mail.docx", "A 58205-2024")</f>
        <v/>
      </c>
    </row>
    <row r="137" ht="15" customHeight="1">
      <c r="A137" t="inlineStr">
        <is>
          <t>A 53363-2022</t>
        </is>
      </c>
      <c r="B137" s="1" t="n">
        <v>44879</v>
      </c>
      <c r="C137" s="1" t="n">
        <v>46167</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46167</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30068-2022</t>
        </is>
      </c>
      <c r="B139" s="1" t="n">
        <v>44757</v>
      </c>
      <c r="C139" s="1" t="n">
        <v>46167</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18940-2025</t>
        </is>
      </c>
      <c r="B140" s="1" t="n">
        <v>45764</v>
      </c>
      <c r="C140" s="1" t="n">
        <v>46167</v>
      </c>
      <c r="D140" t="inlineStr">
        <is>
          <t>JÄMTLANDS LÄN</t>
        </is>
      </c>
      <c r="E140" t="inlineStr">
        <is>
          <t>KROKOM</t>
        </is>
      </c>
      <c r="G140" t="n">
        <v>44.4</v>
      </c>
      <c r="H140" t="n">
        <v>2</v>
      </c>
      <c r="I140" t="n">
        <v>1</v>
      </c>
      <c r="J140" t="n">
        <v>3</v>
      </c>
      <c r="K140" t="n">
        <v>0</v>
      </c>
      <c r="L140" t="n">
        <v>0</v>
      </c>
      <c r="M140" t="n">
        <v>0</v>
      </c>
      <c r="N140" t="n">
        <v>0</v>
      </c>
      <c r="O140" t="n">
        <v>3</v>
      </c>
      <c r="P140" t="n">
        <v>0</v>
      </c>
      <c r="Q140" t="n">
        <v>4</v>
      </c>
      <c r="R140" s="2" t="inlineStr">
        <is>
          <t>Granticka
Tretåig hackspett
Ullticka
Spindelblomster</t>
        </is>
      </c>
      <c r="S140">
        <f>HYPERLINK("https://klasma.github.io/Logging_2309/artfynd/A 18940-2025 artfynd.xlsx", "A 18940-2025")</f>
        <v/>
      </c>
      <c r="T140">
        <f>HYPERLINK("https://klasma.github.io/Logging_2309/kartor/A 18940-2025 karta.png", "A 18940-2025")</f>
        <v/>
      </c>
      <c r="V140">
        <f>HYPERLINK("https://klasma.github.io/Logging_2309/klagomål/A 18940-2025 FSC-klagomål.docx", "A 18940-2025")</f>
        <v/>
      </c>
      <c r="W140">
        <f>HYPERLINK("https://klasma.github.io/Logging_2309/klagomålsmail/A 18940-2025 FSC-klagomål mail.docx", "A 18940-2025")</f>
        <v/>
      </c>
      <c r="X140">
        <f>HYPERLINK("https://klasma.github.io/Logging_2309/tillsyn/A 18940-2025 tillsynsbegäran.docx", "A 18940-2025")</f>
        <v/>
      </c>
      <c r="Y140">
        <f>HYPERLINK("https://klasma.github.io/Logging_2309/tillsynsmail/A 18940-2025 tillsynsbegäran mail.docx", "A 18940-2025")</f>
        <v/>
      </c>
      <c r="Z140">
        <f>HYPERLINK("https://klasma.github.io/Logging_2309/fåglar/A 18940-2025 prioriterade fågelarter.docx", "A 18940-2025")</f>
        <v/>
      </c>
    </row>
    <row r="141" ht="15" customHeight="1">
      <c r="A141" t="inlineStr">
        <is>
          <t>A 49178-2024</t>
        </is>
      </c>
      <c r="B141" s="1" t="n">
        <v>45595</v>
      </c>
      <c r="C141" s="1" t="n">
        <v>46167</v>
      </c>
      <c r="D141" t="inlineStr">
        <is>
          <t>JÄMTLANDS LÄN</t>
        </is>
      </c>
      <c r="E141" t="inlineStr">
        <is>
          <t>KROKOM</t>
        </is>
      </c>
      <c r="G141" t="n">
        <v>96.8</v>
      </c>
      <c r="H141" t="n">
        <v>0</v>
      </c>
      <c r="I141" t="n">
        <v>0</v>
      </c>
      <c r="J141" t="n">
        <v>4</v>
      </c>
      <c r="K141" t="n">
        <v>0</v>
      </c>
      <c r="L141" t="n">
        <v>0</v>
      </c>
      <c r="M141" t="n">
        <v>0</v>
      </c>
      <c r="N141" t="n">
        <v>0</v>
      </c>
      <c r="O141" t="n">
        <v>4</v>
      </c>
      <c r="P141" t="n">
        <v>0</v>
      </c>
      <c r="Q141" t="n">
        <v>4</v>
      </c>
      <c r="R141" s="2" t="inlineStr">
        <is>
          <t>Gammelgransskål
Gränsticka
Rosenticka
Skrovellav</t>
        </is>
      </c>
      <c r="S141">
        <f>HYPERLINK("https://klasma.github.io/Logging_2309/artfynd/A 49178-2024 artfynd.xlsx", "A 49178-2024")</f>
        <v/>
      </c>
      <c r="T141">
        <f>HYPERLINK("https://klasma.github.io/Logging_2309/kartor/A 49178-2024 karta.png", "A 49178-2024")</f>
        <v/>
      </c>
      <c r="V141">
        <f>HYPERLINK("https://klasma.github.io/Logging_2309/klagomål/A 49178-2024 FSC-klagomål.docx", "A 49178-2024")</f>
        <v/>
      </c>
      <c r="W141">
        <f>HYPERLINK("https://klasma.github.io/Logging_2309/klagomålsmail/A 49178-2024 FSC-klagomål mail.docx", "A 49178-2024")</f>
        <v/>
      </c>
      <c r="X141">
        <f>HYPERLINK("https://klasma.github.io/Logging_2309/tillsyn/A 49178-2024 tillsynsbegäran.docx", "A 49178-2024")</f>
        <v/>
      </c>
      <c r="Y141">
        <f>HYPERLINK("https://klasma.github.io/Logging_2309/tillsynsmail/A 49178-2024 tillsynsbegäran mail.docx", "A 49178-2024")</f>
        <v/>
      </c>
    </row>
    <row r="142" ht="15" customHeight="1">
      <c r="A142" t="inlineStr">
        <is>
          <t>A 2256-2024</t>
        </is>
      </c>
      <c r="B142" s="1" t="n">
        <v>45310</v>
      </c>
      <c r="C142" s="1" t="n">
        <v>46167</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40179-2023</t>
        </is>
      </c>
      <c r="B143" s="1" t="n">
        <v>45169</v>
      </c>
      <c r="C143" s="1" t="n">
        <v>46167</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13383-2025</t>
        </is>
      </c>
      <c r="B144" s="1" t="n">
        <v>45735</v>
      </c>
      <c r="C144" s="1" t="n">
        <v>46167</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46167</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61399-2025</t>
        </is>
      </c>
      <c r="B146" s="1" t="n">
        <v>46001</v>
      </c>
      <c r="C146" s="1" t="n">
        <v>46167</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773-2024</t>
        </is>
      </c>
      <c r="B147" s="1" t="n">
        <v>45300</v>
      </c>
      <c r="C147" s="1" t="n">
        <v>46167</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13529-2026</t>
        </is>
      </c>
      <c r="B148" s="1" t="n">
        <v>46094.64732638889</v>
      </c>
      <c r="C148" s="1" t="n">
        <v>46167</v>
      </c>
      <c r="D148" t="inlineStr">
        <is>
          <t>JÄMTLANDS LÄN</t>
        </is>
      </c>
      <c r="E148" t="inlineStr">
        <is>
          <t>KROKOM</t>
        </is>
      </c>
      <c r="G148" t="n">
        <v>17.3</v>
      </c>
      <c r="H148" t="n">
        <v>1</v>
      </c>
      <c r="I148" t="n">
        <v>0</v>
      </c>
      <c r="J148" t="n">
        <v>4</v>
      </c>
      <c r="K148" t="n">
        <v>0</v>
      </c>
      <c r="L148" t="n">
        <v>0</v>
      </c>
      <c r="M148" t="n">
        <v>0</v>
      </c>
      <c r="N148" t="n">
        <v>0</v>
      </c>
      <c r="O148" t="n">
        <v>4</v>
      </c>
      <c r="P148" t="n">
        <v>0</v>
      </c>
      <c r="Q148" t="n">
        <v>4</v>
      </c>
      <c r="R148" s="2" t="inlineStr">
        <is>
          <t>Garnlav
Harticka
Lunglav
Tretåig hackspett</t>
        </is>
      </c>
      <c r="S148">
        <f>HYPERLINK("https://klasma.github.io/Logging_2309/artfynd/A 13529-2026 artfynd.xlsx", "A 13529-2026")</f>
        <v/>
      </c>
      <c r="T148">
        <f>HYPERLINK("https://klasma.github.io/Logging_2309/kartor/A 13529-2026 karta.png", "A 13529-2026")</f>
        <v/>
      </c>
      <c r="V148">
        <f>HYPERLINK("https://klasma.github.io/Logging_2309/klagomål/A 13529-2026 FSC-klagomål.docx", "A 13529-2026")</f>
        <v/>
      </c>
      <c r="W148">
        <f>HYPERLINK("https://klasma.github.io/Logging_2309/klagomålsmail/A 13529-2026 FSC-klagomål mail.docx", "A 13529-2026")</f>
        <v/>
      </c>
      <c r="X148">
        <f>HYPERLINK("https://klasma.github.io/Logging_2309/tillsyn/A 13529-2026 tillsynsbegäran.docx", "A 13529-2026")</f>
        <v/>
      </c>
      <c r="Y148">
        <f>HYPERLINK("https://klasma.github.io/Logging_2309/tillsynsmail/A 13529-2026 tillsynsbegäran mail.docx", "A 13529-2026")</f>
        <v/>
      </c>
      <c r="Z148">
        <f>HYPERLINK("https://klasma.github.io/Logging_2309/fåglar/A 13529-2026 prioriterade fågelarter.docx", "A 13529-2026")</f>
        <v/>
      </c>
    </row>
    <row r="149" ht="15" customHeight="1">
      <c r="A149" t="inlineStr">
        <is>
          <t>A 15728-2026</t>
        </is>
      </c>
      <c r="B149" s="1" t="n">
        <v>46107.38431712963</v>
      </c>
      <c r="C149" s="1" t="n">
        <v>46167</v>
      </c>
      <c r="D149" t="inlineStr">
        <is>
          <t>JÄMTLANDS LÄN</t>
        </is>
      </c>
      <c r="E149" t="inlineStr">
        <is>
          <t>KROKOM</t>
        </is>
      </c>
      <c r="G149" t="n">
        <v>7.6</v>
      </c>
      <c r="H149" t="n">
        <v>3</v>
      </c>
      <c r="I149" t="n">
        <v>1</v>
      </c>
      <c r="J149" t="n">
        <v>2</v>
      </c>
      <c r="K149" t="n">
        <v>0</v>
      </c>
      <c r="L149" t="n">
        <v>0</v>
      </c>
      <c r="M149" t="n">
        <v>0</v>
      </c>
      <c r="N149" t="n">
        <v>0</v>
      </c>
      <c r="O149" t="n">
        <v>2</v>
      </c>
      <c r="P149" t="n">
        <v>0</v>
      </c>
      <c r="Q149" t="n">
        <v>4</v>
      </c>
      <c r="R149" s="2" t="inlineStr">
        <is>
          <t>Spillkråka
Tretåig hackspett
Svavelriska
Kungsfågel</t>
        </is>
      </c>
      <c r="S149">
        <f>HYPERLINK("https://klasma.github.io/Logging_2309/artfynd/A 15728-2026 artfynd.xlsx", "A 15728-2026")</f>
        <v/>
      </c>
      <c r="T149">
        <f>HYPERLINK("https://klasma.github.io/Logging_2309/kartor/A 15728-2026 karta.png", "A 15728-2026")</f>
        <v/>
      </c>
      <c r="V149">
        <f>HYPERLINK("https://klasma.github.io/Logging_2309/klagomål/A 15728-2026 FSC-klagomål.docx", "A 15728-2026")</f>
        <v/>
      </c>
      <c r="W149">
        <f>HYPERLINK("https://klasma.github.io/Logging_2309/klagomålsmail/A 15728-2026 FSC-klagomål mail.docx", "A 15728-2026")</f>
        <v/>
      </c>
      <c r="X149">
        <f>HYPERLINK("https://klasma.github.io/Logging_2309/tillsyn/A 15728-2026 tillsynsbegäran.docx", "A 15728-2026")</f>
        <v/>
      </c>
      <c r="Y149">
        <f>HYPERLINK("https://klasma.github.io/Logging_2309/tillsynsmail/A 15728-2026 tillsynsbegäran mail.docx", "A 15728-2026")</f>
        <v/>
      </c>
      <c r="Z149">
        <f>HYPERLINK("https://klasma.github.io/Logging_2309/fåglar/A 15728-2026 prioriterade fågelarter.docx", "A 15728-2026")</f>
        <v/>
      </c>
    </row>
    <row r="150" ht="15" customHeight="1">
      <c r="A150" t="inlineStr">
        <is>
          <t>A 55224-2024</t>
        </is>
      </c>
      <c r="B150" s="1" t="n">
        <v>45621</v>
      </c>
      <c r="C150" s="1" t="n">
        <v>46167</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46167</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46167</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46167</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50345-2023</t>
        </is>
      </c>
      <c r="B154" s="1" t="n">
        <v>45216</v>
      </c>
      <c r="C154" s="1" t="n">
        <v>46167</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3501-2026</t>
        </is>
      </c>
      <c r="B155" s="1" t="n">
        <v>46042.57795138889</v>
      </c>
      <c r="C155" s="1" t="n">
        <v>46167</v>
      </c>
      <c r="D155" t="inlineStr">
        <is>
          <t>JÄMTLANDS LÄN</t>
        </is>
      </c>
      <c r="E155" t="inlineStr">
        <is>
          <t>KROKOM</t>
        </is>
      </c>
      <c r="G155" t="n">
        <v>7</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3501-2026 artfynd.xlsx", "A 3501-2026")</f>
        <v/>
      </c>
      <c r="T155">
        <f>HYPERLINK("https://klasma.github.io/Logging_2309/kartor/A 3501-2026 karta.png", "A 3501-2026")</f>
        <v/>
      </c>
      <c r="V155">
        <f>HYPERLINK("https://klasma.github.io/Logging_2309/klagomål/A 3501-2026 FSC-klagomål.docx", "A 3501-2026")</f>
        <v/>
      </c>
      <c r="W155">
        <f>HYPERLINK("https://klasma.github.io/Logging_2309/klagomålsmail/A 3501-2026 FSC-klagomål mail.docx", "A 3501-2026")</f>
        <v/>
      </c>
      <c r="X155">
        <f>HYPERLINK("https://klasma.github.io/Logging_2309/tillsyn/A 3501-2026 tillsynsbegäran.docx", "A 3501-2026")</f>
        <v/>
      </c>
      <c r="Y155">
        <f>HYPERLINK("https://klasma.github.io/Logging_2309/tillsynsmail/A 3501-2026 tillsynsbegäran mail.docx", "A 3501-2026")</f>
        <v/>
      </c>
      <c r="Z155">
        <f>HYPERLINK("https://klasma.github.io/Logging_2309/fåglar/A 3501-2026 prioriterade fågelarter.docx", "A 3501-2026")</f>
        <v/>
      </c>
    </row>
    <row r="156" ht="15" customHeight="1">
      <c r="A156" t="inlineStr">
        <is>
          <t>A 36009-2025</t>
        </is>
      </c>
      <c r="B156" s="1" t="n">
        <v>45863.58127314815</v>
      </c>
      <c r="C156" s="1" t="n">
        <v>46167</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11355-2026</t>
        </is>
      </c>
      <c r="B157" s="1" t="n">
        <v>46083</v>
      </c>
      <c r="C157" s="1" t="n">
        <v>46167</v>
      </c>
      <c r="D157" t="inlineStr">
        <is>
          <t>JÄMTLANDS LÄN</t>
        </is>
      </c>
      <c r="E157" t="inlineStr">
        <is>
          <t>KROKOM</t>
        </is>
      </c>
      <c r="G157" t="n">
        <v>1.5</v>
      </c>
      <c r="H157" t="n">
        <v>2</v>
      </c>
      <c r="I157" t="n">
        <v>1</v>
      </c>
      <c r="J157" t="n">
        <v>1</v>
      </c>
      <c r="K157" t="n">
        <v>0</v>
      </c>
      <c r="L157" t="n">
        <v>0</v>
      </c>
      <c r="M157" t="n">
        <v>0</v>
      </c>
      <c r="N157" t="n">
        <v>0</v>
      </c>
      <c r="O157" t="n">
        <v>1</v>
      </c>
      <c r="P157" t="n">
        <v>0</v>
      </c>
      <c r="Q157" t="n">
        <v>3</v>
      </c>
      <c r="R157" s="2" t="inlineStr">
        <is>
          <t>Talltita
Svavelriska
Blåsippa</t>
        </is>
      </c>
      <c r="S157">
        <f>HYPERLINK("https://klasma.github.io/Logging_2309/artfynd/A 11355-2026 artfynd.xlsx", "A 11355-2026")</f>
        <v/>
      </c>
      <c r="T157">
        <f>HYPERLINK("https://klasma.github.io/Logging_2309/kartor/A 11355-2026 karta.png", "A 11355-2026")</f>
        <v/>
      </c>
      <c r="V157">
        <f>HYPERLINK("https://klasma.github.io/Logging_2309/klagomål/A 11355-2026 FSC-klagomål.docx", "A 11355-2026")</f>
        <v/>
      </c>
      <c r="W157">
        <f>HYPERLINK("https://klasma.github.io/Logging_2309/klagomålsmail/A 11355-2026 FSC-klagomål mail.docx", "A 11355-2026")</f>
        <v/>
      </c>
      <c r="X157">
        <f>HYPERLINK("https://klasma.github.io/Logging_2309/tillsyn/A 11355-2026 tillsynsbegäran.docx", "A 11355-2026")</f>
        <v/>
      </c>
      <c r="Y157">
        <f>HYPERLINK("https://klasma.github.io/Logging_2309/tillsynsmail/A 11355-2026 tillsynsbegäran mail.docx", "A 11355-2026")</f>
        <v/>
      </c>
      <c r="Z157">
        <f>HYPERLINK("https://klasma.github.io/Logging_2309/fåglar/A 11355-2026 prioriterade fågelarter.docx", "A 11355-2026")</f>
        <v/>
      </c>
    </row>
    <row r="158" ht="15" customHeight="1">
      <c r="A158" t="inlineStr">
        <is>
          <t>A 38966-2025</t>
        </is>
      </c>
      <c r="B158" s="1" t="n">
        <v>45887.6989699074</v>
      </c>
      <c r="C158" s="1" t="n">
        <v>46167</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54494-2023</t>
        </is>
      </c>
      <c r="B159" s="1" t="n">
        <v>45233</v>
      </c>
      <c r="C159" s="1" t="n">
        <v>46167</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2592-2024</t>
        </is>
      </c>
      <c r="B160" s="1" t="n">
        <v>45313</v>
      </c>
      <c r="C160" s="1" t="n">
        <v>46167</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46167</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34582-2024</t>
        </is>
      </c>
      <c r="B162" s="1" t="n">
        <v>45526</v>
      </c>
      <c r="C162" s="1" t="n">
        <v>46167</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54924-2025</t>
        </is>
      </c>
      <c r="B163" s="1" t="n">
        <v>45967</v>
      </c>
      <c r="C163" s="1" t="n">
        <v>46167</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62113-2024</t>
        </is>
      </c>
      <c r="B164" s="1" t="n">
        <v>45656.54600694445</v>
      </c>
      <c r="C164" s="1" t="n">
        <v>46167</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30069-2022</t>
        </is>
      </c>
      <c r="B165" s="1" t="n">
        <v>44757</v>
      </c>
      <c r="C165" s="1" t="n">
        <v>46167</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71573-2021</t>
        </is>
      </c>
      <c r="B166" s="1" t="n">
        <v>44540</v>
      </c>
      <c r="C166" s="1" t="n">
        <v>46167</v>
      </c>
      <c r="D166" t="inlineStr">
        <is>
          <t>JÄMTLANDS LÄN</t>
        </is>
      </c>
      <c r="E166" t="inlineStr">
        <is>
          <t>KROKOM</t>
        </is>
      </c>
      <c r="G166" t="n">
        <v>1</v>
      </c>
      <c r="H166" t="n">
        <v>0</v>
      </c>
      <c r="I166" t="n">
        <v>2</v>
      </c>
      <c r="J166" t="n">
        <v>1</v>
      </c>
      <c r="K166" t="n">
        <v>0</v>
      </c>
      <c r="L166" t="n">
        <v>0</v>
      </c>
      <c r="M166" t="n">
        <v>0</v>
      </c>
      <c r="N166" t="n">
        <v>0</v>
      </c>
      <c r="O166" t="n">
        <v>1</v>
      </c>
      <c r="P166" t="n">
        <v>0</v>
      </c>
      <c r="Q166" t="n">
        <v>3</v>
      </c>
      <c r="R166" s="2" t="inlineStr">
        <is>
          <t>Doftskinn
Fjällig taggsvamp s.str.
Svavelriska</t>
        </is>
      </c>
      <c r="S166">
        <f>HYPERLINK("https://klasma.github.io/Logging_2309/artfynd/A 71573-2021 artfynd.xlsx", "A 71573-2021")</f>
        <v/>
      </c>
      <c r="T166">
        <f>HYPERLINK("https://klasma.github.io/Logging_2309/kartor/A 71573-2021 karta.png", "A 71573-2021")</f>
        <v/>
      </c>
      <c r="V166">
        <f>HYPERLINK("https://klasma.github.io/Logging_2309/klagomål/A 71573-2021 FSC-klagomål.docx", "A 71573-2021")</f>
        <v/>
      </c>
      <c r="W166">
        <f>HYPERLINK("https://klasma.github.io/Logging_2309/klagomålsmail/A 71573-2021 FSC-klagomål mail.docx", "A 71573-2021")</f>
        <v/>
      </c>
      <c r="X166">
        <f>HYPERLINK("https://klasma.github.io/Logging_2309/tillsyn/A 71573-2021 tillsynsbegäran.docx", "A 71573-2021")</f>
        <v/>
      </c>
      <c r="Y166">
        <f>HYPERLINK("https://klasma.github.io/Logging_2309/tillsynsmail/A 71573-2021 tillsynsbegäran mail.docx", "A 71573-2021")</f>
        <v/>
      </c>
    </row>
    <row r="167" ht="15" customHeight="1">
      <c r="A167" t="inlineStr">
        <is>
          <t>A 52264-2022</t>
        </is>
      </c>
      <c r="B167" s="1" t="n">
        <v>44873</v>
      </c>
      <c r="C167" s="1" t="n">
        <v>46167</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54772-2025</t>
        </is>
      </c>
      <c r="B168" s="1" t="n">
        <v>45966</v>
      </c>
      <c r="C168" s="1" t="n">
        <v>46167</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4717-2026</t>
        </is>
      </c>
      <c r="B169" s="1" t="n">
        <v>46048</v>
      </c>
      <c r="C169" s="1" t="n">
        <v>46167</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60385-2025</t>
        </is>
      </c>
      <c r="B170" s="1" t="n">
        <v>45995.38047453704</v>
      </c>
      <c r="C170" s="1" t="n">
        <v>46167</v>
      </c>
      <c r="D170" t="inlineStr">
        <is>
          <t>JÄMTLANDS LÄN</t>
        </is>
      </c>
      <c r="E170" t="inlineStr">
        <is>
          <t>KROKOM</t>
        </is>
      </c>
      <c r="G170" t="n">
        <v>2.4</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60385-2025 artfynd.xlsx", "A 60385-2025")</f>
        <v/>
      </c>
      <c r="T170">
        <f>HYPERLINK("https://klasma.github.io/Logging_2309/kartor/A 60385-2025 karta.png", "A 60385-2025")</f>
        <v/>
      </c>
      <c r="V170">
        <f>HYPERLINK("https://klasma.github.io/Logging_2309/klagomål/A 60385-2025 FSC-klagomål.docx", "A 60385-2025")</f>
        <v/>
      </c>
      <c r="W170">
        <f>HYPERLINK("https://klasma.github.io/Logging_2309/klagomålsmail/A 60385-2025 FSC-klagomål mail.docx", "A 60385-2025")</f>
        <v/>
      </c>
      <c r="X170">
        <f>HYPERLINK("https://klasma.github.io/Logging_2309/tillsyn/A 60385-2025 tillsynsbegäran.docx", "A 60385-2025")</f>
        <v/>
      </c>
      <c r="Y170">
        <f>HYPERLINK("https://klasma.github.io/Logging_2309/tillsynsmail/A 60385-2025 tillsynsbegäran mail.docx", "A 60385-2025")</f>
        <v/>
      </c>
      <c r="Z170">
        <f>HYPERLINK("https://klasma.github.io/Logging_2309/fåglar/A 60385-2025 prioriterade fågelarter.docx", "A 60385-2025")</f>
        <v/>
      </c>
    </row>
    <row r="171" ht="15" customHeight="1">
      <c r="A171" t="inlineStr">
        <is>
          <t>A 63833-2025</t>
        </is>
      </c>
      <c r="B171" s="1" t="n">
        <v>46020</v>
      </c>
      <c r="C171" s="1" t="n">
        <v>46167</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v>
      </c>
      <c r="C172" s="1" t="n">
        <v>46167</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5278-2025</t>
        </is>
      </c>
      <c r="B173" s="1" t="n">
        <v>45692</v>
      </c>
      <c r="C173" s="1" t="n">
        <v>46167</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50431-2023</t>
        </is>
      </c>
      <c r="B174" s="1" t="n">
        <v>45216.67748842593</v>
      </c>
      <c r="C174" s="1" t="n">
        <v>46167</v>
      </c>
      <c r="D174" t="inlineStr">
        <is>
          <t>JÄMTLANDS LÄN</t>
        </is>
      </c>
      <c r="E174" t="inlineStr">
        <is>
          <t>KROKOM</t>
        </is>
      </c>
      <c r="G174" t="n">
        <v>6.9</v>
      </c>
      <c r="H174" t="n">
        <v>1</v>
      </c>
      <c r="I174" t="n">
        <v>0</v>
      </c>
      <c r="J174" t="n">
        <v>3</v>
      </c>
      <c r="K174" t="n">
        <v>0</v>
      </c>
      <c r="L174" t="n">
        <v>0</v>
      </c>
      <c r="M174" t="n">
        <v>0</v>
      </c>
      <c r="N174" t="n">
        <v>0</v>
      </c>
      <c r="O174" t="n">
        <v>3</v>
      </c>
      <c r="P174" t="n">
        <v>0</v>
      </c>
      <c r="Q174" t="n">
        <v>3</v>
      </c>
      <c r="R174" s="2" t="inlineStr">
        <is>
          <t>Granticka
Lunglav
Tretåig hackspett</t>
        </is>
      </c>
      <c r="S174">
        <f>HYPERLINK("https://klasma.github.io/Logging_2309/artfynd/A 50431-2023 artfynd.xlsx", "A 50431-2023")</f>
        <v/>
      </c>
      <c r="T174">
        <f>HYPERLINK("https://klasma.github.io/Logging_2309/kartor/A 50431-2023 karta.png", "A 50431-2023")</f>
        <v/>
      </c>
      <c r="V174">
        <f>HYPERLINK("https://klasma.github.io/Logging_2309/klagomål/A 50431-2023 FSC-klagomål.docx", "A 50431-2023")</f>
        <v/>
      </c>
      <c r="W174">
        <f>HYPERLINK("https://klasma.github.io/Logging_2309/klagomålsmail/A 50431-2023 FSC-klagomål mail.docx", "A 50431-2023")</f>
        <v/>
      </c>
      <c r="X174">
        <f>HYPERLINK("https://klasma.github.io/Logging_2309/tillsyn/A 50431-2023 tillsynsbegäran.docx", "A 50431-2023")</f>
        <v/>
      </c>
      <c r="Y174">
        <f>HYPERLINK("https://klasma.github.io/Logging_2309/tillsynsmail/A 50431-2023 tillsynsbegäran mail.docx", "A 50431-2023")</f>
        <v/>
      </c>
      <c r="Z174">
        <f>HYPERLINK("https://klasma.github.io/Logging_2309/fåglar/A 50431-2023 prioriterade fågelarter.docx", "A 50431-2023")</f>
        <v/>
      </c>
    </row>
    <row r="175" ht="15" customHeight="1">
      <c r="A175" t="inlineStr">
        <is>
          <t>A 32148-2024</t>
        </is>
      </c>
      <c r="B175" s="1" t="n">
        <v>45511.55719907407</v>
      </c>
      <c r="C175" s="1" t="n">
        <v>46167</v>
      </c>
      <c r="D175" t="inlineStr">
        <is>
          <t>JÄMTLANDS LÄN</t>
        </is>
      </c>
      <c r="E175" t="inlineStr">
        <is>
          <t>KROKOM</t>
        </is>
      </c>
      <c r="G175" t="n">
        <v>3.1</v>
      </c>
      <c r="H175" t="n">
        <v>1</v>
      </c>
      <c r="I175" t="n">
        <v>2</v>
      </c>
      <c r="J175" t="n">
        <v>0</v>
      </c>
      <c r="K175" t="n">
        <v>0</v>
      </c>
      <c r="L175" t="n">
        <v>0</v>
      </c>
      <c r="M175" t="n">
        <v>0</v>
      </c>
      <c r="N175" t="n">
        <v>0</v>
      </c>
      <c r="O175" t="n">
        <v>0</v>
      </c>
      <c r="P175" t="n">
        <v>0</v>
      </c>
      <c r="Q175" t="n">
        <v>3</v>
      </c>
      <c r="R175" s="2" t="inlineStr">
        <is>
          <t>Kransrams
Tibast
Blåsippa</t>
        </is>
      </c>
      <c r="S175">
        <f>HYPERLINK("https://klasma.github.io/Logging_2309/artfynd/A 32148-2024 artfynd.xlsx", "A 32148-2024")</f>
        <v/>
      </c>
      <c r="T175">
        <f>HYPERLINK("https://klasma.github.io/Logging_2309/kartor/A 32148-2024 karta.png", "A 32148-2024")</f>
        <v/>
      </c>
      <c r="V175">
        <f>HYPERLINK("https://klasma.github.io/Logging_2309/klagomål/A 32148-2024 FSC-klagomål.docx", "A 32148-2024")</f>
        <v/>
      </c>
      <c r="W175">
        <f>HYPERLINK("https://klasma.github.io/Logging_2309/klagomålsmail/A 32148-2024 FSC-klagomål mail.docx", "A 32148-2024")</f>
        <v/>
      </c>
      <c r="X175">
        <f>HYPERLINK("https://klasma.github.io/Logging_2309/tillsyn/A 32148-2024 tillsynsbegäran.docx", "A 32148-2024")</f>
        <v/>
      </c>
      <c r="Y175">
        <f>HYPERLINK("https://klasma.github.io/Logging_2309/tillsynsmail/A 32148-2024 tillsynsbegäran mail.docx", "A 32148-2024")</f>
        <v/>
      </c>
    </row>
    <row r="176" ht="15" customHeight="1">
      <c r="A176" t="inlineStr">
        <is>
          <t>A 23439-2024</t>
        </is>
      </c>
      <c r="B176" s="1" t="n">
        <v>45453.63133101852</v>
      </c>
      <c r="C176" s="1" t="n">
        <v>46167</v>
      </c>
      <c r="D176" t="inlineStr">
        <is>
          <t>JÄMTLANDS LÄN</t>
        </is>
      </c>
      <c r="E176" t="inlineStr">
        <is>
          <t>KROKOM</t>
        </is>
      </c>
      <c r="G176" t="n">
        <v>15.7</v>
      </c>
      <c r="H176" t="n">
        <v>2</v>
      </c>
      <c r="I176" t="n">
        <v>0</v>
      </c>
      <c r="J176" t="n">
        <v>2</v>
      </c>
      <c r="K176" t="n">
        <v>0</v>
      </c>
      <c r="L176" t="n">
        <v>0</v>
      </c>
      <c r="M176" t="n">
        <v>0</v>
      </c>
      <c r="N176" t="n">
        <v>0</v>
      </c>
      <c r="O176" t="n">
        <v>2</v>
      </c>
      <c r="P176" t="n">
        <v>0</v>
      </c>
      <c r="Q176" t="n">
        <v>3</v>
      </c>
      <c r="R176" s="2" t="inlineStr">
        <is>
          <t>Granticka
Tretåig hackspett
Lavskrika</t>
        </is>
      </c>
      <c r="S176">
        <f>HYPERLINK("https://klasma.github.io/Logging_2309/artfynd/A 23439-2024 artfynd.xlsx", "A 23439-2024")</f>
        <v/>
      </c>
      <c r="T176">
        <f>HYPERLINK("https://klasma.github.io/Logging_2309/kartor/A 23439-2024 karta.png", "A 23439-2024")</f>
        <v/>
      </c>
      <c r="V176">
        <f>HYPERLINK("https://klasma.github.io/Logging_2309/klagomål/A 23439-2024 FSC-klagomål.docx", "A 23439-2024")</f>
        <v/>
      </c>
      <c r="W176">
        <f>HYPERLINK("https://klasma.github.io/Logging_2309/klagomålsmail/A 23439-2024 FSC-klagomål mail.docx", "A 23439-2024")</f>
        <v/>
      </c>
      <c r="X176">
        <f>HYPERLINK("https://klasma.github.io/Logging_2309/tillsyn/A 23439-2024 tillsynsbegäran.docx", "A 23439-2024")</f>
        <v/>
      </c>
      <c r="Y176">
        <f>HYPERLINK("https://klasma.github.io/Logging_2309/tillsynsmail/A 23439-2024 tillsynsbegäran mail.docx", "A 23439-2024")</f>
        <v/>
      </c>
      <c r="Z176">
        <f>HYPERLINK("https://klasma.github.io/Logging_2309/fåglar/A 23439-2024 prioriterade fågelarter.docx", "A 23439-2024")</f>
        <v/>
      </c>
    </row>
    <row r="177" ht="15" customHeight="1">
      <c r="A177" t="inlineStr">
        <is>
          <t>A 28151-2021</t>
        </is>
      </c>
      <c r="B177" s="1" t="n">
        <v>44355</v>
      </c>
      <c r="C177" s="1" t="n">
        <v>46167</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46167</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46167</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46167</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46167</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46167</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7575-2024</t>
        </is>
      </c>
      <c r="B183" s="1" t="n">
        <v>45348</v>
      </c>
      <c r="C183" s="1" t="n">
        <v>46167</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62125-2024</t>
        </is>
      </c>
      <c r="B184" s="1" t="n">
        <v>45656.59703703703</v>
      </c>
      <c r="C184" s="1" t="n">
        <v>46167</v>
      </c>
      <c r="D184" t="inlineStr">
        <is>
          <t>JÄMTLANDS LÄN</t>
        </is>
      </c>
      <c r="E184" t="inlineStr">
        <is>
          <t>KROKOM</t>
        </is>
      </c>
      <c r="F184" t="inlineStr">
        <is>
          <t>Övriga Aktiebolag</t>
        </is>
      </c>
      <c r="G184" t="n">
        <v>15.9</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62125-2024 artfynd.xlsx", "A 62125-2024")</f>
        <v/>
      </c>
      <c r="T184">
        <f>HYPERLINK("https://klasma.github.io/Logging_2309/kartor/A 62125-2024 karta.png", "A 62125-2024")</f>
        <v/>
      </c>
      <c r="V184">
        <f>HYPERLINK("https://klasma.github.io/Logging_2309/klagomål/A 62125-2024 FSC-klagomål.docx", "A 62125-2024")</f>
        <v/>
      </c>
      <c r="W184">
        <f>HYPERLINK("https://klasma.github.io/Logging_2309/klagomålsmail/A 62125-2024 FSC-klagomål mail.docx", "A 62125-2024")</f>
        <v/>
      </c>
      <c r="X184">
        <f>HYPERLINK("https://klasma.github.io/Logging_2309/tillsyn/A 62125-2024 tillsynsbegäran.docx", "A 62125-2024")</f>
        <v/>
      </c>
      <c r="Y184">
        <f>HYPERLINK("https://klasma.github.io/Logging_2309/tillsynsmail/A 62125-2024 tillsynsbegäran mail.docx", "A 62125-2024")</f>
        <v/>
      </c>
      <c r="Z184">
        <f>HYPERLINK("https://klasma.github.io/Logging_2309/fåglar/A 62125-2024 prioriterade fågelarter.docx", "A 62125-2024")</f>
        <v/>
      </c>
    </row>
    <row r="185" ht="15" customHeight="1">
      <c r="A185" t="inlineStr">
        <is>
          <t>A 35891-2025</t>
        </is>
      </c>
      <c r="B185" s="1" t="n">
        <v>45862</v>
      </c>
      <c r="C185" s="1" t="n">
        <v>46167</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36445-2025</t>
        </is>
      </c>
      <c r="B186" s="1" t="n">
        <v>45869</v>
      </c>
      <c r="C186" s="1" t="n">
        <v>46167</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978-2026</t>
        </is>
      </c>
      <c r="B187" s="1" t="n">
        <v>46030.57378472222</v>
      </c>
      <c r="C187" s="1" t="n">
        <v>46167</v>
      </c>
      <c r="D187" t="inlineStr">
        <is>
          <t>JÄMTLANDS LÄN</t>
        </is>
      </c>
      <c r="E187" t="inlineStr">
        <is>
          <t>KROKOM</t>
        </is>
      </c>
      <c r="G187" t="n">
        <v>3.2</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978-2026 artfynd.xlsx", "A 978-2026")</f>
        <v/>
      </c>
      <c r="T187">
        <f>HYPERLINK("https://klasma.github.io/Logging_2309/kartor/A 978-2026 karta.png", "A 978-2026")</f>
        <v/>
      </c>
      <c r="V187">
        <f>HYPERLINK("https://klasma.github.io/Logging_2309/klagomål/A 978-2026 FSC-klagomål.docx", "A 978-2026")</f>
        <v/>
      </c>
      <c r="W187">
        <f>HYPERLINK("https://klasma.github.io/Logging_2309/klagomålsmail/A 978-2026 FSC-klagomål mail.docx", "A 978-2026")</f>
        <v/>
      </c>
      <c r="X187">
        <f>HYPERLINK("https://klasma.github.io/Logging_2309/tillsyn/A 978-2026 tillsynsbegäran.docx", "A 978-2026")</f>
        <v/>
      </c>
      <c r="Y187">
        <f>HYPERLINK("https://klasma.github.io/Logging_2309/tillsynsmail/A 978-2026 tillsynsbegäran mail.docx", "A 978-2026")</f>
        <v/>
      </c>
    </row>
    <row r="188" ht="15" customHeight="1">
      <c r="A188" t="inlineStr">
        <is>
          <t>A 37509-2025</t>
        </is>
      </c>
      <c r="B188" s="1" t="n">
        <v>45877.67787037037</v>
      </c>
      <c r="C188" s="1" t="n">
        <v>46167</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20886-2026</t>
        </is>
      </c>
      <c r="B189" s="1" t="n">
        <v>46142.43092592592</v>
      </c>
      <c r="C189" s="1" t="n">
        <v>46167</v>
      </c>
      <c r="D189" t="inlineStr">
        <is>
          <t>JÄMTLANDS LÄN</t>
        </is>
      </c>
      <c r="E189" t="inlineStr">
        <is>
          <t>KROKOM</t>
        </is>
      </c>
      <c r="F189" t="inlineStr">
        <is>
          <t>Övriga Aktiebolag</t>
        </is>
      </c>
      <c r="G189" t="n">
        <v>3.9</v>
      </c>
      <c r="H189" t="n">
        <v>0</v>
      </c>
      <c r="I189" t="n">
        <v>1</v>
      </c>
      <c r="J189" t="n">
        <v>1</v>
      </c>
      <c r="K189" t="n">
        <v>0</v>
      </c>
      <c r="L189" t="n">
        <v>0</v>
      </c>
      <c r="M189" t="n">
        <v>0</v>
      </c>
      <c r="N189" t="n">
        <v>0</v>
      </c>
      <c r="O189" t="n">
        <v>1</v>
      </c>
      <c r="P189" t="n">
        <v>0</v>
      </c>
      <c r="Q189" t="n">
        <v>2</v>
      </c>
      <c r="R189" s="2" t="inlineStr">
        <is>
          <t>Blå taggsvamp
Rävticka</t>
        </is>
      </c>
      <c r="S189">
        <f>HYPERLINK("https://klasma.github.io/Logging_2309/artfynd/A 20886-2026 artfynd.xlsx", "A 20886-2026")</f>
        <v/>
      </c>
      <c r="T189">
        <f>HYPERLINK("https://klasma.github.io/Logging_2309/kartor/A 20886-2026 karta.png", "A 20886-2026")</f>
        <v/>
      </c>
      <c r="V189">
        <f>HYPERLINK("https://klasma.github.io/Logging_2309/klagomål/A 20886-2026 FSC-klagomål.docx", "A 20886-2026")</f>
        <v/>
      </c>
      <c r="W189">
        <f>HYPERLINK("https://klasma.github.io/Logging_2309/klagomålsmail/A 20886-2026 FSC-klagomål mail.docx", "A 20886-2026")</f>
        <v/>
      </c>
      <c r="X189">
        <f>HYPERLINK("https://klasma.github.io/Logging_2309/tillsyn/A 20886-2026 tillsynsbegäran.docx", "A 20886-2026")</f>
        <v/>
      </c>
      <c r="Y189">
        <f>HYPERLINK("https://klasma.github.io/Logging_2309/tillsynsmail/A 20886-2026 tillsynsbegäran mail.docx", "A 20886-2026")</f>
        <v/>
      </c>
    </row>
    <row r="190" ht="15" customHeight="1">
      <c r="A190" t="inlineStr">
        <is>
          <t>A 46828-2025</t>
        </is>
      </c>
      <c r="B190" s="1" t="n">
        <v>45927.34478009259</v>
      </c>
      <c r="C190" s="1" t="n">
        <v>46167</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54189-2022</t>
        </is>
      </c>
      <c r="B191" s="1" t="n">
        <v>44879</v>
      </c>
      <c r="C191" s="1" t="n">
        <v>46167</v>
      </c>
      <c r="D191" t="inlineStr">
        <is>
          <t>JÄMTLANDS LÄN</t>
        </is>
      </c>
      <c r="E191" t="inlineStr">
        <is>
          <t>KROKOM</t>
        </is>
      </c>
      <c r="G191" t="n">
        <v>24.1</v>
      </c>
      <c r="H191" t="n">
        <v>0</v>
      </c>
      <c r="I191" t="n">
        <v>0</v>
      </c>
      <c r="J191" t="n">
        <v>1</v>
      </c>
      <c r="K191" t="n">
        <v>1</v>
      </c>
      <c r="L191" t="n">
        <v>0</v>
      </c>
      <c r="M191" t="n">
        <v>0</v>
      </c>
      <c r="N191" t="n">
        <v>0</v>
      </c>
      <c r="O191" t="n">
        <v>2</v>
      </c>
      <c r="P191" t="n">
        <v>1</v>
      </c>
      <c r="Q191" t="n">
        <v>2</v>
      </c>
      <c r="R191" s="2" t="inlineStr">
        <is>
          <t>Ulltickeporing
Ullticka</t>
        </is>
      </c>
      <c r="S191">
        <f>HYPERLINK("https://klasma.github.io/Logging_2309/artfynd/A 54189-2022 artfynd.xlsx", "A 54189-2022")</f>
        <v/>
      </c>
      <c r="T191">
        <f>HYPERLINK("https://klasma.github.io/Logging_2309/kartor/A 54189-2022 karta.png", "A 54189-2022")</f>
        <v/>
      </c>
      <c r="V191">
        <f>HYPERLINK("https://klasma.github.io/Logging_2309/klagomål/A 54189-2022 FSC-klagomål.docx", "A 54189-2022")</f>
        <v/>
      </c>
      <c r="W191">
        <f>HYPERLINK("https://klasma.github.io/Logging_2309/klagomålsmail/A 54189-2022 FSC-klagomål mail.docx", "A 54189-2022")</f>
        <v/>
      </c>
      <c r="X191">
        <f>HYPERLINK("https://klasma.github.io/Logging_2309/tillsyn/A 54189-2022 tillsynsbegäran.docx", "A 54189-2022")</f>
        <v/>
      </c>
      <c r="Y191">
        <f>HYPERLINK("https://klasma.github.io/Logging_2309/tillsynsmail/A 54189-2022 tillsynsbegäran mail.docx", "A 54189-2022")</f>
        <v/>
      </c>
    </row>
    <row r="192" ht="15" customHeight="1">
      <c r="A192" t="inlineStr">
        <is>
          <t>A 49386-2024</t>
        </is>
      </c>
      <c r="B192" s="1" t="n">
        <v>45595</v>
      </c>
      <c r="C192" s="1" t="n">
        <v>46167</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11984-2024</t>
        </is>
      </c>
      <c r="B193" s="1" t="n">
        <v>45376</v>
      </c>
      <c r="C193" s="1" t="n">
        <v>46167</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53312-2025</t>
        </is>
      </c>
      <c r="B194" s="1" t="n">
        <v>45959.34450231482</v>
      </c>
      <c r="C194" s="1" t="n">
        <v>46167</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85-2026</t>
        </is>
      </c>
      <c r="B195" s="1" t="n">
        <v>46014</v>
      </c>
      <c r="C195" s="1" t="n">
        <v>46167</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46167</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40508-2025</t>
        </is>
      </c>
      <c r="B197" s="1" t="n">
        <v>45896.34465277778</v>
      </c>
      <c r="C197" s="1" t="n">
        <v>46167</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62453-2023</t>
        </is>
      </c>
      <c r="B198" s="1" t="n">
        <v>45268</v>
      </c>
      <c r="C198" s="1" t="n">
        <v>46167</v>
      </c>
      <c r="D198" t="inlineStr">
        <is>
          <t>JÄMTLANDS LÄN</t>
        </is>
      </c>
      <c r="E198" t="inlineStr">
        <is>
          <t>KROKOM</t>
        </is>
      </c>
      <c r="F198" t="inlineStr">
        <is>
          <t>Övriga Aktiebolag</t>
        </is>
      </c>
      <c r="G198" t="n">
        <v>2.2</v>
      </c>
      <c r="H198" t="n">
        <v>2</v>
      </c>
      <c r="I198" t="n">
        <v>0</v>
      </c>
      <c r="J198" t="n">
        <v>2</v>
      </c>
      <c r="K198" t="n">
        <v>0</v>
      </c>
      <c r="L198" t="n">
        <v>0</v>
      </c>
      <c r="M198" t="n">
        <v>0</v>
      </c>
      <c r="N198" t="n">
        <v>0</v>
      </c>
      <c r="O198" t="n">
        <v>2</v>
      </c>
      <c r="P198" t="n">
        <v>0</v>
      </c>
      <c r="Q198" t="n">
        <v>2</v>
      </c>
      <c r="R198" s="2" t="inlineStr">
        <is>
          <t>Spillkråka
Tretåig hackspett</t>
        </is>
      </c>
      <c r="S198">
        <f>HYPERLINK("https://klasma.github.io/Logging_2309/artfynd/A 62453-2023 artfynd.xlsx", "A 62453-2023")</f>
        <v/>
      </c>
      <c r="T198">
        <f>HYPERLINK("https://klasma.github.io/Logging_2309/kartor/A 62453-2023 karta.png", "A 62453-2023")</f>
        <v/>
      </c>
      <c r="V198">
        <f>HYPERLINK("https://klasma.github.io/Logging_2309/klagomål/A 62453-2023 FSC-klagomål.docx", "A 62453-2023")</f>
        <v/>
      </c>
      <c r="W198">
        <f>HYPERLINK("https://klasma.github.io/Logging_2309/klagomålsmail/A 62453-2023 FSC-klagomål mail.docx", "A 62453-2023")</f>
        <v/>
      </c>
      <c r="X198">
        <f>HYPERLINK("https://klasma.github.io/Logging_2309/tillsyn/A 62453-2023 tillsynsbegäran.docx", "A 62453-2023")</f>
        <v/>
      </c>
      <c r="Y198">
        <f>HYPERLINK("https://klasma.github.io/Logging_2309/tillsynsmail/A 62453-2023 tillsynsbegäran mail.docx", "A 62453-2023")</f>
        <v/>
      </c>
      <c r="Z198">
        <f>HYPERLINK("https://klasma.github.io/Logging_2309/fåglar/A 62453-2023 prioriterade fågelarter.docx", "A 62453-2023")</f>
        <v/>
      </c>
    </row>
    <row r="199" ht="15" customHeight="1">
      <c r="A199" t="inlineStr">
        <is>
          <t>A 60487-2024</t>
        </is>
      </c>
      <c r="B199" s="1" t="n">
        <v>45643.64706018518</v>
      </c>
      <c r="C199" s="1" t="n">
        <v>46167</v>
      </c>
      <c r="D199" t="inlineStr">
        <is>
          <t>JÄMTLANDS LÄN</t>
        </is>
      </c>
      <c r="E199" t="inlineStr">
        <is>
          <t>KROKOM</t>
        </is>
      </c>
      <c r="G199" t="n">
        <v>1</v>
      </c>
      <c r="H199" t="n">
        <v>1</v>
      </c>
      <c r="I199" t="n">
        <v>1</v>
      </c>
      <c r="J199" t="n">
        <v>1</v>
      </c>
      <c r="K199" t="n">
        <v>0</v>
      </c>
      <c r="L199" t="n">
        <v>0</v>
      </c>
      <c r="M199" t="n">
        <v>0</v>
      </c>
      <c r="N199" t="n">
        <v>0</v>
      </c>
      <c r="O199" t="n">
        <v>1</v>
      </c>
      <c r="P199" t="n">
        <v>0</v>
      </c>
      <c r="Q199" t="n">
        <v>2</v>
      </c>
      <c r="R199" s="2" t="inlineStr">
        <is>
          <t>Garnlav
Spindelblomster</t>
        </is>
      </c>
      <c r="S199">
        <f>HYPERLINK("https://klasma.github.io/Logging_2309/artfynd/A 60487-2024 artfynd.xlsx", "A 60487-2024")</f>
        <v/>
      </c>
      <c r="T199">
        <f>HYPERLINK("https://klasma.github.io/Logging_2309/kartor/A 60487-2024 karta.png", "A 60487-2024")</f>
        <v/>
      </c>
      <c r="V199">
        <f>HYPERLINK("https://klasma.github.io/Logging_2309/klagomål/A 60487-2024 FSC-klagomål.docx", "A 60487-2024")</f>
        <v/>
      </c>
      <c r="W199">
        <f>HYPERLINK("https://klasma.github.io/Logging_2309/klagomålsmail/A 60487-2024 FSC-klagomål mail.docx", "A 60487-2024")</f>
        <v/>
      </c>
      <c r="X199">
        <f>HYPERLINK("https://klasma.github.io/Logging_2309/tillsyn/A 60487-2024 tillsynsbegäran.docx", "A 60487-2024")</f>
        <v/>
      </c>
      <c r="Y199">
        <f>HYPERLINK("https://klasma.github.io/Logging_2309/tillsynsmail/A 60487-2024 tillsynsbegäran mail.docx", "A 60487-2024")</f>
        <v/>
      </c>
    </row>
    <row r="200" ht="15" customHeight="1">
      <c r="A200" t="inlineStr">
        <is>
          <t>A 4757-2026</t>
        </is>
      </c>
      <c r="B200" s="1" t="n">
        <v>46048</v>
      </c>
      <c r="C200" s="1" t="n">
        <v>46167</v>
      </c>
      <c r="D200" t="inlineStr">
        <is>
          <t>JÄMTLANDS LÄN</t>
        </is>
      </c>
      <c r="E200" t="inlineStr">
        <is>
          <t>KROKOM</t>
        </is>
      </c>
      <c r="G200" t="n">
        <v>5.8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4757-2026 artfynd.xlsx", "A 4757-2026")</f>
        <v/>
      </c>
      <c r="T200">
        <f>HYPERLINK("https://klasma.github.io/Logging_2309/kartor/A 4757-2026 karta.png", "A 4757-2026")</f>
        <v/>
      </c>
      <c r="V200">
        <f>HYPERLINK("https://klasma.github.io/Logging_2309/klagomål/A 4757-2026 FSC-klagomål.docx", "A 4757-2026")</f>
        <v/>
      </c>
      <c r="W200">
        <f>HYPERLINK("https://klasma.github.io/Logging_2309/klagomålsmail/A 4757-2026 FSC-klagomål mail.docx", "A 4757-2026")</f>
        <v/>
      </c>
      <c r="X200">
        <f>HYPERLINK("https://klasma.github.io/Logging_2309/tillsyn/A 4757-2026 tillsynsbegäran.docx", "A 4757-2026")</f>
        <v/>
      </c>
      <c r="Y200">
        <f>HYPERLINK("https://klasma.github.io/Logging_2309/tillsynsmail/A 4757-2026 tillsynsbegäran mail.docx", "A 4757-2026")</f>
        <v/>
      </c>
    </row>
    <row r="201" ht="15" customHeight="1">
      <c r="A201" t="inlineStr">
        <is>
          <t>A 17601-2026</t>
        </is>
      </c>
      <c r="B201" s="1" t="n">
        <v>46079</v>
      </c>
      <c r="C201" s="1" t="n">
        <v>46167</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46167</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46167</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61692-2024</t>
        </is>
      </c>
      <c r="B204" s="1" t="n">
        <v>45647</v>
      </c>
      <c r="C204" s="1" t="n">
        <v>46167</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46167</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785-2024</t>
        </is>
      </c>
      <c r="B206" s="1" t="n">
        <v>45300</v>
      </c>
      <c r="C206" s="1" t="n">
        <v>46167</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59293-2023</t>
        </is>
      </c>
      <c r="B207" s="1" t="n">
        <v>45253</v>
      </c>
      <c r="C207" s="1" t="n">
        <v>46167</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52021-2023</t>
        </is>
      </c>
      <c r="B208" s="1" t="n">
        <v>45223</v>
      </c>
      <c r="C208" s="1" t="n">
        <v>46167</v>
      </c>
      <c r="D208" t="inlineStr">
        <is>
          <t>JÄMTLANDS LÄN</t>
        </is>
      </c>
      <c r="E208" t="inlineStr">
        <is>
          <t>KROKOM</t>
        </is>
      </c>
      <c r="F208" t="inlineStr">
        <is>
          <t>Övriga Aktiebolag</t>
        </is>
      </c>
      <c r="G208" t="n">
        <v>1.5</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52021-2023 artfynd.xlsx", "A 52021-2023")</f>
        <v/>
      </c>
      <c r="T208">
        <f>HYPERLINK("https://klasma.github.io/Logging_2309/kartor/A 52021-2023 karta.png", "A 52021-2023")</f>
        <v/>
      </c>
      <c r="V208">
        <f>HYPERLINK("https://klasma.github.io/Logging_2309/klagomål/A 52021-2023 FSC-klagomål.docx", "A 52021-2023")</f>
        <v/>
      </c>
      <c r="W208">
        <f>HYPERLINK("https://klasma.github.io/Logging_2309/klagomålsmail/A 52021-2023 FSC-klagomål mail.docx", "A 52021-2023")</f>
        <v/>
      </c>
      <c r="X208">
        <f>HYPERLINK("https://klasma.github.io/Logging_2309/tillsyn/A 52021-2023 tillsynsbegäran.docx", "A 52021-2023")</f>
        <v/>
      </c>
      <c r="Y208">
        <f>HYPERLINK("https://klasma.github.io/Logging_2309/tillsynsmail/A 52021-2023 tillsynsbegäran mail.docx", "A 52021-2023")</f>
        <v/>
      </c>
      <c r="Z208">
        <f>HYPERLINK("https://klasma.github.io/Logging_2309/fåglar/A 52021-2023 prioriterade fågelarter.docx", "A 52021-2023")</f>
        <v/>
      </c>
    </row>
    <row r="209" ht="15" customHeight="1">
      <c r="A209" t="inlineStr">
        <is>
          <t>A 40236-2024</t>
        </is>
      </c>
      <c r="B209" s="1" t="n">
        <v>45554</v>
      </c>
      <c r="C209" s="1" t="n">
        <v>46167</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71571-2021</t>
        </is>
      </c>
      <c r="B210" s="1" t="n">
        <v>44540</v>
      </c>
      <c r="C210" s="1" t="n">
        <v>46167</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23730-2025</t>
        </is>
      </c>
      <c r="B211" s="1" t="n">
        <v>45793.4189699074</v>
      </c>
      <c r="C211" s="1" t="n">
        <v>46167</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46167</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46167</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46167</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46167</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46167</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46167</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46167</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46167</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46167</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46167</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46167</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804-2022</t>
        </is>
      </c>
      <c r="B223" s="1" t="n">
        <v>44568</v>
      </c>
      <c r="C223" s="1" t="n">
        <v>46167</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27753-2023</t>
        </is>
      </c>
      <c r="B224" s="1" t="n">
        <v>45098</v>
      </c>
      <c r="C224" s="1" t="n">
        <v>46167</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814-2022</t>
        </is>
      </c>
      <c r="B225" s="1" t="n">
        <v>44568</v>
      </c>
      <c r="C225" s="1" t="n">
        <v>46167</v>
      </c>
      <c r="D225" t="inlineStr">
        <is>
          <t>JÄMTLANDS LÄN</t>
        </is>
      </c>
      <c r="E225" t="inlineStr">
        <is>
          <t>KROKOM</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814-2022 artfynd.xlsx", "A 814-2022")</f>
        <v/>
      </c>
      <c r="T225">
        <f>HYPERLINK("https://klasma.github.io/Logging_2309/kartor/A 814-2022 karta.png", "A 814-2022")</f>
        <v/>
      </c>
      <c r="V225">
        <f>HYPERLINK("https://klasma.github.io/Logging_2309/klagomål/A 814-2022 FSC-klagomål.docx", "A 814-2022")</f>
        <v/>
      </c>
      <c r="W225">
        <f>HYPERLINK("https://klasma.github.io/Logging_2309/klagomålsmail/A 814-2022 FSC-klagomål mail.docx", "A 814-2022")</f>
        <v/>
      </c>
      <c r="X225">
        <f>HYPERLINK("https://klasma.github.io/Logging_2309/tillsyn/A 814-2022 tillsynsbegäran.docx", "A 814-2022")</f>
        <v/>
      </c>
      <c r="Y225">
        <f>HYPERLINK("https://klasma.github.io/Logging_2309/tillsynsmail/A 814-2022 tillsynsbegäran mail.docx", "A 814-2022")</f>
        <v/>
      </c>
      <c r="Z225">
        <f>HYPERLINK("https://klasma.github.io/Logging_2309/fåglar/A 814-2022 prioriterade fågelarter.docx", "A 814-2022")</f>
        <v/>
      </c>
    </row>
    <row r="226" ht="15" customHeight="1">
      <c r="A226" t="inlineStr">
        <is>
          <t>A 806-2022</t>
        </is>
      </c>
      <c r="B226" s="1" t="n">
        <v>44568</v>
      </c>
      <c r="C226" s="1" t="n">
        <v>46167</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42258-2023</t>
        </is>
      </c>
      <c r="B227" s="1" t="n">
        <v>45180</v>
      </c>
      <c r="C227" s="1" t="n">
        <v>46167</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34534-2025</t>
        </is>
      </c>
      <c r="B228" s="1" t="n">
        <v>45847.51078703703</v>
      </c>
      <c r="C228" s="1" t="n">
        <v>46167</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19584-2026</t>
        </is>
      </c>
      <c r="B229" s="1" t="n">
        <v>46132</v>
      </c>
      <c r="C229" s="1" t="n">
        <v>46167</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Barrviolspindling</t>
        </is>
      </c>
      <c r="S229">
        <f>HYPERLINK("https://klasma.github.io/Logging_2309/artfynd/A 19584-2026 artfynd.xlsx", "A 19584-2026")</f>
        <v/>
      </c>
      <c r="T229">
        <f>HYPERLINK("https://klasma.github.io/Logging_2309/kartor/A 19584-2026 karta.png", "A 19584-2026")</f>
        <v/>
      </c>
      <c r="V229">
        <f>HYPERLINK("https://klasma.github.io/Logging_2309/klagomål/A 19584-2026 FSC-klagomål.docx", "A 19584-2026")</f>
        <v/>
      </c>
      <c r="W229">
        <f>HYPERLINK("https://klasma.github.io/Logging_2309/klagomålsmail/A 19584-2026 FSC-klagomål mail.docx", "A 19584-2026")</f>
        <v/>
      </c>
      <c r="X229">
        <f>HYPERLINK("https://klasma.github.io/Logging_2309/tillsyn/A 19584-2026 tillsynsbegäran.docx", "A 19584-2026")</f>
        <v/>
      </c>
      <c r="Y229">
        <f>HYPERLINK("https://klasma.github.io/Logging_2309/tillsynsmail/A 19584-2026 tillsynsbegäran mail.docx", "A 19584-2026")</f>
        <v/>
      </c>
    </row>
    <row r="230" ht="15" customHeight="1">
      <c r="A230" t="inlineStr">
        <is>
          <t>A 40800-2025</t>
        </is>
      </c>
      <c r="B230" s="1" t="n">
        <v>45897.45311342592</v>
      </c>
      <c r="C230" s="1" t="n">
        <v>46167</v>
      </c>
      <c r="D230" t="inlineStr">
        <is>
          <t>JÄMTLANDS LÄN</t>
        </is>
      </c>
      <c r="E230" t="inlineStr">
        <is>
          <t>KROKOM</t>
        </is>
      </c>
      <c r="G230" t="n">
        <v>5.8</v>
      </c>
      <c r="H230" t="n">
        <v>1</v>
      </c>
      <c r="I230" t="n">
        <v>0</v>
      </c>
      <c r="J230" t="n">
        <v>0</v>
      </c>
      <c r="K230" t="n">
        <v>0</v>
      </c>
      <c r="L230" t="n">
        <v>0</v>
      </c>
      <c r="M230" t="n">
        <v>0</v>
      </c>
      <c r="N230" t="n">
        <v>0</v>
      </c>
      <c r="O230" t="n">
        <v>0</v>
      </c>
      <c r="P230" t="n">
        <v>0</v>
      </c>
      <c r="Q230" t="n">
        <v>1</v>
      </c>
      <c r="R230" s="2" t="inlineStr">
        <is>
          <t>Blåsippa</t>
        </is>
      </c>
      <c r="S230">
        <f>HYPERLINK("https://klasma.github.io/Logging_2309/artfynd/A 40800-2025 artfynd.xlsx", "A 40800-2025")</f>
        <v/>
      </c>
      <c r="T230">
        <f>HYPERLINK("https://klasma.github.io/Logging_2309/kartor/A 40800-2025 karta.png", "A 40800-2025")</f>
        <v/>
      </c>
      <c r="V230">
        <f>HYPERLINK("https://klasma.github.io/Logging_2309/klagomål/A 40800-2025 FSC-klagomål.docx", "A 40800-2025")</f>
        <v/>
      </c>
      <c r="W230">
        <f>HYPERLINK("https://klasma.github.io/Logging_2309/klagomålsmail/A 40800-2025 FSC-klagomål mail.docx", "A 40800-2025")</f>
        <v/>
      </c>
      <c r="X230">
        <f>HYPERLINK("https://klasma.github.io/Logging_2309/tillsyn/A 40800-2025 tillsynsbegäran.docx", "A 40800-2025")</f>
        <v/>
      </c>
      <c r="Y230">
        <f>HYPERLINK("https://klasma.github.io/Logging_2309/tillsynsmail/A 40800-2025 tillsynsbegäran mail.docx", "A 40800-2025")</f>
        <v/>
      </c>
    </row>
    <row r="231" ht="15" customHeight="1">
      <c r="A231" t="inlineStr">
        <is>
          <t>A 52473-2024</t>
        </is>
      </c>
      <c r="B231" s="1" t="n">
        <v>45609</v>
      </c>
      <c r="C231" s="1" t="n">
        <v>46167</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38253-2025</t>
        </is>
      </c>
      <c r="B232" s="1" t="n">
        <v>45883.37883101852</v>
      </c>
      <c r="C232" s="1" t="n">
        <v>46167</v>
      </c>
      <c r="D232" t="inlineStr">
        <is>
          <t>JÄMTLANDS LÄN</t>
        </is>
      </c>
      <c r="E232" t="inlineStr">
        <is>
          <t>KROKOM</t>
        </is>
      </c>
      <c r="G232" t="n">
        <v>5.8</v>
      </c>
      <c r="H232" t="n">
        <v>1</v>
      </c>
      <c r="I232" t="n">
        <v>0</v>
      </c>
      <c r="J232" t="n">
        <v>0</v>
      </c>
      <c r="K232" t="n">
        <v>1</v>
      </c>
      <c r="L232" t="n">
        <v>0</v>
      </c>
      <c r="M232" t="n">
        <v>0</v>
      </c>
      <c r="N232" t="n">
        <v>0</v>
      </c>
      <c r="O232" t="n">
        <v>1</v>
      </c>
      <c r="P232" t="n">
        <v>1</v>
      </c>
      <c r="Q232" t="n">
        <v>1</v>
      </c>
      <c r="R232" s="2" t="inlineStr">
        <is>
          <t>Knärot</t>
        </is>
      </c>
      <c r="S232">
        <f>HYPERLINK("https://klasma.github.io/Logging_2309/artfynd/A 38253-2025 artfynd.xlsx", "A 38253-2025")</f>
        <v/>
      </c>
      <c r="T232">
        <f>HYPERLINK("https://klasma.github.io/Logging_2309/kartor/A 38253-2025 karta.png", "A 38253-2025")</f>
        <v/>
      </c>
      <c r="U232">
        <f>HYPERLINK("https://klasma.github.io/Logging_2309/knärot/A 38253-2025 karta knärot.png", "A 38253-2025")</f>
        <v/>
      </c>
      <c r="V232">
        <f>HYPERLINK("https://klasma.github.io/Logging_2309/klagomål/A 38253-2025 FSC-klagomål.docx", "A 38253-2025")</f>
        <v/>
      </c>
      <c r="W232">
        <f>HYPERLINK("https://klasma.github.io/Logging_2309/klagomålsmail/A 38253-2025 FSC-klagomål mail.docx", "A 38253-2025")</f>
        <v/>
      </c>
      <c r="X232">
        <f>HYPERLINK("https://klasma.github.io/Logging_2309/tillsyn/A 38253-2025 tillsynsbegäran.docx", "A 38253-2025")</f>
        <v/>
      </c>
      <c r="Y232">
        <f>HYPERLINK("https://klasma.github.io/Logging_2309/tillsynsmail/A 38253-2025 tillsynsbegäran mail.docx", "A 38253-2025")</f>
        <v/>
      </c>
    </row>
    <row r="233" ht="15" customHeight="1">
      <c r="A233" t="inlineStr">
        <is>
          <t>A 44645-2025</t>
        </is>
      </c>
      <c r="B233" s="1" t="n">
        <v>45917.53457175926</v>
      </c>
      <c r="C233" s="1" t="n">
        <v>46167</v>
      </c>
      <c r="D233" t="inlineStr">
        <is>
          <t>JÄMTLANDS LÄN</t>
        </is>
      </c>
      <c r="E233" t="inlineStr">
        <is>
          <t>KROKOM</t>
        </is>
      </c>
      <c r="G233" t="n">
        <v>4.7</v>
      </c>
      <c r="H233" t="n">
        <v>0</v>
      </c>
      <c r="I233" t="n">
        <v>0</v>
      </c>
      <c r="J233" t="n">
        <v>1</v>
      </c>
      <c r="K233" t="n">
        <v>0</v>
      </c>
      <c r="L233" t="n">
        <v>0</v>
      </c>
      <c r="M233" t="n">
        <v>0</v>
      </c>
      <c r="N233" t="n">
        <v>0</v>
      </c>
      <c r="O233" t="n">
        <v>1</v>
      </c>
      <c r="P233" t="n">
        <v>0</v>
      </c>
      <c r="Q233" t="n">
        <v>1</v>
      </c>
      <c r="R233" s="2" t="inlineStr">
        <is>
          <t>Garnlav</t>
        </is>
      </c>
      <c r="S233">
        <f>HYPERLINK("https://klasma.github.io/Logging_2309/artfynd/A 44645-2025 artfynd.xlsx", "A 44645-2025")</f>
        <v/>
      </c>
      <c r="T233">
        <f>HYPERLINK("https://klasma.github.io/Logging_2309/kartor/A 44645-2025 karta.png", "A 44645-2025")</f>
        <v/>
      </c>
      <c r="V233">
        <f>HYPERLINK("https://klasma.github.io/Logging_2309/klagomål/A 44645-2025 FSC-klagomål.docx", "A 44645-2025")</f>
        <v/>
      </c>
      <c r="W233">
        <f>HYPERLINK("https://klasma.github.io/Logging_2309/klagomålsmail/A 44645-2025 FSC-klagomål mail.docx", "A 44645-2025")</f>
        <v/>
      </c>
      <c r="X233">
        <f>HYPERLINK("https://klasma.github.io/Logging_2309/tillsyn/A 44645-2025 tillsynsbegäran.docx", "A 44645-2025")</f>
        <v/>
      </c>
      <c r="Y233">
        <f>HYPERLINK("https://klasma.github.io/Logging_2309/tillsynsmail/A 44645-2025 tillsynsbegäran mail.docx", "A 44645-2025")</f>
        <v/>
      </c>
    </row>
    <row r="234" ht="15" customHeight="1">
      <c r="A234" t="inlineStr">
        <is>
          <t>A 71574-2021</t>
        </is>
      </c>
      <c r="B234" s="1" t="n">
        <v>44540</v>
      </c>
      <c r="C234" s="1" t="n">
        <v>46167</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34520-2025</t>
        </is>
      </c>
      <c r="B235" s="1" t="n">
        <v>45847.46962962963</v>
      </c>
      <c r="C235" s="1" t="n">
        <v>46167</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16426-2024</t>
        </is>
      </c>
      <c r="B236" s="1" t="n">
        <v>45407</v>
      </c>
      <c r="C236" s="1" t="n">
        <v>46167</v>
      </c>
      <c r="D236" t="inlineStr">
        <is>
          <t>JÄMTLANDS LÄN</t>
        </is>
      </c>
      <c r="E236" t="inlineStr">
        <is>
          <t>KROKOM</t>
        </is>
      </c>
      <c r="G236" t="n">
        <v>1.3</v>
      </c>
      <c r="H236" t="n">
        <v>0</v>
      </c>
      <c r="I236" t="n">
        <v>0</v>
      </c>
      <c r="J236" t="n">
        <v>1</v>
      </c>
      <c r="K236" t="n">
        <v>0</v>
      </c>
      <c r="L236" t="n">
        <v>0</v>
      </c>
      <c r="M236" t="n">
        <v>0</v>
      </c>
      <c r="N236" t="n">
        <v>0</v>
      </c>
      <c r="O236" t="n">
        <v>1</v>
      </c>
      <c r="P236" t="n">
        <v>0</v>
      </c>
      <c r="Q236" t="n">
        <v>1</v>
      </c>
      <c r="R236" s="2" t="inlineStr">
        <is>
          <t>Slåtterfibbla</t>
        </is>
      </c>
      <c r="S236">
        <f>HYPERLINK("https://klasma.github.io/Logging_2309/artfynd/A 16426-2024 artfynd.xlsx", "A 16426-2024")</f>
        <v/>
      </c>
      <c r="T236">
        <f>HYPERLINK("https://klasma.github.io/Logging_2309/kartor/A 16426-2024 karta.png", "A 16426-2024")</f>
        <v/>
      </c>
      <c r="V236">
        <f>HYPERLINK("https://klasma.github.io/Logging_2309/klagomål/A 16426-2024 FSC-klagomål.docx", "A 16426-2024")</f>
        <v/>
      </c>
      <c r="W236">
        <f>HYPERLINK("https://klasma.github.io/Logging_2309/klagomålsmail/A 16426-2024 FSC-klagomål mail.docx", "A 16426-2024")</f>
        <v/>
      </c>
      <c r="X236">
        <f>HYPERLINK("https://klasma.github.io/Logging_2309/tillsyn/A 16426-2024 tillsynsbegäran.docx", "A 16426-2024")</f>
        <v/>
      </c>
      <c r="Y236">
        <f>HYPERLINK("https://klasma.github.io/Logging_2309/tillsynsmail/A 16426-2024 tillsynsbegäran mail.docx", "A 16426-2024")</f>
        <v/>
      </c>
    </row>
    <row r="237" ht="15" customHeight="1">
      <c r="A237" t="inlineStr">
        <is>
          <t>A 11413-2022</t>
        </is>
      </c>
      <c r="B237" s="1" t="n">
        <v>44630</v>
      </c>
      <c r="C237" s="1" t="n">
        <v>46167</v>
      </c>
      <c r="D237" t="inlineStr">
        <is>
          <t>JÄMTLANDS LÄN</t>
        </is>
      </c>
      <c r="E237" t="inlineStr">
        <is>
          <t>KROKOM</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HYPERLINK("https://klasma.github.io/Logging_2309/artfynd/A 11413-2022 artfynd.xlsx", "A 11413-2022")</f>
        <v/>
      </c>
      <c r="T237">
        <f>HYPERLINK("https://klasma.github.io/Logging_2309/kartor/A 11413-2022 karta.png", "A 11413-2022")</f>
        <v/>
      </c>
      <c r="V237">
        <f>HYPERLINK("https://klasma.github.io/Logging_2309/klagomål/A 11413-2022 FSC-klagomål.docx", "A 11413-2022")</f>
        <v/>
      </c>
      <c r="W237">
        <f>HYPERLINK("https://klasma.github.io/Logging_2309/klagomålsmail/A 11413-2022 FSC-klagomål mail.docx", "A 11413-2022")</f>
        <v/>
      </c>
      <c r="X237">
        <f>HYPERLINK("https://klasma.github.io/Logging_2309/tillsyn/A 11413-2022 tillsynsbegäran.docx", "A 11413-2022")</f>
        <v/>
      </c>
      <c r="Y237">
        <f>HYPERLINK("https://klasma.github.io/Logging_2309/tillsynsmail/A 11413-2022 tillsynsbegäran mail.docx", "A 11413-2022")</f>
        <v/>
      </c>
      <c r="Z237">
        <f>HYPERLINK("https://klasma.github.io/Logging_2309/fåglar/A 11413-2022 prioriterade fågelarter.docx", "A 11413-2022")</f>
        <v/>
      </c>
    </row>
    <row r="238" ht="15" customHeight="1">
      <c r="A238" t="inlineStr">
        <is>
          <t>A 4348-2025</t>
        </is>
      </c>
      <c r="B238" s="1" t="n">
        <v>45686.27208333334</v>
      </c>
      <c r="C238" s="1" t="n">
        <v>46167</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4348-2025 artfynd.xlsx", "A 4348-2025")</f>
        <v/>
      </c>
      <c r="T238">
        <f>HYPERLINK("https://klasma.github.io/Logging_2309/kartor/A 4348-2025 karta.png", "A 4348-2025")</f>
        <v/>
      </c>
      <c r="V238">
        <f>HYPERLINK("https://klasma.github.io/Logging_2309/klagomål/A 4348-2025 FSC-klagomål.docx", "A 4348-2025")</f>
        <v/>
      </c>
      <c r="W238">
        <f>HYPERLINK("https://klasma.github.io/Logging_2309/klagomålsmail/A 4348-2025 FSC-klagomål mail.docx", "A 4348-2025")</f>
        <v/>
      </c>
      <c r="X238">
        <f>HYPERLINK("https://klasma.github.io/Logging_2309/tillsyn/A 4348-2025 tillsynsbegäran.docx", "A 4348-2025")</f>
        <v/>
      </c>
      <c r="Y238">
        <f>HYPERLINK("https://klasma.github.io/Logging_2309/tillsynsmail/A 4348-2025 tillsynsbegäran mail.docx", "A 4348-2025")</f>
        <v/>
      </c>
    </row>
    <row r="239" ht="15" customHeight="1">
      <c r="A239" t="inlineStr">
        <is>
          <t>A 48462-2025</t>
        </is>
      </c>
      <c r="B239" s="1" t="n">
        <v>45936.31701388889</v>
      </c>
      <c r="C239" s="1" t="n">
        <v>46167</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49387-2024</t>
        </is>
      </c>
      <c r="B240" s="1" t="n">
        <v>45595</v>
      </c>
      <c r="C240" s="1" t="n">
        <v>46167</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49385-2024</t>
        </is>
      </c>
      <c r="B241" s="1" t="n">
        <v>45595</v>
      </c>
      <c r="C241" s="1" t="n">
        <v>46167</v>
      </c>
      <c r="D241" t="inlineStr">
        <is>
          <t>JÄMTLANDS LÄN</t>
        </is>
      </c>
      <c r="E241" t="inlineStr">
        <is>
          <t>KROKOM</t>
        </is>
      </c>
      <c r="G241" t="n">
        <v>10.5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49385-2024 artfynd.xlsx", "A 49385-2024")</f>
        <v/>
      </c>
      <c r="T241">
        <f>HYPERLINK("https://klasma.github.io/Logging_2309/kartor/A 49385-2024 karta.png", "A 49385-2024")</f>
        <v/>
      </c>
      <c r="V241">
        <f>HYPERLINK("https://klasma.github.io/Logging_2309/klagomål/A 49385-2024 FSC-klagomål.docx", "A 49385-2024")</f>
        <v/>
      </c>
      <c r="W241">
        <f>HYPERLINK("https://klasma.github.io/Logging_2309/klagomålsmail/A 49385-2024 FSC-klagomål mail.docx", "A 49385-2024")</f>
        <v/>
      </c>
      <c r="X241">
        <f>HYPERLINK("https://klasma.github.io/Logging_2309/tillsyn/A 49385-2024 tillsynsbegäran.docx", "A 49385-2024")</f>
        <v/>
      </c>
      <c r="Y241">
        <f>HYPERLINK("https://klasma.github.io/Logging_2309/tillsynsmail/A 49385-2024 tillsynsbegäran mail.docx", "A 49385-2024")</f>
        <v/>
      </c>
      <c r="Z241">
        <f>HYPERLINK("https://klasma.github.io/Logging_2309/fåglar/A 49385-2024 prioriterade fågelarter.docx", "A 49385-2024")</f>
        <v/>
      </c>
    </row>
    <row r="242" ht="15" customHeight="1">
      <c r="A242" t="inlineStr">
        <is>
          <t>A 6705-2025</t>
        </is>
      </c>
      <c r="B242" s="1" t="n">
        <v>45700</v>
      </c>
      <c r="C242" s="1" t="n">
        <v>46167</v>
      </c>
      <c r="D242" t="inlineStr">
        <is>
          <t>JÄMTLANDS LÄN</t>
        </is>
      </c>
      <c r="E242" t="inlineStr">
        <is>
          <t>KROKOM</t>
        </is>
      </c>
      <c r="G242" t="n">
        <v>20.4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6705-2025 artfynd.xlsx", "A 6705-2025")</f>
        <v/>
      </c>
      <c r="T242">
        <f>HYPERLINK("https://klasma.github.io/Logging_2309/kartor/A 6705-2025 karta.png", "A 6705-2025")</f>
        <v/>
      </c>
      <c r="V242">
        <f>HYPERLINK("https://klasma.github.io/Logging_2309/klagomål/A 6705-2025 FSC-klagomål.docx", "A 6705-2025")</f>
        <v/>
      </c>
      <c r="W242">
        <f>HYPERLINK("https://klasma.github.io/Logging_2309/klagomålsmail/A 6705-2025 FSC-klagomål mail.docx", "A 6705-2025")</f>
        <v/>
      </c>
      <c r="X242">
        <f>HYPERLINK("https://klasma.github.io/Logging_2309/tillsyn/A 6705-2025 tillsynsbegäran.docx", "A 6705-2025")</f>
        <v/>
      </c>
      <c r="Y242">
        <f>HYPERLINK("https://klasma.github.io/Logging_2309/tillsynsmail/A 6705-2025 tillsynsbegäran mail.docx", "A 6705-2025")</f>
        <v/>
      </c>
      <c r="Z242">
        <f>HYPERLINK("https://klasma.github.io/Logging_2309/fåglar/A 6705-2025 prioriterade fågelarter.docx", "A 6705-2025")</f>
        <v/>
      </c>
    </row>
    <row r="243" ht="15" customHeight="1">
      <c r="A243" t="inlineStr">
        <is>
          <t>A 7208-2025</t>
        </is>
      </c>
      <c r="B243" s="1" t="n">
        <v>45702.47149305556</v>
      </c>
      <c r="C243" s="1" t="n">
        <v>46167</v>
      </c>
      <c r="D243" t="inlineStr">
        <is>
          <t>JÄMTLANDS LÄN</t>
        </is>
      </c>
      <c r="E243" t="inlineStr">
        <is>
          <t>KROKOM</t>
        </is>
      </c>
      <c r="F243" t="inlineStr">
        <is>
          <t>Övriga Aktiebolag</t>
        </is>
      </c>
      <c r="G243" t="n">
        <v>39.4</v>
      </c>
      <c r="H243" t="n">
        <v>0</v>
      </c>
      <c r="I243" t="n">
        <v>0</v>
      </c>
      <c r="J243" t="n">
        <v>1</v>
      </c>
      <c r="K243" t="n">
        <v>0</v>
      </c>
      <c r="L243" t="n">
        <v>0</v>
      </c>
      <c r="M243" t="n">
        <v>0</v>
      </c>
      <c r="N243" t="n">
        <v>0</v>
      </c>
      <c r="O243" t="n">
        <v>1</v>
      </c>
      <c r="P243" t="n">
        <v>0</v>
      </c>
      <c r="Q243" t="n">
        <v>1</v>
      </c>
      <c r="R243" s="2" t="inlineStr">
        <is>
          <t>Ullticka</t>
        </is>
      </c>
      <c r="S243">
        <f>HYPERLINK("https://klasma.github.io/Logging_2309/artfynd/A 7208-2025 artfynd.xlsx", "A 7208-2025")</f>
        <v/>
      </c>
      <c r="T243">
        <f>HYPERLINK("https://klasma.github.io/Logging_2309/kartor/A 7208-2025 karta.png", "A 7208-2025")</f>
        <v/>
      </c>
      <c r="V243">
        <f>HYPERLINK("https://klasma.github.io/Logging_2309/klagomål/A 7208-2025 FSC-klagomål.docx", "A 7208-2025")</f>
        <v/>
      </c>
      <c r="W243">
        <f>HYPERLINK("https://klasma.github.io/Logging_2309/klagomålsmail/A 7208-2025 FSC-klagomål mail.docx", "A 7208-2025")</f>
        <v/>
      </c>
      <c r="X243">
        <f>HYPERLINK("https://klasma.github.io/Logging_2309/tillsyn/A 7208-2025 tillsynsbegäran.docx", "A 7208-2025")</f>
        <v/>
      </c>
      <c r="Y243">
        <f>HYPERLINK("https://klasma.github.io/Logging_2309/tillsynsmail/A 7208-2025 tillsynsbegäran mail.docx", "A 7208-2025")</f>
        <v/>
      </c>
    </row>
    <row r="244" ht="15" customHeight="1">
      <c r="A244" t="inlineStr">
        <is>
          <t>A 32465-2025</t>
        </is>
      </c>
      <c r="B244" s="1" t="n">
        <v>45838</v>
      </c>
      <c r="C244" s="1" t="n">
        <v>46167</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16125-2025</t>
        </is>
      </c>
      <c r="B245" s="1" t="n">
        <v>45750.42127314815</v>
      </c>
      <c r="C245" s="1" t="n">
        <v>46167</v>
      </c>
      <c r="D245" t="inlineStr">
        <is>
          <t>JÄMTLANDS LÄN</t>
        </is>
      </c>
      <c r="E245" t="inlineStr">
        <is>
          <t>KROKOM</t>
        </is>
      </c>
      <c r="G245" t="n">
        <v>1.5</v>
      </c>
      <c r="H245" t="n">
        <v>0</v>
      </c>
      <c r="I245" t="n">
        <v>0</v>
      </c>
      <c r="J245" t="n">
        <v>1</v>
      </c>
      <c r="K245" t="n">
        <v>0</v>
      </c>
      <c r="L245" t="n">
        <v>0</v>
      </c>
      <c r="M245" t="n">
        <v>0</v>
      </c>
      <c r="N245" t="n">
        <v>0</v>
      </c>
      <c r="O245" t="n">
        <v>1</v>
      </c>
      <c r="P245" t="n">
        <v>0</v>
      </c>
      <c r="Q245" t="n">
        <v>1</v>
      </c>
      <c r="R245" s="2" t="inlineStr">
        <is>
          <t>Månlåsbräken</t>
        </is>
      </c>
      <c r="S245">
        <f>HYPERLINK("https://klasma.github.io/Logging_2309/artfynd/A 16125-2025 artfynd.xlsx", "A 16125-2025")</f>
        <v/>
      </c>
      <c r="T245">
        <f>HYPERLINK("https://klasma.github.io/Logging_2309/kartor/A 16125-2025 karta.png", "A 16125-2025")</f>
        <v/>
      </c>
      <c r="V245">
        <f>HYPERLINK("https://klasma.github.io/Logging_2309/klagomål/A 16125-2025 FSC-klagomål.docx", "A 16125-2025")</f>
        <v/>
      </c>
      <c r="W245">
        <f>HYPERLINK("https://klasma.github.io/Logging_2309/klagomålsmail/A 16125-2025 FSC-klagomål mail.docx", "A 16125-2025")</f>
        <v/>
      </c>
      <c r="X245">
        <f>HYPERLINK("https://klasma.github.io/Logging_2309/tillsyn/A 16125-2025 tillsynsbegäran.docx", "A 16125-2025")</f>
        <v/>
      </c>
      <c r="Y245">
        <f>HYPERLINK("https://klasma.github.io/Logging_2309/tillsynsmail/A 16125-2025 tillsynsbegäran mail.docx", "A 16125-2025")</f>
        <v/>
      </c>
    </row>
    <row r="246" ht="15" customHeight="1">
      <c r="A246" t="inlineStr">
        <is>
          <t>A 58012-2025</t>
        </is>
      </c>
      <c r="B246" s="1" t="n">
        <v>45982.46929398148</v>
      </c>
      <c r="C246" s="1" t="n">
        <v>46167</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61377-2025</t>
        </is>
      </c>
      <c r="B247" s="1" t="n">
        <v>46001.44233796297</v>
      </c>
      <c r="C247" s="1" t="n">
        <v>46167</v>
      </c>
      <c r="D247" t="inlineStr">
        <is>
          <t>JÄMTLANDS LÄN</t>
        </is>
      </c>
      <c r="E247" t="inlineStr">
        <is>
          <t>KROKOM</t>
        </is>
      </c>
      <c r="G247" t="n">
        <v>11.8</v>
      </c>
      <c r="H247" t="n">
        <v>0</v>
      </c>
      <c r="I247" t="n">
        <v>0</v>
      </c>
      <c r="J247" t="n">
        <v>1</v>
      </c>
      <c r="K247" t="n">
        <v>0</v>
      </c>
      <c r="L247" t="n">
        <v>0</v>
      </c>
      <c r="M247" t="n">
        <v>0</v>
      </c>
      <c r="N247" t="n">
        <v>0</v>
      </c>
      <c r="O247" t="n">
        <v>1</v>
      </c>
      <c r="P247" t="n">
        <v>0</v>
      </c>
      <c r="Q247" t="n">
        <v>1</v>
      </c>
      <c r="R247" s="2" t="inlineStr">
        <is>
          <t>Garnlav</t>
        </is>
      </c>
      <c r="S247">
        <f>HYPERLINK("https://klasma.github.io/Logging_2309/artfynd/A 61377-2025 artfynd.xlsx", "A 61377-2025")</f>
        <v/>
      </c>
      <c r="T247">
        <f>HYPERLINK("https://klasma.github.io/Logging_2309/kartor/A 61377-2025 karta.png", "A 61377-2025")</f>
        <v/>
      </c>
      <c r="V247">
        <f>HYPERLINK("https://klasma.github.io/Logging_2309/klagomål/A 61377-2025 FSC-klagomål.docx", "A 61377-2025")</f>
        <v/>
      </c>
      <c r="W247">
        <f>HYPERLINK("https://klasma.github.io/Logging_2309/klagomålsmail/A 61377-2025 FSC-klagomål mail.docx", "A 61377-2025")</f>
        <v/>
      </c>
      <c r="X247">
        <f>HYPERLINK("https://klasma.github.io/Logging_2309/tillsyn/A 61377-2025 tillsynsbegäran.docx", "A 61377-2025")</f>
        <v/>
      </c>
      <c r="Y247">
        <f>HYPERLINK("https://klasma.github.io/Logging_2309/tillsynsmail/A 61377-2025 tillsynsbegäran mail.docx", "A 61377-2025")</f>
        <v/>
      </c>
    </row>
    <row r="248" ht="15" customHeight="1">
      <c r="A248" t="inlineStr">
        <is>
          <t>A 61378-2025</t>
        </is>
      </c>
      <c r="B248" s="1" t="n">
        <v>46001.44364583334</v>
      </c>
      <c r="C248" s="1" t="n">
        <v>46167</v>
      </c>
      <c r="D248" t="inlineStr">
        <is>
          <t>JÄMTLANDS LÄN</t>
        </is>
      </c>
      <c r="E248" t="inlineStr">
        <is>
          <t>KROKOM</t>
        </is>
      </c>
      <c r="G248" t="n">
        <v>20.6</v>
      </c>
      <c r="H248" t="n">
        <v>0</v>
      </c>
      <c r="I248" t="n">
        <v>0</v>
      </c>
      <c r="J248" t="n">
        <v>1</v>
      </c>
      <c r="K248" t="n">
        <v>0</v>
      </c>
      <c r="L248" t="n">
        <v>0</v>
      </c>
      <c r="M248" t="n">
        <v>0</v>
      </c>
      <c r="N248" t="n">
        <v>0</v>
      </c>
      <c r="O248" t="n">
        <v>1</v>
      </c>
      <c r="P248" t="n">
        <v>0</v>
      </c>
      <c r="Q248" t="n">
        <v>1</v>
      </c>
      <c r="R248" s="2" t="inlineStr">
        <is>
          <t>Garnlav</t>
        </is>
      </c>
      <c r="S248">
        <f>HYPERLINK("https://klasma.github.io/Logging_2309/artfynd/A 61378-2025 artfynd.xlsx", "A 61378-2025")</f>
        <v/>
      </c>
      <c r="T248">
        <f>HYPERLINK("https://klasma.github.io/Logging_2309/kartor/A 61378-2025 karta.png", "A 61378-2025")</f>
        <v/>
      </c>
      <c r="V248">
        <f>HYPERLINK("https://klasma.github.io/Logging_2309/klagomål/A 61378-2025 FSC-klagomål.docx", "A 61378-2025")</f>
        <v/>
      </c>
      <c r="W248">
        <f>HYPERLINK("https://klasma.github.io/Logging_2309/klagomålsmail/A 61378-2025 FSC-klagomål mail.docx", "A 61378-2025")</f>
        <v/>
      </c>
      <c r="X248">
        <f>HYPERLINK("https://klasma.github.io/Logging_2309/tillsyn/A 61378-2025 tillsynsbegäran.docx", "A 61378-2025")</f>
        <v/>
      </c>
      <c r="Y248">
        <f>HYPERLINK("https://klasma.github.io/Logging_2309/tillsynsmail/A 61378-2025 tillsynsbegäran mail.docx", "A 61378-2025")</f>
        <v/>
      </c>
    </row>
    <row r="249" ht="15" customHeight="1">
      <c r="A249" t="inlineStr">
        <is>
          <t>A 56628-2023</t>
        </is>
      </c>
      <c r="B249" s="1" t="n">
        <v>45243</v>
      </c>
      <c r="C249" s="1" t="n">
        <v>46167</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5188-2026</t>
        </is>
      </c>
      <c r="B250" s="1" t="n">
        <v>46048</v>
      </c>
      <c r="C250" s="1" t="n">
        <v>46167</v>
      </c>
      <c r="D250" t="inlineStr">
        <is>
          <t>JÄMTLANDS LÄN</t>
        </is>
      </c>
      <c r="E250" t="inlineStr">
        <is>
          <t>KROKOM</t>
        </is>
      </c>
      <c r="G250" t="n">
        <v>2.1</v>
      </c>
      <c r="H250" t="n">
        <v>0</v>
      </c>
      <c r="I250" t="n">
        <v>0</v>
      </c>
      <c r="J250" t="n">
        <v>1</v>
      </c>
      <c r="K250" t="n">
        <v>0</v>
      </c>
      <c r="L250" t="n">
        <v>0</v>
      </c>
      <c r="M250" t="n">
        <v>0</v>
      </c>
      <c r="N250" t="n">
        <v>0</v>
      </c>
      <c r="O250" t="n">
        <v>1</v>
      </c>
      <c r="P250" t="n">
        <v>0</v>
      </c>
      <c r="Q250" t="n">
        <v>1</v>
      </c>
      <c r="R250" s="2" t="inlineStr">
        <is>
          <t>Kungsspindel</t>
        </is>
      </c>
      <c r="S250">
        <f>HYPERLINK("https://klasma.github.io/Logging_2309/artfynd/A 5188-2026 artfynd.xlsx", "A 5188-2026")</f>
        <v/>
      </c>
      <c r="T250">
        <f>HYPERLINK("https://klasma.github.io/Logging_2309/kartor/A 5188-2026 karta.png", "A 5188-2026")</f>
        <v/>
      </c>
      <c r="V250">
        <f>HYPERLINK("https://klasma.github.io/Logging_2309/klagomål/A 5188-2026 FSC-klagomål.docx", "A 5188-2026")</f>
        <v/>
      </c>
      <c r="W250">
        <f>HYPERLINK("https://klasma.github.io/Logging_2309/klagomålsmail/A 5188-2026 FSC-klagomål mail.docx", "A 5188-2026")</f>
        <v/>
      </c>
      <c r="X250">
        <f>HYPERLINK("https://klasma.github.io/Logging_2309/tillsyn/A 5188-2026 tillsynsbegäran.docx", "A 5188-2026")</f>
        <v/>
      </c>
      <c r="Y250">
        <f>HYPERLINK("https://klasma.github.io/Logging_2309/tillsynsmail/A 5188-2026 tillsynsbegäran mail.docx", "A 5188-2026")</f>
        <v/>
      </c>
    </row>
    <row r="251" ht="15" customHeight="1">
      <c r="A251" t="inlineStr">
        <is>
          <t>A 62936-2023</t>
        </is>
      </c>
      <c r="B251" s="1" t="n">
        <v>45271</v>
      </c>
      <c r="C251" s="1" t="n">
        <v>46167</v>
      </c>
      <c r="D251" t="inlineStr">
        <is>
          <t>JÄMTLANDS LÄN</t>
        </is>
      </c>
      <c r="E251" t="inlineStr">
        <is>
          <t>KROKOM</t>
        </is>
      </c>
      <c r="G251" t="n">
        <v>33.9</v>
      </c>
      <c r="H251" t="n">
        <v>0</v>
      </c>
      <c r="I251" t="n">
        <v>1</v>
      </c>
      <c r="J251" t="n">
        <v>0</v>
      </c>
      <c r="K251" t="n">
        <v>0</v>
      </c>
      <c r="L251" t="n">
        <v>0</v>
      </c>
      <c r="M251" t="n">
        <v>0</v>
      </c>
      <c r="N251" t="n">
        <v>0</v>
      </c>
      <c r="O251" t="n">
        <v>0</v>
      </c>
      <c r="P251" t="n">
        <v>0</v>
      </c>
      <c r="Q251" t="n">
        <v>1</v>
      </c>
      <c r="R251" s="2" t="inlineStr">
        <is>
          <t>Stuplav</t>
        </is>
      </c>
      <c r="S251">
        <f>HYPERLINK("https://klasma.github.io/Logging_2309/artfynd/A 62936-2023 artfynd.xlsx", "A 62936-2023")</f>
        <v/>
      </c>
      <c r="T251">
        <f>HYPERLINK("https://klasma.github.io/Logging_2309/kartor/A 62936-2023 karta.png", "A 62936-2023")</f>
        <v/>
      </c>
      <c r="V251">
        <f>HYPERLINK("https://klasma.github.io/Logging_2309/klagomål/A 62936-2023 FSC-klagomål.docx", "A 62936-2023")</f>
        <v/>
      </c>
      <c r="W251">
        <f>HYPERLINK("https://klasma.github.io/Logging_2309/klagomålsmail/A 62936-2023 FSC-klagomål mail.docx", "A 62936-2023")</f>
        <v/>
      </c>
      <c r="X251">
        <f>HYPERLINK("https://klasma.github.io/Logging_2309/tillsyn/A 62936-2023 tillsynsbegäran.docx", "A 62936-2023")</f>
        <v/>
      </c>
      <c r="Y251">
        <f>HYPERLINK("https://klasma.github.io/Logging_2309/tillsynsmail/A 62936-2023 tillsynsbegäran mail.docx", "A 62936-2023")</f>
        <v/>
      </c>
    </row>
    <row r="252" ht="15" customHeight="1">
      <c r="A252" t="inlineStr">
        <is>
          <t>A 61451-2025</t>
        </is>
      </c>
      <c r="B252" s="1" t="n">
        <v>46001.57850694445</v>
      </c>
      <c r="C252" s="1" t="n">
        <v>46167</v>
      </c>
      <c r="D252" t="inlineStr">
        <is>
          <t>JÄMTLANDS LÄN</t>
        </is>
      </c>
      <c r="E252" t="inlineStr">
        <is>
          <t>KROKOM</t>
        </is>
      </c>
      <c r="G252" t="n">
        <v>3.4</v>
      </c>
      <c r="H252" t="n">
        <v>0</v>
      </c>
      <c r="I252" t="n">
        <v>1</v>
      </c>
      <c r="J252" t="n">
        <v>0</v>
      </c>
      <c r="K252" t="n">
        <v>0</v>
      </c>
      <c r="L252" t="n">
        <v>0</v>
      </c>
      <c r="M252" t="n">
        <v>0</v>
      </c>
      <c r="N252" t="n">
        <v>0</v>
      </c>
      <c r="O252" t="n">
        <v>0</v>
      </c>
      <c r="P252" t="n">
        <v>0</v>
      </c>
      <c r="Q252" t="n">
        <v>1</v>
      </c>
      <c r="R252" s="2" t="inlineStr">
        <is>
          <t>Spädstarr</t>
        </is>
      </c>
      <c r="S252">
        <f>HYPERLINK("https://klasma.github.io/Logging_2309/artfynd/A 61451-2025 artfynd.xlsx", "A 61451-2025")</f>
        <v/>
      </c>
      <c r="T252">
        <f>HYPERLINK("https://klasma.github.io/Logging_2309/kartor/A 61451-2025 karta.png", "A 61451-2025")</f>
        <v/>
      </c>
      <c r="V252">
        <f>HYPERLINK("https://klasma.github.io/Logging_2309/klagomål/A 61451-2025 FSC-klagomål.docx", "A 61451-2025")</f>
        <v/>
      </c>
      <c r="W252">
        <f>HYPERLINK("https://klasma.github.io/Logging_2309/klagomålsmail/A 61451-2025 FSC-klagomål mail.docx", "A 61451-2025")</f>
        <v/>
      </c>
      <c r="X252">
        <f>HYPERLINK("https://klasma.github.io/Logging_2309/tillsyn/A 61451-2025 tillsynsbegäran.docx", "A 61451-2025")</f>
        <v/>
      </c>
      <c r="Y252">
        <f>HYPERLINK("https://klasma.github.io/Logging_2309/tillsynsmail/A 61451-2025 tillsynsbegäran mail.docx", "A 61451-2025")</f>
        <v/>
      </c>
    </row>
    <row r="253" ht="15" customHeight="1">
      <c r="A253" t="inlineStr">
        <is>
          <t>A 30771-2023</t>
        </is>
      </c>
      <c r="B253" s="1" t="n">
        <v>45112</v>
      </c>
      <c r="C253" s="1" t="n">
        <v>46167</v>
      </c>
      <c r="D253" t="inlineStr">
        <is>
          <t>JÄMTLANDS LÄN</t>
        </is>
      </c>
      <c r="E253" t="inlineStr">
        <is>
          <t>KROKOM</t>
        </is>
      </c>
      <c r="G253" t="n">
        <v>10.6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30771-2023 artfynd.xlsx", "A 30771-2023")</f>
        <v/>
      </c>
      <c r="T253">
        <f>HYPERLINK("https://klasma.github.io/Logging_2309/kartor/A 30771-2023 karta.png", "A 30771-2023")</f>
        <v/>
      </c>
      <c r="V253">
        <f>HYPERLINK("https://klasma.github.io/Logging_2309/klagomål/A 30771-2023 FSC-klagomål.docx", "A 30771-2023")</f>
        <v/>
      </c>
      <c r="W253">
        <f>HYPERLINK("https://klasma.github.io/Logging_2309/klagomålsmail/A 30771-2023 FSC-klagomål mail.docx", "A 30771-2023")</f>
        <v/>
      </c>
      <c r="X253">
        <f>HYPERLINK("https://klasma.github.io/Logging_2309/tillsyn/A 30771-2023 tillsynsbegäran.docx", "A 30771-2023")</f>
        <v/>
      </c>
      <c r="Y253">
        <f>HYPERLINK("https://klasma.github.io/Logging_2309/tillsynsmail/A 30771-2023 tillsynsbegäran mail.docx", "A 30771-2023")</f>
        <v/>
      </c>
      <c r="Z253">
        <f>HYPERLINK("https://klasma.github.io/Logging_2309/fåglar/A 30771-2023 prioriterade fågelarter.docx", "A 30771-2023")</f>
        <v/>
      </c>
    </row>
    <row r="254" ht="15" customHeight="1">
      <c r="A254" t="inlineStr">
        <is>
          <t>A 49175-2024</t>
        </is>
      </c>
      <c r="B254" s="1" t="n">
        <v>45595</v>
      </c>
      <c r="C254" s="1" t="n">
        <v>46167</v>
      </c>
      <c r="D254" t="inlineStr">
        <is>
          <t>JÄMTLANDS LÄN</t>
        </is>
      </c>
      <c r="E254" t="inlineStr">
        <is>
          <t>KROKOM</t>
        </is>
      </c>
      <c r="G254" t="n">
        <v>172.9</v>
      </c>
      <c r="H254" t="n">
        <v>0</v>
      </c>
      <c r="I254" t="n">
        <v>0</v>
      </c>
      <c r="J254" t="n">
        <v>1</v>
      </c>
      <c r="K254" t="n">
        <v>0</v>
      </c>
      <c r="L254" t="n">
        <v>0</v>
      </c>
      <c r="M254" t="n">
        <v>0</v>
      </c>
      <c r="N254" t="n">
        <v>0</v>
      </c>
      <c r="O254" t="n">
        <v>1</v>
      </c>
      <c r="P254" t="n">
        <v>0</v>
      </c>
      <c r="Q254" t="n">
        <v>1</v>
      </c>
      <c r="R254" s="2" t="inlineStr">
        <is>
          <t>Granticka</t>
        </is>
      </c>
      <c r="S254">
        <f>HYPERLINK("https://klasma.github.io/Logging_2309/artfynd/A 49175-2024 artfynd.xlsx", "A 49175-2024")</f>
        <v/>
      </c>
      <c r="T254">
        <f>HYPERLINK("https://klasma.github.io/Logging_2309/kartor/A 49175-2024 karta.png", "A 49175-2024")</f>
        <v/>
      </c>
      <c r="V254">
        <f>HYPERLINK("https://klasma.github.io/Logging_2309/klagomål/A 49175-2024 FSC-klagomål.docx", "A 49175-2024")</f>
        <v/>
      </c>
      <c r="W254">
        <f>HYPERLINK("https://klasma.github.io/Logging_2309/klagomålsmail/A 49175-2024 FSC-klagomål mail.docx", "A 49175-2024")</f>
        <v/>
      </c>
      <c r="X254">
        <f>HYPERLINK("https://klasma.github.io/Logging_2309/tillsyn/A 49175-2024 tillsynsbegäran.docx", "A 49175-2024")</f>
        <v/>
      </c>
      <c r="Y254">
        <f>HYPERLINK("https://klasma.github.io/Logging_2309/tillsynsmail/A 49175-2024 tillsynsbegäran mail.docx", "A 49175-2024")</f>
        <v/>
      </c>
    </row>
    <row r="255" ht="15" customHeight="1">
      <c r="A255" t="inlineStr">
        <is>
          <t>A 1824-2026</t>
        </is>
      </c>
      <c r="B255" s="1" t="n">
        <v>46035.36510416667</v>
      </c>
      <c r="C255" s="1" t="n">
        <v>46167</v>
      </c>
      <c r="D255" t="inlineStr">
        <is>
          <t>JÄMTLANDS LÄN</t>
        </is>
      </c>
      <c r="E255" t="inlineStr">
        <is>
          <t>KROKOM</t>
        </is>
      </c>
      <c r="G255" t="n">
        <v>7.1</v>
      </c>
      <c r="H255" t="n">
        <v>0</v>
      </c>
      <c r="I255" t="n">
        <v>0</v>
      </c>
      <c r="J255" t="n">
        <v>1</v>
      </c>
      <c r="K255" t="n">
        <v>0</v>
      </c>
      <c r="L255" t="n">
        <v>0</v>
      </c>
      <c r="M255" t="n">
        <v>0</v>
      </c>
      <c r="N255" t="n">
        <v>0</v>
      </c>
      <c r="O255" t="n">
        <v>1</v>
      </c>
      <c r="P255" t="n">
        <v>0</v>
      </c>
      <c r="Q255" t="n">
        <v>1</v>
      </c>
      <c r="R255" s="2" t="inlineStr">
        <is>
          <t>Garnlav</t>
        </is>
      </c>
      <c r="S255">
        <f>HYPERLINK("https://klasma.github.io/Logging_2309/artfynd/A 1824-2026 artfynd.xlsx", "A 1824-2026")</f>
        <v/>
      </c>
      <c r="T255">
        <f>HYPERLINK("https://klasma.github.io/Logging_2309/kartor/A 1824-2026 karta.png", "A 1824-2026")</f>
        <v/>
      </c>
      <c r="V255">
        <f>HYPERLINK("https://klasma.github.io/Logging_2309/klagomål/A 1824-2026 FSC-klagomål.docx", "A 1824-2026")</f>
        <v/>
      </c>
      <c r="W255">
        <f>HYPERLINK("https://klasma.github.io/Logging_2309/klagomålsmail/A 1824-2026 FSC-klagomål mail.docx", "A 1824-2026")</f>
        <v/>
      </c>
      <c r="X255">
        <f>HYPERLINK("https://klasma.github.io/Logging_2309/tillsyn/A 1824-2026 tillsynsbegäran.docx", "A 1824-2026")</f>
        <v/>
      </c>
      <c r="Y255">
        <f>HYPERLINK("https://klasma.github.io/Logging_2309/tillsynsmail/A 1824-2026 tillsynsbegäran mail.docx", "A 1824-2026")</f>
        <v/>
      </c>
    </row>
    <row r="256" ht="15" customHeight="1">
      <c r="A256" t="inlineStr">
        <is>
          <t>A 42816-2023</t>
        </is>
      </c>
      <c r="B256" s="1" t="n">
        <v>45182</v>
      </c>
      <c r="C256" s="1" t="n">
        <v>46167</v>
      </c>
      <c r="D256" t="inlineStr">
        <is>
          <t>JÄMTLANDS LÄN</t>
        </is>
      </c>
      <c r="E256" t="inlineStr">
        <is>
          <t>KROKOM</t>
        </is>
      </c>
      <c r="G256" t="n">
        <v>3.9</v>
      </c>
      <c r="H256" t="n">
        <v>1</v>
      </c>
      <c r="I256" t="n">
        <v>1</v>
      </c>
      <c r="J256" t="n">
        <v>0</v>
      </c>
      <c r="K256" t="n">
        <v>0</v>
      </c>
      <c r="L256" t="n">
        <v>0</v>
      </c>
      <c r="M256" t="n">
        <v>0</v>
      </c>
      <c r="N256" t="n">
        <v>0</v>
      </c>
      <c r="O256" t="n">
        <v>0</v>
      </c>
      <c r="P256" t="n">
        <v>0</v>
      </c>
      <c r="Q256" t="n">
        <v>1</v>
      </c>
      <c r="R256" s="2" t="inlineStr">
        <is>
          <t>Tvåblad</t>
        </is>
      </c>
      <c r="S256">
        <f>HYPERLINK("https://klasma.github.io/Logging_2309/artfynd/A 42816-2023 artfynd.xlsx", "A 42816-2023")</f>
        <v/>
      </c>
      <c r="T256">
        <f>HYPERLINK("https://klasma.github.io/Logging_2309/kartor/A 42816-2023 karta.png", "A 42816-2023")</f>
        <v/>
      </c>
      <c r="V256">
        <f>HYPERLINK("https://klasma.github.io/Logging_2309/klagomål/A 42816-2023 FSC-klagomål.docx", "A 42816-2023")</f>
        <v/>
      </c>
      <c r="W256">
        <f>HYPERLINK("https://klasma.github.io/Logging_2309/klagomålsmail/A 42816-2023 FSC-klagomål mail.docx", "A 42816-2023")</f>
        <v/>
      </c>
      <c r="X256">
        <f>HYPERLINK("https://klasma.github.io/Logging_2309/tillsyn/A 42816-2023 tillsynsbegäran.docx", "A 42816-2023")</f>
        <v/>
      </c>
      <c r="Y256">
        <f>HYPERLINK("https://klasma.github.io/Logging_2309/tillsynsmail/A 42816-2023 tillsynsbegäran mail.docx", "A 42816-2023")</f>
        <v/>
      </c>
    </row>
    <row r="257" ht="15" customHeight="1">
      <c r="A257" t="inlineStr">
        <is>
          <t>A 13485-2025</t>
        </is>
      </c>
      <c r="B257" s="1" t="n">
        <v>45736</v>
      </c>
      <c r="C257" s="1" t="n">
        <v>46167</v>
      </c>
      <c r="D257" t="inlineStr">
        <is>
          <t>JÄMTLANDS LÄN</t>
        </is>
      </c>
      <c r="E257" t="inlineStr">
        <is>
          <t>KROKOM</t>
        </is>
      </c>
      <c r="F257" t="inlineStr">
        <is>
          <t>SCA</t>
        </is>
      </c>
      <c r="G257" t="n">
        <v>4</v>
      </c>
      <c r="H257" t="n">
        <v>0</v>
      </c>
      <c r="I257" t="n">
        <v>0</v>
      </c>
      <c r="J257" t="n">
        <v>1</v>
      </c>
      <c r="K257" t="n">
        <v>0</v>
      </c>
      <c r="L257" t="n">
        <v>0</v>
      </c>
      <c r="M257" t="n">
        <v>0</v>
      </c>
      <c r="N257" t="n">
        <v>0</v>
      </c>
      <c r="O257" t="n">
        <v>1</v>
      </c>
      <c r="P257" t="n">
        <v>0</v>
      </c>
      <c r="Q257" t="n">
        <v>1</v>
      </c>
      <c r="R257" s="2" t="inlineStr">
        <is>
          <t>Brunklöver</t>
        </is>
      </c>
      <c r="S257">
        <f>HYPERLINK("https://klasma.github.io/Logging_2309/artfynd/A 13485-2025 artfynd.xlsx", "A 13485-2025")</f>
        <v/>
      </c>
      <c r="T257">
        <f>HYPERLINK("https://klasma.github.io/Logging_2309/kartor/A 13485-2025 karta.png", "A 13485-2025")</f>
        <v/>
      </c>
      <c r="V257">
        <f>HYPERLINK("https://klasma.github.io/Logging_2309/klagomål/A 13485-2025 FSC-klagomål.docx", "A 13485-2025")</f>
        <v/>
      </c>
      <c r="W257">
        <f>HYPERLINK("https://klasma.github.io/Logging_2309/klagomålsmail/A 13485-2025 FSC-klagomål mail.docx", "A 13485-2025")</f>
        <v/>
      </c>
      <c r="X257">
        <f>HYPERLINK("https://klasma.github.io/Logging_2309/tillsyn/A 13485-2025 tillsynsbegäran.docx", "A 13485-2025")</f>
        <v/>
      </c>
      <c r="Y257">
        <f>HYPERLINK("https://klasma.github.io/Logging_2309/tillsynsmail/A 13485-2025 tillsynsbegäran mail.docx", "A 13485-2025")</f>
        <v/>
      </c>
    </row>
    <row r="258" ht="15" customHeight="1">
      <c r="A258" t="inlineStr">
        <is>
          <t>A 6575-2026</t>
        </is>
      </c>
      <c r="B258" s="1" t="n">
        <v>46056.44827546296</v>
      </c>
      <c r="C258" s="1" t="n">
        <v>46167</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49388-2024</t>
        </is>
      </c>
      <c r="B259" s="1" t="n">
        <v>45595</v>
      </c>
      <c r="C259" s="1" t="n">
        <v>46167</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8322-2026</t>
        </is>
      </c>
      <c r="B260" s="1" t="n">
        <v>46064.61109953704</v>
      </c>
      <c r="C260" s="1" t="n">
        <v>46167</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4876-2026</t>
        </is>
      </c>
      <c r="B261" s="1" t="n">
        <v>46048</v>
      </c>
      <c r="C261" s="1" t="n">
        <v>46167</v>
      </c>
      <c r="D261" t="inlineStr">
        <is>
          <t>JÄMTLANDS LÄN</t>
        </is>
      </c>
      <c r="E261" t="inlineStr">
        <is>
          <t>KROKOM</t>
        </is>
      </c>
      <c r="G261" t="n">
        <v>34.5</v>
      </c>
      <c r="H261" t="n">
        <v>0</v>
      </c>
      <c r="I261" t="n">
        <v>1</v>
      </c>
      <c r="J261" t="n">
        <v>0</v>
      </c>
      <c r="K261" t="n">
        <v>0</v>
      </c>
      <c r="L261" t="n">
        <v>0</v>
      </c>
      <c r="M261" t="n">
        <v>0</v>
      </c>
      <c r="N261" t="n">
        <v>0</v>
      </c>
      <c r="O261" t="n">
        <v>0</v>
      </c>
      <c r="P261" t="n">
        <v>0</v>
      </c>
      <c r="Q261" t="n">
        <v>1</v>
      </c>
      <c r="R261" s="2" t="inlineStr">
        <is>
          <t>Skinnlav</t>
        </is>
      </c>
      <c r="S261">
        <f>HYPERLINK("https://klasma.github.io/Logging_2309/artfynd/A 4876-2026 artfynd.xlsx", "A 4876-2026")</f>
        <v/>
      </c>
      <c r="T261">
        <f>HYPERLINK("https://klasma.github.io/Logging_2309/kartor/A 4876-2026 karta.png", "A 4876-2026")</f>
        <v/>
      </c>
      <c r="V261">
        <f>HYPERLINK("https://klasma.github.io/Logging_2309/klagomål/A 4876-2026 FSC-klagomål.docx", "A 4876-2026")</f>
        <v/>
      </c>
      <c r="W261">
        <f>HYPERLINK("https://klasma.github.io/Logging_2309/klagomålsmail/A 4876-2026 FSC-klagomål mail.docx", "A 4876-2026")</f>
        <v/>
      </c>
      <c r="X261">
        <f>HYPERLINK("https://klasma.github.io/Logging_2309/tillsyn/A 4876-2026 tillsynsbegäran.docx", "A 4876-2026")</f>
        <v/>
      </c>
      <c r="Y261">
        <f>HYPERLINK("https://klasma.github.io/Logging_2309/tillsynsmail/A 4876-2026 tillsynsbegäran mail.docx", "A 4876-2026")</f>
        <v/>
      </c>
    </row>
    <row r="262" ht="15" customHeight="1">
      <c r="A262" t="inlineStr">
        <is>
          <t>A 58805-2024</t>
        </is>
      </c>
      <c r="B262" s="1" t="n">
        <v>45635</v>
      </c>
      <c r="C262" s="1" t="n">
        <v>46167</v>
      </c>
      <c r="D262" t="inlineStr">
        <is>
          <t>JÄMTLANDS LÄN</t>
        </is>
      </c>
      <c r="E262" t="inlineStr">
        <is>
          <t>KROKOM</t>
        </is>
      </c>
      <c r="G262" t="n">
        <v>4.7</v>
      </c>
      <c r="H262" t="n">
        <v>1</v>
      </c>
      <c r="I262" t="n">
        <v>0</v>
      </c>
      <c r="J262" t="n">
        <v>0</v>
      </c>
      <c r="K262" t="n">
        <v>0</v>
      </c>
      <c r="L262" t="n">
        <v>0</v>
      </c>
      <c r="M262" t="n">
        <v>0</v>
      </c>
      <c r="N262" t="n">
        <v>0</v>
      </c>
      <c r="O262" t="n">
        <v>0</v>
      </c>
      <c r="P262" t="n">
        <v>0</v>
      </c>
      <c r="Q262" t="n">
        <v>1</v>
      </c>
      <c r="R262" s="2" t="inlineStr">
        <is>
          <t>Brudsporre</t>
        </is>
      </c>
      <c r="S262">
        <f>HYPERLINK("https://klasma.github.io/Logging_2309/artfynd/A 58805-2024 artfynd.xlsx", "A 58805-2024")</f>
        <v/>
      </c>
      <c r="T262">
        <f>HYPERLINK("https://klasma.github.io/Logging_2309/kartor/A 58805-2024 karta.png", "A 58805-2024")</f>
        <v/>
      </c>
      <c r="V262">
        <f>HYPERLINK("https://klasma.github.io/Logging_2309/klagomål/A 58805-2024 FSC-klagomål.docx", "A 58805-2024")</f>
        <v/>
      </c>
      <c r="W262">
        <f>HYPERLINK("https://klasma.github.io/Logging_2309/klagomålsmail/A 58805-2024 FSC-klagomål mail.docx", "A 58805-2024")</f>
        <v/>
      </c>
      <c r="X262">
        <f>HYPERLINK("https://klasma.github.io/Logging_2309/tillsyn/A 58805-2024 tillsynsbegäran.docx", "A 58805-2024")</f>
        <v/>
      </c>
      <c r="Y262">
        <f>HYPERLINK("https://klasma.github.io/Logging_2309/tillsynsmail/A 58805-2024 tillsynsbegäran mail.docx", "A 58805-2024")</f>
        <v/>
      </c>
    </row>
    <row r="263" ht="15" customHeight="1">
      <c r="A263" t="inlineStr">
        <is>
          <t>A 17606-2026</t>
        </is>
      </c>
      <c r="B263" s="1" t="n">
        <v>46079</v>
      </c>
      <c r="C263" s="1" t="n">
        <v>46167</v>
      </c>
      <c r="D263" t="inlineStr">
        <is>
          <t>JÄMTLANDS LÄN</t>
        </is>
      </c>
      <c r="E263" t="inlineStr">
        <is>
          <t>KROKOM</t>
        </is>
      </c>
      <c r="F263" t="inlineStr">
        <is>
          <t>Övriga Aktiebolag</t>
        </is>
      </c>
      <c r="G263" t="n">
        <v>14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17606-2026 artfynd.xlsx", "A 17606-2026")</f>
        <v/>
      </c>
      <c r="T263">
        <f>HYPERLINK("https://klasma.github.io/Logging_2309/kartor/A 17606-2026 karta.png", "A 17606-2026")</f>
        <v/>
      </c>
      <c r="V263">
        <f>HYPERLINK("https://klasma.github.io/Logging_2309/klagomål/A 17606-2026 FSC-klagomål.docx", "A 17606-2026")</f>
        <v/>
      </c>
      <c r="W263">
        <f>HYPERLINK("https://klasma.github.io/Logging_2309/klagomålsmail/A 17606-2026 FSC-klagomål mail.docx", "A 17606-2026")</f>
        <v/>
      </c>
      <c r="X263">
        <f>HYPERLINK("https://klasma.github.io/Logging_2309/tillsyn/A 17606-2026 tillsynsbegäran.docx", "A 17606-2026")</f>
        <v/>
      </c>
      <c r="Y263">
        <f>HYPERLINK("https://klasma.github.io/Logging_2309/tillsynsmail/A 17606-2026 tillsynsbegäran mail.docx", "A 17606-2026")</f>
        <v/>
      </c>
      <c r="Z263">
        <f>HYPERLINK("https://klasma.github.io/Logging_2309/fåglar/A 17606-2026 prioriterade fågelarter.docx", "A 17606-2026")</f>
        <v/>
      </c>
    </row>
    <row r="264" ht="15" customHeight="1">
      <c r="A264" t="inlineStr">
        <is>
          <t>A 17616-2026</t>
        </is>
      </c>
      <c r="B264" s="1" t="n">
        <v>46079</v>
      </c>
      <c r="C264" s="1" t="n">
        <v>46167</v>
      </c>
      <c r="D264" t="inlineStr">
        <is>
          <t>JÄMTLANDS LÄN</t>
        </is>
      </c>
      <c r="E264" t="inlineStr">
        <is>
          <t>KROKOM</t>
        </is>
      </c>
      <c r="F264" t="inlineStr">
        <is>
          <t>Övriga Aktiebolag</t>
        </is>
      </c>
      <c r="G264" t="n">
        <v>3.3</v>
      </c>
      <c r="H264" t="n">
        <v>0</v>
      </c>
      <c r="I264" t="n">
        <v>0</v>
      </c>
      <c r="J264" t="n">
        <v>1</v>
      </c>
      <c r="K264" t="n">
        <v>0</v>
      </c>
      <c r="L264" t="n">
        <v>0</v>
      </c>
      <c r="M264" t="n">
        <v>0</v>
      </c>
      <c r="N264" t="n">
        <v>0</v>
      </c>
      <c r="O264" t="n">
        <v>1</v>
      </c>
      <c r="P264" t="n">
        <v>0</v>
      </c>
      <c r="Q264" t="n">
        <v>1</v>
      </c>
      <c r="R264" s="2" t="inlineStr">
        <is>
          <t>Skrovellav</t>
        </is>
      </c>
      <c r="S264">
        <f>HYPERLINK("https://klasma.github.io/Logging_2309/artfynd/A 17616-2026 artfynd.xlsx", "A 17616-2026")</f>
        <v/>
      </c>
      <c r="T264">
        <f>HYPERLINK("https://klasma.github.io/Logging_2309/kartor/A 17616-2026 karta.png", "A 17616-2026")</f>
        <v/>
      </c>
      <c r="V264">
        <f>HYPERLINK("https://klasma.github.io/Logging_2309/klagomål/A 17616-2026 FSC-klagomål.docx", "A 17616-2026")</f>
        <v/>
      </c>
      <c r="W264">
        <f>HYPERLINK("https://klasma.github.io/Logging_2309/klagomålsmail/A 17616-2026 FSC-klagomål mail.docx", "A 17616-2026")</f>
        <v/>
      </c>
      <c r="X264">
        <f>HYPERLINK("https://klasma.github.io/Logging_2309/tillsyn/A 17616-2026 tillsynsbegäran.docx", "A 17616-2026")</f>
        <v/>
      </c>
      <c r="Y264">
        <f>HYPERLINK("https://klasma.github.io/Logging_2309/tillsynsmail/A 17616-2026 tillsynsbegäran mail.docx", "A 17616-2026")</f>
        <v/>
      </c>
    </row>
    <row r="265" ht="15" customHeight="1">
      <c r="A265" t="inlineStr">
        <is>
          <t>A 13760-2026</t>
        </is>
      </c>
      <c r="B265" s="1" t="n">
        <v>46097.64693287037</v>
      </c>
      <c r="C265" s="1" t="n">
        <v>46167</v>
      </c>
      <c r="D265" t="inlineStr">
        <is>
          <t>JÄMTLANDS LÄN</t>
        </is>
      </c>
      <c r="E265" t="inlineStr">
        <is>
          <t>KROKOM</t>
        </is>
      </c>
      <c r="G265" t="n">
        <v>10.8</v>
      </c>
      <c r="H265" t="n">
        <v>1</v>
      </c>
      <c r="I265" t="n">
        <v>0</v>
      </c>
      <c r="J265" t="n">
        <v>1</v>
      </c>
      <c r="K265" t="n">
        <v>0</v>
      </c>
      <c r="L265" t="n">
        <v>0</v>
      </c>
      <c r="M265" t="n">
        <v>0</v>
      </c>
      <c r="N265" t="n">
        <v>0</v>
      </c>
      <c r="O265" t="n">
        <v>1</v>
      </c>
      <c r="P265" t="n">
        <v>0</v>
      </c>
      <c r="Q265" t="n">
        <v>1</v>
      </c>
      <c r="R265" s="2" t="inlineStr">
        <is>
          <t>Talltita</t>
        </is>
      </c>
      <c r="S265">
        <f>HYPERLINK("https://klasma.github.io/Logging_2309/artfynd/A 13760-2026 artfynd.xlsx", "A 13760-2026")</f>
        <v/>
      </c>
      <c r="T265">
        <f>HYPERLINK("https://klasma.github.io/Logging_2309/kartor/A 13760-2026 karta.png", "A 13760-2026")</f>
        <v/>
      </c>
      <c r="V265">
        <f>HYPERLINK("https://klasma.github.io/Logging_2309/klagomål/A 13760-2026 FSC-klagomål.docx", "A 13760-2026")</f>
        <v/>
      </c>
      <c r="W265">
        <f>HYPERLINK("https://klasma.github.io/Logging_2309/klagomålsmail/A 13760-2026 FSC-klagomål mail.docx", "A 13760-2026")</f>
        <v/>
      </c>
      <c r="X265">
        <f>HYPERLINK("https://klasma.github.io/Logging_2309/tillsyn/A 13760-2026 tillsynsbegäran.docx", "A 13760-2026")</f>
        <v/>
      </c>
      <c r="Y265">
        <f>HYPERLINK("https://klasma.github.io/Logging_2309/tillsynsmail/A 13760-2026 tillsynsbegäran mail.docx", "A 13760-2026")</f>
        <v/>
      </c>
      <c r="Z265">
        <f>HYPERLINK("https://klasma.github.io/Logging_2309/fåglar/A 13760-2026 prioriterade fågelarter.docx", "A 13760-2026")</f>
        <v/>
      </c>
    </row>
    <row r="266" ht="15" customHeight="1">
      <c r="A266" t="inlineStr">
        <is>
          <t>A 14916-2026</t>
        </is>
      </c>
      <c r="B266" s="1" t="n">
        <v>46104.47087962963</v>
      </c>
      <c r="C266" s="1" t="n">
        <v>46167</v>
      </c>
      <c r="D266" t="inlineStr">
        <is>
          <t>JÄMTLANDS LÄN</t>
        </is>
      </c>
      <c r="E266" t="inlineStr">
        <is>
          <t>KROKOM</t>
        </is>
      </c>
      <c r="G266" t="n">
        <v>36.5</v>
      </c>
      <c r="H266" t="n">
        <v>0</v>
      </c>
      <c r="I266" t="n">
        <v>0</v>
      </c>
      <c r="J266" t="n">
        <v>1</v>
      </c>
      <c r="K266" t="n">
        <v>0</v>
      </c>
      <c r="L266" t="n">
        <v>0</v>
      </c>
      <c r="M266" t="n">
        <v>0</v>
      </c>
      <c r="N266" t="n">
        <v>0</v>
      </c>
      <c r="O266" t="n">
        <v>1</v>
      </c>
      <c r="P266" t="n">
        <v>0</v>
      </c>
      <c r="Q266" t="n">
        <v>1</v>
      </c>
      <c r="R266" s="2" t="inlineStr">
        <is>
          <t>Harticka</t>
        </is>
      </c>
      <c r="S266">
        <f>HYPERLINK("https://klasma.github.io/Logging_2309/artfynd/A 14916-2026 artfynd.xlsx", "A 14916-2026")</f>
        <v/>
      </c>
      <c r="T266">
        <f>HYPERLINK("https://klasma.github.io/Logging_2309/kartor/A 14916-2026 karta.png", "A 14916-2026")</f>
        <v/>
      </c>
      <c r="V266">
        <f>HYPERLINK("https://klasma.github.io/Logging_2309/klagomål/A 14916-2026 FSC-klagomål.docx", "A 14916-2026")</f>
        <v/>
      </c>
      <c r="W266">
        <f>HYPERLINK("https://klasma.github.io/Logging_2309/klagomålsmail/A 14916-2026 FSC-klagomål mail.docx", "A 14916-2026")</f>
        <v/>
      </c>
      <c r="X266">
        <f>HYPERLINK("https://klasma.github.io/Logging_2309/tillsyn/A 14916-2026 tillsynsbegäran.docx", "A 14916-2026")</f>
        <v/>
      </c>
      <c r="Y266">
        <f>HYPERLINK("https://klasma.github.io/Logging_2309/tillsynsmail/A 14916-2026 tillsynsbegäran mail.docx", "A 14916-2026")</f>
        <v/>
      </c>
    </row>
    <row r="267" ht="15" customHeight="1">
      <c r="A267" t="inlineStr">
        <is>
          <t>A 26231-2024</t>
        </is>
      </c>
      <c r="B267" s="1" t="n">
        <v>45467</v>
      </c>
      <c r="C267" s="1" t="n">
        <v>46167</v>
      </c>
      <c r="D267" t="inlineStr">
        <is>
          <t>JÄMTLANDS LÄN</t>
        </is>
      </c>
      <c r="E267" t="inlineStr">
        <is>
          <t>KROKOM</t>
        </is>
      </c>
      <c r="G267" t="n">
        <v>14.6</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26231-2024 artfynd.xlsx", "A 26231-2024")</f>
        <v/>
      </c>
      <c r="T267">
        <f>HYPERLINK("https://klasma.github.io/Logging_2309/kartor/A 26231-2024 karta.png", "A 26231-2024")</f>
        <v/>
      </c>
      <c r="V267">
        <f>HYPERLINK("https://klasma.github.io/Logging_2309/klagomål/A 26231-2024 FSC-klagomål.docx", "A 26231-2024")</f>
        <v/>
      </c>
      <c r="W267">
        <f>HYPERLINK("https://klasma.github.io/Logging_2309/klagomålsmail/A 26231-2024 FSC-klagomål mail.docx", "A 26231-2024")</f>
        <v/>
      </c>
      <c r="X267">
        <f>HYPERLINK("https://klasma.github.io/Logging_2309/tillsyn/A 26231-2024 tillsynsbegäran.docx", "A 26231-2024")</f>
        <v/>
      </c>
      <c r="Y267">
        <f>HYPERLINK("https://klasma.github.io/Logging_2309/tillsynsmail/A 26231-2024 tillsynsbegäran mail.docx", "A 26231-2024")</f>
        <v/>
      </c>
      <c r="Z267">
        <f>HYPERLINK("https://klasma.github.io/Logging_2309/fåglar/A 26231-2024 prioriterade fågelarter.docx", "A 26231-2024")</f>
        <v/>
      </c>
    </row>
    <row r="268" ht="15" customHeight="1">
      <c r="A268" t="inlineStr">
        <is>
          <t>A 36639-2023</t>
        </is>
      </c>
      <c r="B268" s="1" t="n">
        <v>45153</v>
      </c>
      <c r="C268" s="1" t="n">
        <v>46167</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7005-2022</t>
        </is>
      </c>
      <c r="B269" s="1" t="n">
        <v>44603</v>
      </c>
      <c r="C269" s="1" t="n">
        <v>46167</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5919-2025</t>
        </is>
      </c>
      <c r="B270" s="1" t="n">
        <v>45695.42197916667</v>
      </c>
      <c r="C270" s="1" t="n">
        <v>46167</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Skogshare</t>
        </is>
      </c>
      <c r="S270">
        <f>HYPERLINK("https://klasma.github.io/Logging_2309/artfynd/A 5919-2025 artfynd.xlsx", "A 5919-2025")</f>
        <v/>
      </c>
      <c r="T270">
        <f>HYPERLINK("https://klasma.github.io/Logging_2309/kartor/A 5919-2025 karta.png", "A 5919-2025")</f>
        <v/>
      </c>
      <c r="V270">
        <f>HYPERLINK("https://klasma.github.io/Logging_2309/klagomål/A 5919-2025 FSC-klagomål.docx", "A 5919-2025")</f>
        <v/>
      </c>
      <c r="W270">
        <f>HYPERLINK("https://klasma.github.io/Logging_2309/klagomålsmail/A 5919-2025 FSC-klagomål mail.docx", "A 5919-2025")</f>
        <v/>
      </c>
      <c r="X270">
        <f>HYPERLINK("https://klasma.github.io/Logging_2309/tillsyn/A 5919-2025 tillsynsbegäran.docx", "A 5919-2025")</f>
        <v/>
      </c>
      <c r="Y270">
        <f>HYPERLINK("https://klasma.github.io/Logging_2309/tillsynsmail/A 5919-2025 tillsynsbegäran mail.docx", "A 5919-2025")</f>
        <v/>
      </c>
    </row>
    <row r="271" ht="15" customHeight="1">
      <c r="A271" t="inlineStr">
        <is>
          <t>A 25285-2023</t>
        </is>
      </c>
      <c r="B271" s="1" t="n">
        <v>45079</v>
      </c>
      <c r="C271" s="1" t="n">
        <v>46167</v>
      </c>
      <c r="D271" t="inlineStr">
        <is>
          <t>JÄMTLANDS LÄN</t>
        </is>
      </c>
      <c r="E271" t="inlineStr">
        <is>
          <t>KROKOM</t>
        </is>
      </c>
      <c r="G271" t="n">
        <v>14.9</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25285-2023 artfynd.xlsx", "A 25285-2023")</f>
        <v/>
      </c>
      <c r="T271">
        <f>HYPERLINK("https://klasma.github.io/Logging_2309/kartor/A 25285-2023 karta.png", "A 25285-2023")</f>
        <v/>
      </c>
      <c r="V271">
        <f>HYPERLINK("https://klasma.github.io/Logging_2309/klagomål/A 25285-2023 FSC-klagomål.docx", "A 25285-2023")</f>
        <v/>
      </c>
      <c r="W271">
        <f>HYPERLINK("https://klasma.github.io/Logging_2309/klagomålsmail/A 25285-2023 FSC-klagomål mail.docx", "A 25285-2023")</f>
        <v/>
      </c>
      <c r="X271">
        <f>HYPERLINK("https://klasma.github.io/Logging_2309/tillsyn/A 25285-2023 tillsynsbegäran.docx", "A 25285-2023")</f>
        <v/>
      </c>
      <c r="Y271">
        <f>HYPERLINK("https://klasma.github.io/Logging_2309/tillsynsmail/A 25285-2023 tillsynsbegäran mail.docx", "A 25285-2023")</f>
        <v/>
      </c>
      <c r="Z271">
        <f>HYPERLINK("https://klasma.github.io/Logging_2309/fåglar/A 25285-2023 prioriterade fågelarter.docx", "A 25285-2023")</f>
        <v/>
      </c>
    </row>
    <row r="272" ht="15" customHeight="1">
      <c r="A272" t="inlineStr">
        <is>
          <t>A 25268-2025</t>
        </is>
      </c>
      <c r="B272" s="1" t="n">
        <v>45800</v>
      </c>
      <c r="C272" s="1" t="n">
        <v>46167</v>
      </c>
      <c r="D272" t="inlineStr">
        <is>
          <t>JÄMTLANDS LÄN</t>
        </is>
      </c>
      <c r="E272" t="inlineStr">
        <is>
          <t>KROKOM</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25268-2025 artfynd.xlsx", "A 25268-2025")</f>
        <v/>
      </c>
      <c r="T272">
        <f>HYPERLINK("https://klasma.github.io/Logging_2309/kartor/A 25268-2025 karta.png", "A 25268-2025")</f>
        <v/>
      </c>
      <c r="V272">
        <f>HYPERLINK("https://klasma.github.io/Logging_2309/klagomål/A 25268-2025 FSC-klagomål.docx", "A 25268-2025")</f>
        <v/>
      </c>
      <c r="W272">
        <f>HYPERLINK("https://klasma.github.io/Logging_2309/klagomålsmail/A 25268-2025 FSC-klagomål mail.docx", "A 25268-2025")</f>
        <v/>
      </c>
      <c r="X272">
        <f>HYPERLINK("https://klasma.github.io/Logging_2309/tillsyn/A 25268-2025 tillsynsbegäran.docx", "A 25268-2025")</f>
        <v/>
      </c>
      <c r="Y272">
        <f>HYPERLINK("https://klasma.github.io/Logging_2309/tillsynsmail/A 25268-2025 tillsynsbegäran mail.docx", "A 25268-2025")</f>
        <v/>
      </c>
      <c r="Z272">
        <f>HYPERLINK("https://klasma.github.io/Logging_2309/fåglar/A 25268-2025 prioriterade fågelarter.docx", "A 25268-2025")</f>
        <v/>
      </c>
    </row>
    <row r="273" ht="15" customHeight="1">
      <c r="A273" t="inlineStr">
        <is>
          <t>A 61240-2024</t>
        </is>
      </c>
      <c r="B273" s="1" t="n">
        <v>45645.67945601852</v>
      </c>
      <c r="C273" s="1" t="n">
        <v>46167</v>
      </c>
      <c r="D273" t="inlineStr">
        <is>
          <t>JÄMTLANDS LÄN</t>
        </is>
      </c>
      <c r="E273" t="inlineStr">
        <is>
          <t>KROKOM</t>
        </is>
      </c>
      <c r="G273" t="n">
        <v>5.7</v>
      </c>
      <c r="H273" t="n">
        <v>1</v>
      </c>
      <c r="I273" t="n">
        <v>0</v>
      </c>
      <c r="J273" t="n">
        <v>0</v>
      </c>
      <c r="K273" t="n">
        <v>0</v>
      </c>
      <c r="L273" t="n">
        <v>0</v>
      </c>
      <c r="M273" t="n">
        <v>0</v>
      </c>
      <c r="N273" t="n">
        <v>0</v>
      </c>
      <c r="O273" t="n">
        <v>0</v>
      </c>
      <c r="P273" t="n">
        <v>0</v>
      </c>
      <c r="Q273" t="n">
        <v>1</v>
      </c>
      <c r="R273" s="2" t="inlineStr">
        <is>
          <t>Pärluggla</t>
        </is>
      </c>
      <c r="S273">
        <f>HYPERLINK("https://klasma.github.io/Logging_2309/artfynd/A 61240-2024 artfynd.xlsx", "A 61240-2024")</f>
        <v/>
      </c>
      <c r="T273">
        <f>HYPERLINK("https://klasma.github.io/Logging_2309/kartor/A 61240-2024 karta.png", "A 61240-2024")</f>
        <v/>
      </c>
      <c r="V273">
        <f>HYPERLINK("https://klasma.github.io/Logging_2309/klagomål/A 61240-2024 FSC-klagomål.docx", "A 61240-2024")</f>
        <v/>
      </c>
      <c r="W273">
        <f>HYPERLINK("https://klasma.github.io/Logging_2309/klagomålsmail/A 61240-2024 FSC-klagomål mail.docx", "A 61240-2024")</f>
        <v/>
      </c>
      <c r="X273">
        <f>HYPERLINK("https://klasma.github.io/Logging_2309/tillsyn/A 61240-2024 tillsynsbegäran.docx", "A 61240-2024")</f>
        <v/>
      </c>
      <c r="Y273">
        <f>HYPERLINK("https://klasma.github.io/Logging_2309/tillsynsmail/A 61240-2024 tillsynsbegäran mail.docx", "A 61240-2024")</f>
        <v/>
      </c>
      <c r="Z273">
        <f>HYPERLINK("https://klasma.github.io/Logging_2309/fåglar/A 61240-2024 prioriterade fågelarter.docx", "A 61240-2024")</f>
        <v/>
      </c>
    </row>
    <row r="274" ht="15" customHeight="1">
      <c r="A274" t="inlineStr">
        <is>
          <t>A 28660-2025</t>
        </is>
      </c>
      <c r="B274" s="1" t="n">
        <v>45819.65796296296</v>
      </c>
      <c r="C274" s="1" t="n">
        <v>46167</v>
      </c>
      <c r="D274" t="inlineStr">
        <is>
          <t>JÄMTLANDS LÄN</t>
        </is>
      </c>
      <c r="E274" t="inlineStr">
        <is>
          <t>KROKOM</t>
        </is>
      </c>
      <c r="G274" t="n">
        <v>8.1</v>
      </c>
      <c r="H274" t="n">
        <v>1</v>
      </c>
      <c r="I274" t="n">
        <v>1</v>
      </c>
      <c r="J274" t="n">
        <v>0</v>
      </c>
      <c r="K274" t="n">
        <v>0</v>
      </c>
      <c r="L274" t="n">
        <v>0</v>
      </c>
      <c r="M274" t="n">
        <v>0</v>
      </c>
      <c r="N274" t="n">
        <v>0</v>
      </c>
      <c r="O274" t="n">
        <v>0</v>
      </c>
      <c r="P274" t="n">
        <v>0</v>
      </c>
      <c r="Q274" t="n">
        <v>1</v>
      </c>
      <c r="R274" s="2" t="inlineStr">
        <is>
          <t>Spindelblomster</t>
        </is>
      </c>
      <c r="S274">
        <f>HYPERLINK("https://klasma.github.io/Logging_2309/artfynd/A 28660-2025 artfynd.xlsx", "A 28660-2025")</f>
        <v/>
      </c>
      <c r="T274">
        <f>HYPERLINK("https://klasma.github.io/Logging_2309/kartor/A 28660-2025 karta.png", "A 28660-2025")</f>
        <v/>
      </c>
      <c r="V274">
        <f>HYPERLINK("https://klasma.github.io/Logging_2309/klagomål/A 28660-2025 FSC-klagomål.docx", "A 28660-2025")</f>
        <v/>
      </c>
      <c r="W274">
        <f>HYPERLINK("https://klasma.github.io/Logging_2309/klagomålsmail/A 28660-2025 FSC-klagomål mail.docx", "A 28660-2025")</f>
        <v/>
      </c>
      <c r="X274">
        <f>HYPERLINK("https://klasma.github.io/Logging_2309/tillsyn/A 28660-2025 tillsynsbegäran.docx", "A 28660-2025")</f>
        <v/>
      </c>
      <c r="Y274">
        <f>HYPERLINK("https://klasma.github.io/Logging_2309/tillsynsmail/A 28660-2025 tillsynsbegäran mail.docx", "A 28660-2025")</f>
        <v/>
      </c>
    </row>
    <row r="275" ht="15" customHeight="1">
      <c r="A275" t="inlineStr">
        <is>
          <t>A 29941-2025</t>
        </is>
      </c>
      <c r="B275" s="1" t="n">
        <v>45826.45174768518</v>
      </c>
      <c r="C275" s="1" t="n">
        <v>46167</v>
      </c>
      <c r="D275" t="inlineStr">
        <is>
          <t>JÄMTLANDS LÄN</t>
        </is>
      </c>
      <c r="E275" t="inlineStr">
        <is>
          <t>KROKOM</t>
        </is>
      </c>
      <c r="G275" t="n">
        <v>12.4</v>
      </c>
      <c r="H275" t="n">
        <v>0</v>
      </c>
      <c r="I275" t="n">
        <v>0</v>
      </c>
      <c r="J275" t="n">
        <v>0</v>
      </c>
      <c r="K275" t="n">
        <v>0</v>
      </c>
      <c r="L275" t="n">
        <v>1</v>
      </c>
      <c r="M275" t="n">
        <v>0</v>
      </c>
      <c r="N275" t="n">
        <v>0</v>
      </c>
      <c r="O275" t="n">
        <v>1</v>
      </c>
      <c r="P275" t="n">
        <v>1</v>
      </c>
      <c r="Q275" t="n">
        <v>1</v>
      </c>
      <c r="R275" s="2" t="inlineStr">
        <is>
          <t>Lilafotad fingersvamp</t>
        </is>
      </c>
      <c r="S275">
        <f>HYPERLINK("https://klasma.github.io/Logging_2309/artfynd/A 29941-2025 artfynd.xlsx", "A 29941-2025")</f>
        <v/>
      </c>
      <c r="T275">
        <f>HYPERLINK("https://klasma.github.io/Logging_2309/kartor/A 29941-2025 karta.png", "A 29941-2025")</f>
        <v/>
      </c>
      <c r="V275">
        <f>HYPERLINK("https://klasma.github.io/Logging_2309/klagomål/A 29941-2025 FSC-klagomål.docx", "A 29941-2025")</f>
        <v/>
      </c>
      <c r="W275">
        <f>HYPERLINK("https://klasma.github.io/Logging_2309/klagomålsmail/A 29941-2025 FSC-klagomål mail.docx", "A 29941-2025")</f>
        <v/>
      </c>
      <c r="X275">
        <f>HYPERLINK("https://klasma.github.io/Logging_2309/tillsyn/A 29941-2025 tillsynsbegäran.docx", "A 29941-2025")</f>
        <v/>
      </c>
      <c r="Y275">
        <f>HYPERLINK("https://klasma.github.io/Logging_2309/tillsynsmail/A 29941-2025 tillsynsbegäran mail.docx", "A 29941-2025")</f>
        <v/>
      </c>
    </row>
    <row r="276" ht="15" customHeight="1">
      <c r="A276" t="inlineStr">
        <is>
          <t>A 32888-2025</t>
        </is>
      </c>
      <c r="B276" s="1" t="n">
        <v>45839.60460648148</v>
      </c>
      <c r="C276" s="1" t="n">
        <v>46167</v>
      </c>
      <c r="D276" t="inlineStr">
        <is>
          <t>JÄMTLANDS LÄN</t>
        </is>
      </c>
      <c r="E276" t="inlineStr">
        <is>
          <t>KROKOM</t>
        </is>
      </c>
      <c r="G276" t="n">
        <v>6.3</v>
      </c>
      <c r="H276" t="n">
        <v>1</v>
      </c>
      <c r="I276" t="n">
        <v>0</v>
      </c>
      <c r="J276" t="n">
        <v>0</v>
      </c>
      <c r="K276" t="n">
        <v>0</v>
      </c>
      <c r="L276" t="n">
        <v>0</v>
      </c>
      <c r="M276" t="n">
        <v>0</v>
      </c>
      <c r="N276" t="n">
        <v>0</v>
      </c>
      <c r="O276" t="n">
        <v>0</v>
      </c>
      <c r="P276" t="n">
        <v>0</v>
      </c>
      <c r="Q276" t="n">
        <v>1</v>
      </c>
      <c r="R276" s="2" t="inlineStr">
        <is>
          <t>Revlummer</t>
        </is>
      </c>
      <c r="S276">
        <f>HYPERLINK("https://klasma.github.io/Logging_2309/artfynd/A 32888-2025 artfynd.xlsx", "A 32888-2025")</f>
        <v/>
      </c>
      <c r="T276">
        <f>HYPERLINK("https://klasma.github.io/Logging_2309/kartor/A 32888-2025 karta.png", "A 32888-2025")</f>
        <v/>
      </c>
      <c r="V276">
        <f>HYPERLINK("https://klasma.github.io/Logging_2309/klagomål/A 32888-2025 FSC-klagomål.docx", "A 32888-2025")</f>
        <v/>
      </c>
      <c r="W276">
        <f>HYPERLINK("https://klasma.github.io/Logging_2309/klagomålsmail/A 32888-2025 FSC-klagomål mail.docx", "A 32888-2025")</f>
        <v/>
      </c>
      <c r="X276">
        <f>HYPERLINK("https://klasma.github.io/Logging_2309/tillsyn/A 32888-2025 tillsynsbegäran.docx", "A 32888-2025")</f>
        <v/>
      </c>
      <c r="Y276">
        <f>HYPERLINK("https://klasma.github.io/Logging_2309/tillsynsmail/A 32888-2025 tillsynsbegäran mail.docx", "A 32888-2025")</f>
        <v/>
      </c>
    </row>
    <row r="277" ht="15" customHeight="1">
      <c r="A277" t="inlineStr">
        <is>
          <t>A 32656-2025</t>
        </is>
      </c>
      <c r="B277" s="1" t="n">
        <v>45838.67815972222</v>
      </c>
      <c r="C277" s="1" t="n">
        <v>46167</v>
      </c>
      <c r="D277" t="inlineStr">
        <is>
          <t>JÄMTLANDS LÄN</t>
        </is>
      </c>
      <c r="E277" t="inlineStr">
        <is>
          <t>KROKOM</t>
        </is>
      </c>
      <c r="F277" t="inlineStr">
        <is>
          <t>SCA</t>
        </is>
      </c>
      <c r="G277" t="n">
        <v>9.1</v>
      </c>
      <c r="H277" t="n">
        <v>0</v>
      </c>
      <c r="I277" t="n">
        <v>0</v>
      </c>
      <c r="J277" t="n">
        <v>1</v>
      </c>
      <c r="K277" t="n">
        <v>0</v>
      </c>
      <c r="L277" t="n">
        <v>0</v>
      </c>
      <c r="M277" t="n">
        <v>0</v>
      </c>
      <c r="N277" t="n">
        <v>0</v>
      </c>
      <c r="O277" t="n">
        <v>1</v>
      </c>
      <c r="P277" t="n">
        <v>0</v>
      </c>
      <c r="Q277" t="n">
        <v>1</v>
      </c>
      <c r="R277" s="2" t="inlineStr">
        <is>
          <t>Skrovellav</t>
        </is>
      </c>
      <c r="S277">
        <f>HYPERLINK("https://klasma.github.io/Logging_2309/artfynd/A 32656-2025 artfynd.xlsx", "A 32656-2025")</f>
        <v/>
      </c>
      <c r="T277">
        <f>HYPERLINK("https://klasma.github.io/Logging_2309/kartor/A 32656-2025 karta.png", "A 32656-2025")</f>
        <v/>
      </c>
      <c r="V277">
        <f>HYPERLINK("https://klasma.github.io/Logging_2309/klagomål/A 32656-2025 FSC-klagomål.docx", "A 32656-2025")</f>
        <v/>
      </c>
      <c r="W277">
        <f>HYPERLINK("https://klasma.github.io/Logging_2309/klagomålsmail/A 32656-2025 FSC-klagomål mail.docx", "A 32656-2025")</f>
        <v/>
      </c>
      <c r="X277">
        <f>HYPERLINK("https://klasma.github.io/Logging_2309/tillsyn/A 32656-2025 tillsynsbegäran.docx", "A 32656-2025")</f>
        <v/>
      </c>
      <c r="Y277">
        <f>HYPERLINK("https://klasma.github.io/Logging_2309/tillsynsmail/A 32656-2025 tillsynsbegäran mail.docx", "A 32656-2025")</f>
        <v/>
      </c>
    </row>
    <row r="278" ht="15" customHeight="1">
      <c r="A278" t="inlineStr">
        <is>
          <t>A 33513-2025</t>
        </is>
      </c>
      <c r="B278" s="1" t="n">
        <v>45841.52454861111</v>
      </c>
      <c r="C278" s="1" t="n">
        <v>46167</v>
      </c>
      <c r="D278" t="inlineStr">
        <is>
          <t>JÄMTLANDS LÄN</t>
        </is>
      </c>
      <c r="E278" t="inlineStr">
        <is>
          <t>KROKOM</t>
        </is>
      </c>
      <c r="G278" t="n">
        <v>15.1</v>
      </c>
      <c r="H278" t="n">
        <v>0</v>
      </c>
      <c r="I278" t="n">
        <v>0</v>
      </c>
      <c r="J278" t="n">
        <v>1</v>
      </c>
      <c r="K278" t="n">
        <v>0</v>
      </c>
      <c r="L278" t="n">
        <v>0</v>
      </c>
      <c r="M278" t="n">
        <v>0</v>
      </c>
      <c r="N278" t="n">
        <v>0</v>
      </c>
      <c r="O278" t="n">
        <v>1</v>
      </c>
      <c r="P278" t="n">
        <v>0</v>
      </c>
      <c r="Q278" t="n">
        <v>1</v>
      </c>
      <c r="R278" s="2" t="inlineStr">
        <is>
          <t>Brunklöver</t>
        </is>
      </c>
      <c r="S278">
        <f>HYPERLINK("https://klasma.github.io/Logging_2309/artfynd/A 33513-2025 artfynd.xlsx", "A 33513-2025")</f>
        <v/>
      </c>
      <c r="T278">
        <f>HYPERLINK("https://klasma.github.io/Logging_2309/kartor/A 33513-2025 karta.png", "A 33513-2025")</f>
        <v/>
      </c>
      <c r="V278">
        <f>HYPERLINK("https://klasma.github.io/Logging_2309/klagomål/A 33513-2025 FSC-klagomål.docx", "A 33513-2025")</f>
        <v/>
      </c>
      <c r="W278">
        <f>HYPERLINK("https://klasma.github.io/Logging_2309/klagomålsmail/A 33513-2025 FSC-klagomål mail.docx", "A 33513-2025")</f>
        <v/>
      </c>
      <c r="X278">
        <f>HYPERLINK("https://klasma.github.io/Logging_2309/tillsyn/A 33513-2025 tillsynsbegäran.docx", "A 33513-2025")</f>
        <v/>
      </c>
      <c r="Y278">
        <f>HYPERLINK("https://klasma.github.io/Logging_2309/tillsynsmail/A 33513-2025 tillsynsbegäran mail.docx", "A 33513-2025")</f>
        <v/>
      </c>
    </row>
    <row r="279" ht="15" customHeight="1">
      <c r="A279" t="inlineStr">
        <is>
          <t>A 28736-2022</t>
        </is>
      </c>
      <c r="B279" s="1" t="n">
        <v>44748.94689814815</v>
      </c>
      <c r="C279" s="1" t="n">
        <v>46167</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46167</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46167</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46167</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46167</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46167</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46167</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46167</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46167</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33327-2022</t>
        </is>
      </c>
      <c r="B288" s="1" t="n">
        <v>44788</v>
      </c>
      <c r="C288" s="1" t="n">
        <v>46167</v>
      </c>
      <c r="D288" t="inlineStr">
        <is>
          <t>JÄMTLANDS LÄN</t>
        </is>
      </c>
      <c r="E288" t="inlineStr">
        <is>
          <t>KROKOM</t>
        </is>
      </c>
      <c r="G288" t="n">
        <v>0.8</v>
      </c>
      <c r="H288" t="n">
        <v>0</v>
      </c>
      <c r="I288" t="n">
        <v>0</v>
      </c>
      <c r="J288" t="n">
        <v>0</v>
      </c>
      <c r="K288" t="n">
        <v>0</v>
      </c>
      <c r="L288" t="n">
        <v>0</v>
      </c>
      <c r="M288" t="n">
        <v>0</v>
      </c>
      <c r="N288" t="n">
        <v>0</v>
      </c>
      <c r="O288" t="n">
        <v>0</v>
      </c>
      <c r="P288" t="n">
        <v>0</v>
      </c>
      <c r="Q288" t="n">
        <v>0</v>
      </c>
      <c r="R288" s="2" t="inlineStr"/>
    </row>
    <row r="289" ht="15" customHeight="1">
      <c r="A289" t="inlineStr">
        <is>
          <t>A 8559-2022</t>
        </is>
      </c>
      <c r="B289" s="1" t="n">
        <v>44610</v>
      </c>
      <c r="C289" s="1" t="n">
        <v>46167</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33189-2021</t>
        </is>
      </c>
      <c r="B290" s="1" t="n">
        <v>44376.87497685185</v>
      </c>
      <c r="C290" s="1" t="n">
        <v>46167</v>
      </c>
      <c r="D290" t="inlineStr">
        <is>
          <t>JÄMTLANDS LÄN</t>
        </is>
      </c>
      <c r="E290" t="inlineStr">
        <is>
          <t>KROKOM</t>
        </is>
      </c>
      <c r="G290" t="n">
        <v>2.7</v>
      </c>
      <c r="H290" t="n">
        <v>0</v>
      </c>
      <c r="I290" t="n">
        <v>0</v>
      </c>
      <c r="J290" t="n">
        <v>0</v>
      </c>
      <c r="K290" t="n">
        <v>0</v>
      </c>
      <c r="L290" t="n">
        <v>0</v>
      </c>
      <c r="M290" t="n">
        <v>0</v>
      </c>
      <c r="N290" t="n">
        <v>0</v>
      </c>
      <c r="O290" t="n">
        <v>0</v>
      </c>
      <c r="P290" t="n">
        <v>0</v>
      </c>
      <c r="Q290" t="n">
        <v>0</v>
      </c>
      <c r="R290" s="2" t="inlineStr"/>
    </row>
    <row r="291" ht="15" customHeight="1">
      <c r="A291" t="inlineStr">
        <is>
          <t>A 33320-2021</t>
        </is>
      </c>
      <c r="B291" s="1" t="n">
        <v>44377.44767361111</v>
      </c>
      <c r="C291" s="1" t="n">
        <v>46167</v>
      </c>
      <c r="D291" t="inlineStr">
        <is>
          <t>JÄMTLANDS LÄN</t>
        </is>
      </c>
      <c r="E291" t="inlineStr">
        <is>
          <t>KROKOM</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46167</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46167</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46167</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46167</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46167</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46167</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69949-2021</t>
        </is>
      </c>
      <c r="B298" s="1" t="n">
        <v>44533</v>
      </c>
      <c r="C298" s="1" t="n">
        <v>46167</v>
      </c>
      <c r="D298" t="inlineStr">
        <is>
          <t>JÄMTLANDS LÄN</t>
        </is>
      </c>
      <c r="E298" t="inlineStr">
        <is>
          <t>KROKOM</t>
        </is>
      </c>
      <c r="G298" t="n">
        <v>15.8</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46167</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46167</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46167</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46167</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46167</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46167</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46167</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46167</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46167</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46167</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46167</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46167</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46167</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46167</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46167</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46167</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46167</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46167</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46167</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46167</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46167</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46167</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46167</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46167</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46167</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46167</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46167</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46167</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46167</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46167</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46167</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46167</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46167</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46167</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46167</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46167</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46167</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46167</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24559-2024</t>
        </is>
      </c>
      <c r="B337" s="1" t="n">
        <v>45460.44076388889</v>
      </c>
      <c r="C337" s="1" t="n">
        <v>46167</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7724-2025</t>
        </is>
      </c>
      <c r="B338" s="1" t="n">
        <v>45706</v>
      </c>
      <c r="C338" s="1" t="n">
        <v>46167</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54828-2024</t>
        </is>
      </c>
      <c r="B339" s="1" t="n">
        <v>45618.54398148148</v>
      </c>
      <c r="C339" s="1" t="n">
        <v>46167</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15885-2023</t>
        </is>
      </c>
      <c r="B340" s="1" t="n">
        <v>45022</v>
      </c>
      <c r="C340" s="1" t="n">
        <v>46167</v>
      </c>
      <c r="D340" t="inlineStr">
        <is>
          <t>JÄMTLANDS LÄN</t>
        </is>
      </c>
      <c r="E340" t="inlineStr">
        <is>
          <t>KROKOM</t>
        </is>
      </c>
      <c r="G340" t="n">
        <v>2.3</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46167</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46167</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58563-2023</t>
        </is>
      </c>
      <c r="B343" s="1" t="n">
        <v>45246</v>
      </c>
      <c r="C343" s="1" t="n">
        <v>46167</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45726.5827199074</v>
      </c>
      <c r="C344" s="1" t="n">
        <v>46167</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52268-2022</t>
        </is>
      </c>
      <c r="B345" s="1" t="n">
        <v>44873</v>
      </c>
      <c r="C345" s="1" t="n">
        <v>46167</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c r="U345">
        <f>HYPERLINK("https://klasma.github.io/Logging_2309/knärot/A 52268-2022 karta knärot.png", "A 52268-2022")</f>
        <v/>
      </c>
      <c r="V345">
        <f>HYPERLINK("https://klasma.github.io/Logging_2309/klagomål/A 52268-2022 FSC-klagomål.docx", "A 52268-2022")</f>
        <v/>
      </c>
      <c r="W345">
        <f>HYPERLINK("https://klasma.github.io/Logging_2309/klagomålsmail/A 52268-2022 FSC-klagomål mail.docx", "A 52268-2022")</f>
        <v/>
      </c>
      <c r="X345">
        <f>HYPERLINK("https://klasma.github.io/Logging_2309/tillsyn/A 52268-2022 tillsynsbegäran.docx", "A 52268-2022")</f>
        <v/>
      </c>
      <c r="Y345">
        <f>HYPERLINK("https://klasma.github.io/Logging_2309/tillsynsmail/A 52268-2022 tillsynsbegäran mail.docx", "A 52268-2022")</f>
        <v/>
      </c>
    </row>
    <row r="346" ht="15" customHeight="1">
      <c r="A346" t="inlineStr">
        <is>
          <t>A 52258-2022</t>
        </is>
      </c>
      <c r="B346" s="1" t="n">
        <v>44873</v>
      </c>
      <c r="C346" s="1" t="n">
        <v>46167</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46046-2023</t>
        </is>
      </c>
      <c r="B347" s="1" t="n">
        <v>45190</v>
      </c>
      <c r="C347" s="1" t="n">
        <v>46167</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46167</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29936-2023</t>
        </is>
      </c>
      <c r="B349" s="1" t="n">
        <v>45107</v>
      </c>
      <c r="C349" s="1" t="n">
        <v>46167</v>
      </c>
      <c r="D349" t="inlineStr">
        <is>
          <t>JÄMTLANDS LÄN</t>
        </is>
      </c>
      <c r="E349" t="inlineStr">
        <is>
          <t>KROKOM</t>
        </is>
      </c>
      <c r="G349" t="n">
        <v>77.40000000000001</v>
      </c>
      <c r="H349" t="n">
        <v>0</v>
      </c>
      <c r="I349" t="n">
        <v>0</v>
      </c>
      <c r="J349" t="n">
        <v>0</v>
      </c>
      <c r="K349" t="n">
        <v>0</v>
      </c>
      <c r="L349" t="n">
        <v>0</v>
      </c>
      <c r="M349" t="n">
        <v>0</v>
      </c>
      <c r="N349" t="n">
        <v>0</v>
      </c>
      <c r="O349" t="n">
        <v>0</v>
      </c>
      <c r="P349" t="n">
        <v>0</v>
      </c>
      <c r="Q349" t="n">
        <v>0</v>
      </c>
      <c r="R349" s="2" t="inlineStr"/>
    </row>
    <row r="350" ht="15" customHeight="1">
      <c r="A350" t="inlineStr">
        <is>
          <t>A 53771-2022</t>
        </is>
      </c>
      <c r="B350" s="1" t="n">
        <v>44875</v>
      </c>
      <c r="C350" s="1" t="n">
        <v>46167</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16874-2024</t>
        </is>
      </c>
      <c r="B351" s="1" t="n">
        <v>45411</v>
      </c>
      <c r="C351" s="1" t="n">
        <v>46167</v>
      </c>
      <c r="D351" t="inlineStr">
        <is>
          <t>JÄMTLANDS LÄN</t>
        </is>
      </c>
      <c r="E351" t="inlineStr">
        <is>
          <t>KROKOM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35767-2024</t>
        </is>
      </c>
      <c r="B352" s="1" t="n">
        <v>45532.58101851852</v>
      </c>
      <c r="C352" s="1" t="n">
        <v>46167</v>
      </c>
      <c r="D352" t="inlineStr">
        <is>
          <t>JÄMTLANDS LÄN</t>
        </is>
      </c>
      <c r="E352" t="inlineStr">
        <is>
          <t>KROKOM</t>
        </is>
      </c>
      <c r="G352" t="n">
        <v>5.1</v>
      </c>
      <c r="H352" t="n">
        <v>0</v>
      </c>
      <c r="I352" t="n">
        <v>0</v>
      </c>
      <c r="J352" t="n">
        <v>0</v>
      </c>
      <c r="K352" t="n">
        <v>0</v>
      </c>
      <c r="L352" t="n">
        <v>0</v>
      </c>
      <c r="M352" t="n">
        <v>0</v>
      </c>
      <c r="N352" t="n">
        <v>0</v>
      </c>
      <c r="O352" t="n">
        <v>0</v>
      </c>
      <c r="P352" t="n">
        <v>0</v>
      </c>
      <c r="Q352" t="n">
        <v>0</v>
      </c>
      <c r="R352" s="2" t="inlineStr"/>
    </row>
    <row r="353" ht="15" customHeight="1">
      <c r="A353" t="inlineStr">
        <is>
          <t>A 31988-2024</t>
        </is>
      </c>
      <c r="B353" s="1" t="n">
        <v>45510.58033564815</v>
      </c>
      <c r="C353" s="1" t="n">
        <v>46167</v>
      </c>
      <c r="D353" t="inlineStr">
        <is>
          <t>JÄMTLANDS LÄN</t>
        </is>
      </c>
      <c r="E353" t="inlineStr">
        <is>
          <t>KROKOM</t>
        </is>
      </c>
      <c r="F353" t="inlineStr">
        <is>
          <t>Övriga Aktiebolag</t>
        </is>
      </c>
      <c r="G353" t="n">
        <v>4.8</v>
      </c>
      <c r="H353" t="n">
        <v>0</v>
      </c>
      <c r="I353" t="n">
        <v>0</v>
      </c>
      <c r="J353" t="n">
        <v>0</v>
      </c>
      <c r="K353" t="n">
        <v>0</v>
      </c>
      <c r="L353" t="n">
        <v>0</v>
      </c>
      <c r="M353" t="n">
        <v>0</v>
      </c>
      <c r="N353" t="n">
        <v>0</v>
      </c>
      <c r="O353" t="n">
        <v>0</v>
      </c>
      <c r="P353" t="n">
        <v>0</v>
      </c>
      <c r="Q353" t="n">
        <v>0</v>
      </c>
      <c r="R353" s="2" t="inlineStr"/>
    </row>
    <row r="354" ht="15" customHeight="1">
      <c r="A354" t="inlineStr">
        <is>
          <t>A 14032-2024</t>
        </is>
      </c>
      <c r="B354" s="1" t="n">
        <v>45392</v>
      </c>
      <c r="C354" s="1" t="n">
        <v>46167</v>
      </c>
      <c r="D354" t="inlineStr">
        <is>
          <t>JÄMTLANDS LÄN</t>
        </is>
      </c>
      <c r="E354" t="inlineStr">
        <is>
          <t>KROKOM</t>
        </is>
      </c>
      <c r="F354" t="inlineStr">
        <is>
          <t>Kyrkan</t>
        </is>
      </c>
      <c r="G354" t="n">
        <v>1.1</v>
      </c>
      <c r="H354" t="n">
        <v>0</v>
      </c>
      <c r="I354" t="n">
        <v>0</v>
      </c>
      <c r="J354" t="n">
        <v>0</v>
      </c>
      <c r="K354" t="n">
        <v>0</v>
      </c>
      <c r="L354" t="n">
        <v>0</v>
      </c>
      <c r="M354" t="n">
        <v>0</v>
      </c>
      <c r="N354" t="n">
        <v>0</v>
      </c>
      <c r="O354" t="n">
        <v>0</v>
      </c>
      <c r="P354" t="n">
        <v>0</v>
      </c>
      <c r="Q354" t="n">
        <v>0</v>
      </c>
      <c r="R354" s="2" t="inlineStr"/>
    </row>
    <row r="355" ht="15" customHeight="1">
      <c r="A355" t="inlineStr">
        <is>
          <t>A 6042-2025</t>
        </is>
      </c>
      <c r="B355" s="1" t="n">
        <v>45695</v>
      </c>
      <c r="C355" s="1" t="n">
        <v>46167</v>
      </c>
      <c r="D355" t="inlineStr">
        <is>
          <t>JÄMTLANDS LÄN</t>
        </is>
      </c>
      <c r="E355" t="inlineStr">
        <is>
          <t>KROKOM</t>
        </is>
      </c>
      <c r="F355" t="inlineStr">
        <is>
          <t>Övriga Aktiebolag</t>
        </is>
      </c>
      <c r="G355" t="n">
        <v>8.9</v>
      </c>
      <c r="H355" t="n">
        <v>0</v>
      </c>
      <c r="I355" t="n">
        <v>0</v>
      </c>
      <c r="J355" t="n">
        <v>0</v>
      </c>
      <c r="K355" t="n">
        <v>0</v>
      </c>
      <c r="L355" t="n">
        <v>0</v>
      </c>
      <c r="M355" t="n">
        <v>0</v>
      </c>
      <c r="N355" t="n">
        <v>0</v>
      </c>
      <c r="O355" t="n">
        <v>0</v>
      </c>
      <c r="P355" t="n">
        <v>0</v>
      </c>
      <c r="Q355" t="n">
        <v>0</v>
      </c>
      <c r="R355" s="2" t="inlineStr"/>
    </row>
    <row r="356" ht="15" customHeight="1">
      <c r="A356" t="inlineStr">
        <is>
          <t>A 24234-2024</t>
        </is>
      </c>
      <c r="B356" s="1" t="n">
        <v>45457.35388888889</v>
      </c>
      <c r="C356" s="1" t="n">
        <v>46167</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46167</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46167</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33653-2023</t>
        </is>
      </c>
      <c r="B359" s="1" t="n">
        <v>45119</v>
      </c>
      <c r="C359" s="1" t="n">
        <v>46167</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24484-2024</t>
        </is>
      </c>
      <c r="B360" s="1" t="n">
        <v>45459.55150462963</v>
      </c>
      <c r="C360" s="1" t="n">
        <v>46167</v>
      </c>
      <c r="D360" t="inlineStr">
        <is>
          <t>JÄMTLANDS LÄN</t>
        </is>
      </c>
      <c r="E360" t="inlineStr">
        <is>
          <t>KROKOM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64163-2023</t>
        </is>
      </c>
      <c r="B361" s="1" t="n">
        <v>45279</v>
      </c>
      <c r="C361" s="1" t="n">
        <v>46167</v>
      </c>
      <c r="D361" t="inlineStr">
        <is>
          <t>JÄMTLANDS LÄN</t>
        </is>
      </c>
      <c r="E361" t="inlineStr">
        <is>
          <t>KROKOM</t>
        </is>
      </c>
      <c r="G361" t="n">
        <v>15.8</v>
      </c>
      <c r="H361" t="n">
        <v>0</v>
      </c>
      <c r="I361" t="n">
        <v>0</v>
      </c>
      <c r="J361" t="n">
        <v>0</v>
      </c>
      <c r="K361" t="n">
        <v>0</v>
      </c>
      <c r="L361" t="n">
        <v>0</v>
      </c>
      <c r="M361" t="n">
        <v>0</v>
      </c>
      <c r="N361" t="n">
        <v>0</v>
      </c>
      <c r="O361" t="n">
        <v>0</v>
      </c>
      <c r="P361" t="n">
        <v>0</v>
      </c>
      <c r="Q361" t="n">
        <v>0</v>
      </c>
      <c r="R361" s="2" t="inlineStr"/>
    </row>
    <row r="362" ht="15" customHeight="1">
      <c r="A362" t="inlineStr">
        <is>
          <t>A 6991-2025</t>
        </is>
      </c>
      <c r="B362" s="1" t="n">
        <v>45701.57363425926</v>
      </c>
      <c r="C362" s="1" t="n">
        <v>46167</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46167</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46167</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10646-2025</t>
        </is>
      </c>
      <c r="B365" s="1" t="n">
        <v>45721.66456018519</v>
      </c>
      <c r="C365" s="1" t="n">
        <v>46167</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15876-2025</t>
        </is>
      </c>
      <c r="B366" s="1" t="n">
        <v>45749.38379629629</v>
      </c>
      <c r="C366" s="1" t="n">
        <v>46167</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25428-2022</t>
        </is>
      </c>
      <c r="B367" s="1" t="n">
        <v>44732</v>
      </c>
      <c r="C367" s="1" t="n">
        <v>46167</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46167</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46167</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4570-2025</t>
        </is>
      </c>
      <c r="B370" s="1" t="n">
        <v>45687</v>
      </c>
      <c r="C370" s="1" t="n">
        <v>46167</v>
      </c>
      <c r="D370" t="inlineStr">
        <is>
          <t>JÄMTLANDS LÄN</t>
        </is>
      </c>
      <c r="E370" t="inlineStr">
        <is>
          <t>KROKOM</t>
        </is>
      </c>
      <c r="G370" t="n">
        <v>4.6</v>
      </c>
      <c r="H370" t="n">
        <v>0</v>
      </c>
      <c r="I370" t="n">
        <v>0</v>
      </c>
      <c r="J370" t="n">
        <v>0</v>
      </c>
      <c r="K370" t="n">
        <v>0</v>
      </c>
      <c r="L370" t="n">
        <v>0</v>
      </c>
      <c r="M370" t="n">
        <v>0</v>
      </c>
      <c r="N370" t="n">
        <v>0</v>
      </c>
      <c r="O370" t="n">
        <v>0</v>
      </c>
      <c r="P370" t="n">
        <v>0</v>
      </c>
      <c r="Q370" t="n">
        <v>0</v>
      </c>
      <c r="R370" s="2" t="inlineStr"/>
    </row>
    <row r="371" ht="15" customHeight="1">
      <c r="A371" t="inlineStr">
        <is>
          <t>A 67740-2021</t>
        </is>
      </c>
      <c r="B371" s="1" t="n">
        <v>44524</v>
      </c>
      <c r="C371" s="1" t="n">
        <v>46167</v>
      </c>
      <c r="D371" t="inlineStr">
        <is>
          <t>JÄMTLANDS LÄN</t>
        </is>
      </c>
      <c r="E371" t="inlineStr">
        <is>
          <t>KROKOM</t>
        </is>
      </c>
      <c r="G371" t="n">
        <v>12.3</v>
      </c>
      <c r="H371" t="n">
        <v>0</v>
      </c>
      <c r="I371" t="n">
        <v>0</v>
      </c>
      <c r="J371" t="n">
        <v>0</v>
      </c>
      <c r="K371" t="n">
        <v>0</v>
      </c>
      <c r="L371" t="n">
        <v>0</v>
      </c>
      <c r="M371" t="n">
        <v>0</v>
      </c>
      <c r="N371" t="n">
        <v>0</v>
      </c>
      <c r="O371" t="n">
        <v>0</v>
      </c>
      <c r="P371" t="n">
        <v>0</v>
      </c>
      <c r="Q371" t="n">
        <v>0</v>
      </c>
      <c r="R371" s="2" t="inlineStr"/>
    </row>
    <row r="372" ht="15" customHeight="1">
      <c r="A372" t="inlineStr">
        <is>
          <t>A 42439-2023</t>
        </is>
      </c>
      <c r="B372" s="1" t="n">
        <v>45180.6391087963</v>
      </c>
      <c r="C372" s="1" t="n">
        <v>46167</v>
      </c>
      <c r="D372" t="inlineStr">
        <is>
          <t>JÄMTLANDS LÄN</t>
        </is>
      </c>
      <c r="E372" t="inlineStr">
        <is>
          <t>KROKOM</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46167</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53402-2022</t>
        </is>
      </c>
      <c r="B374" s="1" t="n">
        <v>44874</v>
      </c>
      <c r="C374" s="1" t="n">
        <v>46167</v>
      </c>
      <c r="D374" t="inlineStr">
        <is>
          <t>JÄMTLANDS LÄN</t>
        </is>
      </c>
      <c r="E374" t="inlineStr">
        <is>
          <t>KROKOM</t>
        </is>
      </c>
      <c r="G374" t="n">
        <v>36.7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46167</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7111-2024</t>
        </is>
      </c>
      <c r="B376" s="1" t="n">
        <v>45343.95162037037</v>
      </c>
      <c r="C376" s="1" t="n">
        <v>46167</v>
      </c>
      <c r="D376" t="inlineStr">
        <is>
          <t>JÄMTLANDS LÄN</t>
        </is>
      </c>
      <c r="E376" t="inlineStr">
        <is>
          <t>KROKOM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53916-2023</t>
        </is>
      </c>
      <c r="B377" s="1" t="n">
        <v>45231</v>
      </c>
      <c r="C377" s="1" t="n">
        <v>46167</v>
      </c>
      <c r="D377" t="inlineStr">
        <is>
          <t>JÄMTLANDS LÄN</t>
        </is>
      </c>
      <c r="E377" t="inlineStr">
        <is>
          <t>KROKOM</t>
        </is>
      </c>
      <c r="G377" t="n">
        <v>7.3</v>
      </c>
      <c r="H377" t="n">
        <v>0</v>
      </c>
      <c r="I377" t="n">
        <v>0</v>
      </c>
      <c r="J377" t="n">
        <v>0</v>
      </c>
      <c r="K377" t="n">
        <v>0</v>
      </c>
      <c r="L377" t="n">
        <v>0</v>
      </c>
      <c r="M377" t="n">
        <v>0</v>
      </c>
      <c r="N377" t="n">
        <v>0</v>
      </c>
      <c r="O377" t="n">
        <v>0</v>
      </c>
      <c r="P377" t="n">
        <v>0</v>
      </c>
      <c r="Q377" t="n">
        <v>0</v>
      </c>
      <c r="R377" s="2" t="inlineStr"/>
    </row>
    <row r="378" ht="15" customHeight="1">
      <c r="A378" t="inlineStr">
        <is>
          <t>A 50129-2024</t>
        </is>
      </c>
      <c r="B378" s="1" t="n">
        <v>45600.433125</v>
      </c>
      <c r="C378" s="1" t="n">
        <v>46167</v>
      </c>
      <c r="D378" t="inlineStr">
        <is>
          <t>JÄMTLANDS LÄN</t>
        </is>
      </c>
      <c r="E378" t="inlineStr">
        <is>
          <t>KROKOM</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15776-2025</t>
        </is>
      </c>
      <c r="B379" s="1" t="n">
        <v>45748.59744212963</v>
      </c>
      <c r="C379" s="1" t="n">
        <v>46167</v>
      </c>
      <c r="D379" t="inlineStr">
        <is>
          <t>JÄMTLANDS LÄN</t>
        </is>
      </c>
      <c r="E379" t="inlineStr">
        <is>
          <t>KROKOM</t>
        </is>
      </c>
      <c r="G379" t="n">
        <v>46.5</v>
      </c>
      <c r="H379" t="n">
        <v>0</v>
      </c>
      <c r="I379" t="n">
        <v>0</v>
      </c>
      <c r="J379" t="n">
        <v>0</v>
      </c>
      <c r="K379" t="n">
        <v>0</v>
      </c>
      <c r="L379" t="n">
        <v>0</v>
      </c>
      <c r="M379" t="n">
        <v>0</v>
      </c>
      <c r="N379" t="n">
        <v>0</v>
      </c>
      <c r="O379" t="n">
        <v>0</v>
      </c>
      <c r="P379" t="n">
        <v>0</v>
      </c>
      <c r="Q379" t="n">
        <v>0</v>
      </c>
      <c r="R379" s="2" t="inlineStr"/>
    </row>
    <row r="380" ht="15" customHeight="1">
      <c r="A380" t="inlineStr">
        <is>
          <t>A 36567-2021</t>
        </is>
      </c>
      <c r="B380" s="1" t="n">
        <v>44391</v>
      </c>
      <c r="C380" s="1" t="n">
        <v>46167</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57856-2023</t>
        </is>
      </c>
      <c r="B381" s="1" t="n">
        <v>45247</v>
      </c>
      <c r="C381" s="1" t="n">
        <v>46167</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18080-2025</t>
        </is>
      </c>
      <c r="B382" s="1" t="n">
        <v>45761.50909722222</v>
      </c>
      <c r="C382" s="1" t="n">
        <v>46167</v>
      </c>
      <c r="D382" t="inlineStr">
        <is>
          <t>JÄMTLANDS LÄN</t>
        </is>
      </c>
      <c r="E382" t="inlineStr">
        <is>
          <t>KROKOM</t>
        </is>
      </c>
      <c r="G382" t="n">
        <v>21.9</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46167</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46167</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55455-2022</t>
        </is>
      </c>
      <c r="B385" s="1" t="n">
        <v>44887</v>
      </c>
      <c r="C385" s="1" t="n">
        <v>46167</v>
      </c>
      <c r="D385" t="inlineStr">
        <is>
          <t>JÄMTLANDS LÄN</t>
        </is>
      </c>
      <c r="E385" t="inlineStr">
        <is>
          <t>KROKOM</t>
        </is>
      </c>
      <c r="F385" t="inlineStr">
        <is>
          <t>Övriga Aktiebolag</t>
        </is>
      </c>
      <c r="G385" t="n">
        <v>5.2</v>
      </c>
      <c r="H385" t="n">
        <v>0</v>
      </c>
      <c r="I385" t="n">
        <v>0</v>
      </c>
      <c r="J385" t="n">
        <v>0</v>
      </c>
      <c r="K385" t="n">
        <v>0</v>
      </c>
      <c r="L385" t="n">
        <v>0</v>
      </c>
      <c r="M385" t="n">
        <v>0</v>
      </c>
      <c r="N385" t="n">
        <v>0</v>
      </c>
      <c r="O385" t="n">
        <v>0</v>
      </c>
      <c r="P385" t="n">
        <v>0</v>
      </c>
      <c r="Q385" t="n">
        <v>0</v>
      </c>
      <c r="R385" s="2" t="inlineStr"/>
    </row>
    <row r="386" ht="15" customHeight="1">
      <c r="A386" t="inlineStr">
        <is>
          <t>A 18406-2025</t>
        </is>
      </c>
      <c r="B386" s="1" t="n">
        <v>45762.60907407408</v>
      </c>
      <c r="C386" s="1" t="n">
        <v>46167</v>
      </c>
      <c r="D386" t="inlineStr">
        <is>
          <t>JÄMTLANDS LÄN</t>
        </is>
      </c>
      <c r="E386" t="inlineStr">
        <is>
          <t>KROKOM</t>
        </is>
      </c>
      <c r="F386" t="inlineStr">
        <is>
          <t>Övriga Aktiebolag</t>
        </is>
      </c>
      <c r="G386" t="n">
        <v>34.3</v>
      </c>
      <c r="H386" t="n">
        <v>0</v>
      </c>
      <c r="I386" t="n">
        <v>0</v>
      </c>
      <c r="J386" t="n">
        <v>0</v>
      </c>
      <c r="K386" t="n">
        <v>0</v>
      </c>
      <c r="L386" t="n">
        <v>0</v>
      </c>
      <c r="M386" t="n">
        <v>0</v>
      </c>
      <c r="N386" t="n">
        <v>0</v>
      </c>
      <c r="O386" t="n">
        <v>0</v>
      </c>
      <c r="P386" t="n">
        <v>0</v>
      </c>
      <c r="Q386" t="n">
        <v>0</v>
      </c>
      <c r="R386" s="2" t="inlineStr"/>
    </row>
    <row r="387" ht="15" customHeight="1">
      <c r="A387" t="inlineStr">
        <is>
          <t>A 17510-2025</t>
        </is>
      </c>
      <c r="B387" s="1" t="n">
        <v>45757.56491898148</v>
      </c>
      <c r="C387" s="1" t="n">
        <v>46167</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826-2025</t>
        </is>
      </c>
      <c r="B388" s="1" t="n">
        <v>45665.57373842593</v>
      </c>
      <c r="C388" s="1" t="n">
        <v>46167</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5356-2025</t>
        </is>
      </c>
      <c r="B389" s="1" t="n">
        <v>45692</v>
      </c>
      <c r="C389" s="1" t="n">
        <v>46167</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54160-2023</t>
        </is>
      </c>
      <c r="B390" s="1" t="n">
        <v>45232.46239583333</v>
      </c>
      <c r="C390" s="1" t="n">
        <v>46167</v>
      </c>
      <c r="D390" t="inlineStr">
        <is>
          <t>JÄMTLANDS LÄN</t>
        </is>
      </c>
      <c r="E390" t="inlineStr">
        <is>
          <t>KROKOM</t>
        </is>
      </c>
      <c r="G390" t="n">
        <v>3</v>
      </c>
      <c r="H390" t="n">
        <v>0</v>
      </c>
      <c r="I390" t="n">
        <v>0</v>
      </c>
      <c r="J390" t="n">
        <v>0</v>
      </c>
      <c r="K390" t="n">
        <v>0</v>
      </c>
      <c r="L390" t="n">
        <v>0</v>
      </c>
      <c r="M390" t="n">
        <v>0</v>
      </c>
      <c r="N390" t="n">
        <v>0</v>
      </c>
      <c r="O390" t="n">
        <v>0</v>
      </c>
      <c r="P390" t="n">
        <v>0</v>
      </c>
      <c r="Q390" t="n">
        <v>0</v>
      </c>
      <c r="R390" s="2" t="inlineStr"/>
    </row>
    <row r="391" ht="15" customHeight="1">
      <c r="A391" t="inlineStr">
        <is>
          <t>A 61966-2024</t>
        </is>
      </c>
      <c r="B391" s="1" t="n">
        <v>45653.57240740741</v>
      </c>
      <c r="C391" s="1" t="n">
        <v>46167</v>
      </c>
      <c r="D391" t="inlineStr">
        <is>
          <t>JÄMTLANDS LÄN</t>
        </is>
      </c>
      <c r="E391" t="inlineStr">
        <is>
          <t>KROKOM</t>
        </is>
      </c>
      <c r="F391" t="inlineStr">
        <is>
          <t>Övriga Aktiebolag</t>
        </is>
      </c>
      <c r="G391" t="n">
        <v>15.7</v>
      </c>
      <c r="H391" t="n">
        <v>0</v>
      </c>
      <c r="I391" t="n">
        <v>0</v>
      </c>
      <c r="J391" t="n">
        <v>0</v>
      </c>
      <c r="K391" t="n">
        <v>0</v>
      </c>
      <c r="L391" t="n">
        <v>0</v>
      </c>
      <c r="M391" t="n">
        <v>0</v>
      </c>
      <c r="N391" t="n">
        <v>0</v>
      </c>
      <c r="O391" t="n">
        <v>0</v>
      </c>
      <c r="P391" t="n">
        <v>0</v>
      </c>
      <c r="Q391" t="n">
        <v>0</v>
      </c>
      <c r="R391" s="2" t="inlineStr"/>
    </row>
    <row r="392" ht="15" customHeight="1">
      <c r="A392" t="inlineStr">
        <is>
          <t>A 39127-2023</t>
        </is>
      </c>
      <c r="B392" s="1" t="n">
        <v>45165.70483796296</v>
      </c>
      <c r="C392" s="1" t="n">
        <v>46167</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30383-2024</t>
        </is>
      </c>
      <c r="B393" s="1" t="n">
        <v>45491.44971064815</v>
      </c>
      <c r="C393" s="1" t="n">
        <v>46167</v>
      </c>
      <c r="D393" t="inlineStr">
        <is>
          <t>JÄMTLANDS LÄN</t>
        </is>
      </c>
      <c r="E393" t="inlineStr">
        <is>
          <t>KROKOM</t>
        </is>
      </c>
      <c r="G393" t="n">
        <v>22.9</v>
      </c>
      <c r="H393" t="n">
        <v>0</v>
      </c>
      <c r="I393" t="n">
        <v>0</v>
      </c>
      <c r="J393" t="n">
        <v>0</v>
      </c>
      <c r="K393" t="n">
        <v>0</v>
      </c>
      <c r="L393" t="n">
        <v>0</v>
      </c>
      <c r="M393" t="n">
        <v>0</v>
      </c>
      <c r="N393" t="n">
        <v>0</v>
      </c>
      <c r="O393" t="n">
        <v>0</v>
      </c>
      <c r="P393" t="n">
        <v>0</v>
      </c>
      <c r="Q393" t="n">
        <v>0</v>
      </c>
      <c r="R393" s="2" t="inlineStr"/>
    </row>
    <row r="394" ht="15" customHeight="1">
      <c r="A394" t="inlineStr">
        <is>
          <t>A 48769-2022</t>
        </is>
      </c>
      <c r="B394" s="1" t="n">
        <v>44855</v>
      </c>
      <c r="C394" s="1" t="n">
        <v>46167</v>
      </c>
      <c r="D394" t="inlineStr">
        <is>
          <t>JÄMTLANDS LÄN</t>
        </is>
      </c>
      <c r="E394" t="inlineStr">
        <is>
          <t>KROKOM</t>
        </is>
      </c>
      <c r="G394" t="n">
        <v>7.5</v>
      </c>
      <c r="H394" t="n">
        <v>0</v>
      </c>
      <c r="I394" t="n">
        <v>0</v>
      </c>
      <c r="J394" t="n">
        <v>0</v>
      </c>
      <c r="K394" t="n">
        <v>0</v>
      </c>
      <c r="L394" t="n">
        <v>0</v>
      </c>
      <c r="M394" t="n">
        <v>0</v>
      </c>
      <c r="N394" t="n">
        <v>0</v>
      </c>
      <c r="O394" t="n">
        <v>0</v>
      </c>
      <c r="P394" t="n">
        <v>0</v>
      </c>
      <c r="Q394" t="n">
        <v>0</v>
      </c>
      <c r="R394" s="2" t="inlineStr"/>
    </row>
    <row r="395" ht="15" customHeight="1">
      <c r="A395" t="inlineStr">
        <is>
          <t>A 48777-2022</t>
        </is>
      </c>
      <c r="B395" s="1" t="n">
        <v>44855</v>
      </c>
      <c r="C395" s="1" t="n">
        <v>46167</v>
      </c>
      <c r="D395" t="inlineStr">
        <is>
          <t>JÄMTLANDS LÄN</t>
        </is>
      </c>
      <c r="E395" t="inlineStr">
        <is>
          <t>KROKOM</t>
        </is>
      </c>
      <c r="G395" t="n">
        <v>5.3</v>
      </c>
      <c r="H395" t="n">
        <v>0</v>
      </c>
      <c r="I395" t="n">
        <v>0</v>
      </c>
      <c r="J395" t="n">
        <v>0</v>
      </c>
      <c r="K395" t="n">
        <v>0</v>
      </c>
      <c r="L395" t="n">
        <v>0</v>
      </c>
      <c r="M395" t="n">
        <v>0</v>
      </c>
      <c r="N395" t="n">
        <v>0</v>
      </c>
      <c r="O395" t="n">
        <v>0</v>
      </c>
      <c r="P395" t="n">
        <v>0</v>
      </c>
      <c r="Q395" t="n">
        <v>0</v>
      </c>
      <c r="R395" s="2" t="inlineStr"/>
    </row>
    <row r="396" ht="15" customHeight="1">
      <c r="A396" t="inlineStr">
        <is>
          <t>A 59619-2024</t>
        </is>
      </c>
      <c r="B396" s="1" t="n">
        <v>45638.81375</v>
      </c>
      <c r="C396" s="1" t="n">
        <v>46167</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47838-2023</t>
        </is>
      </c>
      <c r="B397" s="1" t="n">
        <v>45204</v>
      </c>
      <c r="C397" s="1" t="n">
        <v>46167</v>
      </c>
      <c r="D397" t="inlineStr">
        <is>
          <t>JÄMTLANDS LÄN</t>
        </is>
      </c>
      <c r="E397" t="inlineStr">
        <is>
          <t>KROKOM</t>
        </is>
      </c>
      <c r="G397" t="n">
        <v>11.8</v>
      </c>
      <c r="H397" t="n">
        <v>0</v>
      </c>
      <c r="I397" t="n">
        <v>0</v>
      </c>
      <c r="J397" t="n">
        <v>0</v>
      </c>
      <c r="K397" t="n">
        <v>0</v>
      </c>
      <c r="L397" t="n">
        <v>0</v>
      </c>
      <c r="M397" t="n">
        <v>0</v>
      </c>
      <c r="N397" t="n">
        <v>0</v>
      </c>
      <c r="O397" t="n">
        <v>0</v>
      </c>
      <c r="P397" t="n">
        <v>0</v>
      </c>
      <c r="Q397" t="n">
        <v>0</v>
      </c>
      <c r="R397" s="2" t="inlineStr"/>
    </row>
    <row r="398" ht="15" customHeight="1">
      <c r="A398" t="inlineStr">
        <is>
          <t>A 60172-2024</t>
        </is>
      </c>
      <c r="B398" s="1" t="n">
        <v>45642.6366087963</v>
      </c>
      <c r="C398" s="1" t="n">
        <v>46167</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31550-2023</t>
        </is>
      </c>
      <c r="B399" s="1" t="n">
        <v>45117</v>
      </c>
      <c r="C399" s="1" t="n">
        <v>46167</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50822-2024</t>
        </is>
      </c>
      <c r="B400" s="1" t="n">
        <v>45602.57827546296</v>
      </c>
      <c r="C400" s="1" t="n">
        <v>46167</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39368-2024</t>
        </is>
      </c>
      <c r="B401" s="1" t="n">
        <v>45551.47325231481</v>
      </c>
      <c r="C401" s="1" t="n">
        <v>46167</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11193-2024</t>
        </is>
      </c>
      <c r="B402" s="1" t="n">
        <v>45371</v>
      </c>
      <c r="C402" s="1" t="n">
        <v>46167</v>
      </c>
      <c r="D402" t="inlineStr">
        <is>
          <t>JÄMTLANDS LÄN</t>
        </is>
      </c>
      <c r="E402" t="inlineStr">
        <is>
          <t>KROKOM</t>
        </is>
      </c>
      <c r="G402" t="n">
        <v>6.2</v>
      </c>
      <c r="H402" t="n">
        <v>0</v>
      </c>
      <c r="I402" t="n">
        <v>0</v>
      </c>
      <c r="J402" t="n">
        <v>0</v>
      </c>
      <c r="K402" t="n">
        <v>0</v>
      </c>
      <c r="L402" t="n">
        <v>0</v>
      </c>
      <c r="M402" t="n">
        <v>0</v>
      </c>
      <c r="N402" t="n">
        <v>0</v>
      </c>
      <c r="O402" t="n">
        <v>0</v>
      </c>
      <c r="P402" t="n">
        <v>0</v>
      </c>
      <c r="Q402" t="n">
        <v>0</v>
      </c>
      <c r="R402" s="2" t="inlineStr"/>
    </row>
    <row r="403" ht="15" customHeight="1">
      <c r="A403" t="inlineStr">
        <is>
          <t>A 34801-2023</t>
        </is>
      </c>
      <c r="B403" s="1" t="n">
        <v>45140</v>
      </c>
      <c r="C403" s="1" t="n">
        <v>46167</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56557-2021</t>
        </is>
      </c>
      <c r="B404" s="1" t="n">
        <v>44480</v>
      </c>
      <c r="C404" s="1" t="n">
        <v>46167</v>
      </c>
      <c r="D404" t="inlineStr">
        <is>
          <t>JÄMTLANDS LÄN</t>
        </is>
      </c>
      <c r="E404" t="inlineStr">
        <is>
          <t>KROKOM</t>
        </is>
      </c>
      <c r="G404" t="n">
        <v>2.3</v>
      </c>
      <c r="H404" t="n">
        <v>0</v>
      </c>
      <c r="I404" t="n">
        <v>0</v>
      </c>
      <c r="J404" t="n">
        <v>0</v>
      </c>
      <c r="K404" t="n">
        <v>0</v>
      </c>
      <c r="L404" t="n">
        <v>0</v>
      </c>
      <c r="M404" t="n">
        <v>0</v>
      </c>
      <c r="N404" t="n">
        <v>0</v>
      </c>
      <c r="O404" t="n">
        <v>0</v>
      </c>
      <c r="P404" t="n">
        <v>0</v>
      </c>
      <c r="Q404" t="n">
        <v>0</v>
      </c>
      <c r="R404" s="2" t="inlineStr"/>
    </row>
    <row r="405" ht="15" customHeight="1">
      <c r="A405" t="inlineStr">
        <is>
          <t>A 58355-2023</t>
        </is>
      </c>
      <c r="B405" s="1" t="n">
        <v>45250</v>
      </c>
      <c r="C405" s="1" t="n">
        <v>46167</v>
      </c>
      <c r="D405" t="inlineStr">
        <is>
          <t>JÄMTLANDS LÄN</t>
        </is>
      </c>
      <c r="E405" t="inlineStr">
        <is>
          <t>KROKOM</t>
        </is>
      </c>
      <c r="F405" t="inlineStr">
        <is>
          <t>Övriga Aktiebolag</t>
        </is>
      </c>
      <c r="G405" t="n">
        <v>6.6</v>
      </c>
      <c r="H405" t="n">
        <v>0</v>
      </c>
      <c r="I405" t="n">
        <v>0</v>
      </c>
      <c r="J405" t="n">
        <v>0</v>
      </c>
      <c r="K405" t="n">
        <v>0</v>
      </c>
      <c r="L405" t="n">
        <v>0</v>
      </c>
      <c r="M405" t="n">
        <v>0</v>
      </c>
      <c r="N405" t="n">
        <v>0</v>
      </c>
      <c r="O405" t="n">
        <v>0</v>
      </c>
      <c r="P405" t="n">
        <v>0</v>
      </c>
      <c r="Q405" t="n">
        <v>0</v>
      </c>
      <c r="R405" s="2" t="inlineStr"/>
    </row>
    <row r="406" ht="15" customHeight="1">
      <c r="A406" t="inlineStr">
        <is>
          <t>A 60680-2023</t>
        </is>
      </c>
      <c r="B406" s="1" t="n">
        <v>45260</v>
      </c>
      <c r="C406" s="1" t="n">
        <v>46167</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56361-2023</t>
        </is>
      </c>
      <c r="B407" s="1" t="n">
        <v>45243.37567129629</v>
      </c>
      <c r="C407" s="1" t="n">
        <v>46167</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21990-2022</t>
        </is>
      </c>
      <c r="B408" s="1" t="n">
        <v>44711</v>
      </c>
      <c r="C408" s="1" t="n">
        <v>46167</v>
      </c>
      <c r="D408" t="inlineStr">
        <is>
          <t>JÄMTLANDS LÄN</t>
        </is>
      </c>
      <c r="E408" t="inlineStr">
        <is>
          <t>KROKOM</t>
        </is>
      </c>
      <c r="F408" t="inlineStr">
        <is>
          <t>Övriga Aktiebolag</t>
        </is>
      </c>
      <c r="G408" t="n">
        <v>26.3</v>
      </c>
      <c r="H408" t="n">
        <v>0</v>
      </c>
      <c r="I408" t="n">
        <v>0</v>
      </c>
      <c r="J408" t="n">
        <v>0</v>
      </c>
      <c r="K408" t="n">
        <v>0</v>
      </c>
      <c r="L408" t="n">
        <v>0</v>
      </c>
      <c r="M408" t="n">
        <v>0</v>
      </c>
      <c r="N408" t="n">
        <v>0</v>
      </c>
      <c r="O408" t="n">
        <v>0</v>
      </c>
      <c r="P408" t="n">
        <v>0</v>
      </c>
      <c r="Q408" t="n">
        <v>0</v>
      </c>
      <c r="R408" s="2" t="inlineStr"/>
    </row>
    <row r="409" ht="15" customHeight="1">
      <c r="A409" t="inlineStr">
        <is>
          <t>A 31538-2023</t>
        </is>
      </c>
      <c r="B409" s="1" t="n">
        <v>45117</v>
      </c>
      <c r="C409" s="1" t="n">
        <v>46167</v>
      </c>
      <c r="D409" t="inlineStr">
        <is>
          <t>JÄMTLANDS LÄN</t>
        </is>
      </c>
      <c r="E409" t="inlineStr">
        <is>
          <t>KROKOM</t>
        </is>
      </c>
      <c r="F409" t="inlineStr">
        <is>
          <t>Övriga Aktiebolag</t>
        </is>
      </c>
      <c r="G409" t="n">
        <v>9.9</v>
      </c>
      <c r="H409" t="n">
        <v>0</v>
      </c>
      <c r="I409" t="n">
        <v>0</v>
      </c>
      <c r="J409" t="n">
        <v>0</v>
      </c>
      <c r="K409" t="n">
        <v>0</v>
      </c>
      <c r="L409" t="n">
        <v>0</v>
      </c>
      <c r="M409" t="n">
        <v>0</v>
      </c>
      <c r="N409" t="n">
        <v>0</v>
      </c>
      <c r="O409" t="n">
        <v>0</v>
      </c>
      <c r="P409" t="n">
        <v>0</v>
      </c>
      <c r="Q409" t="n">
        <v>0</v>
      </c>
      <c r="R409" s="2" t="inlineStr"/>
    </row>
    <row r="410" ht="15" customHeight="1">
      <c r="A410" t="inlineStr">
        <is>
          <t>A 47625-2023</t>
        </is>
      </c>
      <c r="B410" s="1" t="n">
        <v>45203</v>
      </c>
      <c r="C410" s="1" t="n">
        <v>46167</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31537-2023</t>
        </is>
      </c>
      <c r="B411" s="1" t="n">
        <v>45117</v>
      </c>
      <c r="C411" s="1" t="n">
        <v>46167</v>
      </c>
      <c r="D411" t="inlineStr">
        <is>
          <t>JÄMTLANDS LÄN</t>
        </is>
      </c>
      <c r="E411" t="inlineStr">
        <is>
          <t>KROKOM</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30160-2022</t>
        </is>
      </c>
      <c r="B412" s="1" t="n">
        <v>44757</v>
      </c>
      <c r="C412" s="1" t="n">
        <v>46167</v>
      </c>
      <c r="D412" t="inlineStr">
        <is>
          <t>JÄMTLANDS LÄN</t>
        </is>
      </c>
      <c r="E412" t="inlineStr">
        <is>
          <t>KROKOM</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38043-2023</t>
        </is>
      </c>
      <c r="B413" s="1" t="n">
        <v>45160.66704861111</v>
      </c>
      <c r="C413" s="1" t="n">
        <v>46167</v>
      </c>
      <c r="D413" t="inlineStr">
        <is>
          <t>JÄMTLANDS LÄN</t>
        </is>
      </c>
      <c r="E413" t="inlineStr">
        <is>
          <t>KROKOM</t>
        </is>
      </c>
      <c r="F413" t="inlineStr">
        <is>
          <t>Övriga Aktiebolag</t>
        </is>
      </c>
      <c r="G413" t="n">
        <v>10.4</v>
      </c>
      <c r="H413" t="n">
        <v>0</v>
      </c>
      <c r="I413" t="n">
        <v>0</v>
      </c>
      <c r="J413" t="n">
        <v>0</v>
      </c>
      <c r="K413" t="n">
        <v>0</v>
      </c>
      <c r="L413" t="n">
        <v>0</v>
      </c>
      <c r="M413" t="n">
        <v>0</v>
      </c>
      <c r="N413" t="n">
        <v>0</v>
      </c>
      <c r="O413" t="n">
        <v>0</v>
      </c>
      <c r="P413" t="n">
        <v>0</v>
      </c>
      <c r="Q413" t="n">
        <v>0</v>
      </c>
      <c r="R413" s="2" t="inlineStr"/>
    </row>
    <row r="414" ht="15" customHeight="1">
      <c r="A414" t="inlineStr">
        <is>
          <t>A 57149-2023</t>
        </is>
      </c>
      <c r="B414" s="1" t="n">
        <v>45245</v>
      </c>
      <c r="C414" s="1" t="n">
        <v>46167</v>
      </c>
      <c r="D414" t="inlineStr">
        <is>
          <t>JÄMTLANDS LÄN</t>
        </is>
      </c>
      <c r="E414" t="inlineStr">
        <is>
          <t>KROKOM</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44156-2024</t>
        </is>
      </c>
      <c r="B415" s="1" t="n">
        <v>45572</v>
      </c>
      <c r="C415" s="1" t="n">
        <v>46167</v>
      </c>
      <c r="D415" t="inlineStr">
        <is>
          <t>JÄMTLANDS LÄN</t>
        </is>
      </c>
      <c r="E415" t="inlineStr">
        <is>
          <t>KROKOM</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11436-2025</t>
        </is>
      </c>
      <c r="B416" s="1" t="n">
        <v>45726.61520833334</v>
      </c>
      <c r="C416" s="1" t="n">
        <v>46167</v>
      </c>
      <c r="D416" t="inlineStr">
        <is>
          <t>JÄMTLANDS LÄN</t>
        </is>
      </c>
      <c r="E416" t="inlineStr">
        <is>
          <t>KROKOM</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41971-2024</t>
        </is>
      </c>
      <c r="B417" s="1" t="n">
        <v>45561.61509259259</v>
      </c>
      <c r="C417" s="1" t="n">
        <v>46167</v>
      </c>
      <c r="D417" t="inlineStr">
        <is>
          <t>JÄMTLANDS LÄN</t>
        </is>
      </c>
      <c r="E417" t="inlineStr">
        <is>
          <t>KROKOM</t>
        </is>
      </c>
      <c r="G417" t="n">
        <v>5.5</v>
      </c>
      <c r="H417" t="n">
        <v>0</v>
      </c>
      <c r="I417" t="n">
        <v>0</v>
      </c>
      <c r="J417" t="n">
        <v>0</v>
      </c>
      <c r="K417" t="n">
        <v>0</v>
      </c>
      <c r="L417" t="n">
        <v>0</v>
      </c>
      <c r="M417" t="n">
        <v>0</v>
      </c>
      <c r="N417" t="n">
        <v>0</v>
      </c>
      <c r="O417" t="n">
        <v>0</v>
      </c>
      <c r="P417" t="n">
        <v>0</v>
      </c>
      <c r="Q417" t="n">
        <v>0</v>
      </c>
      <c r="R417" s="2" t="inlineStr"/>
    </row>
    <row r="418" ht="15" customHeight="1">
      <c r="A418" t="inlineStr">
        <is>
          <t>A 65236-2023</t>
        </is>
      </c>
      <c r="B418" s="1" t="n">
        <v>45289</v>
      </c>
      <c r="C418" s="1" t="n">
        <v>46167</v>
      </c>
      <c r="D418" t="inlineStr">
        <is>
          <t>JÄMTLANDS LÄN</t>
        </is>
      </c>
      <c r="E418" t="inlineStr">
        <is>
          <t>KROKOM</t>
        </is>
      </c>
      <c r="G418" t="n">
        <v>0.1</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46167</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27729-2024</t>
        </is>
      </c>
      <c r="B420" s="1" t="n">
        <v>45475</v>
      </c>
      <c r="C420" s="1" t="n">
        <v>46167</v>
      </c>
      <c r="D420" t="inlineStr">
        <is>
          <t>JÄMTLANDS LÄN</t>
        </is>
      </c>
      <c r="E420" t="inlineStr">
        <is>
          <t>KROKOM</t>
        </is>
      </c>
      <c r="G420" t="n">
        <v>1.5</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46167</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10532-2025</t>
        </is>
      </c>
      <c r="B422" s="1" t="n">
        <v>45721.4546412037</v>
      </c>
      <c r="C422" s="1" t="n">
        <v>46167</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5680-2025</t>
        </is>
      </c>
      <c r="B423" s="1" t="n">
        <v>45694.34268518518</v>
      </c>
      <c r="C423" s="1" t="n">
        <v>46167</v>
      </c>
      <c r="D423" t="inlineStr">
        <is>
          <t>JÄMTLANDS LÄN</t>
        </is>
      </c>
      <c r="E423" t="inlineStr">
        <is>
          <t>KROKOM</t>
        </is>
      </c>
      <c r="F423" t="inlineStr">
        <is>
          <t>Övriga Aktiebolag</t>
        </is>
      </c>
      <c r="G423" t="n">
        <v>48.4</v>
      </c>
      <c r="H423" t="n">
        <v>0</v>
      </c>
      <c r="I423" t="n">
        <v>0</v>
      </c>
      <c r="J423" t="n">
        <v>0</v>
      </c>
      <c r="K423" t="n">
        <v>0</v>
      </c>
      <c r="L423" t="n">
        <v>0</v>
      </c>
      <c r="M423" t="n">
        <v>0</v>
      </c>
      <c r="N423" t="n">
        <v>0</v>
      </c>
      <c r="O423" t="n">
        <v>0</v>
      </c>
      <c r="P423" t="n">
        <v>0</v>
      </c>
      <c r="Q423" t="n">
        <v>0</v>
      </c>
      <c r="R423" s="2" t="inlineStr"/>
    </row>
    <row r="424" ht="15" customHeight="1">
      <c r="A424" t="inlineStr">
        <is>
          <t>A 1323-2025</t>
        </is>
      </c>
      <c r="B424" s="1" t="n">
        <v>45667.57217592592</v>
      </c>
      <c r="C424" s="1" t="n">
        <v>46167</v>
      </c>
      <c r="D424" t="inlineStr">
        <is>
          <t>JÄMTLANDS LÄN</t>
        </is>
      </c>
      <c r="E424" t="inlineStr">
        <is>
          <t>KROKOM</t>
        </is>
      </c>
      <c r="G424" t="n">
        <v>5.9</v>
      </c>
      <c r="H424" t="n">
        <v>0</v>
      </c>
      <c r="I424" t="n">
        <v>0</v>
      </c>
      <c r="J424" t="n">
        <v>0</v>
      </c>
      <c r="K424" t="n">
        <v>0</v>
      </c>
      <c r="L424" t="n">
        <v>0</v>
      </c>
      <c r="M424" t="n">
        <v>0</v>
      </c>
      <c r="N424" t="n">
        <v>0</v>
      </c>
      <c r="O424" t="n">
        <v>0</v>
      </c>
      <c r="P424" t="n">
        <v>0</v>
      </c>
      <c r="Q424" t="n">
        <v>0</v>
      </c>
      <c r="R424" s="2" t="inlineStr"/>
    </row>
    <row r="425" ht="15" customHeight="1">
      <c r="A425" t="inlineStr">
        <is>
          <t>A 17888-2025</t>
        </is>
      </c>
      <c r="B425" s="1" t="n">
        <v>45758.67065972222</v>
      </c>
      <c r="C425" s="1" t="n">
        <v>46167</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61732-2021</t>
        </is>
      </c>
      <c r="B426" s="1" t="n">
        <v>44498</v>
      </c>
      <c r="C426" s="1" t="n">
        <v>46167</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1477-2025</t>
        </is>
      </c>
      <c r="B427" s="1" t="n">
        <v>45670</v>
      </c>
      <c r="C427" s="1" t="n">
        <v>46167</v>
      </c>
      <c r="D427" t="inlineStr">
        <is>
          <t>JÄMTLANDS LÄN</t>
        </is>
      </c>
      <c r="E427" t="inlineStr">
        <is>
          <t>KROKOM</t>
        </is>
      </c>
      <c r="G427" t="n">
        <v>7.3</v>
      </c>
      <c r="H427" t="n">
        <v>0</v>
      </c>
      <c r="I427" t="n">
        <v>0</v>
      </c>
      <c r="J427" t="n">
        <v>0</v>
      </c>
      <c r="K427" t="n">
        <v>0</v>
      </c>
      <c r="L427" t="n">
        <v>0</v>
      </c>
      <c r="M427" t="n">
        <v>0</v>
      </c>
      <c r="N427" t="n">
        <v>0</v>
      </c>
      <c r="O427" t="n">
        <v>0</v>
      </c>
      <c r="P427" t="n">
        <v>0</v>
      </c>
      <c r="Q427" t="n">
        <v>0</v>
      </c>
      <c r="R427" s="2" t="inlineStr"/>
    </row>
    <row r="428" ht="15" customHeight="1">
      <c r="A428" t="inlineStr">
        <is>
          <t>A 16247-2025</t>
        </is>
      </c>
      <c r="B428" s="1" t="n">
        <v>45749</v>
      </c>
      <c r="C428" s="1" t="n">
        <v>46167</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54043-2023</t>
        </is>
      </c>
      <c r="B429" s="1" t="n">
        <v>45231</v>
      </c>
      <c r="C429" s="1" t="n">
        <v>46167</v>
      </c>
      <c r="D429" t="inlineStr">
        <is>
          <t>JÄMTLANDS LÄN</t>
        </is>
      </c>
      <c r="E429" t="inlineStr">
        <is>
          <t>KROKOM</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42369-2021</t>
        </is>
      </c>
      <c r="B430" s="1" t="n">
        <v>44427</v>
      </c>
      <c r="C430" s="1" t="n">
        <v>46167</v>
      </c>
      <c r="D430" t="inlineStr">
        <is>
          <t>JÄMTLANDS LÄN</t>
        </is>
      </c>
      <c r="E430" t="inlineStr">
        <is>
          <t>KROKOM</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55831-2024</t>
        </is>
      </c>
      <c r="B431" s="1" t="n">
        <v>45623.48571759259</v>
      </c>
      <c r="C431" s="1" t="n">
        <v>46167</v>
      </c>
      <c r="D431" t="inlineStr">
        <is>
          <t>JÄMTLANDS LÄN</t>
        </is>
      </c>
      <c r="E431" t="inlineStr">
        <is>
          <t>KROKOM</t>
        </is>
      </c>
      <c r="G431" t="n">
        <v>1.6</v>
      </c>
      <c r="H431" t="n">
        <v>0</v>
      </c>
      <c r="I431" t="n">
        <v>0</v>
      </c>
      <c r="J431" t="n">
        <v>0</v>
      </c>
      <c r="K431" t="n">
        <v>0</v>
      </c>
      <c r="L431" t="n">
        <v>0</v>
      </c>
      <c r="M431" t="n">
        <v>0</v>
      </c>
      <c r="N431" t="n">
        <v>0</v>
      </c>
      <c r="O431" t="n">
        <v>0</v>
      </c>
      <c r="P431" t="n">
        <v>0</v>
      </c>
      <c r="Q431" t="n">
        <v>0</v>
      </c>
      <c r="R431" s="2" t="inlineStr"/>
    </row>
    <row r="432" ht="15" customHeight="1">
      <c r="A432" t="inlineStr">
        <is>
          <t>A 15231-2022</t>
        </is>
      </c>
      <c r="B432" s="1" t="n">
        <v>44658</v>
      </c>
      <c r="C432" s="1" t="n">
        <v>46167</v>
      </c>
      <c r="D432" t="inlineStr">
        <is>
          <t>JÄMTLANDS LÄN</t>
        </is>
      </c>
      <c r="E432" t="inlineStr">
        <is>
          <t>KROKOM</t>
        </is>
      </c>
      <c r="G432" t="n">
        <v>5.7</v>
      </c>
      <c r="H432" t="n">
        <v>0</v>
      </c>
      <c r="I432" t="n">
        <v>0</v>
      </c>
      <c r="J432" t="n">
        <v>0</v>
      </c>
      <c r="K432" t="n">
        <v>0</v>
      </c>
      <c r="L432" t="n">
        <v>0</v>
      </c>
      <c r="M432" t="n">
        <v>0</v>
      </c>
      <c r="N432" t="n">
        <v>0</v>
      </c>
      <c r="O432" t="n">
        <v>0</v>
      </c>
      <c r="P432" t="n">
        <v>0</v>
      </c>
      <c r="Q432" t="n">
        <v>0</v>
      </c>
      <c r="R432" s="2" t="inlineStr"/>
    </row>
    <row r="433" ht="15" customHeight="1">
      <c r="A433" t="inlineStr">
        <is>
          <t>A 63532-2023</t>
        </is>
      </c>
      <c r="B433" s="1" t="n">
        <v>45274</v>
      </c>
      <c r="C433" s="1" t="n">
        <v>46167</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60102-2023</t>
        </is>
      </c>
      <c r="B434" s="1" t="n">
        <v>45257</v>
      </c>
      <c r="C434" s="1" t="n">
        <v>46167</v>
      </c>
      <c r="D434" t="inlineStr">
        <is>
          <t>JÄMTLANDS LÄN</t>
        </is>
      </c>
      <c r="E434" t="inlineStr">
        <is>
          <t>KROKOM</t>
        </is>
      </c>
      <c r="G434" t="n">
        <v>1.8</v>
      </c>
      <c r="H434" t="n">
        <v>0</v>
      </c>
      <c r="I434" t="n">
        <v>0</v>
      </c>
      <c r="J434" t="n">
        <v>0</v>
      </c>
      <c r="K434" t="n">
        <v>0</v>
      </c>
      <c r="L434" t="n">
        <v>0</v>
      </c>
      <c r="M434" t="n">
        <v>0</v>
      </c>
      <c r="N434" t="n">
        <v>0</v>
      </c>
      <c r="O434" t="n">
        <v>0</v>
      </c>
      <c r="P434" t="n">
        <v>0</v>
      </c>
      <c r="Q434" t="n">
        <v>0</v>
      </c>
      <c r="R434" s="2" t="inlineStr"/>
    </row>
    <row r="435" ht="15" customHeight="1">
      <c r="A435" t="inlineStr">
        <is>
          <t>A 57259-2023</t>
        </is>
      </c>
      <c r="B435" s="1" t="n">
        <v>45245</v>
      </c>
      <c r="C435" s="1" t="n">
        <v>46167</v>
      </c>
      <c r="D435" t="inlineStr">
        <is>
          <t>JÄMTLANDS LÄN</t>
        </is>
      </c>
      <c r="E435" t="inlineStr">
        <is>
          <t>KROKOM</t>
        </is>
      </c>
      <c r="G435" t="n">
        <v>9.6</v>
      </c>
      <c r="H435" t="n">
        <v>0</v>
      </c>
      <c r="I435" t="n">
        <v>0</v>
      </c>
      <c r="J435" t="n">
        <v>0</v>
      </c>
      <c r="K435" t="n">
        <v>0</v>
      </c>
      <c r="L435" t="n">
        <v>0</v>
      </c>
      <c r="M435" t="n">
        <v>0</v>
      </c>
      <c r="N435" t="n">
        <v>0</v>
      </c>
      <c r="O435" t="n">
        <v>0</v>
      </c>
      <c r="P435" t="n">
        <v>0</v>
      </c>
      <c r="Q435" t="n">
        <v>0</v>
      </c>
      <c r="R435" s="2" t="inlineStr"/>
    </row>
    <row r="436" ht="15" customHeight="1">
      <c r="A436" t="inlineStr">
        <is>
          <t>A 32676-2023</t>
        </is>
      </c>
      <c r="B436" s="1" t="n">
        <v>45121</v>
      </c>
      <c r="C436" s="1" t="n">
        <v>46167</v>
      </c>
      <c r="D436" t="inlineStr">
        <is>
          <t>JÄMTLANDS LÄN</t>
        </is>
      </c>
      <c r="E436" t="inlineStr">
        <is>
          <t>KROKOM</t>
        </is>
      </c>
      <c r="F436" t="inlineStr">
        <is>
          <t>Övriga Aktiebolag</t>
        </is>
      </c>
      <c r="G436" t="n">
        <v>7.1</v>
      </c>
      <c r="H436" t="n">
        <v>0</v>
      </c>
      <c r="I436" t="n">
        <v>0</v>
      </c>
      <c r="J436" t="n">
        <v>0</v>
      </c>
      <c r="K436" t="n">
        <v>0</v>
      </c>
      <c r="L436" t="n">
        <v>0</v>
      </c>
      <c r="M436" t="n">
        <v>0</v>
      </c>
      <c r="N436" t="n">
        <v>0</v>
      </c>
      <c r="O436" t="n">
        <v>0</v>
      </c>
      <c r="P436" t="n">
        <v>0</v>
      </c>
      <c r="Q436" t="n">
        <v>0</v>
      </c>
      <c r="R436" s="2" t="inlineStr"/>
    </row>
    <row r="437" ht="15" customHeight="1">
      <c r="A437" t="inlineStr">
        <is>
          <t>A 1852-2025</t>
        </is>
      </c>
      <c r="B437" s="1" t="n">
        <v>45671.59114583334</v>
      </c>
      <c r="C437" s="1" t="n">
        <v>46167</v>
      </c>
      <c r="D437" t="inlineStr">
        <is>
          <t>JÄMTLANDS LÄN</t>
        </is>
      </c>
      <c r="E437" t="inlineStr">
        <is>
          <t>KROKOM</t>
        </is>
      </c>
      <c r="G437" t="n">
        <v>6.8</v>
      </c>
      <c r="H437" t="n">
        <v>0</v>
      </c>
      <c r="I437" t="n">
        <v>0</v>
      </c>
      <c r="J437" t="n">
        <v>0</v>
      </c>
      <c r="K437" t="n">
        <v>0</v>
      </c>
      <c r="L437" t="n">
        <v>0</v>
      </c>
      <c r="M437" t="n">
        <v>0</v>
      </c>
      <c r="N437" t="n">
        <v>0</v>
      </c>
      <c r="O437" t="n">
        <v>0</v>
      </c>
      <c r="P437" t="n">
        <v>0</v>
      </c>
      <c r="Q437" t="n">
        <v>0</v>
      </c>
      <c r="R437" s="2" t="inlineStr"/>
    </row>
    <row r="438" ht="15" customHeight="1">
      <c r="A438" t="inlineStr">
        <is>
          <t>A 42372-2023</t>
        </is>
      </c>
      <c r="B438" s="1" t="n">
        <v>45180</v>
      </c>
      <c r="C438" s="1" t="n">
        <v>46167</v>
      </c>
      <c r="D438" t="inlineStr">
        <is>
          <t>JÄMTLANDS LÄN</t>
        </is>
      </c>
      <c r="E438" t="inlineStr">
        <is>
          <t>KROKOM</t>
        </is>
      </c>
      <c r="F438" t="inlineStr">
        <is>
          <t>Övriga Aktiebolag</t>
        </is>
      </c>
      <c r="G438" t="n">
        <v>0.2</v>
      </c>
      <c r="H438" t="n">
        <v>0</v>
      </c>
      <c r="I438" t="n">
        <v>0</v>
      </c>
      <c r="J438" t="n">
        <v>0</v>
      </c>
      <c r="K438" t="n">
        <v>0</v>
      </c>
      <c r="L438" t="n">
        <v>0</v>
      </c>
      <c r="M438" t="n">
        <v>0</v>
      </c>
      <c r="N438" t="n">
        <v>0</v>
      </c>
      <c r="O438" t="n">
        <v>0</v>
      </c>
      <c r="P438" t="n">
        <v>0</v>
      </c>
      <c r="Q438" t="n">
        <v>0</v>
      </c>
      <c r="R438" s="2" t="inlineStr"/>
    </row>
    <row r="439" ht="15" customHeight="1">
      <c r="A439" t="inlineStr">
        <is>
          <t>A 16548-2025</t>
        </is>
      </c>
      <c r="B439" s="1" t="n">
        <v>45751.6877662037</v>
      </c>
      <c r="C439" s="1" t="n">
        <v>46167</v>
      </c>
      <c r="D439" t="inlineStr">
        <is>
          <t>JÄMTLANDS LÄN</t>
        </is>
      </c>
      <c r="E439" t="inlineStr">
        <is>
          <t>KROKOM</t>
        </is>
      </c>
      <c r="F439" t="inlineStr">
        <is>
          <t>Övriga Aktiebolag</t>
        </is>
      </c>
      <c r="G439" t="n">
        <v>10.9</v>
      </c>
      <c r="H439" t="n">
        <v>0</v>
      </c>
      <c r="I439" t="n">
        <v>0</v>
      </c>
      <c r="J439" t="n">
        <v>0</v>
      </c>
      <c r="K439" t="n">
        <v>0</v>
      </c>
      <c r="L439" t="n">
        <v>0</v>
      </c>
      <c r="M439" t="n">
        <v>0</v>
      </c>
      <c r="N439" t="n">
        <v>0</v>
      </c>
      <c r="O439" t="n">
        <v>0</v>
      </c>
      <c r="P439" t="n">
        <v>0</v>
      </c>
      <c r="Q439" t="n">
        <v>0</v>
      </c>
      <c r="R439" s="2" t="inlineStr"/>
    </row>
    <row r="440" ht="15" customHeight="1">
      <c r="A440" t="inlineStr">
        <is>
          <t>A 61767-2024</t>
        </is>
      </c>
      <c r="B440" s="1" t="n">
        <v>45649.45143518518</v>
      </c>
      <c r="C440" s="1" t="n">
        <v>46167</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55043-2024</t>
        </is>
      </c>
      <c r="B441" s="1" t="n">
        <v>45621</v>
      </c>
      <c r="C441" s="1" t="n">
        <v>46167</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50391-2024</t>
        </is>
      </c>
      <c r="B442" s="1" t="n">
        <v>45601.33743055556</v>
      </c>
      <c r="C442" s="1" t="n">
        <v>46167</v>
      </c>
      <c r="D442" t="inlineStr">
        <is>
          <t>JÄMTLANDS LÄN</t>
        </is>
      </c>
      <c r="E442" t="inlineStr">
        <is>
          <t>KROKOM</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41784-2023</t>
        </is>
      </c>
      <c r="B443" s="1" t="n">
        <v>45176</v>
      </c>
      <c r="C443" s="1" t="n">
        <v>46167</v>
      </c>
      <c r="D443" t="inlineStr">
        <is>
          <t>JÄMTLANDS LÄN</t>
        </is>
      </c>
      <c r="E443" t="inlineStr">
        <is>
          <t>KROKOM</t>
        </is>
      </c>
      <c r="F443" t="inlineStr">
        <is>
          <t>Övriga Aktiebolag</t>
        </is>
      </c>
      <c r="G443" t="n">
        <v>3.1</v>
      </c>
      <c r="H443" t="n">
        <v>0</v>
      </c>
      <c r="I443" t="n">
        <v>0</v>
      </c>
      <c r="J443" t="n">
        <v>0</v>
      </c>
      <c r="K443" t="n">
        <v>0</v>
      </c>
      <c r="L443" t="n">
        <v>0</v>
      </c>
      <c r="M443" t="n">
        <v>0</v>
      </c>
      <c r="N443" t="n">
        <v>0</v>
      </c>
      <c r="O443" t="n">
        <v>0</v>
      </c>
      <c r="P443" t="n">
        <v>0</v>
      </c>
      <c r="Q443" t="n">
        <v>0</v>
      </c>
      <c r="R443" s="2" t="inlineStr"/>
    </row>
    <row r="444" ht="15" customHeight="1">
      <c r="A444" t="inlineStr">
        <is>
          <t>A 30158-2022</t>
        </is>
      </c>
      <c r="B444" s="1" t="n">
        <v>44757</v>
      </c>
      <c r="C444" s="1" t="n">
        <v>46167</v>
      </c>
      <c r="D444" t="inlineStr">
        <is>
          <t>JÄMTLANDS LÄN</t>
        </is>
      </c>
      <c r="E444" t="inlineStr">
        <is>
          <t>KROKOM</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27224-2024</t>
        </is>
      </c>
      <c r="B445" s="1" t="n">
        <v>45471.63390046296</v>
      </c>
      <c r="C445" s="1" t="n">
        <v>46167</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46061-2023</t>
        </is>
      </c>
      <c r="B446" s="1" t="n">
        <v>45190</v>
      </c>
      <c r="C446" s="1" t="n">
        <v>46167</v>
      </c>
      <c r="D446" t="inlineStr">
        <is>
          <t>JÄMTLANDS LÄN</t>
        </is>
      </c>
      <c r="E446" t="inlineStr">
        <is>
          <t>KROKOM</t>
        </is>
      </c>
      <c r="G446" t="n">
        <v>0.3</v>
      </c>
      <c r="H446" t="n">
        <v>0</v>
      </c>
      <c r="I446" t="n">
        <v>0</v>
      </c>
      <c r="J446" t="n">
        <v>0</v>
      </c>
      <c r="K446" t="n">
        <v>0</v>
      </c>
      <c r="L446" t="n">
        <v>0</v>
      </c>
      <c r="M446" t="n">
        <v>0</v>
      </c>
      <c r="N446" t="n">
        <v>0</v>
      </c>
      <c r="O446" t="n">
        <v>0</v>
      </c>
      <c r="P446" t="n">
        <v>0</v>
      </c>
      <c r="Q446" t="n">
        <v>0</v>
      </c>
      <c r="R446" s="2" t="inlineStr"/>
    </row>
    <row r="447" ht="15" customHeight="1">
      <c r="A447" t="inlineStr">
        <is>
          <t>A 34737-2025</t>
        </is>
      </c>
      <c r="B447" s="1" t="n">
        <v>45848.60371527778</v>
      </c>
      <c r="C447" s="1" t="n">
        <v>46167</v>
      </c>
      <c r="D447" t="inlineStr">
        <is>
          <t>JÄMTLANDS LÄN</t>
        </is>
      </c>
      <c r="E447" t="inlineStr">
        <is>
          <t>KROKOM</t>
        </is>
      </c>
      <c r="G447" t="n">
        <v>7.5</v>
      </c>
      <c r="H447" t="n">
        <v>0</v>
      </c>
      <c r="I447" t="n">
        <v>0</v>
      </c>
      <c r="J447" t="n">
        <v>0</v>
      </c>
      <c r="K447" t="n">
        <v>0</v>
      </c>
      <c r="L447" t="n">
        <v>0</v>
      </c>
      <c r="M447" t="n">
        <v>0</v>
      </c>
      <c r="N447" t="n">
        <v>0</v>
      </c>
      <c r="O447" t="n">
        <v>0</v>
      </c>
      <c r="P447" t="n">
        <v>0</v>
      </c>
      <c r="Q447" t="n">
        <v>0</v>
      </c>
      <c r="R447" s="2" t="inlineStr"/>
    </row>
    <row r="448" ht="15" customHeight="1">
      <c r="A448" t="inlineStr">
        <is>
          <t>A 34701-2025</t>
        </is>
      </c>
      <c r="B448" s="1" t="n">
        <v>45848.48070601852</v>
      </c>
      <c r="C448" s="1" t="n">
        <v>46167</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42369-2023</t>
        </is>
      </c>
      <c r="B449" s="1" t="n">
        <v>45180</v>
      </c>
      <c r="C449" s="1" t="n">
        <v>46167</v>
      </c>
      <c r="D449" t="inlineStr">
        <is>
          <t>JÄMTLANDS LÄN</t>
        </is>
      </c>
      <c r="E449" t="inlineStr">
        <is>
          <t>KROKOM</t>
        </is>
      </c>
      <c r="F449" t="inlineStr">
        <is>
          <t>Övriga Aktiebolag</t>
        </is>
      </c>
      <c r="G449" t="n">
        <v>0.2</v>
      </c>
      <c r="H449" t="n">
        <v>0</v>
      </c>
      <c r="I449" t="n">
        <v>0</v>
      </c>
      <c r="J449" t="n">
        <v>0</v>
      </c>
      <c r="K449" t="n">
        <v>0</v>
      </c>
      <c r="L449" t="n">
        <v>0</v>
      </c>
      <c r="M449" t="n">
        <v>0</v>
      </c>
      <c r="N449" t="n">
        <v>0</v>
      </c>
      <c r="O449" t="n">
        <v>0</v>
      </c>
      <c r="P449" t="n">
        <v>0</v>
      </c>
      <c r="Q449" t="n">
        <v>0</v>
      </c>
      <c r="R449" s="2" t="inlineStr"/>
    </row>
    <row r="450" ht="15" customHeight="1">
      <c r="A450" t="inlineStr">
        <is>
          <t>A 49875-2024</t>
        </is>
      </c>
      <c r="B450" s="1" t="n">
        <v>45597.49638888889</v>
      </c>
      <c r="C450" s="1" t="n">
        <v>46167</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1877-2023</t>
        </is>
      </c>
      <c r="B451" s="1" t="n">
        <v>44938.93989583333</v>
      </c>
      <c r="C451" s="1" t="n">
        <v>46167</v>
      </c>
      <c r="D451" t="inlineStr">
        <is>
          <t>JÄMTLANDS LÄN</t>
        </is>
      </c>
      <c r="E451" t="inlineStr">
        <is>
          <t>KROKOM</t>
        </is>
      </c>
      <c r="G451" t="n">
        <v>11.1</v>
      </c>
      <c r="H451" t="n">
        <v>0</v>
      </c>
      <c r="I451" t="n">
        <v>0</v>
      </c>
      <c r="J451" t="n">
        <v>0</v>
      </c>
      <c r="K451" t="n">
        <v>0</v>
      </c>
      <c r="L451" t="n">
        <v>0</v>
      </c>
      <c r="M451" t="n">
        <v>0</v>
      </c>
      <c r="N451" t="n">
        <v>0</v>
      </c>
      <c r="O451" t="n">
        <v>0</v>
      </c>
      <c r="P451" t="n">
        <v>0</v>
      </c>
      <c r="Q451" t="n">
        <v>0</v>
      </c>
      <c r="R451" s="2" t="inlineStr"/>
    </row>
    <row r="452" ht="15" customHeight="1">
      <c r="A452" t="inlineStr">
        <is>
          <t>A 22023-2026</t>
        </is>
      </c>
      <c r="B452" s="1" t="n">
        <v>46153.41262731481</v>
      </c>
      <c r="C452" s="1" t="n">
        <v>46167</v>
      </c>
      <c r="D452" t="inlineStr">
        <is>
          <t>JÄMTLANDS LÄN</t>
        </is>
      </c>
      <c r="E452" t="inlineStr">
        <is>
          <t>KROKOM</t>
        </is>
      </c>
      <c r="G452" t="n">
        <v>6.9</v>
      </c>
      <c r="H452" t="n">
        <v>0</v>
      </c>
      <c r="I452" t="n">
        <v>0</v>
      </c>
      <c r="J452" t="n">
        <v>0</v>
      </c>
      <c r="K452" t="n">
        <v>0</v>
      </c>
      <c r="L452" t="n">
        <v>0</v>
      </c>
      <c r="M452" t="n">
        <v>0</v>
      </c>
      <c r="N452" t="n">
        <v>0</v>
      </c>
      <c r="O452" t="n">
        <v>0</v>
      </c>
      <c r="P452" t="n">
        <v>0</v>
      </c>
      <c r="Q452" t="n">
        <v>0</v>
      </c>
      <c r="R452" s="2" t="inlineStr"/>
    </row>
    <row r="453" ht="15" customHeight="1">
      <c r="A453" t="inlineStr">
        <is>
          <t>A 38789-2025</t>
        </is>
      </c>
      <c r="B453" s="1" t="n">
        <v>45887.44883101852</v>
      </c>
      <c r="C453" s="1" t="n">
        <v>46167</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34829-2025</t>
        </is>
      </c>
      <c r="B454" s="1" t="n">
        <v>45849.3859837963</v>
      </c>
      <c r="C454" s="1" t="n">
        <v>46167</v>
      </c>
      <c r="D454" t="inlineStr">
        <is>
          <t>JÄMTLANDS LÄN</t>
        </is>
      </c>
      <c r="E454" t="inlineStr">
        <is>
          <t>KROKOM</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57239-2023</t>
        </is>
      </c>
      <c r="B455" s="1" t="n">
        <v>45245.5478125</v>
      </c>
      <c r="C455" s="1" t="n">
        <v>46167</v>
      </c>
      <c r="D455" t="inlineStr">
        <is>
          <t>JÄMTLANDS LÄN</t>
        </is>
      </c>
      <c r="E455" t="inlineStr">
        <is>
          <t>KROKOM</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35238-2025</t>
        </is>
      </c>
      <c r="B456" s="1" t="n">
        <v>45853.6156712963</v>
      </c>
      <c r="C456" s="1" t="n">
        <v>46167</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22629-2022</t>
        </is>
      </c>
      <c r="B457" s="1" t="n">
        <v>44714.438125</v>
      </c>
      <c r="C457" s="1" t="n">
        <v>46167</v>
      </c>
      <c r="D457" t="inlineStr">
        <is>
          <t>JÄMTLANDS LÄN</t>
        </is>
      </c>
      <c r="E457" t="inlineStr">
        <is>
          <t>KROKOM</t>
        </is>
      </c>
      <c r="G457" t="n">
        <v>17.1</v>
      </c>
      <c r="H457" t="n">
        <v>0</v>
      </c>
      <c r="I457" t="n">
        <v>0</v>
      </c>
      <c r="J457" t="n">
        <v>0</v>
      </c>
      <c r="K457" t="n">
        <v>0</v>
      </c>
      <c r="L457" t="n">
        <v>0</v>
      </c>
      <c r="M457" t="n">
        <v>0</v>
      </c>
      <c r="N457" t="n">
        <v>0</v>
      </c>
      <c r="O457" t="n">
        <v>0</v>
      </c>
      <c r="P457" t="n">
        <v>0</v>
      </c>
      <c r="Q457" t="n">
        <v>0</v>
      </c>
      <c r="R457" s="2" t="inlineStr"/>
    </row>
    <row r="458" ht="15" customHeight="1">
      <c r="A458" t="inlineStr">
        <is>
          <t>A 16210-2026</t>
        </is>
      </c>
      <c r="B458" s="1" t="n">
        <v>46111.41530092592</v>
      </c>
      <c r="C458" s="1" t="n">
        <v>46167</v>
      </c>
      <c r="D458" t="inlineStr">
        <is>
          <t>JÄMTLANDS LÄN</t>
        </is>
      </c>
      <c r="E458" t="inlineStr">
        <is>
          <t>KROKOM</t>
        </is>
      </c>
      <c r="F458" t="inlineStr">
        <is>
          <t>Övriga Aktiebolag</t>
        </is>
      </c>
      <c r="G458" t="n">
        <v>11.8</v>
      </c>
      <c r="H458" t="n">
        <v>0</v>
      </c>
      <c r="I458" t="n">
        <v>0</v>
      </c>
      <c r="J458" t="n">
        <v>0</v>
      </c>
      <c r="K458" t="n">
        <v>0</v>
      </c>
      <c r="L458" t="n">
        <v>0</v>
      </c>
      <c r="M458" t="n">
        <v>0</v>
      </c>
      <c r="N458" t="n">
        <v>0</v>
      </c>
      <c r="O458" t="n">
        <v>0</v>
      </c>
      <c r="P458" t="n">
        <v>0</v>
      </c>
      <c r="Q458" t="n">
        <v>0</v>
      </c>
      <c r="R458" s="2" t="inlineStr"/>
    </row>
    <row r="459" ht="15" customHeight="1">
      <c r="A459" t="inlineStr">
        <is>
          <t>A 16387-2026</t>
        </is>
      </c>
      <c r="B459" s="1" t="n">
        <v>46111.63244212963</v>
      </c>
      <c r="C459" s="1" t="n">
        <v>46167</v>
      </c>
      <c r="D459" t="inlineStr">
        <is>
          <t>JÄMTLANDS LÄN</t>
        </is>
      </c>
      <c r="E459" t="inlineStr">
        <is>
          <t>KROKOM</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21949-2026</t>
        </is>
      </c>
      <c r="B460" s="1" t="n">
        <v>46151.55252314815</v>
      </c>
      <c r="C460" s="1" t="n">
        <v>46167</v>
      </c>
      <c r="D460" t="inlineStr">
        <is>
          <t>JÄMTLANDS LÄN</t>
        </is>
      </c>
      <c r="E460" t="inlineStr">
        <is>
          <t>KROKOM</t>
        </is>
      </c>
      <c r="G460" t="n">
        <v>5.1</v>
      </c>
      <c r="H460" t="n">
        <v>0</v>
      </c>
      <c r="I460" t="n">
        <v>0</v>
      </c>
      <c r="J460" t="n">
        <v>0</v>
      </c>
      <c r="K460" t="n">
        <v>0</v>
      </c>
      <c r="L460" t="n">
        <v>0</v>
      </c>
      <c r="M460" t="n">
        <v>0</v>
      </c>
      <c r="N460" t="n">
        <v>0</v>
      </c>
      <c r="O460" t="n">
        <v>0</v>
      </c>
      <c r="P460" t="n">
        <v>0</v>
      </c>
      <c r="Q460" t="n">
        <v>0</v>
      </c>
      <c r="R460" s="2" t="inlineStr"/>
    </row>
    <row r="461" ht="15" customHeight="1">
      <c r="A461" t="inlineStr">
        <is>
          <t>A 16666-2026</t>
        </is>
      </c>
      <c r="B461" s="1" t="n">
        <v>46112.6597800926</v>
      </c>
      <c r="C461" s="1" t="n">
        <v>46167</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22197-2026</t>
        </is>
      </c>
      <c r="B462" s="1" t="n">
        <v>46153.65719907408</v>
      </c>
      <c r="C462" s="1" t="n">
        <v>46167</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35359-2025</t>
        </is>
      </c>
      <c r="B463" s="1" t="n">
        <v>45854.66518518519</v>
      </c>
      <c r="C463" s="1" t="n">
        <v>46167</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16358-2026</t>
        </is>
      </c>
      <c r="B464" s="1" t="n">
        <v>46111.60275462963</v>
      </c>
      <c r="C464" s="1" t="n">
        <v>46167</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35354-2025</t>
        </is>
      </c>
      <c r="B465" s="1" t="n">
        <v>45854.65378472222</v>
      </c>
      <c r="C465" s="1" t="n">
        <v>46167</v>
      </c>
      <c r="D465" t="inlineStr">
        <is>
          <t>JÄMTLANDS LÄN</t>
        </is>
      </c>
      <c r="E465" t="inlineStr">
        <is>
          <t>KROKOM</t>
        </is>
      </c>
      <c r="G465" t="n">
        <v>3.7</v>
      </c>
      <c r="H465" t="n">
        <v>0</v>
      </c>
      <c r="I465" t="n">
        <v>0</v>
      </c>
      <c r="J465" t="n">
        <v>0</v>
      </c>
      <c r="K465" t="n">
        <v>0</v>
      </c>
      <c r="L465" t="n">
        <v>0</v>
      </c>
      <c r="M465" t="n">
        <v>0</v>
      </c>
      <c r="N465" t="n">
        <v>0</v>
      </c>
      <c r="O465" t="n">
        <v>0</v>
      </c>
      <c r="P465" t="n">
        <v>0</v>
      </c>
      <c r="Q465" t="n">
        <v>0</v>
      </c>
      <c r="R465" s="2" t="inlineStr"/>
    </row>
    <row r="466" ht="15" customHeight="1">
      <c r="A466" t="inlineStr">
        <is>
          <t>A 35460-2025</t>
        </is>
      </c>
      <c r="B466" s="1" t="n">
        <v>45855.61193287037</v>
      </c>
      <c r="C466" s="1" t="n">
        <v>46167</v>
      </c>
      <c r="D466" t="inlineStr">
        <is>
          <t>JÄMTLANDS LÄN</t>
        </is>
      </c>
      <c r="E466" t="inlineStr">
        <is>
          <t>KROKOM</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44154-2024</t>
        </is>
      </c>
      <c r="B467" s="1" t="n">
        <v>45572</v>
      </c>
      <c r="C467" s="1" t="n">
        <v>46167</v>
      </c>
      <c r="D467" t="inlineStr">
        <is>
          <t>JÄMTLANDS LÄN</t>
        </is>
      </c>
      <c r="E467" t="inlineStr">
        <is>
          <t>KROKOM</t>
        </is>
      </c>
      <c r="F467" t="inlineStr">
        <is>
          <t>SCA</t>
        </is>
      </c>
      <c r="G467" t="n">
        <v>28.9</v>
      </c>
      <c r="H467" t="n">
        <v>0</v>
      </c>
      <c r="I467" t="n">
        <v>0</v>
      </c>
      <c r="J467" t="n">
        <v>0</v>
      </c>
      <c r="K467" t="n">
        <v>0</v>
      </c>
      <c r="L467" t="n">
        <v>0</v>
      </c>
      <c r="M467" t="n">
        <v>0</v>
      </c>
      <c r="N467" t="n">
        <v>0</v>
      </c>
      <c r="O467" t="n">
        <v>0</v>
      </c>
      <c r="P467" t="n">
        <v>0</v>
      </c>
      <c r="Q467" t="n">
        <v>0</v>
      </c>
      <c r="R467" s="2" t="inlineStr"/>
    </row>
    <row r="468" ht="15" customHeight="1">
      <c r="A468" t="inlineStr">
        <is>
          <t>A 39205-2025</t>
        </is>
      </c>
      <c r="B468" s="1" t="n">
        <v>45888.72445601852</v>
      </c>
      <c r="C468" s="1" t="n">
        <v>46167</v>
      </c>
      <c r="D468" t="inlineStr">
        <is>
          <t>JÄMTLANDS LÄN</t>
        </is>
      </c>
      <c r="E468" t="inlineStr">
        <is>
          <t>KROKOM</t>
        </is>
      </c>
      <c r="F468" t="inlineStr">
        <is>
          <t>Kyrkan</t>
        </is>
      </c>
      <c r="G468" t="n">
        <v>20.6</v>
      </c>
      <c r="H468" t="n">
        <v>0</v>
      </c>
      <c r="I468" t="n">
        <v>0</v>
      </c>
      <c r="J468" t="n">
        <v>0</v>
      </c>
      <c r="K468" t="n">
        <v>0</v>
      </c>
      <c r="L468" t="n">
        <v>0</v>
      </c>
      <c r="M468" t="n">
        <v>0</v>
      </c>
      <c r="N468" t="n">
        <v>0</v>
      </c>
      <c r="O468" t="n">
        <v>0</v>
      </c>
      <c r="P468" t="n">
        <v>0</v>
      </c>
      <c r="Q468" t="n">
        <v>0</v>
      </c>
      <c r="R468" s="2" t="inlineStr"/>
    </row>
    <row r="469" ht="15" customHeight="1">
      <c r="A469" t="inlineStr">
        <is>
          <t>A 16627-2026</t>
        </is>
      </c>
      <c r="B469" s="1" t="n">
        <v>46112</v>
      </c>
      <c r="C469" s="1" t="n">
        <v>46167</v>
      </c>
      <c r="D469" t="inlineStr">
        <is>
          <t>JÄMTLANDS LÄN</t>
        </is>
      </c>
      <c r="E469" t="inlineStr">
        <is>
          <t>KROKOM</t>
        </is>
      </c>
      <c r="G469" t="n">
        <v>19.6</v>
      </c>
      <c r="H469" t="n">
        <v>0</v>
      </c>
      <c r="I469" t="n">
        <v>0</v>
      </c>
      <c r="J469" t="n">
        <v>0</v>
      </c>
      <c r="K469" t="n">
        <v>0</v>
      </c>
      <c r="L469" t="n">
        <v>0</v>
      </c>
      <c r="M469" t="n">
        <v>0</v>
      </c>
      <c r="N469" t="n">
        <v>0</v>
      </c>
      <c r="O469" t="n">
        <v>0</v>
      </c>
      <c r="P469" t="n">
        <v>0</v>
      </c>
      <c r="Q469" t="n">
        <v>0</v>
      </c>
      <c r="R469" s="2" t="inlineStr"/>
    </row>
    <row r="470" ht="15" customHeight="1">
      <c r="A470" t="inlineStr">
        <is>
          <t>A 5785-2025</t>
        </is>
      </c>
      <c r="B470" s="1" t="n">
        <v>45694.64416666667</v>
      </c>
      <c r="C470" s="1" t="n">
        <v>46167</v>
      </c>
      <c r="D470" t="inlineStr">
        <is>
          <t>JÄMTLANDS LÄN</t>
        </is>
      </c>
      <c r="E470" t="inlineStr">
        <is>
          <t>KROKOM</t>
        </is>
      </c>
      <c r="F470" t="inlineStr">
        <is>
          <t>Övriga Aktiebolag</t>
        </is>
      </c>
      <c r="G470" t="n">
        <v>4.2</v>
      </c>
      <c r="H470" t="n">
        <v>0</v>
      </c>
      <c r="I470" t="n">
        <v>0</v>
      </c>
      <c r="J470" t="n">
        <v>0</v>
      </c>
      <c r="K470" t="n">
        <v>0</v>
      </c>
      <c r="L470" t="n">
        <v>0</v>
      </c>
      <c r="M470" t="n">
        <v>0</v>
      </c>
      <c r="N470" t="n">
        <v>0</v>
      </c>
      <c r="O470" t="n">
        <v>0</v>
      </c>
      <c r="P470" t="n">
        <v>0</v>
      </c>
      <c r="Q470" t="n">
        <v>0</v>
      </c>
      <c r="R470" s="2" t="inlineStr"/>
    </row>
    <row r="471" ht="15" customHeight="1">
      <c r="A471" t="inlineStr">
        <is>
          <t>A 39265-2025</t>
        </is>
      </c>
      <c r="B471" s="1" t="n">
        <v>45889.37520833333</v>
      </c>
      <c r="C471" s="1" t="n">
        <v>46167</v>
      </c>
      <c r="D471" t="inlineStr">
        <is>
          <t>JÄMTLANDS LÄN</t>
        </is>
      </c>
      <c r="E471" t="inlineStr">
        <is>
          <t>KROKOM</t>
        </is>
      </c>
      <c r="F471" t="inlineStr">
        <is>
          <t>Övriga Aktiebolag</t>
        </is>
      </c>
      <c r="G471" t="n">
        <v>3.9</v>
      </c>
      <c r="H471" t="n">
        <v>0</v>
      </c>
      <c r="I471" t="n">
        <v>0</v>
      </c>
      <c r="J471" t="n">
        <v>0</v>
      </c>
      <c r="K471" t="n">
        <v>0</v>
      </c>
      <c r="L471" t="n">
        <v>0</v>
      </c>
      <c r="M471" t="n">
        <v>0</v>
      </c>
      <c r="N471" t="n">
        <v>0</v>
      </c>
      <c r="O471" t="n">
        <v>0</v>
      </c>
      <c r="P471" t="n">
        <v>0</v>
      </c>
      <c r="Q471" t="n">
        <v>0</v>
      </c>
      <c r="R471" s="2" t="inlineStr"/>
    </row>
    <row r="472" ht="15" customHeight="1">
      <c r="A472" t="inlineStr">
        <is>
          <t>A 39206-2025</t>
        </is>
      </c>
      <c r="B472" s="1" t="n">
        <v>45888.72766203704</v>
      </c>
      <c r="C472" s="1" t="n">
        <v>46167</v>
      </c>
      <c r="D472" t="inlineStr">
        <is>
          <t>JÄMTLANDS LÄN</t>
        </is>
      </c>
      <c r="E472" t="inlineStr">
        <is>
          <t>KROKOM</t>
        </is>
      </c>
      <c r="F472" t="inlineStr">
        <is>
          <t>Kyrkan</t>
        </is>
      </c>
      <c r="G472" t="n">
        <v>4.7</v>
      </c>
      <c r="H472" t="n">
        <v>0</v>
      </c>
      <c r="I472" t="n">
        <v>0</v>
      </c>
      <c r="J472" t="n">
        <v>0</v>
      </c>
      <c r="K472" t="n">
        <v>0</v>
      </c>
      <c r="L472" t="n">
        <v>0</v>
      </c>
      <c r="M472" t="n">
        <v>0</v>
      </c>
      <c r="N472" t="n">
        <v>0</v>
      </c>
      <c r="O472" t="n">
        <v>0</v>
      </c>
      <c r="P472" t="n">
        <v>0</v>
      </c>
      <c r="Q472" t="n">
        <v>0</v>
      </c>
      <c r="R472" s="2" t="inlineStr"/>
    </row>
    <row r="473" ht="15" customHeight="1">
      <c r="A473" t="inlineStr">
        <is>
          <t>A 23539-2024</t>
        </is>
      </c>
      <c r="B473" s="1" t="n">
        <v>45453.95237268518</v>
      </c>
      <c r="C473" s="1" t="n">
        <v>46167</v>
      </c>
      <c r="D473" t="inlineStr">
        <is>
          <t>JÄMTLANDS LÄN</t>
        </is>
      </c>
      <c r="E473" t="inlineStr">
        <is>
          <t>KROKOM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21950-2026</t>
        </is>
      </c>
      <c r="B474" s="1" t="n">
        <v>46151.61503472222</v>
      </c>
      <c r="C474" s="1" t="n">
        <v>46167</v>
      </c>
      <c r="D474" t="inlineStr">
        <is>
          <t>JÄMTLANDS LÄN</t>
        </is>
      </c>
      <c r="E474" t="inlineStr">
        <is>
          <t>KROKOM</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21663-2025</t>
        </is>
      </c>
      <c r="B475" s="1" t="n">
        <v>45783</v>
      </c>
      <c r="C475" s="1" t="n">
        <v>46167</v>
      </c>
      <c r="D475" t="inlineStr">
        <is>
          <t>JÄMTLANDS LÄN</t>
        </is>
      </c>
      <c r="E475" t="inlineStr">
        <is>
          <t>KROKOM</t>
        </is>
      </c>
      <c r="G475" t="n">
        <v>5.2</v>
      </c>
      <c r="H475" t="n">
        <v>0</v>
      </c>
      <c r="I475" t="n">
        <v>0</v>
      </c>
      <c r="J475" t="n">
        <v>0</v>
      </c>
      <c r="K475" t="n">
        <v>0</v>
      </c>
      <c r="L475" t="n">
        <v>0</v>
      </c>
      <c r="M475" t="n">
        <v>0</v>
      </c>
      <c r="N475" t="n">
        <v>0</v>
      </c>
      <c r="O475" t="n">
        <v>0</v>
      </c>
      <c r="P475" t="n">
        <v>0</v>
      </c>
      <c r="Q475" t="n">
        <v>0</v>
      </c>
      <c r="R475" s="2" t="inlineStr"/>
    </row>
    <row r="476" ht="15" customHeight="1">
      <c r="A476" t="inlineStr">
        <is>
          <t>A 22656-2026</t>
        </is>
      </c>
      <c r="B476" s="1" t="n">
        <v>46155.68038194445</v>
      </c>
      <c r="C476" s="1" t="n">
        <v>46167</v>
      </c>
      <c r="D476" t="inlineStr">
        <is>
          <t>JÄMTLANDS LÄN</t>
        </is>
      </c>
      <c r="E476" t="inlineStr">
        <is>
          <t>KROKOM</t>
        </is>
      </c>
      <c r="G476" t="n">
        <v>67.09999999999999</v>
      </c>
      <c r="H476" t="n">
        <v>0</v>
      </c>
      <c r="I476" t="n">
        <v>0</v>
      </c>
      <c r="J476" t="n">
        <v>0</v>
      </c>
      <c r="K476" t="n">
        <v>0</v>
      </c>
      <c r="L476" t="n">
        <v>0</v>
      </c>
      <c r="M476" t="n">
        <v>0</v>
      </c>
      <c r="N476" t="n">
        <v>0</v>
      </c>
      <c r="O476" t="n">
        <v>0</v>
      </c>
      <c r="P476" t="n">
        <v>0</v>
      </c>
      <c r="Q476" t="n">
        <v>0</v>
      </c>
      <c r="R476" s="2" t="inlineStr"/>
    </row>
    <row r="477" ht="15" customHeight="1">
      <c r="A477" t="inlineStr">
        <is>
          <t>A 35864-2025</t>
        </is>
      </c>
      <c r="B477" s="1" t="n">
        <v>45861.6841087963</v>
      </c>
      <c r="C477" s="1" t="n">
        <v>46167</v>
      </c>
      <c r="D477" t="inlineStr">
        <is>
          <t>JÄMTLANDS LÄN</t>
        </is>
      </c>
      <c r="E477" t="inlineStr">
        <is>
          <t>KROKOM</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35778-2025</t>
        </is>
      </c>
      <c r="B478" s="1" t="n">
        <v>45860</v>
      </c>
      <c r="C478" s="1" t="n">
        <v>46167</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18841-2025</t>
        </is>
      </c>
      <c r="B479" s="1" t="n">
        <v>45764.40834490741</v>
      </c>
      <c r="C479" s="1" t="n">
        <v>46167</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36044-2025</t>
        </is>
      </c>
      <c r="B480" s="1" t="n">
        <v>45863</v>
      </c>
      <c r="C480" s="1" t="n">
        <v>46167</v>
      </c>
      <c r="D480" t="inlineStr">
        <is>
          <t>JÄMTLANDS LÄN</t>
        </is>
      </c>
      <c r="E480" t="inlineStr">
        <is>
          <t>KROKOM</t>
        </is>
      </c>
      <c r="G480" t="n">
        <v>7.4</v>
      </c>
      <c r="H480" t="n">
        <v>0</v>
      </c>
      <c r="I480" t="n">
        <v>0</v>
      </c>
      <c r="J480" t="n">
        <v>0</v>
      </c>
      <c r="K480" t="n">
        <v>0</v>
      </c>
      <c r="L480" t="n">
        <v>0</v>
      </c>
      <c r="M480" t="n">
        <v>0</v>
      </c>
      <c r="N480" t="n">
        <v>0</v>
      </c>
      <c r="O480" t="n">
        <v>0</v>
      </c>
      <c r="P480" t="n">
        <v>0</v>
      </c>
      <c r="Q480" t="n">
        <v>0</v>
      </c>
      <c r="R480" s="2" t="inlineStr"/>
    </row>
    <row r="481" ht="15" customHeight="1">
      <c r="A481" t="inlineStr">
        <is>
          <t>A 27899-2025</t>
        </is>
      </c>
      <c r="B481" s="1" t="n">
        <v>45817</v>
      </c>
      <c r="C481" s="1" t="n">
        <v>46167</v>
      </c>
      <c r="D481" t="inlineStr">
        <is>
          <t>JÄMTLANDS LÄN</t>
        </is>
      </c>
      <c r="E481" t="inlineStr">
        <is>
          <t>KROKOM</t>
        </is>
      </c>
      <c r="G481" t="n">
        <v>16.4</v>
      </c>
      <c r="H481" t="n">
        <v>0</v>
      </c>
      <c r="I481" t="n">
        <v>0</v>
      </c>
      <c r="J481" t="n">
        <v>0</v>
      </c>
      <c r="K481" t="n">
        <v>0</v>
      </c>
      <c r="L481" t="n">
        <v>0</v>
      </c>
      <c r="M481" t="n">
        <v>0</v>
      </c>
      <c r="N481" t="n">
        <v>0</v>
      </c>
      <c r="O481" t="n">
        <v>0</v>
      </c>
      <c r="P481" t="n">
        <v>0</v>
      </c>
      <c r="Q481" t="n">
        <v>0</v>
      </c>
      <c r="R481" s="2" t="inlineStr"/>
    </row>
    <row r="482" ht="15" customHeight="1">
      <c r="A482" t="inlineStr">
        <is>
          <t>A 16778-2026</t>
        </is>
      </c>
      <c r="B482" s="1" t="n">
        <v>46113.45277777778</v>
      </c>
      <c r="C482" s="1" t="n">
        <v>46167</v>
      </c>
      <c r="D482" t="inlineStr">
        <is>
          <t>JÄMTLANDS LÄN</t>
        </is>
      </c>
      <c r="E482" t="inlineStr">
        <is>
          <t>KROKOM</t>
        </is>
      </c>
      <c r="G482" t="n">
        <v>6.6</v>
      </c>
      <c r="H482" t="n">
        <v>0</v>
      </c>
      <c r="I482" t="n">
        <v>0</v>
      </c>
      <c r="J482" t="n">
        <v>0</v>
      </c>
      <c r="K482" t="n">
        <v>0</v>
      </c>
      <c r="L482" t="n">
        <v>0</v>
      </c>
      <c r="M482" t="n">
        <v>0</v>
      </c>
      <c r="N482" t="n">
        <v>0</v>
      </c>
      <c r="O482" t="n">
        <v>0</v>
      </c>
      <c r="P482" t="n">
        <v>0</v>
      </c>
      <c r="Q482" t="n">
        <v>0</v>
      </c>
      <c r="R482" s="2" t="inlineStr"/>
    </row>
    <row r="483" ht="15" customHeight="1">
      <c r="A483" t="inlineStr">
        <is>
          <t>A 35875-2025</t>
        </is>
      </c>
      <c r="B483" s="1" t="n">
        <v>45862.34668981482</v>
      </c>
      <c r="C483" s="1" t="n">
        <v>46167</v>
      </c>
      <c r="D483" t="inlineStr">
        <is>
          <t>JÄMTLANDS LÄN</t>
        </is>
      </c>
      <c r="E483" t="inlineStr">
        <is>
          <t>KROKOM</t>
        </is>
      </c>
      <c r="F483" t="inlineStr">
        <is>
          <t>Övriga Aktiebolag</t>
        </is>
      </c>
      <c r="G483" t="n">
        <v>14.9</v>
      </c>
      <c r="H483" t="n">
        <v>0</v>
      </c>
      <c r="I483" t="n">
        <v>0</v>
      </c>
      <c r="J483" t="n">
        <v>0</v>
      </c>
      <c r="K483" t="n">
        <v>0</v>
      </c>
      <c r="L483" t="n">
        <v>0</v>
      </c>
      <c r="M483" t="n">
        <v>0</v>
      </c>
      <c r="N483" t="n">
        <v>0</v>
      </c>
      <c r="O483" t="n">
        <v>0</v>
      </c>
      <c r="P483" t="n">
        <v>0</v>
      </c>
      <c r="Q483" t="n">
        <v>0</v>
      </c>
      <c r="R483" s="2" t="inlineStr"/>
    </row>
    <row r="484" ht="15" customHeight="1">
      <c r="A484" t="inlineStr">
        <is>
          <t>A 35985-2025</t>
        </is>
      </c>
      <c r="B484" s="1" t="n">
        <v>45863.45778935185</v>
      </c>
      <c r="C484" s="1" t="n">
        <v>46167</v>
      </c>
      <c r="D484" t="inlineStr">
        <is>
          <t>JÄMTLANDS LÄN</t>
        </is>
      </c>
      <c r="E484" t="inlineStr">
        <is>
          <t>KROKOM</t>
        </is>
      </c>
      <c r="G484" t="n">
        <v>0.2</v>
      </c>
      <c r="H484" t="n">
        <v>0</v>
      </c>
      <c r="I484" t="n">
        <v>0</v>
      </c>
      <c r="J484" t="n">
        <v>0</v>
      </c>
      <c r="K484" t="n">
        <v>0</v>
      </c>
      <c r="L484" t="n">
        <v>0</v>
      </c>
      <c r="M484" t="n">
        <v>0</v>
      </c>
      <c r="N484" t="n">
        <v>0</v>
      </c>
      <c r="O484" t="n">
        <v>0</v>
      </c>
      <c r="P484" t="n">
        <v>0</v>
      </c>
      <c r="Q484" t="n">
        <v>0</v>
      </c>
      <c r="R484" s="2" t="inlineStr"/>
    </row>
    <row r="485" ht="15" customHeight="1">
      <c r="A485" t="inlineStr">
        <is>
          <t>A 54037-2021</t>
        </is>
      </c>
      <c r="B485" s="1" t="n">
        <v>44470</v>
      </c>
      <c r="C485" s="1" t="n">
        <v>46167</v>
      </c>
      <c r="D485" t="inlineStr">
        <is>
          <t>JÄMTLANDS LÄN</t>
        </is>
      </c>
      <c r="E485" t="inlineStr">
        <is>
          <t>KROKOM</t>
        </is>
      </c>
      <c r="G485" t="n">
        <v>6.3</v>
      </c>
      <c r="H485" t="n">
        <v>0</v>
      </c>
      <c r="I485" t="n">
        <v>0</v>
      </c>
      <c r="J485" t="n">
        <v>0</v>
      </c>
      <c r="K485" t="n">
        <v>0</v>
      </c>
      <c r="L485" t="n">
        <v>0</v>
      </c>
      <c r="M485" t="n">
        <v>0</v>
      </c>
      <c r="N485" t="n">
        <v>0</v>
      </c>
      <c r="O485" t="n">
        <v>0</v>
      </c>
      <c r="P485" t="n">
        <v>0</v>
      </c>
      <c r="Q485" t="n">
        <v>0</v>
      </c>
      <c r="R485" s="2" t="inlineStr"/>
    </row>
    <row r="486" ht="15" customHeight="1">
      <c r="A486" t="inlineStr">
        <is>
          <t>A 47060-2024</t>
        </is>
      </c>
      <c r="B486" s="1" t="n">
        <v>45586.46927083333</v>
      </c>
      <c r="C486" s="1" t="n">
        <v>46167</v>
      </c>
      <c r="D486" t="inlineStr">
        <is>
          <t>JÄMTLANDS LÄN</t>
        </is>
      </c>
      <c r="E486" t="inlineStr">
        <is>
          <t>KROKOM</t>
        </is>
      </c>
      <c r="G486" t="n">
        <v>2.9</v>
      </c>
      <c r="H486" t="n">
        <v>0</v>
      </c>
      <c r="I486" t="n">
        <v>0</v>
      </c>
      <c r="J486" t="n">
        <v>0</v>
      </c>
      <c r="K486" t="n">
        <v>0</v>
      </c>
      <c r="L486" t="n">
        <v>0</v>
      </c>
      <c r="M486" t="n">
        <v>0</v>
      </c>
      <c r="N486" t="n">
        <v>0</v>
      </c>
      <c r="O486" t="n">
        <v>0</v>
      </c>
      <c r="P486" t="n">
        <v>0</v>
      </c>
      <c r="Q486" t="n">
        <v>0</v>
      </c>
      <c r="R486" s="2" t="inlineStr"/>
    </row>
    <row r="487" ht="15" customHeight="1">
      <c r="A487" t="inlineStr">
        <is>
          <t>A 21617-2025</t>
        </is>
      </c>
      <c r="B487" s="1" t="n">
        <v>45783</v>
      </c>
      <c r="C487" s="1" t="n">
        <v>46167</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58313-2022</t>
        </is>
      </c>
      <c r="B488" s="1" t="n">
        <v>44901.54615740741</v>
      </c>
      <c r="C488" s="1" t="n">
        <v>46167</v>
      </c>
      <c r="D488" t="inlineStr">
        <is>
          <t>JÄMTLANDS LÄN</t>
        </is>
      </c>
      <c r="E488" t="inlineStr">
        <is>
          <t>KROKOM</t>
        </is>
      </c>
      <c r="F488" t="inlineStr">
        <is>
          <t>Övriga Aktiebolag</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36182-2025</t>
        </is>
      </c>
      <c r="B489" s="1" t="n">
        <v>45867.41707175926</v>
      </c>
      <c r="C489" s="1" t="n">
        <v>46167</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36209-2025</t>
        </is>
      </c>
      <c r="B490" s="1" t="n">
        <v>45867.46560185185</v>
      </c>
      <c r="C490" s="1" t="n">
        <v>46167</v>
      </c>
      <c r="D490" t="inlineStr">
        <is>
          <t>JÄMTLANDS LÄN</t>
        </is>
      </c>
      <c r="E490" t="inlineStr">
        <is>
          <t>KROKOM</t>
        </is>
      </c>
      <c r="G490" t="n">
        <v>9.4</v>
      </c>
      <c r="H490" t="n">
        <v>0</v>
      </c>
      <c r="I490" t="n">
        <v>0</v>
      </c>
      <c r="J490" t="n">
        <v>0</v>
      </c>
      <c r="K490" t="n">
        <v>0</v>
      </c>
      <c r="L490" t="n">
        <v>0</v>
      </c>
      <c r="M490" t="n">
        <v>0</v>
      </c>
      <c r="N490" t="n">
        <v>0</v>
      </c>
      <c r="O490" t="n">
        <v>0</v>
      </c>
      <c r="P490" t="n">
        <v>0</v>
      </c>
      <c r="Q490" t="n">
        <v>0</v>
      </c>
      <c r="R490" s="2" t="inlineStr"/>
    </row>
    <row r="491" ht="15" customHeight="1">
      <c r="A491" t="inlineStr">
        <is>
          <t>A 36429-2025</t>
        </is>
      </c>
      <c r="B491" s="1" t="n">
        <v>45869.34439814815</v>
      </c>
      <c r="C491" s="1" t="n">
        <v>46167</v>
      </c>
      <c r="D491" t="inlineStr">
        <is>
          <t>JÄMTLANDS LÄN</t>
        </is>
      </c>
      <c r="E491" t="inlineStr">
        <is>
          <t>KROKOM</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28067-2023</t>
        </is>
      </c>
      <c r="B492" s="1" t="n">
        <v>45099.37211805556</v>
      </c>
      <c r="C492" s="1" t="n">
        <v>46167</v>
      </c>
      <c r="D492" t="inlineStr">
        <is>
          <t>JÄMTLANDS LÄN</t>
        </is>
      </c>
      <c r="E492" t="inlineStr">
        <is>
          <t>KROKOM</t>
        </is>
      </c>
      <c r="G492" t="n">
        <v>2.8</v>
      </c>
      <c r="H492" t="n">
        <v>0</v>
      </c>
      <c r="I492" t="n">
        <v>0</v>
      </c>
      <c r="J492" t="n">
        <v>0</v>
      </c>
      <c r="K492" t="n">
        <v>0</v>
      </c>
      <c r="L492" t="n">
        <v>0</v>
      </c>
      <c r="M492" t="n">
        <v>0</v>
      </c>
      <c r="N492" t="n">
        <v>0</v>
      </c>
      <c r="O492" t="n">
        <v>0</v>
      </c>
      <c r="P492" t="n">
        <v>0</v>
      </c>
      <c r="Q492" t="n">
        <v>0</v>
      </c>
      <c r="R492" s="2" t="inlineStr"/>
    </row>
    <row r="493" ht="15" customHeight="1">
      <c r="A493" t="inlineStr">
        <is>
          <t>A 29986-2023</t>
        </is>
      </c>
      <c r="B493" s="1" t="n">
        <v>45109.44534722222</v>
      </c>
      <c r="C493" s="1" t="n">
        <v>46167</v>
      </c>
      <c r="D493" t="inlineStr">
        <is>
          <t>JÄMTLANDS LÄN</t>
        </is>
      </c>
      <c r="E493" t="inlineStr">
        <is>
          <t>KROKOM</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40180-2025</t>
        </is>
      </c>
      <c r="B494" s="1" t="n">
        <v>45894.63693287037</v>
      </c>
      <c r="C494" s="1" t="n">
        <v>46167</v>
      </c>
      <c r="D494" t="inlineStr">
        <is>
          <t>JÄMTLANDS LÄN</t>
        </is>
      </c>
      <c r="E494" t="inlineStr">
        <is>
          <t>KROKOM</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40283-2025</t>
        </is>
      </c>
      <c r="B495" s="1" t="n">
        <v>45895.36994212963</v>
      </c>
      <c r="C495" s="1" t="n">
        <v>46167</v>
      </c>
      <c r="D495" t="inlineStr">
        <is>
          <t>JÄMTLANDS LÄN</t>
        </is>
      </c>
      <c r="E495" t="inlineStr">
        <is>
          <t>KROKOM</t>
        </is>
      </c>
      <c r="G495" t="n">
        <v>11.1</v>
      </c>
      <c r="H495" t="n">
        <v>0</v>
      </c>
      <c r="I495" t="n">
        <v>0</v>
      </c>
      <c r="J495" t="n">
        <v>0</v>
      </c>
      <c r="K495" t="n">
        <v>0</v>
      </c>
      <c r="L495" t="n">
        <v>0</v>
      </c>
      <c r="M495" t="n">
        <v>0</v>
      </c>
      <c r="N495" t="n">
        <v>0</v>
      </c>
      <c r="O495" t="n">
        <v>0</v>
      </c>
      <c r="P495" t="n">
        <v>0</v>
      </c>
      <c r="Q495" t="n">
        <v>0</v>
      </c>
      <c r="R495" s="2" t="inlineStr"/>
    </row>
    <row r="496" ht="15" customHeight="1">
      <c r="A496" t="inlineStr">
        <is>
          <t>A 17185-2026</t>
        </is>
      </c>
      <c r="B496" s="1" t="n">
        <v>46117.4546412037</v>
      </c>
      <c r="C496" s="1" t="n">
        <v>46167</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16898-2026</t>
        </is>
      </c>
      <c r="B497" s="1" t="n">
        <v>46113</v>
      </c>
      <c r="C497" s="1" t="n">
        <v>46167</v>
      </c>
      <c r="D497" t="inlineStr">
        <is>
          <t>JÄMTLANDS LÄN</t>
        </is>
      </c>
      <c r="E497" t="inlineStr">
        <is>
          <t>KROKOM</t>
        </is>
      </c>
      <c r="G497" t="n">
        <v>2.1</v>
      </c>
      <c r="H497" t="n">
        <v>0</v>
      </c>
      <c r="I497" t="n">
        <v>0</v>
      </c>
      <c r="J497" t="n">
        <v>0</v>
      </c>
      <c r="K497" t="n">
        <v>0</v>
      </c>
      <c r="L497" t="n">
        <v>0</v>
      </c>
      <c r="M497" t="n">
        <v>0</v>
      </c>
      <c r="N497" t="n">
        <v>0</v>
      </c>
      <c r="O497" t="n">
        <v>0</v>
      </c>
      <c r="P497" t="n">
        <v>0</v>
      </c>
      <c r="Q497" t="n">
        <v>0</v>
      </c>
      <c r="R497" s="2" t="inlineStr"/>
    </row>
    <row r="498" ht="15" customHeight="1">
      <c r="A498" t="inlineStr">
        <is>
          <t>A 15310-2025</t>
        </is>
      </c>
      <c r="B498" s="1" t="n">
        <v>45746.79134259259</v>
      </c>
      <c r="C498" s="1" t="n">
        <v>46167</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40796-2025</t>
        </is>
      </c>
      <c r="B499" s="1" t="n">
        <v>45897.44951388889</v>
      </c>
      <c r="C499" s="1" t="n">
        <v>46167</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40806-2025</t>
        </is>
      </c>
      <c r="B500" s="1" t="n">
        <v>45897.46832175926</v>
      </c>
      <c r="C500" s="1" t="n">
        <v>46167</v>
      </c>
      <c r="D500" t="inlineStr">
        <is>
          <t>JÄMTLANDS LÄN</t>
        </is>
      </c>
      <c r="E500" t="inlineStr">
        <is>
          <t>KROKOM</t>
        </is>
      </c>
      <c r="G500" t="n">
        <v>3.6</v>
      </c>
      <c r="H500" t="n">
        <v>0</v>
      </c>
      <c r="I500" t="n">
        <v>0</v>
      </c>
      <c r="J500" t="n">
        <v>0</v>
      </c>
      <c r="K500" t="n">
        <v>0</v>
      </c>
      <c r="L500" t="n">
        <v>0</v>
      </c>
      <c r="M500" t="n">
        <v>0</v>
      </c>
      <c r="N500" t="n">
        <v>0</v>
      </c>
      <c r="O500" t="n">
        <v>0</v>
      </c>
      <c r="P500" t="n">
        <v>0</v>
      </c>
      <c r="Q500" t="n">
        <v>0</v>
      </c>
      <c r="R500" s="2" t="inlineStr"/>
    </row>
    <row r="501" ht="15" customHeight="1">
      <c r="A501" t="inlineStr">
        <is>
          <t>A 23097-2026</t>
        </is>
      </c>
      <c r="B501" s="1" t="n">
        <v>46161.56137731481</v>
      </c>
      <c r="C501" s="1" t="n">
        <v>46167</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9948-2025</t>
        </is>
      </c>
      <c r="B502" s="1" t="n">
        <v>45719.32584490741</v>
      </c>
      <c r="C502" s="1" t="n">
        <v>46167</v>
      </c>
      <c r="D502" t="inlineStr">
        <is>
          <t>JÄMTLANDS LÄN</t>
        </is>
      </c>
      <c r="E502" t="inlineStr">
        <is>
          <t>KROKOM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17446-2026</t>
        </is>
      </c>
      <c r="B503" s="1" t="n">
        <v>46120.44914351852</v>
      </c>
      <c r="C503" s="1" t="n">
        <v>46167</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40822-2025</t>
        </is>
      </c>
      <c r="B504" s="1" t="n">
        <v>45897.49424768519</v>
      </c>
      <c r="C504" s="1" t="n">
        <v>46167</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73174-2021</t>
        </is>
      </c>
      <c r="B505" s="1" t="n">
        <v>44550</v>
      </c>
      <c r="C505" s="1" t="n">
        <v>46167</v>
      </c>
      <c r="D505" t="inlineStr">
        <is>
          <t>JÄMTLANDS LÄN</t>
        </is>
      </c>
      <c r="E505" t="inlineStr">
        <is>
          <t>KROKOM</t>
        </is>
      </c>
      <c r="G505" t="n">
        <v>152.9</v>
      </c>
      <c r="H505" t="n">
        <v>0</v>
      </c>
      <c r="I505" t="n">
        <v>0</v>
      </c>
      <c r="J505" t="n">
        <v>0</v>
      </c>
      <c r="K505" t="n">
        <v>0</v>
      </c>
      <c r="L505" t="n">
        <v>0</v>
      </c>
      <c r="M505" t="n">
        <v>0</v>
      </c>
      <c r="N505" t="n">
        <v>0</v>
      </c>
      <c r="O505" t="n">
        <v>0</v>
      </c>
      <c r="P505" t="n">
        <v>0</v>
      </c>
      <c r="Q505" t="n">
        <v>0</v>
      </c>
      <c r="R505" s="2" t="inlineStr"/>
    </row>
    <row r="506" ht="15" customHeight="1">
      <c r="A506" t="inlineStr">
        <is>
          <t>A 37111-2025</t>
        </is>
      </c>
      <c r="B506" s="1" t="n">
        <v>45875.51046296296</v>
      </c>
      <c r="C506" s="1" t="n">
        <v>46167</v>
      </c>
      <c r="D506" t="inlineStr">
        <is>
          <t>JÄMTLANDS LÄN</t>
        </is>
      </c>
      <c r="E506" t="inlineStr">
        <is>
          <t>KROKOM</t>
        </is>
      </c>
      <c r="G506" t="n">
        <v>8.1</v>
      </c>
      <c r="H506" t="n">
        <v>0</v>
      </c>
      <c r="I506" t="n">
        <v>0</v>
      </c>
      <c r="J506" t="n">
        <v>0</v>
      </c>
      <c r="K506" t="n">
        <v>0</v>
      </c>
      <c r="L506" t="n">
        <v>0</v>
      </c>
      <c r="M506" t="n">
        <v>0</v>
      </c>
      <c r="N506" t="n">
        <v>0</v>
      </c>
      <c r="O506" t="n">
        <v>0</v>
      </c>
      <c r="P506" t="n">
        <v>0</v>
      </c>
      <c r="Q506" t="n">
        <v>0</v>
      </c>
      <c r="R506" s="2" t="inlineStr"/>
    </row>
    <row r="507" ht="15" customHeight="1">
      <c r="A507" t="inlineStr">
        <is>
          <t>A 17447-2026</t>
        </is>
      </c>
      <c r="B507" s="1" t="n">
        <v>46120.44923611111</v>
      </c>
      <c r="C507" s="1" t="n">
        <v>46167</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23118-2026</t>
        </is>
      </c>
      <c r="B508" s="1" t="n">
        <v>46161.59167824074</v>
      </c>
      <c r="C508" s="1" t="n">
        <v>46167</v>
      </c>
      <c r="D508" t="inlineStr">
        <is>
          <t>JÄMTLANDS LÄN</t>
        </is>
      </c>
      <c r="E508" t="inlineStr">
        <is>
          <t>KROKOM</t>
        </is>
      </c>
      <c r="G508" t="n">
        <v>8.9</v>
      </c>
      <c r="H508" t="n">
        <v>0</v>
      </c>
      <c r="I508" t="n">
        <v>0</v>
      </c>
      <c r="J508" t="n">
        <v>0</v>
      </c>
      <c r="K508" t="n">
        <v>0</v>
      </c>
      <c r="L508" t="n">
        <v>0</v>
      </c>
      <c r="M508" t="n">
        <v>0</v>
      </c>
      <c r="N508" t="n">
        <v>0</v>
      </c>
      <c r="O508" t="n">
        <v>0</v>
      </c>
      <c r="P508" t="n">
        <v>0</v>
      </c>
      <c r="Q508" t="n">
        <v>0</v>
      </c>
      <c r="R508" s="2" t="inlineStr"/>
    </row>
    <row r="509" ht="15" customHeight="1">
      <c r="A509" t="inlineStr">
        <is>
          <t>A 23146-2026</t>
        </is>
      </c>
      <c r="B509" s="1" t="n">
        <v>46161.62597222222</v>
      </c>
      <c r="C509" s="1" t="n">
        <v>46167</v>
      </c>
      <c r="D509" t="inlineStr">
        <is>
          <t>JÄMTLANDS LÄN</t>
        </is>
      </c>
      <c r="E509" t="inlineStr">
        <is>
          <t>KROKOM</t>
        </is>
      </c>
      <c r="G509" t="n">
        <v>0.3</v>
      </c>
      <c r="H509" t="n">
        <v>0</v>
      </c>
      <c r="I509" t="n">
        <v>0</v>
      </c>
      <c r="J509" t="n">
        <v>0</v>
      </c>
      <c r="K509" t="n">
        <v>0</v>
      </c>
      <c r="L509" t="n">
        <v>0</v>
      </c>
      <c r="M509" t="n">
        <v>0</v>
      </c>
      <c r="N509" t="n">
        <v>0</v>
      </c>
      <c r="O509" t="n">
        <v>0</v>
      </c>
      <c r="P509" t="n">
        <v>0</v>
      </c>
      <c r="Q509" t="n">
        <v>0</v>
      </c>
      <c r="R509" s="2" t="inlineStr"/>
    </row>
    <row r="510" ht="15" customHeight="1">
      <c r="A510" t="inlineStr">
        <is>
          <t>A 54039-2021</t>
        </is>
      </c>
      <c r="B510" s="1" t="n">
        <v>44470.39989583333</v>
      </c>
      <c r="C510" s="1" t="n">
        <v>46167</v>
      </c>
      <c r="D510" t="inlineStr">
        <is>
          <t>JÄMTLANDS LÄN</t>
        </is>
      </c>
      <c r="E510" t="inlineStr">
        <is>
          <t>KROKOM</t>
        </is>
      </c>
      <c r="G510" t="n">
        <v>9.9</v>
      </c>
      <c r="H510" t="n">
        <v>0</v>
      </c>
      <c r="I510" t="n">
        <v>0</v>
      </c>
      <c r="J510" t="n">
        <v>0</v>
      </c>
      <c r="K510" t="n">
        <v>0</v>
      </c>
      <c r="L510" t="n">
        <v>0</v>
      </c>
      <c r="M510" t="n">
        <v>0</v>
      </c>
      <c r="N510" t="n">
        <v>0</v>
      </c>
      <c r="O510" t="n">
        <v>0</v>
      </c>
      <c r="P510" t="n">
        <v>0</v>
      </c>
      <c r="Q510" t="n">
        <v>0</v>
      </c>
      <c r="R510" s="2" t="inlineStr"/>
    </row>
    <row r="511" ht="15" customHeight="1">
      <c r="A511" t="inlineStr">
        <is>
          <t>A 11639-2024</t>
        </is>
      </c>
      <c r="B511" s="1" t="n">
        <v>45373</v>
      </c>
      <c r="C511" s="1" t="n">
        <v>46167</v>
      </c>
      <c r="D511" t="inlineStr">
        <is>
          <t>JÄMTLANDS LÄN</t>
        </is>
      </c>
      <c r="E511" t="inlineStr">
        <is>
          <t>KROKOM</t>
        </is>
      </c>
      <c r="G511" t="n">
        <v>22.2</v>
      </c>
      <c r="H511" t="n">
        <v>0</v>
      </c>
      <c r="I511" t="n">
        <v>0</v>
      </c>
      <c r="J511" t="n">
        <v>0</v>
      </c>
      <c r="K511" t="n">
        <v>0</v>
      </c>
      <c r="L511" t="n">
        <v>0</v>
      </c>
      <c r="M511" t="n">
        <v>0</v>
      </c>
      <c r="N511" t="n">
        <v>0</v>
      </c>
      <c r="O511" t="n">
        <v>0</v>
      </c>
      <c r="P511" t="n">
        <v>0</v>
      </c>
      <c r="Q511" t="n">
        <v>0</v>
      </c>
      <c r="R511" s="2" t="inlineStr"/>
    </row>
    <row r="512" ht="15" customHeight="1">
      <c r="A512" t="inlineStr">
        <is>
          <t>A 23152-2026</t>
        </is>
      </c>
      <c r="B512" s="1" t="n">
        <v>46161.63023148148</v>
      </c>
      <c r="C512" s="1" t="n">
        <v>46167</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23154-2026</t>
        </is>
      </c>
      <c r="B513" s="1" t="n">
        <v>46161.63414351852</v>
      </c>
      <c r="C513" s="1" t="n">
        <v>46167</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23080-2026</t>
        </is>
      </c>
      <c r="B514" s="1" t="n">
        <v>46161.53552083333</v>
      </c>
      <c r="C514" s="1" t="n">
        <v>46167</v>
      </c>
      <c r="D514" t="inlineStr">
        <is>
          <t>JÄMTLANDS LÄN</t>
        </is>
      </c>
      <c r="E514" t="inlineStr">
        <is>
          <t>KROKOM</t>
        </is>
      </c>
      <c r="G514" t="n">
        <v>4.4</v>
      </c>
      <c r="H514" t="n">
        <v>0</v>
      </c>
      <c r="I514" t="n">
        <v>0</v>
      </c>
      <c r="J514" t="n">
        <v>0</v>
      </c>
      <c r="K514" t="n">
        <v>0</v>
      </c>
      <c r="L514" t="n">
        <v>0</v>
      </c>
      <c r="M514" t="n">
        <v>0</v>
      </c>
      <c r="N514" t="n">
        <v>0</v>
      </c>
      <c r="O514" t="n">
        <v>0</v>
      </c>
      <c r="P514" t="n">
        <v>0</v>
      </c>
      <c r="Q514" t="n">
        <v>0</v>
      </c>
      <c r="R514" s="2" t="inlineStr"/>
    </row>
    <row r="515" ht="15" customHeight="1">
      <c r="A515" t="inlineStr">
        <is>
          <t>A 23088-2026</t>
        </is>
      </c>
      <c r="B515" s="1" t="n">
        <v>46161.54456018518</v>
      </c>
      <c r="C515" s="1" t="n">
        <v>46167</v>
      </c>
      <c r="D515" t="inlineStr">
        <is>
          <t>JÄMTLANDS LÄN</t>
        </is>
      </c>
      <c r="E515" t="inlineStr">
        <is>
          <t>KROKOM</t>
        </is>
      </c>
      <c r="G515" t="n">
        <v>3.7</v>
      </c>
      <c r="H515" t="n">
        <v>0</v>
      </c>
      <c r="I515" t="n">
        <v>0</v>
      </c>
      <c r="J515" t="n">
        <v>0</v>
      </c>
      <c r="K515" t="n">
        <v>0</v>
      </c>
      <c r="L515" t="n">
        <v>0</v>
      </c>
      <c r="M515" t="n">
        <v>0</v>
      </c>
      <c r="N515" t="n">
        <v>0</v>
      </c>
      <c r="O515" t="n">
        <v>0</v>
      </c>
      <c r="P515" t="n">
        <v>0</v>
      </c>
      <c r="Q515" t="n">
        <v>0</v>
      </c>
      <c r="R515" s="2" t="inlineStr"/>
    </row>
    <row r="516" ht="15" customHeight="1">
      <c r="A516" t="inlineStr">
        <is>
          <t>A 64174-2023</t>
        </is>
      </c>
      <c r="B516" s="1" t="n">
        <v>45279</v>
      </c>
      <c r="C516" s="1" t="n">
        <v>46167</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41425-2025</t>
        </is>
      </c>
      <c r="B517" s="1" t="n">
        <v>45901.38590277778</v>
      </c>
      <c r="C517" s="1" t="n">
        <v>46167</v>
      </c>
      <c r="D517" t="inlineStr">
        <is>
          <t>JÄMTLANDS LÄN</t>
        </is>
      </c>
      <c r="E517" t="inlineStr">
        <is>
          <t>KROKOM</t>
        </is>
      </c>
      <c r="G517" t="n">
        <v>2.9</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46167</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23142-2026</t>
        </is>
      </c>
      <c r="B519" s="1" t="n">
        <v>46161.62298611111</v>
      </c>
      <c r="C519" s="1" t="n">
        <v>46167</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23150-2026</t>
        </is>
      </c>
      <c r="B520" s="1" t="n">
        <v>46161.62899305556</v>
      </c>
      <c r="C520" s="1" t="n">
        <v>46167</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37346-2025</t>
        </is>
      </c>
      <c r="B521" s="1" t="n">
        <v>45876</v>
      </c>
      <c r="C521" s="1" t="n">
        <v>46167</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37349-2025</t>
        </is>
      </c>
      <c r="B522" s="1" t="n">
        <v>45876</v>
      </c>
      <c r="C522" s="1" t="n">
        <v>46167</v>
      </c>
      <c r="D522" t="inlineStr">
        <is>
          <t>JÄMTLANDS LÄN</t>
        </is>
      </c>
      <c r="E522" t="inlineStr">
        <is>
          <t>KROKOM</t>
        </is>
      </c>
      <c r="G522" t="n">
        <v>7.9</v>
      </c>
      <c r="H522" t="n">
        <v>0</v>
      </c>
      <c r="I522" t="n">
        <v>0</v>
      </c>
      <c r="J522" t="n">
        <v>0</v>
      </c>
      <c r="K522" t="n">
        <v>0</v>
      </c>
      <c r="L522" t="n">
        <v>0</v>
      </c>
      <c r="M522" t="n">
        <v>0</v>
      </c>
      <c r="N522" t="n">
        <v>0</v>
      </c>
      <c r="O522" t="n">
        <v>0</v>
      </c>
      <c r="P522" t="n">
        <v>0</v>
      </c>
      <c r="Q522" t="n">
        <v>0</v>
      </c>
      <c r="R522" s="2" t="inlineStr"/>
    </row>
    <row r="523" ht="15" customHeight="1">
      <c r="A523" t="inlineStr">
        <is>
          <t>A 37350-2025</t>
        </is>
      </c>
      <c r="B523" s="1" t="n">
        <v>45876</v>
      </c>
      <c r="C523" s="1" t="n">
        <v>46167</v>
      </c>
      <c r="D523" t="inlineStr">
        <is>
          <t>JÄMTLANDS LÄN</t>
        </is>
      </c>
      <c r="E523" t="inlineStr">
        <is>
          <t>KROKOM</t>
        </is>
      </c>
      <c r="G523" t="n">
        <v>29.9</v>
      </c>
      <c r="H523" t="n">
        <v>0</v>
      </c>
      <c r="I523" t="n">
        <v>0</v>
      </c>
      <c r="J523" t="n">
        <v>0</v>
      </c>
      <c r="K523" t="n">
        <v>0</v>
      </c>
      <c r="L523" t="n">
        <v>0</v>
      </c>
      <c r="M523" t="n">
        <v>0</v>
      </c>
      <c r="N523" t="n">
        <v>0</v>
      </c>
      <c r="O523" t="n">
        <v>0</v>
      </c>
      <c r="P523" t="n">
        <v>0</v>
      </c>
      <c r="Q523" t="n">
        <v>0</v>
      </c>
      <c r="R523" s="2" t="inlineStr"/>
    </row>
    <row r="524" ht="15" customHeight="1">
      <c r="A524" t="inlineStr">
        <is>
          <t>A 23114-2026</t>
        </is>
      </c>
      <c r="B524" s="1" t="n">
        <v>46161.58643518519</v>
      </c>
      <c r="C524" s="1" t="n">
        <v>46167</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2236-2024</t>
        </is>
      </c>
      <c r="B525" s="1" t="n">
        <v>45309.94650462963</v>
      </c>
      <c r="C525" s="1" t="n">
        <v>46167</v>
      </c>
      <c r="D525" t="inlineStr">
        <is>
          <t>JÄMTLANDS LÄN</t>
        </is>
      </c>
      <c r="E525" t="inlineStr">
        <is>
          <t>KROKOM</t>
        </is>
      </c>
      <c r="G525" t="n">
        <v>2.6</v>
      </c>
      <c r="H525" t="n">
        <v>0</v>
      </c>
      <c r="I525" t="n">
        <v>0</v>
      </c>
      <c r="J525" t="n">
        <v>0</v>
      </c>
      <c r="K525" t="n">
        <v>0</v>
      </c>
      <c r="L525" t="n">
        <v>0</v>
      </c>
      <c r="M525" t="n">
        <v>0</v>
      </c>
      <c r="N525" t="n">
        <v>0</v>
      </c>
      <c r="O525" t="n">
        <v>0</v>
      </c>
      <c r="P525" t="n">
        <v>0</v>
      </c>
      <c r="Q525" t="n">
        <v>0</v>
      </c>
      <c r="R525" s="2" t="inlineStr"/>
    </row>
    <row r="526" ht="15" customHeight="1">
      <c r="A526" t="inlineStr">
        <is>
          <t>A 37530-2025</t>
        </is>
      </c>
      <c r="B526" s="1" t="n">
        <v>45878</v>
      </c>
      <c r="C526" s="1" t="n">
        <v>46167</v>
      </c>
      <c r="D526" t="inlineStr">
        <is>
          <t>JÄMTLANDS LÄN</t>
        </is>
      </c>
      <c r="E526" t="inlineStr">
        <is>
          <t>KROKOM</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17573-2026</t>
        </is>
      </c>
      <c r="B527" s="1" t="n">
        <v>46121.34517361111</v>
      </c>
      <c r="C527" s="1" t="n">
        <v>46167</v>
      </c>
      <c r="D527" t="inlineStr">
        <is>
          <t>JÄMTLANDS LÄN</t>
        </is>
      </c>
      <c r="E527" t="inlineStr">
        <is>
          <t>KROKOM</t>
        </is>
      </c>
      <c r="F527" t="inlineStr">
        <is>
          <t>SCA</t>
        </is>
      </c>
      <c r="G527" t="n">
        <v>25.6</v>
      </c>
      <c r="H527" t="n">
        <v>0</v>
      </c>
      <c r="I527" t="n">
        <v>0</v>
      </c>
      <c r="J527" t="n">
        <v>0</v>
      </c>
      <c r="K527" t="n">
        <v>0</v>
      </c>
      <c r="L527" t="n">
        <v>0</v>
      </c>
      <c r="M527" t="n">
        <v>0</v>
      </c>
      <c r="N527" t="n">
        <v>0</v>
      </c>
      <c r="O527" t="n">
        <v>0</v>
      </c>
      <c r="P527" t="n">
        <v>0</v>
      </c>
      <c r="Q527" t="n">
        <v>0</v>
      </c>
      <c r="R527" s="2" t="inlineStr"/>
    </row>
    <row r="528" ht="15" customHeight="1">
      <c r="A528" t="inlineStr">
        <is>
          <t>A 42445-2025</t>
        </is>
      </c>
      <c r="B528" s="1" t="n">
        <v>45905.4375</v>
      </c>
      <c r="C528" s="1" t="n">
        <v>46167</v>
      </c>
      <c r="D528" t="inlineStr">
        <is>
          <t>JÄMTLANDS LÄN</t>
        </is>
      </c>
      <c r="E528" t="inlineStr">
        <is>
          <t>KROKOM</t>
        </is>
      </c>
      <c r="G528" t="n">
        <v>2.8</v>
      </c>
      <c r="H528" t="n">
        <v>0</v>
      </c>
      <c r="I528" t="n">
        <v>0</v>
      </c>
      <c r="J528" t="n">
        <v>0</v>
      </c>
      <c r="K528" t="n">
        <v>0</v>
      </c>
      <c r="L528" t="n">
        <v>0</v>
      </c>
      <c r="M528" t="n">
        <v>0</v>
      </c>
      <c r="N528" t="n">
        <v>0</v>
      </c>
      <c r="O528" t="n">
        <v>0</v>
      </c>
      <c r="P528" t="n">
        <v>0</v>
      </c>
      <c r="Q528" t="n">
        <v>0</v>
      </c>
      <c r="R528" s="2" t="inlineStr"/>
    </row>
    <row r="529" ht="15" customHeight="1">
      <c r="A529" t="inlineStr">
        <is>
          <t>A 23340-2026</t>
        </is>
      </c>
      <c r="B529" s="1" t="n">
        <v>46162.57079861111</v>
      </c>
      <c r="C529" s="1" t="n">
        <v>46167</v>
      </c>
      <c r="D529" t="inlineStr">
        <is>
          <t>JÄMTLANDS LÄN</t>
        </is>
      </c>
      <c r="E529" t="inlineStr">
        <is>
          <t>KROKOM</t>
        </is>
      </c>
      <c r="G529" t="n">
        <v>5.2</v>
      </c>
      <c r="H529" t="n">
        <v>0</v>
      </c>
      <c r="I529" t="n">
        <v>0</v>
      </c>
      <c r="J529" t="n">
        <v>0</v>
      </c>
      <c r="K529" t="n">
        <v>0</v>
      </c>
      <c r="L529" t="n">
        <v>0</v>
      </c>
      <c r="M529" t="n">
        <v>0</v>
      </c>
      <c r="N529" t="n">
        <v>0</v>
      </c>
      <c r="O529" t="n">
        <v>0</v>
      </c>
      <c r="P529" t="n">
        <v>0</v>
      </c>
      <c r="Q529" t="n">
        <v>0</v>
      </c>
      <c r="R529" s="2" t="inlineStr"/>
    </row>
    <row r="530" ht="15" customHeight="1">
      <c r="A530" t="inlineStr">
        <is>
          <t>A 23811-2026</t>
        </is>
      </c>
      <c r="B530" s="1" t="n">
        <v>46164.66408564815</v>
      </c>
      <c r="C530" s="1" t="n">
        <v>46167</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46167</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42427-2025</t>
        </is>
      </c>
      <c r="B532" s="1" t="n">
        <v>45905.4174537037</v>
      </c>
      <c r="C532" s="1" t="n">
        <v>46167</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37821-2025</t>
        </is>
      </c>
      <c r="B533" s="1" t="n">
        <v>45881.40521990741</v>
      </c>
      <c r="C533" s="1" t="n">
        <v>46167</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43371-2025</t>
        </is>
      </c>
      <c r="B534" s="1" t="n">
        <v>45911</v>
      </c>
      <c r="C534" s="1" t="n">
        <v>46167</v>
      </c>
      <c r="D534" t="inlineStr">
        <is>
          <t>JÄMTLANDS LÄN</t>
        </is>
      </c>
      <c r="E534" t="inlineStr">
        <is>
          <t>KROKOM</t>
        </is>
      </c>
      <c r="G534" t="n">
        <v>7.3</v>
      </c>
      <c r="H534" t="n">
        <v>0</v>
      </c>
      <c r="I534" t="n">
        <v>0</v>
      </c>
      <c r="J534" t="n">
        <v>0</v>
      </c>
      <c r="K534" t="n">
        <v>0</v>
      </c>
      <c r="L534" t="n">
        <v>0</v>
      </c>
      <c r="M534" t="n">
        <v>0</v>
      </c>
      <c r="N534" t="n">
        <v>0</v>
      </c>
      <c r="O534" t="n">
        <v>0</v>
      </c>
      <c r="P534" t="n">
        <v>0</v>
      </c>
      <c r="Q534" t="n">
        <v>0</v>
      </c>
      <c r="R534" s="2" t="inlineStr"/>
    </row>
    <row r="535" ht="15" customHeight="1">
      <c r="A535" t="inlineStr">
        <is>
          <t>A 42231-2025</t>
        </is>
      </c>
      <c r="B535" s="1" t="n">
        <v>45904.55565972222</v>
      </c>
      <c r="C535" s="1" t="n">
        <v>46167</v>
      </c>
      <c r="D535" t="inlineStr">
        <is>
          <t>JÄMTLANDS LÄN</t>
        </is>
      </c>
      <c r="E535" t="inlineStr">
        <is>
          <t>KROKOM</t>
        </is>
      </c>
      <c r="G535" t="n">
        <v>0.6</v>
      </c>
      <c r="H535" t="n">
        <v>0</v>
      </c>
      <c r="I535" t="n">
        <v>0</v>
      </c>
      <c r="J535" t="n">
        <v>0</v>
      </c>
      <c r="K535" t="n">
        <v>0</v>
      </c>
      <c r="L535" t="n">
        <v>0</v>
      </c>
      <c r="M535" t="n">
        <v>0</v>
      </c>
      <c r="N535" t="n">
        <v>0</v>
      </c>
      <c r="O535" t="n">
        <v>0</v>
      </c>
      <c r="P535" t="n">
        <v>0</v>
      </c>
      <c r="Q535" t="n">
        <v>0</v>
      </c>
      <c r="R535" s="2" t="inlineStr"/>
    </row>
    <row r="536" ht="15" customHeight="1">
      <c r="A536" t="inlineStr">
        <is>
          <t>A 42235-2025</t>
        </is>
      </c>
      <c r="B536" s="1" t="n">
        <v>45904.56144675926</v>
      </c>
      <c r="C536" s="1" t="n">
        <v>46167</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27616-2023</t>
        </is>
      </c>
      <c r="B537" s="1" t="n">
        <v>45097</v>
      </c>
      <c r="C537" s="1" t="n">
        <v>46167</v>
      </c>
      <c r="D537" t="inlineStr">
        <is>
          <t>JÄMTLANDS LÄN</t>
        </is>
      </c>
      <c r="E537" t="inlineStr">
        <is>
          <t>KROKOM</t>
        </is>
      </c>
      <c r="F537" t="inlineStr">
        <is>
          <t>Övriga Aktiebolag</t>
        </is>
      </c>
      <c r="G537" t="n">
        <v>13.3</v>
      </c>
      <c r="H537" t="n">
        <v>0</v>
      </c>
      <c r="I537" t="n">
        <v>0</v>
      </c>
      <c r="J537" t="n">
        <v>0</v>
      </c>
      <c r="K537" t="n">
        <v>0</v>
      </c>
      <c r="L537" t="n">
        <v>0</v>
      </c>
      <c r="M537" t="n">
        <v>0</v>
      </c>
      <c r="N537" t="n">
        <v>0</v>
      </c>
      <c r="O537" t="n">
        <v>0</v>
      </c>
      <c r="P537" t="n">
        <v>0</v>
      </c>
      <c r="Q537" t="n">
        <v>0</v>
      </c>
      <c r="R537" s="2" t="inlineStr"/>
    </row>
    <row r="538" ht="15" customHeight="1">
      <c r="A538" t="inlineStr">
        <is>
          <t>A 38416-2025</t>
        </is>
      </c>
      <c r="B538" s="1" t="n">
        <v>45883.61028935185</v>
      </c>
      <c r="C538" s="1" t="n">
        <v>46167</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58734-2024</t>
        </is>
      </c>
      <c r="B539" s="1" t="n">
        <v>45635.67949074074</v>
      </c>
      <c r="C539" s="1" t="n">
        <v>46167</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23812-2026</t>
        </is>
      </c>
      <c r="B540" s="1" t="n">
        <v>46164.67037037037</v>
      </c>
      <c r="C540" s="1" t="n">
        <v>46167</v>
      </c>
      <c r="D540" t="inlineStr">
        <is>
          <t>JÄMTLANDS LÄN</t>
        </is>
      </c>
      <c r="E540" t="inlineStr">
        <is>
          <t>KROKOM</t>
        </is>
      </c>
      <c r="G540" t="n">
        <v>11.6</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46167</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8868-2025</t>
        </is>
      </c>
      <c r="B542" s="1" t="n">
        <v>45713.36836805556</v>
      </c>
      <c r="C542" s="1" t="n">
        <v>46167</v>
      </c>
      <c r="D542" t="inlineStr">
        <is>
          <t>JÄMTLANDS LÄN</t>
        </is>
      </c>
      <c r="E542" t="inlineStr">
        <is>
          <t>KROKOM</t>
        </is>
      </c>
      <c r="F542" t="inlineStr">
        <is>
          <t>Övriga Aktiebolag</t>
        </is>
      </c>
      <c r="G542" t="n">
        <v>4.2</v>
      </c>
      <c r="H542" t="n">
        <v>0</v>
      </c>
      <c r="I542" t="n">
        <v>0</v>
      </c>
      <c r="J542" t="n">
        <v>0</v>
      </c>
      <c r="K542" t="n">
        <v>0</v>
      </c>
      <c r="L542" t="n">
        <v>0</v>
      </c>
      <c r="M542" t="n">
        <v>0</v>
      </c>
      <c r="N542" t="n">
        <v>0</v>
      </c>
      <c r="O542" t="n">
        <v>0</v>
      </c>
      <c r="P542" t="n">
        <v>0</v>
      </c>
      <c r="Q542" t="n">
        <v>0</v>
      </c>
      <c r="R542" s="2" t="inlineStr"/>
    </row>
    <row r="543" ht="15" customHeight="1">
      <c r="A543" t="inlineStr">
        <is>
          <t>A 37820-2025</t>
        </is>
      </c>
      <c r="B543" s="1" t="n">
        <v>45881.39909722222</v>
      </c>
      <c r="C543" s="1" t="n">
        <v>46167</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58416-2024</t>
        </is>
      </c>
      <c r="B544" s="1" t="n">
        <v>45634.79854166666</v>
      </c>
      <c r="C544" s="1" t="n">
        <v>46167</v>
      </c>
      <c r="D544" t="inlineStr">
        <is>
          <t>JÄMTLANDS LÄN</t>
        </is>
      </c>
      <c r="E544" t="inlineStr">
        <is>
          <t>KROKOM</t>
        </is>
      </c>
      <c r="G544" t="n">
        <v>1.2</v>
      </c>
      <c r="H544" t="n">
        <v>0</v>
      </c>
      <c r="I544" t="n">
        <v>0</v>
      </c>
      <c r="J544" t="n">
        <v>0</v>
      </c>
      <c r="K544" t="n">
        <v>0</v>
      </c>
      <c r="L544" t="n">
        <v>0</v>
      </c>
      <c r="M544" t="n">
        <v>0</v>
      </c>
      <c r="N544" t="n">
        <v>0</v>
      </c>
      <c r="O544" t="n">
        <v>0</v>
      </c>
      <c r="P544" t="n">
        <v>0</v>
      </c>
      <c r="Q544" t="n">
        <v>0</v>
      </c>
      <c r="R544" s="2" t="inlineStr"/>
    </row>
    <row r="545" ht="15" customHeight="1">
      <c r="A545" t="inlineStr">
        <is>
          <t>A 43373-2025</t>
        </is>
      </c>
      <c r="B545" s="1" t="n">
        <v>45911</v>
      </c>
      <c r="C545" s="1" t="n">
        <v>46167</v>
      </c>
      <c r="D545" t="inlineStr">
        <is>
          <t>JÄMTLANDS LÄN</t>
        </is>
      </c>
      <c r="E545" t="inlineStr">
        <is>
          <t>KROKOM</t>
        </is>
      </c>
      <c r="G545" t="n">
        <v>34.9</v>
      </c>
      <c r="H545" t="n">
        <v>0</v>
      </c>
      <c r="I545" t="n">
        <v>0</v>
      </c>
      <c r="J545" t="n">
        <v>0</v>
      </c>
      <c r="K545" t="n">
        <v>0</v>
      </c>
      <c r="L545" t="n">
        <v>0</v>
      </c>
      <c r="M545" t="n">
        <v>0</v>
      </c>
      <c r="N545" t="n">
        <v>0</v>
      </c>
      <c r="O545" t="n">
        <v>0</v>
      </c>
      <c r="P545" t="n">
        <v>0</v>
      </c>
      <c r="Q545" t="n">
        <v>0</v>
      </c>
      <c r="R545" s="2" t="inlineStr"/>
    </row>
    <row r="546" ht="15" customHeight="1">
      <c r="A546" t="inlineStr">
        <is>
          <t>A 17885-2026</t>
        </is>
      </c>
      <c r="B546" s="1" t="n">
        <v>46122.56135416667</v>
      </c>
      <c r="C546" s="1" t="n">
        <v>46167</v>
      </c>
      <c r="D546" t="inlineStr">
        <is>
          <t>JÄMTLANDS LÄN</t>
        </is>
      </c>
      <c r="E546" t="inlineStr">
        <is>
          <t>KROKOM</t>
        </is>
      </c>
      <c r="G546" t="n">
        <v>5.1</v>
      </c>
      <c r="H546" t="n">
        <v>0</v>
      </c>
      <c r="I546" t="n">
        <v>0</v>
      </c>
      <c r="J546" t="n">
        <v>0</v>
      </c>
      <c r="K546" t="n">
        <v>0</v>
      </c>
      <c r="L546" t="n">
        <v>0</v>
      </c>
      <c r="M546" t="n">
        <v>0</v>
      </c>
      <c r="N546" t="n">
        <v>0</v>
      </c>
      <c r="O546" t="n">
        <v>0</v>
      </c>
      <c r="P546" t="n">
        <v>0</v>
      </c>
      <c r="Q546" t="n">
        <v>0</v>
      </c>
      <c r="R546" s="2" t="inlineStr"/>
    </row>
    <row r="547" ht="15" customHeight="1">
      <c r="A547" t="inlineStr">
        <is>
          <t>A 42393-2024</t>
        </is>
      </c>
      <c r="B547" s="1" t="n">
        <v>45565.32449074074</v>
      </c>
      <c r="C547" s="1" t="n">
        <v>46167</v>
      </c>
      <c r="D547" t="inlineStr">
        <is>
          <t>JÄMTLANDS LÄN</t>
        </is>
      </c>
      <c r="E547" t="inlineStr">
        <is>
          <t>KROKOM</t>
        </is>
      </c>
      <c r="G547" t="n">
        <v>1.2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46167</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46167</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6585-2025</t>
        </is>
      </c>
      <c r="B550" s="1" t="n">
        <v>45700.27895833334</v>
      </c>
      <c r="C550" s="1" t="n">
        <v>46167</v>
      </c>
      <c r="D550" t="inlineStr">
        <is>
          <t>JÄMTLANDS LÄN</t>
        </is>
      </c>
      <c r="E550" t="inlineStr">
        <is>
          <t>KROKOM</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14827-2024</t>
        </is>
      </c>
      <c r="B551" s="1" t="n">
        <v>45398</v>
      </c>
      <c r="C551" s="1" t="n">
        <v>46167</v>
      </c>
      <c r="D551" t="inlineStr">
        <is>
          <t>JÄMTLANDS LÄN</t>
        </is>
      </c>
      <c r="E551" t="inlineStr">
        <is>
          <t>KROKOM</t>
        </is>
      </c>
      <c r="G551" t="n">
        <v>10</v>
      </c>
      <c r="H551" t="n">
        <v>0</v>
      </c>
      <c r="I551" t="n">
        <v>0</v>
      </c>
      <c r="J551" t="n">
        <v>0</v>
      </c>
      <c r="K551" t="n">
        <v>0</v>
      </c>
      <c r="L551" t="n">
        <v>0</v>
      </c>
      <c r="M551" t="n">
        <v>0</v>
      </c>
      <c r="N551" t="n">
        <v>0</v>
      </c>
      <c r="O551" t="n">
        <v>0</v>
      </c>
      <c r="P551" t="n">
        <v>0</v>
      </c>
      <c r="Q551" t="n">
        <v>0</v>
      </c>
      <c r="R551" s="2" t="inlineStr"/>
    </row>
    <row r="552" ht="15" customHeight="1">
      <c r="A552" t="inlineStr">
        <is>
          <t>A 50270-2023</t>
        </is>
      </c>
      <c r="B552" s="1" t="n">
        <v>45216.3965625</v>
      </c>
      <c r="C552" s="1" t="n">
        <v>46167</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33359-2022</t>
        </is>
      </c>
      <c r="B553" s="1" t="n">
        <v>44788</v>
      </c>
      <c r="C553" s="1" t="n">
        <v>46167</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38885-2025</t>
        </is>
      </c>
      <c r="B554" s="1" t="n">
        <v>45887.58372685185</v>
      </c>
      <c r="C554" s="1" t="n">
        <v>46167</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6214-2022</t>
        </is>
      </c>
      <c r="B555" s="1" t="n">
        <v>44600.37212962963</v>
      </c>
      <c r="C555" s="1" t="n">
        <v>46167</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18980-2025</t>
        </is>
      </c>
      <c r="B556" s="1" t="n">
        <v>45764.55260416667</v>
      </c>
      <c r="C556" s="1" t="n">
        <v>46167</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1119-2025</t>
        </is>
      </c>
      <c r="B557" s="1" t="n">
        <v>45666.65987268519</v>
      </c>
      <c r="C557" s="1" t="n">
        <v>46167</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38894-2025</t>
        </is>
      </c>
      <c r="B558" s="1" t="n">
        <v>45887.59064814815</v>
      </c>
      <c r="C558" s="1" t="n">
        <v>46167</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44138-2025</t>
        </is>
      </c>
      <c r="B559" s="1" t="n">
        <v>45915.58836805556</v>
      </c>
      <c r="C559" s="1" t="n">
        <v>46167</v>
      </c>
      <c r="D559" t="inlineStr">
        <is>
          <t>JÄMTLANDS LÄN</t>
        </is>
      </c>
      <c r="E559" t="inlineStr">
        <is>
          <t>KROKOM</t>
        </is>
      </c>
      <c r="G559" t="n">
        <v>5</v>
      </c>
      <c r="H559" t="n">
        <v>0</v>
      </c>
      <c r="I559" t="n">
        <v>0</v>
      </c>
      <c r="J559" t="n">
        <v>0</v>
      </c>
      <c r="K559" t="n">
        <v>0</v>
      </c>
      <c r="L559" t="n">
        <v>0</v>
      </c>
      <c r="M559" t="n">
        <v>0</v>
      </c>
      <c r="N559" t="n">
        <v>0</v>
      </c>
      <c r="O559" t="n">
        <v>0</v>
      </c>
      <c r="P559" t="n">
        <v>0</v>
      </c>
      <c r="Q559" t="n">
        <v>0</v>
      </c>
      <c r="R559" s="2" t="inlineStr"/>
    </row>
    <row r="560" ht="15" customHeight="1">
      <c r="A560" t="inlineStr">
        <is>
          <t>A 43996-2025</t>
        </is>
      </c>
      <c r="B560" s="1" t="n">
        <v>45915</v>
      </c>
      <c r="C560" s="1" t="n">
        <v>46167</v>
      </c>
      <c r="D560" t="inlineStr">
        <is>
          <t>JÄMTLANDS LÄN</t>
        </is>
      </c>
      <c r="E560" t="inlineStr">
        <is>
          <t>KROKOM</t>
        </is>
      </c>
      <c r="G560" t="n">
        <v>24.2</v>
      </c>
      <c r="H560" t="n">
        <v>0</v>
      </c>
      <c r="I560" t="n">
        <v>0</v>
      </c>
      <c r="J560" t="n">
        <v>0</v>
      </c>
      <c r="K560" t="n">
        <v>0</v>
      </c>
      <c r="L560" t="n">
        <v>0</v>
      </c>
      <c r="M560" t="n">
        <v>0</v>
      </c>
      <c r="N560" t="n">
        <v>0</v>
      </c>
      <c r="O560" t="n">
        <v>0</v>
      </c>
      <c r="P560" t="n">
        <v>0</v>
      </c>
      <c r="Q560" t="n">
        <v>0</v>
      </c>
      <c r="R560" s="2" t="inlineStr"/>
    </row>
    <row r="561" ht="15" customHeight="1">
      <c r="A561" t="inlineStr">
        <is>
          <t>A 22411-2024</t>
        </is>
      </c>
      <c r="B561" s="1" t="n">
        <v>45446.68733796296</v>
      </c>
      <c r="C561" s="1" t="n">
        <v>46167</v>
      </c>
      <c r="D561" t="inlineStr">
        <is>
          <t>JÄMTLANDS LÄN</t>
        </is>
      </c>
      <c r="E561" t="inlineStr">
        <is>
          <t>KROKOM</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43785-2025</t>
        </is>
      </c>
      <c r="B562" s="1" t="n">
        <v>45912</v>
      </c>
      <c r="C562" s="1" t="n">
        <v>46167</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66880-2021</t>
        </is>
      </c>
      <c r="B563" s="1" t="n">
        <v>44522.46662037037</v>
      </c>
      <c r="C563" s="1" t="n">
        <v>46167</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6804-2025</t>
        </is>
      </c>
      <c r="B564" s="1" t="n">
        <v>45700.6833912037</v>
      </c>
      <c r="C564" s="1" t="n">
        <v>46167</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53540-2024</t>
        </is>
      </c>
      <c r="B565" s="1" t="n">
        <v>45614.63575231482</v>
      </c>
      <c r="C565" s="1" t="n">
        <v>46167</v>
      </c>
      <c r="D565" t="inlineStr">
        <is>
          <t>JÄMTLANDS LÄN</t>
        </is>
      </c>
      <c r="E565" t="inlineStr">
        <is>
          <t>KROKOM</t>
        </is>
      </c>
      <c r="G565" t="n">
        <v>4.7</v>
      </c>
      <c r="H565" t="n">
        <v>0</v>
      </c>
      <c r="I565" t="n">
        <v>0</v>
      </c>
      <c r="J565" t="n">
        <v>0</v>
      </c>
      <c r="K565" t="n">
        <v>0</v>
      </c>
      <c r="L565" t="n">
        <v>0</v>
      </c>
      <c r="M565" t="n">
        <v>0</v>
      </c>
      <c r="N565" t="n">
        <v>0</v>
      </c>
      <c r="O565" t="n">
        <v>0</v>
      </c>
      <c r="P565" t="n">
        <v>0</v>
      </c>
      <c r="Q565" t="n">
        <v>0</v>
      </c>
      <c r="R565" s="2" t="inlineStr"/>
    </row>
    <row r="566" ht="15" customHeight="1">
      <c r="A566" t="inlineStr">
        <is>
          <t>A 4423-2025</t>
        </is>
      </c>
      <c r="B566" s="1" t="n">
        <v>45686</v>
      </c>
      <c r="C566" s="1" t="n">
        <v>46167</v>
      </c>
      <c r="D566" t="inlineStr">
        <is>
          <t>JÄMTLANDS LÄN</t>
        </is>
      </c>
      <c r="E566" t="inlineStr">
        <is>
          <t>KROKOM</t>
        </is>
      </c>
      <c r="G566" t="n">
        <v>17.3</v>
      </c>
      <c r="H566" t="n">
        <v>0</v>
      </c>
      <c r="I566" t="n">
        <v>0</v>
      </c>
      <c r="J566" t="n">
        <v>0</v>
      </c>
      <c r="K566" t="n">
        <v>0</v>
      </c>
      <c r="L566" t="n">
        <v>0</v>
      </c>
      <c r="M566" t="n">
        <v>0</v>
      </c>
      <c r="N566" t="n">
        <v>0</v>
      </c>
      <c r="O566" t="n">
        <v>0</v>
      </c>
      <c r="P566" t="n">
        <v>0</v>
      </c>
      <c r="Q566" t="n">
        <v>0</v>
      </c>
      <c r="R566" s="2" t="inlineStr"/>
    </row>
    <row r="567" ht="15" customHeight="1">
      <c r="A567" t="inlineStr">
        <is>
          <t>A 32692-2023</t>
        </is>
      </c>
      <c r="B567" s="1" t="n">
        <v>45112</v>
      </c>
      <c r="C567" s="1" t="n">
        <v>46167</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45253-2025</t>
        </is>
      </c>
      <c r="B568" s="1" t="n">
        <v>45919.61512731481</v>
      </c>
      <c r="C568" s="1" t="n">
        <v>46167</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44888-2025</t>
        </is>
      </c>
      <c r="B569" s="1" t="n">
        <v>45918.49489583333</v>
      </c>
      <c r="C569" s="1" t="n">
        <v>46167</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15432-2025</t>
        </is>
      </c>
      <c r="B570" s="1" t="n">
        <v>45747.47025462963</v>
      </c>
      <c r="C570" s="1" t="n">
        <v>46167</v>
      </c>
      <c r="D570" t="inlineStr">
        <is>
          <t>JÄMTLANDS LÄN</t>
        </is>
      </c>
      <c r="E570" t="inlineStr">
        <is>
          <t>KROKOM</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23539-2024</t>
        </is>
      </c>
      <c r="B571" s="1" t="n">
        <v>45453.95237268518</v>
      </c>
      <c r="C571" s="1" t="n">
        <v>46167</v>
      </c>
      <c r="D571" t="inlineStr">
        <is>
          <t>JÄMTLANDS LÄN</t>
        </is>
      </c>
      <c r="E571" t="inlineStr">
        <is>
          <t>KROKOM</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17591-2023</t>
        </is>
      </c>
      <c r="B572" s="1" t="n">
        <v>45036</v>
      </c>
      <c r="C572" s="1" t="n">
        <v>46167</v>
      </c>
      <c r="D572" t="inlineStr">
        <is>
          <t>JÄMTLANDS LÄN</t>
        </is>
      </c>
      <c r="E572" t="inlineStr">
        <is>
          <t>KROKOM</t>
        </is>
      </c>
      <c r="G572" t="n">
        <v>8.4</v>
      </c>
      <c r="H572" t="n">
        <v>0</v>
      </c>
      <c r="I572" t="n">
        <v>0</v>
      </c>
      <c r="J572" t="n">
        <v>0</v>
      </c>
      <c r="K572" t="n">
        <v>0</v>
      </c>
      <c r="L572" t="n">
        <v>0</v>
      </c>
      <c r="M572" t="n">
        <v>0</v>
      </c>
      <c r="N572" t="n">
        <v>0</v>
      </c>
      <c r="O572" t="n">
        <v>0</v>
      </c>
      <c r="P572" t="n">
        <v>0</v>
      </c>
      <c r="Q572" t="n">
        <v>0</v>
      </c>
      <c r="R572" s="2" t="inlineStr"/>
    </row>
    <row r="573" ht="15" customHeight="1">
      <c r="A573" t="inlineStr">
        <is>
          <t>A 17594-2023</t>
        </is>
      </c>
      <c r="B573" s="1" t="n">
        <v>45036</v>
      </c>
      <c r="C573" s="1" t="n">
        <v>46167</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47098-2024</t>
        </is>
      </c>
      <c r="B574" s="1" t="n">
        <v>45586.53618055556</v>
      </c>
      <c r="C574" s="1" t="n">
        <v>46167</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45462-2025</t>
        </is>
      </c>
      <c r="B575" s="1" t="n">
        <v>45922.49604166667</v>
      </c>
      <c r="C575" s="1" t="n">
        <v>46167</v>
      </c>
      <c r="D575" t="inlineStr">
        <is>
          <t>JÄMTLANDS LÄN</t>
        </is>
      </c>
      <c r="E575" t="inlineStr">
        <is>
          <t>KROKOM</t>
        </is>
      </c>
      <c r="G575" t="n">
        <v>2.4</v>
      </c>
      <c r="H575" t="n">
        <v>0</v>
      </c>
      <c r="I575" t="n">
        <v>0</v>
      </c>
      <c r="J575" t="n">
        <v>0</v>
      </c>
      <c r="K575" t="n">
        <v>0</v>
      </c>
      <c r="L575" t="n">
        <v>0</v>
      </c>
      <c r="M575" t="n">
        <v>0</v>
      </c>
      <c r="N575" t="n">
        <v>0</v>
      </c>
      <c r="O575" t="n">
        <v>0</v>
      </c>
      <c r="P575" t="n">
        <v>0</v>
      </c>
      <c r="Q575" t="n">
        <v>0</v>
      </c>
      <c r="R575" s="2" t="inlineStr"/>
    </row>
    <row r="576" ht="15" customHeight="1">
      <c r="A576" t="inlineStr">
        <is>
          <t>A 50206-2024</t>
        </is>
      </c>
      <c r="B576" s="1" t="n">
        <v>45600.49616898148</v>
      </c>
      <c r="C576" s="1" t="n">
        <v>46167</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45778-2025</t>
        </is>
      </c>
      <c r="B577" s="1" t="n">
        <v>45923.54756944445</v>
      </c>
      <c r="C577" s="1" t="n">
        <v>46167</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45780-2025</t>
        </is>
      </c>
      <c r="B578" s="1" t="n">
        <v>45923.54827546296</v>
      </c>
      <c r="C578" s="1" t="n">
        <v>46167</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45464-2025</t>
        </is>
      </c>
      <c r="B579" s="1" t="n">
        <v>45922.4984837963</v>
      </c>
      <c r="C579" s="1" t="n">
        <v>46167</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51910-2023</t>
        </is>
      </c>
      <c r="B580" s="1" t="n">
        <v>45216</v>
      </c>
      <c r="C580" s="1" t="n">
        <v>46167</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49046-2023</t>
        </is>
      </c>
      <c r="B581" s="1" t="n">
        <v>45209</v>
      </c>
      <c r="C581" s="1" t="n">
        <v>46167</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34516-2025</t>
        </is>
      </c>
      <c r="B582" s="1" t="n">
        <v>45847.46462962963</v>
      </c>
      <c r="C582" s="1" t="n">
        <v>46167</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24387-2023</t>
        </is>
      </c>
      <c r="B583" s="1" t="n">
        <v>45082</v>
      </c>
      <c r="C583" s="1" t="n">
        <v>46167</v>
      </c>
      <c r="D583" t="inlineStr">
        <is>
          <t>JÄMTLANDS LÄN</t>
        </is>
      </c>
      <c r="E583" t="inlineStr">
        <is>
          <t>KROKOM</t>
        </is>
      </c>
      <c r="F583" t="inlineStr">
        <is>
          <t>Kyrkan</t>
        </is>
      </c>
      <c r="G583" t="n">
        <v>21.2</v>
      </c>
      <c r="H583" t="n">
        <v>0</v>
      </c>
      <c r="I583" t="n">
        <v>0</v>
      </c>
      <c r="J583" t="n">
        <v>0</v>
      </c>
      <c r="K583" t="n">
        <v>0</v>
      </c>
      <c r="L583" t="n">
        <v>0</v>
      </c>
      <c r="M583" t="n">
        <v>0</v>
      </c>
      <c r="N583" t="n">
        <v>0</v>
      </c>
      <c r="O583" t="n">
        <v>0</v>
      </c>
      <c r="P583" t="n">
        <v>0</v>
      </c>
      <c r="Q583" t="n">
        <v>0</v>
      </c>
      <c r="R583" s="2" t="inlineStr"/>
    </row>
    <row r="584" ht="15" customHeight="1">
      <c r="A584" t="inlineStr">
        <is>
          <t>A 46308-2025</t>
        </is>
      </c>
      <c r="B584" s="1" t="n">
        <v>45925.43271990741</v>
      </c>
      <c r="C584" s="1" t="n">
        <v>46167</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46331-2025</t>
        </is>
      </c>
      <c r="B585" s="1" t="n">
        <v>45925.45605324074</v>
      </c>
      <c r="C585" s="1" t="n">
        <v>46167</v>
      </c>
      <c r="D585" t="inlineStr">
        <is>
          <t>JÄMTLANDS LÄN</t>
        </is>
      </c>
      <c r="E585" t="inlineStr">
        <is>
          <t>KROKOM</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44663-2025</t>
        </is>
      </c>
      <c r="B586" s="1" t="n">
        <v>45917</v>
      </c>
      <c r="C586" s="1" t="n">
        <v>46167</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46274-2025</t>
        </is>
      </c>
      <c r="B587" s="1" t="n">
        <v>45925.37074074074</v>
      </c>
      <c r="C587" s="1" t="n">
        <v>46167</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46295-2025</t>
        </is>
      </c>
      <c r="B588" s="1" t="n">
        <v>45925.39686342593</v>
      </c>
      <c r="C588" s="1" t="n">
        <v>46167</v>
      </c>
      <c r="D588" t="inlineStr">
        <is>
          <t>JÄMTLANDS LÄN</t>
        </is>
      </c>
      <c r="E588" t="inlineStr">
        <is>
          <t>KROKOM</t>
        </is>
      </c>
      <c r="F588" t="inlineStr">
        <is>
          <t>Övriga Aktiebolag</t>
        </is>
      </c>
      <c r="G588" t="n">
        <v>5.6</v>
      </c>
      <c r="H588" t="n">
        <v>0</v>
      </c>
      <c r="I588" t="n">
        <v>0</v>
      </c>
      <c r="J588" t="n">
        <v>0</v>
      </c>
      <c r="K588" t="n">
        <v>0</v>
      </c>
      <c r="L588" t="n">
        <v>0</v>
      </c>
      <c r="M588" t="n">
        <v>0</v>
      </c>
      <c r="N588" t="n">
        <v>0</v>
      </c>
      <c r="O588" t="n">
        <v>0</v>
      </c>
      <c r="P588" t="n">
        <v>0</v>
      </c>
      <c r="Q588" t="n">
        <v>0</v>
      </c>
      <c r="R588" s="2" t="inlineStr"/>
    </row>
    <row r="589" ht="15" customHeight="1">
      <c r="A589" t="inlineStr">
        <is>
          <t>A 46099-2025</t>
        </is>
      </c>
      <c r="B589" s="1" t="n">
        <v>45924.54465277777</v>
      </c>
      <c r="C589" s="1" t="n">
        <v>46167</v>
      </c>
      <c r="D589" t="inlineStr">
        <is>
          <t>JÄMTLANDS LÄN</t>
        </is>
      </c>
      <c r="E589" t="inlineStr">
        <is>
          <t>KROKOM</t>
        </is>
      </c>
      <c r="F589" t="inlineStr">
        <is>
          <t>Övriga Aktiebolag</t>
        </is>
      </c>
      <c r="G589" t="n">
        <v>13.4</v>
      </c>
      <c r="H589" t="n">
        <v>0</v>
      </c>
      <c r="I589" t="n">
        <v>0</v>
      </c>
      <c r="J589" t="n">
        <v>0</v>
      </c>
      <c r="K589" t="n">
        <v>0</v>
      </c>
      <c r="L589" t="n">
        <v>0</v>
      </c>
      <c r="M589" t="n">
        <v>0</v>
      </c>
      <c r="N589" t="n">
        <v>0</v>
      </c>
      <c r="O589" t="n">
        <v>0</v>
      </c>
      <c r="P589" t="n">
        <v>0</v>
      </c>
      <c r="Q589" t="n">
        <v>0</v>
      </c>
      <c r="R589" s="2" t="inlineStr"/>
    </row>
    <row r="590" ht="15" customHeight="1">
      <c r="A590" t="inlineStr">
        <is>
          <t>A 46141-2025</t>
        </is>
      </c>
      <c r="B590" s="1" t="n">
        <v>45924.60287037037</v>
      </c>
      <c r="C590" s="1" t="n">
        <v>46167</v>
      </c>
      <c r="D590" t="inlineStr">
        <is>
          <t>JÄMTLANDS LÄN</t>
        </is>
      </c>
      <c r="E590" t="inlineStr">
        <is>
          <t>KROKOM</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6347-2023</t>
        </is>
      </c>
      <c r="B591" s="1" t="n">
        <v>44965</v>
      </c>
      <c r="C591" s="1" t="n">
        <v>46167</v>
      </c>
      <c r="D591" t="inlineStr">
        <is>
          <t>JÄMTLANDS LÄN</t>
        </is>
      </c>
      <c r="E591" t="inlineStr">
        <is>
          <t>KROKOM</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46516-2025</t>
        </is>
      </c>
      <c r="B592" s="1" t="n">
        <v>45926.29324074074</v>
      </c>
      <c r="C592" s="1" t="n">
        <v>46167</v>
      </c>
      <c r="D592" t="inlineStr">
        <is>
          <t>JÄMTLANDS LÄN</t>
        </is>
      </c>
      <c r="E592" t="inlineStr">
        <is>
          <t>KROKOM</t>
        </is>
      </c>
      <c r="F592" t="inlineStr">
        <is>
          <t>Övriga Aktiebolag</t>
        </is>
      </c>
      <c r="G592" t="n">
        <v>18.7</v>
      </c>
      <c r="H592" t="n">
        <v>0</v>
      </c>
      <c r="I592" t="n">
        <v>0</v>
      </c>
      <c r="J592" t="n">
        <v>0</v>
      </c>
      <c r="K592" t="n">
        <v>0</v>
      </c>
      <c r="L592" t="n">
        <v>0</v>
      </c>
      <c r="M592" t="n">
        <v>0</v>
      </c>
      <c r="N592" t="n">
        <v>0</v>
      </c>
      <c r="O592" t="n">
        <v>0</v>
      </c>
      <c r="P592" t="n">
        <v>0</v>
      </c>
      <c r="Q592" t="n">
        <v>0</v>
      </c>
      <c r="R592" s="2" t="inlineStr"/>
    </row>
    <row r="593" ht="15" customHeight="1">
      <c r="A593" t="inlineStr">
        <is>
          <t>A 47136-2025</t>
        </is>
      </c>
      <c r="B593" s="1" t="n">
        <v>45929.69844907407</v>
      </c>
      <c r="C593" s="1" t="n">
        <v>46167</v>
      </c>
      <c r="D593" t="inlineStr">
        <is>
          <t>JÄMTLANDS LÄN</t>
        </is>
      </c>
      <c r="E593" t="inlineStr">
        <is>
          <t>KROKOM</t>
        </is>
      </c>
      <c r="F593" t="inlineStr">
        <is>
          <t>SCA</t>
        </is>
      </c>
      <c r="G593" t="n">
        <v>25.1</v>
      </c>
      <c r="H593" t="n">
        <v>0</v>
      </c>
      <c r="I593" t="n">
        <v>0</v>
      </c>
      <c r="J593" t="n">
        <v>0</v>
      </c>
      <c r="K593" t="n">
        <v>0</v>
      </c>
      <c r="L593" t="n">
        <v>0</v>
      </c>
      <c r="M593" t="n">
        <v>0</v>
      </c>
      <c r="N593" t="n">
        <v>0</v>
      </c>
      <c r="O593" t="n">
        <v>0</v>
      </c>
      <c r="P593" t="n">
        <v>0</v>
      </c>
      <c r="Q593" t="n">
        <v>0</v>
      </c>
      <c r="R593" s="2" t="inlineStr"/>
    </row>
    <row r="594" ht="15" customHeight="1">
      <c r="A594" t="inlineStr">
        <is>
          <t>A 46796-2025</t>
        </is>
      </c>
      <c r="B594" s="1" t="n">
        <v>45926.65686342592</v>
      </c>
      <c r="C594" s="1" t="n">
        <v>46167</v>
      </c>
      <c r="D594" t="inlineStr">
        <is>
          <t>JÄMTLANDS LÄN</t>
        </is>
      </c>
      <c r="E594" t="inlineStr">
        <is>
          <t>KROKOM</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6066-2025</t>
        </is>
      </c>
      <c r="B595" s="1" t="n">
        <v>45696.3440162037</v>
      </c>
      <c r="C595" s="1" t="n">
        <v>46167</v>
      </c>
      <c r="D595" t="inlineStr">
        <is>
          <t>JÄMTLANDS LÄN</t>
        </is>
      </c>
      <c r="E595" t="inlineStr">
        <is>
          <t>KROKOM</t>
        </is>
      </c>
      <c r="G595" t="n">
        <v>5.3</v>
      </c>
      <c r="H595" t="n">
        <v>0</v>
      </c>
      <c r="I595" t="n">
        <v>0</v>
      </c>
      <c r="J595" t="n">
        <v>0</v>
      </c>
      <c r="K595" t="n">
        <v>0</v>
      </c>
      <c r="L595" t="n">
        <v>0</v>
      </c>
      <c r="M595" t="n">
        <v>0</v>
      </c>
      <c r="N595" t="n">
        <v>0</v>
      </c>
      <c r="O595" t="n">
        <v>0</v>
      </c>
      <c r="P595" t="n">
        <v>0</v>
      </c>
      <c r="Q595" t="n">
        <v>0</v>
      </c>
      <c r="R595" s="2" t="inlineStr"/>
    </row>
    <row r="596" ht="15" customHeight="1">
      <c r="A596" t="inlineStr">
        <is>
          <t>A 50782-2023</t>
        </is>
      </c>
      <c r="B596" s="1" t="n">
        <v>45217</v>
      </c>
      <c r="C596" s="1" t="n">
        <v>46167</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6245-2025</t>
        </is>
      </c>
      <c r="B597" s="1" t="n">
        <v>45698.57129629629</v>
      </c>
      <c r="C597" s="1" t="n">
        <v>46167</v>
      </c>
      <c r="D597" t="inlineStr">
        <is>
          <t>JÄMTLANDS LÄN</t>
        </is>
      </c>
      <c r="E597" t="inlineStr">
        <is>
          <t>KROKOM</t>
        </is>
      </c>
      <c r="G597" t="n">
        <v>9.9</v>
      </c>
      <c r="H597" t="n">
        <v>0</v>
      </c>
      <c r="I597" t="n">
        <v>0</v>
      </c>
      <c r="J597" t="n">
        <v>0</v>
      </c>
      <c r="K597" t="n">
        <v>0</v>
      </c>
      <c r="L597" t="n">
        <v>0</v>
      </c>
      <c r="M597" t="n">
        <v>0</v>
      </c>
      <c r="N597" t="n">
        <v>0</v>
      </c>
      <c r="O597" t="n">
        <v>0</v>
      </c>
      <c r="P597" t="n">
        <v>0</v>
      </c>
      <c r="Q597" t="n">
        <v>0</v>
      </c>
      <c r="R597" s="2" t="inlineStr"/>
    </row>
    <row r="598" ht="15" customHeight="1">
      <c r="A598" t="inlineStr">
        <is>
          <t>A 7962-2023</t>
        </is>
      </c>
      <c r="B598" s="1" t="n">
        <v>44970</v>
      </c>
      <c r="C598" s="1" t="n">
        <v>46167</v>
      </c>
      <c r="D598" t="inlineStr">
        <is>
          <t>JÄMTLANDS LÄN</t>
        </is>
      </c>
      <c r="E598" t="inlineStr">
        <is>
          <t>KROKOM</t>
        </is>
      </c>
      <c r="G598" t="n">
        <v>12.2</v>
      </c>
      <c r="H598" t="n">
        <v>0</v>
      </c>
      <c r="I598" t="n">
        <v>0</v>
      </c>
      <c r="J598" t="n">
        <v>0</v>
      </c>
      <c r="K598" t="n">
        <v>0</v>
      </c>
      <c r="L598" t="n">
        <v>0</v>
      </c>
      <c r="M598" t="n">
        <v>0</v>
      </c>
      <c r="N598" t="n">
        <v>0</v>
      </c>
      <c r="O598" t="n">
        <v>0</v>
      </c>
      <c r="P598" t="n">
        <v>0</v>
      </c>
      <c r="Q598" t="n">
        <v>0</v>
      </c>
      <c r="R598" s="2" t="inlineStr"/>
    </row>
    <row r="599" ht="15" customHeight="1">
      <c r="A599" t="inlineStr">
        <is>
          <t>A 32244-2024</t>
        </is>
      </c>
      <c r="B599" s="1" t="n">
        <v>45511.95109953704</v>
      </c>
      <c r="C599" s="1" t="n">
        <v>46167</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47435-2025</t>
        </is>
      </c>
      <c r="B600" s="1" t="n">
        <v>45930.63673611111</v>
      </c>
      <c r="C600" s="1" t="n">
        <v>46167</v>
      </c>
      <c r="D600" t="inlineStr">
        <is>
          <t>JÄMTLANDS LÄN</t>
        </is>
      </c>
      <c r="E600" t="inlineStr">
        <is>
          <t>KROKOM</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6900-2024</t>
        </is>
      </c>
      <c r="B601" s="1" t="n">
        <v>45342</v>
      </c>
      <c r="C601" s="1" t="n">
        <v>46167</v>
      </c>
      <c r="D601" t="inlineStr">
        <is>
          <t>JÄMTLANDS LÄN</t>
        </is>
      </c>
      <c r="E601" t="inlineStr">
        <is>
          <t>KROKOM</t>
        </is>
      </c>
      <c r="F601" t="inlineStr">
        <is>
          <t>SCA</t>
        </is>
      </c>
      <c r="G601" t="n">
        <v>64.59999999999999</v>
      </c>
      <c r="H601" t="n">
        <v>0</v>
      </c>
      <c r="I601" t="n">
        <v>0</v>
      </c>
      <c r="J601" t="n">
        <v>0</v>
      </c>
      <c r="K601" t="n">
        <v>0</v>
      </c>
      <c r="L601" t="n">
        <v>0</v>
      </c>
      <c r="M601" t="n">
        <v>0</v>
      </c>
      <c r="N601" t="n">
        <v>0</v>
      </c>
      <c r="O601" t="n">
        <v>0</v>
      </c>
      <c r="P601" t="n">
        <v>0</v>
      </c>
      <c r="Q601" t="n">
        <v>0</v>
      </c>
      <c r="R601" s="2" t="inlineStr"/>
    </row>
    <row r="602" ht="15" customHeight="1">
      <c r="A602" t="inlineStr">
        <is>
          <t>A 34794-2022</t>
        </is>
      </c>
      <c r="B602" s="1" t="n">
        <v>44795</v>
      </c>
      <c r="C602" s="1" t="n">
        <v>46167</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53055-2023</t>
        </is>
      </c>
      <c r="B603" s="1" t="n">
        <v>45226</v>
      </c>
      <c r="C603" s="1" t="n">
        <v>46167</v>
      </c>
      <c r="D603" t="inlineStr">
        <is>
          <t>JÄMTLANDS LÄN</t>
        </is>
      </c>
      <c r="E603" t="inlineStr">
        <is>
          <t>KROKOM</t>
        </is>
      </c>
      <c r="G603" t="n">
        <v>3.4</v>
      </c>
      <c r="H603" t="n">
        <v>0</v>
      </c>
      <c r="I603" t="n">
        <v>0</v>
      </c>
      <c r="J603" t="n">
        <v>0</v>
      </c>
      <c r="K603" t="n">
        <v>0</v>
      </c>
      <c r="L603" t="n">
        <v>0</v>
      </c>
      <c r="M603" t="n">
        <v>0</v>
      </c>
      <c r="N603" t="n">
        <v>0</v>
      </c>
      <c r="O603" t="n">
        <v>0</v>
      </c>
      <c r="P603" t="n">
        <v>0</v>
      </c>
      <c r="Q603" t="n">
        <v>0</v>
      </c>
      <c r="R603" s="2" t="inlineStr"/>
    </row>
    <row r="604" ht="15" customHeight="1">
      <c r="A604" t="inlineStr">
        <is>
          <t>A 16349-2024</t>
        </is>
      </c>
      <c r="B604" s="1" t="n">
        <v>45407</v>
      </c>
      <c r="C604" s="1" t="n">
        <v>46167</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47517-2025</t>
        </is>
      </c>
      <c r="B605" s="1" t="n">
        <v>45931.28456018519</v>
      </c>
      <c r="C605" s="1" t="n">
        <v>46167</v>
      </c>
      <c r="D605" t="inlineStr">
        <is>
          <t>JÄMTLANDS LÄN</t>
        </is>
      </c>
      <c r="E605" t="inlineStr">
        <is>
          <t>KROKOM</t>
        </is>
      </c>
      <c r="F605" t="inlineStr">
        <is>
          <t>Övriga Aktiebolag</t>
        </is>
      </c>
      <c r="G605" t="n">
        <v>18.4</v>
      </c>
      <c r="H605" t="n">
        <v>0</v>
      </c>
      <c r="I605" t="n">
        <v>0</v>
      </c>
      <c r="J605" t="n">
        <v>0</v>
      </c>
      <c r="K605" t="n">
        <v>0</v>
      </c>
      <c r="L605" t="n">
        <v>0</v>
      </c>
      <c r="M605" t="n">
        <v>0</v>
      </c>
      <c r="N605" t="n">
        <v>0</v>
      </c>
      <c r="O605" t="n">
        <v>0</v>
      </c>
      <c r="P605" t="n">
        <v>0</v>
      </c>
      <c r="Q605" t="n">
        <v>0</v>
      </c>
      <c r="R605" s="2" t="inlineStr"/>
    </row>
    <row r="606" ht="15" customHeight="1">
      <c r="A606" t="inlineStr">
        <is>
          <t>A 14184-2024</t>
        </is>
      </c>
      <c r="B606" s="1" t="n">
        <v>45393</v>
      </c>
      <c r="C606" s="1" t="n">
        <v>46167</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32472-2021</t>
        </is>
      </c>
      <c r="B607" s="1" t="n">
        <v>44371</v>
      </c>
      <c r="C607" s="1" t="n">
        <v>46167</v>
      </c>
      <c r="D607" t="inlineStr">
        <is>
          <t>JÄMTLANDS LÄN</t>
        </is>
      </c>
      <c r="E607" t="inlineStr">
        <is>
          <t>KROKOM</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7952-2023</t>
        </is>
      </c>
      <c r="B608" s="1" t="n">
        <v>44970</v>
      </c>
      <c r="C608" s="1" t="n">
        <v>46167</v>
      </c>
      <c r="D608" t="inlineStr">
        <is>
          <t>JÄMTLANDS LÄN</t>
        </is>
      </c>
      <c r="E608" t="inlineStr">
        <is>
          <t>KROKOM</t>
        </is>
      </c>
      <c r="G608" t="n">
        <v>4.8</v>
      </c>
      <c r="H608" t="n">
        <v>0</v>
      </c>
      <c r="I608" t="n">
        <v>0</v>
      </c>
      <c r="J608" t="n">
        <v>0</v>
      </c>
      <c r="K608" t="n">
        <v>0</v>
      </c>
      <c r="L608" t="n">
        <v>0</v>
      </c>
      <c r="M608" t="n">
        <v>0</v>
      </c>
      <c r="N608" t="n">
        <v>0</v>
      </c>
      <c r="O608" t="n">
        <v>0</v>
      </c>
      <c r="P608" t="n">
        <v>0</v>
      </c>
      <c r="Q608" t="n">
        <v>0</v>
      </c>
      <c r="R608" s="2" t="inlineStr"/>
    </row>
    <row r="609" ht="15" customHeight="1">
      <c r="A609" t="inlineStr">
        <is>
          <t>A 47438-2025</t>
        </is>
      </c>
      <c r="B609" s="1" t="n">
        <v>45930.63726851852</v>
      </c>
      <c r="C609" s="1" t="n">
        <v>46167</v>
      </c>
      <c r="D609" t="inlineStr">
        <is>
          <t>JÄMTLANDS LÄN</t>
        </is>
      </c>
      <c r="E609" t="inlineStr">
        <is>
          <t>KROKOM</t>
        </is>
      </c>
      <c r="F609" t="inlineStr">
        <is>
          <t>SCA</t>
        </is>
      </c>
      <c r="G609" t="n">
        <v>35.4</v>
      </c>
      <c r="H609" t="n">
        <v>0</v>
      </c>
      <c r="I609" t="n">
        <v>0</v>
      </c>
      <c r="J609" t="n">
        <v>0</v>
      </c>
      <c r="K609" t="n">
        <v>0</v>
      </c>
      <c r="L609" t="n">
        <v>0</v>
      </c>
      <c r="M609" t="n">
        <v>0</v>
      </c>
      <c r="N609" t="n">
        <v>0</v>
      </c>
      <c r="O609" t="n">
        <v>0</v>
      </c>
      <c r="P609" t="n">
        <v>0</v>
      </c>
      <c r="Q609" t="n">
        <v>0</v>
      </c>
      <c r="R609" s="2" t="inlineStr"/>
    </row>
    <row r="610" ht="15" customHeight="1">
      <c r="A610" t="inlineStr">
        <is>
          <t>A 47462-2025</t>
        </is>
      </c>
      <c r="B610" s="1" t="n">
        <v>45930.66175925926</v>
      </c>
      <c r="C610" s="1" t="n">
        <v>46167</v>
      </c>
      <c r="D610" t="inlineStr">
        <is>
          <t>JÄMTLANDS LÄN</t>
        </is>
      </c>
      <c r="E610" t="inlineStr">
        <is>
          <t>KROKOM</t>
        </is>
      </c>
      <c r="F610" t="inlineStr">
        <is>
          <t>Övriga Aktiebolag</t>
        </is>
      </c>
      <c r="G610" t="n">
        <v>8.9</v>
      </c>
      <c r="H610" t="n">
        <v>0</v>
      </c>
      <c r="I610" t="n">
        <v>0</v>
      </c>
      <c r="J610" t="n">
        <v>0</v>
      </c>
      <c r="K610" t="n">
        <v>0</v>
      </c>
      <c r="L610" t="n">
        <v>0</v>
      </c>
      <c r="M610" t="n">
        <v>0</v>
      </c>
      <c r="N610" t="n">
        <v>0</v>
      </c>
      <c r="O610" t="n">
        <v>0</v>
      </c>
      <c r="P610" t="n">
        <v>0</v>
      </c>
      <c r="Q610" t="n">
        <v>0</v>
      </c>
      <c r="R610" s="2" t="inlineStr"/>
    </row>
    <row r="611" ht="15" customHeight="1">
      <c r="A611" t="inlineStr">
        <is>
          <t>A 7556-2025</t>
        </is>
      </c>
      <c r="B611" s="1" t="n">
        <v>45705</v>
      </c>
      <c r="C611" s="1" t="n">
        <v>46167</v>
      </c>
      <c r="D611" t="inlineStr">
        <is>
          <t>JÄMTLANDS LÄN</t>
        </is>
      </c>
      <c r="E611" t="inlineStr">
        <is>
          <t>KROKOM</t>
        </is>
      </c>
      <c r="G611" t="n">
        <v>2.9</v>
      </c>
      <c r="H611" t="n">
        <v>0</v>
      </c>
      <c r="I611" t="n">
        <v>0</v>
      </c>
      <c r="J611" t="n">
        <v>0</v>
      </c>
      <c r="K611" t="n">
        <v>0</v>
      </c>
      <c r="L611" t="n">
        <v>0</v>
      </c>
      <c r="M611" t="n">
        <v>0</v>
      </c>
      <c r="N611" t="n">
        <v>0</v>
      </c>
      <c r="O611" t="n">
        <v>0</v>
      </c>
      <c r="P611" t="n">
        <v>0</v>
      </c>
      <c r="Q611" t="n">
        <v>0</v>
      </c>
      <c r="R611" s="2" t="inlineStr"/>
    </row>
    <row r="612" ht="15" customHeight="1">
      <c r="A612" t="inlineStr">
        <is>
          <t>A 38748-2024</t>
        </is>
      </c>
      <c r="B612" s="1" t="n">
        <v>45547.42736111111</v>
      </c>
      <c r="C612" s="1" t="n">
        <v>46167</v>
      </c>
      <c r="D612" t="inlineStr">
        <is>
          <t>JÄMTLANDS LÄN</t>
        </is>
      </c>
      <c r="E612" t="inlineStr">
        <is>
          <t>KROKOM</t>
        </is>
      </c>
      <c r="G612" t="n">
        <v>0.1</v>
      </c>
      <c r="H612" t="n">
        <v>0</v>
      </c>
      <c r="I612" t="n">
        <v>0</v>
      </c>
      <c r="J612" t="n">
        <v>0</v>
      </c>
      <c r="K612" t="n">
        <v>0</v>
      </c>
      <c r="L612" t="n">
        <v>0</v>
      </c>
      <c r="M612" t="n">
        <v>0</v>
      </c>
      <c r="N612" t="n">
        <v>0</v>
      </c>
      <c r="O612" t="n">
        <v>0</v>
      </c>
      <c r="P612" t="n">
        <v>0</v>
      </c>
      <c r="Q612" t="n">
        <v>0</v>
      </c>
      <c r="R612" s="2" t="inlineStr"/>
    </row>
    <row r="613" ht="15" customHeight="1">
      <c r="A613" t="inlineStr">
        <is>
          <t>A 40271-2024</t>
        </is>
      </c>
      <c r="B613" s="1" t="n">
        <v>45554</v>
      </c>
      <c r="C613" s="1" t="n">
        <v>46167</v>
      </c>
      <c r="D613" t="inlineStr">
        <is>
          <t>JÄMTLANDS LÄN</t>
        </is>
      </c>
      <c r="E613" t="inlineStr">
        <is>
          <t>KROKOM</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11059-2024</t>
        </is>
      </c>
      <c r="B614" s="1" t="n">
        <v>45370</v>
      </c>
      <c r="C614" s="1" t="n">
        <v>46167</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38747-2024</t>
        </is>
      </c>
      <c r="B615" s="1" t="n">
        <v>45547.42732638889</v>
      </c>
      <c r="C615" s="1" t="n">
        <v>46167</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50719-2024</t>
        </is>
      </c>
      <c r="B616" s="1" t="n">
        <v>45602.38614583333</v>
      </c>
      <c r="C616" s="1" t="n">
        <v>46167</v>
      </c>
      <c r="D616" t="inlineStr">
        <is>
          <t>JÄMTLANDS LÄN</t>
        </is>
      </c>
      <c r="E616" t="inlineStr">
        <is>
          <t>KROKOM</t>
        </is>
      </c>
      <c r="G616" t="n">
        <v>0.9</v>
      </c>
      <c r="H616" t="n">
        <v>0</v>
      </c>
      <c r="I616" t="n">
        <v>0</v>
      </c>
      <c r="J616" t="n">
        <v>0</v>
      </c>
      <c r="K616" t="n">
        <v>0</v>
      </c>
      <c r="L616" t="n">
        <v>0</v>
      </c>
      <c r="M616" t="n">
        <v>0</v>
      </c>
      <c r="N616" t="n">
        <v>0</v>
      </c>
      <c r="O616" t="n">
        <v>0</v>
      </c>
      <c r="P616" t="n">
        <v>0</v>
      </c>
      <c r="Q616" t="n">
        <v>0</v>
      </c>
      <c r="R616" s="2" t="inlineStr"/>
    </row>
    <row r="617" ht="15" customHeight="1">
      <c r="A617" t="inlineStr">
        <is>
          <t>A 48323-2025</t>
        </is>
      </c>
      <c r="B617" s="1" t="n">
        <v>45933.62793981482</v>
      </c>
      <c r="C617" s="1" t="n">
        <v>46167</v>
      </c>
      <c r="D617" t="inlineStr">
        <is>
          <t>JÄMTLANDS LÄN</t>
        </is>
      </c>
      <c r="E617" t="inlineStr">
        <is>
          <t>KROKOM</t>
        </is>
      </c>
      <c r="G617" t="n">
        <v>2.8</v>
      </c>
      <c r="H617" t="n">
        <v>0</v>
      </c>
      <c r="I617" t="n">
        <v>0</v>
      </c>
      <c r="J617" t="n">
        <v>0</v>
      </c>
      <c r="K617" t="n">
        <v>0</v>
      </c>
      <c r="L617" t="n">
        <v>0</v>
      </c>
      <c r="M617" t="n">
        <v>0</v>
      </c>
      <c r="N617" t="n">
        <v>0</v>
      </c>
      <c r="O617" t="n">
        <v>0</v>
      </c>
      <c r="P617" t="n">
        <v>0</v>
      </c>
      <c r="Q617" t="n">
        <v>0</v>
      </c>
      <c r="R617" s="2" t="inlineStr"/>
    </row>
    <row r="618" ht="15" customHeight="1">
      <c r="A618" t="inlineStr">
        <is>
          <t>A 48257-2025</t>
        </is>
      </c>
      <c r="B618" s="1" t="n">
        <v>45933.55483796296</v>
      </c>
      <c r="C618" s="1" t="n">
        <v>46167</v>
      </c>
      <c r="D618" t="inlineStr">
        <is>
          <t>JÄMTLANDS LÄN</t>
        </is>
      </c>
      <c r="E618" t="inlineStr">
        <is>
          <t>KROKOM</t>
        </is>
      </c>
      <c r="G618" t="n">
        <v>4.6</v>
      </c>
      <c r="H618" t="n">
        <v>0</v>
      </c>
      <c r="I618" t="n">
        <v>0</v>
      </c>
      <c r="J618" t="n">
        <v>0</v>
      </c>
      <c r="K618" t="n">
        <v>0</v>
      </c>
      <c r="L618" t="n">
        <v>0</v>
      </c>
      <c r="M618" t="n">
        <v>0</v>
      </c>
      <c r="N618" t="n">
        <v>0</v>
      </c>
      <c r="O618" t="n">
        <v>0</v>
      </c>
      <c r="P618" t="n">
        <v>0</v>
      </c>
      <c r="Q618" t="n">
        <v>0</v>
      </c>
      <c r="R618" s="2" t="inlineStr"/>
    </row>
    <row r="619" ht="15" customHeight="1">
      <c r="A619" t="inlineStr">
        <is>
          <t>A 48272-2025</t>
        </is>
      </c>
      <c r="B619" s="1" t="n">
        <v>45933.57362268519</v>
      </c>
      <c r="C619" s="1" t="n">
        <v>46167</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48049-2025</t>
        </is>
      </c>
      <c r="B620" s="1" t="n">
        <v>45932.67771990741</v>
      </c>
      <c r="C620" s="1" t="n">
        <v>46167</v>
      </c>
      <c r="D620" t="inlineStr">
        <is>
          <t>JÄMTLANDS LÄN</t>
        </is>
      </c>
      <c r="E620" t="inlineStr">
        <is>
          <t>KROKOM</t>
        </is>
      </c>
      <c r="F620" t="inlineStr">
        <is>
          <t>SCA</t>
        </is>
      </c>
      <c r="G620" t="n">
        <v>7.3</v>
      </c>
      <c r="H620" t="n">
        <v>0</v>
      </c>
      <c r="I620" t="n">
        <v>0</v>
      </c>
      <c r="J620" t="n">
        <v>0</v>
      </c>
      <c r="K620" t="n">
        <v>0</v>
      </c>
      <c r="L620" t="n">
        <v>0</v>
      </c>
      <c r="M620" t="n">
        <v>0</v>
      </c>
      <c r="N620" t="n">
        <v>0</v>
      </c>
      <c r="O620" t="n">
        <v>0</v>
      </c>
      <c r="P620" t="n">
        <v>0</v>
      </c>
      <c r="Q620" t="n">
        <v>0</v>
      </c>
      <c r="R620" s="2" t="inlineStr"/>
    </row>
    <row r="621" ht="15" customHeight="1">
      <c r="A621" t="inlineStr">
        <is>
          <t>A 6185-2025</t>
        </is>
      </c>
      <c r="B621" s="1" t="n">
        <v>45698.45653935185</v>
      </c>
      <c r="C621" s="1" t="n">
        <v>46167</v>
      </c>
      <c r="D621" t="inlineStr">
        <is>
          <t>JÄMTLANDS LÄN</t>
        </is>
      </c>
      <c r="E621" t="inlineStr">
        <is>
          <t>KROKOM</t>
        </is>
      </c>
      <c r="G621" t="n">
        <v>14.7</v>
      </c>
      <c r="H621" t="n">
        <v>0</v>
      </c>
      <c r="I621" t="n">
        <v>0</v>
      </c>
      <c r="J621" t="n">
        <v>0</v>
      </c>
      <c r="K621" t="n">
        <v>0</v>
      </c>
      <c r="L621" t="n">
        <v>0</v>
      </c>
      <c r="M621" t="n">
        <v>0</v>
      </c>
      <c r="N621" t="n">
        <v>0</v>
      </c>
      <c r="O621" t="n">
        <v>0</v>
      </c>
      <c r="P621" t="n">
        <v>0</v>
      </c>
      <c r="Q621" t="n">
        <v>0</v>
      </c>
      <c r="R621" s="2" t="inlineStr"/>
    </row>
    <row r="622" ht="15" customHeight="1">
      <c r="A622" t="inlineStr">
        <is>
          <t>A 47809-2025</t>
        </is>
      </c>
      <c r="B622" s="1" t="n">
        <v>45931.98023148148</v>
      </c>
      <c r="C622" s="1" t="n">
        <v>46167</v>
      </c>
      <c r="D622" t="inlineStr">
        <is>
          <t>JÄMTLANDS LÄN</t>
        </is>
      </c>
      <c r="E622" t="inlineStr">
        <is>
          <t>KROKOM</t>
        </is>
      </c>
      <c r="G622" t="n">
        <v>5.5</v>
      </c>
      <c r="H622" t="n">
        <v>0</v>
      </c>
      <c r="I622" t="n">
        <v>0</v>
      </c>
      <c r="J622" t="n">
        <v>0</v>
      </c>
      <c r="K622" t="n">
        <v>0</v>
      </c>
      <c r="L622" t="n">
        <v>0</v>
      </c>
      <c r="M622" t="n">
        <v>0</v>
      </c>
      <c r="N622" t="n">
        <v>0</v>
      </c>
      <c r="O622" t="n">
        <v>0</v>
      </c>
      <c r="P622" t="n">
        <v>0</v>
      </c>
      <c r="Q622" t="n">
        <v>0</v>
      </c>
      <c r="R622" s="2" t="inlineStr"/>
    </row>
    <row r="623" ht="15" customHeight="1">
      <c r="A623" t="inlineStr">
        <is>
          <t>A 4741-2022</t>
        </is>
      </c>
      <c r="B623" s="1" t="n">
        <v>44592</v>
      </c>
      <c r="C623" s="1" t="n">
        <v>46167</v>
      </c>
      <c r="D623" t="inlineStr">
        <is>
          <t>JÄMTLANDS LÄN</t>
        </is>
      </c>
      <c r="E623" t="inlineStr">
        <is>
          <t>KROKOM</t>
        </is>
      </c>
      <c r="G623" t="n">
        <v>54.2</v>
      </c>
      <c r="H623" t="n">
        <v>0</v>
      </c>
      <c r="I623" t="n">
        <v>0</v>
      </c>
      <c r="J623" t="n">
        <v>0</v>
      </c>
      <c r="K623" t="n">
        <v>0</v>
      </c>
      <c r="L623" t="n">
        <v>0</v>
      </c>
      <c r="M623" t="n">
        <v>0</v>
      </c>
      <c r="N623" t="n">
        <v>0</v>
      </c>
      <c r="O623" t="n">
        <v>0</v>
      </c>
      <c r="P623" t="n">
        <v>0</v>
      </c>
      <c r="Q623" t="n">
        <v>0</v>
      </c>
      <c r="R623" s="2" t="inlineStr"/>
    </row>
    <row r="624" ht="15" customHeight="1">
      <c r="A624" t="inlineStr">
        <is>
          <t>A 29224-2023</t>
        </is>
      </c>
      <c r="B624" s="1" t="n">
        <v>45097</v>
      </c>
      <c r="C624" s="1" t="n">
        <v>46167</v>
      </c>
      <c r="D624" t="inlineStr">
        <is>
          <t>JÄMTLANDS LÄN</t>
        </is>
      </c>
      <c r="E624" t="inlineStr">
        <is>
          <t>KROKOM</t>
        </is>
      </c>
      <c r="G624" t="n">
        <v>2.6</v>
      </c>
      <c r="H624" t="n">
        <v>0</v>
      </c>
      <c r="I624" t="n">
        <v>0</v>
      </c>
      <c r="J624" t="n">
        <v>0</v>
      </c>
      <c r="K624" t="n">
        <v>0</v>
      </c>
      <c r="L624" t="n">
        <v>0</v>
      </c>
      <c r="M624" t="n">
        <v>0</v>
      </c>
      <c r="N624" t="n">
        <v>0</v>
      </c>
      <c r="O624" t="n">
        <v>0</v>
      </c>
      <c r="P624" t="n">
        <v>0</v>
      </c>
      <c r="Q624" t="n">
        <v>0</v>
      </c>
      <c r="R624" s="2" t="inlineStr"/>
    </row>
    <row r="625" ht="15" customHeight="1">
      <c r="A625" t="inlineStr">
        <is>
          <t>A 48255-2025</t>
        </is>
      </c>
      <c r="B625" s="1" t="n">
        <v>45933.55407407408</v>
      </c>
      <c r="C625" s="1" t="n">
        <v>46167</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52217-2024</t>
        </is>
      </c>
      <c r="B626" s="1" t="n">
        <v>45607</v>
      </c>
      <c r="C626" s="1" t="n">
        <v>46167</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52237-2024</t>
        </is>
      </c>
      <c r="B627" s="1" t="n">
        <v>45608.61606481481</v>
      </c>
      <c r="C627" s="1" t="n">
        <v>46167</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27075-2022</t>
        </is>
      </c>
      <c r="B628" s="1" t="n">
        <v>44741</v>
      </c>
      <c r="C628" s="1" t="n">
        <v>46167</v>
      </c>
      <c r="D628" t="inlineStr">
        <is>
          <t>JÄMTLANDS LÄN</t>
        </is>
      </c>
      <c r="E628" t="inlineStr">
        <is>
          <t>KROKOM</t>
        </is>
      </c>
      <c r="G628" t="n">
        <v>10.4</v>
      </c>
      <c r="H628" t="n">
        <v>0</v>
      </c>
      <c r="I628" t="n">
        <v>0</v>
      </c>
      <c r="J628" t="n">
        <v>0</v>
      </c>
      <c r="K628" t="n">
        <v>0</v>
      </c>
      <c r="L628" t="n">
        <v>0</v>
      </c>
      <c r="M628" t="n">
        <v>0</v>
      </c>
      <c r="N628" t="n">
        <v>0</v>
      </c>
      <c r="O628" t="n">
        <v>0</v>
      </c>
      <c r="P628" t="n">
        <v>0</v>
      </c>
      <c r="Q628" t="n">
        <v>0</v>
      </c>
      <c r="R628" s="2" t="inlineStr"/>
    </row>
    <row r="629" ht="15" customHeight="1">
      <c r="A629" t="inlineStr">
        <is>
          <t>A 3257-2024</t>
        </is>
      </c>
      <c r="B629" s="1" t="n">
        <v>45316</v>
      </c>
      <c r="C629" s="1" t="n">
        <v>46167</v>
      </c>
      <c r="D629" t="inlineStr">
        <is>
          <t>JÄMTLANDS LÄN</t>
        </is>
      </c>
      <c r="E629" t="inlineStr">
        <is>
          <t>KROKOM</t>
        </is>
      </c>
      <c r="G629" t="n">
        <v>6.5</v>
      </c>
      <c r="H629" t="n">
        <v>0</v>
      </c>
      <c r="I629" t="n">
        <v>0</v>
      </c>
      <c r="J629" t="n">
        <v>0</v>
      </c>
      <c r="K629" t="n">
        <v>0</v>
      </c>
      <c r="L629" t="n">
        <v>0</v>
      </c>
      <c r="M629" t="n">
        <v>0</v>
      </c>
      <c r="N629" t="n">
        <v>0</v>
      </c>
      <c r="O629" t="n">
        <v>0</v>
      </c>
      <c r="P629" t="n">
        <v>0</v>
      </c>
      <c r="Q629" t="n">
        <v>0</v>
      </c>
      <c r="R629" s="2" t="inlineStr"/>
    </row>
    <row r="630" ht="15" customHeight="1">
      <c r="A630" t="inlineStr">
        <is>
          <t>A 48666-2025</t>
        </is>
      </c>
      <c r="B630" s="1" t="n">
        <v>45936.57368055556</v>
      </c>
      <c r="C630" s="1" t="n">
        <v>46167</v>
      </c>
      <c r="D630" t="inlineStr">
        <is>
          <t>JÄMTLANDS LÄN</t>
        </is>
      </c>
      <c r="E630" t="inlineStr">
        <is>
          <t>KROKOM</t>
        </is>
      </c>
      <c r="F630" t="inlineStr">
        <is>
          <t>SCA</t>
        </is>
      </c>
      <c r="G630" t="n">
        <v>12.9</v>
      </c>
      <c r="H630" t="n">
        <v>0</v>
      </c>
      <c r="I630" t="n">
        <v>0</v>
      </c>
      <c r="J630" t="n">
        <v>0</v>
      </c>
      <c r="K630" t="n">
        <v>0</v>
      </c>
      <c r="L630" t="n">
        <v>0</v>
      </c>
      <c r="M630" t="n">
        <v>0</v>
      </c>
      <c r="N630" t="n">
        <v>0</v>
      </c>
      <c r="O630" t="n">
        <v>0</v>
      </c>
      <c r="P630" t="n">
        <v>0</v>
      </c>
      <c r="Q630" t="n">
        <v>0</v>
      </c>
      <c r="R630" s="2" t="inlineStr"/>
    </row>
    <row r="631" ht="15" customHeight="1">
      <c r="A631" t="inlineStr">
        <is>
          <t>A 15524-2024</t>
        </is>
      </c>
      <c r="B631" s="1" t="n">
        <v>45401.59133101852</v>
      </c>
      <c r="C631" s="1" t="n">
        <v>46167</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60122-2024</t>
        </is>
      </c>
      <c r="B632" s="1" t="n">
        <v>45639</v>
      </c>
      <c r="C632" s="1" t="n">
        <v>46167</v>
      </c>
      <c r="D632" t="inlineStr">
        <is>
          <t>JÄMTLANDS LÄN</t>
        </is>
      </c>
      <c r="E632" t="inlineStr">
        <is>
          <t>KROKOM</t>
        </is>
      </c>
      <c r="G632" t="n">
        <v>2.1</v>
      </c>
      <c r="H632" t="n">
        <v>0</v>
      </c>
      <c r="I632" t="n">
        <v>0</v>
      </c>
      <c r="J632" t="n">
        <v>0</v>
      </c>
      <c r="K632" t="n">
        <v>0</v>
      </c>
      <c r="L632" t="n">
        <v>0</v>
      </c>
      <c r="M632" t="n">
        <v>0</v>
      </c>
      <c r="N632" t="n">
        <v>0</v>
      </c>
      <c r="O632" t="n">
        <v>0</v>
      </c>
      <c r="P632" t="n">
        <v>0</v>
      </c>
      <c r="Q632" t="n">
        <v>0</v>
      </c>
      <c r="R632" s="2" t="inlineStr"/>
    </row>
    <row r="633" ht="15" customHeight="1">
      <c r="A633" t="inlineStr">
        <is>
          <t>A 48438-2025</t>
        </is>
      </c>
      <c r="B633" s="1" t="n">
        <v>45935.4812962963</v>
      </c>
      <c r="C633" s="1" t="n">
        <v>46167</v>
      </c>
      <c r="D633" t="inlineStr">
        <is>
          <t>JÄMTLANDS LÄN</t>
        </is>
      </c>
      <c r="E633" t="inlineStr">
        <is>
          <t>KROKOM</t>
        </is>
      </c>
      <c r="G633" t="n">
        <v>1.7</v>
      </c>
      <c r="H633" t="n">
        <v>0</v>
      </c>
      <c r="I633" t="n">
        <v>0</v>
      </c>
      <c r="J633" t="n">
        <v>0</v>
      </c>
      <c r="K633" t="n">
        <v>0</v>
      </c>
      <c r="L633" t="n">
        <v>0</v>
      </c>
      <c r="M633" t="n">
        <v>0</v>
      </c>
      <c r="N633" t="n">
        <v>0</v>
      </c>
      <c r="O633" t="n">
        <v>0</v>
      </c>
      <c r="P633" t="n">
        <v>0</v>
      </c>
      <c r="Q633" t="n">
        <v>0</v>
      </c>
      <c r="R633" s="2" t="inlineStr"/>
    </row>
    <row r="634" ht="15" customHeight="1">
      <c r="A634" t="inlineStr">
        <is>
          <t>A 22681-2025</t>
        </is>
      </c>
      <c r="B634" s="1" t="n">
        <v>45786</v>
      </c>
      <c r="C634" s="1" t="n">
        <v>46167</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48469-2025</t>
        </is>
      </c>
      <c r="B635" s="1" t="n">
        <v>45936.34489583333</v>
      </c>
      <c r="C635" s="1" t="n">
        <v>46167</v>
      </c>
      <c r="D635" t="inlineStr">
        <is>
          <t>JÄMTLANDS LÄN</t>
        </is>
      </c>
      <c r="E635" t="inlineStr">
        <is>
          <t>KROKOM</t>
        </is>
      </c>
      <c r="F635" t="inlineStr">
        <is>
          <t>SCA</t>
        </is>
      </c>
      <c r="G635" t="n">
        <v>15.2</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46167</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48468-2025</t>
        </is>
      </c>
      <c r="B637" s="1" t="n">
        <v>45936.34469907408</v>
      </c>
      <c r="C637" s="1" t="n">
        <v>46167</v>
      </c>
      <c r="D637" t="inlineStr">
        <is>
          <t>JÄMTLANDS LÄN</t>
        </is>
      </c>
      <c r="E637" t="inlineStr">
        <is>
          <t>KROKOM</t>
        </is>
      </c>
      <c r="F637" t="inlineStr">
        <is>
          <t>SCA</t>
        </is>
      </c>
      <c r="G637" t="n">
        <v>14.3</v>
      </c>
      <c r="H637" t="n">
        <v>0</v>
      </c>
      <c r="I637" t="n">
        <v>0</v>
      </c>
      <c r="J637" t="n">
        <v>0</v>
      </c>
      <c r="K637" t="n">
        <v>0</v>
      </c>
      <c r="L637" t="n">
        <v>0</v>
      </c>
      <c r="M637" t="n">
        <v>0</v>
      </c>
      <c r="N637" t="n">
        <v>0</v>
      </c>
      <c r="O637" t="n">
        <v>0</v>
      </c>
      <c r="P637" t="n">
        <v>0</v>
      </c>
      <c r="Q637" t="n">
        <v>0</v>
      </c>
      <c r="R637" s="2" t="inlineStr"/>
    </row>
    <row r="638" ht="15" customHeight="1">
      <c r="A638" t="inlineStr">
        <is>
          <t>A 49067-2025</t>
        </is>
      </c>
      <c r="B638" s="1" t="n">
        <v>45937.64741898148</v>
      </c>
      <c r="C638" s="1" t="n">
        <v>46167</v>
      </c>
      <c r="D638" t="inlineStr">
        <is>
          <t>JÄMTLANDS LÄN</t>
        </is>
      </c>
      <c r="E638" t="inlineStr">
        <is>
          <t>KROKOM</t>
        </is>
      </c>
      <c r="G638" t="n">
        <v>0.6</v>
      </c>
      <c r="H638" t="n">
        <v>0</v>
      </c>
      <c r="I638" t="n">
        <v>0</v>
      </c>
      <c r="J638" t="n">
        <v>0</v>
      </c>
      <c r="K638" t="n">
        <v>0</v>
      </c>
      <c r="L638" t="n">
        <v>0</v>
      </c>
      <c r="M638" t="n">
        <v>0</v>
      </c>
      <c r="N638" t="n">
        <v>0</v>
      </c>
      <c r="O638" t="n">
        <v>0</v>
      </c>
      <c r="P638" t="n">
        <v>0</v>
      </c>
      <c r="Q638" t="n">
        <v>0</v>
      </c>
      <c r="R638" s="2" t="inlineStr"/>
    </row>
    <row r="639" ht="15" customHeight="1">
      <c r="A639" t="inlineStr">
        <is>
          <t>A 9023-2025</t>
        </is>
      </c>
      <c r="B639" s="1" t="n">
        <v>45713.59741898148</v>
      </c>
      <c r="C639" s="1" t="n">
        <v>46167</v>
      </c>
      <c r="D639" t="inlineStr">
        <is>
          <t>JÄMTLANDS LÄN</t>
        </is>
      </c>
      <c r="E639" t="inlineStr">
        <is>
          <t>KROKOM</t>
        </is>
      </c>
      <c r="F639" t="inlineStr">
        <is>
          <t>Övriga Aktiebolag</t>
        </is>
      </c>
      <c r="G639" t="n">
        <v>16.8</v>
      </c>
      <c r="H639" t="n">
        <v>0</v>
      </c>
      <c r="I639" t="n">
        <v>0</v>
      </c>
      <c r="J639" t="n">
        <v>0</v>
      </c>
      <c r="K639" t="n">
        <v>0</v>
      </c>
      <c r="L639" t="n">
        <v>0</v>
      </c>
      <c r="M639" t="n">
        <v>0</v>
      </c>
      <c r="N639" t="n">
        <v>0</v>
      </c>
      <c r="O639" t="n">
        <v>0</v>
      </c>
      <c r="P639" t="n">
        <v>0</v>
      </c>
      <c r="Q639" t="n">
        <v>0</v>
      </c>
      <c r="R639" s="2" t="inlineStr"/>
    </row>
    <row r="640" ht="15" customHeight="1">
      <c r="A640" t="inlineStr">
        <is>
          <t>A 49009-2025</t>
        </is>
      </c>
      <c r="B640" s="1" t="n">
        <v>45937.60777777778</v>
      </c>
      <c r="C640" s="1" t="n">
        <v>46167</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49557-2025</t>
        </is>
      </c>
      <c r="B641" s="1" t="n">
        <v>45939.45077546296</v>
      </c>
      <c r="C641" s="1" t="n">
        <v>46167</v>
      </c>
      <c r="D641" t="inlineStr">
        <is>
          <t>JÄMTLANDS LÄN</t>
        </is>
      </c>
      <c r="E641" t="inlineStr">
        <is>
          <t>KROKOM</t>
        </is>
      </c>
      <c r="G641" t="n">
        <v>1.9</v>
      </c>
      <c r="H641" t="n">
        <v>0</v>
      </c>
      <c r="I641" t="n">
        <v>0</v>
      </c>
      <c r="J641" t="n">
        <v>0</v>
      </c>
      <c r="K641" t="n">
        <v>0</v>
      </c>
      <c r="L641" t="n">
        <v>0</v>
      </c>
      <c r="M641" t="n">
        <v>0</v>
      </c>
      <c r="N641" t="n">
        <v>0</v>
      </c>
      <c r="O641" t="n">
        <v>0</v>
      </c>
      <c r="P641" t="n">
        <v>0</v>
      </c>
      <c r="Q641" t="n">
        <v>0</v>
      </c>
      <c r="R641" s="2" t="inlineStr"/>
    </row>
    <row r="642" ht="15" customHeight="1">
      <c r="A642" t="inlineStr">
        <is>
          <t>A 49514-2025</t>
        </is>
      </c>
      <c r="B642" s="1" t="n">
        <v>45939.38530092593</v>
      </c>
      <c r="C642" s="1" t="n">
        <v>46167</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9755-2024</t>
        </is>
      </c>
      <c r="B643" s="1" t="n">
        <v>45362</v>
      </c>
      <c r="C643" s="1" t="n">
        <v>46167</v>
      </c>
      <c r="D643" t="inlineStr">
        <is>
          <t>JÄMTLANDS LÄN</t>
        </is>
      </c>
      <c r="E643" t="inlineStr">
        <is>
          <t>KROKOM</t>
        </is>
      </c>
      <c r="G643" t="n">
        <v>2.4</v>
      </c>
      <c r="H643" t="n">
        <v>0</v>
      </c>
      <c r="I643" t="n">
        <v>0</v>
      </c>
      <c r="J643" t="n">
        <v>0</v>
      </c>
      <c r="K643" t="n">
        <v>0</v>
      </c>
      <c r="L643" t="n">
        <v>0</v>
      </c>
      <c r="M643" t="n">
        <v>0</v>
      </c>
      <c r="N643" t="n">
        <v>0</v>
      </c>
      <c r="O643" t="n">
        <v>0</v>
      </c>
      <c r="P643" t="n">
        <v>0</v>
      </c>
      <c r="Q643" t="n">
        <v>0</v>
      </c>
      <c r="R643" s="2" t="inlineStr"/>
    </row>
    <row r="644" ht="15" customHeight="1">
      <c r="A644" t="inlineStr">
        <is>
          <t>A 72064-2021</t>
        </is>
      </c>
      <c r="B644" s="1" t="n">
        <v>44544.49326388889</v>
      </c>
      <c r="C644" s="1" t="n">
        <v>46167</v>
      </c>
      <c r="D644" t="inlineStr">
        <is>
          <t>JÄMTLANDS LÄN</t>
        </is>
      </c>
      <c r="E644" t="inlineStr">
        <is>
          <t>KROKOM</t>
        </is>
      </c>
      <c r="G644" t="n">
        <v>18.7</v>
      </c>
      <c r="H644" t="n">
        <v>0</v>
      </c>
      <c r="I644" t="n">
        <v>0</v>
      </c>
      <c r="J644" t="n">
        <v>0</v>
      </c>
      <c r="K644" t="n">
        <v>0</v>
      </c>
      <c r="L644" t="n">
        <v>0</v>
      </c>
      <c r="M644" t="n">
        <v>0</v>
      </c>
      <c r="N644" t="n">
        <v>0</v>
      </c>
      <c r="O644" t="n">
        <v>0</v>
      </c>
      <c r="P644" t="n">
        <v>0</v>
      </c>
      <c r="Q644" t="n">
        <v>0</v>
      </c>
      <c r="R644" s="2" t="inlineStr"/>
    </row>
    <row r="645" ht="15" customHeight="1">
      <c r="A645" t="inlineStr">
        <is>
          <t>A 48801-2025</t>
        </is>
      </c>
      <c r="B645" s="1" t="n">
        <v>45937.34515046296</v>
      </c>
      <c r="C645" s="1" t="n">
        <v>46167</v>
      </c>
      <c r="D645" t="inlineStr">
        <is>
          <t>JÄMTLANDS LÄN</t>
        </is>
      </c>
      <c r="E645" t="inlineStr">
        <is>
          <t>KROKOM</t>
        </is>
      </c>
      <c r="F645" t="inlineStr">
        <is>
          <t>SCA</t>
        </is>
      </c>
      <c r="G645" t="n">
        <v>15.3</v>
      </c>
      <c r="H645" t="n">
        <v>0</v>
      </c>
      <c r="I645" t="n">
        <v>0</v>
      </c>
      <c r="J645" t="n">
        <v>0</v>
      </c>
      <c r="K645" t="n">
        <v>0</v>
      </c>
      <c r="L645" t="n">
        <v>0</v>
      </c>
      <c r="M645" t="n">
        <v>0</v>
      </c>
      <c r="N645" t="n">
        <v>0</v>
      </c>
      <c r="O645" t="n">
        <v>0</v>
      </c>
      <c r="P645" t="n">
        <v>0</v>
      </c>
      <c r="Q645" t="n">
        <v>0</v>
      </c>
      <c r="R645" s="2" t="inlineStr"/>
    </row>
    <row r="646" ht="15" customHeight="1">
      <c r="A646" t="inlineStr">
        <is>
          <t>A 49534-2025</t>
        </is>
      </c>
      <c r="B646" s="1" t="n">
        <v>45939.41162037037</v>
      </c>
      <c r="C646" s="1" t="n">
        <v>46167</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49644-2025</t>
        </is>
      </c>
      <c r="B647" s="1" t="n">
        <v>45939.61568287037</v>
      </c>
      <c r="C647" s="1" t="n">
        <v>46167</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48798-2025</t>
        </is>
      </c>
      <c r="B648" s="1" t="n">
        <v>45937.34465277778</v>
      </c>
      <c r="C648" s="1" t="n">
        <v>46167</v>
      </c>
      <c r="D648" t="inlineStr">
        <is>
          <t>JÄMTLANDS LÄN</t>
        </is>
      </c>
      <c r="E648" t="inlineStr">
        <is>
          <t>KROKOM</t>
        </is>
      </c>
      <c r="F648" t="inlineStr">
        <is>
          <t>SCA</t>
        </is>
      </c>
      <c r="G648" t="n">
        <v>5.4</v>
      </c>
      <c r="H648" t="n">
        <v>0</v>
      </c>
      <c r="I648" t="n">
        <v>0</v>
      </c>
      <c r="J648" t="n">
        <v>0</v>
      </c>
      <c r="K648" t="n">
        <v>0</v>
      </c>
      <c r="L648" t="n">
        <v>0</v>
      </c>
      <c r="M648" t="n">
        <v>0</v>
      </c>
      <c r="N648" t="n">
        <v>0</v>
      </c>
      <c r="O648" t="n">
        <v>0</v>
      </c>
      <c r="P648" t="n">
        <v>0</v>
      </c>
      <c r="Q648" t="n">
        <v>0</v>
      </c>
      <c r="R648" s="2" t="inlineStr"/>
    </row>
    <row r="649" ht="15" customHeight="1">
      <c r="A649" t="inlineStr">
        <is>
          <t>A 9750-2024</t>
        </is>
      </c>
      <c r="B649" s="1" t="n">
        <v>45362</v>
      </c>
      <c r="C649" s="1" t="n">
        <v>46167</v>
      </c>
      <c r="D649" t="inlineStr">
        <is>
          <t>JÄMTLANDS LÄN</t>
        </is>
      </c>
      <c r="E649" t="inlineStr">
        <is>
          <t>KROKOM</t>
        </is>
      </c>
      <c r="G649" t="n">
        <v>1.7</v>
      </c>
      <c r="H649" t="n">
        <v>0</v>
      </c>
      <c r="I649" t="n">
        <v>0</v>
      </c>
      <c r="J649" t="n">
        <v>0</v>
      </c>
      <c r="K649" t="n">
        <v>0</v>
      </c>
      <c r="L649" t="n">
        <v>0</v>
      </c>
      <c r="M649" t="n">
        <v>0</v>
      </c>
      <c r="N649" t="n">
        <v>0</v>
      </c>
      <c r="O649" t="n">
        <v>0</v>
      </c>
      <c r="P649" t="n">
        <v>0</v>
      </c>
      <c r="Q649" t="n">
        <v>0</v>
      </c>
      <c r="R649" s="2" t="inlineStr"/>
    </row>
    <row r="650" ht="15" customHeight="1">
      <c r="A650" t="inlineStr">
        <is>
          <t>A 53568-2024</t>
        </is>
      </c>
      <c r="B650" s="1" t="n">
        <v>45614.65925925926</v>
      </c>
      <c r="C650" s="1" t="n">
        <v>46167</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49063-2025</t>
        </is>
      </c>
      <c r="B651" s="1" t="n">
        <v>45937.64388888889</v>
      </c>
      <c r="C651" s="1" t="n">
        <v>46167</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17383-2023</t>
        </is>
      </c>
      <c r="B652" s="1" t="n">
        <v>45035</v>
      </c>
      <c r="C652" s="1" t="n">
        <v>46167</v>
      </c>
      <c r="D652" t="inlineStr">
        <is>
          <t>JÄMTLANDS LÄN</t>
        </is>
      </c>
      <c r="E652" t="inlineStr">
        <is>
          <t>KROKOM</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50002-2025</t>
        </is>
      </c>
      <c r="B653" s="1" t="n">
        <v>45943.34451388889</v>
      </c>
      <c r="C653" s="1" t="n">
        <v>46167</v>
      </c>
      <c r="D653" t="inlineStr">
        <is>
          <t>JÄMTLANDS LÄN</t>
        </is>
      </c>
      <c r="E653" t="inlineStr">
        <is>
          <t>KROKOM</t>
        </is>
      </c>
      <c r="F653" t="inlineStr">
        <is>
          <t>SCA</t>
        </is>
      </c>
      <c r="G653" t="n">
        <v>12.3</v>
      </c>
      <c r="H653" t="n">
        <v>0</v>
      </c>
      <c r="I653" t="n">
        <v>0</v>
      </c>
      <c r="J653" t="n">
        <v>0</v>
      </c>
      <c r="K653" t="n">
        <v>0</v>
      </c>
      <c r="L653" t="n">
        <v>0</v>
      </c>
      <c r="M653" t="n">
        <v>0</v>
      </c>
      <c r="N653" t="n">
        <v>0</v>
      </c>
      <c r="O653" t="n">
        <v>0</v>
      </c>
      <c r="P653" t="n">
        <v>0</v>
      </c>
      <c r="Q653" t="n">
        <v>0</v>
      </c>
      <c r="R653" s="2" t="inlineStr"/>
    </row>
    <row r="654" ht="15" customHeight="1">
      <c r="A654" t="inlineStr">
        <is>
          <t>A 50010-2025</t>
        </is>
      </c>
      <c r="B654" s="1" t="n">
        <v>45943.34546296296</v>
      </c>
      <c r="C654" s="1" t="n">
        <v>46167</v>
      </c>
      <c r="D654" t="inlineStr">
        <is>
          <t>JÄMTLANDS LÄN</t>
        </is>
      </c>
      <c r="E654" t="inlineStr">
        <is>
          <t>KROKOM</t>
        </is>
      </c>
      <c r="F654" t="inlineStr">
        <is>
          <t>SCA</t>
        </is>
      </c>
      <c r="G654" t="n">
        <v>35.8</v>
      </c>
      <c r="H654" t="n">
        <v>0</v>
      </c>
      <c r="I654" t="n">
        <v>0</v>
      </c>
      <c r="J654" t="n">
        <v>0</v>
      </c>
      <c r="K654" t="n">
        <v>0</v>
      </c>
      <c r="L654" t="n">
        <v>0</v>
      </c>
      <c r="M654" t="n">
        <v>0</v>
      </c>
      <c r="N654" t="n">
        <v>0</v>
      </c>
      <c r="O654" t="n">
        <v>0</v>
      </c>
      <c r="P654" t="n">
        <v>0</v>
      </c>
      <c r="Q654" t="n">
        <v>0</v>
      </c>
      <c r="R654" s="2" t="inlineStr"/>
    </row>
    <row r="655" ht="15" customHeight="1">
      <c r="A655" t="inlineStr">
        <is>
          <t>A 28595-2024</t>
        </is>
      </c>
      <c r="B655" s="1" t="n">
        <v>45478.42063657408</v>
      </c>
      <c r="C655" s="1" t="n">
        <v>46167</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12471-2024</t>
        </is>
      </c>
      <c r="B656" s="1" t="n">
        <v>45378</v>
      </c>
      <c r="C656" s="1" t="n">
        <v>46167</v>
      </c>
      <c r="D656" t="inlineStr">
        <is>
          <t>JÄMTLANDS LÄN</t>
        </is>
      </c>
      <c r="E656" t="inlineStr">
        <is>
          <t>KROKOM</t>
        </is>
      </c>
      <c r="G656" t="n">
        <v>20.2</v>
      </c>
      <c r="H656" t="n">
        <v>0</v>
      </c>
      <c r="I656" t="n">
        <v>0</v>
      </c>
      <c r="J656" t="n">
        <v>0</v>
      </c>
      <c r="K656" t="n">
        <v>0</v>
      </c>
      <c r="L656" t="n">
        <v>0</v>
      </c>
      <c r="M656" t="n">
        <v>0</v>
      </c>
      <c r="N656" t="n">
        <v>0</v>
      </c>
      <c r="O656" t="n">
        <v>0</v>
      </c>
      <c r="P656" t="n">
        <v>0</v>
      </c>
      <c r="Q656" t="n">
        <v>0</v>
      </c>
      <c r="R656" s="2" t="inlineStr"/>
    </row>
    <row r="657" ht="15" customHeight="1">
      <c r="A657" t="inlineStr">
        <is>
          <t>A 42774-2024</t>
        </is>
      </c>
      <c r="B657" s="1" t="n">
        <v>45566.51501157408</v>
      </c>
      <c r="C657" s="1" t="n">
        <v>46167</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50003-2025</t>
        </is>
      </c>
      <c r="B658" s="1" t="n">
        <v>45943.34457175926</v>
      </c>
      <c r="C658" s="1" t="n">
        <v>46167</v>
      </c>
      <c r="D658" t="inlineStr">
        <is>
          <t>JÄMTLANDS LÄN</t>
        </is>
      </c>
      <c r="E658" t="inlineStr">
        <is>
          <t>KROKOM</t>
        </is>
      </c>
      <c r="F658" t="inlineStr">
        <is>
          <t>SCA</t>
        </is>
      </c>
      <c r="G658" t="n">
        <v>10.4</v>
      </c>
      <c r="H658" t="n">
        <v>0</v>
      </c>
      <c r="I658" t="n">
        <v>0</v>
      </c>
      <c r="J658" t="n">
        <v>0</v>
      </c>
      <c r="K658" t="n">
        <v>0</v>
      </c>
      <c r="L658" t="n">
        <v>0</v>
      </c>
      <c r="M658" t="n">
        <v>0</v>
      </c>
      <c r="N658" t="n">
        <v>0</v>
      </c>
      <c r="O658" t="n">
        <v>0</v>
      </c>
      <c r="P658" t="n">
        <v>0</v>
      </c>
      <c r="Q658" t="n">
        <v>0</v>
      </c>
      <c r="R658" s="2" t="inlineStr"/>
    </row>
    <row r="659" ht="15" customHeight="1">
      <c r="A659" t="inlineStr">
        <is>
          <t>A 50004-2025</t>
        </is>
      </c>
      <c r="B659" s="1" t="n">
        <v>45943.34472222222</v>
      </c>
      <c r="C659" s="1" t="n">
        <v>46167</v>
      </c>
      <c r="D659" t="inlineStr">
        <is>
          <t>JÄMTLANDS LÄN</t>
        </is>
      </c>
      <c r="E659" t="inlineStr">
        <is>
          <t>KROKOM</t>
        </is>
      </c>
      <c r="F659" t="inlineStr">
        <is>
          <t>SCA</t>
        </is>
      </c>
      <c r="G659" t="n">
        <v>13.9</v>
      </c>
      <c r="H659" t="n">
        <v>0</v>
      </c>
      <c r="I659" t="n">
        <v>0</v>
      </c>
      <c r="J659" t="n">
        <v>0</v>
      </c>
      <c r="K659" t="n">
        <v>0</v>
      </c>
      <c r="L659" t="n">
        <v>0</v>
      </c>
      <c r="M659" t="n">
        <v>0</v>
      </c>
      <c r="N659" t="n">
        <v>0</v>
      </c>
      <c r="O659" t="n">
        <v>0</v>
      </c>
      <c r="P659" t="n">
        <v>0</v>
      </c>
      <c r="Q659" t="n">
        <v>0</v>
      </c>
      <c r="R659" s="2" t="inlineStr"/>
    </row>
    <row r="660" ht="15" customHeight="1">
      <c r="A660" t="inlineStr">
        <is>
          <t>A 60173-2024</t>
        </is>
      </c>
      <c r="B660" s="1" t="n">
        <v>45642.63666666667</v>
      </c>
      <c r="C660" s="1" t="n">
        <v>46167</v>
      </c>
      <c r="D660" t="inlineStr">
        <is>
          <t>JÄMTLANDS LÄN</t>
        </is>
      </c>
      <c r="E660" t="inlineStr">
        <is>
          <t>KROKOM</t>
        </is>
      </c>
      <c r="G660" t="n">
        <v>4.3</v>
      </c>
      <c r="H660" t="n">
        <v>0</v>
      </c>
      <c r="I660" t="n">
        <v>0</v>
      </c>
      <c r="J660" t="n">
        <v>0</v>
      </c>
      <c r="K660" t="n">
        <v>0</v>
      </c>
      <c r="L660" t="n">
        <v>0</v>
      </c>
      <c r="M660" t="n">
        <v>0</v>
      </c>
      <c r="N660" t="n">
        <v>0</v>
      </c>
      <c r="O660" t="n">
        <v>0</v>
      </c>
      <c r="P660" t="n">
        <v>0</v>
      </c>
      <c r="Q660" t="n">
        <v>0</v>
      </c>
      <c r="R660" s="2" t="inlineStr"/>
    </row>
    <row r="661" ht="15" customHeight="1">
      <c r="A661" t="inlineStr">
        <is>
          <t>A 34502-2023</t>
        </is>
      </c>
      <c r="B661" s="1" t="n">
        <v>45133</v>
      </c>
      <c r="C661" s="1" t="n">
        <v>46167</v>
      </c>
      <c r="D661" t="inlineStr">
        <is>
          <t>JÄMTLANDS LÄN</t>
        </is>
      </c>
      <c r="E661" t="inlineStr">
        <is>
          <t>KROKOM</t>
        </is>
      </c>
      <c r="G661" t="n">
        <v>6.9</v>
      </c>
      <c r="H661" t="n">
        <v>0</v>
      </c>
      <c r="I661" t="n">
        <v>0</v>
      </c>
      <c r="J661" t="n">
        <v>0</v>
      </c>
      <c r="K661" t="n">
        <v>0</v>
      </c>
      <c r="L661" t="n">
        <v>0</v>
      </c>
      <c r="M661" t="n">
        <v>0</v>
      </c>
      <c r="N661" t="n">
        <v>0</v>
      </c>
      <c r="O661" t="n">
        <v>0</v>
      </c>
      <c r="P661" t="n">
        <v>0</v>
      </c>
      <c r="Q661" t="n">
        <v>0</v>
      </c>
      <c r="R661" s="2" t="inlineStr"/>
    </row>
    <row r="662" ht="15" customHeight="1">
      <c r="A662" t="inlineStr">
        <is>
          <t>A 49838-2025</t>
        </is>
      </c>
      <c r="B662" s="1" t="n">
        <v>45940.46920138889</v>
      </c>
      <c r="C662" s="1" t="n">
        <v>46167</v>
      </c>
      <c r="D662" t="inlineStr">
        <is>
          <t>JÄMTLANDS LÄN</t>
        </is>
      </c>
      <c r="E662" t="inlineStr">
        <is>
          <t>KROKOM</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26805-2023</t>
        </is>
      </c>
      <c r="B663" s="1" t="n">
        <v>45090</v>
      </c>
      <c r="C663" s="1" t="n">
        <v>46167</v>
      </c>
      <c r="D663" t="inlineStr">
        <is>
          <t>JÄMTLANDS LÄN</t>
        </is>
      </c>
      <c r="E663" t="inlineStr">
        <is>
          <t>KROKOM</t>
        </is>
      </c>
      <c r="G663" t="n">
        <v>20.4</v>
      </c>
      <c r="H663" t="n">
        <v>0</v>
      </c>
      <c r="I663" t="n">
        <v>0</v>
      </c>
      <c r="J663" t="n">
        <v>0</v>
      </c>
      <c r="K663" t="n">
        <v>0</v>
      </c>
      <c r="L663" t="n">
        <v>0</v>
      </c>
      <c r="M663" t="n">
        <v>0</v>
      </c>
      <c r="N663" t="n">
        <v>0</v>
      </c>
      <c r="O663" t="n">
        <v>0</v>
      </c>
      <c r="P663" t="n">
        <v>0</v>
      </c>
      <c r="Q663" t="n">
        <v>0</v>
      </c>
      <c r="R663" s="2" t="inlineStr"/>
    </row>
    <row r="664" ht="15" customHeight="1">
      <c r="A664" t="inlineStr">
        <is>
          <t>A 47606-2023</t>
        </is>
      </c>
      <c r="B664" s="1" t="n">
        <v>45203.46523148148</v>
      </c>
      <c r="C664" s="1" t="n">
        <v>46167</v>
      </c>
      <c r="D664" t="inlineStr">
        <is>
          <t>JÄMTLANDS LÄN</t>
        </is>
      </c>
      <c r="E664" t="inlineStr">
        <is>
          <t>KROKOM</t>
        </is>
      </c>
      <c r="G664" t="n">
        <v>5.5</v>
      </c>
      <c r="H664" t="n">
        <v>0</v>
      </c>
      <c r="I664" t="n">
        <v>0</v>
      </c>
      <c r="J664" t="n">
        <v>0</v>
      </c>
      <c r="K664" t="n">
        <v>0</v>
      </c>
      <c r="L664" t="n">
        <v>0</v>
      </c>
      <c r="M664" t="n">
        <v>0</v>
      </c>
      <c r="N664" t="n">
        <v>0</v>
      </c>
      <c r="O664" t="n">
        <v>0</v>
      </c>
      <c r="P664" t="n">
        <v>0</v>
      </c>
      <c r="Q664" t="n">
        <v>0</v>
      </c>
      <c r="R664" s="2" t="inlineStr"/>
    </row>
    <row r="665" ht="15" customHeight="1">
      <c r="A665" t="inlineStr">
        <is>
          <t>A 50455-2025</t>
        </is>
      </c>
      <c r="B665" s="1" t="n">
        <v>45945.33297453704</v>
      </c>
      <c r="C665" s="1" t="n">
        <v>46167</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33451-2025</t>
        </is>
      </c>
      <c r="B666" s="1" t="n">
        <v>45841.46925925926</v>
      </c>
      <c r="C666" s="1" t="n">
        <v>46167</v>
      </c>
      <c r="D666" t="inlineStr">
        <is>
          <t>JÄMTLANDS LÄN</t>
        </is>
      </c>
      <c r="E666" t="inlineStr">
        <is>
          <t>KROKOM</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31277-2025</t>
        </is>
      </c>
      <c r="B667" s="1" t="n">
        <v>45833.34490740741</v>
      </c>
      <c r="C667" s="1" t="n">
        <v>46167</v>
      </c>
      <c r="D667" t="inlineStr">
        <is>
          <t>JÄMTLANDS LÄN</t>
        </is>
      </c>
      <c r="E667" t="inlineStr">
        <is>
          <t>KROKOM</t>
        </is>
      </c>
      <c r="F667" t="inlineStr">
        <is>
          <t>SCA</t>
        </is>
      </c>
      <c r="G667" t="n">
        <v>9</v>
      </c>
      <c r="H667" t="n">
        <v>0</v>
      </c>
      <c r="I667" t="n">
        <v>0</v>
      </c>
      <c r="J667" t="n">
        <v>0</v>
      </c>
      <c r="K667" t="n">
        <v>0</v>
      </c>
      <c r="L667" t="n">
        <v>0</v>
      </c>
      <c r="M667" t="n">
        <v>0</v>
      </c>
      <c r="N667" t="n">
        <v>0</v>
      </c>
      <c r="O667" t="n">
        <v>0</v>
      </c>
      <c r="P667" t="n">
        <v>0</v>
      </c>
      <c r="Q667" t="n">
        <v>0</v>
      </c>
      <c r="R667" s="2" t="inlineStr"/>
    </row>
    <row r="668" ht="15" customHeight="1">
      <c r="A668" t="inlineStr">
        <is>
          <t>A 16225-2025</t>
        </is>
      </c>
      <c r="B668" s="1" t="n">
        <v>45750.6447800926</v>
      </c>
      <c r="C668" s="1" t="n">
        <v>46167</v>
      </c>
      <c r="D668" t="inlineStr">
        <is>
          <t>JÄMTLANDS LÄN</t>
        </is>
      </c>
      <c r="E668" t="inlineStr">
        <is>
          <t>KROKOM</t>
        </is>
      </c>
      <c r="F668" t="inlineStr">
        <is>
          <t>Övriga Aktiebolag</t>
        </is>
      </c>
      <c r="G668" t="n">
        <v>11.5</v>
      </c>
      <c r="H668" t="n">
        <v>0</v>
      </c>
      <c r="I668" t="n">
        <v>0</v>
      </c>
      <c r="J668" t="n">
        <v>0</v>
      </c>
      <c r="K668" t="n">
        <v>0</v>
      </c>
      <c r="L668" t="n">
        <v>0</v>
      </c>
      <c r="M668" t="n">
        <v>0</v>
      </c>
      <c r="N668" t="n">
        <v>0</v>
      </c>
      <c r="O668" t="n">
        <v>0</v>
      </c>
      <c r="P668" t="n">
        <v>0</v>
      </c>
      <c r="Q668" t="n">
        <v>0</v>
      </c>
      <c r="R668" s="2" t="inlineStr"/>
    </row>
    <row r="669" ht="15" customHeight="1">
      <c r="A669" t="inlineStr">
        <is>
          <t>A 30175-2025</t>
        </is>
      </c>
      <c r="B669" s="1" t="n">
        <v>45827.34488425926</v>
      </c>
      <c r="C669" s="1" t="n">
        <v>46167</v>
      </c>
      <c r="D669" t="inlineStr">
        <is>
          <t>JÄMTLANDS LÄN</t>
        </is>
      </c>
      <c r="E669" t="inlineStr">
        <is>
          <t>KROKOM</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52086-2024</t>
        </is>
      </c>
      <c r="B670" s="1" t="n">
        <v>45608</v>
      </c>
      <c r="C670" s="1" t="n">
        <v>46167</v>
      </c>
      <c r="D670" t="inlineStr">
        <is>
          <t>JÄMTLANDS LÄN</t>
        </is>
      </c>
      <c r="E670" t="inlineStr">
        <is>
          <t>KROKOM</t>
        </is>
      </c>
      <c r="G670" t="n">
        <v>3.3</v>
      </c>
      <c r="H670" t="n">
        <v>0</v>
      </c>
      <c r="I670" t="n">
        <v>0</v>
      </c>
      <c r="J670" t="n">
        <v>0</v>
      </c>
      <c r="K670" t="n">
        <v>0</v>
      </c>
      <c r="L670" t="n">
        <v>0</v>
      </c>
      <c r="M670" t="n">
        <v>0</v>
      </c>
      <c r="N670" t="n">
        <v>0</v>
      </c>
      <c r="O670" t="n">
        <v>0</v>
      </c>
      <c r="P670" t="n">
        <v>0</v>
      </c>
      <c r="Q670" t="n">
        <v>0</v>
      </c>
      <c r="R670" s="2" t="inlineStr"/>
    </row>
    <row r="671" ht="15" customHeight="1">
      <c r="A671" t="inlineStr">
        <is>
          <t>A 32318-2025</t>
        </is>
      </c>
      <c r="B671" s="1" t="n">
        <v>45836.34413194445</v>
      </c>
      <c r="C671" s="1" t="n">
        <v>46167</v>
      </c>
      <c r="D671" t="inlineStr">
        <is>
          <t>JÄMTLANDS LÄN</t>
        </is>
      </c>
      <c r="E671" t="inlineStr">
        <is>
          <t>KROKOM</t>
        </is>
      </c>
      <c r="F671" t="inlineStr">
        <is>
          <t>SCA</t>
        </is>
      </c>
      <c r="G671" t="n">
        <v>13.8</v>
      </c>
      <c r="H671" t="n">
        <v>0</v>
      </c>
      <c r="I671" t="n">
        <v>0</v>
      </c>
      <c r="J671" t="n">
        <v>0</v>
      </c>
      <c r="K671" t="n">
        <v>0</v>
      </c>
      <c r="L671" t="n">
        <v>0</v>
      </c>
      <c r="M671" t="n">
        <v>0</v>
      </c>
      <c r="N671" t="n">
        <v>0</v>
      </c>
      <c r="O671" t="n">
        <v>0</v>
      </c>
      <c r="P671" t="n">
        <v>0</v>
      </c>
      <c r="Q671" t="n">
        <v>0</v>
      </c>
      <c r="R671" s="2" t="inlineStr"/>
    </row>
    <row r="672" ht="15" customHeight="1">
      <c r="A672" t="inlineStr">
        <is>
          <t>A 50806-2025</t>
        </is>
      </c>
      <c r="B672" s="1" t="n">
        <v>45946.50797453704</v>
      </c>
      <c r="C672" s="1" t="n">
        <v>46167</v>
      </c>
      <c r="D672" t="inlineStr">
        <is>
          <t>JÄMTLANDS LÄN</t>
        </is>
      </c>
      <c r="E672" t="inlineStr">
        <is>
          <t>KROKOM</t>
        </is>
      </c>
      <c r="F672" t="inlineStr">
        <is>
          <t>Övriga Aktiebolag</t>
        </is>
      </c>
      <c r="G672" t="n">
        <v>1.5</v>
      </c>
      <c r="H672" t="n">
        <v>0</v>
      </c>
      <c r="I672" t="n">
        <v>0</v>
      </c>
      <c r="J672" t="n">
        <v>0</v>
      </c>
      <c r="K672" t="n">
        <v>0</v>
      </c>
      <c r="L672" t="n">
        <v>0</v>
      </c>
      <c r="M672" t="n">
        <v>0</v>
      </c>
      <c r="N672" t="n">
        <v>0</v>
      </c>
      <c r="O672" t="n">
        <v>0</v>
      </c>
      <c r="P672" t="n">
        <v>0</v>
      </c>
      <c r="Q672" t="n">
        <v>0</v>
      </c>
      <c r="R672" s="2" t="inlineStr"/>
    </row>
    <row r="673" ht="15" customHeight="1">
      <c r="A673" t="inlineStr">
        <is>
          <t>A 50990-2025</t>
        </is>
      </c>
      <c r="B673" s="1" t="n">
        <v>45947.34591435185</v>
      </c>
      <c r="C673" s="1" t="n">
        <v>46167</v>
      </c>
      <c r="D673" t="inlineStr">
        <is>
          <t>JÄMTLANDS LÄN</t>
        </is>
      </c>
      <c r="E673" t="inlineStr">
        <is>
          <t>KROKOM</t>
        </is>
      </c>
      <c r="G673" t="n">
        <v>5.3</v>
      </c>
      <c r="H673" t="n">
        <v>0</v>
      </c>
      <c r="I673" t="n">
        <v>0</v>
      </c>
      <c r="J673" t="n">
        <v>0</v>
      </c>
      <c r="K673" t="n">
        <v>0</v>
      </c>
      <c r="L673" t="n">
        <v>0</v>
      </c>
      <c r="M673" t="n">
        <v>0</v>
      </c>
      <c r="N673" t="n">
        <v>0</v>
      </c>
      <c r="O673" t="n">
        <v>0</v>
      </c>
      <c r="P673" t="n">
        <v>0</v>
      </c>
      <c r="Q673" t="n">
        <v>0</v>
      </c>
      <c r="R673" s="2" t="inlineStr"/>
    </row>
    <row r="674" ht="15" customHeight="1">
      <c r="A674" t="inlineStr">
        <is>
          <t>A 54975-2024</t>
        </is>
      </c>
      <c r="B674" s="1" t="n">
        <v>45620.67667824074</v>
      </c>
      <c r="C674" s="1" t="n">
        <v>46167</v>
      </c>
      <c r="D674" t="inlineStr">
        <is>
          <t>JÄMTLANDS LÄN</t>
        </is>
      </c>
      <c r="E674" t="inlineStr">
        <is>
          <t>KROKOM</t>
        </is>
      </c>
      <c r="G674" t="n">
        <v>24.1</v>
      </c>
      <c r="H674" t="n">
        <v>0</v>
      </c>
      <c r="I674" t="n">
        <v>0</v>
      </c>
      <c r="J674" t="n">
        <v>0</v>
      </c>
      <c r="K674" t="n">
        <v>0</v>
      </c>
      <c r="L674" t="n">
        <v>0</v>
      </c>
      <c r="M674" t="n">
        <v>0</v>
      </c>
      <c r="N674" t="n">
        <v>0</v>
      </c>
      <c r="O674" t="n">
        <v>0</v>
      </c>
      <c r="P674" t="n">
        <v>0</v>
      </c>
      <c r="Q674" t="n">
        <v>0</v>
      </c>
      <c r="R674" s="2" t="inlineStr"/>
    </row>
    <row r="675" ht="15" customHeight="1">
      <c r="A675" t="inlineStr">
        <is>
          <t>A 9132-2023</t>
        </is>
      </c>
      <c r="B675" s="1" t="n">
        <v>44974</v>
      </c>
      <c r="C675" s="1" t="n">
        <v>46167</v>
      </c>
      <c r="D675" t="inlineStr">
        <is>
          <t>JÄMTLANDS LÄN</t>
        </is>
      </c>
      <c r="E675" t="inlineStr">
        <is>
          <t>KROKOM</t>
        </is>
      </c>
      <c r="F675" t="inlineStr">
        <is>
          <t>SCA</t>
        </is>
      </c>
      <c r="G675" t="n">
        <v>22.7</v>
      </c>
      <c r="H675" t="n">
        <v>0</v>
      </c>
      <c r="I675" t="n">
        <v>0</v>
      </c>
      <c r="J675" t="n">
        <v>0</v>
      </c>
      <c r="K675" t="n">
        <v>0</v>
      </c>
      <c r="L675" t="n">
        <v>0</v>
      </c>
      <c r="M675" t="n">
        <v>0</v>
      </c>
      <c r="N675" t="n">
        <v>0</v>
      </c>
      <c r="O675" t="n">
        <v>0</v>
      </c>
      <c r="P675" t="n">
        <v>0</v>
      </c>
      <c r="Q675" t="n">
        <v>0</v>
      </c>
      <c r="R675" s="2" t="inlineStr"/>
    </row>
    <row r="676" ht="15" customHeight="1">
      <c r="A676" t="inlineStr">
        <is>
          <t>A 51472-2025</t>
        </is>
      </c>
      <c r="B676" s="1" t="n">
        <v>45950.61744212963</v>
      </c>
      <c r="C676" s="1" t="n">
        <v>46167</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39696-2024</t>
        </is>
      </c>
      <c r="B677" s="1" t="n">
        <v>45552.57210648148</v>
      </c>
      <c r="C677" s="1" t="n">
        <v>46167</v>
      </c>
      <c r="D677" t="inlineStr">
        <is>
          <t>JÄMTLANDS LÄN</t>
        </is>
      </c>
      <c r="E677" t="inlineStr">
        <is>
          <t>KROKOM</t>
        </is>
      </c>
      <c r="G677" t="n">
        <v>5.3</v>
      </c>
      <c r="H677" t="n">
        <v>0</v>
      </c>
      <c r="I677" t="n">
        <v>0</v>
      </c>
      <c r="J677" t="n">
        <v>0</v>
      </c>
      <c r="K677" t="n">
        <v>0</v>
      </c>
      <c r="L677" t="n">
        <v>0</v>
      </c>
      <c r="M677" t="n">
        <v>0</v>
      </c>
      <c r="N677" t="n">
        <v>0</v>
      </c>
      <c r="O677" t="n">
        <v>0</v>
      </c>
      <c r="P677" t="n">
        <v>0</v>
      </c>
      <c r="Q677" t="n">
        <v>0</v>
      </c>
      <c r="R677" s="2" t="inlineStr"/>
    </row>
    <row r="678" ht="15" customHeight="1">
      <c r="A678" t="inlineStr">
        <is>
          <t>A 37615-2025</t>
        </is>
      </c>
      <c r="B678" s="1" t="n">
        <v>45880</v>
      </c>
      <c r="C678" s="1" t="n">
        <v>46167</v>
      </c>
      <c r="D678" t="inlineStr">
        <is>
          <t>JÄMTLANDS LÄN</t>
        </is>
      </c>
      <c r="E678" t="inlineStr">
        <is>
          <t>KROKOM</t>
        </is>
      </c>
      <c r="G678" t="n">
        <v>33.6</v>
      </c>
      <c r="H678" t="n">
        <v>0</v>
      </c>
      <c r="I678" t="n">
        <v>0</v>
      </c>
      <c r="J678" t="n">
        <v>0</v>
      </c>
      <c r="K678" t="n">
        <v>0</v>
      </c>
      <c r="L678" t="n">
        <v>0</v>
      </c>
      <c r="M678" t="n">
        <v>0</v>
      </c>
      <c r="N678" t="n">
        <v>0</v>
      </c>
      <c r="O678" t="n">
        <v>0</v>
      </c>
      <c r="P678" t="n">
        <v>0</v>
      </c>
      <c r="Q678" t="n">
        <v>0</v>
      </c>
      <c r="R678" s="2" t="inlineStr"/>
    </row>
    <row r="679" ht="15" customHeight="1">
      <c r="A679" t="inlineStr">
        <is>
          <t>A 51317-2025</t>
        </is>
      </c>
      <c r="B679" s="1" t="n">
        <v>45950.38090277778</v>
      </c>
      <c r="C679" s="1" t="n">
        <v>46167</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41197-2022</t>
        </is>
      </c>
      <c r="B680" s="1" t="n">
        <v>44825</v>
      </c>
      <c r="C680" s="1" t="n">
        <v>46167</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51735-2025</t>
        </is>
      </c>
      <c r="B681" s="1" t="n">
        <v>45951.59516203704</v>
      </c>
      <c r="C681" s="1" t="n">
        <v>46167</v>
      </c>
      <c r="D681" t="inlineStr">
        <is>
          <t>JÄMTLANDS LÄN</t>
        </is>
      </c>
      <c r="E681" t="inlineStr">
        <is>
          <t>KROKOM</t>
        </is>
      </c>
      <c r="G681" t="n">
        <v>2.8</v>
      </c>
      <c r="H681" t="n">
        <v>0</v>
      </c>
      <c r="I681" t="n">
        <v>0</v>
      </c>
      <c r="J681" t="n">
        <v>0</v>
      </c>
      <c r="K681" t="n">
        <v>0</v>
      </c>
      <c r="L681" t="n">
        <v>0</v>
      </c>
      <c r="M681" t="n">
        <v>0</v>
      </c>
      <c r="N681" t="n">
        <v>0</v>
      </c>
      <c r="O681" t="n">
        <v>0</v>
      </c>
      <c r="P681" t="n">
        <v>0</v>
      </c>
      <c r="Q681" t="n">
        <v>0</v>
      </c>
      <c r="R681" s="2" t="inlineStr"/>
    </row>
    <row r="682" ht="15" customHeight="1">
      <c r="A682" t="inlineStr">
        <is>
          <t>A 51470-2025</t>
        </is>
      </c>
      <c r="B682" s="1" t="n">
        <v>45950.61659722222</v>
      </c>
      <c r="C682" s="1" t="n">
        <v>46167</v>
      </c>
      <c r="D682" t="inlineStr">
        <is>
          <t>JÄMTLANDS LÄN</t>
        </is>
      </c>
      <c r="E682" t="inlineStr">
        <is>
          <t>KROKOM</t>
        </is>
      </c>
      <c r="G682" t="n">
        <v>0.2</v>
      </c>
      <c r="H682" t="n">
        <v>0</v>
      </c>
      <c r="I682" t="n">
        <v>0</v>
      </c>
      <c r="J682" t="n">
        <v>0</v>
      </c>
      <c r="K682" t="n">
        <v>0</v>
      </c>
      <c r="L682" t="n">
        <v>0</v>
      </c>
      <c r="M682" t="n">
        <v>0</v>
      </c>
      <c r="N682" t="n">
        <v>0</v>
      </c>
      <c r="O682" t="n">
        <v>0</v>
      </c>
      <c r="P682" t="n">
        <v>0</v>
      </c>
      <c r="Q682" t="n">
        <v>0</v>
      </c>
      <c r="R682" s="2" t="inlineStr"/>
    </row>
    <row r="683" ht="15" customHeight="1">
      <c r="A683" t="inlineStr">
        <is>
          <t>A 51471-2025</t>
        </is>
      </c>
      <c r="B683" s="1" t="n">
        <v>45950.61703703704</v>
      </c>
      <c r="C683" s="1" t="n">
        <v>46167</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47587-2023</t>
        </is>
      </c>
      <c r="B684" s="1" t="n">
        <v>45203.44248842593</v>
      </c>
      <c r="C684" s="1" t="n">
        <v>46167</v>
      </c>
      <c r="D684" t="inlineStr">
        <is>
          <t>JÄMTLANDS LÄN</t>
        </is>
      </c>
      <c r="E684" t="inlineStr">
        <is>
          <t>KROKOM</t>
        </is>
      </c>
      <c r="G684" t="n">
        <v>5.1</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45953.65322916667</v>
      </c>
      <c r="C685" s="1" t="n">
        <v>46167</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1473-2025</t>
        </is>
      </c>
      <c r="B686" s="1" t="n">
        <v>45670</v>
      </c>
      <c r="C686" s="1" t="n">
        <v>46167</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2480-2025</t>
        </is>
      </c>
      <c r="B687" s="1" t="n">
        <v>45674</v>
      </c>
      <c r="C687" s="1" t="n">
        <v>46167</v>
      </c>
      <c r="D687" t="inlineStr">
        <is>
          <t>JÄMTLANDS LÄN</t>
        </is>
      </c>
      <c r="E687" t="inlineStr">
        <is>
          <t>KROKOM</t>
        </is>
      </c>
      <c r="G687" t="n">
        <v>4</v>
      </c>
      <c r="H687" t="n">
        <v>0</v>
      </c>
      <c r="I687" t="n">
        <v>0</v>
      </c>
      <c r="J687" t="n">
        <v>0</v>
      </c>
      <c r="K687" t="n">
        <v>0</v>
      </c>
      <c r="L687" t="n">
        <v>0</v>
      </c>
      <c r="M687" t="n">
        <v>0</v>
      </c>
      <c r="N687" t="n">
        <v>0</v>
      </c>
      <c r="O687" t="n">
        <v>0</v>
      </c>
      <c r="P687" t="n">
        <v>0</v>
      </c>
      <c r="Q687" t="n">
        <v>0</v>
      </c>
      <c r="R687" s="2" t="inlineStr"/>
    </row>
    <row r="688" ht="15" customHeight="1">
      <c r="A688" t="inlineStr">
        <is>
          <t>A 52300-2025</t>
        </is>
      </c>
      <c r="B688" s="1" t="n">
        <v>45953.61458333334</v>
      </c>
      <c r="C688" s="1" t="n">
        <v>46167</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52032-2025</t>
        </is>
      </c>
      <c r="B689" s="1" t="n">
        <v>45952.61193287037</v>
      </c>
      <c r="C689" s="1" t="n">
        <v>46167</v>
      </c>
      <c r="D689" t="inlineStr">
        <is>
          <t>JÄMTLANDS LÄN</t>
        </is>
      </c>
      <c r="E689" t="inlineStr">
        <is>
          <t>KROKOM</t>
        </is>
      </c>
      <c r="G689" t="n">
        <v>3.5</v>
      </c>
      <c r="H689" t="n">
        <v>0</v>
      </c>
      <c r="I689" t="n">
        <v>0</v>
      </c>
      <c r="J689" t="n">
        <v>0</v>
      </c>
      <c r="K689" t="n">
        <v>0</v>
      </c>
      <c r="L689" t="n">
        <v>0</v>
      </c>
      <c r="M689" t="n">
        <v>0</v>
      </c>
      <c r="N689" t="n">
        <v>0</v>
      </c>
      <c r="O689" t="n">
        <v>0</v>
      </c>
      <c r="P689" t="n">
        <v>0</v>
      </c>
      <c r="Q689" t="n">
        <v>0</v>
      </c>
      <c r="R689" s="2" t="inlineStr"/>
    </row>
    <row r="690" ht="15" customHeight="1">
      <c r="A690" t="inlineStr">
        <is>
          <t>A 52014-2025</t>
        </is>
      </c>
      <c r="B690" s="1" t="n">
        <v>45952</v>
      </c>
      <c r="C690" s="1" t="n">
        <v>46167</v>
      </c>
      <c r="D690" t="inlineStr">
        <is>
          <t>JÄMTLANDS LÄN</t>
        </is>
      </c>
      <c r="E690" t="inlineStr">
        <is>
          <t>KROKOM</t>
        </is>
      </c>
      <c r="G690" t="n">
        <v>39</v>
      </c>
      <c r="H690" t="n">
        <v>0</v>
      </c>
      <c r="I690" t="n">
        <v>0</v>
      </c>
      <c r="J690" t="n">
        <v>0</v>
      </c>
      <c r="K690" t="n">
        <v>0</v>
      </c>
      <c r="L690" t="n">
        <v>0</v>
      </c>
      <c r="M690" t="n">
        <v>0</v>
      </c>
      <c r="N690" t="n">
        <v>0</v>
      </c>
      <c r="O690" t="n">
        <v>0</v>
      </c>
      <c r="P690" t="n">
        <v>0</v>
      </c>
      <c r="Q690" t="n">
        <v>0</v>
      </c>
      <c r="R690" s="2" t="inlineStr"/>
      <c r="U690">
        <f>HYPERLINK("https://klasma.github.io/Logging_2309/knärot/A 52014-2025 karta knärot.png", "A 52014-2025")</f>
        <v/>
      </c>
      <c r="V690">
        <f>HYPERLINK("https://klasma.github.io/Logging_2309/klagomål/A 52014-2025 FSC-klagomål.docx", "A 52014-2025")</f>
        <v/>
      </c>
      <c r="W690">
        <f>HYPERLINK("https://klasma.github.io/Logging_2309/klagomålsmail/A 52014-2025 FSC-klagomål mail.docx", "A 52014-2025")</f>
        <v/>
      </c>
      <c r="X690">
        <f>HYPERLINK("https://klasma.github.io/Logging_2309/tillsyn/A 52014-2025 tillsynsbegäran.docx", "A 52014-2025")</f>
        <v/>
      </c>
      <c r="Y690">
        <f>HYPERLINK("https://klasma.github.io/Logging_2309/tillsynsmail/A 52014-2025 tillsynsbegäran mail.docx", "A 52014-2025")</f>
        <v/>
      </c>
    </row>
    <row r="691" ht="15" customHeight="1">
      <c r="A691" t="inlineStr">
        <is>
          <t>A 52302-2025</t>
        </is>
      </c>
      <c r="B691" s="1" t="n">
        <v>45953.62150462963</v>
      </c>
      <c r="C691" s="1" t="n">
        <v>46167</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52304-2025</t>
        </is>
      </c>
      <c r="B692" s="1" t="n">
        <v>45953.62553240741</v>
      </c>
      <c r="C692" s="1" t="n">
        <v>46167</v>
      </c>
      <c r="D692" t="inlineStr">
        <is>
          <t>JÄMTLANDS LÄN</t>
        </is>
      </c>
      <c r="E692" t="inlineStr">
        <is>
          <t>KROKOM</t>
        </is>
      </c>
      <c r="G692" t="n">
        <v>3.4</v>
      </c>
      <c r="H692" t="n">
        <v>0</v>
      </c>
      <c r="I692" t="n">
        <v>0</v>
      </c>
      <c r="J692" t="n">
        <v>0</v>
      </c>
      <c r="K692" t="n">
        <v>0</v>
      </c>
      <c r="L692" t="n">
        <v>0</v>
      </c>
      <c r="M692" t="n">
        <v>0</v>
      </c>
      <c r="N692" t="n">
        <v>0</v>
      </c>
      <c r="O692" t="n">
        <v>0</v>
      </c>
      <c r="P692" t="n">
        <v>0</v>
      </c>
      <c r="Q692" t="n">
        <v>0</v>
      </c>
      <c r="R692" s="2" t="inlineStr"/>
    </row>
    <row r="693" ht="15" customHeight="1">
      <c r="A693" t="inlineStr">
        <is>
          <t>A 23319-2024</t>
        </is>
      </c>
      <c r="B693" s="1" t="n">
        <v>45453.45515046296</v>
      </c>
      <c r="C693" s="1" t="n">
        <v>46167</v>
      </c>
      <c r="D693" t="inlineStr">
        <is>
          <t>JÄMTLANDS LÄN</t>
        </is>
      </c>
      <c r="E693" t="inlineStr">
        <is>
          <t>KROKOM</t>
        </is>
      </c>
      <c r="G693" t="n">
        <v>2.9</v>
      </c>
      <c r="H693" t="n">
        <v>0</v>
      </c>
      <c r="I693" t="n">
        <v>0</v>
      </c>
      <c r="J693" t="n">
        <v>0</v>
      </c>
      <c r="K693" t="n">
        <v>0</v>
      </c>
      <c r="L693" t="n">
        <v>0</v>
      </c>
      <c r="M693" t="n">
        <v>0</v>
      </c>
      <c r="N693" t="n">
        <v>0</v>
      </c>
      <c r="O693" t="n">
        <v>0</v>
      </c>
      <c r="P693" t="n">
        <v>0</v>
      </c>
      <c r="Q693" t="n">
        <v>0</v>
      </c>
      <c r="R693" s="2" t="inlineStr"/>
    </row>
    <row r="694" ht="15" customHeight="1">
      <c r="A694" t="inlineStr">
        <is>
          <t>A 26207-2024</t>
        </is>
      </c>
      <c r="B694" s="1" t="n">
        <v>45467</v>
      </c>
      <c r="C694" s="1" t="n">
        <v>46167</v>
      </c>
      <c r="D694" t="inlineStr">
        <is>
          <t>JÄMTLANDS LÄN</t>
        </is>
      </c>
      <c r="E694" t="inlineStr">
        <is>
          <t>KROKOM</t>
        </is>
      </c>
      <c r="G694" t="n">
        <v>14.4</v>
      </c>
      <c r="H694" t="n">
        <v>0</v>
      </c>
      <c r="I694" t="n">
        <v>0</v>
      </c>
      <c r="J694" t="n">
        <v>0</v>
      </c>
      <c r="K694" t="n">
        <v>0</v>
      </c>
      <c r="L694" t="n">
        <v>0</v>
      </c>
      <c r="M694" t="n">
        <v>0</v>
      </c>
      <c r="N694" t="n">
        <v>0</v>
      </c>
      <c r="O694" t="n">
        <v>0</v>
      </c>
      <c r="P694" t="n">
        <v>0</v>
      </c>
      <c r="Q694" t="n">
        <v>0</v>
      </c>
      <c r="R694" s="2" t="inlineStr"/>
    </row>
    <row r="695" ht="15" customHeight="1">
      <c r="A695" t="inlineStr">
        <is>
          <t>A 57459-2024</t>
        </is>
      </c>
      <c r="B695" s="1" t="n">
        <v>45630</v>
      </c>
      <c r="C695" s="1" t="n">
        <v>46167</v>
      </c>
      <c r="D695" t="inlineStr">
        <is>
          <t>JÄMTLANDS LÄN</t>
        </is>
      </c>
      <c r="E695" t="inlineStr">
        <is>
          <t>KROKOM</t>
        </is>
      </c>
      <c r="G695" t="n">
        <v>19.2</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45954.53168981482</v>
      </c>
      <c r="C696" s="1" t="n">
        <v>46167</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52619-2025</t>
        </is>
      </c>
      <c r="B697" s="1" t="n">
        <v>45954.68111111111</v>
      </c>
      <c r="C697" s="1" t="n">
        <v>46167</v>
      </c>
      <c r="D697" t="inlineStr">
        <is>
          <t>JÄMTLANDS LÄN</t>
        </is>
      </c>
      <c r="E697" t="inlineStr">
        <is>
          <t>KROKOM</t>
        </is>
      </c>
      <c r="G697" t="n">
        <v>11.8</v>
      </c>
      <c r="H697" t="n">
        <v>0</v>
      </c>
      <c r="I697" t="n">
        <v>0</v>
      </c>
      <c r="J697" t="n">
        <v>0</v>
      </c>
      <c r="K697" t="n">
        <v>0</v>
      </c>
      <c r="L697" t="n">
        <v>0</v>
      </c>
      <c r="M697" t="n">
        <v>0</v>
      </c>
      <c r="N697" t="n">
        <v>0</v>
      </c>
      <c r="O697" t="n">
        <v>0</v>
      </c>
      <c r="P697" t="n">
        <v>0</v>
      </c>
      <c r="Q697" t="n">
        <v>0</v>
      </c>
      <c r="R697" s="2" t="inlineStr"/>
    </row>
    <row r="698" ht="15" customHeight="1">
      <c r="A698" t="inlineStr">
        <is>
          <t>A 52528-2025</t>
        </is>
      </c>
      <c r="B698" s="1" t="n">
        <v>45954.53189814815</v>
      </c>
      <c r="C698" s="1" t="n">
        <v>46167</v>
      </c>
      <c r="D698" t="inlineStr">
        <is>
          <t>JÄMTLANDS LÄN</t>
        </is>
      </c>
      <c r="E698" t="inlineStr">
        <is>
          <t>KROKOM</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52431-2025</t>
        </is>
      </c>
      <c r="B699" s="1" t="n">
        <v>45954.38606481482</v>
      </c>
      <c r="C699" s="1" t="n">
        <v>46167</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53227-2025</t>
        </is>
      </c>
      <c r="B700" s="1" t="n">
        <v>45958.61497685185</v>
      </c>
      <c r="C700" s="1" t="n">
        <v>46167</v>
      </c>
      <c r="D700" t="inlineStr">
        <is>
          <t>JÄMTLANDS LÄN</t>
        </is>
      </c>
      <c r="E700" t="inlineStr">
        <is>
          <t>KROKOM</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62739-2021</t>
        </is>
      </c>
      <c r="B701" s="1" t="n">
        <v>44504</v>
      </c>
      <c r="C701" s="1" t="n">
        <v>46167</v>
      </c>
      <c r="D701" t="inlineStr">
        <is>
          <t>JÄMTLANDS LÄN</t>
        </is>
      </c>
      <c r="E701" t="inlineStr">
        <is>
          <t>KROKOM</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17469-2024</t>
        </is>
      </c>
      <c r="B702" s="1" t="n">
        <v>45415.45006944444</v>
      </c>
      <c r="C702" s="1" t="n">
        <v>46167</v>
      </c>
      <c r="D702" t="inlineStr">
        <is>
          <t>JÄMTLANDS LÄN</t>
        </is>
      </c>
      <c r="E702" t="inlineStr">
        <is>
          <t>KROKOM</t>
        </is>
      </c>
      <c r="G702" t="n">
        <v>4.6</v>
      </c>
      <c r="H702" t="n">
        <v>0</v>
      </c>
      <c r="I702" t="n">
        <v>0</v>
      </c>
      <c r="J702" t="n">
        <v>0</v>
      </c>
      <c r="K702" t="n">
        <v>0</v>
      </c>
      <c r="L702" t="n">
        <v>0</v>
      </c>
      <c r="M702" t="n">
        <v>0</v>
      </c>
      <c r="N702" t="n">
        <v>0</v>
      </c>
      <c r="O702" t="n">
        <v>0</v>
      </c>
      <c r="P702" t="n">
        <v>0</v>
      </c>
      <c r="Q702" t="n">
        <v>0</v>
      </c>
      <c r="R702" s="2" t="inlineStr"/>
    </row>
    <row r="703" ht="15" customHeight="1">
      <c r="A703" t="inlineStr">
        <is>
          <t>A 5722-2023</t>
        </is>
      </c>
      <c r="B703" s="1" t="n">
        <v>44961</v>
      </c>
      <c r="C703" s="1" t="n">
        <v>46167</v>
      </c>
      <c r="D703" t="inlineStr">
        <is>
          <t>JÄMTLANDS LÄN</t>
        </is>
      </c>
      <c r="E703" t="inlineStr">
        <is>
          <t>KROKOM</t>
        </is>
      </c>
      <c r="G703" t="n">
        <v>12.3</v>
      </c>
      <c r="H703" t="n">
        <v>0</v>
      </c>
      <c r="I703" t="n">
        <v>0</v>
      </c>
      <c r="J703" t="n">
        <v>0</v>
      </c>
      <c r="K703" t="n">
        <v>0</v>
      </c>
      <c r="L703" t="n">
        <v>0</v>
      </c>
      <c r="M703" t="n">
        <v>0</v>
      </c>
      <c r="N703" t="n">
        <v>0</v>
      </c>
      <c r="O703" t="n">
        <v>0</v>
      </c>
      <c r="P703" t="n">
        <v>0</v>
      </c>
      <c r="Q703" t="n">
        <v>0</v>
      </c>
      <c r="R703" s="2" t="inlineStr"/>
    </row>
    <row r="704" ht="15" customHeight="1">
      <c r="A704" t="inlineStr">
        <is>
          <t>A 280-2025</t>
        </is>
      </c>
      <c r="B704" s="1" t="n">
        <v>45660.49618055556</v>
      </c>
      <c r="C704" s="1" t="n">
        <v>46167</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41700-2024</t>
        </is>
      </c>
      <c r="B705" s="1" t="n">
        <v>45560.69164351852</v>
      </c>
      <c r="C705" s="1" t="n">
        <v>46167</v>
      </c>
      <c r="D705" t="inlineStr">
        <is>
          <t>JÄMTLANDS LÄN</t>
        </is>
      </c>
      <c r="E705" t="inlineStr">
        <is>
          <t>KROKOM</t>
        </is>
      </c>
      <c r="G705" t="n">
        <v>2.2</v>
      </c>
      <c r="H705" t="n">
        <v>0</v>
      </c>
      <c r="I705" t="n">
        <v>0</v>
      </c>
      <c r="J705" t="n">
        <v>0</v>
      </c>
      <c r="K705" t="n">
        <v>0</v>
      </c>
      <c r="L705" t="n">
        <v>0</v>
      </c>
      <c r="M705" t="n">
        <v>0</v>
      </c>
      <c r="N705" t="n">
        <v>0</v>
      </c>
      <c r="O705" t="n">
        <v>0</v>
      </c>
      <c r="P705" t="n">
        <v>0</v>
      </c>
      <c r="Q705" t="n">
        <v>0</v>
      </c>
      <c r="R705" s="2" t="inlineStr"/>
    </row>
    <row r="706" ht="15" customHeight="1">
      <c r="A706" t="inlineStr">
        <is>
          <t>A 53699-2025</t>
        </is>
      </c>
      <c r="B706" s="1" t="n">
        <v>45960.59421296296</v>
      </c>
      <c r="C706" s="1" t="n">
        <v>46167</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49643-2025</t>
        </is>
      </c>
      <c r="B707" s="1" t="n">
        <v>45939</v>
      </c>
      <c r="C707" s="1" t="n">
        <v>46167</v>
      </c>
      <c r="D707" t="inlineStr">
        <is>
          <t>JÄMTLANDS LÄN</t>
        </is>
      </c>
      <c r="E707" t="inlineStr">
        <is>
          <t>KROKOM</t>
        </is>
      </c>
      <c r="G707" t="n">
        <v>3</v>
      </c>
      <c r="H707" t="n">
        <v>0</v>
      </c>
      <c r="I707" t="n">
        <v>0</v>
      </c>
      <c r="J707" t="n">
        <v>0</v>
      </c>
      <c r="K707" t="n">
        <v>0</v>
      </c>
      <c r="L707" t="n">
        <v>0</v>
      </c>
      <c r="M707" t="n">
        <v>0</v>
      </c>
      <c r="N707" t="n">
        <v>0</v>
      </c>
      <c r="O707" t="n">
        <v>0</v>
      </c>
      <c r="P707" t="n">
        <v>0</v>
      </c>
      <c r="Q707" t="n">
        <v>0</v>
      </c>
      <c r="R707" s="2" t="inlineStr"/>
    </row>
    <row r="708" ht="15" customHeight="1">
      <c r="A708" t="inlineStr">
        <is>
          <t>A 35720-2024</t>
        </is>
      </c>
      <c r="B708" s="1" t="n">
        <v>45532.48732638889</v>
      </c>
      <c r="C708" s="1" t="n">
        <v>46167</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54021-2025</t>
        </is>
      </c>
      <c r="B709" s="1" t="n">
        <v>45961</v>
      </c>
      <c r="C709" s="1" t="n">
        <v>46167</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26414-2024</t>
        </is>
      </c>
      <c r="B710" s="1" t="n">
        <v>45469</v>
      </c>
      <c r="C710" s="1" t="n">
        <v>46167</v>
      </c>
      <c r="D710" t="inlineStr">
        <is>
          <t>JÄMTLANDS LÄN</t>
        </is>
      </c>
      <c r="E710" t="inlineStr">
        <is>
          <t>KROKOM</t>
        </is>
      </c>
      <c r="G710" t="n">
        <v>0.8</v>
      </c>
      <c r="H710" t="n">
        <v>0</v>
      </c>
      <c r="I710" t="n">
        <v>0</v>
      </c>
      <c r="J710" t="n">
        <v>0</v>
      </c>
      <c r="K710" t="n">
        <v>0</v>
      </c>
      <c r="L710" t="n">
        <v>0</v>
      </c>
      <c r="M710" t="n">
        <v>0</v>
      </c>
      <c r="N710" t="n">
        <v>0</v>
      </c>
      <c r="O710" t="n">
        <v>0</v>
      </c>
      <c r="P710" t="n">
        <v>0</v>
      </c>
      <c r="Q710" t="n">
        <v>0</v>
      </c>
      <c r="R710" s="2" t="inlineStr"/>
    </row>
    <row r="711" ht="15" customHeight="1">
      <c r="A711" t="inlineStr">
        <is>
          <t>A 56927-2023</t>
        </is>
      </c>
      <c r="B711" s="1" t="n">
        <v>45244</v>
      </c>
      <c r="C711" s="1" t="n">
        <v>46167</v>
      </c>
      <c r="D711" t="inlineStr">
        <is>
          <t>JÄMTLANDS LÄN</t>
        </is>
      </c>
      <c r="E711" t="inlineStr">
        <is>
          <t>KROKOM</t>
        </is>
      </c>
      <c r="G711" t="n">
        <v>14.1</v>
      </c>
      <c r="H711" t="n">
        <v>0</v>
      </c>
      <c r="I711" t="n">
        <v>0</v>
      </c>
      <c r="J711" t="n">
        <v>0</v>
      </c>
      <c r="K711" t="n">
        <v>0</v>
      </c>
      <c r="L711" t="n">
        <v>0</v>
      </c>
      <c r="M711" t="n">
        <v>0</v>
      </c>
      <c r="N711" t="n">
        <v>0</v>
      </c>
      <c r="O711" t="n">
        <v>0</v>
      </c>
      <c r="P711" t="n">
        <v>0</v>
      </c>
      <c r="Q711" t="n">
        <v>0</v>
      </c>
      <c r="R711" s="2" t="inlineStr"/>
    </row>
    <row r="712" ht="15" customHeight="1">
      <c r="A712" t="inlineStr">
        <is>
          <t>A 2782-2025</t>
        </is>
      </c>
      <c r="B712" s="1" t="n">
        <v>45676</v>
      </c>
      <c r="C712" s="1" t="n">
        <v>46167</v>
      </c>
      <c r="D712" t="inlineStr">
        <is>
          <t>JÄMTLANDS LÄN</t>
        </is>
      </c>
      <c r="E712" t="inlineStr">
        <is>
          <t>KROKOM</t>
        </is>
      </c>
      <c r="G712" t="n">
        <v>18.6</v>
      </c>
      <c r="H712" t="n">
        <v>0</v>
      </c>
      <c r="I712" t="n">
        <v>0</v>
      </c>
      <c r="J712" t="n">
        <v>0</v>
      </c>
      <c r="K712" t="n">
        <v>0</v>
      </c>
      <c r="L712" t="n">
        <v>0</v>
      </c>
      <c r="M712" t="n">
        <v>0</v>
      </c>
      <c r="N712" t="n">
        <v>0</v>
      </c>
      <c r="O712" t="n">
        <v>0</v>
      </c>
      <c r="P712" t="n">
        <v>0</v>
      </c>
      <c r="Q712" t="n">
        <v>0</v>
      </c>
      <c r="R712" s="2" t="inlineStr"/>
    </row>
    <row r="713" ht="15" customHeight="1">
      <c r="A713" t="inlineStr">
        <is>
          <t>A 22258-2024</t>
        </is>
      </c>
      <c r="B713" s="1" t="n">
        <v>45446.47634259259</v>
      </c>
      <c r="C713" s="1" t="n">
        <v>46167</v>
      </c>
      <c r="D713" t="inlineStr">
        <is>
          <t>JÄMTLANDS LÄN</t>
        </is>
      </c>
      <c r="E713" t="inlineStr">
        <is>
          <t>KROKOM</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55062-2025</t>
        </is>
      </c>
      <c r="B714" s="1" t="n">
        <v>45967.69768518519</v>
      </c>
      <c r="C714" s="1" t="n">
        <v>46167</v>
      </c>
      <c r="D714" t="inlineStr">
        <is>
          <t>JÄMTLANDS LÄN</t>
        </is>
      </c>
      <c r="E714" t="inlineStr">
        <is>
          <t>KROKOM</t>
        </is>
      </c>
      <c r="F714" t="inlineStr">
        <is>
          <t>Kyrkan</t>
        </is>
      </c>
      <c r="G714" t="n">
        <v>2.3</v>
      </c>
      <c r="H714" t="n">
        <v>0</v>
      </c>
      <c r="I714" t="n">
        <v>0</v>
      </c>
      <c r="J714" t="n">
        <v>0</v>
      </c>
      <c r="K714" t="n">
        <v>0</v>
      </c>
      <c r="L714" t="n">
        <v>0</v>
      </c>
      <c r="M714" t="n">
        <v>0</v>
      </c>
      <c r="N714" t="n">
        <v>0</v>
      </c>
      <c r="O714" t="n">
        <v>0</v>
      </c>
      <c r="P714" t="n">
        <v>0</v>
      </c>
      <c r="Q714" t="n">
        <v>0</v>
      </c>
      <c r="R714" s="2" t="inlineStr"/>
    </row>
    <row r="715" ht="15" customHeight="1">
      <c r="A715" t="inlineStr">
        <is>
          <t>A 54706-2025</t>
        </is>
      </c>
      <c r="B715" s="1" t="n">
        <v>45966.48873842593</v>
      </c>
      <c r="C715" s="1" t="n">
        <v>46167</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54787-2025</t>
        </is>
      </c>
      <c r="B716" s="1" t="n">
        <v>45966.62802083333</v>
      </c>
      <c r="C716" s="1" t="n">
        <v>46167</v>
      </c>
      <c r="D716" t="inlineStr">
        <is>
          <t>JÄMTLANDS LÄN</t>
        </is>
      </c>
      <c r="E716" t="inlineStr">
        <is>
          <t>KROKOM</t>
        </is>
      </c>
      <c r="G716" t="n">
        <v>8.9</v>
      </c>
      <c r="H716" t="n">
        <v>0</v>
      </c>
      <c r="I716" t="n">
        <v>0</v>
      </c>
      <c r="J716" t="n">
        <v>0</v>
      </c>
      <c r="K716" t="n">
        <v>0</v>
      </c>
      <c r="L716" t="n">
        <v>0</v>
      </c>
      <c r="M716" t="n">
        <v>0</v>
      </c>
      <c r="N716" t="n">
        <v>0</v>
      </c>
      <c r="O716" t="n">
        <v>0</v>
      </c>
      <c r="P716" t="n">
        <v>0</v>
      </c>
      <c r="Q716" t="n">
        <v>0</v>
      </c>
      <c r="R716" s="2" t="inlineStr"/>
    </row>
    <row r="717" ht="15" customHeight="1">
      <c r="A717" t="inlineStr">
        <is>
          <t>A 54740-2025</t>
        </is>
      </c>
      <c r="B717" s="1" t="n">
        <v>45966.57206018519</v>
      </c>
      <c r="C717" s="1" t="n">
        <v>46167</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61742-2024</t>
        </is>
      </c>
      <c r="B718" s="1" t="n">
        <v>45649.38149305555</v>
      </c>
      <c r="C718" s="1" t="n">
        <v>46167</v>
      </c>
      <c r="D718" t="inlineStr">
        <is>
          <t>JÄMTLANDS LÄN</t>
        </is>
      </c>
      <c r="E718" t="inlineStr">
        <is>
          <t>KROKOM</t>
        </is>
      </c>
      <c r="G718" t="n">
        <v>13.3</v>
      </c>
      <c r="H718" t="n">
        <v>0</v>
      </c>
      <c r="I718" t="n">
        <v>0</v>
      </c>
      <c r="J718" t="n">
        <v>0</v>
      </c>
      <c r="K718" t="n">
        <v>0</v>
      </c>
      <c r="L718" t="n">
        <v>0</v>
      </c>
      <c r="M718" t="n">
        <v>0</v>
      </c>
      <c r="N718" t="n">
        <v>0</v>
      </c>
      <c r="O718" t="n">
        <v>0</v>
      </c>
      <c r="P718" t="n">
        <v>0</v>
      </c>
      <c r="Q718" t="n">
        <v>0</v>
      </c>
      <c r="R718" s="2" t="inlineStr"/>
    </row>
    <row r="719" ht="15" customHeight="1">
      <c r="A719" t="inlineStr">
        <is>
          <t>A 54895-2025</t>
        </is>
      </c>
      <c r="B719" s="1" t="n">
        <v>45967.36524305555</v>
      </c>
      <c r="C719" s="1" t="n">
        <v>46167</v>
      </c>
      <c r="D719" t="inlineStr">
        <is>
          <t>JÄMTLANDS LÄN</t>
        </is>
      </c>
      <c r="E719" t="inlineStr">
        <is>
          <t>KROKOM</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54714-2025</t>
        </is>
      </c>
      <c r="B720" s="1" t="n">
        <v>45966.50523148148</v>
      </c>
      <c r="C720" s="1" t="n">
        <v>46167</v>
      </c>
      <c r="D720" t="inlineStr">
        <is>
          <t>JÄMTLANDS LÄN</t>
        </is>
      </c>
      <c r="E720" t="inlineStr">
        <is>
          <t>KROKOM</t>
        </is>
      </c>
      <c r="G720" t="n">
        <v>0.9</v>
      </c>
      <c r="H720" t="n">
        <v>0</v>
      </c>
      <c r="I720" t="n">
        <v>0</v>
      </c>
      <c r="J720" t="n">
        <v>0</v>
      </c>
      <c r="K720" t="n">
        <v>0</v>
      </c>
      <c r="L720" t="n">
        <v>0</v>
      </c>
      <c r="M720" t="n">
        <v>0</v>
      </c>
      <c r="N720" t="n">
        <v>0</v>
      </c>
      <c r="O720" t="n">
        <v>0</v>
      </c>
      <c r="P720" t="n">
        <v>0</v>
      </c>
      <c r="Q720" t="n">
        <v>0</v>
      </c>
      <c r="R720" s="2" t="inlineStr"/>
    </row>
    <row r="721" ht="15" customHeight="1">
      <c r="A721" t="inlineStr">
        <is>
          <t>A 54933-2025</t>
        </is>
      </c>
      <c r="B721" s="1" t="n">
        <v>45967.42778935185</v>
      </c>
      <c r="C721" s="1" t="n">
        <v>46167</v>
      </c>
      <c r="D721" t="inlineStr">
        <is>
          <t>JÄMTLANDS LÄN</t>
        </is>
      </c>
      <c r="E721" t="inlineStr">
        <is>
          <t>KROKOM</t>
        </is>
      </c>
      <c r="F721" t="inlineStr">
        <is>
          <t>SCA</t>
        </is>
      </c>
      <c r="G721" t="n">
        <v>12.8</v>
      </c>
      <c r="H721" t="n">
        <v>0</v>
      </c>
      <c r="I721" t="n">
        <v>0</v>
      </c>
      <c r="J721" t="n">
        <v>0</v>
      </c>
      <c r="K721" t="n">
        <v>0</v>
      </c>
      <c r="L721" t="n">
        <v>0</v>
      </c>
      <c r="M721" t="n">
        <v>0</v>
      </c>
      <c r="N721" t="n">
        <v>0</v>
      </c>
      <c r="O721" t="n">
        <v>0</v>
      </c>
      <c r="P721" t="n">
        <v>0</v>
      </c>
      <c r="Q721" t="n">
        <v>0</v>
      </c>
      <c r="R721" s="2" t="inlineStr"/>
    </row>
    <row r="722" ht="15" customHeight="1">
      <c r="A722" t="inlineStr">
        <is>
          <t>A 4355-2024</t>
        </is>
      </c>
      <c r="B722" s="1" t="n">
        <v>45324</v>
      </c>
      <c r="C722" s="1" t="n">
        <v>46167</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54806-2025</t>
        </is>
      </c>
      <c r="B723" s="1" t="n">
        <v>45966.6437037037</v>
      </c>
      <c r="C723" s="1" t="n">
        <v>46167</v>
      </c>
      <c r="D723" t="inlineStr">
        <is>
          <t>JÄMTLANDS LÄN</t>
        </is>
      </c>
      <c r="E723" t="inlineStr">
        <is>
          <t>KROKOM</t>
        </is>
      </c>
      <c r="G723" t="n">
        <v>3.9</v>
      </c>
      <c r="H723" t="n">
        <v>0</v>
      </c>
      <c r="I723" t="n">
        <v>0</v>
      </c>
      <c r="J723" t="n">
        <v>0</v>
      </c>
      <c r="K723" t="n">
        <v>0</v>
      </c>
      <c r="L723" t="n">
        <v>0</v>
      </c>
      <c r="M723" t="n">
        <v>0</v>
      </c>
      <c r="N723" t="n">
        <v>0</v>
      </c>
      <c r="O723" t="n">
        <v>0</v>
      </c>
      <c r="P723" t="n">
        <v>0</v>
      </c>
      <c r="Q723" t="n">
        <v>0</v>
      </c>
      <c r="R723" s="2" t="inlineStr"/>
    </row>
    <row r="724" ht="15" customHeight="1">
      <c r="A724" t="inlineStr">
        <is>
          <t>A 54639-2025</t>
        </is>
      </c>
      <c r="B724" s="1" t="n">
        <v>45966</v>
      </c>
      <c r="C724" s="1" t="n">
        <v>46167</v>
      </c>
      <c r="D724" t="inlineStr">
        <is>
          <t>JÄMTLANDS LÄN</t>
        </is>
      </c>
      <c r="E724" t="inlineStr">
        <is>
          <t>KROKOM</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15209-2025</t>
        </is>
      </c>
      <c r="B725" s="1" t="n">
        <v>45744</v>
      </c>
      <c r="C725" s="1" t="n">
        <v>46167</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54821-2025</t>
        </is>
      </c>
      <c r="B726" s="1" t="n">
        <v>45966.6591087963</v>
      </c>
      <c r="C726" s="1" t="n">
        <v>46167</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55060-2025</t>
        </is>
      </c>
      <c r="B727" s="1" t="n">
        <v>45967.68814814815</v>
      </c>
      <c r="C727" s="1" t="n">
        <v>46167</v>
      </c>
      <c r="D727" t="inlineStr">
        <is>
          <t>JÄMTLANDS LÄN</t>
        </is>
      </c>
      <c r="E727" t="inlineStr">
        <is>
          <t>KROKOM</t>
        </is>
      </c>
      <c r="F727" t="inlineStr">
        <is>
          <t>Kyrkan</t>
        </is>
      </c>
      <c r="G727" t="n">
        <v>59.7</v>
      </c>
      <c r="H727" t="n">
        <v>0</v>
      </c>
      <c r="I727" t="n">
        <v>0</v>
      </c>
      <c r="J727" t="n">
        <v>0</v>
      </c>
      <c r="K727" t="n">
        <v>0</v>
      </c>
      <c r="L727" t="n">
        <v>0</v>
      </c>
      <c r="M727" t="n">
        <v>0</v>
      </c>
      <c r="N727" t="n">
        <v>0</v>
      </c>
      <c r="O727" t="n">
        <v>0</v>
      </c>
      <c r="P727" t="n">
        <v>0</v>
      </c>
      <c r="Q727" t="n">
        <v>0</v>
      </c>
      <c r="R727" s="2" t="inlineStr"/>
    </row>
    <row r="728" ht="15" customHeight="1">
      <c r="A728" t="inlineStr">
        <is>
          <t>A 46644-2022</t>
        </is>
      </c>
      <c r="B728" s="1" t="n">
        <v>44849.8044212963</v>
      </c>
      <c r="C728" s="1" t="n">
        <v>46167</v>
      </c>
      <c r="D728" t="inlineStr">
        <is>
          <t>JÄMTLANDS LÄN</t>
        </is>
      </c>
      <c r="E728" t="inlineStr">
        <is>
          <t>KROKOM</t>
        </is>
      </c>
      <c r="G728" t="n">
        <v>4.2</v>
      </c>
      <c r="H728" t="n">
        <v>0</v>
      </c>
      <c r="I728" t="n">
        <v>0</v>
      </c>
      <c r="J728" t="n">
        <v>0</v>
      </c>
      <c r="K728" t="n">
        <v>0</v>
      </c>
      <c r="L728" t="n">
        <v>0</v>
      </c>
      <c r="M728" t="n">
        <v>0</v>
      </c>
      <c r="N728" t="n">
        <v>0</v>
      </c>
      <c r="O728" t="n">
        <v>0</v>
      </c>
      <c r="P728" t="n">
        <v>0</v>
      </c>
      <c r="Q728" t="n">
        <v>0</v>
      </c>
      <c r="R728" s="2" t="inlineStr"/>
    </row>
    <row r="729" ht="15" customHeight="1">
      <c r="A729" t="inlineStr">
        <is>
          <t>A 54641-2025</t>
        </is>
      </c>
      <c r="B729" s="1" t="n">
        <v>45966.36547453704</v>
      </c>
      <c r="C729" s="1" t="n">
        <v>46167</v>
      </c>
      <c r="D729" t="inlineStr">
        <is>
          <t>JÄMTLANDS LÄN</t>
        </is>
      </c>
      <c r="E729" t="inlineStr">
        <is>
          <t>KROKOM</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54791-2025</t>
        </is>
      </c>
      <c r="B730" s="1" t="n">
        <v>45966.63326388889</v>
      </c>
      <c r="C730" s="1" t="n">
        <v>46167</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55236-2025</t>
        </is>
      </c>
      <c r="B731" s="1" t="n">
        <v>45968.61451388889</v>
      </c>
      <c r="C731" s="1" t="n">
        <v>46167</v>
      </c>
      <c r="D731" t="inlineStr">
        <is>
          <t>JÄMTLANDS LÄN</t>
        </is>
      </c>
      <c r="E731" t="inlineStr">
        <is>
          <t>KROKOM</t>
        </is>
      </c>
      <c r="G731" t="n">
        <v>14.3</v>
      </c>
      <c r="H731" t="n">
        <v>0</v>
      </c>
      <c r="I731" t="n">
        <v>0</v>
      </c>
      <c r="J731" t="n">
        <v>0</v>
      </c>
      <c r="K731" t="n">
        <v>0</v>
      </c>
      <c r="L731" t="n">
        <v>0</v>
      </c>
      <c r="M731" t="n">
        <v>0</v>
      </c>
      <c r="N731" t="n">
        <v>0</v>
      </c>
      <c r="O731" t="n">
        <v>0</v>
      </c>
      <c r="P731" t="n">
        <v>0</v>
      </c>
      <c r="Q731" t="n">
        <v>0</v>
      </c>
      <c r="R731" s="2" t="inlineStr"/>
    </row>
    <row r="732" ht="15" customHeight="1">
      <c r="A732" t="inlineStr">
        <is>
          <t>A 36929-2024</t>
        </is>
      </c>
      <c r="B732" s="1" t="n">
        <v>45538.68200231482</v>
      </c>
      <c r="C732" s="1" t="n">
        <v>46167</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55564-2025</t>
        </is>
      </c>
      <c r="B733" s="1" t="n">
        <v>45971.65542824074</v>
      </c>
      <c r="C733" s="1" t="n">
        <v>46167</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55400-2025</t>
        </is>
      </c>
      <c r="B734" s="1" t="n">
        <v>45971.44931712963</v>
      </c>
      <c r="C734" s="1" t="n">
        <v>46167</v>
      </c>
      <c r="D734" t="inlineStr">
        <is>
          <t>JÄMTLANDS LÄN</t>
        </is>
      </c>
      <c r="E734" t="inlineStr">
        <is>
          <t>KROKOM</t>
        </is>
      </c>
      <c r="G734" t="n">
        <v>5.3</v>
      </c>
      <c r="H734" t="n">
        <v>0</v>
      </c>
      <c r="I734" t="n">
        <v>0</v>
      </c>
      <c r="J734" t="n">
        <v>0</v>
      </c>
      <c r="K734" t="n">
        <v>0</v>
      </c>
      <c r="L734" t="n">
        <v>0</v>
      </c>
      <c r="M734" t="n">
        <v>0</v>
      </c>
      <c r="N734" t="n">
        <v>0</v>
      </c>
      <c r="O734" t="n">
        <v>0</v>
      </c>
      <c r="P734" t="n">
        <v>0</v>
      </c>
      <c r="Q734" t="n">
        <v>0</v>
      </c>
      <c r="R734" s="2" t="inlineStr"/>
    </row>
    <row r="735" ht="15" customHeight="1">
      <c r="A735" t="inlineStr">
        <is>
          <t>A 40219-2024</t>
        </is>
      </c>
      <c r="B735" s="1" t="n">
        <v>45554.59538194445</v>
      </c>
      <c r="C735" s="1" t="n">
        <v>46167</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16199-2025</t>
        </is>
      </c>
      <c r="B736" s="1" t="n">
        <v>45750.60577546297</v>
      </c>
      <c r="C736" s="1" t="n">
        <v>46167</v>
      </c>
      <c r="D736" t="inlineStr">
        <is>
          <t>JÄMTLANDS LÄN</t>
        </is>
      </c>
      <c r="E736" t="inlineStr">
        <is>
          <t>KROKOM</t>
        </is>
      </c>
      <c r="G736" t="n">
        <v>0.5</v>
      </c>
      <c r="H736" t="n">
        <v>0</v>
      </c>
      <c r="I736" t="n">
        <v>0</v>
      </c>
      <c r="J736" t="n">
        <v>0</v>
      </c>
      <c r="K736" t="n">
        <v>0</v>
      </c>
      <c r="L736" t="n">
        <v>0</v>
      </c>
      <c r="M736" t="n">
        <v>0</v>
      </c>
      <c r="N736" t="n">
        <v>0</v>
      </c>
      <c r="O736" t="n">
        <v>0</v>
      </c>
      <c r="P736" t="n">
        <v>0</v>
      </c>
      <c r="Q736" t="n">
        <v>0</v>
      </c>
      <c r="R736" s="2" t="inlineStr"/>
    </row>
    <row r="737" ht="15" customHeight="1">
      <c r="A737" t="inlineStr">
        <is>
          <t>A 41675-2024</t>
        </is>
      </c>
      <c r="B737" s="1" t="n">
        <v>45560.6599537037</v>
      </c>
      <c r="C737" s="1" t="n">
        <v>46167</v>
      </c>
      <c r="D737" t="inlineStr">
        <is>
          <t>JÄMTLANDS LÄN</t>
        </is>
      </c>
      <c r="E737" t="inlineStr">
        <is>
          <t>KROKOM</t>
        </is>
      </c>
      <c r="G737" t="n">
        <v>7</v>
      </c>
      <c r="H737" t="n">
        <v>0</v>
      </c>
      <c r="I737" t="n">
        <v>0</v>
      </c>
      <c r="J737" t="n">
        <v>0</v>
      </c>
      <c r="K737" t="n">
        <v>0</v>
      </c>
      <c r="L737" t="n">
        <v>0</v>
      </c>
      <c r="M737" t="n">
        <v>0</v>
      </c>
      <c r="N737" t="n">
        <v>0</v>
      </c>
      <c r="O737" t="n">
        <v>0</v>
      </c>
      <c r="P737" t="n">
        <v>0</v>
      </c>
      <c r="Q737" t="n">
        <v>0</v>
      </c>
      <c r="R737" s="2" t="inlineStr"/>
    </row>
    <row r="738" ht="15" customHeight="1">
      <c r="A738" t="inlineStr">
        <is>
          <t>A 55517-2025</t>
        </is>
      </c>
      <c r="B738" s="1" t="n">
        <v>45971.60344907407</v>
      </c>
      <c r="C738" s="1" t="n">
        <v>46167</v>
      </c>
      <c r="D738" t="inlineStr">
        <is>
          <t>JÄMTLANDS LÄN</t>
        </is>
      </c>
      <c r="E738" t="inlineStr">
        <is>
          <t>KROKOM</t>
        </is>
      </c>
      <c r="G738" t="n">
        <v>13.3</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46167</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c r="U739">
        <f>HYPERLINK("https://klasma.github.io/Logging_2309/knärot/A 11591-2022 karta knärot.png", "A 11591-2022")</f>
        <v/>
      </c>
      <c r="V739">
        <f>HYPERLINK("https://klasma.github.io/Logging_2309/klagomål/A 11591-2022 FSC-klagomål.docx", "A 11591-2022")</f>
        <v/>
      </c>
      <c r="W739">
        <f>HYPERLINK("https://klasma.github.io/Logging_2309/klagomålsmail/A 11591-2022 FSC-klagomål mail.docx", "A 11591-2022")</f>
        <v/>
      </c>
      <c r="X739">
        <f>HYPERLINK("https://klasma.github.io/Logging_2309/tillsyn/A 11591-2022 tillsynsbegäran.docx", "A 11591-2022")</f>
        <v/>
      </c>
      <c r="Y739">
        <f>HYPERLINK("https://klasma.github.io/Logging_2309/tillsynsmail/A 11591-2022 tillsynsbegäran mail.docx", "A 11591-2022")</f>
        <v/>
      </c>
    </row>
    <row r="740" ht="15" customHeight="1">
      <c r="A740" t="inlineStr">
        <is>
          <t>A 20174-2025</t>
        </is>
      </c>
      <c r="B740" s="1" t="n">
        <v>45772.58283564815</v>
      </c>
      <c r="C740" s="1" t="n">
        <v>46167</v>
      </c>
      <c r="D740" t="inlineStr">
        <is>
          <t>JÄMTLANDS LÄN</t>
        </is>
      </c>
      <c r="E740" t="inlineStr">
        <is>
          <t>KROKOM</t>
        </is>
      </c>
      <c r="G740" t="n">
        <v>47</v>
      </c>
      <c r="H740" t="n">
        <v>0</v>
      </c>
      <c r="I740" t="n">
        <v>0</v>
      </c>
      <c r="J740" t="n">
        <v>0</v>
      </c>
      <c r="K740" t="n">
        <v>0</v>
      </c>
      <c r="L740" t="n">
        <v>0</v>
      </c>
      <c r="M740" t="n">
        <v>0</v>
      </c>
      <c r="N740" t="n">
        <v>0</v>
      </c>
      <c r="O740" t="n">
        <v>0</v>
      </c>
      <c r="P740" t="n">
        <v>0</v>
      </c>
      <c r="Q740" t="n">
        <v>0</v>
      </c>
      <c r="R740" s="2" t="inlineStr"/>
    </row>
    <row r="741" ht="15" customHeight="1">
      <c r="A741" t="inlineStr">
        <is>
          <t>A 20181-2025</t>
        </is>
      </c>
      <c r="B741" s="1" t="n">
        <v>45772.59200231481</v>
      </c>
      <c r="C741" s="1" t="n">
        <v>46167</v>
      </c>
      <c r="D741" t="inlineStr">
        <is>
          <t>JÄMTLANDS LÄN</t>
        </is>
      </c>
      <c r="E741" t="inlineStr">
        <is>
          <t>KROKOM</t>
        </is>
      </c>
      <c r="G741" t="n">
        <v>2.1</v>
      </c>
      <c r="H741" t="n">
        <v>0</v>
      </c>
      <c r="I741" t="n">
        <v>0</v>
      </c>
      <c r="J741" t="n">
        <v>0</v>
      </c>
      <c r="K741" t="n">
        <v>0</v>
      </c>
      <c r="L741" t="n">
        <v>0</v>
      </c>
      <c r="M741" t="n">
        <v>0</v>
      </c>
      <c r="N741" t="n">
        <v>0</v>
      </c>
      <c r="O741" t="n">
        <v>0</v>
      </c>
      <c r="P741" t="n">
        <v>0</v>
      </c>
      <c r="Q741" t="n">
        <v>0</v>
      </c>
      <c r="R741" s="2" t="inlineStr"/>
    </row>
    <row r="742" ht="15" customHeight="1">
      <c r="A742" t="inlineStr">
        <is>
          <t>A 20210-2025</t>
        </is>
      </c>
      <c r="B742" s="1" t="n">
        <v>45772.62052083333</v>
      </c>
      <c r="C742" s="1" t="n">
        <v>46167</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5920-2025</t>
        </is>
      </c>
      <c r="B743" s="1" t="n">
        <v>45695.42418981482</v>
      </c>
      <c r="C743" s="1" t="n">
        <v>46167</v>
      </c>
      <c r="D743" t="inlineStr">
        <is>
          <t>JÄMTLANDS LÄN</t>
        </is>
      </c>
      <c r="E743" t="inlineStr">
        <is>
          <t>KROKOM</t>
        </is>
      </c>
      <c r="F743" t="inlineStr">
        <is>
          <t>Övriga Aktiebolag</t>
        </is>
      </c>
      <c r="G743" t="n">
        <v>6.8</v>
      </c>
      <c r="H743" t="n">
        <v>0</v>
      </c>
      <c r="I743" t="n">
        <v>0</v>
      </c>
      <c r="J743" t="n">
        <v>0</v>
      </c>
      <c r="K743" t="n">
        <v>0</v>
      </c>
      <c r="L743" t="n">
        <v>0</v>
      </c>
      <c r="M743" t="n">
        <v>0</v>
      </c>
      <c r="N743" t="n">
        <v>0</v>
      </c>
      <c r="O743" t="n">
        <v>0</v>
      </c>
      <c r="P743" t="n">
        <v>0</v>
      </c>
      <c r="Q743" t="n">
        <v>0</v>
      </c>
      <c r="R743" s="2" t="inlineStr"/>
    </row>
    <row r="744" ht="15" customHeight="1">
      <c r="A744" t="inlineStr">
        <is>
          <t>A 56095-2025</t>
        </is>
      </c>
      <c r="B744" s="1" t="n">
        <v>45973.67952546296</v>
      </c>
      <c r="C744" s="1" t="n">
        <v>46167</v>
      </c>
      <c r="D744" t="inlineStr">
        <is>
          <t>JÄMTLANDS LÄN</t>
        </is>
      </c>
      <c r="E744" t="inlineStr">
        <is>
          <t>KROKOM</t>
        </is>
      </c>
      <c r="G744" t="n">
        <v>3.3</v>
      </c>
      <c r="H744" t="n">
        <v>0</v>
      </c>
      <c r="I744" t="n">
        <v>0</v>
      </c>
      <c r="J744" t="n">
        <v>0</v>
      </c>
      <c r="K744" t="n">
        <v>0</v>
      </c>
      <c r="L744" t="n">
        <v>0</v>
      </c>
      <c r="M744" t="n">
        <v>0</v>
      </c>
      <c r="N744" t="n">
        <v>0</v>
      </c>
      <c r="O744" t="n">
        <v>0</v>
      </c>
      <c r="P744" t="n">
        <v>0</v>
      </c>
      <c r="Q744" t="n">
        <v>0</v>
      </c>
      <c r="R744" s="2" t="inlineStr"/>
    </row>
    <row r="745" ht="15" customHeight="1">
      <c r="A745" t="inlineStr">
        <is>
          <t>A 55782-2025</t>
        </is>
      </c>
      <c r="B745" s="1" t="n">
        <v>45972.63504629629</v>
      </c>
      <c r="C745" s="1" t="n">
        <v>46167</v>
      </c>
      <c r="D745" t="inlineStr">
        <is>
          <t>JÄMTLANDS LÄN</t>
        </is>
      </c>
      <c r="E745" t="inlineStr">
        <is>
          <t>KROKOM</t>
        </is>
      </c>
      <c r="F745" t="inlineStr">
        <is>
          <t>Övriga Aktiebolag</t>
        </is>
      </c>
      <c r="G745" t="n">
        <v>10</v>
      </c>
      <c r="H745" t="n">
        <v>0</v>
      </c>
      <c r="I745" t="n">
        <v>0</v>
      </c>
      <c r="J745" t="n">
        <v>0</v>
      </c>
      <c r="K745" t="n">
        <v>0</v>
      </c>
      <c r="L745" t="n">
        <v>0</v>
      </c>
      <c r="M745" t="n">
        <v>0</v>
      </c>
      <c r="N745" t="n">
        <v>0</v>
      </c>
      <c r="O745" t="n">
        <v>0</v>
      </c>
      <c r="P745" t="n">
        <v>0</v>
      </c>
      <c r="Q745" t="n">
        <v>0</v>
      </c>
      <c r="R745" s="2" t="inlineStr"/>
    </row>
    <row r="746" ht="15" customHeight="1">
      <c r="A746" t="inlineStr">
        <is>
          <t>A 56087-2025</t>
        </is>
      </c>
      <c r="B746" s="1" t="n">
        <v>45973.6665625</v>
      </c>
      <c r="C746" s="1" t="n">
        <v>46167</v>
      </c>
      <c r="D746" t="inlineStr">
        <is>
          <t>JÄMTLANDS LÄN</t>
        </is>
      </c>
      <c r="E746" t="inlineStr">
        <is>
          <t>KROKOM</t>
        </is>
      </c>
      <c r="G746" t="n">
        <v>2.1</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46167</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56038-2025</t>
        </is>
      </c>
      <c r="B748" s="1" t="n">
        <v>45973.61100694445</v>
      </c>
      <c r="C748" s="1" t="n">
        <v>46167</v>
      </c>
      <c r="D748" t="inlineStr">
        <is>
          <t>JÄMTLANDS LÄN</t>
        </is>
      </c>
      <c r="E748" t="inlineStr">
        <is>
          <t>KROKOM</t>
        </is>
      </c>
      <c r="G748" t="n">
        <v>2.2</v>
      </c>
      <c r="H748" t="n">
        <v>0</v>
      </c>
      <c r="I748" t="n">
        <v>0</v>
      </c>
      <c r="J748" t="n">
        <v>0</v>
      </c>
      <c r="K748" t="n">
        <v>0</v>
      </c>
      <c r="L748" t="n">
        <v>0</v>
      </c>
      <c r="M748" t="n">
        <v>0</v>
      </c>
      <c r="N748" t="n">
        <v>0</v>
      </c>
      <c r="O748" t="n">
        <v>0</v>
      </c>
      <c r="P748" t="n">
        <v>0</v>
      </c>
      <c r="Q748" t="n">
        <v>0</v>
      </c>
      <c r="R748" s="2" t="inlineStr"/>
    </row>
    <row r="749" ht="15" customHeight="1">
      <c r="A749" t="inlineStr">
        <is>
          <t>A 56432-2025</t>
        </is>
      </c>
      <c r="B749" s="1" t="n">
        <v>45975.34650462963</v>
      </c>
      <c r="C749" s="1" t="n">
        <v>46167</v>
      </c>
      <c r="D749" t="inlineStr">
        <is>
          <t>JÄMTLANDS LÄN</t>
        </is>
      </c>
      <c r="E749" t="inlineStr">
        <is>
          <t>KROKOM</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56177-2025</t>
        </is>
      </c>
      <c r="B750" s="1" t="n">
        <v>45974.39988425926</v>
      </c>
      <c r="C750" s="1" t="n">
        <v>46167</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10588-2025</t>
        </is>
      </c>
      <c r="B751" s="1" t="n">
        <v>45721.55653935186</v>
      </c>
      <c r="C751" s="1" t="n">
        <v>46167</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17840-2025</t>
        </is>
      </c>
      <c r="B752" s="1" t="n">
        <v>45758.58943287037</v>
      </c>
      <c r="C752" s="1" t="n">
        <v>46167</v>
      </c>
      <c r="D752" t="inlineStr">
        <is>
          <t>JÄMTLANDS LÄN</t>
        </is>
      </c>
      <c r="E752" t="inlineStr">
        <is>
          <t>KROKOM</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56433-2025</t>
        </is>
      </c>
      <c r="B753" s="1" t="n">
        <v>45975.34655092593</v>
      </c>
      <c r="C753" s="1" t="n">
        <v>46167</v>
      </c>
      <c r="D753" t="inlineStr">
        <is>
          <t>JÄMTLANDS LÄN</t>
        </is>
      </c>
      <c r="E753" t="inlineStr">
        <is>
          <t>KROKOM</t>
        </is>
      </c>
      <c r="F753" t="inlineStr">
        <is>
          <t>SCA</t>
        </is>
      </c>
      <c r="G753" t="n">
        <v>6.5</v>
      </c>
      <c r="H753" t="n">
        <v>0</v>
      </c>
      <c r="I753" t="n">
        <v>0</v>
      </c>
      <c r="J753" t="n">
        <v>0</v>
      </c>
      <c r="K753" t="n">
        <v>0</v>
      </c>
      <c r="L753" t="n">
        <v>0</v>
      </c>
      <c r="M753" t="n">
        <v>0</v>
      </c>
      <c r="N753" t="n">
        <v>0</v>
      </c>
      <c r="O753" t="n">
        <v>0</v>
      </c>
      <c r="P753" t="n">
        <v>0</v>
      </c>
      <c r="Q753" t="n">
        <v>0</v>
      </c>
      <c r="R753" s="2" t="inlineStr"/>
    </row>
    <row r="754" ht="15" customHeight="1">
      <c r="A754" t="inlineStr">
        <is>
          <t>A 56636-2025</t>
        </is>
      </c>
      <c r="B754" s="1" t="n">
        <v>45975.61663194445</v>
      </c>
      <c r="C754" s="1" t="n">
        <v>46167</v>
      </c>
      <c r="D754" t="inlineStr">
        <is>
          <t>JÄMTLANDS LÄN</t>
        </is>
      </c>
      <c r="E754" t="inlineStr">
        <is>
          <t>KROKOM</t>
        </is>
      </c>
      <c r="F754" t="inlineStr">
        <is>
          <t>SCA</t>
        </is>
      </c>
      <c r="G754" t="n">
        <v>37.5</v>
      </c>
      <c r="H754" t="n">
        <v>0</v>
      </c>
      <c r="I754" t="n">
        <v>0</v>
      </c>
      <c r="J754" t="n">
        <v>0</v>
      </c>
      <c r="K754" t="n">
        <v>0</v>
      </c>
      <c r="L754" t="n">
        <v>0</v>
      </c>
      <c r="M754" t="n">
        <v>0</v>
      </c>
      <c r="N754" t="n">
        <v>0</v>
      </c>
      <c r="O754" t="n">
        <v>0</v>
      </c>
      <c r="P754" t="n">
        <v>0</v>
      </c>
      <c r="Q754" t="n">
        <v>0</v>
      </c>
      <c r="R754" s="2" t="inlineStr"/>
    </row>
    <row r="755" ht="15" customHeight="1">
      <c r="A755" t="inlineStr">
        <is>
          <t>A 56892-2025</t>
        </is>
      </c>
      <c r="B755" s="1" t="n">
        <v>45978.56626157407</v>
      </c>
      <c r="C755" s="1" t="n">
        <v>46167</v>
      </c>
      <c r="D755" t="inlineStr">
        <is>
          <t>JÄMTLANDS LÄN</t>
        </is>
      </c>
      <c r="E755" t="inlineStr">
        <is>
          <t>KROKOM</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56900-2025</t>
        </is>
      </c>
      <c r="B756" s="1" t="n">
        <v>45978.57273148148</v>
      </c>
      <c r="C756" s="1" t="n">
        <v>46167</v>
      </c>
      <c r="D756" t="inlineStr">
        <is>
          <t>JÄMTLANDS LÄN</t>
        </is>
      </c>
      <c r="E756" t="inlineStr">
        <is>
          <t>KROKOM</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18826-2023</t>
        </is>
      </c>
      <c r="B757" s="1" t="n">
        <v>45042</v>
      </c>
      <c r="C757" s="1" t="n">
        <v>46167</v>
      </c>
      <c r="D757" t="inlineStr">
        <is>
          <t>JÄMTLANDS LÄN</t>
        </is>
      </c>
      <c r="E757" t="inlineStr">
        <is>
          <t>KROKOM</t>
        </is>
      </c>
      <c r="G757" t="n">
        <v>17.1</v>
      </c>
      <c r="H757" t="n">
        <v>0</v>
      </c>
      <c r="I757" t="n">
        <v>0</v>
      </c>
      <c r="J757" t="n">
        <v>0</v>
      </c>
      <c r="K757" t="n">
        <v>0</v>
      </c>
      <c r="L757" t="n">
        <v>0</v>
      </c>
      <c r="M757" t="n">
        <v>0</v>
      </c>
      <c r="N757" t="n">
        <v>0</v>
      </c>
      <c r="O757" t="n">
        <v>0</v>
      </c>
      <c r="P757" t="n">
        <v>0</v>
      </c>
      <c r="Q757" t="n">
        <v>0</v>
      </c>
      <c r="R757" s="2" t="inlineStr"/>
    </row>
    <row r="758" ht="15" customHeight="1">
      <c r="A758" t="inlineStr">
        <is>
          <t>A 54817-2024</t>
        </is>
      </c>
      <c r="B758" s="1" t="n">
        <v>45618.53126157408</v>
      </c>
      <c r="C758" s="1" t="n">
        <v>46167</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54823-2024</t>
        </is>
      </c>
      <c r="B759" s="1" t="n">
        <v>45618.53633101852</v>
      </c>
      <c r="C759" s="1" t="n">
        <v>46167</v>
      </c>
      <c r="D759" t="inlineStr">
        <is>
          <t>JÄMTLANDS LÄN</t>
        </is>
      </c>
      <c r="E759" t="inlineStr">
        <is>
          <t>KROKOM</t>
        </is>
      </c>
      <c r="G759" t="n">
        <v>4</v>
      </c>
      <c r="H759" t="n">
        <v>0</v>
      </c>
      <c r="I759" t="n">
        <v>0</v>
      </c>
      <c r="J759" t="n">
        <v>0</v>
      </c>
      <c r="K759" t="n">
        <v>0</v>
      </c>
      <c r="L759" t="n">
        <v>0</v>
      </c>
      <c r="M759" t="n">
        <v>0</v>
      </c>
      <c r="N759" t="n">
        <v>0</v>
      </c>
      <c r="O759" t="n">
        <v>0</v>
      </c>
      <c r="P759" t="n">
        <v>0</v>
      </c>
      <c r="Q759" t="n">
        <v>0</v>
      </c>
      <c r="R759" s="2" t="inlineStr"/>
    </row>
    <row r="760" ht="15" customHeight="1">
      <c r="A760" t="inlineStr">
        <is>
          <t>A 57152-2025</t>
        </is>
      </c>
      <c r="B760" s="1" t="n">
        <v>45979.50850694445</v>
      </c>
      <c r="C760" s="1" t="n">
        <v>46167</v>
      </c>
      <c r="D760" t="inlineStr">
        <is>
          <t>JÄMTLANDS LÄN</t>
        </is>
      </c>
      <c r="E760" t="inlineStr">
        <is>
          <t>KROKOM</t>
        </is>
      </c>
      <c r="G760" t="n">
        <v>2.4</v>
      </c>
      <c r="H760" t="n">
        <v>0</v>
      </c>
      <c r="I760" t="n">
        <v>0</v>
      </c>
      <c r="J760" t="n">
        <v>0</v>
      </c>
      <c r="K760" t="n">
        <v>0</v>
      </c>
      <c r="L760" t="n">
        <v>0</v>
      </c>
      <c r="M760" t="n">
        <v>0</v>
      </c>
      <c r="N760" t="n">
        <v>0</v>
      </c>
      <c r="O760" t="n">
        <v>0</v>
      </c>
      <c r="P760" t="n">
        <v>0</v>
      </c>
      <c r="Q760" t="n">
        <v>0</v>
      </c>
      <c r="R760" s="2" t="inlineStr"/>
    </row>
    <row r="761" ht="15" customHeight="1">
      <c r="A761" t="inlineStr">
        <is>
          <t>A 59668-2022</t>
        </is>
      </c>
      <c r="B761" s="1" t="n">
        <v>44908</v>
      </c>
      <c r="C761" s="1" t="n">
        <v>46167</v>
      </c>
      <c r="D761" t="inlineStr">
        <is>
          <t>JÄMTLANDS LÄN</t>
        </is>
      </c>
      <c r="E761" t="inlineStr">
        <is>
          <t>KROKOM</t>
        </is>
      </c>
      <c r="F761" t="inlineStr">
        <is>
          <t>Övriga Aktiebolag</t>
        </is>
      </c>
      <c r="G761" t="n">
        <v>7.8</v>
      </c>
      <c r="H761" t="n">
        <v>0</v>
      </c>
      <c r="I761" t="n">
        <v>0</v>
      </c>
      <c r="J761" t="n">
        <v>0</v>
      </c>
      <c r="K761" t="n">
        <v>0</v>
      </c>
      <c r="L761" t="n">
        <v>0</v>
      </c>
      <c r="M761" t="n">
        <v>0</v>
      </c>
      <c r="N761" t="n">
        <v>0</v>
      </c>
      <c r="O761" t="n">
        <v>0</v>
      </c>
      <c r="P761" t="n">
        <v>0</v>
      </c>
      <c r="Q761" t="n">
        <v>0</v>
      </c>
      <c r="R761" s="2" t="inlineStr"/>
    </row>
    <row r="762" ht="15" customHeight="1">
      <c r="A762" t="inlineStr">
        <is>
          <t>A 58186-2025</t>
        </is>
      </c>
      <c r="B762" s="1" t="n">
        <v>45983.47826388889</v>
      </c>
      <c r="C762" s="1" t="n">
        <v>46167</v>
      </c>
      <c r="D762" t="inlineStr">
        <is>
          <t>JÄMTLANDS LÄN</t>
        </is>
      </c>
      <c r="E762" t="inlineStr">
        <is>
          <t>KROKOM</t>
        </is>
      </c>
      <c r="G762" t="n">
        <v>7.9</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46167</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58130-2025</t>
        </is>
      </c>
      <c r="B764" s="1" t="n">
        <v>45982.61550925926</v>
      </c>
      <c r="C764" s="1" t="n">
        <v>46167</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58013-2025</t>
        </is>
      </c>
      <c r="B765" s="1" t="n">
        <v>45982.46936342592</v>
      </c>
      <c r="C765" s="1" t="n">
        <v>46167</v>
      </c>
      <c r="D765" t="inlineStr">
        <is>
          <t>JÄMTLANDS LÄN</t>
        </is>
      </c>
      <c r="E765" t="inlineStr">
        <is>
          <t>KROKOM</t>
        </is>
      </c>
      <c r="G765" t="n">
        <v>1</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46167</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58128-2025</t>
        </is>
      </c>
      <c r="B767" s="1" t="n">
        <v>45982.61541666667</v>
      </c>
      <c r="C767" s="1" t="n">
        <v>46167</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58129-2025</t>
        </is>
      </c>
      <c r="B768" s="1" t="n">
        <v>45982.61546296296</v>
      </c>
      <c r="C768" s="1" t="n">
        <v>46167</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58131-2025</t>
        </is>
      </c>
      <c r="B769" s="1" t="n">
        <v>45982.61557870371</v>
      </c>
      <c r="C769" s="1" t="n">
        <v>46167</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58992-2025</t>
        </is>
      </c>
      <c r="B770" s="1" t="n">
        <v>45987</v>
      </c>
      <c r="C770" s="1" t="n">
        <v>46167</v>
      </c>
      <c r="D770" t="inlineStr">
        <is>
          <t>JÄMTLANDS LÄN</t>
        </is>
      </c>
      <c r="E770" t="inlineStr">
        <is>
          <t>KROKOM</t>
        </is>
      </c>
      <c r="G770" t="n">
        <v>1</v>
      </c>
      <c r="H770" t="n">
        <v>0</v>
      </c>
      <c r="I770" t="n">
        <v>0</v>
      </c>
      <c r="J770" t="n">
        <v>0</v>
      </c>
      <c r="K770" t="n">
        <v>0</v>
      </c>
      <c r="L770" t="n">
        <v>0</v>
      </c>
      <c r="M770" t="n">
        <v>0</v>
      </c>
      <c r="N770" t="n">
        <v>0</v>
      </c>
      <c r="O770" t="n">
        <v>0</v>
      </c>
      <c r="P770" t="n">
        <v>0</v>
      </c>
      <c r="Q770" t="n">
        <v>0</v>
      </c>
      <c r="R770" s="2" t="inlineStr"/>
    </row>
    <row r="771" ht="15" customHeight="1">
      <c r="A771" t="inlineStr">
        <is>
          <t>A 58596-2025</t>
        </is>
      </c>
      <c r="B771" s="1" t="n">
        <v>45986.42089120371</v>
      </c>
      <c r="C771" s="1" t="n">
        <v>46167</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18476-2022</t>
        </is>
      </c>
      <c r="B772" s="1" t="n">
        <v>44686</v>
      </c>
      <c r="C772" s="1" t="n">
        <v>46167</v>
      </c>
      <c r="D772" t="inlineStr">
        <is>
          <t>JÄMTLANDS LÄN</t>
        </is>
      </c>
      <c r="E772" t="inlineStr">
        <is>
          <t>KROKOM</t>
        </is>
      </c>
      <c r="G772" t="n">
        <v>11.7</v>
      </c>
      <c r="H772" t="n">
        <v>0</v>
      </c>
      <c r="I772" t="n">
        <v>0</v>
      </c>
      <c r="J772" t="n">
        <v>0</v>
      </c>
      <c r="K772" t="n">
        <v>0</v>
      </c>
      <c r="L772" t="n">
        <v>0</v>
      </c>
      <c r="M772" t="n">
        <v>0</v>
      </c>
      <c r="N772" t="n">
        <v>0</v>
      </c>
      <c r="O772" t="n">
        <v>0</v>
      </c>
      <c r="P772" t="n">
        <v>0</v>
      </c>
      <c r="Q772" t="n">
        <v>0</v>
      </c>
      <c r="R772" s="2" t="inlineStr"/>
    </row>
    <row r="773" ht="15" customHeight="1">
      <c r="A773" t="inlineStr">
        <is>
          <t>A 58591-2025</t>
        </is>
      </c>
      <c r="B773" s="1" t="n">
        <v>45986.40993055556</v>
      </c>
      <c r="C773" s="1" t="n">
        <v>46167</v>
      </c>
      <c r="D773" t="inlineStr">
        <is>
          <t>JÄMTLANDS LÄN</t>
        </is>
      </c>
      <c r="E773" t="inlineStr">
        <is>
          <t>KROKOM</t>
        </is>
      </c>
      <c r="G773" t="n">
        <v>2.1</v>
      </c>
      <c r="H773" t="n">
        <v>0</v>
      </c>
      <c r="I773" t="n">
        <v>0</v>
      </c>
      <c r="J773" t="n">
        <v>0</v>
      </c>
      <c r="K773" t="n">
        <v>0</v>
      </c>
      <c r="L773" t="n">
        <v>0</v>
      </c>
      <c r="M773" t="n">
        <v>0</v>
      </c>
      <c r="N773" t="n">
        <v>0</v>
      </c>
      <c r="O773" t="n">
        <v>0</v>
      </c>
      <c r="P773" t="n">
        <v>0</v>
      </c>
      <c r="Q773" t="n">
        <v>0</v>
      </c>
      <c r="R773" s="2" t="inlineStr"/>
    </row>
    <row r="774" ht="15" customHeight="1">
      <c r="A774" t="inlineStr">
        <is>
          <t>A 61615-2023</t>
        </is>
      </c>
      <c r="B774" s="1" t="n">
        <v>45265.52887731481</v>
      </c>
      <c r="C774" s="1" t="n">
        <v>46167</v>
      </c>
      <c r="D774" t="inlineStr">
        <is>
          <t>JÄMTLANDS LÄN</t>
        </is>
      </c>
      <c r="E774" t="inlineStr">
        <is>
          <t>KROKOM</t>
        </is>
      </c>
      <c r="G774" t="n">
        <v>3.9</v>
      </c>
      <c r="H774" t="n">
        <v>0</v>
      </c>
      <c r="I774" t="n">
        <v>0</v>
      </c>
      <c r="J774" t="n">
        <v>0</v>
      </c>
      <c r="K774" t="n">
        <v>0</v>
      </c>
      <c r="L774" t="n">
        <v>0</v>
      </c>
      <c r="M774" t="n">
        <v>0</v>
      </c>
      <c r="N774" t="n">
        <v>0</v>
      </c>
      <c r="O774" t="n">
        <v>0</v>
      </c>
      <c r="P774" t="n">
        <v>0</v>
      </c>
      <c r="Q774" t="n">
        <v>0</v>
      </c>
      <c r="R774" s="2" t="inlineStr"/>
    </row>
    <row r="775" ht="15" customHeight="1">
      <c r="A775" t="inlineStr">
        <is>
          <t>A 9022-2025</t>
        </is>
      </c>
      <c r="B775" s="1" t="n">
        <v>45713.59623842593</v>
      </c>
      <c r="C775" s="1" t="n">
        <v>46167</v>
      </c>
      <c r="D775" t="inlineStr">
        <is>
          <t>JÄMTLANDS LÄN</t>
        </is>
      </c>
      <c r="E775" t="inlineStr">
        <is>
          <t>KROKOM</t>
        </is>
      </c>
      <c r="F775" t="inlineStr">
        <is>
          <t>Övriga Aktiebolag</t>
        </is>
      </c>
      <c r="G775" t="n">
        <v>29.9</v>
      </c>
      <c r="H775" t="n">
        <v>0</v>
      </c>
      <c r="I775" t="n">
        <v>0</v>
      </c>
      <c r="J775" t="n">
        <v>0</v>
      </c>
      <c r="K775" t="n">
        <v>0</v>
      </c>
      <c r="L775" t="n">
        <v>0</v>
      </c>
      <c r="M775" t="n">
        <v>0</v>
      </c>
      <c r="N775" t="n">
        <v>0</v>
      </c>
      <c r="O775" t="n">
        <v>0</v>
      </c>
      <c r="P775" t="n">
        <v>0</v>
      </c>
      <c r="Q775" t="n">
        <v>0</v>
      </c>
      <c r="R775" s="2" t="inlineStr"/>
    </row>
    <row r="776" ht="15" customHeight="1">
      <c r="A776" t="inlineStr">
        <is>
          <t>A 59151-2025</t>
        </is>
      </c>
      <c r="B776" s="1" t="n">
        <v>45988.53212962963</v>
      </c>
      <c r="C776" s="1" t="n">
        <v>46167</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59152-2025</t>
        </is>
      </c>
      <c r="B777" s="1" t="n">
        <v>45988.53221064815</v>
      </c>
      <c r="C777" s="1" t="n">
        <v>46167</v>
      </c>
      <c r="D777" t="inlineStr">
        <is>
          <t>JÄMTLANDS LÄN</t>
        </is>
      </c>
      <c r="E777" t="inlineStr">
        <is>
          <t>KROKOM</t>
        </is>
      </c>
      <c r="G777" t="n">
        <v>3.8</v>
      </c>
      <c r="H777" t="n">
        <v>0</v>
      </c>
      <c r="I777" t="n">
        <v>0</v>
      </c>
      <c r="J777" t="n">
        <v>0</v>
      </c>
      <c r="K777" t="n">
        <v>0</v>
      </c>
      <c r="L777" t="n">
        <v>0</v>
      </c>
      <c r="M777" t="n">
        <v>0</v>
      </c>
      <c r="N777" t="n">
        <v>0</v>
      </c>
      <c r="O777" t="n">
        <v>0</v>
      </c>
      <c r="P777" t="n">
        <v>0</v>
      </c>
      <c r="Q777" t="n">
        <v>0</v>
      </c>
      <c r="R777" s="2" t="inlineStr"/>
    </row>
    <row r="778" ht="15" customHeight="1">
      <c r="A778" t="inlineStr">
        <is>
          <t>A 46753-2022</t>
        </is>
      </c>
      <c r="B778" s="1" t="n">
        <v>44847</v>
      </c>
      <c r="C778" s="1" t="n">
        <v>46167</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59417-2025</t>
        </is>
      </c>
      <c r="B779" s="1" t="n">
        <v>45989.51085648148</v>
      </c>
      <c r="C779" s="1" t="n">
        <v>46167</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61776-2024</t>
        </is>
      </c>
      <c r="B780" s="1" t="n">
        <v>45649.4634375</v>
      </c>
      <c r="C780" s="1" t="n">
        <v>46167</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59335-2025</t>
        </is>
      </c>
      <c r="B781" s="1" t="n">
        <v>45989.36508101852</v>
      </c>
      <c r="C781" s="1" t="n">
        <v>46167</v>
      </c>
      <c r="D781" t="inlineStr">
        <is>
          <t>JÄMTLANDS LÄN</t>
        </is>
      </c>
      <c r="E781" t="inlineStr">
        <is>
          <t>KROKOM</t>
        </is>
      </c>
      <c r="G781" t="n">
        <v>2.2</v>
      </c>
      <c r="H781" t="n">
        <v>0</v>
      </c>
      <c r="I781" t="n">
        <v>0</v>
      </c>
      <c r="J781" t="n">
        <v>0</v>
      </c>
      <c r="K781" t="n">
        <v>0</v>
      </c>
      <c r="L781" t="n">
        <v>0</v>
      </c>
      <c r="M781" t="n">
        <v>0</v>
      </c>
      <c r="N781" t="n">
        <v>0</v>
      </c>
      <c r="O781" t="n">
        <v>0</v>
      </c>
      <c r="P781" t="n">
        <v>0</v>
      </c>
      <c r="Q781" t="n">
        <v>0</v>
      </c>
      <c r="R781" s="2" t="inlineStr"/>
    </row>
    <row r="782" ht="15" customHeight="1">
      <c r="A782" t="inlineStr">
        <is>
          <t>A 25421-2022</t>
        </is>
      </c>
      <c r="B782" s="1" t="n">
        <v>44732</v>
      </c>
      <c r="C782" s="1" t="n">
        <v>46167</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59087-2025</t>
        </is>
      </c>
      <c r="B783" s="1" t="n">
        <v>45988.44469907408</v>
      </c>
      <c r="C783" s="1" t="n">
        <v>46167</v>
      </c>
      <c r="D783" t="inlineStr">
        <is>
          <t>JÄMTLANDS LÄN</t>
        </is>
      </c>
      <c r="E783" t="inlineStr">
        <is>
          <t>KROKOM</t>
        </is>
      </c>
      <c r="G783" t="n">
        <v>5.4</v>
      </c>
      <c r="H783" t="n">
        <v>0</v>
      </c>
      <c r="I783" t="n">
        <v>0</v>
      </c>
      <c r="J783" t="n">
        <v>0</v>
      </c>
      <c r="K783" t="n">
        <v>0</v>
      </c>
      <c r="L783" t="n">
        <v>0</v>
      </c>
      <c r="M783" t="n">
        <v>0</v>
      </c>
      <c r="N783" t="n">
        <v>0</v>
      </c>
      <c r="O783" t="n">
        <v>0</v>
      </c>
      <c r="P783" t="n">
        <v>0</v>
      </c>
      <c r="Q783" t="n">
        <v>0</v>
      </c>
      <c r="R783" s="2" t="inlineStr"/>
    </row>
    <row r="784" ht="15" customHeight="1">
      <c r="A784" t="inlineStr">
        <is>
          <t>A 59369-2025</t>
        </is>
      </c>
      <c r="B784" s="1" t="n">
        <v>45989.44903935185</v>
      </c>
      <c r="C784" s="1" t="n">
        <v>46167</v>
      </c>
      <c r="D784" t="inlineStr">
        <is>
          <t>JÄMTLANDS LÄN</t>
        </is>
      </c>
      <c r="E784" t="inlineStr">
        <is>
          <t>KROKOM</t>
        </is>
      </c>
      <c r="G784" t="n">
        <v>25.2</v>
      </c>
      <c r="H784" t="n">
        <v>0</v>
      </c>
      <c r="I784" t="n">
        <v>0</v>
      </c>
      <c r="J784" t="n">
        <v>0</v>
      </c>
      <c r="K784" t="n">
        <v>0</v>
      </c>
      <c r="L784" t="n">
        <v>0</v>
      </c>
      <c r="M784" t="n">
        <v>0</v>
      </c>
      <c r="N784" t="n">
        <v>0</v>
      </c>
      <c r="O784" t="n">
        <v>0</v>
      </c>
      <c r="P784" t="n">
        <v>0</v>
      </c>
      <c r="Q784" t="n">
        <v>0</v>
      </c>
      <c r="R784" s="2" t="inlineStr"/>
    </row>
    <row r="785" ht="15" customHeight="1">
      <c r="A785" t="inlineStr">
        <is>
          <t>A 59371-2025</t>
        </is>
      </c>
      <c r="B785" s="1" t="n">
        <v>45989.44918981481</v>
      </c>
      <c r="C785" s="1" t="n">
        <v>46167</v>
      </c>
      <c r="D785" t="inlineStr">
        <is>
          <t>JÄMTLANDS LÄN</t>
        </is>
      </c>
      <c r="E785" t="inlineStr">
        <is>
          <t>KROKOM</t>
        </is>
      </c>
      <c r="G785" t="n">
        <v>2.9</v>
      </c>
      <c r="H785" t="n">
        <v>0</v>
      </c>
      <c r="I785" t="n">
        <v>0</v>
      </c>
      <c r="J785" t="n">
        <v>0</v>
      </c>
      <c r="K785" t="n">
        <v>0</v>
      </c>
      <c r="L785" t="n">
        <v>0</v>
      </c>
      <c r="M785" t="n">
        <v>0</v>
      </c>
      <c r="N785" t="n">
        <v>0</v>
      </c>
      <c r="O785" t="n">
        <v>0</v>
      </c>
      <c r="P785" t="n">
        <v>0</v>
      </c>
      <c r="Q785" t="n">
        <v>0</v>
      </c>
      <c r="R785" s="2" t="inlineStr"/>
    </row>
    <row r="786" ht="15" customHeight="1">
      <c r="A786" t="inlineStr">
        <is>
          <t>A 59705-2025</t>
        </is>
      </c>
      <c r="B786" s="1" t="n">
        <v>45992.50228009259</v>
      </c>
      <c r="C786" s="1" t="n">
        <v>46167</v>
      </c>
      <c r="D786" t="inlineStr">
        <is>
          <t>JÄMTLANDS LÄN</t>
        </is>
      </c>
      <c r="E786" t="inlineStr">
        <is>
          <t>KROKOM</t>
        </is>
      </c>
      <c r="G786" t="n">
        <v>2.4</v>
      </c>
      <c r="H786" t="n">
        <v>0</v>
      </c>
      <c r="I786" t="n">
        <v>0</v>
      </c>
      <c r="J786" t="n">
        <v>0</v>
      </c>
      <c r="K786" t="n">
        <v>0</v>
      </c>
      <c r="L786" t="n">
        <v>0</v>
      </c>
      <c r="M786" t="n">
        <v>0</v>
      </c>
      <c r="N786" t="n">
        <v>0</v>
      </c>
      <c r="O786" t="n">
        <v>0</v>
      </c>
      <c r="P786" t="n">
        <v>0</v>
      </c>
      <c r="Q786" t="n">
        <v>0</v>
      </c>
      <c r="R786" s="2" t="inlineStr"/>
    </row>
    <row r="787" ht="15" customHeight="1">
      <c r="A787" t="inlineStr">
        <is>
          <t>A 59845-2025</t>
        </is>
      </c>
      <c r="B787" s="1" t="n">
        <v>45992.68405092593</v>
      </c>
      <c r="C787" s="1" t="n">
        <v>46167</v>
      </c>
      <c r="D787" t="inlineStr">
        <is>
          <t>JÄMTLANDS LÄN</t>
        </is>
      </c>
      <c r="E787" t="inlineStr">
        <is>
          <t>KROKOM</t>
        </is>
      </c>
      <c r="G787" t="n">
        <v>6.1</v>
      </c>
      <c r="H787" t="n">
        <v>0</v>
      </c>
      <c r="I787" t="n">
        <v>0</v>
      </c>
      <c r="J787" t="n">
        <v>0</v>
      </c>
      <c r="K787" t="n">
        <v>0</v>
      </c>
      <c r="L787" t="n">
        <v>0</v>
      </c>
      <c r="M787" t="n">
        <v>0</v>
      </c>
      <c r="N787" t="n">
        <v>0</v>
      </c>
      <c r="O787" t="n">
        <v>0</v>
      </c>
      <c r="P787" t="n">
        <v>0</v>
      </c>
      <c r="Q787" t="n">
        <v>0</v>
      </c>
      <c r="R787" s="2" t="inlineStr"/>
    </row>
    <row r="788" ht="15" customHeight="1">
      <c r="A788" t="inlineStr">
        <is>
          <t>A 39126-2023</t>
        </is>
      </c>
      <c r="B788" s="1" t="n">
        <v>45165.69965277778</v>
      </c>
      <c r="C788" s="1" t="n">
        <v>46167</v>
      </c>
      <c r="D788" t="inlineStr">
        <is>
          <t>JÄMTLANDS LÄN</t>
        </is>
      </c>
      <c r="E788" t="inlineStr">
        <is>
          <t>KROKOM</t>
        </is>
      </c>
      <c r="G788" t="n">
        <v>2.6</v>
      </c>
      <c r="H788" t="n">
        <v>0</v>
      </c>
      <c r="I788" t="n">
        <v>0</v>
      </c>
      <c r="J788" t="n">
        <v>0</v>
      </c>
      <c r="K788" t="n">
        <v>0</v>
      </c>
      <c r="L788" t="n">
        <v>0</v>
      </c>
      <c r="M788" t="n">
        <v>0</v>
      </c>
      <c r="N788" t="n">
        <v>0</v>
      </c>
      <c r="O788" t="n">
        <v>0</v>
      </c>
      <c r="P788" t="n">
        <v>0</v>
      </c>
      <c r="Q788" t="n">
        <v>0</v>
      </c>
      <c r="R788" s="2" t="inlineStr"/>
    </row>
    <row r="789" ht="15" customHeight="1">
      <c r="A789" t="inlineStr">
        <is>
          <t>A 59922-2025</t>
        </is>
      </c>
      <c r="B789" s="1" t="n">
        <v>45993.38613425926</v>
      </c>
      <c r="C789" s="1" t="n">
        <v>46167</v>
      </c>
      <c r="D789" t="inlineStr">
        <is>
          <t>JÄMTLANDS LÄN</t>
        </is>
      </c>
      <c r="E789" t="inlineStr">
        <is>
          <t>KROKOM</t>
        </is>
      </c>
      <c r="G789" t="n">
        <v>7.8</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46167</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60425-2025</t>
        </is>
      </c>
      <c r="B791" s="1" t="n">
        <v>45995.46976851852</v>
      </c>
      <c r="C791" s="1" t="n">
        <v>46167</v>
      </c>
      <c r="D791" t="inlineStr">
        <is>
          <t>JÄMTLANDS LÄN</t>
        </is>
      </c>
      <c r="E791" t="inlineStr">
        <is>
          <t>KROKOM</t>
        </is>
      </c>
      <c r="G791" t="n">
        <v>5.2</v>
      </c>
      <c r="H791" t="n">
        <v>0</v>
      </c>
      <c r="I791" t="n">
        <v>0</v>
      </c>
      <c r="J791" t="n">
        <v>0</v>
      </c>
      <c r="K791" t="n">
        <v>0</v>
      </c>
      <c r="L791" t="n">
        <v>0</v>
      </c>
      <c r="M791" t="n">
        <v>0</v>
      </c>
      <c r="N791" t="n">
        <v>0</v>
      </c>
      <c r="O791" t="n">
        <v>0</v>
      </c>
      <c r="P791" t="n">
        <v>0</v>
      </c>
      <c r="Q791" t="n">
        <v>0</v>
      </c>
      <c r="R791" s="2" t="inlineStr"/>
    </row>
    <row r="792" ht="15" customHeight="1">
      <c r="A792" t="inlineStr">
        <is>
          <t>A 60176-2025</t>
        </is>
      </c>
      <c r="B792" s="1" t="n">
        <v>45994.45447916666</v>
      </c>
      <c r="C792" s="1" t="n">
        <v>46167</v>
      </c>
      <c r="D792" t="inlineStr">
        <is>
          <t>JÄMTLANDS LÄN</t>
        </is>
      </c>
      <c r="E792" t="inlineStr">
        <is>
          <t>KROKOM</t>
        </is>
      </c>
      <c r="G792" t="n">
        <v>9.4</v>
      </c>
      <c r="H792" t="n">
        <v>0</v>
      </c>
      <c r="I792" t="n">
        <v>0</v>
      </c>
      <c r="J792" t="n">
        <v>0</v>
      </c>
      <c r="K792" t="n">
        <v>0</v>
      </c>
      <c r="L792" t="n">
        <v>0</v>
      </c>
      <c r="M792" t="n">
        <v>0</v>
      </c>
      <c r="N792" t="n">
        <v>0</v>
      </c>
      <c r="O792" t="n">
        <v>0</v>
      </c>
      <c r="P792" t="n">
        <v>0</v>
      </c>
      <c r="Q792" t="n">
        <v>0</v>
      </c>
      <c r="R792" s="2" t="inlineStr"/>
    </row>
    <row r="793" ht="15" customHeight="1">
      <c r="A793" t="inlineStr">
        <is>
          <t>A 60462-2025</t>
        </is>
      </c>
      <c r="B793" s="1" t="n">
        <v>45995.55258101852</v>
      </c>
      <c r="C793" s="1" t="n">
        <v>46167</v>
      </c>
      <c r="D793" t="inlineStr">
        <is>
          <t>JÄMTLANDS LÄN</t>
        </is>
      </c>
      <c r="E793" t="inlineStr">
        <is>
          <t>KROKOM</t>
        </is>
      </c>
      <c r="G793" t="n">
        <v>11.7</v>
      </c>
      <c r="H793" t="n">
        <v>0</v>
      </c>
      <c r="I793" t="n">
        <v>0</v>
      </c>
      <c r="J793" t="n">
        <v>0</v>
      </c>
      <c r="K793" t="n">
        <v>0</v>
      </c>
      <c r="L793" t="n">
        <v>0</v>
      </c>
      <c r="M793" t="n">
        <v>0</v>
      </c>
      <c r="N793" t="n">
        <v>0</v>
      </c>
      <c r="O793" t="n">
        <v>0</v>
      </c>
      <c r="P793" t="n">
        <v>0</v>
      </c>
      <c r="Q793" t="n">
        <v>0</v>
      </c>
      <c r="R793" s="2" t="inlineStr"/>
    </row>
    <row r="794" ht="15" customHeight="1">
      <c r="A794" t="inlineStr">
        <is>
          <t>A 17887-2025</t>
        </is>
      </c>
      <c r="B794" s="1" t="n">
        <v>45758.66180555556</v>
      </c>
      <c r="C794" s="1" t="n">
        <v>46167</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60222-2025</t>
        </is>
      </c>
      <c r="B795" s="1" t="n">
        <v>45994</v>
      </c>
      <c r="C795" s="1" t="n">
        <v>46167</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14171-2024</t>
        </is>
      </c>
      <c r="B796" s="1" t="n">
        <v>45392</v>
      </c>
      <c r="C796" s="1" t="n">
        <v>46167</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74011-2021</t>
        </is>
      </c>
      <c r="B797" s="1" t="n">
        <v>44557</v>
      </c>
      <c r="C797" s="1" t="n">
        <v>46167</v>
      </c>
      <c r="D797" t="inlineStr">
        <is>
          <t>JÄMTLANDS LÄN</t>
        </is>
      </c>
      <c r="E797" t="inlineStr">
        <is>
          <t>KROKOM</t>
        </is>
      </c>
      <c r="G797" t="n">
        <v>33.2</v>
      </c>
      <c r="H797" t="n">
        <v>0</v>
      </c>
      <c r="I797" t="n">
        <v>0</v>
      </c>
      <c r="J797" t="n">
        <v>0</v>
      </c>
      <c r="K797" t="n">
        <v>0</v>
      </c>
      <c r="L797" t="n">
        <v>0</v>
      </c>
      <c r="M797" t="n">
        <v>0</v>
      </c>
      <c r="N797" t="n">
        <v>0</v>
      </c>
      <c r="O797" t="n">
        <v>0</v>
      </c>
      <c r="P797" t="n">
        <v>0</v>
      </c>
      <c r="Q797" t="n">
        <v>0</v>
      </c>
      <c r="R797" s="2" t="inlineStr"/>
    </row>
    <row r="798" ht="15" customHeight="1">
      <c r="A798" t="inlineStr">
        <is>
          <t>A 60611-2025</t>
        </is>
      </c>
      <c r="B798" s="1" t="n">
        <v>45996.36534722222</v>
      </c>
      <c r="C798" s="1" t="n">
        <v>46167</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60818-2025</t>
        </is>
      </c>
      <c r="B799" s="1" t="n">
        <v>45999.45039351852</v>
      </c>
      <c r="C799" s="1" t="n">
        <v>46167</v>
      </c>
      <c r="D799" t="inlineStr">
        <is>
          <t>JÄMTLANDS LÄN</t>
        </is>
      </c>
      <c r="E799" t="inlineStr">
        <is>
          <t>KROKOM</t>
        </is>
      </c>
      <c r="F799" t="inlineStr">
        <is>
          <t>Övriga Aktiebolag</t>
        </is>
      </c>
      <c r="G799" t="n">
        <v>6.7</v>
      </c>
      <c r="H799" t="n">
        <v>0</v>
      </c>
      <c r="I799" t="n">
        <v>0</v>
      </c>
      <c r="J799" t="n">
        <v>0</v>
      </c>
      <c r="K799" t="n">
        <v>0</v>
      </c>
      <c r="L799" t="n">
        <v>0</v>
      </c>
      <c r="M799" t="n">
        <v>0</v>
      </c>
      <c r="N799" t="n">
        <v>0</v>
      </c>
      <c r="O799" t="n">
        <v>0</v>
      </c>
      <c r="P799" t="n">
        <v>0</v>
      </c>
      <c r="Q799" t="n">
        <v>0</v>
      </c>
      <c r="R799" s="2" t="inlineStr"/>
    </row>
    <row r="800" ht="15" customHeight="1">
      <c r="A800" t="inlineStr">
        <is>
          <t>A 24402-2022</t>
        </is>
      </c>
      <c r="B800" s="1" t="n">
        <v>44726</v>
      </c>
      <c r="C800" s="1" t="n">
        <v>46167</v>
      </c>
      <c r="D800" t="inlineStr">
        <is>
          <t>JÄMTLANDS LÄN</t>
        </is>
      </c>
      <c r="E800" t="inlineStr">
        <is>
          <t>KROKOM</t>
        </is>
      </c>
      <c r="G800" t="n">
        <v>13.3</v>
      </c>
      <c r="H800" t="n">
        <v>0</v>
      </c>
      <c r="I800" t="n">
        <v>0</v>
      </c>
      <c r="J800" t="n">
        <v>0</v>
      </c>
      <c r="K800" t="n">
        <v>0</v>
      </c>
      <c r="L800" t="n">
        <v>0</v>
      </c>
      <c r="M800" t="n">
        <v>0</v>
      </c>
      <c r="N800" t="n">
        <v>0</v>
      </c>
      <c r="O800" t="n">
        <v>0</v>
      </c>
      <c r="P800" t="n">
        <v>0</v>
      </c>
      <c r="Q800" t="n">
        <v>0</v>
      </c>
      <c r="R800" s="2" t="inlineStr"/>
    </row>
    <row r="801" ht="15" customHeight="1">
      <c r="A801" t="inlineStr">
        <is>
          <t>A 2828-2026</t>
        </is>
      </c>
      <c r="B801" s="1" t="n">
        <v>46036</v>
      </c>
      <c r="C801" s="1" t="n">
        <v>46167</v>
      </c>
      <c r="D801" t="inlineStr">
        <is>
          <t>JÄMTLANDS LÄN</t>
        </is>
      </c>
      <c r="E801" t="inlineStr">
        <is>
          <t>KROKOM</t>
        </is>
      </c>
      <c r="G801" t="n">
        <v>35.7</v>
      </c>
      <c r="H801" t="n">
        <v>0</v>
      </c>
      <c r="I801" t="n">
        <v>0</v>
      </c>
      <c r="J801" t="n">
        <v>0</v>
      </c>
      <c r="K801" t="n">
        <v>0</v>
      </c>
      <c r="L801" t="n">
        <v>0</v>
      </c>
      <c r="M801" t="n">
        <v>0</v>
      </c>
      <c r="N801" t="n">
        <v>0</v>
      </c>
      <c r="O801" t="n">
        <v>0</v>
      </c>
      <c r="P801" t="n">
        <v>0</v>
      </c>
      <c r="Q801" t="n">
        <v>0</v>
      </c>
      <c r="R801" s="2" t="inlineStr"/>
    </row>
    <row r="802" ht="15" customHeight="1">
      <c r="A802" t="inlineStr">
        <is>
          <t>A 60609-2025</t>
        </is>
      </c>
      <c r="B802" s="1" t="n">
        <v>45996.36501157407</v>
      </c>
      <c r="C802" s="1" t="n">
        <v>46167</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60610-2025</t>
        </is>
      </c>
      <c r="B803" s="1" t="n">
        <v>45996.36520833334</v>
      </c>
      <c r="C803" s="1" t="n">
        <v>46167</v>
      </c>
      <c r="D803" t="inlineStr">
        <is>
          <t>JÄMTLANDS LÄN</t>
        </is>
      </c>
      <c r="E803" t="inlineStr">
        <is>
          <t>KROKOM</t>
        </is>
      </c>
      <c r="G803" t="n">
        <v>5</v>
      </c>
      <c r="H803" t="n">
        <v>0</v>
      </c>
      <c r="I803" t="n">
        <v>0</v>
      </c>
      <c r="J803" t="n">
        <v>0</v>
      </c>
      <c r="K803" t="n">
        <v>0</v>
      </c>
      <c r="L803" t="n">
        <v>0</v>
      </c>
      <c r="M803" t="n">
        <v>0</v>
      </c>
      <c r="N803" t="n">
        <v>0</v>
      </c>
      <c r="O803" t="n">
        <v>0</v>
      </c>
      <c r="P803" t="n">
        <v>0</v>
      </c>
      <c r="Q803" t="n">
        <v>0</v>
      </c>
      <c r="R803" s="2" t="inlineStr"/>
    </row>
    <row r="804" ht="15" customHeight="1">
      <c r="A804" t="inlineStr">
        <is>
          <t>A 61044-2025</t>
        </is>
      </c>
      <c r="B804" s="1" t="n">
        <v>46000.28030092592</v>
      </c>
      <c r="C804" s="1" t="n">
        <v>46167</v>
      </c>
      <c r="D804" t="inlineStr">
        <is>
          <t>JÄMTLANDS LÄN</t>
        </is>
      </c>
      <c r="E804" t="inlineStr">
        <is>
          <t>KROKOM</t>
        </is>
      </c>
      <c r="F804" t="inlineStr">
        <is>
          <t>Övriga Aktiebolag</t>
        </is>
      </c>
      <c r="G804" t="n">
        <v>15.8</v>
      </c>
      <c r="H804" t="n">
        <v>0</v>
      </c>
      <c r="I804" t="n">
        <v>0</v>
      </c>
      <c r="J804" t="n">
        <v>0</v>
      </c>
      <c r="K804" t="n">
        <v>0</v>
      </c>
      <c r="L804" t="n">
        <v>0</v>
      </c>
      <c r="M804" t="n">
        <v>0</v>
      </c>
      <c r="N804" t="n">
        <v>0</v>
      </c>
      <c r="O804" t="n">
        <v>0</v>
      </c>
      <c r="P804" t="n">
        <v>0</v>
      </c>
      <c r="Q804" t="n">
        <v>0</v>
      </c>
      <c r="R804" s="2" t="inlineStr"/>
    </row>
    <row r="805" ht="15" customHeight="1">
      <c r="A805" t="inlineStr">
        <is>
          <t>A 61161-2025</t>
        </is>
      </c>
      <c r="B805" s="1" t="n">
        <v>46000.55484953704</v>
      </c>
      <c r="C805" s="1" t="n">
        <v>46167</v>
      </c>
      <c r="D805" t="inlineStr">
        <is>
          <t>JÄMTLANDS LÄN</t>
        </is>
      </c>
      <c r="E805" t="inlineStr">
        <is>
          <t>KROKOM</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14170-2024</t>
        </is>
      </c>
      <c r="B806" s="1" t="n">
        <v>45392</v>
      </c>
      <c r="C806" s="1" t="n">
        <v>46167</v>
      </c>
      <c r="D806" t="inlineStr">
        <is>
          <t>JÄMTLANDS LÄN</t>
        </is>
      </c>
      <c r="E806" t="inlineStr">
        <is>
          <t>KROKOM</t>
        </is>
      </c>
      <c r="G806" t="n">
        <v>4.9</v>
      </c>
      <c r="H806" t="n">
        <v>0</v>
      </c>
      <c r="I806" t="n">
        <v>0</v>
      </c>
      <c r="J806" t="n">
        <v>0</v>
      </c>
      <c r="K806" t="n">
        <v>0</v>
      </c>
      <c r="L806" t="n">
        <v>0</v>
      </c>
      <c r="M806" t="n">
        <v>0</v>
      </c>
      <c r="N806" t="n">
        <v>0</v>
      </c>
      <c r="O806" t="n">
        <v>0</v>
      </c>
      <c r="P806" t="n">
        <v>0</v>
      </c>
      <c r="Q806" t="n">
        <v>0</v>
      </c>
      <c r="R806" s="2" t="inlineStr"/>
    </row>
    <row r="807" ht="15" customHeight="1">
      <c r="A807" t="inlineStr">
        <is>
          <t>A 5637-2025</t>
        </is>
      </c>
      <c r="B807" s="1" t="n">
        <v>45693.67361111111</v>
      </c>
      <c r="C807" s="1" t="n">
        <v>46167</v>
      </c>
      <c r="D807" t="inlineStr">
        <is>
          <t>JÄMTLANDS LÄN</t>
        </is>
      </c>
      <c r="E807" t="inlineStr">
        <is>
          <t>KROKOM</t>
        </is>
      </c>
      <c r="F807" t="inlineStr">
        <is>
          <t>Övriga Aktiebolag</t>
        </is>
      </c>
      <c r="G807" t="n">
        <v>57.8</v>
      </c>
      <c r="H807" t="n">
        <v>0</v>
      </c>
      <c r="I807" t="n">
        <v>0</v>
      </c>
      <c r="J807" t="n">
        <v>0</v>
      </c>
      <c r="K807" t="n">
        <v>0</v>
      </c>
      <c r="L807" t="n">
        <v>0</v>
      </c>
      <c r="M807" t="n">
        <v>0</v>
      </c>
      <c r="N807" t="n">
        <v>0</v>
      </c>
      <c r="O807" t="n">
        <v>0</v>
      </c>
      <c r="P807" t="n">
        <v>0</v>
      </c>
      <c r="Q807" t="n">
        <v>0</v>
      </c>
      <c r="R807" s="2" t="inlineStr"/>
    </row>
    <row r="808" ht="15" customHeight="1">
      <c r="A808" t="inlineStr">
        <is>
          <t>A 5704-2025</t>
        </is>
      </c>
      <c r="B808" s="1" t="n">
        <v>45694.43806712963</v>
      </c>
      <c r="C808" s="1" t="n">
        <v>46167</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61219-2025</t>
        </is>
      </c>
      <c r="B809" s="1" t="n">
        <v>46000.62464120371</v>
      </c>
      <c r="C809" s="1" t="n">
        <v>46167</v>
      </c>
      <c r="D809" t="inlineStr">
        <is>
          <t>JÄMTLANDS LÄN</t>
        </is>
      </c>
      <c r="E809" t="inlineStr">
        <is>
          <t>KROKOM</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61402-2025</t>
        </is>
      </c>
      <c r="B810" s="1" t="n">
        <v>46001.48325231481</v>
      </c>
      <c r="C810" s="1" t="n">
        <v>46167</v>
      </c>
      <c r="D810" t="inlineStr">
        <is>
          <t>JÄMTLANDS LÄN</t>
        </is>
      </c>
      <c r="E810" t="inlineStr">
        <is>
          <t>KROKOM</t>
        </is>
      </c>
      <c r="G810" t="n">
        <v>11.5</v>
      </c>
      <c r="H810" t="n">
        <v>0</v>
      </c>
      <c r="I810" t="n">
        <v>0</v>
      </c>
      <c r="J810" t="n">
        <v>0</v>
      </c>
      <c r="K810" t="n">
        <v>0</v>
      </c>
      <c r="L810" t="n">
        <v>0</v>
      </c>
      <c r="M810" t="n">
        <v>0</v>
      </c>
      <c r="N810" t="n">
        <v>0</v>
      </c>
      <c r="O810" t="n">
        <v>0</v>
      </c>
      <c r="P810" t="n">
        <v>0</v>
      </c>
      <c r="Q810" t="n">
        <v>0</v>
      </c>
      <c r="R810" s="2" t="inlineStr"/>
    </row>
    <row r="811" ht="15" customHeight="1">
      <c r="A811" t="inlineStr">
        <is>
          <t>A 61198-2025</t>
        </is>
      </c>
      <c r="B811" s="1" t="n">
        <v>46000.60819444444</v>
      </c>
      <c r="C811" s="1" t="n">
        <v>46167</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3776-2026</t>
        </is>
      </c>
      <c r="B812" s="1" t="n">
        <v>46043</v>
      </c>
      <c r="C812" s="1" t="n">
        <v>46167</v>
      </c>
      <c r="D812" t="inlineStr">
        <is>
          <t>JÄMTLANDS LÄN</t>
        </is>
      </c>
      <c r="E812" t="inlineStr">
        <is>
          <t>KROKOM</t>
        </is>
      </c>
      <c r="G812" t="n">
        <v>4.1</v>
      </c>
      <c r="H812" t="n">
        <v>0</v>
      </c>
      <c r="I812" t="n">
        <v>0</v>
      </c>
      <c r="J812" t="n">
        <v>0</v>
      </c>
      <c r="K812" t="n">
        <v>0</v>
      </c>
      <c r="L812" t="n">
        <v>0</v>
      </c>
      <c r="M812" t="n">
        <v>0</v>
      </c>
      <c r="N812" t="n">
        <v>0</v>
      </c>
      <c r="O812" t="n">
        <v>0</v>
      </c>
      <c r="P812" t="n">
        <v>0</v>
      </c>
      <c r="Q812" t="n">
        <v>0</v>
      </c>
      <c r="R812" s="2" t="inlineStr"/>
    </row>
    <row r="813" ht="15" customHeight="1">
      <c r="A813" t="inlineStr">
        <is>
          <t>A 61256-2025</t>
        </is>
      </c>
      <c r="B813" s="1" t="n">
        <v>46000</v>
      </c>
      <c r="C813" s="1" t="n">
        <v>46167</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61206-2025</t>
        </is>
      </c>
      <c r="B814" s="1" t="n">
        <v>46000.6144212963</v>
      </c>
      <c r="C814" s="1" t="n">
        <v>46167</v>
      </c>
      <c r="D814" t="inlineStr">
        <is>
          <t>JÄMTLANDS LÄN</t>
        </is>
      </c>
      <c r="E814" t="inlineStr">
        <is>
          <t>KROKOM</t>
        </is>
      </c>
      <c r="F814" t="inlineStr">
        <is>
          <t>Övriga Aktiebolag</t>
        </is>
      </c>
      <c r="G814" t="n">
        <v>2.1</v>
      </c>
      <c r="H814" t="n">
        <v>0</v>
      </c>
      <c r="I814" t="n">
        <v>0</v>
      </c>
      <c r="J814" t="n">
        <v>0</v>
      </c>
      <c r="K814" t="n">
        <v>0</v>
      </c>
      <c r="L814" t="n">
        <v>0</v>
      </c>
      <c r="M814" t="n">
        <v>0</v>
      </c>
      <c r="N814" t="n">
        <v>0</v>
      </c>
      <c r="O814" t="n">
        <v>0</v>
      </c>
      <c r="P814" t="n">
        <v>0</v>
      </c>
      <c r="Q814" t="n">
        <v>0</v>
      </c>
      <c r="R814" s="2" t="inlineStr"/>
    </row>
    <row r="815" ht="15" customHeight="1">
      <c r="A815" t="inlineStr">
        <is>
          <t>A 29477-2024</t>
        </is>
      </c>
      <c r="B815" s="1" t="n">
        <v>45484</v>
      </c>
      <c r="C815" s="1" t="n">
        <v>46167</v>
      </c>
      <c r="D815" t="inlineStr">
        <is>
          <t>JÄMTLANDS LÄN</t>
        </is>
      </c>
      <c r="E815" t="inlineStr">
        <is>
          <t>KROKOM</t>
        </is>
      </c>
      <c r="F815" t="inlineStr">
        <is>
          <t>Övriga Aktiebolag</t>
        </is>
      </c>
      <c r="G815" t="n">
        <v>1</v>
      </c>
      <c r="H815" t="n">
        <v>0</v>
      </c>
      <c r="I815" t="n">
        <v>0</v>
      </c>
      <c r="J815" t="n">
        <v>0</v>
      </c>
      <c r="K815" t="n">
        <v>0</v>
      </c>
      <c r="L815" t="n">
        <v>0</v>
      </c>
      <c r="M815" t="n">
        <v>0</v>
      </c>
      <c r="N815" t="n">
        <v>0</v>
      </c>
      <c r="O815" t="n">
        <v>0</v>
      </c>
      <c r="P815" t="n">
        <v>0</v>
      </c>
      <c r="Q815" t="n">
        <v>0</v>
      </c>
      <c r="R815" s="2" t="inlineStr"/>
    </row>
    <row r="816" ht="15" customHeight="1">
      <c r="A816" t="inlineStr">
        <is>
          <t>A 61052-2025</t>
        </is>
      </c>
      <c r="B816" s="1" t="n">
        <v>46000.32486111111</v>
      </c>
      <c r="C816" s="1" t="n">
        <v>46167</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29484-2024</t>
        </is>
      </c>
      <c r="B817" s="1" t="n">
        <v>45484</v>
      </c>
      <c r="C817" s="1" t="n">
        <v>46167</v>
      </c>
      <c r="D817" t="inlineStr">
        <is>
          <t>JÄMTLANDS LÄN</t>
        </is>
      </c>
      <c r="E817" t="inlineStr">
        <is>
          <t>KROKOM</t>
        </is>
      </c>
      <c r="F817" t="inlineStr">
        <is>
          <t>Övriga Aktiebolag</t>
        </is>
      </c>
      <c r="G817" t="n">
        <v>2.9</v>
      </c>
      <c r="H817" t="n">
        <v>0</v>
      </c>
      <c r="I817" t="n">
        <v>0</v>
      </c>
      <c r="J817" t="n">
        <v>0</v>
      </c>
      <c r="K817" t="n">
        <v>0</v>
      </c>
      <c r="L817" t="n">
        <v>0</v>
      </c>
      <c r="M817" t="n">
        <v>0</v>
      </c>
      <c r="N817" t="n">
        <v>0</v>
      </c>
      <c r="O817" t="n">
        <v>0</v>
      </c>
      <c r="P817" t="n">
        <v>0</v>
      </c>
      <c r="Q817" t="n">
        <v>0</v>
      </c>
      <c r="R817" s="2" t="inlineStr"/>
    </row>
    <row r="818" ht="15" customHeight="1">
      <c r="A818" t="inlineStr">
        <is>
          <t>A 61194-2025</t>
        </is>
      </c>
      <c r="B818" s="1" t="n">
        <v>46000.60290509259</v>
      </c>
      <c r="C818" s="1" t="n">
        <v>46167</v>
      </c>
      <c r="D818" t="inlineStr">
        <is>
          <t>JÄMTLANDS LÄN</t>
        </is>
      </c>
      <c r="E818" t="inlineStr">
        <is>
          <t>KROKOM</t>
        </is>
      </c>
      <c r="G818" t="n">
        <v>2.6</v>
      </c>
      <c r="H818" t="n">
        <v>0</v>
      </c>
      <c r="I818" t="n">
        <v>0</v>
      </c>
      <c r="J818" t="n">
        <v>0</v>
      </c>
      <c r="K818" t="n">
        <v>0</v>
      </c>
      <c r="L818" t="n">
        <v>0</v>
      </c>
      <c r="M818" t="n">
        <v>0</v>
      </c>
      <c r="N818" t="n">
        <v>0</v>
      </c>
      <c r="O818" t="n">
        <v>0</v>
      </c>
      <c r="P818" t="n">
        <v>0</v>
      </c>
      <c r="Q818" t="n">
        <v>0</v>
      </c>
      <c r="R818" s="2" t="inlineStr"/>
    </row>
    <row r="819" ht="15" customHeight="1">
      <c r="A819" t="inlineStr">
        <is>
          <t>A 20982-2023</t>
        </is>
      </c>
      <c r="B819" s="1" t="n">
        <v>45056</v>
      </c>
      <c r="C819" s="1" t="n">
        <v>46167</v>
      </c>
      <c r="D819" t="inlineStr">
        <is>
          <t>JÄMTLANDS LÄN</t>
        </is>
      </c>
      <c r="E819" t="inlineStr">
        <is>
          <t>KROKOM</t>
        </is>
      </c>
      <c r="G819" t="n">
        <v>0.7</v>
      </c>
      <c r="H819" t="n">
        <v>0</v>
      </c>
      <c r="I819" t="n">
        <v>0</v>
      </c>
      <c r="J819" t="n">
        <v>0</v>
      </c>
      <c r="K819" t="n">
        <v>0</v>
      </c>
      <c r="L819" t="n">
        <v>0</v>
      </c>
      <c r="M819" t="n">
        <v>0</v>
      </c>
      <c r="N819" t="n">
        <v>0</v>
      </c>
      <c r="O819" t="n">
        <v>0</v>
      </c>
      <c r="P819" t="n">
        <v>0</v>
      </c>
      <c r="Q819" t="n">
        <v>0</v>
      </c>
      <c r="R819" s="2" t="inlineStr"/>
    </row>
    <row r="820" ht="15" customHeight="1">
      <c r="A820" t="inlineStr">
        <is>
          <t>A 61294-2025</t>
        </is>
      </c>
      <c r="B820" s="1" t="n">
        <v>46000</v>
      </c>
      <c r="C820" s="1" t="n">
        <v>46167</v>
      </c>
      <c r="D820" t="inlineStr">
        <is>
          <t>JÄMTLANDS LÄN</t>
        </is>
      </c>
      <c r="E820" t="inlineStr">
        <is>
          <t>KROKOM</t>
        </is>
      </c>
      <c r="G820" t="n">
        <v>0.9</v>
      </c>
      <c r="H820" t="n">
        <v>0</v>
      </c>
      <c r="I820" t="n">
        <v>0</v>
      </c>
      <c r="J820" t="n">
        <v>0</v>
      </c>
      <c r="K820" t="n">
        <v>0</v>
      </c>
      <c r="L820" t="n">
        <v>0</v>
      </c>
      <c r="M820" t="n">
        <v>0</v>
      </c>
      <c r="N820" t="n">
        <v>0</v>
      </c>
      <c r="O820" t="n">
        <v>0</v>
      </c>
      <c r="P820" t="n">
        <v>0</v>
      </c>
      <c r="Q820" t="n">
        <v>0</v>
      </c>
      <c r="R820" s="2" t="inlineStr"/>
    </row>
    <row r="821" ht="15" customHeight="1">
      <c r="A821" t="inlineStr">
        <is>
          <t>A 61575-2025</t>
        </is>
      </c>
      <c r="B821" s="1" t="n">
        <v>46002.32048611111</v>
      </c>
      <c r="C821" s="1" t="n">
        <v>46167</v>
      </c>
      <c r="D821" t="inlineStr">
        <is>
          <t>JÄMTLANDS LÄN</t>
        </is>
      </c>
      <c r="E821" t="inlineStr">
        <is>
          <t>KROKOM</t>
        </is>
      </c>
      <c r="F821" t="inlineStr">
        <is>
          <t>Övriga Aktiebolag</t>
        </is>
      </c>
      <c r="G821" t="n">
        <v>11.1</v>
      </c>
      <c r="H821" t="n">
        <v>0</v>
      </c>
      <c r="I821" t="n">
        <v>0</v>
      </c>
      <c r="J821" t="n">
        <v>0</v>
      </c>
      <c r="K821" t="n">
        <v>0</v>
      </c>
      <c r="L821" t="n">
        <v>0</v>
      </c>
      <c r="M821" t="n">
        <v>0</v>
      </c>
      <c r="N821" t="n">
        <v>0</v>
      </c>
      <c r="O821" t="n">
        <v>0</v>
      </c>
      <c r="P821" t="n">
        <v>0</v>
      </c>
      <c r="Q821" t="n">
        <v>0</v>
      </c>
      <c r="R821" s="2" t="inlineStr"/>
    </row>
    <row r="822" ht="15" customHeight="1">
      <c r="A822" t="inlineStr">
        <is>
          <t>A 65508-2021</t>
        </is>
      </c>
      <c r="B822" s="1" t="n">
        <v>44516</v>
      </c>
      <c r="C822" s="1" t="n">
        <v>46167</v>
      </c>
      <c r="D822" t="inlineStr">
        <is>
          <t>JÄMTLANDS LÄN</t>
        </is>
      </c>
      <c r="E822" t="inlineStr">
        <is>
          <t>KROKOM</t>
        </is>
      </c>
      <c r="G822" t="n">
        <v>0.3</v>
      </c>
      <c r="H822" t="n">
        <v>0</v>
      </c>
      <c r="I822" t="n">
        <v>0</v>
      </c>
      <c r="J822" t="n">
        <v>0</v>
      </c>
      <c r="K822" t="n">
        <v>0</v>
      </c>
      <c r="L822" t="n">
        <v>0</v>
      </c>
      <c r="M822" t="n">
        <v>0</v>
      </c>
      <c r="N822" t="n">
        <v>0</v>
      </c>
      <c r="O822" t="n">
        <v>0</v>
      </c>
      <c r="P822" t="n">
        <v>0</v>
      </c>
      <c r="Q822" t="n">
        <v>0</v>
      </c>
      <c r="R822" s="2" t="inlineStr"/>
    </row>
    <row r="823" ht="15" customHeight="1">
      <c r="A823" t="inlineStr">
        <is>
          <t>A 61875-2025</t>
        </is>
      </c>
      <c r="B823" s="1" t="n">
        <v>46003.4094675926</v>
      </c>
      <c r="C823" s="1" t="n">
        <v>46167</v>
      </c>
      <c r="D823" t="inlineStr">
        <is>
          <t>JÄMTLANDS LÄN</t>
        </is>
      </c>
      <c r="E823" t="inlineStr">
        <is>
          <t>KROKOM</t>
        </is>
      </c>
      <c r="G823" t="n">
        <v>3.8</v>
      </c>
      <c r="H823" t="n">
        <v>0</v>
      </c>
      <c r="I823" t="n">
        <v>0</v>
      </c>
      <c r="J823" t="n">
        <v>0</v>
      </c>
      <c r="K823" t="n">
        <v>0</v>
      </c>
      <c r="L823" t="n">
        <v>0</v>
      </c>
      <c r="M823" t="n">
        <v>0</v>
      </c>
      <c r="N823" t="n">
        <v>0</v>
      </c>
      <c r="O823" t="n">
        <v>0</v>
      </c>
      <c r="P823" t="n">
        <v>0</v>
      </c>
      <c r="Q823" t="n">
        <v>0</v>
      </c>
      <c r="R823" s="2" t="inlineStr"/>
    </row>
    <row r="824" ht="15" customHeight="1">
      <c r="A824" t="inlineStr">
        <is>
          <t>A 61990-2025</t>
        </is>
      </c>
      <c r="B824" s="1" t="n">
        <v>46003</v>
      </c>
      <c r="C824" s="1" t="n">
        <v>46167</v>
      </c>
      <c r="D824" t="inlineStr">
        <is>
          <t>JÄMTLANDS LÄN</t>
        </is>
      </c>
      <c r="E824" t="inlineStr">
        <is>
          <t>KROKOM</t>
        </is>
      </c>
      <c r="G824" t="n">
        <v>7.9</v>
      </c>
      <c r="H824" t="n">
        <v>0</v>
      </c>
      <c r="I824" t="n">
        <v>0</v>
      </c>
      <c r="J824" t="n">
        <v>0</v>
      </c>
      <c r="K824" t="n">
        <v>0</v>
      </c>
      <c r="L824" t="n">
        <v>0</v>
      </c>
      <c r="M824" t="n">
        <v>0</v>
      </c>
      <c r="N824" t="n">
        <v>0</v>
      </c>
      <c r="O824" t="n">
        <v>0</v>
      </c>
      <c r="P824" t="n">
        <v>0</v>
      </c>
      <c r="Q824" t="n">
        <v>0</v>
      </c>
      <c r="R824" s="2" t="inlineStr"/>
    </row>
    <row r="825" ht="15" customHeight="1">
      <c r="A825" t="inlineStr">
        <is>
          <t>A 62000-2025</t>
        </is>
      </c>
      <c r="B825" s="1" t="n">
        <v>46003</v>
      </c>
      <c r="C825" s="1" t="n">
        <v>46167</v>
      </c>
      <c r="D825" t="inlineStr">
        <is>
          <t>JÄMTLANDS LÄN</t>
        </is>
      </c>
      <c r="E825" t="inlineStr">
        <is>
          <t>KROKOM</t>
        </is>
      </c>
      <c r="G825" t="n">
        <v>11.2</v>
      </c>
      <c r="H825" t="n">
        <v>0</v>
      </c>
      <c r="I825" t="n">
        <v>0</v>
      </c>
      <c r="J825" t="n">
        <v>0</v>
      </c>
      <c r="K825" t="n">
        <v>0</v>
      </c>
      <c r="L825" t="n">
        <v>0</v>
      </c>
      <c r="M825" t="n">
        <v>0</v>
      </c>
      <c r="N825" t="n">
        <v>0</v>
      </c>
      <c r="O825" t="n">
        <v>0</v>
      </c>
      <c r="P825" t="n">
        <v>0</v>
      </c>
      <c r="Q825" t="n">
        <v>0</v>
      </c>
      <c r="R825" s="2" t="inlineStr"/>
    </row>
    <row r="826" ht="15" customHeight="1">
      <c r="A826" t="inlineStr">
        <is>
          <t>A 26184-2024</t>
        </is>
      </c>
      <c r="B826" s="1" t="n">
        <v>45467</v>
      </c>
      <c r="C826" s="1" t="n">
        <v>46167</v>
      </c>
      <c r="D826" t="inlineStr">
        <is>
          <t>JÄMTLANDS LÄN</t>
        </is>
      </c>
      <c r="E826" t="inlineStr">
        <is>
          <t>KROKOM</t>
        </is>
      </c>
      <c r="G826" t="n">
        <v>65.7</v>
      </c>
      <c r="H826" t="n">
        <v>0</v>
      </c>
      <c r="I826" t="n">
        <v>0</v>
      </c>
      <c r="J826" t="n">
        <v>0</v>
      </c>
      <c r="K826" t="n">
        <v>0</v>
      </c>
      <c r="L826" t="n">
        <v>0</v>
      </c>
      <c r="M826" t="n">
        <v>0</v>
      </c>
      <c r="N826" t="n">
        <v>0</v>
      </c>
      <c r="O826" t="n">
        <v>0</v>
      </c>
      <c r="P826" t="n">
        <v>0</v>
      </c>
      <c r="Q826" t="n">
        <v>0</v>
      </c>
      <c r="R826" s="2" t="inlineStr"/>
    </row>
    <row r="827" ht="15" customHeight="1">
      <c r="A827" t="inlineStr">
        <is>
          <t>A 61956-2025</t>
        </is>
      </c>
      <c r="B827" s="1" t="n">
        <v>46003.57759259259</v>
      </c>
      <c r="C827" s="1" t="n">
        <v>46167</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62392-2025</t>
        </is>
      </c>
      <c r="B828" s="1" t="n">
        <v>46007</v>
      </c>
      <c r="C828" s="1" t="n">
        <v>46167</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62508-2025</t>
        </is>
      </c>
      <c r="B829" s="1" t="n">
        <v>46007.59456018519</v>
      </c>
      <c r="C829" s="1" t="n">
        <v>46167</v>
      </c>
      <c r="D829" t="inlineStr">
        <is>
          <t>JÄMTLANDS LÄN</t>
        </is>
      </c>
      <c r="E829" t="inlineStr">
        <is>
          <t>KROKOM</t>
        </is>
      </c>
      <c r="G829" t="n">
        <v>44.9</v>
      </c>
      <c r="H829" t="n">
        <v>0</v>
      </c>
      <c r="I829" t="n">
        <v>0</v>
      </c>
      <c r="J829" t="n">
        <v>0</v>
      </c>
      <c r="K829" t="n">
        <v>0</v>
      </c>
      <c r="L829" t="n">
        <v>0</v>
      </c>
      <c r="M829" t="n">
        <v>0</v>
      </c>
      <c r="N829" t="n">
        <v>0</v>
      </c>
      <c r="O829" t="n">
        <v>0</v>
      </c>
      <c r="P829" t="n">
        <v>0</v>
      </c>
      <c r="Q829" t="n">
        <v>0</v>
      </c>
      <c r="R829" s="2" t="inlineStr"/>
    </row>
    <row r="830" ht="15" customHeight="1">
      <c r="A830" t="inlineStr">
        <is>
          <t>A 46632-2023</t>
        </is>
      </c>
      <c r="B830" s="1" t="n">
        <v>45198.42734953704</v>
      </c>
      <c r="C830" s="1" t="n">
        <v>46167</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62372-2025</t>
        </is>
      </c>
      <c r="B831" s="1" t="n">
        <v>46007.34444444445</v>
      </c>
      <c r="C831" s="1" t="n">
        <v>46167</v>
      </c>
      <c r="D831" t="inlineStr">
        <is>
          <t>JÄMTLANDS LÄN</t>
        </is>
      </c>
      <c r="E831" t="inlineStr">
        <is>
          <t>KROKOM</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62505-2025</t>
        </is>
      </c>
      <c r="B832" s="1" t="n">
        <v>46007.59438657408</v>
      </c>
      <c r="C832" s="1" t="n">
        <v>46167</v>
      </c>
      <c r="D832" t="inlineStr">
        <is>
          <t>JÄMTLANDS LÄN</t>
        </is>
      </c>
      <c r="E832" t="inlineStr">
        <is>
          <t>KROKOM</t>
        </is>
      </c>
      <c r="G832" t="n">
        <v>5</v>
      </c>
      <c r="H832" t="n">
        <v>0</v>
      </c>
      <c r="I832" t="n">
        <v>0</v>
      </c>
      <c r="J832" t="n">
        <v>0</v>
      </c>
      <c r="K832" t="n">
        <v>0</v>
      </c>
      <c r="L832" t="n">
        <v>0</v>
      </c>
      <c r="M832" t="n">
        <v>0</v>
      </c>
      <c r="N832" t="n">
        <v>0</v>
      </c>
      <c r="O832" t="n">
        <v>0</v>
      </c>
      <c r="P832" t="n">
        <v>0</v>
      </c>
      <c r="Q832" t="n">
        <v>0</v>
      </c>
      <c r="R832" s="2" t="inlineStr"/>
    </row>
    <row r="833" ht="15" customHeight="1">
      <c r="A833" t="inlineStr">
        <is>
          <t>A 63960-2023</t>
        </is>
      </c>
      <c r="B833" s="1" t="n">
        <v>45278.65582175926</v>
      </c>
      <c r="C833" s="1" t="n">
        <v>46167</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62041-2025</t>
        </is>
      </c>
      <c r="B834" s="1" t="n">
        <v>46005</v>
      </c>
      <c r="C834" s="1" t="n">
        <v>46167</v>
      </c>
      <c r="D834" t="inlineStr">
        <is>
          <t>JÄMTLANDS LÄN</t>
        </is>
      </c>
      <c r="E834" t="inlineStr">
        <is>
          <t>KROKOM</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62506-2025</t>
        </is>
      </c>
      <c r="B835" s="1" t="n">
        <v>46007.59445601852</v>
      </c>
      <c r="C835" s="1" t="n">
        <v>46167</v>
      </c>
      <c r="D835" t="inlineStr">
        <is>
          <t>JÄMTLANDS LÄN</t>
        </is>
      </c>
      <c r="E835" t="inlineStr">
        <is>
          <t>KROKOM</t>
        </is>
      </c>
      <c r="G835" t="n">
        <v>1.6</v>
      </c>
      <c r="H835" t="n">
        <v>0</v>
      </c>
      <c r="I835" t="n">
        <v>0</v>
      </c>
      <c r="J835" t="n">
        <v>0</v>
      </c>
      <c r="K835" t="n">
        <v>0</v>
      </c>
      <c r="L835" t="n">
        <v>0</v>
      </c>
      <c r="M835" t="n">
        <v>0</v>
      </c>
      <c r="N835" t="n">
        <v>0</v>
      </c>
      <c r="O835" t="n">
        <v>0</v>
      </c>
      <c r="P835" t="n">
        <v>0</v>
      </c>
      <c r="Q835" t="n">
        <v>0</v>
      </c>
      <c r="R835" s="2" t="inlineStr"/>
    </row>
    <row r="836" ht="15" customHeight="1">
      <c r="A836" t="inlineStr">
        <is>
          <t>A 62507-2025</t>
        </is>
      </c>
      <c r="B836" s="1" t="n">
        <v>46007.59450231482</v>
      </c>
      <c r="C836" s="1" t="n">
        <v>46167</v>
      </c>
      <c r="D836" t="inlineStr">
        <is>
          <t>JÄMTLANDS LÄN</t>
        </is>
      </c>
      <c r="E836" t="inlineStr">
        <is>
          <t>KROKOM</t>
        </is>
      </c>
      <c r="G836" t="n">
        <v>3.5</v>
      </c>
      <c r="H836" t="n">
        <v>0</v>
      </c>
      <c r="I836" t="n">
        <v>0</v>
      </c>
      <c r="J836" t="n">
        <v>0</v>
      </c>
      <c r="K836" t="n">
        <v>0</v>
      </c>
      <c r="L836" t="n">
        <v>0</v>
      </c>
      <c r="M836" t="n">
        <v>0</v>
      </c>
      <c r="N836" t="n">
        <v>0</v>
      </c>
      <c r="O836" t="n">
        <v>0</v>
      </c>
      <c r="P836" t="n">
        <v>0</v>
      </c>
      <c r="Q836" t="n">
        <v>0</v>
      </c>
      <c r="R836" s="2" t="inlineStr"/>
    </row>
    <row r="837" ht="15" customHeight="1">
      <c r="A837" t="inlineStr">
        <is>
          <t>A 62709-2025</t>
        </is>
      </c>
      <c r="B837" s="1" t="n">
        <v>46008.51083333333</v>
      </c>
      <c r="C837" s="1" t="n">
        <v>46167</v>
      </c>
      <c r="D837" t="inlineStr">
        <is>
          <t>JÄMTLANDS LÄN</t>
        </is>
      </c>
      <c r="E837" t="inlineStr">
        <is>
          <t>KROKOM</t>
        </is>
      </c>
      <c r="G837" t="n">
        <v>1.6</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46167</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5798-2025</t>
        </is>
      </c>
      <c r="B839" s="1" t="n">
        <v>45694.65905092593</v>
      </c>
      <c r="C839" s="1" t="n">
        <v>46167</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6342-2025</t>
        </is>
      </c>
      <c r="B840" s="1" t="n">
        <v>45699</v>
      </c>
      <c r="C840" s="1" t="n">
        <v>46167</v>
      </c>
      <c r="D840" t="inlineStr">
        <is>
          <t>JÄMTLANDS LÄN</t>
        </is>
      </c>
      <c r="E840" t="inlineStr">
        <is>
          <t>KROKOM</t>
        </is>
      </c>
      <c r="F840" t="inlineStr">
        <is>
          <t>Övriga Aktiebolag</t>
        </is>
      </c>
      <c r="G840" t="n">
        <v>6.5</v>
      </c>
      <c r="H840" t="n">
        <v>0</v>
      </c>
      <c r="I840" t="n">
        <v>0</v>
      </c>
      <c r="J840" t="n">
        <v>0</v>
      </c>
      <c r="K840" t="n">
        <v>0</v>
      </c>
      <c r="L840" t="n">
        <v>0</v>
      </c>
      <c r="M840" t="n">
        <v>0</v>
      </c>
      <c r="N840" t="n">
        <v>0</v>
      </c>
      <c r="O840" t="n">
        <v>0</v>
      </c>
      <c r="P840" t="n">
        <v>0</v>
      </c>
      <c r="Q840" t="n">
        <v>0</v>
      </c>
      <c r="R840" s="2" t="inlineStr"/>
    </row>
    <row r="841" ht="15" customHeight="1">
      <c r="A841" t="inlineStr">
        <is>
          <t>A 62716-2025</t>
        </is>
      </c>
      <c r="B841" s="1" t="n">
        <v>46008.53166666667</v>
      </c>
      <c r="C841" s="1" t="n">
        <v>46167</v>
      </c>
      <c r="D841" t="inlineStr">
        <is>
          <t>JÄMTLANDS LÄN</t>
        </is>
      </c>
      <c r="E841" t="inlineStr">
        <is>
          <t>KROKOM</t>
        </is>
      </c>
      <c r="G841" t="n">
        <v>9.1</v>
      </c>
      <c r="H841" t="n">
        <v>0</v>
      </c>
      <c r="I841" t="n">
        <v>0</v>
      </c>
      <c r="J841" t="n">
        <v>0</v>
      </c>
      <c r="K841" t="n">
        <v>0</v>
      </c>
      <c r="L841" t="n">
        <v>0</v>
      </c>
      <c r="M841" t="n">
        <v>0</v>
      </c>
      <c r="N841" t="n">
        <v>0</v>
      </c>
      <c r="O841" t="n">
        <v>0</v>
      </c>
      <c r="P841" t="n">
        <v>0</v>
      </c>
      <c r="Q841" t="n">
        <v>0</v>
      </c>
      <c r="R841" s="2" t="inlineStr"/>
    </row>
    <row r="842" ht="15" customHeight="1">
      <c r="A842" t="inlineStr">
        <is>
          <t>A 71307-2021</t>
        </is>
      </c>
      <c r="B842" s="1" t="n">
        <v>44539</v>
      </c>
      <c r="C842" s="1" t="n">
        <v>46167</v>
      </c>
      <c r="D842" t="inlineStr">
        <is>
          <t>JÄMTLANDS LÄN</t>
        </is>
      </c>
      <c r="E842" t="inlineStr">
        <is>
          <t>KROKOM</t>
        </is>
      </c>
      <c r="G842" t="n">
        <v>21.5</v>
      </c>
      <c r="H842" t="n">
        <v>0</v>
      </c>
      <c r="I842" t="n">
        <v>0</v>
      </c>
      <c r="J842" t="n">
        <v>0</v>
      </c>
      <c r="K842" t="n">
        <v>0</v>
      </c>
      <c r="L842" t="n">
        <v>0</v>
      </c>
      <c r="M842" t="n">
        <v>0</v>
      </c>
      <c r="N842" t="n">
        <v>0</v>
      </c>
      <c r="O842" t="n">
        <v>0</v>
      </c>
      <c r="P842" t="n">
        <v>0</v>
      </c>
      <c r="Q842" t="n">
        <v>0</v>
      </c>
      <c r="R842" s="2" t="inlineStr"/>
    </row>
    <row r="843" ht="15" customHeight="1">
      <c r="A843" t="inlineStr">
        <is>
          <t>A 62710-2025</t>
        </is>
      </c>
      <c r="B843" s="1" t="n">
        <v>46008.51097222222</v>
      </c>
      <c r="C843" s="1" t="n">
        <v>46167</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33480-2024</t>
        </is>
      </c>
      <c r="B844" s="1" t="n">
        <v>45519.60965277778</v>
      </c>
      <c r="C844" s="1" t="n">
        <v>46167</v>
      </c>
      <c r="D844" t="inlineStr">
        <is>
          <t>JÄMTLANDS LÄN</t>
        </is>
      </c>
      <c r="E844" t="inlineStr">
        <is>
          <t>KROKOM</t>
        </is>
      </c>
      <c r="G844" t="n">
        <v>2.8</v>
      </c>
      <c r="H844" t="n">
        <v>0</v>
      </c>
      <c r="I844" t="n">
        <v>0</v>
      </c>
      <c r="J844" t="n">
        <v>0</v>
      </c>
      <c r="K844" t="n">
        <v>0</v>
      </c>
      <c r="L844" t="n">
        <v>0</v>
      </c>
      <c r="M844" t="n">
        <v>0</v>
      </c>
      <c r="N844" t="n">
        <v>0</v>
      </c>
      <c r="O844" t="n">
        <v>0</v>
      </c>
      <c r="P844" t="n">
        <v>0</v>
      </c>
      <c r="Q844" t="n">
        <v>0</v>
      </c>
      <c r="R844" s="2" t="inlineStr"/>
    </row>
    <row r="845" ht="15" customHeight="1">
      <c r="A845" t="inlineStr">
        <is>
          <t>A 12813-2023</t>
        </is>
      </c>
      <c r="B845" s="1" t="n">
        <v>45000</v>
      </c>
      <c r="C845" s="1" t="n">
        <v>46167</v>
      </c>
      <c r="D845" t="inlineStr">
        <is>
          <t>JÄMTLANDS LÄN</t>
        </is>
      </c>
      <c r="E845" t="inlineStr">
        <is>
          <t>KROKOM</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29379-2024</t>
        </is>
      </c>
      <c r="B846" s="1" t="n">
        <v>45483</v>
      </c>
      <c r="C846" s="1" t="n">
        <v>46167</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31426-2025</t>
        </is>
      </c>
      <c r="B847" s="1" t="n">
        <v>45833</v>
      </c>
      <c r="C847" s="1" t="n">
        <v>46167</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31427-2025</t>
        </is>
      </c>
      <c r="B848" s="1" t="n">
        <v>45833</v>
      </c>
      <c r="C848" s="1" t="n">
        <v>46167</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6656-2026</t>
        </is>
      </c>
      <c r="B849" s="1" t="n">
        <v>46056.56085648148</v>
      </c>
      <c r="C849" s="1" t="n">
        <v>46167</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65-2026</t>
        </is>
      </c>
      <c r="B850" s="1" t="n">
        <v>46014</v>
      </c>
      <c r="C850" s="1" t="n">
        <v>46167</v>
      </c>
      <c r="D850" t="inlineStr">
        <is>
          <t>JÄMTLANDS LÄN</t>
        </is>
      </c>
      <c r="E850" t="inlineStr">
        <is>
          <t>KROKOM</t>
        </is>
      </c>
      <c r="G850" t="n">
        <v>2.4</v>
      </c>
      <c r="H850" t="n">
        <v>0</v>
      </c>
      <c r="I850" t="n">
        <v>0</v>
      </c>
      <c r="J850" t="n">
        <v>0</v>
      </c>
      <c r="K850" t="n">
        <v>0</v>
      </c>
      <c r="L850" t="n">
        <v>0</v>
      </c>
      <c r="M850" t="n">
        <v>0</v>
      </c>
      <c r="N850" t="n">
        <v>0</v>
      </c>
      <c r="O850" t="n">
        <v>0</v>
      </c>
      <c r="P850" t="n">
        <v>0</v>
      </c>
      <c r="Q850" t="n">
        <v>0</v>
      </c>
      <c r="R850" s="2" t="inlineStr"/>
    </row>
    <row r="851" ht="15" customHeight="1">
      <c r="A851" t="inlineStr">
        <is>
          <t>A 63665-2025</t>
        </is>
      </c>
      <c r="B851" s="1" t="n">
        <v>46014.45636574074</v>
      </c>
      <c r="C851" s="1" t="n">
        <v>46167</v>
      </c>
      <c r="D851" t="inlineStr">
        <is>
          <t>JÄMTLANDS LÄN</t>
        </is>
      </c>
      <c r="E851" t="inlineStr">
        <is>
          <t>KROKOM</t>
        </is>
      </c>
      <c r="G851" t="n">
        <v>2.2</v>
      </c>
      <c r="H851" t="n">
        <v>0</v>
      </c>
      <c r="I851" t="n">
        <v>0</v>
      </c>
      <c r="J851" t="n">
        <v>0</v>
      </c>
      <c r="K851" t="n">
        <v>0</v>
      </c>
      <c r="L851" t="n">
        <v>0</v>
      </c>
      <c r="M851" t="n">
        <v>0</v>
      </c>
      <c r="N851" t="n">
        <v>0</v>
      </c>
      <c r="O851" t="n">
        <v>0</v>
      </c>
      <c r="P851" t="n">
        <v>0</v>
      </c>
      <c r="Q851" t="n">
        <v>0</v>
      </c>
      <c r="R851" s="2" t="inlineStr"/>
    </row>
    <row r="852" ht="15" customHeight="1">
      <c r="A852" t="inlineStr">
        <is>
          <t>A 45929-2025</t>
        </is>
      </c>
      <c r="B852" s="1" t="n">
        <v>45923</v>
      </c>
      <c r="C852" s="1" t="n">
        <v>46167</v>
      </c>
      <c r="D852" t="inlineStr">
        <is>
          <t>JÄMTLANDS LÄN</t>
        </is>
      </c>
      <c r="E852" t="inlineStr">
        <is>
          <t>KROKOM</t>
        </is>
      </c>
      <c r="G852" t="n">
        <v>7.3</v>
      </c>
      <c r="H852" t="n">
        <v>0</v>
      </c>
      <c r="I852" t="n">
        <v>0</v>
      </c>
      <c r="J852" t="n">
        <v>0</v>
      </c>
      <c r="K852" t="n">
        <v>0</v>
      </c>
      <c r="L852" t="n">
        <v>0</v>
      </c>
      <c r="M852" t="n">
        <v>0</v>
      </c>
      <c r="N852" t="n">
        <v>0</v>
      </c>
      <c r="O852" t="n">
        <v>0</v>
      </c>
      <c r="P852" t="n">
        <v>0</v>
      </c>
      <c r="Q852" t="n">
        <v>0</v>
      </c>
      <c r="R852" s="2" t="inlineStr"/>
    </row>
    <row r="853" ht="15" customHeight="1">
      <c r="A853" t="inlineStr">
        <is>
          <t>A 10133-2025</t>
        </is>
      </c>
      <c r="B853" s="1" t="n">
        <v>45719</v>
      </c>
      <c r="C853" s="1" t="n">
        <v>46167</v>
      </c>
      <c r="D853" t="inlineStr">
        <is>
          <t>JÄMTLANDS LÄN</t>
        </is>
      </c>
      <c r="E853" t="inlineStr">
        <is>
          <t>KROKOM</t>
        </is>
      </c>
      <c r="G853" t="n">
        <v>3.2</v>
      </c>
      <c r="H853" t="n">
        <v>0</v>
      </c>
      <c r="I853" t="n">
        <v>0</v>
      </c>
      <c r="J853" t="n">
        <v>0</v>
      </c>
      <c r="K853" t="n">
        <v>0</v>
      </c>
      <c r="L853" t="n">
        <v>0</v>
      </c>
      <c r="M853" t="n">
        <v>0</v>
      </c>
      <c r="N853" t="n">
        <v>0</v>
      </c>
      <c r="O853" t="n">
        <v>0</v>
      </c>
      <c r="P853" t="n">
        <v>0</v>
      </c>
      <c r="Q853" t="n">
        <v>0</v>
      </c>
      <c r="R853" s="2" t="inlineStr"/>
    </row>
    <row r="854" ht="15" customHeight="1">
      <c r="A854" t="inlineStr">
        <is>
          <t>A 31543-2025</t>
        </is>
      </c>
      <c r="B854" s="1" t="n">
        <v>45833</v>
      </c>
      <c r="C854" s="1" t="n">
        <v>46167</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15638-2025</t>
        </is>
      </c>
      <c r="B855" s="1" t="n">
        <v>45748.3822337963</v>
      </c>
      <c r="C855" s="1" t="n">
        <v>46167</v>
      </c>
      <c r="D855" t="inlineStr">
        <is>
          <t>JÄMTLANDS LÄN</t>
        </is>
      </c>
      <c r="E855" t="inlineStr">
        <is>
          <t>KROKOM</t>
        </is>
      </c>
      <c r="F855" t="inlineStr">
        <is>
          <t>Kyrkan</t>
        </is>
      </c>
      <c r="G855" t="n">
        <v>5.9</v>
      </c>
      <c r="H855" t="n">
        <v>0</v>
      </c>
      <c r="I855" t="n">
        <v>0</v>
      </c>
      <c r="J855" t="n">
        <v>0</v>
      </c>
      <c r="K855" t="n">
        <v>0</v>
      </c>
      <c r="L855" t="n">
        <v>0</v>
      </c>
      <c r="M855" t="n">
        <v>0</v>
      </c>
      <c r="N855" t="n">
        <v>0</v>
      </c>
      <c r="O855" t="n">
        <v>0</v>
      </c>
      <c r="P855" t="n">
        <v>0</v>
      </c>
      <c r="Q855" t="n">
        <v>0</v>
      </c>
      <c r="R855" s="2" t="inlineStr"/>
    </row>
    <row r="856" ht="15" customHeight="1">
      <c r="A856" t="inlineStr">
        <is>
          <t>A 692-2025</t>
        </is>
      </c>
      <c r="B856" s="1" t="n">
        <v>45662</v>
      </c>
      <c r="C856" s="1" t="n">
        <v>46167</v>
      </c>
      <c r="D856" t="inlineStr">
        <is>
          <t>JÄMTLANDS LÄN</t>
        </is>
      </c>
      <c r="E856" t="inlineStr">
        <is>
          <t>KROKOM</t>
        </is>
      </c>
      <c r="G856" t="n">
        <v>20</v>
      </c>
      <c r="H856" t="n">
        <v>0</v>
      </c>
      <c r="I856" t="n">
        <v>0</v>
      </c>
      <c r="J856" t="n">
        <v>0</v>
      </c>
      <c r="K856" t="n">
        <v>0</v>
      </c>
      <c r="L856" t="n">
        <v>0</v>
      </c>
      <c r="M856" t="n">
        <v>0</v>
      </c>
      <c r="N856" t="n">
        <v>0</v>
      </c>
      <c r="O856" t="n">
        <v>0</v>
      </c>
      <c r="P856" t="n">
        <v>0</v>
      </c>
      <c r="Q856" t="n">
        <v>0</v>
      </c>
      <c r="R856" s="2" t="inlineStr"/>
    </row>
    <row r="857" ht="15" customHeight="1">
      <c r="A857" t="inlineStr">
        <is>
          <t>A 6837-2026</t>
        </is>
      </c>
      <c r="B857" s="1" t="n">
        <v>46057.40917824074</v>
      </c>
      <c r="C857" s="1" t="n">
        <v>46167</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18942-2025</t>
        </is>
      </c>
      <c r="B858" s="1" t="n">
        <v>45764</v>
      </c>
      <c r="C858" s="1" t="n">
        <v>46167</v>
      </c>
      <c r="D858" t="inlineStr">
        <is>
          <t>JÄMTLANDS LÄN</t>
        </is>
      </c>
      <c r="E858" t="inlineStr">
        <is>
          <t>KROKOM</t>
        </is>
      </c>
      <c r="G858" t="n">
        <v>8.9</v>
      </c>
      <c r="H858" t="n">
        <v>0</v>
      </c>
      <c r="I858" t="n">
        <v>0</v>
      </c>
      <c r="J858" t="n">
        <v>0</v>
      </c>
      <c r="K858" t="n">
        <v>0</v>
      </c>
      <c r="L858" t="n">
        <v>0</v>
      </c>
      <c r="M858" t="n">
        <v>0</v>
      </c>
      <c r="N858" t="n">
        <v>0</v>
      </c>
      <c r="O858" t="n">
        <v>0</v>
      </c>
      <c r="P858" t="n">
        <v>0</v>
      </c>
      <c r="Q858" t="n">
        <v>0</v>
      </c>
      <c r="R858" s="2" t="inlineStr"/>
    </row>
    <row r="859" ht="15" customHeight="1">
      <c r="A859" t="inlineStr">
        <is>
          <t>A 41628-2024</t>
        </is>
      </c>
      <c r="B859" s="1" t="n">
        <v>45560</v>
      </c>
      <c r="C859" s="1" t="n">
        <v>46167</v>
      </c>
      <c r="D859" t="inlineStr">
        <is>
          <t>JÄMTLANDS LÄN</t>
        </is>
      </c>
      <c r="E859" t="inlineStr">
        <is>
          <t>KROKOM</t>
        </is>
      </c>
      <c r="F859" t="inlineStr">
        <is>
          <t>Övriga Aktiebolag</t>
        </is>
      </c>
      <c r="G859" t="n">
        <v>7.3</v>
      </c>
      <c r="H859" t="n">
        <v>0</v>
      </c>
      <c r="I859" t="n">
        <v>0</v>
      </c>
      <c r="J859" t="n">
        <v>0</v>
      </c>
      <c r="K859" t="n">
        <v>0</v>
      </c>
      <c r="L859" t="n">
        <v>0</v>
      </c>
      <c r="M859" t="n">
        <v>0</v>
      </c>
      <c r="N859" t="n">
        <v>0</v>
      </c>
      <c r="O859" t="n">
        <v>0</v>
      </c>
      <c r="P859" t="n">
        <v>0</v>
      </c>
      <c r="Q859" t="n">
        <v>0</v>
      </c>
      <c r="R859" s="2" t="inlineStr"/>
    </row>
    <row r="860" ht="15" customHeight="1">
      <c r="A860" t="inlineStr">
        <is>
          <t>A 57857-2025</t>
        </is>
      </c>
      <c r="B860" s="1" t="n">
        <v>45981.63960648148</v>
      </c>
      <c r="C860" s="1" t="n">
        <v>46167</v>
      </c>
      <c r="D860" t="inlineStr">
        <is>
          <t>JÄMTLANDS LÄN</t>
        </is>
      </c>
      <c r="E860" t="inlineStr">
        <is>
          <t>KROKOM</t>
        </is>
      </c>
      <c r="G860" t="n">
        <v>7.9</v>
      </c>
      <c r="H860" t="n">
        <v>0</v>
      </c>
      <c r="I860" t="n">
        <v>0</v>
      </c>
      <c r="J860" t="n">
        <v>0</v>
      </c>
      <c r="K860" t="n">
        <v>0</v>
      </c>
      <c r="L860" t="n">
        <v>0</v>
      </c>
      <c r="M860" t="n">
        <v>0</v>
      </c>
      <c r="N860" t="n">
        <v>0</v>
      </c>
      <c r="O860" t="n">
        <v>0</v>
      </c>
      <c r="P860" t="n">
        <v>0</v>
      </c>
      <c r="Q860" t="n">
        <v>0</v>
      </c>
      <c r="R860" s="2" t="inlineStr"/>
    </row>
    <row r="861" ht="15" customHeight="1">
      <c r="A861" t="inlineStr">
        <is>
          <t>A 61453-2025</t>
        </is>
      </c>
      <c r="B861" s="1" t="n">
        <v>46001.58243055556</v>
      </c>
      <c r="C861" s="1" t="n">
        <v>46167</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61454-2025</t>
        </is>
      </c>
      <c r="B862" s="1" t="n">
        <v>46001.58518518518</v>
      </c>
      <c r="C862" s="1" t="n">
        <v>46167</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24103-2025</t>
        </is>
      </c>
      <c r="B863" s="1" t="n">
        <v>45796</v>
      </c>
      <c r="C863" s="1" t="n">
        <v>46167</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61443-2025</t>
        </is>
      </c>
      <c r="B864" s="1" t="n">
        <v>46001.57354166666</v>
      </c>
      <c r="C864" s="1" t="n">
        <v>46167</v>
      </c>
      <c r="D864" t="inlineStr">
        <is>
          <t>JÄMTLANDS LÄN</t>
        </is>
      </c>
      <c r="E864" t="inlineStr">
        <is>
          <t>KROKOM</t>
        </is>
      </c>
      <c r="G864" t="n">
        <v>2.6</v>
      </c>
      <c r="H864" t="n">
        <v>0</v>
      </c>
      <c r="I864" t="n">
        <v>0</v>
      </c>
      <c r="J864" t="n">
        <v>0</v>
      </c>
      <c r="K864" t="n">
        <v>0</v>
      </c>
      <c r="L864" t="n">
        <v>0</v>
      </c>
      <c r="M864" t="n">
        <v>0</v>
      </c>
      <c r="N864" t="n">
        <v>0</v>
      </c>
      <c r="O864" t="n">
        <v>0</v>
      </c>
      <c r="P864" t="n">
        <v>0</v>
      </c>
      <c r="Q864" t="n">
        <v>0</v>
      </c>
      <c r="R864" s="2" t="inlineStr"/>
    </row>
    <row r="865" ht="15" customHeight="1">
      <c r="A865" t="inlineStr">
        <is>
          <t>A 61476-2025</t>
        </is>
      </c>
      <c r="B865" s="1" t="n">
        <v>46001.62010416666</v>
      </c>
      <c r="C865" s="1" t="n">
        <v>46167</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61478-2025</t>
        </is>
      </c>
      <c r="B866" s="1" t="n">
        <v>46001.62261574074</v>
      </c>
      <c r="C866" s="1" t="n">
        <v>46167</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52911-2023</t>
        </is>
      </c>
      <c r="B867" s="1" t="n">
        <v>45226</v>
      </c>
      <c r="C867" s="1" t="n">
        <v>46167</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63775-2025</t>
        </is>
      </c>
      <c r="B868" s="1" t="n">
        <v>46019.02924768518</v>
      </c>
      <c r="C868" s="1" t="n">
        <v>46167</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63776-2025</t>
        </is>
      </c>
      <c r="B869" s="1" t="n">
        <v>46019.2824537037</v>
      </c>
      <c r="C869" s="1" t="n">
        <v>46167</v>
      </c>
      <c r="D869" t="inlineStr">
        <is>
          <t>JÄMTLANDS LÄN</t>
        </is>
      </c>
      <c r="E869" t="inlineStr">
        <is>
          <t>KROKOM</t>
        </is>
      </c>
      <c r="F869" t="inlineStr">
        <is>
          <t>Övriga Aktiebolag</t>
        </is>
      </c>
      <c r="G869" t="n">
        <v>1.3</v>
      </c>
      <c r="H869" t="n">
        <v>0</v>
      </c>
      <c r="I869" t="n">
        <v>0</v>
      </c>
      <c r="J869" t="n">
        <v>0</v>
      </c>
      <c r="K869" t="n">
        <v>0</v>
      </c>
      <c r="L869" t="n">
        <v>0</v>
      </c>
      <c r="M869" t="n">
        <v>0</v>
      </c>
      <c r="N869" t="n">
        <v>0</v>
      </c>
      <c r="O869" t="n">
        <v>0</v>
      </c>
      <c r="P869" t="n">
        <v>0</v>
      </c>
      <c r="Q869" t="n">
        <v>0</v>
      </c>
      <c r="R869" s="2" t="inlineStr"/>
    </row>
    <row r="870" ht="15" customHeight="1">
      <c r="A870" t="inlineStr">
        <is>
          <t>A 63768-2025</t>
        </is>
      </c>
      <c r="B870" s="1" t="n">
        <v>46018.93873842592</v>
      </c>
      <c r="C870" s="1" t="n">
        <v>46167</v>
      </c>
      <c r="D870" t="inlineStr">
        <is>
          <t>JÄMTLANDS LÄN</t>
        </is>
      </c>
      <c r="E870" t="inlineStr">
        <is>
          <t>KROKOM</t>
        </is>
      </c>
      <c r="G870" t="n">
        <v>3.6</v>
      </c>
      <c r="H870" t="n">
        <v>0</v>
      </c>
      <c r="I870" t="n">
        <v>0</v>
      </c>
      <c r="J870" t="n">
        <v>0</v>
      </c>
      <c r="K870" t="n">
        <v>0</v>
      </c>
      <c r="L870" t="n">
        <v>0</v>
      </c>
      <c r="M870" t="n">
        <v>0</v>
      </c>
      <c r="N870" t="n">
        <v>0</v>
      </c>
      <c r="O870" t="n">
        <v>0</v>
      </c>
      <c r="P870" t="n">
        <v>0</v>
      </c>
      <c r="Q870" t="n">
        <v>0</v>
      </c>
      <c r="R870" s="2" t="inlineStr"/>
    </row>
    <row r="871" ht="15" customHeight="1">
      <c r="A871" t="inlineStr">
        <is>
          <t>A 63769-2025</t>
        </is>
      </c>
      <c r="B871" s="1" t="n">
        <v>46018.93935185186</v>
      </c>
      <c r="C871" s="1" t="n">
        <v>46167</v>
      </c>
      <c r="D871" t="inlineStr">
        <is>
          <t>JÄMTLANDS LÄN</t>
        </is>
      </c>
      <c r="E871" t="inlineStr">
        <is>
          <t>KROKOM</t>
        </is>
      </c>
      <c r="G871" t="n">
        <v>2.8</v>
      </c>
      <c r="H871" t="n">
        <v>0</v>
      </c>
      <c r="I871" t="n">
        <v>0</v>
      </c>
      <c r="J871" t="n">
        <v>0</v>
      </c>
      <c r="K871" t="n">
        <v>0</v>
      </c>
      <c r="L871" t="n">
        <v>0</v>
      </c>
      <c r="M871" t="n">
        <v>0</v>
      </c>
      <c r="N871" t="n">
        <v>0</v>
      </c>
      <c r="O871" t="n">
        <v>0</v>
      </c>
      <c r="P871" t="n">
        <v>0</v>
      </c>
      <c r="Q871" t="n">
        <v>0</v>
      </c>
      <c r="R871" s="2" t="inlineStr"/>
    </row>
    <row r="872" ht="15" customHeight="1">
      <c r="A872" t="inlineStr">
        <is>
          <t>A 63770-2025</t>
        </is>
      </c>
      <c r="B872" s="1" t="n">
        <v>46018.93976851852</v>
      </c>
      <c r="C872" s="1" t="n">
        <v>46167</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63772-2025</t>
        </is>
      </c>
      <c r="B873" s="1" t="n">
        <v>46018.98585648148</v>
      </c>
      <c r="C873" s="1" t="n">
        <v>46167</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44296-2024</t>
        </is>
      </c>
      <c r="B874" s="1" t="n">
        <v>45573.54893518519</v>
      </c>
      <c r="C874" s="1" t="n">
        <v>46167</v>
      </c>
      <c r="D874" t="inlineStr">
        <is>
          <t>JÄMTLANDS LÄN</t>
        </is>
      </c>
      <c r="E874" t="inlineStr">
        <is>
          <t>KROKOM</t>
        </is>
      </c>
      <c r="G874" t="n">
        <v>6.1</v>
      </c>
      <c r="H874" t="n">
        <v>0</v>
      </c>
      <c r="I874" t="n">
        <v>0</v>
      </c>
      <c r="J874" t="n">
        <v>0</v>
      </c>
      <c r="K874" t="n">
        <v>0</v>
      </c>
      <c r="L874" t="n">
        <v>0</v>
      </c>
      <c r="M874" t="n">
        <v>0</v>
      </c>
      <c r="N874" t="n">
        <v>0</v>
      </c>
      <c r="O874" t="n">
        <v>0</v>
      </c>
      <c r="P874" t="n">
        <v>0</v>
      </c>
      <c r="Q874" t="n">
        <v>0</v>
      </c>
      <c r="R874" s="2" t="inlineStr"/>
    </row>
    <row r="875" ht="15" customHeight="1">
      <c r="A875" t="inlineStr">
        <is>
          <t>A 52111-2024</t>
        </is>
      </c>
      <c r="B875" s="1" t="n">
        <v>45608.43930555556</v>
      </c>
      <c r="C875" s="1" t="n">
        <v>46167</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34902-2024</t>
        </is>
      </c>
      <c r="B876" s="1" t="n">
        <v>45527.39858796296</v>
      </c>
      <c r="C876" s="1" t="n">
        <v>46167</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63771-2025</t>
        </is>
      </c>
      <c r="B877" s="1" t="n">
        <v>46018.98166666667</v>
      </c>
      <c r="C877" s="1" t="n">
        <v>46167</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63774-2025</t>
        </is>
      </c>
      <c r="B878" s="1" t="n">
        <v>46019.01190972222</v>
      </c>
      <c r="C878" s="1" t="n">
        <v>46167</v>
      </c>
      <c r="D878" t="inlineStr">
        <is>
          <t>JÄMTLANDS LÄN</t>
        </is>
      </c>
      <c r="E878" t="inlineStr">
        <is>
          <t>KROKOM</t>
        </is>
      </c>
      <c r="G878" t="n">
        <v>4.1</v>
      </c>
      <c r="H878" t="n">
        <v>0</v>
      </c>
      <c r="I878" t="n">
        <v>0</v>
      </c>
      <c r="J878" t="n">
        <v>0</v>
      </c>
      <c r="K878" t="n">
        <v>0</v>
      </c>
      <c r="L878" t="n">
        <v>0</v>
      </c>
      <c r="M878" t="n">
        <v>0</v>
      </c>
      <c r="N878" t="n">
        <v>0</v>
      </c>
      <c r="O878" t="n">
        <v>0</v>
      </c>
      <c r="P878" t="n">
        <v>0</v>
      </c>
      <c r="Q878" t="n">
        <v>0</v>
      </c>
      <c r="R878" s="2" t="inlineStr"/>
    </row>
    <row r="879" ht="15" customHeight="1">
      <c r="A879" t="inlineStr">
        <is>
          <t>A 50255-2024</t>
        </is>
      </c>
      <c r="B879" s="1" t="n">
        <v>45600.58076388889</v>
      </c>
      <c r="C879" s="1" t="n">
        <v>46167</v>
      </c>
      <c r="D879" t="inlineStr">
        <is>
          <t>JÄMTLANDS LÄN</t>
        </is>
      </c>
      <c r="E879" t="inlineStr">
        <is>
          <t>KROKOM</t>
        </is>
      </c>
      <c r="G879" t="n">
        <v>4</v>
      </c>
      <c r="H879" t="n">
        <v>0</v>
      </c>
      <c r="I879" t="n">
        <v>0</v>
      </c>
      <c r="J879" t="n">
        <v>0</v>
      </c>
      <c r="K879" t="n">
        <v>0</v>
      </c>
      <c r="L879" t="n">
        <v>0</v>
      </c>
      <c r="M879" t="n">
        <v>0</v>
      </c>
      <c r="N879" t="n">
        <v>0</v>
      </c>
      <c r="O879" t="n">
        <v>0</v>
      </c>
      <c r="P879" t="n">
        <v>0</v>
      </c>
      <c r="Q879" t="n">
        <v>0</v>
      </c>
      <c r="R879" s="2" t="inlineStr"/>
    </row>
    <row r="880" ht="15" customHeight="1">
      <c r="A880" t="inlineStr">
        <is>
          <t>A 10773-2024</t>
        </is>
      </c>
      <c r="B880" s="1" t="n">
        <v>45369</v>
      </c>
      <c r="C880" s="1" t="n">
        <v>46167</v>
      </c>
      <c r="D880" t="inlineStr">
        <is>
          <t>JÄMTLANDS LÄN</t>
        </is>
      </c>
      <c r="E880" t="inlineStr">
        <is>
          <t>KROKOM</t>
        </is>
      </c>
      <c r="G880" t="n">
        <v>27.1</v>
      </c>
      <c r="H880" t="n">
        <v>0</v>
      </c>
      <c r="I880" t="n">
        <v>0</v>
      </c>
      <c r="J880" t="n">
        <v>0</v>
      </c>
      <c r="K880" t="n">
        <v>0</v>
      </c>
      <c r="L880" t="n">
        <v>0</v>
      </c>
      <c r="M880" t="n">
        <v>0</v>
      </c>
      <c r="N880" t="n">
        <v>0</v>
      </c>
      <c r="O880" t="n">
        <v>0</v>
      </c>
      <c r="P880" t="n">
        <v>0</v>
      </c>
      <c r="Q880" t="n">
        <v>0</v>
      </c>
      <c r="R880" s="2" t="inlineStr"/>
    </row>
    <row r="881" ht="15" customHeight="1">
      <c r="A881" t="inlineStr">
        <is>
          <t>A 63850-2025</t>
        </is>
      </c>
      <c r="B881" s="1" t="n">
        <v>46020.45539351852</v>
      </c>
      <c r="C881" s="1" t="n">
        <v>46167</v>
      </c>
      <c r="D881" t="inlineStr">
        <is>
          <t>JÄMTLANDS LÄN</t>
        </is>
      </c>
      <c r="E881" t="inlineStr">
        <is>
          <t>KROKOM</t>
        </is>
      </c>
      <c r="G881" t="n">
        <v>4.5</v>
      </c>
      <c r="H881" t="n">
        <v>0</v>
      </c>
      <c r="I881" t="n">
        <v>0</v>
      </c>
      <c r="J881" t="n">
        <v>0</v>
      </c>
      <c r="K881" t="n">
        <v>0</v>
      </c>
      <c r="L881" t="n">
        <v>0</v>
      </c>
      <c r="M881" t="n">
        <v>0</v>
      </c>
      <c r="N881" t="n">
        <v>0</v>
      </c>
      <c r="O881" t="n">
        <v>0</v>
      </c>
      <c r="P881" t="n">
        <v>0</v>
      </c>
      <c r="Q881" t="n">
        <v>0</v>
      </c>
      <c r="R881" s="2" t="inlineStr"/>
    </row>
    <row r="882" ht="15" customHeight="1">
      <c r="A882" t="inlineStr">
        <is>
          <t>A 63773-2025</t>
        </is>
      </c>
      <c r="B882" s="1" t="n">
        <v>46019.00192129629</v>
      </c>
      <c r="C882" s="1" t="n">
        <v>46167</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53543-2024</t>
        </is>
      </c>
      <c r="B883" s="1" t="n">
        <v>45614.63697916667</v>
      </c>
      <c r="C883" s="1" t="n">
        <v>46167</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9313-2025</t>
        </is>
      </c>
      <c r="B884" s="1" t="n">
        <v>45714.69212962963</v>
      </c>
      <c r="C884" s="1" t="n">
        <v>46167</v>
      </c>
      <c r="D884" t="inlineStr">
        <is>
          <t>JÄMTLANDS LÄN</t>
        </is>
      </c>
      <c r="E884" t="inlineStr">
        <is>
          <t>KROKOM</t>
        </is>
      </c>
      <c r="F884" t="inlineStr">
        <is>
          <t>Kyrkan</t>
        </is>
      </c>
      <c r="G884" t="n">
        <v>3.3</v>
      </c>
      <c r="H884" t="n">
        <v>0</v>
      </c>
      <c r="I884" t="n">
        <v>0</v>
      </c>
      <c r="J884" t="n">
        <v>0</v>
      </c>
      <c r="K884" t="n">
        <v>0</v>
      </c>
      <c r="L884" t="n">
        <v>0</v>
      </c>
      <c r="M884" t="n">
        <v>0</v>
      </c>
      <c r="N884" t="n">
        <v>0</v>
      </c>
      <c r="O884" t="n">
        <v>0</v>
      </c>
      <c r="P884" t="n">
        <v>0</v>
      </c>
      <c r="Q884" t="n">
        <v>0</v>
      </c>
      <c r="R884" s="2" t="inlineStr"/>
    </row>
    <row r="885" ht="15" customHeight="1">
      <c r="A885" t="inlineStr">
        <is>
          <t>A 40213-2024</t>
        </is>
      </c>
      <c r="B885" s="1" t="n">
        <v>45554.59447916667</v>
      </c>
      <c r="C885" s="1" t="n">
        <v>46167</v>
      </c>
      <c r="D885" t="inlineStr">
        <is>
          <t>JÄMTLANDS LÄN</t>
        </is>
      </c>
      <c r="E885" t="inlineStr">
        <is>
          <t>KROKOM</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34517-2024</t>
        </is>
      </c>
      <c r="B886" s="1" t="n">
        <v>45525</v>
      </c>
      <c r="C886" s="1" t="n">
        <v>46167</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46785-2024</t>
        </is>
      </c>
      <c r="B887" s="1" t="n">
        <v>45583.52885416667</v>
      </c>
      <c r="C887" s="1" t="n">
        <v>46167</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16129-2025</t>
        </is>
      </c>
      <c r="B888" s="1" t="n">
        <v>45750.42650462963</v>
      </c>
      <c r="C888" s="1" t="n">
        <v>46167</v>
      </c>
      <c r="D888" t="inlineStr">
        <is>
          <t>JÄMTLANDS LÄN</t>
        </is>
      </c>
      <c r="E888" t="inlineStr">
        <is>
          <t>KROKOM</t>
        </is>
      </c>
      <c r="G888" t="n">
        <v>3</v>
      </c>
      <c r="H888" t="n">
        <v>0</v>
      </c>
      <c r="I888" t="n">
        <v>0</v>
      </c>
      <c r="J888" t="n">
        <v>0</v>
      </c>
      <c r="K888" t="n">
        <v>0</v>
      </c>
      <c r="L888" t="n">
        <v>0</v>
      </c>
      <c r="M888" t="n">
        <v>0</v>
      </c>
      <c r="N888" t="n">
        <v>0</v>
      </c>
      <c r="O888" t="n">
        <v>0</v>
      </c>
      <c r="P888" t="n">
        <v>0</v>
      </c>
      <c r="Q888" t="n">
        <v>0</v>
      </c>
      <c r="R888" s="2" t="inlineStr"/>
    </row>
    <row r="889" ht="15" customHeight="1">
      <c r="A889" t="inlineStr">
        <is>
          <t>A 30-2026</t>
        </is>
      </c>
      <c r="B889" s="1" t="n">
        <v>46024.35299768519</v>
      </c>
      <c r="C889" s="1" t="n">
        <v>46167</v>
      </c>
      <c r="D889" t="inlineStr">
        <is>
          <t>JÄMTLANDS LÄN</t>
        </is>
      </c>
      <c r="E889" t="inlineStr">
        <is>
          <t>KROKOM</t>
        </is>
      </c>
      <c r="F889" t="inlineStr">
        <is>
          <t>Övriga Aktiebolag</t>
        </is>
      </c>
      <c r="G889" t="n">
        <v>13.5</v>
      </c>
      <c r="H889" t="n">
        <v>0</v>
      </c>
      <c r="I889" t="n">
        <v>0</v>
      </c>
      <c r="J889" t="n">
        <v>0</v>
      </c>
      <c r="K889" t="n">
        <v>0</v>
      </c>
      <c r="L889" t="n">
        <v>0</v>
      </c>
      <c r="M889" t="n">
        <v>0</v>
      </c>
      <c r="N889" t="n">
        <v>0</v>
      </c>
      <c r="O889" t="n">
        <v>0</v>
      </c>
      <c r="P889" t="n">
        <v>0</v>
      </c>
      <c r="Q889" t="n">
        <v>0</v>
      </c>
      <c r="R889" s="2" t="inlineStr"/>
    </row>
    <row r="890" ht="15" customHeight="1">
      <c r="A890" t="inlineStr">
        <is>
          <t>A 18583-2025</t>
        </is>
      </c>
      <c r="B890" s="1" t="n">
        <v>45763.46918981482</v>
      </c>
      <c r="C890" s="1" t="n">
        <v>46167</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28191-2024</t>
        </is>
      </c>
      <c r="B891" s="1" t="n">
        <v>45477.32728009259</v>
      </c>
      <c r="C891" s="1" t="n">
        <v>46167</v>
      </c>
      <c r="D891" t="inlineStr">
        <is>
          <t>JÄMTLANDS LÄN</t>
        </is>
      </c>
      <c r="E891" t="inlineStr">
        <is>
          <t>KROKOM</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24441-2022</t>
        </is>
      </c>
      <c r="B892" s="1" t="n">
        <v>44726</v>
      </c>
      <c r="C892" s="1" t="n">
        <v>46167</v>
      </c>
      <c r="D892" t="inlineStr">
        <is>
          <t>JÄMTLANDS LÄN</t>
        </is>
      </c>
      <c r="E892" t="inlineStr">
        <is>
          <t>KROKOM</t>
        </is>
      </c>
      <c r="G892" t="n">
        <v>12.1</v>
      </c>
      <c r="H892" t="n">
        <v>0</v>
      </c>
      <c r="I892" t="n">
        <v>0</v>
      </c>
      <c r="J892" t="n">
        <v>0</v>
      </c>
      <c r="K892" t="n">
        <v>0</v>
      </c>
      <c r="L892" t="n">
        <v>0</v>
      </c>
      <c r="M892" t="n">
        <v>0</v>
      </c>
      <c r="N892" t="n">
        <v>0</v>
      </c>
      <c r="O892" t="n">
        <v>0</v>
      </c>
      <c r="P892" t="n">
        <v>0</v>
      </c>
      <c r="Q892" t="n">
        <v>0</v>
      </c>
      <c r="R892" s="2" t="inlineStr"/>
    </row>
    <row r="893" ht="15" customHeight="1">
      <c r="A893" t="inlineStr">
        <is>
          <t>A 502-2026</t>
        </is>
      </c>
      <c r="B893" s="1" t="n">
        <v>46029.43747685185</v>
      </c>
      <c r="C893" s="1" t="n">
        <v>46167</v>
      </c>
      <c r="D893" t="inlineStr">
        <is>
          <t>JÄMTLANDS LÄN</t>
        </is>
      </c>
      <c r="E893" t="inlineStr">
        <is>
          <t>KROKOM</t>
        </is>
      </c>
      <c r="G893" t="n">
        <v>5.5</v>
      </c>
      <c r="H893" t="n">
        <v>0</v>
      </c>
      <c r="I893" t="n">
        <v>0</v>
      </c>
      <c r="J893" t="n">
        <v>0</v>
      </c>
      <c r="K893" t="n">
        <v>0</v>
      </c>
      <c r="L893" t="n">
        <v>0</v>
      </c>
      <c r="M893" t="n">
        <v>0</v>
      </c>
      <c r="N893" t="n">
        <v>0</v>
      </c>
      <c r="O893" t="n">
        <v>0</v>
      </c>
      <c r="P893" t="n">
        <v>0</v>
      </c>
      <c r="Q893" t="n">
        <v>0</v>
      </c>
      <c r="R893" s="2" t="inlineStr"/>
    </row>
    <row r="894" ht="15" customHeight="1">
      <c r="A894" t="inlineStr">
        <is>
          <t>A 16545-2024</t>
        </is>
      </c>
      <c r="B894" s="1" t="n">
        <v>45408</v>
      </c>
      <c r="C894" s="1" t="n">
        <v>46167</v>
      </c>
      <c r="D894" t="inlineStr">
        <is>
          <t>JÄMTLANDS LÄN</t>
        </is>
      </c>
      <c r="E894" t="inlineStr">
        <is>
          <t>KROKOM</t>
        </is>
      </c>
      <c r="G894" t="n">
        <v>46.1</v>
      </c>
      <c r="H894" t="n">
        <v>0</v>
      </c>
      <c r="I894" t="n">
        <v>0</v>
      </c>
      <c r="J894" t="n">
        <v>0</v>
      </c>
      <c r="K894" t="n">
        <v>0</v>
      </c>
      <c r="L894" t="n">
        <v>0</v>
      </c>
      <c r="M894" t="n">
        <v>0</v>
      </c>
      <c r="N894" t="n">
        <v>0</v>
      </c>
      <c r="O894" t="n">
        <v>0</v>
      </c>
      <c r="P894" t="n">
        <v>0</v>
      </c>
      <c r="Q894" t="n">
        <v>0</v>
      </c>
      <c r="R894" s="2" t="inlineStr"/>
    </row>
    <row r="895" ht="15" customHeight="1">
      <c r="A895" t="inlineStr">
        <is>
          <t>A 400-2026</t>
        </is>
      </c>
      <c r="B895" s="1" t="n">
        <v>46028.65902777778</v>
      </c>
      <c r="C895" s="1" t="n">
        <v>46167</v>
      </c>
      <c r="D895" t="inlineStr">
        <is>
          <t>JÄMTLANDS LÄN</t>
        </is>
      </c>
      <c r="E895" t="inlineStr">
        <is>
          <t>KROKOM</t>
        </is>
      </c>
      <c r="G895" t="n">
        <v>4.1</v>
      </c>
      <c r="H895" t="n">
        <v>0</v>
      </c>
      <c r="I895" t="n">
        <v>0</v>
      </c>
      <c r="J895" t="n">
        <v>0</v>
      </c>
      <c r="K895" t="n">
        <v>0</v>
      </c>
      <c r="L895" t="n">
        <v>0</v>
      </c>
      <c r="M895" t="n">
        <v>0</v>
      </c>
      <c r="N895" t="n">
        <v>0</v>
      </c>
      <c r="O895" t="n">
        <v>0</v>
      </c>
      <c r="P895" t="n">
        <v>0</v>
      </c>
      <c r="Q895" t="n">
        <v>0</v>
      </c>
      <c r="R895" s="2" t="inlineStr"/>
    </row>
    <row r="896" ht="15" customHeight="1">
      <c r="A896" t="inlineStr">
        <is>
          <t>A 504-2026</t>
        </is>
      </c>
      <c r="B896" s="1" t="n">
        <v>46029.43922453704</v>
      </c>
      <c r="C896" s="1" t="n">
        <v>46167</v>
      </c>
      <c r="D896" t="inlineStr">
        <is>
          <t>JÄMTLANDS LÄN</t>
        </is>
      </c>
      <c r="E896" t="inlineStr">
        <is>
          <t>KROKOM</t>
        </is>
      </c>
      <c r="G896" t="n">
        <v>3.6</v>
      </c>
      <c r="H896" t="n">
        <v>0</v>
      </c>
      <c r="I896" t="n">
        <v>0</v>
      </c>
      <c r="J896" t="n">
        <v>0</v>
      </c>
      <c r="K896" t="n">
        <v>0</v>
      </c>
      <c r="L896" t="n">
        <v>0</v>
      </c>
      <c r="M896" t="n">
        <v>0</v>
      </c>
      <c r="N896" t="n">
        <v>0</v>
      </c>
      <c r="O896" t="n">
        <v>0</v>
      </c>
      <c r="P896" t="n">
        <v>0</v>
      </c>
      <c r="Q896" t="n">
        <v>0</v>
      </c>
      <c r="R896" s="2" t="inlineStr"/>
    </row>
    <row r="897" ht="15" customHeight="1">
      <c r="A897" t="inlineStr">
        <is>
          <t>A 31821-2023</t>
        </is>
      </c>
      <c r="B897" s="1" t="n">
        <v>45118</v>
      </c>
      <c r="C897" s="1" t="n">
        <v>46167</v>
      </c>
      <c r="D897" t="inlineStr">
        <is>
          <t>JÄMTLANDS LÄN</t>
        </is>
      </c>
      <c r="E897" t="inlineStr">
        <is>
          <t>KROKOM</t>
        </is>
      </c>
      <c r="G897" t="n">
        <v>0.1</v>
      </c>
      <c r="H897" t="n">
        <v>0</v>
      </c>
      <c r="I897" t="n">
        <v>0</v>
      </c>
      <c r="J897" t="n">
        <v>0</v>
      </c>
      <c r="K897" t="n">
        <v>0</v>
      </c>
      <c r="L897" t="n">
        <v>0</v>
      </c>
      <c r="M897" t="n">
        <v>0</v>
      </c>
      <c r="N897" t="n">
        <v>0</v>
      </c>
      <c r="O897" t="n">
        <v>0</v>
      </c>
      <c r="P897" t="n">
        <v>0</v>
      </c>
      <c r="Q897" t="n">
        <v>0</v>
      </c>
      <c r="R897" s="2" t="inlineStr"/>
    </row>
    <row r="898" ht="15" customHeight="1">
      <c r="A898" t="inlineStr">
        <is>
          <t>A 5173-2025</t>
        </is>
      </c>
      <c r="B898" s="1" t="n">
        <v>45691.61996527778</v>
      </c>
      <c r="C898" s="1" t="n">
        <v>46167</v>
      </c>
      <c r="D898" t="inlineStr">
        <is>
          <t>JÄMTLANDS LÄN</t>
        </is>
      </c>
      <c r="E898" t="inlineStr">
        <is>
          <t>KROKOM</t>
        </is>
      </c>
      <c r="F898" t="inlineStr">
        <is>
          <t>Kyrkan</t>
        </is>
      </c>
      <c r="G898" t="n">
        <v>6.6</v>
      </c>
      <c r="H898" t="n">
        <v>0</v>
      </c>
      <c r="I898" t="n">
        <v>0</v>
      </c>
      <c r="J898" t="n">
        <v>0</v>
      </c>
      <c r="K898" t="n">
        <v>0</v>
      </c>
      <c r="L898" t="n">
        <v>0</v>
      </c>
      <c r="M898" t="n">
        <v>0</v>
      </c>
      <c r="N898" t="n">
        <v>0</v>
      </c>
      <c r="O898" t="n">
        <v>0</v>
      </c>
      <c r="P898" t="n">
        <v>0</v>
      </c>
      <c r="Q898" t="n">
        <v>0</v>
      </c>
      <c r="R898" s="2" t="inlineStr"/>
    </row>
    <row r="899" ht="15" customHeight="1">
      <c r="A899" t="inlineStr">
        <is>
          <t>A 23512-2022</t>
        </is>
      </c>
      <c r="B899" s="1" t="n">
        <v>44721.39003472222</v>
      </c>
      <c r="C899" s="1" t="n">
        <v>46167</v>
      </c>
      <c r="D899" t="inlineStr">
        <is>
          <t>JÄMTLANDS LÄN</t>
        </is>
      </c>
      <c r="E899" t="inlineStr">
        <is>
          <t>KROKOM</t>
        </is>
      </c>
      <c r="F899" t="inlineStr">
        <is>
          <t>Övriga Aktiebolag</t>
        </is>
      </c>
      <c r="G899" t="n">
        <v>4.8</v>
      </c>
      <c r="H899" t="n">
        <v>0</v>
      </c>
      <c r="I899" t="n">
        <v>0</v>
      </c>
      <c r="J899" t="n">
        <v>0</v>
      </c>
      <c r="K899" t="n">
        <v>0</v>
      </c>
      <c r="L899" t="n">
        <v>0</v>
      </c>
      <c r="M899" t="n">
        <v>0</v>
      </c>
      <c r="N899" t="n">
        <v>0</v>
      </c>
      <c r="O899" t="n">
        <v>0</v>
      </c>
      <c r="P899" t="n">
        <v>0</v>
      </c>
      <c r="Q899" t="n">
        <v>0</v>
      </c>
      <c r="R899" s="2" t="inlineStr"/>
    </row>
    <row r="900" ht="15" customHeight="1">
      <c r="A900" t="inlineStr">
        <is>
          <t>A 869-2026</t>
        </is>
      </c>
      <c r="B900" s="1" t="n">
        <v>46030.43342592593</v>
      </c>
      <c r="C900" s="1" t="n">
        <v>46167</v>
      </c>
      <c r="D900" t="inlineStr">
        <is>
          <t>JÄMTLANDS LÄN</t>
        </is>
      </c>
      <c r="E900" t="inlineStr">
        <is>
          <t>KROKOM</t>
        </is>
      </c>
      <c r="G900" t="n">
        <v>2.6</v>
      </c>
      <c r="H900" t="n">
        <v>0</v>
      </c>
      <c r="I900" t="n">
        <v>0</v>
      </c>
      <c r="J900" t="n">
        <v>0</v>
      </c>
      <c r="K900" t="n">
        <v>0</v>
      </c>
      <c r="L900" t="n">
        <v>0</v>
      </c>
      <c r="M900" t="n">
        <v>0</v>
      </c>
      <c r="N900" t="n">
        <v>0</v>
      </c>
      <c r="O900" t="n">
        <v>0</v>
      </c>
      <c r="P900" t="n">
        <v>0</v>
      </c>
      <c r="Q900" t="n">
        <v>0</v>
      </c>
      <c r="R900" s="2" t="inlineStr"/>
    </row>
    <row r="901" ht="15" customHeight="1">
      <c r="A901" t="inlineStr">
        <is>
          <t>A 233-2023</t>
        </is>
      </c>
      <c r="B901" s="1" t="n">
        <v>44922</v>
      </c>
      <c r="C901" s="1" t="n">
        <v>46167</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15422-2025</t>
        </is>
      </c>
      <c r="B902" s="1" t="n">
        <v>45746</v>
      </c>
      <c r="C902" s="1" t="n">
        <v>46167</v>
      </c>
      <c r="D902" t="inlineStr">
        <is>
          <t>JÄMTLANDS LÄN</t>
        </is>
      </c>
      <c r="E902" t="inlineStr">
        <is>
          <t>KROKOM</t>
        </is>
      </c>
      <c r="F902" t="inlineStr">
        <is>
          <t>SCA</t>
        </is>
      </c>
      <c r="G902" t="n">
        <v>12.9</v>
      </c>
      <c r="H902" t="n">
        <v>0</v>
      </c>
      <c r="I902" t="n">
        <v>0</v>
      </c>
      <c r="J902" t="n">
        <v>0</v>
      </c>
      <c r="K902" t="n">
        <v>0</v>
      </c>
      <c r="L902" t="n">
        <v>0</v>
      </c>
      <c r="M902" t="n">
        <v>0</v>
      </c>
      <c r="N902" t="n">
        <v>0</v>
      </c>
      <c r="O902" t="n">
        <v>0</v>
      </c>
      <c r="P902" t="n">
        <v>0</v>
      </c>
      <c r="Q902" t="n">
        <v>0</v>
      </c>
      <c r="R902" s="2" t="inlineStr"/>
    </row>
    <row r="903" ht="15" customHeight="1">
      <c r="A903" t="inlineStr">
        <is>
          <t>A 1653-2026</t>
        </is>
      </c>
      <c r="B903" s="1" t="n">
        <v>46034.53180555555</v>
      </c>
      <c r="C903" s="1" t="n">
        <v>46167</v>
      </c>
      <c r="D903" t="inlineStr">
        <is>
          <t>JÄMTLANDS LÄN</t>
        </is>
      </c>
      <c r="E903" t="inlineStr">
        <is>
          <t>KROKOM</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16817-2024</t>
        </is>
      </c>
      <c r="B904" s="1" t="n">
        <v>45411.4666087963</v>
      </c>
      <c r="C904" s="1" t="n">
        <v>46167</v>
      </c>
      <c r="D904" t="inlineStr">
        <is>
          <t>JÄMTLANDS LÄN</t>
        </is>
      </c>
      <c r="E904" t="inlineStr">
        <is>
          <t>KROKOM</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64299-2021</t>
        </is>
      </c>
      <c r="B905" s="1" t="n">
        <v>44510.9491087963</v>
      </c>
      <c r="C905" s="1" t="n">
        <v>46167</v>
      </c>
      <c r="D905" t="inlineStr">
        <is>
          <t>JÄMTLANDS LÄN</t>
        </is>
      </c>
      <c r="E905" t="inlineStr">
        <is>
          <t>KROKOM</t>
        </is>
      </c>
      <c r="G905" t="n">
        <v>3.7</v>
      </c>
      <c r="H905" t="n">
        <v>0</v>
      </c>
      <c r="I905" t="n">
        <v>0</v>
      </c>
      <c r="J905" t="n">
        <v>0</v>
      </c>
      <c r="K905" t="n">
        <v>0</v>
      </c>
      <c r="L905" t="n">
        <v>0</v>
      </c>
      <c r="M905" t="n">
        <v>0</v>
      </c>
      <c r="N905" t="n">
        <v>0</v>
      </c>
      <c r="O905" t="n">
        <v>0</v>
      </c>
      <c r="P905" t="n">
        <v>0</v>
      </c>
      <c r="Q905" t="n">
        <v>0</v>
      </c>
      <c r="R905" s="2" t="inlineStr"/>
    </row>
    <row r="906" ht="15" customHeight="1">
      <c r="A906" t="inlineStr">
        <is>
          <t>A 50919-2024</t>
        </is>
      </c>
      <c r="B906" s="1" t="n">
        <v>45602</v>
      </c>
      <c r="C906" s="1" t="n">
        <v>46167</v>
      </c>
      <c r="D906" t="inlineStr">
        <is>
          <t>JÄMTLANDS LÄN</t>
        </is>
      </c>
      <c r="E906" t="inlineStr">
        <is>
          <t>KROKOM</t>
        </is>
      </c>
      <c r="G906" t="n">
        <v>33.7</v>
      </c>
      <c r="H906" t="n">
        <v>0</v>
      </c>
      <c r="I906" t="n">
        <v>0</v>
      </c>
      <c r="J906" t="n">
        <v>0</v>
      </c>
      <c r="K906" t="n">
        <v>0</v>
      </c>
      <c r="L906" t="n">
        <v>0</v>
      </c>
      <c r="M906" t="n">
        <v>0</v>
      </c>
      <c r="N906" t="n">
        <v>0</v>
      </c>
      <c r="O906" t="n">
        <v>0</v>
      </c>
      <c r="P906" t="n">
        <v>0</v>
      </c>
      <c r="Q906" t="n">
        <v>0</v>
      </c>
      <c r="R906" s="2" t="inlineStr"/>
    </row>
    <row r="907" ht="15" customHeight="1">
      <c r="A907" t="inlineStr">
        <is>
          <t>A 23507-2024</t>
        </is>
      </c>
      <c r="B907" s="1" t="n">
        <v>45453</v>
      </c>
      <c r="C907" s="1" t="n">
        <v>46167</v>
      </c>
      <c r="D907" t="inlineStr">
        <is>
          <t>JÄMTLANDS LÄN</t>
        </is>
      </c>
      <c r="E907" t="inlineStr">
        <is>
          <t>KROKOM</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1965-2026</t>
        </is>
      </c>
      <c r="B908" s="1" t="n">
        <v>46035.63621527778</v>
      </c>
      <c r="C908" s="1" t="n">
        <v>46167</v>
      </c>
      <c r="D908" t="inlineStr">
        <is>
          <t>JÄMTLANDS LÄN</t>
        </is>
      </c>
      <c r="E908" t="inlineStr">
        <is>
          <t>KROKOM</t>
        </is>
      </c>
      <c r="F908" t="inlineStr">
        <is>
          <t>SCA</t>
        </is>
      </c>
      <c r="G908" t="n">
        <v>30</v>
      </c>
      <c r="H908" t="n">
        <v>0</v>
      </c>
      <c r="I908" t="n">
        <v>0</v>
      </c>
      <c r="J908" t="n">
        <v>0</v>
      </c>
      <c r="K908" t="n">
        <v>0</v>
      </c>
      <c r="L908" t="n">
        <v>0</v>
      </c>
      <c r="M908" t="n">
        <v>0</v>
      </c>
      <c r="N908" t="n">
        <v>0</v>
      </c>
      <c r="O908" t="n">
        <v>0</v>
      </c>
      <c r="P908" t="n">
        <v>0</v>
      </c>
      <c r="Q908" t="n">
        <v>0</v>
      </c>
      <c r="R908" s="2" t="inlineStr"/>
    </row>
    <row r="909" ht="15" customHeight="1">
      <c r="A909" t="inlineStr">
        <is>
          <t>A 52578-2021</t>
        </is>
      </c>
      <c r="B909" s="1" t="n">
        <v>44466.56642361111</v>
      </c>
      <c r="C909" s="1" t="n">
        <v>46167</v>
      </c>
      <c r="D909" t="inlineStr">
        <is>
          <t>JÄMTLANDS LÄN</t>
        </is>
      </c>
      <c r="E909" t="inlineStr">
        <is>
          <t>KROKOM</t>
        </is>
      </c>
      <c r="G909" t="n">
        <v>17.1</v>
      </c>
      <c r="H909" t="n">
        <v>0</v>
      </c>
      <c r="I909" t="n">
        <v>0</v>
      </c>
      <c r="J909" t="n">
        <v>0</v>
      </c>
      <c r="K909" t="n">
        <v>0</v>
      </c>
      <c r="L909" t="n">
        <v>0</v>
      </c>
      <c r="M909" t="n">
        <v>0</v>
      </c>
      <c r="N909" t="n">
        <v>0</v>
      </c>
      <c r="O909" t="n">
        <v>0</v>
      </c>
      <c r="P909" t="n">
        <v>0</v>
      </c>
      <c r="Q909" t="n">
        <v>0</v>
      </c>
      <c r="R909" s="2" t="inlineStr"/>
    </row>
    <row r="910" ht="15" customHeight="1">
      <c r="A910" t="inlineStr">
        <is>
          <t>A 50433-2024</t>
        </is>
      </c>
      <c r="B910" s="1" t="n">
        <v>45601</v>
      </c>
      <c r="C910" s="1" t="n">
        <v>46167</v>
      </c>
      <c r="D910" t="inlineStr">
        <is>
          <t>JÄMTLANDS LÄN</t>
        </is>
      </c>
      <c r="E910" t="inlineStr">
        <is>
          <t>KROKOM</t>
        </is>
      </c>
      <c r="G910" t="n">
        <v>25</v>
      </c>
      <c r="H910" t="n">
        <v>0</v>
      </c>
      <c r="I910" t="n">
        <v>0</v>
      </c>
      <c r="J910" t="n">
        <v>0</v>
      </c>
      <c r="K910" t="n">
        <v>0</v>
      </c>
      <c r="L910" t="n">
        <v>0</v>
      </c>
      <c r="M910" t="n">
        <v>0</v>
      </c>
      <c r="N910" t="n">
        <v>0</v>
      </c>
      <c r="O910" t="n">
        <v>0</v>
      </c>
      <c r="P910" t="n">
        <v>0</v>
      </c>
      <c r="Q910" t="n">
        <v>0</v>
      </c>
      <c r="R910" s="2" t="inlineStr"/>
    </row>
    <row r="911" ht="15" customHeight="1">
      <c r="A911" t="inlineStr">
        <is>
          <t>A 35559-2024</t>
        </is>
      </c>
      <c r="B911" s="1" t="n">
        <v>45531.62141203704</v>
      </c>
      <c r="C911" s="1" t="n">
        <v>46167</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2096-2026</t>
        </is>
      </c>
      <c r="B912" s="1" t="n">
        <v>46036.36533564814</v>
      </c>
      <c r="C912" s="1" t="n">
        <v>46167</v>
      </c>
      <c r="D912" t="inlineStr">
        <is>
          <t>JÄMTLANDS LÄN</t>
        </is>
      </c>
      <c r="E912" t="inlineStr">
        <is>
          <t>KROKOM</t>
        </is>
      </c>
      <c r="G912" t="n">
        <v>14.1</v>
      </c>
      <c r="H912" t="n">
        <v>0</v>
      </c>
      <c r="I912" t="n">
        <v>0</v>
      </c>
      <c r="J912" t="n">
        <v>0</v>
      </c>
      <c r="K912" t="n">
        <v>0</v>
      </c>
      <c r="L912" t="n">
        <v>0</v>
      </c>
      <c r="M912" t="n">
        <v>0</v>
      </c>
      <c r="N912" t="n">
        <v>0</v>
      </c>
      <c r="O912" t="n">
        <v>0</v>
      </c>
      <c r="P912" t="n">
        <v>0</v>
      </c>
      <c r="Q912" t="n">
        <v>0</v>
      </c>
      <c r="R912" s="2" t="inlineStr"/>
    </row>
    <row r="913" ht="15" customHeight="1">
      <c r="A913" t="inlineStr">
        <is>
          <t>A 2356-2026</t>
        </is>
      </c>
      <c r="B913" s="1" t="n">
        <v>46036.6363425926</v>
      </c>
      <c r="C913" s="1" t="n">
        <v>46167</v>
      </c>
      <c r="D913" t="inlineStr">
        <is>
          <t>JÄMTLANDS LÄN</t>
        </is>
      </c>
      <c r="E913" t="inlineStr">
        <is>
          <t>KROKOM</t>
        </is>
      </c>
      <c r="G913" t="n">
        <v>8</v>
      </c>
      <c r="H913" t="n">
        <v>0</v>
      </c>
      <c r="I913" t="n">
        <v>0</v>
      </c>
      <c r="J913" t="n">
        <v>0</v>
      </c>
      <c r="K913" t="n">
        <v>0</v>
      </c>
      <c r="L913" t="n">
        <v>0</v>
      </c>
      <c r="M913" t="n">
        <v>0</v>
      </c>
      <c r="N913" t="n">
        <v>0</v>
      </c>
      <c r="O913" t="n">
        <v>0</v>
      </c>
      <c r="P913" t="n">
        <v>0</v>
      </c>
      <c r="Q913" t="n">
        <v>0</v>
      </c>
      <c r="R913" s="2" t="inlineStr"/>
    </row>
    <row r="914" ht="15" customHeight="1">
      <c r="A914" t="inlineStr">
        <is>
          <t>A 2657-2026</t>
        </is>
      </c>
      <c r="B914" s="1" t="n">
        <v>46037</v>
      </c>
      <c r="C914" s="1" t="n">
        <v>46167</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2210-2026</t>
        </is>
      </c>
      <c r="B915" s="1" t="n">
        <v>46036.48995370371</v>
      </c>
      <c r="C915" s="1" t="n">
        <v>46167</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3230-2026</t>
        </is>
      </c>
      <c r="B916" s="1" t="n">
        <v>46041.55299768518</v>
      </c>
      <c r="C916" s="1" t="n">
        <v>46167</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53506-2025</t>
        </is>
      </c>
      <c r="B917" s="1" t="n">
        <v>45960.34460648148</v>
      </c>
      <c r="C917" s="1" t="n">
        <v>46167</v>
      </c>
      <c r="D917" t="inlineStr">
        <is>
          <t>JÄMTLANDS LÄN</t>
        </is>
      </c>
      <c r="E917" t="inlineStr">
        <is>
          <t>KROKOM</t>
        </is>
      </c>
      <c r="F917" t="inlineStr">
        <is>
          <t>SCA</t>
        </is>
      </c>
      <c r="G917" t="n">
        <v>13.9</v>
      </c>
      <c r="H917" t="n">
        <v>0</v>
      </c>
      <c r="I917" t="n">
        <v>0</v>
      </c>
      <c r="J917" t="n">
        <v>0</v>
      </c>
      <c r="K917" t="n">
        <v>0</v>
      </c>
      <c r="L917" t="n">
        <v>0</v>
      </c>
      <c r="M917" t="n">
        <v>0</v>
      </c>
      <c r="N917" t="n">
        <v>0</v>
      </c>
      <c r="O917" t="n">
        <v>0</v>
      </c>
      <c r="P917" t="n">
        <v>0</v>
      </c>
      <c r="Q917" t="n">
        <v>0</v>
      </c>
      <c r="R917" s="2" t="inlineStr"/>
    </row>
    <row r="918" ht="15" customHeight="1">
      <c r="A918" t="inlineStr">
        <is>
          <t>A 10279-2025</t>
        </is>
      </c>
      <c r="B918" s="1" t="n">
        <v>45720.40268518519</v>
      </c>
      <c r="C918" s="1" t="n">
        <v>46167</v>
      </c>
      <c r="D918" t="inlineStr">
        <is>
          <t>JÄMTLANDS LÄN</t>
        </is>
      </c>
      <c r="E918" t="inlineStr">
        <is>
          <t>KROKOM</t>
        </is>
      </c>
      <c r="G918" t="n">
        <v>1.8</v>
      </c>
      <c r="H918" t="n">
        <v>0</v>
      </c>
      <c r="I918" t="n">
        <v>0</v>
      </c>
      <c r="J918" t="n">
        <v>0</v>
      </c>
      <c r="K918" t="n">
        <v>0</v>
      </c>
      <c r="L918" t="n">
        <v>0</v>
      </c>
      <c r="M918" t="n">
        <v>0</v>
      </c>
      <c r="N918" t="n">
        <v>0</v>
      </c>
      <c r="O918" t="n">
        <v>0</v>
      </c>
      <c r="P918" t="n">
        <v>0</v>
      </c>
      <c r="Q918" t="n">
        <v>0</v>
      </c>
      <c r="R918" s="2" t="inlineStr"/>
    </row>
    <row r="919" ht="15" customHeight="1">
      <c r="A919" t="inlineStr">
        <is>
          <t>A 38205-2025</t>
        </is>
      </c>
      <c r="B919" s="1" t="n">
        <v>45882.69851851852</v>
      </c>
      <c r="C919" s="1" t="n">
        <v>46167</v>
      </c>
      <c r="D919" t="inlineStr">
        <is>
          <t>JÄMTLANDS LÄN</t>
        </is>
      </c>
      <c r="E919" t="inlineStr">
        <is>
          <t>KROKOM</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53467-2025</t>
        </is>
      </c>
      <c r="B920" s="1" t="n">
        <v>45959.69841435185</v>
      </c>
      <c r="C920" s="1" t="n">
        <v>46167</v>
      </c>
      <c r="D920" t="inlineStr">
        <is>
          <t>JÄMTLANDS LÄN</t>
        </is>
      </c>
      <c r="E920" t="inlineStr">
        <is>
          <t>KROKOM</t>
        </is>
      </c>
      <c r="F920" t="inlineStr">
        <is>
          <t>SCA</t>
        </is>
      </c>
      <c r="G920" t="n">
        <v>22.7</v>
      </c>
      <c r="H920" t="n">
        <v>0</v>
      </c>
      <c r="I920" t="n">
        <v>0</v>
      </c>
      <c r="J920" t="n">
        <v>0</v>
      </c>
      <c r="K920" t="n">
        <v>0</v>
      </c>
      <c r="L920" t="n">
        <v>0</v>
      </c>
      <c r="M920" t="n">
        <v>0</v>
      </c>
      <c r="N920" t="n">
        <v>0</v>
      </c>
      <c r="O920" t="n">
        <v>0</v>
      </c>
      <c r="P920" t="n">
        <v>0</v>
      </c>
      <c r="Q920" t="n">
        <v>0</v>
      </c>
      <c r="R920" s="2" t="inlineStr"/>
    </row>
    <row r="921" ht="15" customHeight="1">
      <c r="A921" t="inlineStr">
        <is>
          <t>A 58589-2025</t>
        </is>
      </c>
      <c r="B921" s="1" t="n">
        <v>45986.40680555555</v>
      </c>
      <c r="C921" s="1" t="n">
        <v>46167</v>
      </c>
      <c r="D921" t="inlineStr">
        <is>
          <t>JÄMTLANDS LÄN</t>
        </is>
      </c>
      <c r="E921" t="inlineStr">
        <is>
          <t>KROKOM</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58617-2025</t>
        </is>
      </c>
      <c r="B922" s="1" t="n">
        <v>45986.46921296296</v>
      </c>
      <c r="C922" s="1" t="n">
        <v>46167</v>
      </c>
      <c r="D922" t="inlineStr">
        <is>
          <t>JÄMTLANDS LÄN</t>
        </is>
      </c>
      <c r="E922" t="inlineStr">
        <is>
          <t>KROKOM</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50011-2025</t>
        </is>
      </c>
      <c r="B923" s="1" t="n">
        <v>45943.34561342592</v>
      </c>
      <c r="C923" s="1" t="n">
        <v>46167</v>
      </c>
      <c r="D923" t="inlineStr">
        <is>
          <t>JÄMTLANDS LÄN</t>
        </is>
      </c>
      <c r="E923" t="inlineStr">
        <is>
          <t>KROKOM</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50006-2025</t>
        </is>
      </c>
      <c r="B924" s="1" t="n">
        <v>45943.34502314815</v>
      </c>
      <c r="C924" s="1" t="n">
        <v>46167</v>
      </c>
      <c r="D924" t="inlineStr">
        <is>
          <t>JÄMTLANDS LÄN</t>
        </is>
      </c>
      <c r="E924" t="inlineStr">
        <is>
          <t>KROKOM</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53505-2025</t>
        </is>
      </c>
      <c r="B925" s="1" t="n">
        <v>45960.34436342592</v>
      </c>
      <c r="C925" s="1" t="n">
        <v>46167</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53507-2025</t>
        </is>
      </c>
      <c r="B926" s="1" t="n">
        <v>45960.34476851852</v>
      </c>
      <c r="C926" s="1" t="n">
        <v>46167</v>
      </c>
      <c r="D926" t="inlineStr">
        <is>
          <t>JÄMTLANDS LÄN</t>
        </is>
      </c>
      <c r="E926" t="inlineStr">
        <is>
          <t>KROKOM</t>
        </is>
      </c>
      <c r="F926" t="inlineStr">
        <is>
          <t>SCA</t>
        </is>
      </c>
      <c r="G926" t="n">
        <v>10.6</v>
      </c>
      <c r="H926" t="n">
        <v>0</v>
      </c>
      <c r="I926" t="n">
        <v>0</v>
      </c>
      <c r="J926" t="n">
        <v>0</v>
      </c>
      <c r="K926" t="n">
        <v>0</v>
      </c>
      <c r="L926" t="n">
        <v>0</v>
      </c>
      <c r="M926" t="n">
        <v>0</v>
      </c>
      <c r="N926" t="n">
        <v>0</v>
      </c>
      <c r="O926" t="n">
        <v>0</v>
      </c>
      <c r="P926" t="n">
        <v>0</v>
      </c>
      <c r="Q926" t="n">
        <v>0</v>
      </c>
      <c r="R926" s="2" t="inlineStr"/>
    </row>
    <row r="927" ht="15" customHeight="1">
      <c r="A927" t="inlineStr">
        <is>
          <t>A 40507-2025</t>
        </is>
      </c>
      <c r="B927" s="1" t="n">
        <v>45896.34443287037</v>
      </c>
      <c r="C927" s="1" t="n">
        <v>46167</v>
      </c>
      <c r="D927" t="inlineStr">
        <is>
          <t>JÄMTLANDS LÄN</t>
        </is>
      </c>
      <c r="E927" t="inlineStr">
        <is>
          <t>KROKOM</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39271-2025</t>
        </is>
      </c>
      <c r="B928" s="1" t="n">
        <v>45889.38626157407</v>
      </c>
      <c r="C928" s="1" t="n">
        <v>46167</v>
      </c>
      <c r="D928" t="inlineStr">
        <is>
          <t>JÄMTLANDS LÄN</t>
        </is>
      </c>
      <c r="E928" t="inlineStr">
        <is>
          <t>KROKOM</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37886-2025</t>
        </is>
      </c>
      <c r="B929" s="1" t="n">
        <v>45881.51081018519</v>
      </c>
      <c r="C929" s="1" t="n">
        <v>46167</v>
      </c>
      <c r="D929" t="inlineStr">
        <is>
          <t>JÄMTLANDS LÄN</t>
        </is>
      </c>
      <c r="E929" t="inlineStr">
        <is>
          <t>KROKOM</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38850-2025</t>
        </is>
      </c>
      <c r="B930" s="1" t="n">
        <v>45887.55252314815</v>
      </c>
      <c r="C930" s="1" t="n">
        <v>46167</v>
      </c>
      <c r="D930" t="inlineStr">
        <is>
          <t>JÄMTLANDS LÄN</t>
        </is>
      </c>
      <c r="E930" t="inlineStr">
        <is>
          <t>KROKOM</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38024-2025</t>
        </is>
      </c>
      <c r="B931" s="1" t="n">
        <v>45882.34510416666</v>
      </c>
      <c r="C931" s="1" t="n">
        <v>46167</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3802-2026</t>
        </is>
      </c>
      <c r="B932" s="1" t="n">
        <v>46043.58290509259</v>
      </c>
      <c r="C932" s="1" t="n">
        <v>46167</v>
      </c>
      <c r="D932" t="inlineStr">
        <is>
          <t>JÄMTLANDS LÄN</t>
        </is>
      </c>
      <c r="E932" t="inlineStr">
        <is>
          <t>KROKOM</t>
        </is>
      </c>
      <c r="G932" t="n">
        <v>6.7</v>
      </c>
      <c r="H932" t="n">
        <v>0</v>
      </c>
      <c r="I932" t="n">
        <v>0</v>
      </c>
      <c r="J932" t="n">
        <v>0</v>
      </c>
      <c r="K932" t="n">
        <v>0</v>
      </c>
      <c r="L932" t="n">
        <v>0</v>
      </c>
      <c r="M932" t="n">
        <v>0</v>
      </c>
      <c r="N932" t="n">
        <v>0</v>
      </c>
      <c r="O932" t="n">
        <v>0</v>
      </c>
      <c r="P932" t="n">
        <v>0</v>
      </c>
      <c r="Q932" t="n">
        <v>0</v>
      </c>
      <c r="R932" s="2" t="inlineStr"/>
    </row>
    <row r="933" ht="15" customHeight="1">
      <c r="A933" t="inlineStr">
        <is>
          <t>A 47850-2023</t>
        </is>
      </c>
      <c r="B933" s="1" t="n">
        <v>45204.40770833333</v>
      </c>
      <c r="C933" s="1" t="n">
        <v>46167</v>
      </c>
      <c r="D933" t="inlineStr">
        <is>
          <t>JÄMTLANDS LÄN</t>
        </is>
      </c>
      <c r="E933" t="inlineStr">
        <is>
          <t>KROKOM</t>
        </is>
      </c>
      <c r="G933" t="n">
        <v>1.8</v>
      </c>
      <c r="H933" t="n">
        <v>0</v>
      </c>
      <c r="I933" t="n">
        <v>0</v>
      </c>
      <c r="J933" t="n">
        <v>0</v>
      </c>
      <c r="K933" t="n">
        <v>0</v>
      </c>
      <c r="L933" t="n">
        <v>0</v>
      </c>
      <c r="M933" t="n">
        <v>0</v>
      </c>
      <c r="N933" t="n">
        <v>0</v>
      </c>
      <c r="O933" t="n">
        <v>0</v>
      </c>
      <c r="P933" t="n">
        <v>0</v>
      </c>
      <c r="Q933" t="n">
        <v>0</v>
      </c>
      <c r="R933" s="2" t="inlineStr"/>
    </row>
    <row r="934" ht="15" customHeight="1">
      <c r="A934" t="inlineStr">
        <is>
          <t>A 3693-2026</t>
        </is>
      </c>
      <c r="B934" s="1" t="n">
        <v>46043</v>
      </c>
      <c r="C934" s="1" t="n">
        <v>46167</v>
      </c>
      <c r="D934" t="inlineStr">
        <is>
          <t>JÄMTLANDS LÄN</t>
        </is>
      </c>
      <c r="E934" t="inlineStr">
        <is>
          <t>KROKOM</t>
        </is>
      </c>
      <c r="G934" t="n">
        <v>6.9</v>
      </c>
      <c r="H934" t="n">
        <v>0</v>
      </c>
      <c r="I934" t="n">
        <v>0</v>
      </c>
      <c r="J934" t="n">
        <v>0</v>
      </c>
      <c r="K934" t="n">
        <v>0</v>
      </c>
      <c r="L934" t="n">
        <v>0</v>
      </c>
      <c r="M934" t="n">
        <v>0</v>
      </c>
      <c r="N934" t="n">
        <v>0</v>
      </c>
      <c r="O934" t="n">
        <v>0</v>
      </c>
      <c r="P934" t="n">
        <v>0</v>
      </c>
      <c r="Q934" t="n">
        <v>0</v>
      </c>
      <c r="R934" s="2" t="inlineStr"/>
    </row>
    <row r="935" ht="15" customHeight="1">
      <c r="A935" t="inlineStr">
        <is>
          <t>A 3875-2026</t>
        </is>
      </c>
      <c r="B935" s="1" t="n">
        <v>46043.64546296297</v>
      </c>
      <c r="C935" s="1" t="n">
        <v>46167</v>
      </c>
      <c r="D935" t="inlineStr">
        <is>
          <t>JÄMTLANDS LÄN</t>
        </is>
      </c>
      <c r="E935" t="inlineStr">
        <is>
          <t>KROKOM</t>
        </is>
      </c>
      <c r="G935" t="n">
        <v>5.8</v>
      </c>
      <c r="H935" t="n">
        <v>0</v>
      </c>
      <c r="I935" t="n">
        <v>0</v>
      </c>
      <c r="J935" t="n">
        <v>0</v>
      </c>
      <c r="K935" t="n">
        <v>0</v>
      </c>
      <c r="L935" t="n">
        <v>0</v>
      </c>
      <c r="M935" t="n">
        <v>0</v>
      </c>
      <c r="N935" t="n">
        <v>0</v>
      </c>
      <c r="O935" t="n">
        <v>0</v>
      </c>
      <c r="P935" t="n">
        <v>0</v>
      </c>
      <c r="Q935" t="n">
        <v>0</v>
      </c>
      <c r="R935" s="2" t="inlineStr"/>
    </row>
    <row r="936" ht="15" customHeight="1">
      <c r="A936" t="inlineStr">
        <is>
          <t>A 3591-2026</t>
        </is>
      </c>
      <c r="B936" s="1" t="n">
        <v>46042.77245370371</v>
      </c>
      <c r="C936" s="1" t="n">
        <v>46167</v>
      </c>
      <c r="D936" t="inlineStr">
        <is>
          <t>JÄMTLANDS LÄN</t>
        </is>
      </c>
      <c r="E936" t="inlineStr">
        <is>
          <t>KROKOM</t>
        </is>
      </c>
      <c r="G936" t="n">
        <v>5.1</v>
      </c>
      <c r="H936" t="n">
        <v>0</v>
      </c>
      <c r="I936" t="n">
        <v>0</v>
      </c>
      <c r="J936" t="n">
        <v>0</v>
      </c>
      <c r="K936" t="n">
        <v>0</v>
      </c>
      <c r="L936" t="n">
        <v>0</v>
      </c>
      <c r="M936" t="n">
        <v>0</v>
      </c>
      <c r="N936" t="n">
        <v>0</v>
      </c>
      <c r="O936" t="n">
        <v>0</v>
      </c>
      <c r="P936" t="n">
        <v>0</v>
      </c>
      <c r="Q936" t="n">
        <v>0</v>
      </c>
      <c r="R936" s="2" t="inlineStr"/>
    </row>
    <row r="937" ht="15" customHeight="1">
      <c r="A937" t="inlineStr">
        <is>
          <t>A 29238-2022</t>
        </is>
      </c>
      <c r="B937" s="1" t="n">
        <v>44750</v>
      </c>
      <c r="C937" s="1" t="n">
        <v>46167</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3490-2026</t>
        </is>
      </c>
      <c r="B938" s="1" t="n">
        <v>46042.56903935185</v>
      </c>
      <c r="C938" s="1" t="n">
        <v>46167</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59076-2022</t>
        </is>
      </c>
      <c r="B939" s="1" t="n">
        <v>44904</v>
      </c>
      <c r="C939" s="1" t="n">
        <v>46167</v>
      </c>
      <c r="D939" t="inlineStr">
        <is>
          <t>JÄMTLANDS LÄN</t>
        </is>
      </c>
      <c r="E939" t="inlineStr">
        <is>
          <t>KROKOM</t>
        </is>
      </c>
      <c r="G939" t="n">
        <v>3.4</v>
      </c>
      <c r="H939" t="n">
        <v>0</v>
      </c>
      <c r="I939" t="n">
        <v>0</v>
      </c>
      <c r="J939" t="n">
        <v>0</v>
      </c>
      <c r="K939" t="n">
        <v>0</v>
      </c>
      <c r="L939" t="n">
        <v>0</v>
      </c>
      <c r="M939" t="n">
        <v>0</v>
      </c>
      <c r="N939" t="n">
        <v>0</v>
      </c>
      <c r="O939" t="n">
        <v>0</v>
      </c>
      <c r="P939" t="n">
        <v>0</v>
      </c>
      <c r="Q939" t="n">
        <v>0</v>
      </c>
      <c r="R939" s="2" t="inlineStr"/>
    </row>
    <row r="940" ht="15" customHeight="1">
      <c r="A940" t="inlineStr">
        <is>
          <t>A 3408-2026</t>
        </is>
      </c>
      <c r="B940" s="1" t="n">
        <v>46042.40603009259</v>
      </c>
      <c r="C940" s="1" t="n">
        <v>46167</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3695-2026</t>
        </is>
      </c>
      <c r="B941" s="1" t="n">
        <v>46043</v>
      </c>
      <c r="C941" s="1" t="n">
        <v>46167</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5533-2025</t>
        </is>
      </c>
      <c r="B942" s="1" t="n">
        <v>45693</v>
      </c>
      <c r="C942" s="1" t="n">
        <v>46167</v>
      </c>
      <c r="D942" t="inlineStr">
        <is>
          <t>JÄMTLANDS LÄN</t>
        </is>
      </c>
      <c r="E942" t="inlineStr">
        <is>
          <t>KROKOM</t>
        </is>
      </c>
      <c r="G942" t="n">
        <v>109</v>
      </c>
      <c r="H942" t="n">
        <v>0</v>
      </c>
      <c r="I942" t="n">
        <v>0</v>
      </c>
      <c r="J942" t="n">
        <v>0</v>
      </c>
      <c r="K942" t="n">
        <v>0</v>
      </c>
      <c r="L942" t="n">
        <v>0</v>
      </c>
      <c r="M942" t="n">
        <v>0</v>
      </c>
      <c r="N942" t="n">
        <v>0</v>
      </c>
      <c r="O942" t="n">
        <v>0</v>
      </c>
      <c r="P942" t="n">
        <v>0</v>
      </c>
      <c r="Q942" t="n">
        <v>0</v>
      </c>
      <c r="R942" s="2" t="inlineStr"/>
    </row>
    <row r="943" ht="15" customHeight="1">
      <c r="A943" t="inlineStr">
        <is>
          <t>A 4274-2026</t>
        </is>
      </c>
      <c r="B943" s="1" t="n">
        <v>46045.36503472222</v>
      </c>
      <c r="C943" s="1" t="n">
        <v>46167</v>
      </c>
      <c r="D943" t="inlineStr">
        <is>
          <t>JÄMTLANDS LÄN</t>
        </is>
      </c>
      <c r="E943" t="inlineStr">
        <is>
          <t>KROKOM</t>
        </is>
      </c>
      <c r="G943" t="n">
        <v>2.7</v>
      </c>
      <c r="H943" t="n">
        <v>0</v>
      </c>
      <c r="I943" t="n">
        <v>0</v>
      </c>
      <c r="J943" t="n">
        <v>0</v>
      </c>
      <c r="K943" t="n">
        <v>0</v>
      </c>
      <c r="L943" t="n">
        <v>0</v>
      </c>
      <c r="M943" t="n">
        <v>0</v>
      </c>
      <c r="N943" t="n">
        <v>0</v>
      </c>
      <c r="O943" t="n">
        <v>0</v>
      </c>
      <c r="P943" t="n">
        <v>0</v>
      </c>
      <c r="Q943" t="n">
        <v>0</v>
      </c>
      <c r="R943" s="2" t="inlineStr"/>
    </row>
    <row r="944" ht="15" customHeight="1">
      <c r="A944" t="inlineStr">
        <is>
          <t>A 4408-2026</t>
        </is>
      </c>
      <c r="B944" s="1" t="n">
        <v>46045.59466435185</v>
      </c>
      <c r="C944" s="1" t="n">
        <v>46167</v>
      </c>
      <c r="D944" t="inlineStr">
        <is>
          <t>JÄMTLANDS LÄN</t>
        </is>
      </c>
      <c r="E944" t="inlineStr">
        <is>
          <t>KROKOM</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7013-2025</t>
        </is>
      </c>
      <c r="B945" s="1" t="n">
        <v>45701.60901620371</v>
      </c>
      <c r="C945" s="1" t="n">
        <v>46167</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4275-2026</t>
        </is>
      </c>
      <c r="B946" s="1" t="n">
        <v>46045.36793981482</v>
      </c>
      <c r="C946" s="1" t="n">
        <v>46167</v>
      </c>
      <c r="D946" t="inlineStr">
        <is>
          <t>JÄMTLANDS LÄN</t>
        </is>
      </c>
      <c r="E946" t="inlineStr">
        <is>
          <t>KROKOM</t>
        </is>
      </c>
      <c r="G946" t="n">
        <v>7.1</v>
      </c>
      <c r="H946" t="n">
        <v>0</v>
      </c>
      <c r="I946" t="n">
        <v>0</v>
      </c>
      <c r="J946" t="n">
        <v>0</v>
      </c>
      <c r="K946" t="n">
        <v>0</v>
      </c>
      <c r="L946" t="n">
        <v>0</v>
      </c>
      <c r="M946" t="n">
        <v>0</v>
      </c>
      <c r="N946" t="n">
        <v>0</v>
      </c>
      <c r="O946" t="n">
        <v>0</v>
      </c>
      <c r="P946" t="n">
        <v>0</v>
      </c>
      <c r="Q946" t="n">
        <v>0</v>
      </c>
      <c r="R946" s="2" t="inlineStr"/>
    </row>
    <row r="947" ht="15" customHeight="1">
      <c r="A947" t="inlineStr">
        <is>
          <t>A 62413-2023</t>
        </is>
      </c>
      <c r="B947" s="1" t="n">
        <v>45266</v>
      </c>
      <c r="C947" s="1" t="n">
        <v>46167</v>
      </c>
      <c r="D947" t="inlineStr">
        <is>
          <t>JÄMTLANDS LÄN</t>
        </is>
      </c>
      <c r="E947" t="inlineStr">
        <is>
          <t>KROKOM</t>
        </is>
      </c>
      <c r="G947" t="n">
        <v>12.8</v>
      </c>
      <c r="H947" t="n">
        <v>0</v>
      </c>
      <c r="I947" t="n">
        <v>0</v>
      </c>
      <c r="J947" t="n">
        <v>0</v>
      </c>
      <c r="K947" t="n">
        <v>0</v>
      </c>
      <c r="L947" t="n">
        <v>0</v>
      </c>
      <c r="M947" t="n">
        <v>0</v>
      </c>
      <c r="N947" t="n">
        <v>0</v>
      </c>
      <c r="O947" t="n">
        <v>0</v>
      </c>
      <c r="P947" t="n">
        <v>0</v>
      </c>
      <c r="Q947" t="n">
        <v>0</v>
      </c>
      <c r="R947" s="2" t="inlineStr"/>
    </row>
    <row r="948" ht="15" customHeight="1">
      <c r="A948" t="inlineStr">
        <is>
          <t>A 4407-2026</t>
        </is>
      </c>
      <c r="B948" s="1" t="n">
        <v>46045.59451388889</v>
      </c>
      <c r="C948" s="1" t="n">
        <v>46167</v>
      </c>
      <c r="D948" t="inlineStr">
        <is>
          <t>JÄMTLANDS LÄN</t>
        </is>
      </c>
      <c r="E948" t="inlineStr">
        <is>
          <t>KROKOM</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4410-2026</t>
        </is>
      </c>
      <c r="B949" s="1" t="n">
        <v>46045.59483796296</v>
      </c>
      <c r="C949" s="1" t="n">
        <v>46167</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3963-2026</t>
        </is>
      </c>
      <c r="B950" s="1" t="n">
        <v>46044</v>
      </c>
      <c r="C950" s="1" t="n">
        <v>46167</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5186-2026</t>
        </is>
      </c>
      <c r="B951" s="1" t="n">
        <v>46049.6571412037</v>
      </c>
      <c r="C951" s="1" t="n">
        <v>46167</v>
      </c>
      <c r="D951" t="inlineStr">
        <is>
          <t>JÄMTLANDS LÄN</t>
        </is>
      </c>
      <c r="E951" t="inlineStr">
        <is>
          <t>KROKOM</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4659-2026</t>
        </is>
      </c>
      <c r="B952" s="1" t="n">
        <v>46048.40785879629</v>
      </c>
      <c r="C952" s="1" t="n">
        <v>46167</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4600-2026</t>
        </is>
      </c>
      <c r="B953" s="1" t="n">
        <v>46048.3550925926</v>
      </c>
      <c r="C953" s="1" t="n">
        <v>46167</v>
      </c>
      <c r="D953" t="inlineStr">
        <is>
          <t>JÄMTLANDS LÄN</t>
        </is>
      </c>
      <c r="E953" t="inlineStr">
        <is>
          <t>KROKOM</t>
        </is>
      </c>
      <c r="F953" t="inlineStr">
        <is>
          <t>Övriga Aktiebolag</t>
        </is>
      </c>
      <c r="G953" t="n">
        <v>27.4</v>
      </c>
      <c r="H953" t="n">
        <v>0</v>
      </c>
      <c r="I953" t="n">
        <v>0</v>
      </c>
      <c r="J953" t="n">
        <v>0</v>
      </c>
      <c r="K953" t="n">
        <v>0</v>
      </c>
      <c r="L953" t="n">
        <v>0</v>
      </c>
      <c r="M953" t="n">
        <v>0</v>
      </c>
      <c r="N953" t="n">
        <v>0</v>
      </c>
      <c r="O953" t="n">
        <v>0</v>
      </c>
      <c r="P953" t="n">
        <v>0</v>
      </c>
      <c r="Q953" t="n">
        <v>0</v>
      </c>
      <c r="R953" s="2" t="inlineStr"/>
    </row>
    <row r="954" ht="15" customHeight="1">
      <c r="A954" t="inlineStr">
        <is>
          <t>A 4655-2026</t>
        </is>
      </c>
      <c r="B954" s="1" t="n">
        <v>46048.40759259259</v>
      </c>
      <c r="C954" s="1" t="n">
        <v>46167</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4660-2026</t>
        </is>
      </c>
      <c r="B955" s="1" t="n">
        <v>46048.40788194445</v>
      </c>
      <c r="C955" s="1" t="n">
        <v>46167</v>
      </c>
      <c r="D955" t="inlineStr">
        <is>
          <t>JÄMTLANDS LÄN</t>
        </is>
      </c>
      <c r="E955" t="inlineStr">
        <is>
          <t>KROKOM</t>
        </is>
      </c>
      <c r="G955" t="n">
        <v>2.5</v>
      </c>
      <c r="H955" t="n">
        <v>0</v>
      </c>
      <c r="I955" t="n">
        <v>0</v>
      </c>
      <c r="J955" t="n">
        <v>0</v>
      </c>
      <c r="K955" t="n">
        <v>0</v>
      </c>
      <c r="L955" t="n">
        <v>0</v>
      </c>
      <c r="M955" t="n">
        <v>0</v>
      </c>
      <c r="N955" t="n">
        <v>0</v>
      </c>
      <c r="O955" t="n">
        <v>0</v>
      </c>
      <c r="P955" t="n">
        <v>0</v>
      </c>
      <c r="Q955" t="n">
        <v>0</v>
      </c>
      <c r="R955" s="2" t="inlineStr"/>
    </row>
    <row r="956" ht="15" customHeight="1">
      <c r="A956" t="inlineStr">
        <is>
          <t>A 4747-2026</t>
        </is>
      </c>
      <c r="B956" s="1" t="n">
        <v>46048.51119212963</v>
      </c>
      <c r="C956" s="1" t="n">
        <v>46167</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4778-2026</t>
        </is>
      </c>
      <c r="B957" s="1" t="n">
        <v>46048.55277777778</v>
      </c>
      <c r="C957" s="1" t="n">
        <v>46167</v>
      </c>
      <c r="D957" t="inlineStr">
        <is>
          <t>JÄMTLANDS LÄN</t>
        </is>
      </c>
      <c r="E957" t="inlineStr">
        <is>
          <t>KROKOM</t>
        </is>
      </c>
      <c r="G957" t="n">
        <v>10</v>
      </c>
      <c r="H957" t="n">
        <v>0</v>
      </c>
      <c r="I957" t="n">
        <v>0</v>
      </c>
      <c r="J957" t="n">
        <v>0</v>
      </c>
      <c r="K957" t="n">
        <v>0</v>
      </c>
      <c r="L957" t="n">
        <v>0</v>
      </c>
      <c r="M957" t="n">
        <v>0</v>
      </c>
      <c r="N957" t="n">
        <v>0</v>
      </c>
      <c r="O957" t="n">
        <v>0</v>
      </c>
      <c r="P957" t="n">
        <v>0</v>
      </c>
      <c r="Q957" t="n">
        <v>0</v>
      </c>
      <c r="R957" s="2" t="inlineStr"/>
    </row>
    <row r="958" ht="15" customHeight="1">
      <c r="A958" t="inlineStr">
        <is>
          <t>A 4697-2026</t>
        </is>
      </c>
      <c r="B958" s="1" t="n">
        <v>46048.4484375</v>
      </c>
      <c r="C958" s="1" t="n">
        <v>46167</v>
      </c>
      <c r="D958" t="inlineStr">
        <is>
          <t>JÄMTLANDS LÄN</t>
        </is>
      </c>
      <c r="E958" t="inlineStr">
        <is>
          <t>KROKOM</t>
        </is>
      </c>
      <c r="G958" t="n">
        <v>4.7</v>
      </c>
      <c r="H958" t="n">
        <v>0</v>
      </c>
      <c r="I958" t="n">
        <v>0</v>
      </c>
      <c r="J958" t="n">
        <v>0</v>
      </c>
      <c r="K958" t="n">
        <v>0</v>
      </c>
      <c r="L958" t="n">
        <v>0</v>
      </c>
      <c r="M958" t="n">
        <v>0</v>
      </c>
      <c r="N958" t="n">
        <v>0</v>
      </c>
      <c r="O958" t="n">
        <v>0</v>
      </c>
      <c r="P958" t="n">
        <v>0</v>
      </c>
      <c r="Q958" t="n">
        <v>0</v>
      </c>
      <c r="R958" s="2" t="inlineStr"/>
    </row>
    <row r="959" ht="15" customHeight="1">
      <c r="A959" t="inlineStr">
        <is>
          <t>A 4694-2026</t>
        </is>
      </c>
      <c r="B959" s="1" t="n">
        <v>46048.44809027778</v>
      </c>
      <c r="C959" s="1" t="n">
        <v>46167</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4751-2026</t>
        </is>
      </c>
      <c r="B960" s="1" t="n">
        <v>46048.51173611111</v>
      </c>
      <c r="C960" s="1" t="n">
        <v>46167</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4750-2026</t>
        </is>
      </c>
      <c r="B961" s="1" t="n">
        <v>46048.51131944444</v>
      </c>
      <c r="C961" s="1" t="n">
        <v>46167</v>
      </c>
      <c r="D961" t="inlineStr">
        <is>
          <t>JÄMTLANDS LÄN</t>
        </is>
      </c>
      <c r="E961" t="inlineStr">
        <is>
          <t>KROKOM</t>
        </is>
      </c>
      <c r="G961" t="n">
        <v>7.7</v>
      </c>
      <c r="H961" t="n">
        <v>0</v>
      </c>
      <c r="I961" t="n">
        <v>0</v>
      </c>
      <c r="J961" t="n">
        <v>0</v>
      </c>
      <c r="K961" t="n">
        <v>0</v>
      </c>
      <c r="L961" t="n">
        <v>0</v>
      </c>
      <c r="M961" t="n">
        <v>0</v>
      </c>
      <c r="N961" t="n">
        <v>0</v>
      </c>
      <c r="O961" t="n">
        <v>0</v>
      </c>
      <c r="P961" t="n">
        <v>0</v>
      </c>
      <c r="Q961" t="n">
        <v>0</v>
      </c>
      <c r="R961" s="2" t="inlineStr"/>
    </row>
    <row r="962" ht="15" customHeight="1">
      <c r="A962" t="inlineStr">
        <is>
          <t>A 4619-2026</t>
        </is>
      </c>
      <c r="B962" s="1" t="n">
        <v>46048.37532407408</v>
      </c>
      <c r="C962" s="1" t="n">
        <v>46167</v>
      </c>
      <c r="D962" t="inlineStr">
        <is>
          <t>JÄMTLANDS LÄN</t>
        </is>
      </c>
      <c r="E962" t="inlineStr">
        <is>
          <t>KROKOM</t>
        </is>
      </c>
      <c r="F962" t="inlineStr">
        <is>
          <t>Övriga Aktiebolag</t>
        </is>
      </c>
      <c r="G962" t="n">
        <v>5.4</v>
      </c>
      <c r="H962" t="n">
        <v>0</v>
      </c>
      <c r="I962" t="n">
        <v>0</v>
      </c>
      <c r="J962" t="n">
        <v>0</v>
      </c>
      <c r="K962" t="n">
        <v>0</v>
      </c>
      <c r="L962" t="n">
        <v>0</v>
      </c>
      <c r="M962" t="n">
        <v>0</v>
      </c>
      <c r="N962" t="n">
        <v>0</v>
      </c>
      <c r="O962" t="n">
        <v>0</v>
      </c>
      <c r="P962" t="n">
        <v>0</v>
      </c>
      <c r="Q962" t="n">
        <v>0</v>
      </c>
      <c r="R962" s="2" t="inlineStr"/>
    </row>
    <row r="963" ht="15" customHeight="1">
      <c r="A963" t="inlineStr">
        <is>
          <t>A 4702-2026</t>
        </is>
      </c>
      <c r="B963" s="1" t="n">
        <v>46048.4506712963</v>
      </c>
      <c r="C963" s="1" t="n">
        <v>46167</v>
      </c>
      <c r="D963" t="inlineStr">
        <is>
          <t>JÄMTLANDS LÄN</t>
        </is>
      </c>
      <c r="E963" t="inlineStr">
        <is>
          <t>KROKOM</t>
        </is>
      </c>
      <c r="G963" t="n">
        <v>6.5</v>
      </c>
      <c r="H963" t="n">
        <v>0</v>
      </c>
      <c r="I963" t="n">
        <v>0</v>
      </c>
      <c r="J963" t="n">
        <v>0</v>
      </c>
      <c r="K963" t="n">
        <v>0</v>
      </c>
      <c r="L963" t="n">
        <v>0</v>
      </c>
      <c r="M963" t="n">
        <v>0</v>
      </c>
      <c r="N963" t="n">
        <v>0</v>
      </c>
      <c r="O963" t="n">
        <v>0</v>
      </c>
      <c r="P963" t="n">
        <v>0</v>
      </c>
      <c r="Q963" t="n">
        <v>0</v>
      </c>
      <c r="R963" s="2" t="inlineStr"/>
    </row>
    <row r="964" ht="15" customHeight="1">
      <c r="A964" t="inlineStr">
        <is>
          <t>A 4550-2026</t>
        </is>
      </c>
      <c r="B964" s="1" t="n">
        <v>46047.55603009259</v>
      </c>
      <c r="C964" s="1" t="n">
        <v>46167</v>
      </c>
      <c r="D964" t="inlineStr">
        <is>
          <t>JÄMTLANDS LÄN</t>
        </is>
      </c>
      <c r="E964" t="inlineStr">
        <is>
          <t>KROKOM</t>
        </is>
      </c>
      <c r="F964" t="inlineStr">
        <is>
          <t>Övriga Aktiebolag</t>
        </is>
      </c>
      <c r="G964" t="n">
        <v>10.5</v>
      </c>
      <c r="H964" t="n">
        <v>0</v>
      </c>
      <c r="I964" t="n">
        <v>0</v>
      </c>
      <c r="J964" t="n">
        <v>0</v>
      </c>
      <c r="K964" t="n">
        <v>0</v>
      </c>
      <c r="L964" t="n">
        <v>0</v>
      </c>
      <c r="M964" t="n">
        <v>0</v>
      </c>
      <c r="N964" t="n">
        <v>0</v>
      </c>
      <c r="O964" t="n">
        <v>0</v>
      </c>
      <c r="P964" t="n">
        <v>0</v>
      </c>
      <c r="Q964" t="n">
        <v>0</v>
      </c>
      <c r="R964" s="2" t="inlineStr"/>
    </row>
    <row r="965" ht="15" customHeight="1">
      <c r="A965" t="inlineStr">
        <is>
          <t>A 4527-2026</t>
        </is>
      </c>
      <c r="B965" s="1" t="n">
        <v>46046.64258101852</v>
      </c>
      <c r="C965" s="1" t="n">
        <v>46167</v>
      </c>
      <c r="D965" t="inlineStr">
        <is>
          <t>JÄMTLANDS LÄN</t>
        </is>
      </c>
      <c r="E965" t="inlineStr">
        <is>
          <t>KROKOM</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4656-2026</t>
        </is>
      </c>
      <c r="B966" s="1" t="n">
        <v>46048.40761574074</v>
      </c>
      <c r="C966" s="1" t="n">
        <v>46167</v>
      </c>
      <c r="D966" t="inlineStr">
        <is>
          <t>JÄMTLANDS LÄN</t>
        </is>
      </c>
      <c r="E966" t="inlineStr">
        <is>
          <t>KROKOM</t>
        </is>
      </c>
      <c r="G966" t="n">
        <v>0.5</v>
      </c>
      <c r="H966" t="n">
        <v>0</v>
      </c>
      <c r="I966" t="n">
        <v>0</v>
      </c>
      <c r="J966" t="n">
        <v>0</v>
      </c>
      <c r="K966" t="n">
        <v>0</v>
      </c>
      <c r="L966" t="n">
        <v>0</v>
      </c>
      <c r="M966" t="n">
        <v>0</v>
      </c>
      <c r="N966" t="n">
        <v>0</v>
      </c>
      <c r="O966" t="n">
        <v>0</v>
      </c>
      <c r="P966" t="n">
        <v>0</v>
      </c>
      <c r="Q966" t="n">
        <v>0</v>
      </c>
      <c r="R966" s="2" t="inlineStr"/>
    </row>
    <row r="967" ht="15" customHeight="1">
      <c r="A967" t="inlineStr">
        <is>
          <t>A 4657-2026</t>
        </is>
      </c>
      <c r="B967" s="1" t="n">
        <v>46048</v>
      </c>
      <c r="C967" s="1" t="n">
        <v>46167</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4749-2026</t>
        </is>
      </c>
      <c r="B968" s="1" t="n">
        <v>46048.51130787037</v>
      </c>
      <c r="C968" s="1" t="n">
        <v>46167</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4658-2026</t>
        </is>
      </c>
      <c r="B969" s="1" t="n">
        <v>46048.40784722222</v>
      </c>
      <c r="C969" s="1" t="n">
        <v>46167</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4691-2026</t>
        </is>
      </c>
      <c r="B970" s="1" t="n">
        <v>46048.44567129629</v>
      </c>
      <c r="C970" s="1" t="n">
        <v>46167</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4748-2026</t>
        </is>
      </c>
      <c r="B971" s="1" t="n">
        <v>46048.5112037037</v>
      </c>
      <c r="C971" s="1" t="n">
        <v>46167</v>
      </c>
      <c r="D971" t="inlineStr">
        <is>
          <t>JÄMTLANDS LÄN</t>
        </is>
      </c>
      <c r="E971" t="inlineStr">
        <is>
          <t>KROKOM</t>
        </is>
      </c>
      <c r="G971" t="n">
        <v>1.9</v>
      </c>
      <c r="H971" t="n">
        <v>0</v>
      </c>
      <c r="I971" t="n">
        <v>0</v>
      </c>
      <c r="J971" t="n">
        <v>0</v>
      </c>
      <c r="K971" t="n">
        <v>0</v>
      </c>
      <c r="L971" t="n">
        <v>0</v>
      </c>
      <c r="M971" t="n">
        <v>0</v>
      </c>
      <c r="N971" t="n">
        <v>0</v>
      </c>
      <c r="O971" t="n">
        <v>0</v>
      </c>
      <c r="P971" t="n">
        <v>0</v>
      </c>
      <c r="Q971" t="n">
        <v>0</v>
      </c>
      <c r="R971" s="2" t="inlineStr"/>
    </row>
    <row r="972" ht="15" customHeight="1">
      <c r="A972" t="inlineStr">
        <is>
          <t>A 5680-2026</t>
        </is>
      </c>
      <c r="B972" s="1" t="n">
        <v>46051.47840277778</v>
      </c>
      <c r="C972" s="1" t="n">
        <v>46167</v>
      </c>
      <c r="D972" t="inlineStr">
        <is>
          <t>JÄMTLANDS LÄN</t>
        </is>
      </c>
      <c r="E972" t="inlineStr">
        <is>
          <t>KROKOM</t>
        </is>
      </c>
      <c r="G972" t="n">
        <v>10.6</v>
      </c>
      <c r="H972" t="n">
        <v>0</v>
      </c>
      <c r="I972" t="n">
        <v>0</v>
      </c>
      <c r="J972" t="n">
        <v>0</v>
      </c>
      <c r="K972" t="n">
        <v>0</v>
      </c>
      <c r="L972" t="n">
        <v>0</v>
      </c>
      <c r="M972" t="n">
        <v>0</v>
      </c>
      <c r="N972" t="n">
        <v>0</v>
      </c>
      <c r="O972" t="n">
        <v>0</v>
      </c>
      <c r="P972" t="n">
        <v>0</v>
      </c>
      <c r="Q972" t="n">
        <v>0</v>
      </c>
      <c r="R972" s="2" t="inlineStr"/>
    </row>
    <row r="973" ht="15" customHeight="1">
      <c r="A973" t="inlineStr">
        <is>
          <t>A 5578-2026</t>
        </is>
      </c>
      <c r="B973" s="1" t="n">
        <v>46051.28758101852</v>
      </c>
      <c r="C973" s="1" t="n">
        <v>46167</v>
      </c>
      <c r="D973" t="inlineStr">
        <is>
          <t>JÄMTLANDS LÄN</t>
        </is>
      </c>
      <c r="E973" t="inlineStr">
        <is>
          <t>KROKOM</t>
        </is>
      </c>
      <c r="F973" t="inlineStr">
        <is>
          <t>Övriga Aktiebolag</t>
        </is>
      </c>
      <c r="G973" t="n">
        <v>7.2</v>
      </c>
      <c r="H973" t="n">
        <v>0</v>
      </c>
      <c r="I973" t="n">
        <v>0</v>
      </c>
      <c r="J973" t="n">
        <v>0</v>
      </c>
      <c r="K973" t="n">
        <v>0</v>
      </c>
      <c r="L973" t="n">
        <v>0</v>
      </c>
      <c r="M973" t="n">
        <v>0</v>
      </c>
      <c r="N973" t="n">
        <v>0</v>
      </c>
      <c r="O973" t="n">
        <v>0</v>
      </c>
      <c r="P973" t="n">
        <v>0</v>
      </c>
      <c r="Q973" t="n">
        <v>0</v>
      </c>
      <c r="R973" s="2" t="inlineStr"/>
    </row>
    <row r="974" ht="15" customHeight="1">
      <c r="A974" t="inlineStr">
        <is>
          <t>A 30065-2024</t>
        </is>
      </c>
      <c r="B974" s="1" t="n">
        <v>45488.94857638889</v>
      </c>
      <c r="C974" s="1" t="n">
        <v>46167</v>
      </c>
      <c r="D974" t="inlineStr">
        <is>
          <t>JÄMTLANDS LÄN</t>
        </is>
      </c>
      <c r="E974" t="inlineStr">
        <is>
          <t>KROKOM</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6208-2025</t>
        </is>
      </c>
      <c r="B975" s="1" t="n">
        <v>45698.4930787037</v>
      </c>
      <c r="C975" s="1" t="n">
        <v>46167</v>
      </c>
      <c r="D975" t="inlineStr">
        <is>
          <t>JÄMTLANDS LÄN</t>
        </is>
      </c>
      <c r="E975" t="inlineStr">
        <is>
          <t>KROKOM</t>
        </is>
      </c>
      <c r="G975" t="n">
        <v>7.6</v>
      </c>
      <c r="H975" t="n">
        <v>0</v>
      </c>
      <c r="I975" t="n">
        <v>0</v>
      </c>
      <c r="J975" t="n">
        <v>0</v>
      </c>
      <c r="K975" t="n">
        <v>0</v>
      </c>
      <c r="L975" t="n">
        <v>0</v>
      </c>
      <c r="M975" t="n">
        <v>0</v>
      </c>
      <c r="N975" t="n">
        <v>0</v>
      </c>
      <c r="O975" t="n">
        <v>0</v>
      </c>
      <c r="P975" t="n">
        <v>0</v>
      </c>
      <c r="Q975" t="n">
        <v>0</v>
      </c>
      <c r="R975" s="2" t="inlineStr"/>
    </row>
    <row r="976" ht="15" customHeight="1">
      <c r="A976" t="inlineStr">
        <is>
          <t>A 64764-2023</t>
        </is>
      </c>
      <c r="B976" s="1" t="n">
        <v>45282</v>
      </c>
      <c r="C976" s="1" t="n">
        <v>46167</v>
      </c>
      <c r="D976" t="inlineStr">
        <is>
          <t>JÄMTLANDS LÄN</t>
        </is>
      </c>
      <c r="E976" t="inlineStr">
        <is>
          <t>KROKOM</t>
        </is>
      </c>
      <c r="G976" t="n">
        <v>1.6</v>
      </c>
      <c r="H976" t="n">
        <v>0</v>
      </c>
      <c r="I976" t="n">
        <v>0</v>
      </c>
      <c r="J976" t="n">
        <v>0</v>
      </c>
      <c r="K976" t="n">
        <v>0</v>
      </c>
      <c r="L976" t="n">
        <v>0</v>
      </c>
      <c r="M976" t="n">
        <v>0</v>
      </c>
      <c r="N976" t="n">
        <v>0</v>
      </c>
      <c r="O976" t="n">
        <v>0</v>
      </c>
      <c r="P976" t="n">
        <v>0</v>
      </c>
      <c r="Q976" t="n">
        <v>0</v>
      </c>
      <c r="R976" s="2" t="inlineStr"/>
    </row>
    <row r="977" ht="15" customHeight="1">
      <c r="A977" t="inlineStr">
        <is>
          <t>A 3231-2022</t>
        </is>
      </c>
      <c r="B977" s="1" t="n">
        <v>44582</v>
      </c>
      <c r="C977" s="1" t="n">
        <v>46167</v>
      </c>
      <c r="D977" t="inlineStr">
        <is>
          <t>JÄMTLANDS LÄN</t>
        </is>
      </c>
      <c r="E977" t="inlineStr">
        <is>
          <t>KROKOM</t>
        </is>
      </c>
      <c r="G977" t="n">
        <v>23</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45145.95255787037</v>
      </c>
      <c r="C978" s="1" t="n">
        <v>46167</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5591-2026</t>
        </is>
      </c>
      <c r="B979" s="1" t="n">
        <v>46051.32770833333</v>
      </c>
      <c r="C979" s="1" t="n">
        <v>46167</v>
      </c>
      <c r="D979" t="inlineStr">
        <is>
          <t>JÄMTLANDS LÄN</t>
        </is>
      </c>
      <c r="E979" t="inlineStr">
        <is>
          <t>KROKOM</t>
        </is>
      </c>
      <c r="F979" t="inlineStr">
        <is>
          <t>Övriga Aktiebolag</t>
        </is>
      </c>
      <c r="G979" t="n">
        <v>11.2</v>
      </c>
      <c r="H979" t="n">
        <v>0</v>
      </c>
      <c r="I979" t="n">
        <v>0</v>
      </c>
      <c r="J979" t="n">
        <v>0</v>
      </c>
      <c r="K979" t="n">
        <v>0</v>
      </c>
      <c r="L979" t="n">
        <v>0</v>
      </c>
      <c r="M979" t="n">
        <v>0</v>
      </c>
      <c r="N979" t="n">
        <v>0</v>
      </c>
      <c r="O979" t="n">
        <v>0</v>
      </c>
      <c r="P979" t="n">
        <v>0</v>
      </c>
      <c r="Q979" t="n">
        <v>0</v>
      </c>
      <c r="R979" s="2" t="inlineStr"/>
    </row>
    <row r="980" ht="15" customHeight="1">
      <c r="A980" t="inlineStr">
        <is>
          <t>A 5789-2026</t>
        </is>
      </c>
      <c r="B980" s="1" t="n">
        <v>46051.67745370371</v>
      </c>
      <c r="C980" s="1" t="n">
        <v>46167</v>
      </c>
      <c r="D980" t="inlineStr">
        <is>
          <t>JÄMTLANDS LÄN</t>
        </is>
      </c>
      <c r="E980" t="inlineStr">
        <is>
          <t>KROKOM</t>
        </is>
      </c>
      <c r="G980" t="n">
        <v>6.7</v>
      </c>
      <c r="H980" t="n">
        <v>0</v>
      </c>
      <c r="I980" t="n">
        <v>0</v>
      </c>
      <c r="J980" t="n">
        <v>0</v>
      </c>
      <c r="K980" t="n">
        <v>0</v>
      </c>
      <c r="L980" t="n">
        <v>0</v>
      </c>
      <c r="M980" t="n">
        <v>0</v>
      </c>
      <c r="N980" t="n">
        <v>0</v>
      </c>
      <c r="O980" t="n">
        <v>0</v>
      </c>
      <c r="P980" t="n">
        <v>0</v>
      </c>
      <c r="Q980" t="n">
        <v>0</v>
      </c>
      <c r="R980" s="2" t="inlineStr"/>
    </row>
    <row r="981" ht="15" customHeight="1">
      <c r="A981" t="inlineStr">
        <is>
          <t>A 46761-2022</t>
        </is>
      </c>
      <c r="B981" s="1" t="n">
        <v>44847</v>
      </c>
      <c r="C981" s="1" t="n">
        <v>46167</v>
      </c>
      <c r="D981" t="inlineStr">
        <is>
          <t>JÄMTLANDS LÄN</t>
        </is>
      </c>
      <c r="E981" t="inlineStr">
        <is>
          <t>KROKOM</t>
        </is>
      </c>
      <c r="G981" t="n">
        <v>0.2</v>
      </c>
      <c r="H981" t="n">
        <v>0</v>
      </c>
      <c r="I981" t="n">
        <v>0</v>
      </c>
      <c r="J981" t="n">
        <v>0</v>
      </c>
      <c r="K981" t="n">
        <v>0</v>
      </c>
      <c r="L981" t="n">
        <v>0</v>
      </c>
      <c r="M981" t="n">
        <v>0</v>
      </c>
      <c r="N981" t="n">
        <v>0</v>
      </c>
      <c r="O981" t="n">
        <v>0</v>
      </c>
      <c r="P981" t="n">
        <v>0</v>
      </c>
      <c r="Q981" t="n">
        <v>0</v>
      </c>
      <c r="R981" s="2" t="inlineStr"/>
    </row>
    <row r="982" ht="15" customHeight="1">
      <c r="A982" t="inlineStr">
        <is>
          <t>A 13339-2026</t>
        </is>
      </c>
      <c r="B982" s="1" t="n">
        <v>46094.37478009259</v>
      </c>
      <c r="C982" s="1" t="n">
        <v>46167</v>
      </c>
      <c r="D982" t="inlineStr">
        <is>
          <t>JÄMTLANDS LÄN</t>
        </is>
      </c>
      <c r="E982" t="inlineStr">
        <is>
          <t>KROKOM</t>
        </is>
      </c>
      <c r="G982" t="n">
        <v>16.8</v>
      </c>
      <c r="H982" t="n">
        <v>0</v>
      </c>
      <c r="I982" t="n">
        <v>0</v>
      </c>
      <c r="J982" t="n">
        <v>0</v>
      </c>
      <c r="K982" t="n">
        <v>0</v>
      </c>
      <c r="L982" t="n">
        <v>0</v>
      </c>
      <c r="M982" t="n">
        <v>0</v>
      </c>
      <c r="N982" t="n">
        <v>0</v>
      </c>
      <c r="O982" t="n">
        <v>0</v>
      </c>
      <c r="P982" t="n">
        <v>0</v>
      </c>
      <c r="Q982" t="n">
        <v>0</v>
      </c>
      <c r="R982" s="2" t="inlineStr"/>
    </row>
    <row r="983" ht="15" customHeight="1">
      <c r="A983" t="inlineStr">
        <is>
          <t>A 31654-2025</t>
        </is>
      </c>
      <c r="B983" s="1" t="n">
        <v>45834.34726851852</v>
      </c>
      <c r="C983" s="1" t="n">
        <v>46167</v>
      </c>
      <c r="D983" t="inlineStr">
        <is>
          <t>JÄMTLANDS LÄN</t>
        </is>
      </c>
      <c r="E983" t="inlineStr">
        <is>
          <t>KROKOM</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62131-2024</t>
        </is>
      </c>
      <c r="B984" s="1" t="n">
        <v>45656</v>
      </c>
      <c r="C984" s="1" t="n">
        <v>46167</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37465-2025</t>
        </is>
      </c>
      <c r="B985" s="1" t="n">
        <v>45877.57403935185</v>
      </c>
      <c r="C985" s="1" t="n">
        <v>46167</v>
      </c>
      <c r="D985" t="inlineStr">
        <is>
          <t>JÄMTLANDS LÄN</t>
        </is>
      </c>
      <c r="E985" t="inlineStr">
        <is>
          <t>KROKOM</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36588-2025</t>
        </is>
      </c>
      <c r="B986" s="1" t="n">
        <v>45870</v>
      </c>
      <c r="C986" s="1" t="n">
        <v>46167</v>
      </c>
      <c r="D986" t="inlineStr">
        <is>
          <t>JÄMTLANDS LÄN</t>
        </is>
      </c>
      <c r="E986" t="inlineStr">
        <is>
          <t>KROKOM</t>
        </is>
      </c>
      <c r="G986" t="n">
        <v>2</v>
      </c>
      <c r="H986" t="n">
        <v>0</v>
      </c>
      <c r="I986" t="n">
        <v>0</v>
      </c>
      <c r="J986" t="n">
        <v>0</v>
      </c>
      <c r="K986" t="n">
        <v>0</v>
      </c>
      <c r="L986" t="n">
        <v>0</v>
      </c>
      <c r="M986" t="n">
        <v>0</v>
      </c>
      <c r="N986" t="n">
        <v>0</v>
      </c>
      <c r="O986" t="n">
        <v>0</v>
      </c>
      <c r="P986" t="n">
        <v>0</v>
      </c>
      <c r="Q986" t="n">
        <v>0</v>
      </c>
      <c r="R986" s="2" t="inlineStr"/>
    </row>
    <row r="987" ht="15" customHeight="1">
      <c r="A987" t="inlineStr">
        <is>
          <t>A 2051-2025</t>
        </is>
      </c>
      <c r="B987" s="1" t="n">
        <v>45672.53806712963</v>
      </c>
      <c r="C987" s="1" t="n">
        <v>46167</v>
      </c>
      <c r="D987" t="inlineStr">
        <is>
          <t>JÄMTLANDS LÄN</t>
        </is>
      </c>
      <c r="E987" t="inlineStr">
        <is>
          <t>KROKOM</t>
        </is>
      </c>
      <c r="F987" t="inlineStr">
        <is>
          <t>Kyrkan</t>
        </is>
      </c>
      <c r="G987" t="n">
        <v>87.90000000000001</v>
      </c>
      <c r="H987" t="n">
        <v>0</v>
      </c>
      <c r="I987" t="n">
        <v>0</v>
      </c>
      <c r="J987" t="n">
        <v>0</v>
      </c>
      <c r="K987" t="n">
        <v>0</v>
      </c>
      <c r="L987" t="n">
        <v>0</v>
      </c>
      <c r="M987" t="n">
        <v>0</v>
      </c>
      <c r="N987" t="n">
        <v>0</v>
      </c>
      <c r="O987" t="n">
        <v>0</v>
      </c>
      <c r="P987" t="n">
        <v>0</v>
      </c>
      <c r="Q987" t="n">
        <v>0</v>
      </c>
      <c r="R987" s="2" t="inlineStr"/>
    </row>
    <row r="988" ht="15" customHeight="1">
      <c r="A988" t="inlineStr">
        <is>
          <t>A 2609-2023</t>
        </is>
      </c>
      <c r="B988" s="1" t="n">
        <v>44939</v>
      </c>
      <c r="C988" s="1" t="n">
        <v>46167</v>
      </c>
      <c r="D988" t="inlineStr">
        <is>
          <t>JÄMTLANDS LÄN</t>
        </is>
      </c>
      <c r="E988" t="inlineStr">
        <is>
          <t>KROKOM</t>
        </is>
      </c>
      <c r="G988" t="n">
        <v>16.9</v>
      </c>
      <c r="H988" t="n">
        <v>0</v>
      </c>
      <c r="I988" t="n">
        <v>0</v>
      </c>
      <c r="J988" t="n">
        <v>0</v>
      </c>
      <c r="K988" t="n">
        <v>0</v>
      </c>
      <c r="L988" t="n">
        <v>0</v>
      </c>
      <c r="M988" t="n">
        <v>0</v>
      </c>
      <c r="N988" t="n">
        <v>0</v>
      </c>
      <c r="O988" t="n">
        <v>0</v>
      </c>
      <c r="P988" t="n">
        <v>0</v>
      </c>
      <c r="Q988" t="n">
        <v>0</v>
      </c>
      <c r="R988" s="2" t="inlineStr"/>
    </row>
    <row r="989" ht="15" customHeight="1">
      <c r="A989" t="inlineStr">
        <is>
          <t>A 10632-2025</t>
        </is>
      </c>
      <c r="B989" s="1" t="n">
        <v>45721</v>
      </c>
      <c r="C989" s="1" t="n">
        <v>46167</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61244-2025</t>
        </is>
      </c>
      <c r="B990" s="1" t="n">
        <v>46000.65929398148</v>
      </c>
      <c r="C990" s="1" t="n">
        <v>46167</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10533-2025</t>
        </is>
      </c>
      <c r="B991" s="1" t="n">
        <v>45721.45563657407</v>
      </c>
      <c r="C991" s="1" t="n">
        <v>46167</v>
      </c>
      <c r="D991" t="inlineStr">
        <is>
          <t>JÄMTLANDS LÄN</t>
        </is>
      </c>
      <c r="E991" t="inlineStr">
        <is>
          <t>KROKOM</t>
        </is>
      </c>
      <c r="F991" t="inlineStr">
        <is>
          <t>SCA</t>
        </is>
      </c>
      <c r="G991" t="n">
        <v>64.90000000000001</v>
      </c>
      <c r="H991" t="n">
        <v>0</v>
      </c>
      <c r="I991" t="n">
        <v>0</v>
      </c>
      <c r="J991" t="n">
        <v>0</v>
      </c>
      <c r="K991" t="n">
        <v>0</v>
      </c>
      <c r="L991" t="n">
        <v>0</v>
      </c>
      <c r="M991" t="n">
        <v>0</v>
      </c>
      <c r="N991" t="n">
        <v>0</v>
      </c>
      <c r="O991" t="n">
        <v>0</v>
      </c>
      <c r="P991" t="n">
        <v>0</v>
      </c>
      <c r="Q991" t="n">
        <v>0</v>
      </c>
      <c r="R991" s="2" t="inlineStr"/>
    </row>
    <row r="992" ht="15" customHeight="1">
      <c r="A992" t="inlineStr">
        <is>
          <t>A 10397-2025</t>
        </is>
      </c>
      <c r="B992" s="1" t="n">
        <v>45720.60774305555</v>
      </c>
      <c r="C992" s="1" t="n">
        <v>46167</v>
      </c>
      <c r="D992" t="inlineStr">
        <is>
          <t>JÄMTLANDS LÄN</t>
        </is>
      </c>
      <c r="E992" t="inlineStr">
        <is>
          <t>KROKOM</t>
        </is>
      </c>
      <c r="F992" t="inlineStr">
        <is>
          <t>Övriga Aktiebolag</t>
        </is>
      </c>
      <c r="G992" t="n">
        <v>32.9</v>
      </c>
      <c r="H992" t="n">
        <v>0</v>
      </c>
      <c r="I992" t="n">
        <v>0</v>
      </c>
      <c r="J992" t="n">
        <v>0</v>
      </c>
      <c r="K992" t="n">
        <v>0</v>
      </c>
      <c r="L992" t="n">
        <v>0</v>
      </c>
      <c r="M992" t="n">
        <v>0</v>
      </c>
      <c r="N992" t="n">
        <v>0</v>
      </c>
      <c r="O992" t="n">
        <v>0</v>
      </c>
      <c r="P992" t="n">
        <v>0</v>
      </c>
      <c r="Q992" t="n">
        <v>0</v>
      </c>
      <c r="R992" s="2" t="inlineStr"/>
    </row>
    <row r="993" ht="15" customHeight="1">
      <c r="A993" t="inlineStr">
        <is>
          <t>A 27596-2024</t>
        </is>
      </c>
      <c r="B993" s="1" t="n">
        <v>45474.69074074074</v>
      </c>
      <c r="C993" s="1" t="n">
        <v>46167</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14233-2025</t>
        </is>
      </c>
      <c r="B994" s="1" t="n">
        <v>45740</v>
      </c>
      <c r="C994" s="1" t="n">
        <v>46167</v>
      </c>
      <c r="D994" t="inlineStr">
        <is>
          <t>JÄMTLANDS LÄN</t>
        </is>
      </c>
      <c r="E994" t="inlineStr">
        <is>
          <t>KROKOM</t>
        </is>
      </c>
      <c r="F994" t="inlineStr">
        <is>
          <t>Övriga statliga verk och myndigheter</t>
        </is>
      </c>
      <c r="G994" t="n">
        <v>2.5</v>
      </c>
      <c r="H994" t="n">
        <v>0</v>
      </c>
      <c r="I994" t="n">
        <v>0</v>
      </c>
      <c r="J994" t="n">
        <v>0</v>
      </c>
      <c r="K994" t="n">
        <v>0</v>
      </c>
      <c r="L994" t="n">
        <v>0</v>
      </c>
      <c r="M994" t="n">
        <v>0</v>
      </c>
      <c r="N994" t="n">
        <v>0</v>
      </c>
      <c r="O994" t="n">
        <v>0</v>
      </c>
      <c r="P994" t="n">
        <v>0</v>
      </c>
      <c r="Q994" t="n">
        <v>0</v>
      </c>
      <c r="R994" s="2" t="inlineStr"/>
    </row>
    <row r="995" ht="15" customHeight="1">
      <c r="A995" t="inlineStr">
        <is>
          <t>A 11243-2025</t>
        </is>
      </c>
      <c r="B995" s="1" t="n">
        <v>45726.37850694444</v>
      </c>
      <c r="C995" s="1" t="n">
        <v>46167</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11386-2025</t>
        </is>
      </c>
      <c r="B996" s="1" t="n">
        <v>45726.56341435185</v>
      </c>
      <c r="C996" s="1" t="n">
        <v>46167</v>
      </c>
      <c r="D996" t="inlineStr">
        <is>
          <t>JÄMTLANDS LÄN</t>
        </is>
      </c>
      <c r="E996" t="inlineStr">
        <is>
          <t>KROKOM</t>
        </is>
      </c>
      <c r="F996" t="inlineStr">
        <is>
          <t>Övriga Aktiebolag</t>
        </is>
      </c>
      <c r="G996" t="n">
        <v>42.4</v>
      </c>
      <c r="H996" t="n">
        <v>0</v>
      </c>
      <c r="I996" t="n">
        <v>0</v>
      </c>
      <c r="J996" t="n">
        <v>0</v>
      </c>
      <c r="K996" t="n">
        <v>0</v>
      </c>
      <c r="L996" t="n">
        <v>0</v>
      </c>
      <c r="M996" t="n">
        <v>0</v>
      </c>
      <c r="N996" t="n">
        <v>0</v>
      </c>
      <c r="O996" t="n">
        <v>0</v>
      </c>
      <c r="P996" t="n">
        <v>0</v>
      </c>
      <c r="Q996" t="n">
        <v>0</v>
      </c>
      <c r="R996" s="2" t="inlineStr"/>
    </row>
    <row r="997" ht="15" customHeight="1">
      <c r="A997" t="inlineStr">
        <is>
          <t>A 11056-2025</t>
        </is>
      </c>
      <c r="B997" s="1" t="n">
        <v>45723.50841435185</v>
      </c>
      <c r="C997" s="1" t="n">
        <v>46167</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12838-2025</t>
        </is>
      </c>
      <c r="B998" s="1" t="n">
        <v>45733</v>
      </c>
      <c r="C998" s="1" t="n">
        <v>46167</v>
      </c>
      <c r="D998" t="inlineStr">
        <is>
          <t>JÄMTLANDS LÄN</t>
        </is>
      </c>
      <c r="E998" t="inlineStr">
        <is>
          <t>KROKOM</t>
        </is>
      </c>
      <c r="G998" t="n">
        <v>59.3</v>
      </c>
      <c r="H998" t="n">
        <v>0</v>
      </c>
      <c r="I998" t="n">
        <v>0</v>
      </c>
      <c r="J998" t="n">
        <v>0</v>
      </c>
      <c r="K998" t="n">
        <v>0</v>
      </c>
      <c r="L998" t="n">
        <v>0</v>
      </c>
      <c r="M998" t="n">
        <v>0</v>
      </c>
      <c r="N998" t="n">
        <v>0</v>
      </c>
      <c r="O998" t="n">
        <v>0</v>
      </c>
      <c r="P998" t="n">
        <v>0</v>
      </c>
      <c r="Q998" t="n">
        <v>0</v>
      </c>
      <c r="R998" s="2" t="inlineStr"/>
    </row>
    <row r="999" ht="15" customHeight="1">
      <c r="A999" t="inlineStr">
        <is>
          <t>A 31655-2025</t>
        </is>
      </c>
      <c r="B999" s="1" t="n">
        <v>45834.34737268519</v>
      </c>
      <c r="C999" s="1" t="n">
        <v>46167</v>
      </c>
      <c r="D999" t="inlineStr">
        <is>
          <t>JÄMTLANDS LÄN</t>
        </is>
      </c>
      <c r="E999" t="inlineStr">
        <is>
          <t>KROKOM</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14234-2025</t>
        </is>
      </c>
      <c r="B1000" s="1" t="n">
        <v>45740</v>
      </c>
      <c r="C1000" s="1" t="n">
        <v>46167</v>
      </c>
      <c r="D1000" t="inlineStr">
        <is>
          <t>JÄMTLANDS LÄN</t>
        </is>
      </c>
      <c r="E1000" t="inlineStr">
        <is>
          <t>KROKOM</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15761-2025</t>
        </is>
      </c>
      <c r="B1001" s="1" t="n">
        <v>45748.57269675926</v>
      </c>
      <c r="C1001" s="1" t="n">
        <v>46167</v>
      </c>
      <c r="D1001" t="inlineStr">
        <is>
          <t>JÄMTLANDS LÄN</t>
        </is>
      </c>
      <c r="E1001" t="inlineStr">
        <is>
          <t>KROKOM</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6825-2026</t>
        </is>
      </c>
      <c r="B1002" s="1" t="n">
        <v>46057.39299768519</v>
      </c>
      <c r="C1002" s="1" t="n">
        <v>46167</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46167</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6800-2026</t>
        </is>
      </c>
      <c r="B1004" s="1" t="n">
        <v>46057.34800925926</v>
      </c>
      <c r="C1004" s="1" t="n">
        <v>46167</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6916-2026</t>
        </is>
      </c>
      <c r="B1005" s="1" t="n">
        <v>46057.52412037037</v>
      </c>
      <c r="C1005" s="1" t="n">
        <v>46167</v>
      </c>
      <c r="D1005" t="inlineStr">
        <is>
          <t>JÄMTLANDS LÄN</t>
        </is>
      </c>
      <c r="E1005" t="inlineStr">
        <is>
          <t>KROKOM</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54491-2022</t>
        </is>
      </c>
      <c r="B1006" s="1" t="n">
        <v>44880</v>
      </c>
      <c r="C1006" s="1" t="n">
        <v>46167</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6924-2026</t>
        </is>
      </c>
      <c r="B1007" s="1" t="n">
        <v>46057.54111111111</v>
      </c>
      <c r="C1007" s="1" t="n">
        <v>46167</v>
      </c>
      <c r="D1007" t="inlineStr">
        <is>
          <t>JÄMTLANDS LÄN</t>
        </is>
      </c>
      <c r="E1007" t="inlineStr">
        <is>
          <t>KROKOM</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6882-2026</t>
        </is>
      </c>
      <c r="B1008" s="1" t="n">
        <v>46057.46314814815</v>
      </c>
      <c r="C1008" s="1" t="n">
        <v>46167</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56538-2023</t>
        </is>
      </c>
      <c r="B1009" s="1" t="n">
        <v>45238</v>
      </c>
      <c r="C1009" s="1" t="n">
        <v>46167</v>
      </c>
      <c r="D1009" t="inlineStr">
        <is>
          <t>JÄMTLANDS LÄN</t>
        </is>
      </c>
      <c r="E1009" t="inlineStr">
        <is>
          <t>KROKOM</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7169-2026</t>
        </is>
      </c>
      <c r="B1010" s="1" t="n">
        <v>46058.45940972222</v>
      </c>
      <c r="C1010" s="1" t="n">
        <v>46167</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7118-2026</t>
        </is>
      </c>
      <c r="B1011" s="1" t="n">
        <v>46058.37922453704</v>
      </c>
      <c r="C1011" s="1" t="n">
        <v>46167</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7130-2026</t>
        </is>
      </c>
      <c r="B1012" s="1" t="n">
        <v>46058.39744212963</v>
      </c>
      <c r="C1012" s="1" t="n">
        <v>46167</v>
      </c>
      <c r="D1012" t="inlineStr">
        <is>
          <t>JÄMTLANDS LÄN</t>
        </is>
      </c>
      <c r="E1012" t="inlineStr">
        <is>
          <t>KROKOM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36491-2021</t>
        </is>
      </c>
      <c r="B1013" s="1" t="n">
        <v>44390</v>
      </c>
      <c r="C1013" s="1" t="n">
        <v>46167</v>
      </c>
      <c r="D1013" t="inlineStr">
        <is>
          <t>JÄMTLANDS LÄN</t>
        </is>
      </c>
      <c r="E1013" t="inlineStr">
        <is>
          <t>KROKOM</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34289-2021</t>
        </is>
      </c>
      <c r="B1014" s="1" t="n">
        <v>44379.59675925926</v>
      </c>
      <c r="C1014" s="1" t="n">
        <v>46167</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29524-2024</t>
        </is>
      </c>
      <c r="B1015" s="1" t="n">
        <v>45484</v>
      </c>
      <c r="C1015" s="1" t="n">
        <v>46167</v>
      </c>
      <c r="D1015" t="inlineStr">
        <is>
          <t>JÄMTLANDS LÄN</t>
        </is>
      </c>
      <c r="E1015" t="inlineStr">
        <is>
          <t>KROKOM</t>
        </is>
      </c>
      <c r="F1015" t="inlineStr">
        <is>
          <t>Övriga Aktiebolag</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4942-2026</t>
        </is>
      </c>
      <c r="B1016" s="1" t="n">
        <v>46048</v>
      </c>
      <c r="C1016" s="1" t="n">
        <v>46167</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8057-2026</t>
        </is>
      </c>
      <c r="B1017" s="1" t="n">
        <v>46062</v>
      </c>
      <c r="C1017" s="1" t="n">
        <v>46167</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3329-2025</t>
        </is>
      </c>
      <c r="B1018" s="1" t="n">
        <v>45679.70027777777</v>
      </c>
      <c r="C1018" s="1" t="n">
        <v>46167</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8209-2026</t>
        </is>
      </c>
      <c r="B1019" s="1" t="n">
        <v>46064.44895833333</v>
      </c>
      <c r="C1019" s="1" t="n">
        <v>46167</v>
      </c>
      <c r="D1019" t="inlineStr">
        <is>
          <t>JÄMTLANDS LÄN</t>
        </is>
      </c>
      <c r="E1019" t="inlineStr">
        <is>
          <t>KROKOM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8330-2026</t>
        </is>
      </c>
      <c r="B1020" s="1" t="n">
        <v>46064.62232638889</v>
      </c>
      <c r="C1020" s="1" t="n">
        <v>46167</v>
      </c>
      <c r="D1020" t="inlineStr">
        <is>
          <t>JÄMTLANDS LÄN</t>
        </is>
      </c>
      <c r="E1020" t="inlineStr">
        <is>
          <t>KROKOM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9057-2026</t>
        </is>
      </c>
      <c r="B1021" s="1" t="n">
        <v>46069.56244212963</v>
      </c>
      <c r="C1021" s="1" t="n">
        <v>46167</v>
      </c>
      <c r="D1021" t="inlineStr">
        <is>
          <t>JÄMTLANDS LÄN</t>
        </is>
      </c>
      <c r="E1021" t="inlineStr">
        <is>
          <t>KROKOM</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9039-2026</t>
        </is>
      </c>
      <c r="B1022" s="1" t="n">
        <v>46069.53791666667</v>
      </c>
      <c r="C1022" s="1" t="n">
        <v>46167</v>
      </c>
      <c r="D1022" t="inlineStr">
        <is>
          <t>JÄMTLANDS LÄN</t>
        </is>
      </c>
      <c r="E1022" t="inlineStr">
        <is>
          <t>KROKOM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8369-2023</t>
        </is>
      </c>
      <c r="B1023" s="1" t="n">
        <v>44971</v>
      </c>
      <c r="C1023" s="1" t="n">
        <v>46167</v>
      </c>
      <c r="D1023" t="inlineStr">
        <is>
          <t>JÄMTLANDS LÄN</t>
        </is>
      </c>
      <c r="E1023" t="inlineStr">
        <is>
          <t>KROKOM</t>
        </is>
      </c>
      <c r="G1023" t="n">
        <v>47.2</v>
      </c>
      <c r="H1023" t="n">
        <v>0</v>
      </c>
      <c r="I1023" t="n">
        <v>0</v>
      </c>
      <c r="J1023" t="n">
        <v>0</v>
      </c>
      <c r="K1023" t="n">
        <v>0</v>
      </c>
      <c r="L1023" t="n">
        <v>0</v>
      </c>
      <c r="M1023" t="n">
        <v>0</v>
      </c>
      <c r="N1023" t="n">
        <v>0</v>
      </c>
      <c r="O1023" t="n">
        <v>0</v>
      </c>
      <c r="P1023" t="n">
        <v>0</v>
      </c>
      <c r="Q1023" t="n">
        <v>0</v>
      </c>
      <c r="R1023" s="2" t="inlineStr"/>
    </row>
    <row r="1024" ht="15" customHeight="1">
      <c r="A1024" t="inlineStr">
        <is>
          <t>A 58347-2022</t>
        </is>
      </c>
      <c r="B1024" s="1" t="n">
        <v>44901.59349537037</v>
      </c>
      <c r="C1024" s="1" t="n">
        <v>46167</v>
      </c>
      <c r="D1024" t="inlineStr">
        <is>
          <t>JÄMTLANDS LÄN</t>
        </is>
      </c>
      <c r="E1024" t="inlineStr">
        <is>
          <t>KROKOM</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9098-2026</t>
        </is>
      </c>
      <c r="B1025" s="1" t="n">
        <v>46069.6367824074</v>
      </c>
      <c r="C1025" s="1" t="n">
        <v>46167</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6145-2025</t>
        </is>
      </c>
      <c r="B1026" s="1" t="n">
        <v>45698.39486111111</v>
      </c>
      <c r="C1026" s="1" t="n">
        <v>46167</v>
      </c>
      <c r="D1026" t="inlineStr">
        <is>
          <t>JÄMTLANDS LÄN</t>
        </is>
      </c>
      <c r="E1026" t="inlineStr">
        <is>
          <t>KROKOM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8976-2026</t>
        </is>
      </c>
      <c r="B1027" s="1" t="n">
        <v>46069</v>
      </c>
      <c r="C1027" s="1" t="n">
        <v>46167</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25775-2024</t>
        </is>
      </c>
      <c r="B1028" s="1" t="n">
        <v>45466.62116898148</v>
      </c>
      <c r="C1028" s="1" t="n">
        <v>46167</v>
      </c>
      <c r="D1028" t="inlineStr">
        <is>
          <t>JÄMTLANDS LÄN</t>
        </is>
      </c>
      <c r="E1028" t="inlineStr">
        <is>
          <t>KROKOM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53825-2024</t>
        </is>
      </c>
      <c r="B1029" s="1" t="n">
        <v>45615.61121527778</v>
      </c>
      <c r="C1029" s="1" t="n">
        <v>46167</v>
      </c>
      <c r="D1029" t="inlineStr">
        <is>
          <t>JÄMTLANDS LÄN</t>
        </is>
      </c>
      <c r="E1029" t="inlineStr">
        <is>
          <t>KROKOM</t>
        </is>
      </c>
      <c r="F1029" t="inlineStr">
        <is>
          <t>Övriga Aktiebolag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9164-2026</t>
        </is>
      </c>
      <c r="B1030" s="1" t="n">
        <v>46070.35418981482</v>
      </c>
      <c r="C1030" s="1" t="n">
        <v>46167</v>
      </c>
      <c r="D1030" t="inlineStr">
        <is>
          <t>JÄMTLANDS LÄN</t>
        </is>
      </c>
      <c r="E1030" t="inlineStr">
        <is>
          <t>KROKOM</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9168-2026</t>
        </is>
      </c>
      <c r="B1031" s="1" t="n">
        <v>46070.36040509259</v>
      </c>
      <c r="C1031" s="1" t="n">
        <v>46167</v>
      </c>
      <c r="D1031" t="inlineStr">
        <is>
          <t>JÄMTLANDS LÄN</t>
        </is>
      </c>
      <c r="E1031" t="inlineStr">
        <is>
          <t>KROKOM</t>
        </is>
      </c>
      <c r="F1031" t="inlineStr">
        <is>
          <t>Övriga Aktiebolag</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57514-2023</t>
        </is>
      </c>
      <c r="B1032" s="1" t="n">
        <v>45246</v>
      </c>
      <c r="C1032" s="1" t="n">
        <v>46167</v>
      </c>
      <c r="D1032" t="inlineStr">
        <is>
          <t>JÄMTLANDS LÄN</t>
        </is>
      </c>
      <c r="E1032" t="inlineStr">
        <is>
          <t>KROKOM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16064-2024</t>
        </is>
      </c>
      <c r="B1033" s="1" t="n">
        <v>45406.05033564815</v>
      </c>
      <c r="C1033" s="1" t="n">
        <v>46167</v>
      </c>
      <c r="D1033" t="inlineStr">
        <is>
          <t>JÄMTLANDS LÄN</t>
        </is>
      </c>
      <c r="E1033" t="inlineStr">
        <is>
          <t>KROKOM</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9180-2026</t>
        </is>
      </c>
      <c r="B1034" s="1" t="n">
        <v>46070.36953703704</v>
      </c>
      <c r="C1034" s="1" t="n">
        <v>46167</v>
      </c>
      <c r="D1034" t="inlineStr">
        <is>
          <t>JÄMTLANDS LÄN</t>
        </is>
      </c>
      <c r="E1034" t="inlineStr">
        <is>
          <t>KROKOM</t>
        </is>
      </c>
      <c r="F1034" t="inlineStr">
        <is>
          <t>Övriga Aktiebolag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9473-2026</t>
        </is>
      </c>
      <c r="B1035" s="1" t="n">
        <v>46071.51774305556</v>
      </c>
      <c r="C1035" s="1" t="n">
        <v>46167</v>
      </c>
      <c r="D1035" t="inlineStr">
        <is>
          <t>JÄMTLANDS LÄN</t>
        </is>
      </c>
      <c r="E1035" t="inlineStr">
        <is>
          <t>KROKOM</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9838-2026</t>
        </is>
      </c>
      <c r="B1036" s="1" t="n">
        <v>46072.67773148148</v>
      </c>
      <c r="C1036" s="1" t="n">
        <v>46167</v>
      </c>
      <c r="D1036" t="inlineStr">
        <is>
          <t>JÄMTLANDS LÄN</t>
        </is>
      </c>
      <c r="E1036" t="inlineStr">
        <is>
          <t>KROKOM</t>
        </is>
      </c>
      <c r="F1036" t="inlineStr">
        <is>
          <t>SCA</t>
        </is>
      </c>
      <c r="G1036" t="n">
        <v>13.8</v>
      </c>
      <c r="H1036" t="n">
        <v>0</v>
      </c>
      <c r="I1036" t="n">
        <v>0</v>
      </c>
      <c r="J1036" t="n">
        <v>0</v>
      </c>
      <c r="K1036" t="n">
        <v>0</v>
      </c>
      <c r="L1036" t="n">
        <v>0</v>
      </c>
      <c r="M1036" t="n">
        <v>0</v>
      </c>
      <c r="N1036" t="n">
        <v>0</v>
      </c>
      <c r="O1036" t="n">
        <v>0</v>
      </c>
      <c r="P1036" t="n">
        <v>0</v>
      </c>
      <c r="Q1036" t="n">
        <v>0</v>
      </c>
      <c r="R1036" s="2" t="inlineStr"/>
    </row>
    <row r="1037" ht="15" customHeight="1">
      <c r="A1037" t="inlineStr">
        <is>
          <t>A 27000-2021</t>
        </is>
      </c>
      <c r="B1037" s="1" t="n">
        <v>44349</v>
      </c>
      <c r="C1037" s="1" t="n">
        <v>46167</v>
      </c>
      <c r="D1037" t="inlineStr">
        <is>
          <t>JÄMTLANDS LÄN</t>
        </is>
      </c>
      <c r="E1037" t="inlineStr">
        <is>
          <t>KROKOM</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52213-2024</t>
        </is>
      </c>
      <c r="B1038" s="1" t="n">
        <v>45607</v>
      </c>
      <c r="C1038" s="1" t="n">
        <v>46167</v>
      </c>
      <c r="D1038" t="inlineStr">
        <is>
          <t>JÄMTLANDS LÄN</t>
        </is>
      </c>
      <c r="E1038" t="inlineStr">
        <is>
          <t>KROKOM</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9799-2026</t>
        </is>
      </c>
      <c r="B1039" s="1" t="n">
        <v>46072.61539351852</v>
      </c>
      <c r="C1039" s="1" t="n">
        <v>46167</v>
      </c>
      <c r="D1039" t="inlineStr">
        <is>
          <t>JÄMTLANDS LÄN</t>
        </is>
      </c>
      <c r="E1039" t="inlineStr">
        <is>
          <t>KROKOM</t>
        </is>
      </c>
      <c r="F1039" t="inlineStr">
        <is>
          <t>SCA</t>
        </is>
      </c>
      <c r="G1039" t="n">
        <v>19.2</v>
      </c>
      <c r="H1039" t="n">
        <v>0</v>
      </c>
      <c r="I1039" t="n">
        <v>0</v>
      </c>
      <c r="J1039" t="n">
        <v>0</v>
      </c>
      <c r="K1039" t="n">
        <v>0</v>
      </c>
      <c r="L1039" t="n">
        <v>0</v>
      </c>
      <c r="M1039" t="n">
        <v>0</v>
      </c>
      <c r="N1039" t="n">
        <v>0</v>
      </c>
      <c r="O1039" t="n">
        <v>0</v>
      </c>
      <c r="P1039" t="n">
        <v>0</v>
      </c>
      <c r="Q1039" t="n">
        <v>0</v>
      </c>
      <c r="R1039" s="2" t="inlineStr"/>
    </row>
    <row r="1040" ht="15" customHeight="1">
      <c r="A1040" t="inlineStr">
        <is>
          <t>A 9665-2026</t>
        </is>
      </c>
      <c r="B1040" s="1" t="n">
        <v>46072.36784722222</v>
      </c>
      <c r="C1040" s="1" t="n">
        <v>46167</v>
      </c>
      <c r="D1040" t="inlineStr">
        <is>
          <t>JÄMTLANDS LÄN</t>
        </is>
      </c>
      <c r="E1040" t="inlineStr">
        <is>
          <t>KROKOM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61230-2021</t>
        </is>
      </c>
      <c r="B1041" s="1" t="n">
        <v>44498</v>
      </c>
      <c r="C1041" s="1" t="n">
        <v>46167</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9837-2026</t>
        </is>
      </c>
      <c r="B1042" s="1" t="n">
        <v>46072.67766203704</v>
      </c>
      <c r="C1042" s="1" t="n">
        <v>46167</v>
      </c>
      <c r="D1042" t="inlineStr">
        <is>
          <t>JÄMTLANDS LÄN</t>
        </is>
      </c>
      <c r="E1042" t="inlineStr">
        <is>
          <t>KROKOM</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10499-2026</t>
        </is>
      </c>
      <c r="B1043" s="1" t="n">
        <v>46077</v>
      </c>
      <c r="C1043" s="1" t="n">
        <v>46167</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46167</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58482-2024</t>
        </is>
      </c>
      <c r="B1045" s="1" t="n">
        <v>45635</v>
      </c>
      <c r="C1045" s="1" t="n">
        <v>46167</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10467-2026</t>
        </is>
      </c>
      <c r="B1046" s="1" t="n">
        <v>46077.46896990741</v>
      </c>
      <c r="C1046" s="1" t="n">
        <v>46167</v>
      </c>
      <c r="D1046" t="inlineStr">
        <is>
          <t>JÄMTLANDS LÄN</t>
        </is>
      </c>
      <c r="E1046" t="inlineStr">
        <is>
          <t>KROKOM</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52666-2024</t>
        </is>
      </c>
      <c r="B1047" s="1" t="n">
        <v>45610.36561342593</v>
      </c>
      <c r="C1047" s="1" t="n">
        <v>46167</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15831-2026</t>
        </is>
      </c>
      <c r="B1048" s="1" t="n">
        <v>46107</v>
      </c>
      <c r="C1048" s="1" t="n">
        <v>46167</v>
      </c>
      <c r="D1048" t="inlineStr">
        <is>
          <t>JÄMTLANDS LÄN</t>
        </is>
      </c>
      <c r="E1048" t="inlineStr">
        <is>
          <t>KROKOM</t>
        </is>
      </c>
      <c r="F1048" t="inlineStr">
        <is>
          <t>Övriga Aktiebolag</t>
        </is>
      </c>
      <c r="G1048" t="n">
        <v>3.3</v>
      </c>
      <c r="H1048" t="n">
        <v>0</v>
      </c>
      <c r="I1048" t="n">
        <v>0</v>
      </c>
      <c r="J1048" t="n">
        <v>0</v>
      </c>
      <c r="K1048" t="n">
        <v>0</v>
      </c>
      <c r="L1048" t="n">
        <v>0</v>
      </c>
      <c r="M1048" t="n">
        <v>0</v>
      </c>
      <c r="N1048" t="n">
        <v>0</v>
      </c>
      <c r="O1048" t="n">
        <v>0</v>
      </c>
      <c r="P1048" t="n">
        <v>0</v>
      </c>
      <c r="Q1048" t="n">
        <v>0</v>
      </c>
      <c r="R1048" s="2" t="inlineStr"/>
      <c r="T1048">
        <f>HYPERLINK("https://klasma.github.io/Logging_2309/kartor/A 15831-2026 karta.png", "A 15831-2026")</f>
        <v/>
      </c>
      <c r="V1048">
        <f>HYPERLINK("https://klasma.github.io/Logging_2309/klagomål/A 15831-2026 FSC-klagomål.docx", "A 15831-2026")</f>
        <v/>
      </c>
      <c r="W1048">
        <f>HYPERLINK("https://klasma.github.io/Logging_2309/klagomålsmail/A 15831-2026 FSC-klagomål mail.docx", "A 15831-2026")</f>
        <v/>
      </c>
      <c r="X1048">
        <f>HYPERLINK("https://klasma.github.io/Logging_2309/tillsyn/A 15831-2026 tillsynsbegäran.docx", "A 15831-2026")</f>
        <v/>
      </c>
      <c r="Y1048">
        <f>HYPERLINK("https://klasma.github.io/Logging_2309/tillsynsmail/A 15831-2026 tillsynsbegäran mail.docx", "A 15831-2026")</f>
        <v/>
      </c>
    </row>
    <row r="1049" ht="15" customHeight="1">
      <c r="A1049" t="inlineStr">
        <is>
          <t>A 31601-2023</t>
        </is>
      </c>
      <c r="B1049" s="1" t="n">
        <v>45117</v>
      </c>
      <c r="C1049" s="1" t="n">
        <v>46167</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50302-2022</t>
        </is>
      </c>
      <c r="B1050" s="1" t="n">
        <v>44865</v>
      </c>
      <c r="C1050" s="1" t="n">
        <v>46167</v>
      </c>
      <c r="D1050" t="inlineStr">
        <is>
          <t>JÄMTLANDS LÄN</t>
        </is>
      </c>
      <c r="E1050" t="inlineStr">
        <is>
          <t>KROKOM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39753-2024</t>
        </is>
      </c>
      <c r="B1051" s="1" t="n">
        <v>45552.67611111111</v>
      </c>
      <c r="C1051" s="1" t="n">
        <v>46167</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7072-2025</t>
        </is>
      </c>
      <c r="B1052" s="1" t="n">
        <v>45701</v>
      </c>
      <c r="C1052" s="1" t="n">
        <v>46167</v>
      </c>
      <c r="D1052" t="inlineStr">
        <is>
          <t>JÄMTLANDS LÄN</t>
        </is>
      </c>
      <c r="E1052" t="inlineStr">
        <is>
          <t>KROKOM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17981-2026</t>
        </is>
      </c>
      <c r="B1053" s="1" t="n">
        <v>46124.4903125</v>
      </c>
      <c r="C1053" s="1" t="n">
        <v>46167</v>
      </c>
      <c r="D1053" t="inlineStr">
        <is>
          <t>JÄMTLANDS LÄN</t>
        </is>
      </c>
      <c r="E1053" t="inlineStr">
        <is>
          <t>KROKOM</t>
        </is>
      </c>
      <c r="F1053" t="inlineStr">
        <is>
          <t>SCA</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27178-2022</t>
        </is>
      </c>
      <c r="B1054" s="1" t="n">
        <v>44741</v>
      </c>
      <c r="C1054" s="1" t="n">
        <v>46167</v>
      </c>
      <c r="D1054" t="inlineStr">
        <is>
          <t>JÄMTLANDS LÄN</t>
        </is>
      </c>
      <c r="E1054" t="inlineStr">
        <is>
          <t>KROKOM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53827-2024</t>
        </is>
      </c>
      <c r="B1055" s="1" t="n">
        <v>45615.61302083333</v>
      </c>
      <c r="C1055" s="1" t="n">
        <v>46167</v>
      </c>
      <c r="D1055" t="inlineStr">
        <is>
          <t>JÄMTLANDS LÄN</t>
        </is>
      </c>
      <c r="E1055" t="inlineStr">
        <is>
          <t>KROKOM</t>
        </is>
      </c>
      <c r="F1055" t="inlineStr">
        <is>
          <t>Övriga Aktiebolag</t>
        </is>
      </c>
      <c r="G1055" t="n">
        <v>14.2</v>
      </c>
      <c r="H1055" t="n">
        <v>0</v>
      </c>
      <c r="I1055" t="n">
        <v>0</v>
      </c>
      <c r="J1055" t="n">
        <v>0</v>
      </c>
      <c r="K1055" t="n">
        <v>0</v>
      </c>
      <c r="L1055" t="n">
        <v>0</v>
      </c>
      <c r="M1055" t="n">
        <v>0</v>
      </c>
      <c r="N1055" t="n">
        <v>0</v>
      </c>
      <c r="O1055" t="n">
        <v>0</v>
      </c>
      <c r="P1055" t="n">
        <v>0</v>
      </c>
      <c r="Q1055" t="n">
        <v>0</v>
      </c>
      <c r="R1055" s="2" t="inlineStr"/>
    </row>
    <row r="1056" ht="15" customHeight="1">
      <c r="A1056" t="inlineStr">
        <is>
          <t>A 71572-2021</t>
        </is>
      </c>
      <c r="B1056" s="1" t="n">
        <v>44540</v>
      </c>
      <c r="C1056" s="1" t="n">
        <v>46167</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30709-2024</t>
        </is>
      </c>
      <c r="B1057" s="1" t="n">
        <v>45496.41289351852</v>
      </c>
      <c r="C1057" s="1" t="n">
        <v>46167</v>
      </c>
      <c r="D1057" t="inlineStr">
        <is>
          <t>JÄMTLANDS LÄN</t>
        </is>
      </c>
      <c r="E1057" t="inlineStr">
        <is>
          <t>KROKOM</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11511-2026</t>
        </is>
      </c>
      <c r="B1058" s="1" t="n">
        <v>46083.65688657408</v>
      </c>
      <c r="C1058" s="1" t="n">
        <v>46167</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51939-2024</t>
        </is>
      </c>
      <c r="B1059" s="1" t="n">
        <v>45607.63211805555</v>
      </c>
      <c r="C1059" s="1" t="n">
        <v>46167</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17980-2026</t>
        </is>
      </c>
      <c r="B1060" s="1" t="n">
        <v>46124.49025462963</v>
      </c>
      <c r="C1060" s="1" t="n">
        <v>46167</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17982-2026</t>
        </is>
      </c>
      <c r="B1061" s="1" t="n">
        <v>46124.49032407408</v>
      </c>
      <c r="C1061" s="1" t="n">
        <v>46167</v>
      </c>
      <c r="D1061" t="inlineStr">
        <is>
          <t>JÄMTLANDS LÄN</t>
        </is>
      </c>
      <c r="E1061" t="inlineStr">
        <is>
          <t>KROKOM</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11443-2026</t>
        </is>
      </c>
      <c r="B1062" s="1" t="n">
        <v>46083.53049768518</v>
      </c>
      <c r="C1062" s="1" t="n">
        <v>46167</v>
      </c>
      <c r="D1062" t="inlineStr">
        <is>
          <t>JÄMTLANDS LÄN</t>
        </is>
      </c>
      <c r="E1062" t="inlineStr">
        <is>
          <t>KROKOM</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18124-2026</t>
        </is>
      </c>
      <c r="B1063" s="1" t="n">
        <v>46125.58785879629</v>
      </c>
      <c r="C1063" s="1" t="n">
        <v>46167</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18267-2026</t>
        </is>
      </c>
      <c r="B1064" s="1" t="n">
        <v>46126.3790625</v>
      </c>
      <c r="C1064" s="1" t="n">
        <v>46167</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18762-2026</t>
        </is>
      </c>
      <c r="B1065" s="1" t="n">
        <v>46128.56447916666</v>
      </c>
      <c r="C1065" s="1" t="n">
        <v>46167</v>
      </c>
      <c r="D1065" t="inlineStr">
        <is>
          <t>JÄMTLANDS LÄN</t>
        </is>
      </c>
      <c r="E1065" t="inlineStr">
        <is>
          <t>KROKOM</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27597-2024</t>
        </is>
      </c>
      <c r="B1066" s="1" t="n">
        <v>45474.69155092593</v>
      </c>
      <c r="C1066" s="1" t="n">
        <v>46167</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9043-2025</t>
        </is>
      </c>
      <c r="B1067" s="1" t="n">
        <v>45713</v>
      </c>
      <c r="C1067" s="1" t="n">
        <v>46167</v>
      </c>
      <c r="D1067" t="inlineStr">
        <is>
          <t>JÄMTLANDS LÄN</t>
        </is>
      </c>
      <c r="E1067" t="inlineStr">
        <is>
          <t>KROKOM</t>
        </is>
      </c>
      <c r="F1067" t="inlineStr">
        <is>
          <t>Övriga Aktiebolag</t>
        </is>
      </c>
      <c r="G1067" t="n">
        <v>43.6</v>
      </c>
      <c r="H1067" t="n">
        <v>0</v>
      </c>
      <c r="I1067" t="n">
        <v>0</v>
      </c>
      <c r="J1067" t="n">
        <v>0</v>
      </c>
      <c r="K1067" t="n">
        <v>0</v>
      </c>
      <c r="L1067" t="n">
        <v>0</v>
      </c>
      <c r="M1067" t="n">
        <v>0</v>
      </c>
      <c r="N1067" t="n">
        <v>0</v>
      </c>
      <c r="O1067" t="n">
        <v>0</v>
      </c>
      <c r="P1067" t="n">
        <v>0</v>
      </c>
      <c r="Q1067" t="n">
        <v>0</v>
      </c>
      <c r="R1067" s="2" t="inlineStr"/>
    </row>
    <row r="1068" ht="15" customHeight="1">
      <c r="A1068" t="inlineStr">
        <is>
          <t>A 41142-2023</t>
        </is>
      </c>
      <c r="B1068" s="1" t="n">
        <v>45173</v>
      </c>
      <c r="C1068" s="1" t="n">
        <v>46167</v>
      </c>
      <c r="D1068" t="inlineStr">
        <is>
          <t>JÄMTLANDS LÄN</t>
        </is>
      </c>
      <c r="E1068" t="inlineStr">
        <is>
          <t>KROKOM</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18561-2026</t>
        </is>
      </c>
      <c r="B1069" s="1" t="n">
        <v>46126</v>
      </c>
      <c r="C1069" s="1" t="n">
        <v>46167</v>
      </c>
      <c r="D1069" t="inlineStr">
        <is>
          <t>JÄMTLANDS LÄN</t>
        </is>
      </c>
      <c r="E1069" t="inlineStr">
        <is>
          <t>KROKOM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10581-2025</t>
        </is>
      </c>
      <c r="B1070" s="1" t="n">
        <v>45721.54896990741</v>
      </c>
      <c r="C1070" s="1" t="n">
        <v>46167</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18568-2026</t>
        </is>
      </c>
      <c r="B1071" s="1" t="n">
        <v>46126</v>
      </c>
      <c r="C1071" s="1" t="n">
        <v>46167</v>
      </c>
      <c r="D1071" t="inlineStr">
        <is>
          <t>JÄMTLANDS LÄN</t>
        </is>
      </c>
      <c r="E1071" t="inlineStr">
        <is>
          <t>KROKOM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41439-2024</t>
        </is>
      </c>
      <c r="B1072" s="1" t="n">
        <v>45560.38056712963</v>
      </c>
      <c r="C1072" s="1" t="n">
        <v>46167</v>
      </c>
      <c r="D1072" t="inlineStr">
        <is>
          <t>JÄMTLANDS LÄN</t>
        </is>
      </c>
      <c r="E1072" t="inlineStr">
        <is>
          <t>KROKOM</t>
        </is>
      </c>
      <c r="F1072" t="inlineStr">
        <is>
          <t>Övriga Aktiebolag</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11824-2026</t>
        </is>
      </c>
      <c r="B1073" s="1" t="n">
        <v>46085.39603009259</v>
      </c>
      <c r="C1073" s="1" t="n">
        <v>46167</v>
      </c>
      <c r="D1073" t="inlineStr">
        <is>
          <t>JÄMTLANDS LÄN</t>
        </is>
      </c>
      <c r="E1073" t="inlineStr">
        <is>
          <t>KROKOM</t>
        </is>
      </c>
      <c r="F1073" t="inlineStr">
        <is>
          <t>Övriga Aktiebolag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12025-2026</t>
        </is>
      </c>
      <c r="B1074" s="1" t="n">
        <v>46085.82280092593</v>
      </c>
      <c r="C1074" s="1" t="n">
        <v>46167</v>
      </c>
      <c r="D1074" t="inlineStr">
        <is>
          <t>JÄMTLANDS LÄN</t>
        </is>
      </c>
      <c r="E1074" t="inlineStr">
        <is>
          <t>KROKOM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6524-2025</t>
        </is>
      </c>
      <c r="B1075" s="1" t="n">
        <v>45699.66576388889</v>
      </c>
      <c r="C1075" s="1" t="n">
        <v>46167</v>
      </c>
      <c r="D1075" t="inlineStr">
        <is>
          <t>JÄMTLANDS LÄN</t>
        </is>
      </c>
      <c r="E1075" t="inlineStr">
        <is>
          <t>KROKOM</t>
        </is>
      </c>
      <c r="F1075" t="inlineStr">
        <is>
          <t>Övriga Aktiebolag</t>
        </is>
      </c>
      <c r="G1075" t="n">
        <v>51.6</v>
      </c>
      <c r="H1075" t="n">
        <v>0</v>
      </c>
      <c r="I1075" t="n">
        <v>0</v>
      </c>
      <c r="J1075" t="n">
        <v>0</v>
      </c>
      <c r="K1075" t="n">
        <v>0</v>
      </c>
      <c r="L1075" t="n">
        <v>0</v>
      </c>
      <c r="M1075" t="n">
        <v>0</v>
      </c>
      <c r="N1075" t="n">
        <v>0</v>
      </c>
      <c r="O1075" t="n">
        <v>0</v>
      </c>
      <c r="P1075" t="n">
        <v>0</v>
      </c>
      <c r="Q1075" t="n">
        <v>0</v>
      </c>
      <c r="R1075" s="2" t="inlineStr"/>
    </row>
    <row r="1076" ht="15" customHeight="1">
      <c r="A1076" t="inlineStr">
        <is>
          <t>A 6590-2025</t>
        </is>
      </c>
      <c r="B1076" s="1" t="n">
        <v>45700.30092592593</v>
      </c>
      <c r="C1076" s="1" t="n">
        <v>46167</v>
      </c>
      <c r="D1076" t="inlineStr">
        <is>
          <t>JÄMTLANDS LÄN</t>
        </is>
      </c>
      <c r="E1076" t="inlineStr">
        <is>
          <t>KROKOM</t>
        </is>
      </c>
      <c r="F1076" t="inlineStr">
        <is>
          <t>Övriga Aktiebolag</t>
        </is>
      </c>
      <c r="G1076" t="n">
        <v>51.6</v>
      </c>
      <c r="H1076" t="n">
        <v>0</v>
      </c>
      <c r="I1076" t="n">
        <v>0</v>
      </c>
      <c r="J1076" t="n">
        <v>0</v>
      </c>
      <c r="K1076" t="n">
        <v>0</v>
      </c>
      <c r="L1076" t="n">
        <v>0</v>
      </c>
      <c r="M1076" t="n">
        <v>0</v>
      </c>
      <c r="N1076" t="n">
        <v>0</v>
      </c>
      <c r="O1076" t="n">
        <v>0</v>
      </c>
      <c r="P1076" t="n">
        <v>0</v>
      </c>
      <c r="Q1076" t="n">
        <v>0</v>
      </c>
      <c r="R1076" s="2" t="inlineStr"/>
    </row>
    <row r="1077" ht="15" customHeight="1">
      <c r="A1077" t="inlineStr">
        <is>
          <t>A 8167-2025</t>
        </is>
      </c>
      <c r="B1077" s="1" t="n">
        <v>45708</v>
      </c>
      <c r="C1077" s="1" t="n">
        <v>46167</v>
      </c>
      <c r="D1077" t="inlineStr">
        <is>
          <t>JÄMTLANDS LÄN</t>
        </is>
      </c>
      <c r="E1077" t="inlineStr">
        <is>
          <t>KROKOM</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18921-2026</t>
        </is>
      </c>
      <c r="B1078" s="1" t="n">
        <v>46129.54364583334</v>
      </c>
      <c r="C1078" s="1" t="n">
        <v>46167</v>
      </c>
      <c r="D1078" t="inlineStr">
        <is>
          <t>JÄMTLANDS LÄN</t>
        </is>
      </c>
      <c r="E1078" t="inlineStr">
        <is>
          <t>KROKOM</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19166-2026</t>
        </is>
      </c>
      <c r="B1079" s="1" t="n">
        <v>46132.58118055556</v>
      </c>
      <c r="C1079" s="1" t="n">
        <v>46167</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8168-2025</t>
        </is>
      </c>
      <c r="B1080" s="1" t="n">
        <v>45708</v>
      </c>
      <c r="C1080" s="1" t="n">
        <v>46167</v>
      </c>
      <c r="D1080" t="inlineStr">
        <is>
          <t>JÄMTLANDS LÄN</t>
        </is>
      </c>
      <c r="E1080" t="inlineStr">
        <is>
          <t>KROKOM</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12582-2026</t>
        </is>
      </c>
      <c r="B1081" s="1" t="n">
        <v>46090.67733796296</v>
      </c>
      <c r="C1081" s="1" t="n">
        <v>46167</v>
      </c>
      <c r="D1081" t="inlineStr">
        <is>
          <t>JÄMTLANDS LÄN</t>
        </is>
      </c>
      <c r="E1081" t="inlineStr">
        <is>
          <t>KROKOM</t>
        </is>
      </c>
      <c r="G1081" t="n">
        <v>24.3</v>
      </c>
      <c r="H1081" t="n">
        <v>0</v>
      </c>
      <c r="I1081" t="n">
        <v>0</v>
      </c>
      <c r="J1081" t="n">
        <v>0</v>
      </c>
      <c r="K1081" t="n">
        <v>0</v>
      </c>
      <c r="L1081" t="n">
        <v>0</v>
      </c>
      <c r="M1081" t="n">
        <v>0</v>
      </c>
      <c r="N1081" t="n">
        <v>0</v>
      </c>
      <c r="O1081" t="n">
        <v>0</v>
      </c>
      <c r="P1081" t="n">
        <v>0</v>
      </c>
      <c r="Q1081" t="n">
        <v>0</v>
      </c>
      <c r="R1081" s="2" t="inlineStr"/>
    </row>
    <row r="1082" ht="15" customHeight="1">
      <c r="A1082" t="inlineStr">
        <is>
          <t>A 7079-2025</t>
        </is>
      </c>
      <c r="B1082" s="1" t="n">
        <v>45701</v>
      </c>
      <c r="C1082" s="1" t="n">
        <v>46167</v>
      </c>
      <c r="D1082" t="inlineStr">
        <is>
          <t>JÄMTLANDS LÄN</t>
        </is>
      </c>
      <c r="E1082" t="inlineStr">
        <is>
          <t>KROKOM</t>
        </is>
      </c>
      <c r="F1082" t="inlineStr">
        <is>
          <t>SCA</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53541-2024</t>
        </is>
      </c>
      <c r="B1083" s="1" t="n">
        <v>45614.63606481482</v>
      </c>
      <c r="C1083" s="1" t="n">
        <v>46167</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53544-2024</t>
        </is>
      </c>
      <c r="B1084" s="1" t="n">
        <v>45614.63701388889</v>
      </c>
      <c r="C1084" s="1" t="n">
        <v>46167</v>
      </c>
      <c r="D1084" t="inlineStr">
        <is>
          <t>JÄMTLANDS LÄN</t>
        </is>
      </c>
      <c r="E1084" t="inlineStr">
        <is>
          <t>KROKOM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18922-2026</t>
        </is>
      </c>
      <c r="B1085" s="1" t="n">
        <v>46127</v>
      </c>
      <c r="C1085" s="1" t="n">
        <v>46167</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20953-2023</t>
        </is>
      </c>
      <c r="B1086" s="1" t="n">
        <v>45056</v>
      </c>
      <c r="C1086" s="1" t="n">
        <v>46167</v>
      </c>
      <c r="D1086" t="inlineStr">
        <is>
          <t>JÄMTLANDS LÄN</t>
        </is>
      </c>
      <c r="E1086" t="inlineStr">
        <is>
          <t>KROKOM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23665-2024</t>
        </is>
      </c>
      <c r="B1087" s="1" t="n">
        <v>45454.57899305555</v>
      </c>
      <c r="C1087" s="1" t="n">
        <v>46167</v>
      </c>
      <c r="D1087" t="inlineStr">
        <is>
          <t>JÄMTLANDS LÄN</t>
        </is>
      </c>
      <c r="E1087" t="inlineStr">
        <is>
          <t>KROKOM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18907-2026</t>
        </is>
      </c>
      <c r="B1088" s="1" t="n">
        <v>46129.50225694444</v>
      </c>
      <c r="C1088" s="1" t="n">
        <v>46167</v>
      </c>
      <c r="D1088" t="inlineStr">
        <is>
          <t>JÄMTLANDS LÄN</t>
        </is>
      </c>
      <c r="E1088" t="inlineStr">
        <is>
          <t>KROKOM</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29956-2025</t>
        </is>
      </c>
      <c r="B1089" s="1" t="n">
        <v>45826.4705787037</v>
      </c>
      <c r="C1089" s="1" t="n">
        <v>46167</v>
      </c>
      <c r="D1089" t="inlineStr">
        <is>
          <t>JÄMTLANDS LÄN</t>
        </is>
      </c>
      <c r="E1089" t="inlineStr">
        <is>
          <t>KROKOM</t>
        </is>
      </c>
      <c r="F1089" t="inlineStr">
        <is>
          <t>SCA</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12554-2026</t>
        </is>
      </c>
      <c r="B1090" s="1" t="n">
        <v>46090.63807870371</v>
      </c>
      <c r="C1090" s="1" t="n">
        <v>46167</v>
      </c>
      <c r="D1090" t="inlineStr">
        <is>
          <t>JÄMTLANDS LÄN</t>
        </is>
      </c>
      <c r="E1090" t="inlineStr">
        <is>
          <t>KROKOM</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19104-2026</t>
        </is>
      </c>
      <c r="B1091" s="1" t="n">
        <v>46132.44505787037</v>
      </c>
      <c r="C1091" s="1" t="n">
        <v>46167</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30979-2024</t>
        </is>
      </c>
      <c r="B1092" s="1" t="n">
        <v>45499.48672453704</v>
      </c>
      <c r="C1092" s="1" t="n">
        <v>46167</v>
      </c>
      <c r="D1092" t="inlineStr">
        <is>
          <t>JÄMTLANDS LÄN</t>
        </is>
      </c>
      <c r="E1092" t="inlineStr">
        <is>
          <t>KROKOM</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19425-2026</t>
        </is>
      </c>
      <c r="B1093" s="1" t="n">
        <v>46133.61560185185</v>
      </c>
      <c r="C1093" s="1" t="n">
        <v>46167</v>
      </c>
      <c r="D1093" t="inlineStr">
        <is>
          <t>JÄMTLANDS LÄN</t>
        </is>
      </c>
      <c r="E1093" t="inlineStr">
        <is>
          <t>KROKOM</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19426-2026</t>
        </is>
      </c>
      <c r="B1094" s="1" t="n">
        <v>46133.61569444444</v>
      </c>
      <c r="C1094" s="1" t="n">
        <v>46167</v>
      </c>
      <c r="D1094" t="inlineStr">
        <is>
          <t>JÄMTLANDS LÄN</t>
        </is>
      </c>
      <c r="E1094" t="inlineStr">
        <is>
          <t>KROKOM</t>
        </is>
      </c>
      <c r="F1094" t="inlineStr">
        <is>
          <t>SCA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18870-2026</t>
        </is>
      </c>
      <c r="B1095" s="1" t="n">
        <v>46129</v>
      </c>
      <c r="C1095" s="1" t="n">
        <v>46167</v>
      </c>
      <c r="D1095" t="inlineStr">
        <is>
          <t>JÄMTLANDS LÄN</t>
        </is>
      </c>
      <c r="E1095" t="inlineStr">
        <is>
          <t>KROKOM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45239.9681712963</v>
      </c>
      <c r="C1096" s="1" t="n">
        <v>46167</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36439-2023</t>
        </is>
      </c>
      <c r="B1097" s="1" t="n">
        <v>45152</v>
      </c>
      <c r="C1097" s="1" t="n">
        <v>46167</v>
      </c>
      <c r="D1097" t="inlineStr">
        <is>
          <t>JÄMTLANDS LÄN</t>
        </is>
      </c>
      <c r="E1097" t="inlineStr">
        <is>
          <t>KROKOM</t>
        </is>
      </c>
      <c r="F1097" t="inlineStr">
        <is>
          <t>Övriga Aktiebolag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19552-2026</t>
        </is>
      </c>
      <c r="B1098" s="1" t="n">
        <v>46134.40256944444</v>
      </c>
      <c r="C1098" s="1" t="n">
        <v>46167</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19850-2026</t>
        </is>
      </c>
      <c r="B1099" s="1" t="n">
        <v>46135.6202662037</v>
      </c>
      <c r="C1099" s="1" t="n">
        <v>46167</v>
      </c>
      <c r="D1099" t="inlineStr">
        <is>
          <t>JÄMTLANDS LÄN</t>
        </is>
      </c>
      <c r="E1099" t="inlineStr">
        <is>
          <t>KROKOM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34720-2023</t>
        </is>
      </c>
      <c r="B1100" s="1" t="n">
        <v>45139</v>
      </c>
      <c r="C1100" s="1" t="n">
        <v>46167</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19842-2026</t>
        </is>
      </c>
      <c r="B1101" s="1" t="n">
        <v>46135.61270833333</v>
      </c>
      <c r="C1101" s="1" t="n">
        <v>46167</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19984-2026</t>
        </is>
      </c>
      <c r="B1102" s="1" t="n">
        <v>46136.45210648148</v>
      </c>
      <c r="C1102" s="1" t="n">
        <v>46167</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58052-2022</t>
        </is>
      </c>
      <c r="B1103" s="1" t="n">
        <v>44893</v>
      </c>
      <c r="C1103" s="1" t="n">
        <v>46167</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19857-2026</t>
        </is>
      </c>
      <c r="B1104" s="1" t="n">
        <v>46135.63600694444</v>
      </c>
      <c r="C1104" s="1" t="n">
        <v>46167</v>
      </c>
      <c r="D1104" t="inlineStr">
        <is>
          <t>JÄMTLANDS LÄN</t>
        </is>
      </c>
      <c r="E1104" t="inlineStr">
        <is>
          <t>KROKOM</t>
        </is>
      </c>
      <c r="G1104" t="n">
        <v>17.4</v>
      </c>
      <c r="H1104" t="n">
        <v>0</v>
      </c>
      <c r="I1104" t="n">
        <v>0</v>
      </c>
      <c r="J1104" t="n">
        <v>0</v>
      </c>
      <c r="K1104" t="n">
        <v>0</v>
      </c>
      <c r="L1104" t="n">
        <v>0</v>
      </c>
      <c r="M1104" t="n">
        <v>0</v>
      </c>
      <c r="N1104" t="n">
        <v>0</v>
      </c>
      <c r="O1104" t="n">
        <v>0</v>
      </c>
      <c r="P1104" t="n">
        <v>0</v>
      </c>
      <c r="Q1104" t="n">
        <v>0</v>
      </c>
      <c r="R1104" s="2" t="inlineStr"/>
    </row>
    <row r="1105" ht="15" customHeight="1">
      <c r="A1105" t="inlineStr">
        <is>
          <t>A 20342-2026</t>
        </is>
      </c>
      <c r="B1105" s="1" t="n">
        <v>46138</v>
      </c>
      <c r="C1105" s="1" t="n">
        <v>46167</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46167</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46167</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13964-2026</t>
        </is>
      </c>
      <c r="B1108" s="1" t="n">
        <v>46098.57356481482</v>
      </c>
      <c r="C1108" s="1" t="n">
        <v>46167</v>
      </c>
      <c r="D1108" t="inlineStr">
        <is>
          <t>JÄMTLANDS LÄN</t>
        </is>
      </c>
      <c r="E1108" t="inlineStr">
        <is>
          <t>KROKOM</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18874-2026</t>
        </is>
      </c>
      <c r="B1109" s="1" t="n">
        <v>46129</v>
      </c>
      <c r="C1109" s="1" t="n">
        <v>46167</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20274-2026</t>
        </is>
      </c>
      <c r="B1110" s="1" t="n">
        <v>46139.52574074074</v>
      </c>
      <c r="C1110" s="1" t="n">
        <v>46167</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53807-2024</t>
        </is>
      </c>
      <c r="B1111" s="1" t="n">
        <v>45615.59521990741</v>
      </c>
      <c r="C1111" s="1" t="n">
        <v>46167</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43426-2022</t>
        </is>
      </c>
      <c r="B1112" s="1" t="n">
        <v>44834.95019675926</v>
      </c>
      <c r="C1112" s="1" t="n">
        <v>46167</v>
      </c>
      <c r="D1112" t="inlineStr">
        <is>
          <t>JÄMTLANDS LÄN</t>
        </is>
      </c>
      <c r="E1112" t="inlineStr">
        <is>
          <t>KROKOM</t>
        </is>
      </c>
      <c r="F1112" t="inlineStr">
        <is>
          <t>SCA</t>
        </is>
      </c>
      <c r="G1112" t="n">
        <v>34.4</v>
      </c>
      <c r="H1112" t="n">
        <v>0</v>
      </c>
      <c r="I1112" t="n">
        <v>0</v>
      </c>
      <c r="J1112" t="n">
        <v>0</v>
      </c>
      <c r="K1112" t="n">
        <v>0</v>
      </c>
      <c r="L1112" t="n">
        <v>0</v>
      </c>
      <c r="M1112" t="n">
        <v>0</v>
      </c>
      <c r="N1112" t="n">
        <v>0</v>
      </c>
      <c r="O1112" t="n">
        <v>0</v>
      </c>
      <c r="P1112" t="n">
        <v>0</v>
      </c>
      <c r="Q1112" t="n">
        <v>0</v>
      </c>
      <c r="R1112" s="2" t="inlineStr"/>
    </row>
    <row r="1113" ht="15" customHeight="1">
      <c r="A1113" t="inlineStr">
        <is>
          <t>A 22890-2024</t>
        </is>
      </c>
      <c r="B1113" s="1" t="n">
        <v>45448.67574074074</v>
      </c>
      <c r="C1113" s="1" t="n">
        <v>46167</v>
      </c>
      <c r="D1113" t="inlineStr">
        <is>
          <t>JÄMTLANDS LÄN</t>
        </is>
      </c>
      <c r="E1113" t="inlineStr">
        <is>
          <t>KROKOM</t>
        </is>
      </c>
      <c r="F1113" t="inlineStr">
        <is>
          <t>Övriga Aktiebolag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5907-2025</t>
        </is>
      </c>
      <c r="B1114" s="1" t="n">
        <v>45695.4046875</v>
      </c>
      <c r="C1114" s="1" t="n">
        <v>46167</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7763-2024</t>
        </is>
      </c>
      <c r="B1115" s="1" t="n">
        <v>45348</v>
      </c>
      <c r="C1115" s="1" t="n">
        <v>46167</v>
      </c>
      <c r="D1115" t="inlineStr">
        <is>
          <t>JÄMTLANDS LÄN</t>
        </is>
      </c>
      <c r="E1115" t="inlineStr">
        <is>
          <t>KROKOM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14218-2026</t>
        </is>
      </c>
      <c r="B1116" s="1" t="n">
        <v>46099</v>
      </c>
      <c r="C1116" s="1" t="n">
        <v>46167</v>
      </c>
      <c r="D1116" t="inlineStr">
        <is>
          <t>JÄMTLANDS LÄN</t>
        </is>
      </c>
      <c r="E1116" t="inlineStr">
        <is>
          <t>KROKOM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20876-2026</t>
        </is>
      </c>
      <c r="B1117" s="1" t="n">
        <v>46142.40315972222</v>
      </c>
      <c r="C1117" s="1" t="n">
        <v>46167</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6711-2025</t>
        </is>
      </c>
      <c r="B1118" s="1" t="n">
        <v>45700.56194444445</v>
      </c>
      <c r="C1118" s="1" t="n">
        <v>46167</v>
      </c>
      <c r="D1118" t="inlineStr">
        <is>
          <t>JÄMTLANDS LÄN</t>
        </is>
      </c>
      <c r="E1118" t="inlineStr">
        <is>
          <t>KROKOM</t>
        </is>
      </c>
      <c r="F1118" t="inlineStr">
        <is>
          <t>Övriga Aktiebolag</t>
        </is>
      </c>
      <c r="G1118" t="n">
        <v>37.6</v>
      </c>
      <c r="H1118" t="n">
        <v>0</v>
      </c>
      <c r="I1118" t="n">
        <v>0</v>
      </c>
      <c r="J1118" t="n">
        <v>0</v>
      </c>
      <c r="K1118" t="n">
        <v>0</v>
      </c>
      <c r="L1118" t="n">
        <v>0</v>
      </c>
      <c r="M1118" t="n">
        <v>0</v>
      </c>
      <c r="N1118" t="n">
        <v>0</v>
      </c>
      <c r="O1118" t="n">
        <v>0</v>
      </c>
      <c r="P1118" t="n">
        <v>0</v>
      </c>
      <c r="Q1118" t="n">
        <v>0</v>
      </c>
      <c r="R1118" s="2" t="inlineStr"/>
    </row>
    <row r="1119" ht="15" customHeight="1">
      <c r="A1119" t="inlineStr">
        <is>
          <t>A 44519-2024</t>
        </is>
      </c>
      <c r="B1119" s="1" t="n">
        <v>45574.43403935185</v>
      </c>
      <c r="C1119" s="1" t="n">
        <v>46167</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20981-2026</t>
        </is>
      </c>
      <c r="B1120" s="1" t="n">
        <v>46142.58722222222</v>
      </c>
      <c r="C1120" s="1" t="n">
        <v>46167</v>
      </c>
      <c r="D1120" t="inlineStr">
        <is>
          <t>JÄMTLANDS LÄN</t>
        </is>
      </c>
      <c r="E1120" t="inlineStr">
        <is>
          <t>KROKOM</t>
        </is>
      </c>
      <c r="F1120" t="inlineStr">
        <is>
          <t>Övriga Aktiebolag</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14305-2026</t>
        </is>
      </c>
      <c r="B1121" s="1" t="n">
        <v>46099.80190972222</v>
      </c>
      <c r="C1121" s="1" t="n">
        <v>46167</v>
      </c>
      <c r="D1121" t="inlineStr">
        <is>
          <t>JÄMTLANDS LÄN</t>
        </is>
      </c>
      <c r="E1121" t="inlineStr">
        <is>
          <t>KROKOM</t>
        </is>
      </c>
      <c r="G1121" t="n">
        <v>25.4</v>
      </c>
      <c r="H1121" t="n">
        <v>0</v>
      </c>
      <c r="I1121" t="n">
        <v>0</v>
      </c>
      <c r="J1121" t="n">
        <v>0</v>
      </c>
      <c r="K1121" t="n">
        <v>0</v>
      </c>
      <c r="L1121" t="n">
        <v>0</v>
      </c>
      <c r="M1121" t="n">
        <v>0</v>
      </c>
      <c r="N1121" t="n">
        <v>0</v>
      </c>
      <c r="O1121" t="n">
        <v>0</v>
      </c>
      <c r="P1121" t="n">
        <v>0</v>
      </c>
      <c r="Q1121" t="n">
        <v>0</v>
      </c>
      <c r="R1121" s="2" t="inlineStr"/>
    </row>
    <row r="1122" ht="15" customHeight="1">
      <c r="A1122" t="inlineStr">
        <is>
          <t>A 14294-2026</t>
        </is>
      </c>
      <c r="B1122" s="1" t="n">
        <v>46099.70056712963</v>
      </c>
      <c r="C1122" s="1" t="n">
        <v>46167</v>
      </c>
      <c r="D1122" t="inlineStr">
        <is>
          <t>JÄMTLANDS LÄN</t>
        </is>
      </c>
      <c r="E1122" t="inlineStr">
        <is>
          <t>KROKOM</t>
        </is>
      </c>
      <c r="G1122" t="n">
        <v>39.1</v>
      </c>
      <c r="H1122" t="n">
        <v>0</v>
      </c>
      <c r="I1122" t="n">
        <v>0</v>
      </c>
      <c r="J1122" t="n">
        <v>0</v>
      </c>
      <c r="K1122" t="n">
        <v>0</v>
      </c>
      <c r="L1122" t="n">
        <v>0</v>
      </c>
      <c r="M1122" t="n">
        <v>0</v>
      </c>
      <c r="N1122" t="n">
        <v>0</v>
      </c>
      <c r="O1122" t="n">
        <v>0</v>
      </c>
      <c r="P1122" t="n">
        <v>0</v>
      </c>
      <c r="Q1122" t="n">
        <v>0</v>
      </c>
      <c r="R1122" s="2" t="inlineStr"/>
    </row>
    <row r="1123" ht="15" customHeight="1">
      <c r="A1123" t="inlineStr">
        <is>
          <t>A 28137-2023</t>
        </is>
      </c>
      <c r="B1123" s="1" t="n">
        <v>45096</v>
      </c>
      <c r="C1123" s="1" t="n">
        <v>46167</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41497-2024</t>
        </is>
      </c>
      <c r="B1124" s="1" t="n">
        <v>45560.45841435185</v>
      </c>
      <c r="C1124" s="1" t="n">
        <v>46167</v>
      </c>
      <c r="D1124" t="inlineStr">
        <is>
          <t>JÄMTLANDS LÄN</t>
        </is>
      </c>
      <c r="E1124" t="inlineStr">
        <is>
          <t>KROKOM</t>
        </is>
      </c>
      <c r="F1124" t="inlineStr">
        <is>
          <t>Övriga Aktiebolag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20739-2026</t>
        </is>
      </c>
      <c r="B1125" s="1" t="n">
        <v>46141.57081018519</v>
      </c>
      <c r="C1125" s="1" t="n">
        <v>46167</v>
      </c>
      <c r="D1125" t="inlineStr">
        <is>
          <t>JÄMTLANDS LÄN</t>
        </is>
      </c>
      <c r="E1125" t="inlineStr">
        <is>
          <t>KROKOM</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14293-2025</t>
        </is>
      </c>
      <c r="B1126" s="1" t="n">
        <v>45740</v>
      </c>
      <c r="C1126" s="1" t="n">
        <v>46167</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14301-2026</t>
        </is>
      </c>
      <c r="B1127" s="1" t="n">
        <v>46099.76976851852</v>
      </c>
      <c r="C1127" s="1" t="n">
        <v>46167</v>
      </c>
      <c r="D1127" t="inlineStr">
        <is>
          <t>JÄMTLANDS LÄN</t>
        </is>
      </c>
      <c r="E1127" t="inlineStr">
        <is>
          <t>KROKOM</t>
        </is>
      </c>
      <c r="G1127" t="n">
        <v>32.8</v>
      </c>
      <c r="H1127" t="n">
        <v>0</v>
      </c>
      <c r="I1127" t="n">
        <v>0</v>
      </c>
      <c r="J1127" t="n">
        <v>0</v>
      </c>
      <c r="K1127" t="n">
        <v>0</v>
      </c>
      <c r="L1127" t="n">
        <v>0</v>
      </c>
      <c r="M1127" t="n">
        <v>0</v>
      </c>
      <c r="N1127" t="n">
        <v>0</v>
      </c>
      <c r="O1127" t="n">
        <v>0</v>
      </c>
      <c r="P1127" t="n">
        <v>0</v>
      </c>
      <c r="Q1127" t="n">
        <v>0</v>
      </c>
      <c r="R1127" s="2" t="inlineStr"/>
    </row>
    <row r="1128" ht="15" customHeight="1">
      <c r="A1128" t="inlineStr">
        <is>
          <t>A 20835-2026</t>
        </is>
      </c>
      <c r="B1128" s="1" t="n">
        <v>46142.26474537037</v>
      </c>
      <c r="C1128" s="1" t="n">
        <v>46167</v>
      </c>
      <c r="D1128" t="inlineStr">
        <is>
          <t>JÄMTLANDS LÄN</t>
        </is>
      </c>
      <c r="E1128" t="inlineStr">
        <is>
          <t>KROKOM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20866-2026</t>
        </is>
      </c>
      <c r="B1129" s="1" t="n">
        <v>46142.36953703704</v>
      </c>
      <c r="C1129" s="1" t="n">
        <v>46167</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12188-2024</t>
        </is>
      </c>
      <c r="B1130" s="1" t="n">
        <v>45377</v>
      </c>
      <c r="C1130" s="1" t="n">
        <v>46167</v>
      </c>
      <c r="D1130" t="inlineStr">
        <is>
          <t>JÄMTLANDS LÄN</t>
        </is>
      </c>
      <c r="E1130" t="inlineStr">
        <is>
          <t>KROKOM</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39263-2024</t>
        </is>
      </c>
      <c r="B1131" s="1" t="n">
        <v>45551.34414351852</v>
      </c>
      <c r="C1131" s="1" t="n">
        <v>46167</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45777-2024</t>
        </is>
      </c>
      <c r="B1132" s="1" t="n">
        <v>45579.66459490741</v>
      </c>
      <c r="C1132" s="1" t="n">
        <v>46167</v>
      </c>
      <c r="D1132" t="inlineStr">
        <is>
          <t>JÄMTLANDS LÄN</t>
        </is>
      </c>
      <c r="E1132" t="inlineStr">
        <is>
          <t>KROKOM</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10220-2025</t>
        </is>
      </c>
      <c r="B1133" s="1" t="n">
        <v>45720</v>
      </c>
      <c r="C1133" s="1" t="n">
        <v>46167</v>
      </c>
      <c r="D1133" t="inlineStr">
        <is>
          <t>JÄMTLANDS LÄN</t>
        </is>
      </c>
      <c r="E1133" t="inlineStr">
        <is>
          <t>KROKOM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21091-2026</t>
        </is>
      </c>
      <c r="B1134" s="1" t="n">
        <v>46146.45587962963</v>
      </c>
      <c r="C1134" s="1" t="n">
        <v>46167</v>
      </c>
      <c r="D1134" t="inlineStr">
        <is>
          <t>JÄMTLANDS LÄN</t>
        </is>
      </c>
      <c r="E1134" t="inlineStr">
        <is>
          <t>KROKOM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21095-2026</t>
        </is>
      </c>
      <c r="B1135" s="1" t="n">
        <v>46146.46149305555</v>
      </c>
      <c r="C1135" s="1" t="n">
        <v>46167</v>
      </c>
      <c r="D1135" t="inlineStr">
        <is>
          <t>JÄMTLANDS LÄN</t>
        </is>
      </c>
      <c r="E1135" t="inlineStr">
        <is>
          <t>KROKOM</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19478-2023</t>
        </is>
      </c>
      <c r="B1136" s="1" t="n">
        <v>45050</v>
      </c>
      <c r="C1136" s="1" t="n">
        <v>46167</v>
      </c>
      <c r="D1136" t="inlineStr">
        <is>
          <t>JÄMTLANDS LÄN</t>
        </is>
      </c>
      <c r="E1136" t="inlineStr">
        <is>
          <t>KROKOM</t>
        </is>
      </c>
      <c r="F1136" t="inlineStr">
        <is>
          <t>Övriga Aktiebolag</t>
        </is>
      </c>
      <c r="G1136" t="n">
        <v>22.2</v>
      </c>
      <c r="H1136" t="n">
        <v>0</v>
      </c>
      <c r="I1136" t="n">
        <v>0</v>
      </c>
      <c r="J1136" t="n">
        <v>0</v>
      </c>
      <c r="K1136" t="n">
        <v>0</v>
      </c>
      <c r="L1136" t="n">
        <v>0</v>
      </c>
      <c r="M1136" t="n">
        <v>0</v>
      </c>
      <c r="N1136" t="n">
        <v>0</v>
      </c>
      <c r="O1136" t="n">
        <v>0</v>
      </c>
      <c r="P1136" t="n">
        <v>0</v>
      </c>
      <c r="Q1136" t="n">
        <v>0</v>
      </c>
      <c r="R1136" s="2" t="inlineStr"/>
    </row>
    <row r="1137" ht="15" customHeight="1">
      <c r="A1137" t="inlineStr">
        <is>
          <t>A 20742-2023</t>
        </is>
      </c>
      <c r="B1137" s="1" t="n">
        <v>45055</v>
      </c>
      <c r="C1137" s="1" t="n">
        <v>46167</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7391-2025</t>
        </is>
      </c>
      <c r="B1138" s="1" t="n">
        <v>45705.33446759259</v>
      </c>
      <c r="C1138" s="1" t="n">
        <v>46167</v>
      </c>
      <c r="D1138" t="inlineStr">
        <is>
          <t>JÄMTLANDS LÄN</t>
        </is>
      </c>
      <c r="E1138" t="inlineStr">
        <is>
          <t>KROKOM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50738-2024</t>
        </is>
      </c>
      <c r="B1139" s="1" t="n">
        <v>45602.39862268518</v>
      </c>
      <c r="C1139" s="1" t="n">
        <v>46167</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50755-2024</t>
        </is>
      </c>
      <c r="B1140" s="1" t="n">
        <v>45602.42878472222</v>
      </c>
      <c r="C1140" s="1" t="n">
        <v>46167</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15030-2026</t>
        </is>
      </c>
      <c r="B1141" s="1" t="n">
        <v>46104.64736111111</v>
      </c>
      <c r="C1141" s="1" t="n">
        <v>46167</v>
      </c>
      <c r="D1141" t="inlineStr">
        <is>
          <t>JÄMTLANDS LÄN</t>
        </is>
      </c>
      <c r="E1141" t="inlineStr">
        <is>
          <t>KROKOM</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14782-2026</t>
        </is>
      </c>
      <c r="B1142" s="1" t="n">
        <v>46101.65737268519</v>
      </c>
      <c r="C1142" s="1" t="n">
        <v>46167</v>
      </c>
      <c r="D1142" t="inlineStr">
        <is>
          <t>JÄMTLANDS LÄN</t>
        </is>
      </c>
      <c r="E1142" t="inlineStr">
        <is>
          <t>KROKOM</t>
        </is>
      </c>
      <c r="G1142" t="n">
        <v>21.1</v>
      </c>
      <c r="H1142" t="n">
        <v>0</v>
      </c>
      <c r="I1142" t="n">
        <v>0</v>
      </c>
      <c r="J1142" t="n">
        <v>0</v>
      </c>
      <c r="K1142" t="n">
        <v>0</v>
      </c>
      <c r="L1142" t="n">
        <v>0</v>
      </c>
      <c r="M1142" t="n">
        <v>0</v>
      </c>
      <c r="N1142" t="n">
        <v>0</v>
      </c>
      <c r="O1142" t="n">
        <v>0</v>
      </c>
      <c r="P1142" t="n">
        <v>0</v>
      </c>
      <c r="Q1142" t="n">
        <v>0</v>
      </c>
      <c r="R1142" s="2" t="inlineStr"/>
    </row>
    <row r="1143" ht="15" customHeight="1">
      <c r="A1143" t="inlineStr">
        <is>
          <t>A 9016-2025</t>
        </is>
      </c>
      <c r="B1143" s="1" t="n">
        <v>45713.59163194444</v>
      </c>
      <c r="C1143" s="1" t="n">
        <v>46167</v>
      </c>
      <c r="D1143" t="inlineStr">
        <is>
          <t>JÄMTLANDS LÄN</t>
        </is>
      </c>
      <c r="E1143" t="inlineStr">
        <is>
          <t>KROKOM</t>
        </is>
      </c>
      <c r="F1143" t="inlineStr">
        <is>
          <t>Övriga Aktiebolag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52313-2024</t>
        </is>
      </c>
      <c r="B1144" s="1" t="n">
        <v>45608.86341435185</v>
      </c>
      <c r="C1144" s="1" t="n">
        <v>46167</v>
      </c>
      <c r="D1144" t="inlineStr">
        <is>
          <t>JÄMTLANDS LÄN</t>
        </is>
      </c>
      <c r="E1144" t="inlineStr">
        <is>
          <t>KROKOM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58677-2023</t>
        </is>
      </c>
      <c r="B1145" s="1" t="n">
        <v>45251.65152777778</v>
      </c>
      <c r="C1145" s="1" t="n">
        <v>46167</v>
      </c>
      <c r="D1145" t="inlineStr">
        <is>
          <t>JÄMTLANDS LÄN</t>
        </is>
      </c>
      <c r="E1145" t="inlineStr">
        <is>
          <t>KROKOM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15017-2026</t>
        </is>
      </c>
      <c r="B1146" s="1" t="n">
        <v>46104.62271990741</v>
      </c>
      <c r="C1146" s="1" t="n">
        <v>46167</v>
      </c>
      <c r="D1146" t="inlineStr">
        <is>
          <t>JÄMTLANDS LÄN</t>
        </is>
      </c>
      <c r="E1146" t="inlineStr">
        <is>
          <t>KROKOM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14744-2026</t>
        </is>
      </c>
      <c r="B1147" s="1" t="n">
        <v>46101.6071875</v>
      </c>
      <c r="C1147" s="1" t="n">
        <v>46167</v>
      </c>
      <c r="D1147" t="inlineStr">
        <is>
          <t>JÄMTLANDS LÄN</t>
        </is>
      </c>
      <c r="E1147" t="inlineStr">
        <is>
          <t>KROKOM</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20966-2023</t>
        </is>
      </c>
      <c r="B1148" s="1" t="n">
        <v>45056</v>
      </c>
      <c r="C1148" s="1" t="n">
        <v>46167</v>
      </c>
      <c r="D1148" t="inlineStr">
        <is>
          <t>JÄMTLANDS LÄN</t>
        </is>
      </c>
      <c r="E1148" t="inlineStr">
        <is>
          <t>KROKOM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42825-2023</t>
        </is>
      </c>
      <c r="B1149" s="1" t="n">
        <v>45182</v>
      </c>
      <c r="C1149" s="1" t="n">
        <v>46167</v>
      </c>
      <c r="D1149" t="inlineStr">
        <is>
          <t>JÄMTLANDS LÄN</t>
        </is>
      </c>
      <c r="E1149" t="inlineStr">
        <is>
          <t>KROKOM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30016-2024</t>
        </is>
      </c>
      <c r="B1150" s="1" t="n">
        <v>45485</v>
      </c>
      <c r="C1150" s="1" t="n">
        <v>46167</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21278-2026</t>
        </is>
      </c>
      <c r="B1151" s="1" t="n">
        <v>46147.44376157408</v>
      </c>
      <c r="C1151" s="1" t="n">
        <v>46167</v>
      </c>
      <c r="D1151" t="inlineStr">
        <is>
          <t>JÄMTLANDS LÄN</t>
        </is>
      </c>
      <c r="E1151" t="inlineStr">
        <is>
          <t>KROKOM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15487-2026</t>
        </is>
      </c>
      <c r="B1152" s="1" t="n">
        <v>46106.45048611111</v>
      </c>
      <c r="C1152" s="1" t="n">
        <v>46167</v>
      </c>
      <c r="D1152" t="inlineStr">
        <is>
          <t>JÄMTLANDS LÄN</t>
        </is>
      </c>
      <c r="E1152" t="inlineStr">
        <is>
          <t>KROKOM</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15110-2026</t>
        </is>
      </c>
      <c r="B1153" s="1" t="n">
        <v>46105.35745370371</v>
      </c>
      <c r="C1153" s="1" t="n">
        <v>46167</v>
      </c>
      <c r="D1153" t="inlineStr">
        <is>
          <t>JÄMTLANDS LÄN</t>
        </is>
      </c>
      <c r="E1153" t="inlineStr">
        <is>
          <t>KROKOM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29896-2021</t>
        </is>
      </c>
      <c r="B1154" s="1" t="n">
        <v>44362</v>
      </c>
      <c r="C1154" s="1" t="n">
        <v>46167</v>
      </c>
      <c r="D1154" t="inlineStr">
        <is>
          <t>JÄMTLANDS LÄN</t>
        </is>
      </c>
      <c r="E1154" t="inlineStr">
        <is>
          <t>KROKOM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27954-2024</t>
        </is>
      </c>
      <c r="B1155" s="1" t="n">
        <v>45476</v>
      </c>
      <c r="C1155" s="1" t="n">
        <v>46167</v>
      </c>
      <c r="D1155" t="inlineStr">
        <is>
          <t>JÄMTLANDS LÄN</t>
        </is>
      </c>
      <c r="E1155" t="inlineStr">
        <is>
          <t>KROKOM</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14029-2024</t>
        </is>
      </c>
      <c r="B1156" s="1" t="n">
        <v>45392</v>
      </c>
      <c r="C1156" s="1" t="n">
        <v>46167</v>
      </c>
      <c r="D1156" t="inlineStr">
        <is>
          <t>JÄMTLANDS LÄN</t>
        </is>
      </c>
      <c r="E1156" t="inlineStr">
        <is>
          <t>KROKOM</t>
        </is>
      </c>
      <c r="F1156" t="inlineStr">
        <is>
          <t>Kyrkan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21684-2026</t>
        </is>
      </c>
      <c r="B1157" s="1" t="n">
        <v>46149.5087037037</v>
      </c>
      <c r="C1157" s="1" t="n">
        <v>46167</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21731-2026</t>
        </is>
      </c>
      <c r="B1158" s="1" t="n">
        <v>46149.63171296296</v>
      </c>
      <c r="C1158" s="1" t="n">
        <v>46167</v>
      </c>
      <c r="D1158" t="inlineStr">
        <is>
          <t>JÄMTLANDS LÄN</t>
        </is>
      </c>
      <c r="E1158" t="inlineStr">
        <is>
          <t>KROKOM</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15867-2026</t>
        </is>
      </c>
      <c r="B1159" s="1" t="n">
        <v>46107.58662037037</v>
      </c>
      <c r="C1159" s="1" t="n">
        <v>46167</v>
      </c>
      <c r="D1159" t="inlineStr">
        <is>
          <t>JÄMTLANDS LÄN</t>
        </is>
      </c>
      <c r="E1159" t="inlineStr">
        <is>
          <t>KROKOM</t>
        </is>
      </c>
      <c r="F1159" t="inlineStr">
        <is>
          <t>SCA</t>
        </is>
      </c>
      <c r="G1159" t="n">
        <v>36.8</v>
      </c>
      <c r="H1159" t="n">
        <v>0</v>
      </c>
      <c r="I1159" t="n">
        <v>0</v>
      </c>
      <c r="J1159" t="n">
        <v>0</v>
      </c>
      <c r="K1159" t="n">
        <v>0</v>
      </c>
      <c r="L1159" t="n">
        <v>0</v>
      </c>
      <c r="M1159" t="n">
        <v>0</v>
      </c>
      <c r="N1159" t="n">
        <v>0</v>
      </c>
      <c r="O1159" t="n">
        <v>0</v>
      </c>
      <c r="P1159" t="n">
        <v>0</v>
      </c>
      <c r="Q1159" t="n">
        <v>0</v>
      </c>
      <c r="R1159" s="2" t="inlineStr"/>
    </row>
    <row r="1160" ht="15" customHeight="1">
      <c r="A1160" t="inlineStr">
        <is>
          <t>A 21595-2026</t>
        </is>
      </c>
      <c r="B1160" s="1" t="n">
        <v>46149.35878472222</v>
      </c>
      <c r="C1160" s="1" t="n">
        <v>46167</v>
      </c>
      <c r="D1160" t="inlineStr">
        <is>
          <t>JÄMTLANDS LÄN</t>
        </is>
      </c>
      <c r="E1160" t="inlineStr">
        <is>
          <t>KROKOM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40394-2024</t>
        </is>
      </c>
      <c r="B1161" s="1" t="n">
        <v>45555.43584490741</v>
      </c>
      <c r="C1161" s="1" t="n">
        <v>46167</v>
      </c>
      <c r="D1161" t="inlineStr">
        <is>
          <t>JÄMTLANDS LÄN</t>
        </is>
      </c>
      <c r="E1161" t="inlineStr">
        <is>
          <t>KROKOM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15878-2026</t>
        </is>
      </c>
      <c r="B1162" s="1" t="n">
        <v>46107.5972337963</v>
      </c>
      <c r="C1162" s="1" t="n">
        <v>46167</v>
      </c>
      <c r="D1162" t="inlineStr">
        <is>
          <t>JÄMTLANDS LÄN</t>
        </is>
      </c>
      <c r="E1162" t="inlineStr">
        <is>
          <t>KROKOM</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15918-2026</t>
        </is>
      </c>
      <c r="B1163" s="1" t="n">
        <v>46107.65283564815</v>
      </c>
      <c r="C1163" s="1" t="n">
        <v>46167</v>
      </c>
      <c r="D1163" t="inlineStr">
        <is>
          <t>JÄMTLANDS LÄN</t>
        </is>
      </c>
      <c r="E1163" t="inlineStr">
        <is>
          <t>KROKOM</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17820-2024</t>
        </is>
      </c>
      <c r="B1164" s="1" t="n">
        <v>45418.94616898148</v>
      </c>
      <c r="C1164" s="1" t="n">
        <v>46167</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24333-2024</t>
        </is>
      </c>
      <c r="B1165" s="1" t="n">
        <v>45457.55922453704</v>
      </c>
      <c r="C1165" s="1" t="n">
        <v>46167</v>
      </c>
      <c r="D1165" t="inlineStr">
        <is>
          <t>JÄMTLANDS LÄN</t>
        </is>
      </c>
      <c r="E1165" t="inlineStr">
        <is>
          <t>KROKOM</t>
        </is>
      </c>
      <c r="F1165" t="inlineStr">
        <is>
          <t>Övriga Aktiebolag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15528-2024</t>
        </is>
      </c>
      <c r="B1166" s="1" t="n">
        <v>45401.59810185185</v>
      </c>
      <c r="C1166" s="1" t="n">
        <v>46167</v>
      </c>
      <c r="D1166" t="inlineStr">
        <is>
          <t>JÄMTLANDS LÄN</t>
        </is>
      </c>
      <c r="E1166" t="inlineStr">
        <is>
          <t>KROKOM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16091-2026</t>
        </is>
      </c>
      <c r="B1167" s="1" t="n">
        <v>46108.57409722222</v>
      </c>
      <c r="C1167" s="1" t="n">
        <v>46167</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21720-2026</t>
        </is>
      </c>
      <c r="B1168" s="1" t="n">
        <v>46149.59929398148</v>
      </c>
      <c r="C1168" s="1" t="n">
        <v>46167</v>
      </c>
      <c r="D1168" t="inlineStr">
        <is>
          <t>JÄMTLANDS LÄN</t>
        </is>
      </c>
      <c r="E1168" t="inlineStr">
        <is>
          <t>KROKOM</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16013-2026</t>
        </is>
      </c>
      <c r="B1169" s="1" t="n">
        <v>46108.42672453704</v>
      </c>
      <c r="C1169" s="1" t="n">
        <v>46167</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45869-2024</t>
        </is>
      </c>
      <c r="B1170" s="1" t="n">
        <v>45580.36991898148</v>
      </c>
      <c r="C1170" s="1" t="n">
        <v>46167</v>
      </c>
      <c r="D1170" t="inlineStr">
        <is>
          <t>JÄMTLANDS LÄN</t>
        </is>
      </c>
      <c r="E1170" t="inlineStr">
        <is>
          <t>KROKOM</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55479-2022</t>
        </is>
      </c>
      <c r="B1171" s="1" t="n">
        <v>44887</v>
      </c>
      <c r="C1171" s="1" t="n">
        <v>46167</v>
      </c>
      <c r="D1171" t="inlineStr">
        <is>
          <t>JÄMTLANDS LÄN</t>
        </is>
      </c>
      <c r="E1171" t="inlineStr">
        <is>
          <t>KROKOM</t>
        </is>
      </c>
      <c r="F1171" t="inlineStr">
        <is>
          <t>Övriga Aktiebolag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21868-2026</t>
        </is>
      </c>
      <c r="B1172" s="1" t="n">
        <v>46150.57586805556</v>
      </c>
      <c r="C1172" s="1" t="n">
        <v>46167</v>
      </c>
      <c r="D1172" t="inlineStr">
        <is>
          <t>JÄMTLANDS LÄN</t>
        </is>
      </c>
      <c r="E1172" t="inlineStr">
        <is>
          <t>KROKOM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17950-2025</t>
        </is>
      </c>
      <c r="B1173" s="1" t="n">
        <v>45760.81083333334</v>
      </c>
      <c r="C1173" s="1" t="n">
        <v>46167</v>
      </c>
      <c r="D1173" t="inlineStr">
        <is>
          <t>JÄMTLANDS LÄN</t>
        </is>
      </c>
      <c r="E1173" t="inlineStr">
        <is>
          <t>KROKOM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21656-2026</t>
        </is>
      </c>
      <c r="B1174" s="1" t="n">
        <v>46149.45731481481</v>
      </c>
      <c r="C1174" s="1" t="n">
        <v>46167</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4575-2025</t>
        </is>
      </c>
      <c r="B1175" s="1" t="n">
        <v>45687.48931712963</v>
      </c>
      <c r="C1175" s="1" t="n">
        <v>46167</v>
      </c>
      <c r="D1175" t="inlineStr">
        <is>
          <t>JÄMTLANDS LÄN</t>
        </is>
      </c>
      <c r="E1175" t="inlineStr">
        <is>
          <t>KROKOM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39490-2022</t>
        </is>
      </c>
      <c r="B1176" s="1" t="n">
        <v>44818</v>
      </c>
      <c r="C1176" s="1" t="n">
        <v>46167</v>
      </c>
      <c r="D1176" t="inlineStr">
        <is>
          <t>JÄMTLANDS LÄN</t>
        </is>
      </c>
      <c r="E1176" t="inlineStr">
        <is>
          <t>KROKOM</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45827-2023</t>
        </is>
      </c>
      <c r="B1177" s="1" t="n">
        <v>45195</v>
      </c>
      <c r="C1177" s="1" t="n">
        <v>46167</v>
      </c>
      <c r="D1177" t="inlineStr">
        <is>
          <t>JÄMTLANDS LÄN</t>
        </is>
      </c>
      <c r="E1177" t="inlineStr">
        <is>
          <t>KROKOM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50881-2024</t>
        </is>
      </c>
      <c r="B1178" s="1" t="n">
        <v>45602.65599537037</v>
      </c>
      <c r="C1178" s="1" t="n">
        <v>46167</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50951-2024</t>
        </is>
      </c>
      <c r="B1179" s="1" t="n">
        <v>45603.28460648148</v>
      </c>
      <c r="C1179" s="1" t="n">
        <v>46167</v>
      </c>
      <c r="D1179" t="inlineStr">
        <is>
          <t>JÄMTLANDS LÄN</t>
        </is>
      </c>
      <c r="E1179" t="inlineStr">
        <is>
          <t>KROKOM</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23214-2024</t>
        </is>
      </c>
      <c r="B1180" s="1" t="n">
        <v>45452.55271990741</v>
      </c>
      <c r="C1180" s="1" t="n">
        <v>46167</v>
      </c>
      <c r="D1180" t="inlineStr">
        <is>
          <t>JÄMTLANDS LÄN</t>
        </is>
      </c>
      <c r="E1180" t="inlineStr">
        <is>
          <t>KROKOM</t>
        </is>
      </c>
      <c r="F1180" t="inlineStr">
        <is>
          <t>Övriga Aktiebolag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10782-2023</t>
        </is>
      </c>
      <c r="B1181" s="1" t="n">
        <v>44988.94056712963</v>
      </c>
      <c r="C1181" s="1" t="n">
        <v>46167</v>
      </c>
      <c r="D1181" t="inlineStr">
        <is>
          <t>JÄMTLANDS LÄN</t>
        </is>
      </c>
      <c r="E1181" t="inlineStr">
        <is>
          <t>KROKOM</t>
        </is>
      </c>
      <c r="F1181" t="inlineStr">
        <is>
          <t>SCA</t>
        </is>
      </c>
      <c r="G1181" t="n">
        <v>68.8</v>
      </c>
      <c r="H1181" t="n">
        <v>0</v>
      </c>
      <c r="I1181" t="n">
        <v>0</v>
      </c>
      <c r="J1181" t="n">
        <v>0</v>
      </c>
      <c r="K1181" t="n">
        <v>0</v>
      </c>
      <c r="L1181" t="n">
        <v>0</v>
      </c>
      <c r="M1181" t="n">
        <v>0</v>
      </c>
      <c r="N1181" t="n">
        <v>0</v>
      </c>
      <c r="O1181" t="n">
        <v>0</v>
      </c>
      <c r="P1181" t="n">
        <v>0</v>
      </c>
      <c r="Q1181" t="n">
        <v>0</v>
      </c>
      <c r="R1181" s="2" t="inlineStr"/>
    </row>
    <row r="1182" ht="15" customHeight="1">
      <c r="A1182" t="inlineStr">
        <is>
          <t>A 52590-2023</t>
        </is>
      </c>
      <c r="B1182" s="1" t="n">
        <v>45225.60212962963</v>
      </c>
      <c r="C1182" s="1" t="n">
        <v>46167</v>
      </c>
      <c r="D1182" t="inlineStr">
        <is>
          <t>JÄMTLANDS LÄN</t>
        </is>
      </c>
      <c r="E1182" t="inlineStr">
        <is>
          <t>KROKOM</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60491-2024</t>
        </is>
      </c>
      <c r="B1183" s="1" t="n">
        <v>45643.65354166667</v>
      </c>
      <c r="C1183" s="1" t="n">
        <v>46167</v>
      </c>
      <c r="D1183" t="inlineStr">
        <is>
          <t>JÄMTLANDS LÄN</t>
        </is>
      </c>
      <c r="E1183" t="inlineStr">
        <is>
          <t>KROKOM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46167</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33802-2021</t>
        </is>
      </c>
      <c r="B1185" s="1" t="n">
        <v>44377</v>
      </c>
      <c r="C1185" s="1" t="n">
        <v>46167</v>
      </c>
      <c r="D1185" t="inlineStr">
        <is>
          <t>JÄMTLANDS LÄN</t>
        </is>
      </c>
      <c r="E1185" t="inlineStr">
        <is>
          <t>KROKOM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40221-2024</t>
        </is>
      </c>
      <c r="B1186" s="1" t="n">
        <v>45554.59550925926</v>
      </c>
      <c r="C1186" s="1" t="n">
        <v>46167</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59973-2023</t>
        </is>
      </c>
      <c r="B1187" s="1" t="n">
        <v>45257</v>
      </c>
      <c r="C1187" s="1" t="n">
        <v>46167</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42828-2023</t>
        </is>
      </c>
      <c r="B1188" s="1" t="n">
        <v>45182</v>
      </c>
      <c r="C1188" s="1" t="n">
        <v>46167</v>
      </c>
      <c r="D1188" t="inlineStr">
        <is>
          <t>JÄMTLANDS LÄN</t>
        </is>
      </c>
      <c r="E1188" t="inlineStr">
        <is>
          <t>KROKOM</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40364-2023</t>
        </is>
      </c>
      <c r="B1189" s="1" t="n">
        <v>45168</v>
      </c>
      <c r="C1189" s="1" t="n">
        <v>46167</v>
      </c>
      <c r="D1189" t="inlineStr">
        <is>
          <t>JÄMTLANDS LÄN</t>
        </is>
      </c>
      <c r="E1189" t="inlineStr">
        <is>
          <t>KROKOM</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5378-2025</t>
        </is>
      </c>
      <c r="B1190" s="1" t="n">
        <v>45692.60364583333</v>
      </c>
      <c r="C1190" s="1" t="n">
        <v>46167</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26228-2024</t>
        </is>
      </c>
      <c r="B1191" s="1" t="n">
        <v>45467</v>
      </c>
      <c r="C1191" s="1" t="n">
        <v>46167</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58390-2021</t>
        </is>
      </c>
      <c r="B1192" s="1" t="n">
        <v>44488.47928240741</v>
      </c>
      <c r="C1192" s="1" t="n">
        <v>46167</v>
      </c>
      <c r="D1192" t="inlineStr">
        <is>
          <t>JÄMTLANDS LÄN</t>
        </is>
      </c>
      <c r="E1192" t="inlineStr">
        <is>
          <t>KROKOM</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16278-2025</t>
        </is>
      </c>
      <c r="B1193" s="1" t="n">
        <v>45751.28243055556</v>
      </c>
      <c r="C1193" s="1" t="n">
        <v>46167</v>
      </c>
      <c r="D1193" t="inlineStr">
        <is>
          <t>JÄMTLANDS LÄN</t>
        </is>
      </c>
      <c r="E1193" t="inlineStr">
        <is>
          <t>KROKOM</t>
        </is>
      </c>
      <c r="F1193" t="inlineStr">
        <is>
          <t>Övriga Aktiebolag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28210-2024</t>
        </is>
      </c>
      <c r="B1194" s="1" t="n">
        <v>45477.35225694445</v>
      </c>
      <c r="C1194" s="1" t="n">
        <v>46167</v>
      </c>
      <c r="D1194" t="inlineStr">
        <is>
          <t>JÄMTLANDS LÄN</t>
        </is>
      </c>
      <c r="E1194" t="inlineStr">
        <is>
          <t>KROKOM</t>
        </is>
      </c>
      <c r="F1194" t="inlineStr">
        <is>
          <t>Övriga Aktiebolag</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10842-2024</t>
        </is>
      </c>
      <c r="B1195" s="1" t="n">
        <v>45369</v>
      </c>
      <c r="C1195" s="1" t="n">
        <v>46167</v>
      </c>
      <c r="D1195" t="inlineStr">
        <is>
          <t>JÄMTLANDS LÄN</t>
        </is>
      </c>
      <c r="E1195" t="inlineStr">
        <is>
          <t>KROKOM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45243.33297453704</v>
      </c>
      <c r="C1196" s="1" t="n">
        <v>46167</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7908-2025</t>
        </is>
      </c>
      <c r="B1197" s="1" t="n">
        <v>45707.33935185185</v>
      </c>
      <c r="C1197" s="1" t="n">
        <v>46167</v>
      </c>
      <c r="D1197" t="inlineStr">
        <is>
          <t>JÄMTLANDS LÄN</t>
        </is>
      </c>
      <c r="E1197" t="inlineStr">
        <is>
          <t>KROKOM</t>
        </is>
      </c>
      <c r="F1197" t="inlineStr">
        <is>
          <t>Övriga Aktiebolag</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52240-2024</t>
        </is>
      </c>
      <c r="B1198" s="1" t="n">
        <v>45608.61923611111</v>
      </c>
      <c r="C1198" s="1" t="n">
        <v>46167</v>
      </c>
      <c r="D1198" t="inlineStr">
        <is>
          <t>JÄMTLANDS LÄN</t>
        </is>
      </c>
      <c r="E1198" t="inlineStr">
        <is>
          <t>KROKOM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7366-2025</t>
        </is>
      </c>
      <c r="B1199" s="1" t="n">
        <v>45704.71069444445</v>
      </c>
      <c r="C1199" s="1" t="n">
        <v>46167</v>
      </c>
      <c r="D1199" t="inlineStr">
        <is>
          <t>JÄMTLANDS LÄN</t>
        </is>
      </c>
      <c r="E1199" t="inlineStr">
        <is>
          <t>KROKOM</t>
        </is>
      </c>
      <c r="F1199" t="inlineStr">
        <is>
          <t>Övriga Aktiebolag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9156-2025</t>
        </is>
      </c>
      <c r="B1200" s="1" t="n">
        <v>45714.34859953704</v>
      </c>
      <c r="C1200" s="1" t="n">
        <v>46167</v>
      </c>
      <c r="D1200" t="inlineStr">
        <is>
          <t>JÄMTLANDS LÄN</t>
        </is>
      </c>
      <c r="E1200" t="inlineStr">
        <is>
          <t>KROKOM</t>
        </is>
      </c>
      <c r="F1200" t="inlineStr">
        <is>
          <t>Övriga Aktiebolag</t>
        </is>
      </c>
      <c r="G1200" t="n">
        <v>26.7</v>
      </c>
      <c r="H1200" t="n">
        <v>0</v>
      </c>
      <c r="I1200" t="n">
        <v>0</v>
      </c>
      <c r="J1200" t="n">
        <v>0</v>
      </c>
      <c r="K1200" t="n">
        <v>0</v>
      </c>
      <c r="L1200" t="n">
        <v>0</v>
      </c>
      <c r="M1200" t="n">
        <v>0</v>
      </c>
      <c r="N1200" t="n">
        <v>0</v>
      </c>
      <c r="O1200" t="n">
        <v>0</v>
      </c>
      <c r="P1200" t="n">
        <v>0</v>
      </c>
      <c r="Q1200" t="n">
        <v>0</v>
      </c>
      <c r="R1200" s="2" t="inlineStr"/>
      <c r="U1200">
        <f>HYPERLINK("https://klasma.github.io/Logging_2309/knärot/A 9156-2025 karta knärot.png", "A 9156-2025")</f>
        <v/>
      </c>
      <c r="V1200">
        <f>HYPERLINK("https://klasma.github.io/Logging_2309/klagomål/A 9156-2025 FSC-klagomål.docx", "A 9156-2025")</f>
        <v/>
      </c>
      <c r="W1200">
        <f>HYPERLINK("https://klasma.github.io/Logging_2309/klagomålsmail/A 9156-2025 FSC-klagomål mail.docx", "A 9156-2025")</f>
        <v/>
      </c>
      <c r="X1200">
        <f>HYPERLINK("https://klasma.github.io/Logging_2309/tillsyn/A 9156-2025 tillsynsbegäran.docx", "A 9156-2025")</f>
        <v/>
      </c>
      <c r="Y1200">
        <f>HYPERLINK("https://klasma.github.io/Logging_2309/tillsynsmail/A 9156-2025 tillsynsbegäran mail.docx", "A 9156-2025")</f>
        <v/>
      </c>
    </row>
    <row r="1201" ht="15" customHeight="1">
      <c r="A1201" t="inlineStr">
        <is>
          <t>A 15231-2025</t>
        </is>
      </c>
      <c r="B1201" s="1" t="n">
        <v>45744.59894675926</v>
      </c>
      <c r="C1201" s="1" t="n">
        <v>46167</v>
      </c>
      <c r="D1201" t="inlineStr">
        <is>
          <t>JÄMTLANDS LÄN</t>
        </is>
      </c>
      <c r="E1201" t="inlineStr">
        <is>
          <t>KROKOM</t>
        </is>
      </c>
      <c r="F1201" t="inlineStr">
        <is>
          <t>Övriga Aktiebolag</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50177-2021</t>
        </is>
      </c>
      <c r="B1202" s="1" t="n">
        <v>44456</v>
      </c>
      <c r="C1202" s="1" t="n">
        <v>46167</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28780-2024</t>
        </is>
      </c>
      <c r="B1203" s="1" t="n">
        <v>45478.60708333334</v>
      </c>
      <c r="C1203" s="1" t="n">
        <v>46167</v>
      </c>
      <c r="D1203" t="inlineStr">
        <is>
          <t>JÄMTLANDS LÄN</t>
        </is>
      </c>
      <c r="E1203" t="inlineStr">
        <is>
          <t>KROKOM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4354-2025</t>
        </is>
      </c>
      <c r="B1204" s="1" t="n">
        <v>45686.32671296296</v>
      </c>
      <c r="C1204" s="1" t="n">
        <v>46167</v>
      </c>
      <c r="D1204" t="inlineStr">
        <is>
          <t>JÄMTLANDS LÄN</t>
        </is>
      </c>
      <c r="E1204" t="inlineStr">
        <is>
          <t>KROKOM</t>
        </is>
      </c>
      <c r="F1204" t="inlineStr">
        <is>
          <t>SCA</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41972-2024</t>
        </is>
      </c>
      <c r="B1205" s="1" t="n">
        <v>45561.61515046296</v>
      </c>
      <c r="C1205" s="1" t="n">
        <v>46167</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6627-2025</t>
        </is>
      </c>
      <c r="B1206" s="1" t="n">
        <v>45700.37127314815</v>
      </c>
      <c r="C1206" s="1" t="n">
        <v>46167</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6629-2025</t>
        </is>
      </c>
      <c r="B1207" s="1" t="n">
        <v>45700.37481481482</v>
      </c>
      <c r="C1207" s="1" t="n">
        <v>46167</v>
      </c>
      <c r="D1207" t="inlineStr">
        <is>
          <t>JÄMTLANDS LÄN</t>
        </is>
      </c>
      <c r="E1207" t="inlineStr">
        <is>
          <t>KROKOM</t>
        </is>
      </c>
      <c r="F1207" t="inlineStr">
        <is>
          <t>Övriga Aktiebolag</t>
        </is>
      </c>
      <c r="G1207" t="n">
        <v>24.8</v>
      </c>
      <c r="H1207" t="n">
        <v>0</v>
      </c>
      <c r="I1207" t="n">
        <v>0</v>
      </c>
      <c r="J1207" t="n">
        <v>0</v>
      </c>
      <c r="K1207" t="n">
        <v>0</v>
      </c>
      <c r="L1207" t="n">
        <v>0</v>
      </c>
      <c r="M1207" t="n">
        <v>0</v>
      </c>
      <c r="N1207" t="n">
        <v>0</v>
      </c>
      <c r="O1207" t="n">
        <v>0</v>
      </c>
      <c r="P1207" t="n">
        <v>0</v>
      </c>
      <c r="Q1207" t="n">
        <v>0</v>
      </c>
      <c r="R1207" s="2" t="inlineStr"/>
    </row>
    <row r="1208" ht="15" customHeight="1">
      <c r="A1208" t="inlineStr">
        <is>
          <t>A 5364-2025</t>
        </is>
      </c>
      <c r="B1208" s="1" t="n">
        <v>45692.58106481482</v>
      </c>
      <c r="C1208" s="1" t="n">
        <v>46167</v>
      </c>
      <c r="D1208" t="inlineStr">
        <is>
          <t>JÄMTLANDS LÄN</t>
        </is>
      </c>
      <c r="E1208" t="inlineStr">
        <is>
          <t>KROKOM</t>
        </is>
      </c>
      <c r="G1208" t="n">
        <v>25.4</v>
      </c>
      <c r="H1208" t="n">
        <v>0</v>
      </c>
      <c r="I1208" t="n">
        <v>0</v>
      </c>
      <c r="J1208" t="n">
        <v>0</v>
      </c>
      <c r="K1208" t="n">
        <v>0</v>
      </c>
      <c r="L1208" t="n">
        <v>0</v>
      </c>
      <c r="M1208" t="n">
        <v>0</v>
      </c>
      <c r="N1208" t="n">
        <v>0</v>
      </c>
      <c r="O1208" t="n">
        <v>0</v>
      </c>
      <c r="P1208" t="n">
        <v>0</v>
      </c>
      <c r="Q1208" t="n">
        <v>0</v>
      </c>
      <c r="R1208" s="2" t="inlineStr"/>
    </row>
    <row r="1209" ht="15" customHeight="1">
      <c r="A1209" t="inlineStr">
        <is>
          <t>A 42398-2024</t>
        </is>
      </c>
      <c r="B1209" s="1" t="n">
        <v>45565.33152777778</v>
      </c>
      <c r="C1209" s="1" t="n">
        <v>46167</v>
      </c>
      <c r="D1209" t="inlineStr">
        <is>
          <t>JÄMTLANDS LÄN</t>
        </is>
      </c>
      <c r="E1209" t="inlineStr">
        <is>
          <t>KROKOM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58487-2024</t>
        </is>
      </c>
      <c r="B1210" s="1" t="n">
        <v>45635.39820601852</v>
      </c>
      <c r="C1210" s="1" t="n">
        <v>46167</v>
      </c>
      <c r="D1210" t="inlineStr">
        <is>
          <t>JÄMTLANDS LÄN</t>
        </is>
      </c>
      <c r="E1210" t="inlineStr">
        <is>
          <t>KROKOM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48560-2024</t>
        </is>
      </c>
      <c r="B1211" s="1" t="n">
        <v>45593.38568287037</v>
      </c>
      <c r="C1211" s="1" t="n">
        <v>46167</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6451-2022</t>
        </is>
      </c>
      <c r="B1212" s="1" t="n">
        <v>44601.35342592592</v>
      </c>
      <c r="C1212" s="1" t="n">
        <v>46167</v>
      </c>
      <c r="D1212" t="inlineStr">
        <is>
          <t>JÄMTLANDS LÄN</t>
        </is>
      </c>
      <c r="E1212" t="inlineStr">
        <is>
          <t>KROKOM</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27440-2024</t>
        </is>
      </c>
      <c r="B1213" s="1" t="n">
        <v>45474</v>
      </c>
      <c r="C1213" s="1" t="n">
        <v>46167</v>
      </c>
      <c r="D1213" t="inlineStr">
        <is>
          <t>JÄMTLANDS LÄN</t>
        </is>
      </c>
      <c r="E1213" t="inlineStr">
        <is>
          <t>KROKOM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46167</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7630-2023</t>
        </is>
      </c>
      <c r="B1215" s="1" t="n">
        <v>44972.55690972223</v>
      </c>
      <c r="C1215" s="1" t="n">
        <v>46167</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44594-2023</t>
        </is>
      </c>
      <c r="B1216" s="1" t="n">
        <v>45189.60987268519</v>
      </c>
      <c r="C1216" s="1" t="n">
        <v>46167</v>
      </c>
      <c r="D1216" t="inlineStr">
        <is>
          <t>JÄMTLANDS LÄN</t>
        </is>
      </c>
      <c r="E1216" t="inlineStr">
        <is>
          <t>KROKOM</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2257-2024</t>
        </is>
      </c>
      <c r="B1217" s="1" t="n">
        <v>45310</v>
      </c>
      <c r="C1217" s="1" t="n">
        <v>46167</v>
      </c>
      <c r="D1217" t="inlineStr">
        <is>
          <t>JÄMTLANDS LÄN</t>
        </is>
      </c>
      <c r="E1217" t="inlineStr">
        <is>
          <t>KROKOM</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31905-2021</t>
        </is>
      </c>
      <c r="B1218" s="1" t="n">
        <v>44370</v>
      </c>
      <c r="C1218" s="1" t="n">
        <v>46167</v>
      </c>
      <c r="D1218" t="inlineStr">
        <is>
          <t>JÄMTLANDS LÄN</t>
        </is>
      </c>
      <c r="E1218" t="inlineStr">
        <is>
          <t>KROKOM</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36122-2022</t>
        </is>
      </c>
      <c r="B1219" s="1" t="n">
        <v>44803</v>
      </c>
      <c r="C1219" s="1" t="n">
        <v>46167</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39230-2024</t>
        </is>
      </c>
      <c r="B1220" s="1" t="n">
        <v>45550.66542824074</v>
      </c>
      <c r="C1220" s="1" t="n">
        <v>46167</v>
      </c>
      <c r="D1220" t="inlineStr">
        <is>
          <t>JÄMTLANDS LÄN</t>
        </is>
      </c>
      <c r="E1220" t="inlineStr">
        <is>
          <t>KROKOM</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8011-2025</t>
        </is>
      </c>
      <c r="B1221" s="1" t="n">
        <v>45707.55246527777</v>
      </c>
      <c r="C1221" s="1" t="n">
        <v>46167</v>
      </c>
      <c r="D1221" t="inlineStr">
        <is>
          <t>JÄMTLANDS LÄN</t>
        </is>
      </c>
      <c r="E1221" t="inlineStr">
        <is>
          <t>KROKOM</t>
        </is>
      </c>
      <c r="F1221" t="inlineStr">
        <is>
          <t>Övriga Aktiebolag</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26721-2023</t>
        </is>
      </c>
      <c r="B1222" s="1" t="n">
        <v>45090</v>
      </c>
      <c r="C1222" s="1" t="n">
        <v>46167</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5693-2022</t>
        </is>
      </c>
      <c r="B1223" s="1" t="n">
        <v>44596</v>
      </c>
      <c r="C1223" s="1" t="n">
        <v>46167</v>
      </c>
      <c r="D1223" t="inlineStr">
        <is>
          <t>JÄMTLANDS LÄN</t>
        </is>
      </c>
      <c r="E1223" t="inlineStr">
        <is>
          <t>KROKOM</t>
        </is>
      </c>
      <c r="G1223" t="n">
        <v>40.8</v>
      </c>
      <c r="H1223" t="n">
        <v>0</v>
      </c>
      <c r="I1223" t="n">
        <v>0</v>
      </c>
      <c r="J1223" t="n">
        <v>0</v>
      </c>
      <c r="K1223" t="n">
        <v>0</v>
      </c>
      <c r="L1223" t="n">
        <v>0</v>
      </c>
      <c r="M1223" t="n">
        <v>0</v>
      </c>
      <c r="N1223" t="n">
        <v>0</v>
      </c>
      <c r="O1223" t="n">
        <v>0</v>
      </c>
      <c r="P1223" t="n">
        <v>0</v>
      </c>
      <c r="Q1223" t="n">
        <v>0</v>
      </c>
      <c r="R1223" s="2" t="inlineStr"/>
    </row>
    <row r="1224" ht="15" customHeight="1">
      <c r="A1224" t="inlineStr">
        <is>
          <t>A 47721-2024</t>
        </is>
      </c>
      <c r="B1224" s="1" t="n">
        <v>45588</v>
      </c>
      <c r="C1224" s="1" t="n">
        <v>46167</v>
      </c>
      <c r="D1224" t="inlineStr">
        <is>
          <t>JÄMTLANDS LÄN</t>
        </is>
      </c>
      <c r="E1224" t="inlineStr">
        <is>
          <t>KROKOM</t>
        </is>
      </c>
      <c r="G1224" t="n">
        <v>19.2</v>
      </c>
      <c r="H1224" t="n">
        <v>0</v>
      </c>
      <c r="I1224" t="n">
        <v>0</v>
      </c>
      <c r="J1224" t="n">
        <v>0</v>
      </c>
      <c r="K1224" t="n">
        <v>0</v>
      </c>
      <c r="L1224" t="n">
        <v>0</v>
      </c>
      <c r="M1224" t="n">
        <v>0</v>
      </c>
      <c r="N1224" t="n">
        <v>0</v>
      </c>
      <c r="O1224" t="n">
        <v>0</v>
      </c>
      <c r="P1224" t="n">
        <v>0</v>
      </c>
      <c r="Q1224" t="n">
        <v>0</v>
      </c>
      <c r="R1224" s="2" t="inlineStr"/>
    </row>
    <row r="1225" ht="15" customHeight="1">
      <c r="A1225" t="inlineStr">
        <is>
          <t>A 22865-2022</t>
        </is>
      </c>
      <c r="B1225" s="1" t="n">
        <v>44715.48863425926</v>
      </c>
      <c r="C1225" s="1" t="n">
        <v>46167</v>
      </c>
      <c r="D1225" t="inlineStr">
        <is>
          <t>JÄMTLANDS LÄN</t>
        </is>
      </c>
      <c r="E1225" t="inlineStr">
        <is>
          <t>KROKOM</t>
        </is>
      </c>
      <c r="F1225" t="inlineStr">
        <is>
          <t>Övriga Aktiebolag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19698-2024</t>
        </is>
      </c>
      <c r="B1226" s="1" t="n">
        <v>45432.54027777778</v>
      </c>
      <c r="C1226" s="1" t="n">
        <v>46167</v>
      </c>
      <c r="D1226" t="inlineStr">
        <is>
          <t>JÄMTLANDS LÄN</t>
        </is>
      </c>
      <c r="E1226" t="inlineStr">
        <is>
          <t>KROKOM</t>
        </is>
      </c>
      <c r="G1226" t="n">
        <v>15.9</v>
      </c>
      <c r="H1226" t="n">
        <v>0</v>
      </c>
      <c r="I1226" t="n">
        <v>0</v>
      </c>
      <c r="J1226" t="n">
        <v>0</v>
      </c>
      <c r="K1226" t="n">
        <v>0</v>
      </c>
      <c r="L1226" t="n">
        <v>0</v>
      </c>
      <c r="M1226" t="n">
        <v>0</v>
      </c>
      <c r="N1226" t="n">
        <v>0</v>
      </c>
      <c r="O1226" t="n">
        <v>0</v>
      </c>
      <c r="P1226" t="n">
        <v>0</v>
      </c>
      <c r="Q1226" t="n">
        <v>0</v>
      </c>
      <c r="R1226" s="2" t="inlineStr"/>
    </row>
    <row r="1227" ht="15" customHeight="1">
      <c r="A1227" t="inlineStr">
        <is>
          <t>A 52869-2023</t>
        </is>
      </c>
      <c r="B1227" s="1" t="n">
        <v>45226</v>
      </c>
      <c r="C1227" s="1" t="n">
        <v>46167</v>
      </c>
      <c r="D1227" t="inlineStr">
        <is>
          <t>JÄMTLANDS LÄN</t>
        </is>
      </c>
      <c r="E1227" t="inlineStr">
        <is>
          <t>KROKOM</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8880-2025</t>
        </is>
      </c>
      <c r="B1228" s="1" t="n">
        <v>45713.38028935185</v>
      </c>
      <c r="C1228" s="1" t="n">
        <v>46167</v>
      </c>
      <c r="D1228" t="inlineStr">
        <is>
          <t>JÄMTLANDS LÄN</t>
        </is>
      </c>
      <c r="E1228" t="inlineStr">
        <is>
          <t>KROKOM</t>
        </is>
      </c>
      <c r="F1228" t="inlineStr">
        <is>
          <t>Övriga Aktiebolag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51060-2024</t>
        </is>
      </c>
      <c r="B1229" s="1" t="n">
        <v>45603.44815972223</v>
      </c>
      <c r="C1229" s="1" t="n">
        <v>46167</v>
      </c>
      <c r="D1229" t="inlineStr">
        <is>
          <t>JÄMTLANDS LÄN</t>
        </is>
      </c>
      <c r="E1229" t="inlineStr">
        <is>
          <t>KROKOM</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32765-2023</t>
        </is>
      </c>
      <c r="B1230" s="1" t="n">
        <v>45123.61459490741</v>
      </c>
      <c r="C1230" s="1" t="n">
        <v>46167</v>
      </c>
      <c r="D1230" t="inlineStr">
        <is>
          <t>JÄMTLANDS LÄN</t>
        </is>
      </c>
      <c r="E1230" t="inlineStr">
        <is>
          <t>KROKOM</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50821-2024</t>
        </is>
      </c>
      <c r="B1231" s="1" t="n">
        <v>45602</v>
      </c>
      <c r="C1231" s="1" t="n">
        <v>46167</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4383-2025</t>
        </is>
      </c>
      <c r="B1232" s="1" t="n">
        <v>45686.39777777778</v>
      </c>
      <c r="C1232" s="1" t="n">
        <v>46167</v>
      </c>
      <c r="D1232" t="inlineStr">
        <is>
          <t>JÄMTLANDS LÄN</t>
        </is>
      </c>
      <c r="E1232" t="inlineStr">
        <is>
          <t>KROKOM</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11197-2024</t>
        </is>
      </c>
      <c r="B1233" s="1" t="n">
        <v>45371</v>
      </c>
      <c r="C1233" s="1" t="n">
        <v>46167</v>
      </c>
      <c r="D1233" t="inlineStr">
        <is>
          <t>JÄMTLANDS LÄN</t>
        </is>
      </c>
      <c r="E1233" t="inlineStr">
        <is>
          <t>KROKOM</t>
        </is>
      </c>
      <c r="G1233" t="n">
        <v>15.3</v>
      </c>
      <c r="H1233" t="n">
        <v>0</v>
      </c>
      <c r="I1233" t="n">
        <v>0</v>
      </c>
      <c r="J1233" t="n">
        <v>0</v>
      </c>
      <c r="K1233" t="n">
        <v>0</v>
      </c>
      <c r="L1233" t="n">
        <v>0</v>
      </c>
      <c r="M1233" t="n">
        <v>0</v>
      </c>
      <c r="N1233" t="n">
        <v>0</v>
      </c>
      <c r="O1233" t="n">
        <v>0</v>
      </c>
      <c r="P1233" t="n">
        <v>0</v>
      </c>
      <c r="Q1233" t="n">
        <v>0</v>
      </c>
      <c r="R1233" s="2" t="inlineStr"/>
    </row>
    <row r="1234" ht="15" customHeight="1">
      <c r="A1234" t="inlineStr">
        <is>
          <t>A 44453-2023</t>
        </is>
      </c>
      <c r="B1234" s="1" t="n">
        <v>45189</v>
      </c>
      <c r="C1234" s="1" t="n">
        <v>46167</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9025-2025</t>
        </is>
      </c>
      <c r="B1235" s="1" t="n">
        <v>45713.59952546296</v>
      </c>
      <c r="C1235" s="1" t="n">
        <v>46167</v>
      </c>
      <c r="D1235" t="inlineStr">
        <is>
          <t>JÄMTLANDS LÄN</t>
        </is>
      </c>
      <c r="E1235" t="inlineStr">
        <is>
          <t>KROKOM</t>
        </is>
      </c>
      <c r="F1235" t="inlineStr">
        <is>
          <t>Övriga Aktiebolag</t>
        </is>
      </c>
      <c r="G1235" t="n">
        <v>28.4</v>
      </c>
      <c r="H1235" t="n">
        <v>0</v>
      </c>
      <c r="I1235" t="n">
        <v>0</v>
      </c>
      <c r="J1235" t="n">
        <v>0</v>
      </c>
      <c r="K1235" t="n">
        <v>0</v>
      </c>
      <c r="L1235" t="n">
        <v>0</v>
      </c>
      <c r="M1235" t="n">
        <v>0</v>
      </c>
      <c r="N1235" t="n">
        <v>0</v>
      </c>
      <c r="O1235" t="n">
        <v>0</v>
      </c>
      <c r="P1235" t="n">
        <v>0</v>
      </c>
      <c r="Q1235" t="n">
        <v>0</v>
      </c>
      <c r="R1235" s="2" t="inlineStr"/>
    </row>
    <row r="1236" ht="15" customHeight="1">
      <c r="A1236" t="inlineStr">
        <is>
          <t>A 5558-2025</t>
        </is>
      </c>
      <c r="B1236" s="1" t="n">
        <v>45693.48239583334</v>
      </c>
      <c r="C1236" s="1" t="n">
        <v>46167</v>
      </c>
      <c r="D1236" t="inlineStr">
        <is>
          <t>JÄMTLANDS LÄN</t>
        </is>
      </c>
      <c r="E1236" t="inlineStr">
        <is>
          <t>KROKOM</t>
        </is>
      </c>
      <c r="G1236" t="n">
        <v>31.1</v>
      </c>
      <c r="H1236" t="n">
        <v>0</v>
      </c>
      <c r="I1236" t="n">
        <v>0</v>
      </c>
      <c r="J1236" t="n">
        <v>0</v>
      </c>
      <c r="K1236" t="n">
        <v>0</v>
      </c>
      <c r="L1236" t="n">
        <v>0</v>
      </c>
      <c r="M1236" t="n">
        <v>0</v>
      </c>
      <c r="N1236" t="n">
        <v>0</v>
      </c>
      <c r="O1236" t="n">
        <v>0</v>
      </c>
      <c r="P1236" t="n">
        <v>0</v>
      </c>
      <c r="Q1236" t="n">
        <v>0</v>
      </c>
      <c r="R1236" s="2" t="inlineStr"/>
    </row>
    <row r="1237" ht="15" customHeight="1">
      <c r="A1237" t="inlineStr">
        <is>
          <t>A 9027-2025</t>
        </is>
      </c>
      <c r="B1237" s="1" t="n">
        <v>45713.60719907407</v>
      </c>
      <c r="C1237" s="1" t="n">
        <v>46167</v>
      </c>
      <c r="D1237" t="inlineStr">
        <is>
          <t>JÄMTLANDS LÄN</t>
        </is>
      </c>
      <c r="E1237" t="inlineStr">
        <is>
          <t>KROKOM</t>
        </is>
      </c>
      <c r="F1237" t="inlineStr">
        <is>
          <t>Övriga Aktiebolag</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46167</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57575-2024</t>
        </is>
      </c>
      <c r="B1239" s="1" t="n">
        <v>45630.47099537037</v>
      </c>
      <c r="C1239" s="1" t="n">
        <v>46167</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59620-2024</t>
        </is>
      </c>
      <c r="B1240" s="1" t="n">
        <v>45638.81385416666</v>
      </c>
      <c r="C1240" s="1" t="n">
        <v>46167</v>
      </c>
      <c r="D1240" t="inlineStr">
        <is>
          <t>JÄMTLANDS LÄN</t>
        </is>
      </c>
      <c r="E1240" t="inlineStr">
        <is>
          <t>KROKOM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23215-2024</t>
        </is>
      </c>
      <c r="B1241" s="1" t="n">
        <v>45452.56446759259</v>
      </c>
      <c r="C1241" s="1" t="n">
        <v>46167</v>
      </c>
      <c r="D1241" t="inlineStr">
        <is>
          <t>JÄMTLANDS LÄN</t>
        </is>
      </c>
      <c r="E1241" t="inlineStr">
        <is>
          <t>KROKOM</t>
        </is>
      </c>
      <c r="F1241" t="inlineStr">
        <is>
          <t>Övriga Aktiebolag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10552-2025</t>
        </is>
      </c>
      <c r="B1242" s="1" t="n">
        <v>45721.5113425926</v>
      </c>
      <c r="C1242" s="1" t="n">
        <v>46167</v>
      </c>
      <c r="D1242" t="inlineStr">
        <is>
          <t>JÄMTLANDS LÄN</t>
        </is>
      </c>
      <c r="E1242" t="inlineStr">
        <is>
          <t>KROKOM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57304-2021</t>
        </is>
      </c>
      <c r="B1243" s="1" t="n">
        <v>44483.42253472222</v>
      </c>
      <c r="C1243" s="1" t="n">
        <v>46167</v>
      </c>
      <c r="D1243" t="inlineStr">
        <is>
          <t>JÄMTLANDS LÄN</t>
        </is>
      </c>
      <c r="E1243" t="inlineStr">
        <is>
          <t>KROKOM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15663-2025</t>
        </is>
      </c>
      <c r="B1244" s="1" t="n">
        <v>45748</v>
      </c>
      <c r="C1244" s="1" t="n">
        <v>46167</v>
      </c>
      <c r="D1244" t="inlineStr">
        <is>
          <t>JÄMTLANDS LÄN</t>
        </is>
      </c>
      <c r="E1244" t="inlineStr">
        <is>
          <t>KROKOM</t>
        </is>
      </c>
      <c r="F1244" t="inlineStr">
        <is>
          <t>Övriga Aktiebolag</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46167</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8784-2025</t>
        </is>
      </c>
      <c r="B1246" s="1" t="n">
        <v>45712</v>
      </c>
      <c r="C1246" s="1" t="n">
        <v>46167</v>
      </c>
      <c r="D1246" t="inlineStr">
        <is>
          <t>JÄMTLANDS LÄN</t>
        </is>
      </c>
      <c r="E1246" t="inlineStr">
        <is>
          <t>KROKOM</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9623-2025</t>
        </is>
      </c>
      <c r="B1247" s="1" t="n">
        <v>45715</v>
      </c>
      <c r="C1247" s="1" t="n">
        <v>46167</v>
      </c>
      <c r="D1247" t="inlineStr">
        <is>
          <t>JÄMTLANDS LÄN</t>
        </is>
      </c>
      <c r="E1247" t="inlineStr">
        <is>
          <t>KROKOM</t>
        </is>
      </c>
      <c r="F1247" t="inlineStr">
        <is>
          <t>Kyrkan</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5498-2025</t>
        </is>
      </c>
      <c r="B1248" s="1" t="n">
        <v>45693</v>
      </c>
      <c r="C1248" s="1" t="n">
        <v>46167</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21172-2025</t>
        </is>
      </c>
      <c r="B1249" s="1" t="n">
        <v>45779.42630787037</v>
      </c>
      <c r="C1249" s="1" t="n">
        <v>46167</v>
      </c>
      <c r="D1249" t="inlineStr">
        <is>
          <t>JÄMTLANDS LÄN</t>
        </is>
      </c>
      <c r="E1249" t="inlineStr">
        <is>
          <t>KROKOM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21239-2025</t>
        </is>
      </c>
      <c r="B1250" s="1" t="n">
        <v>45779.56659722222</v>
      </c>
      <c r="C1250" s="1" t="n">
        <v>46167</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21280-2025</t>
        </is>
      </c>
      <c r="B1251" s="1" t="n">
        <v>45779.65980324074</v>
      </c>
      <c r="C1251" s="1" t="n">
        <v>46167</v>
      </c>
      <c r="D1251" t="inlineStr">
        <is>
          <t>JÄMTLANDS LÄN</t>
        </is>
      </c>
      <c r="E1251" t="inlineStr">
        <is>
          <t>KROKOM</t>
        </is>
      </c>
      <c r="G1251" t="n">
        <v>30.9</v>
      </c>
      <c r="H1251" t="n">
        <v>0</v>
      </c>
      <c r="I1251" t="n">
        <v>0</v>
      </c>
      <c r="J1251" t="n">
        <v>0</v>
      </c>
      <c r="K1251" t="n">
        <v>0</v>
      </c>
      <c r="L1251" t="n">
        <v>0</v>
      </c>
      <c r="M1251" t="n">
        <v>0</v>
      </c>
      <c r="N1251" t="n">
        <v>0</v>
      </c>
      <c r="O1251" t="n">
        <v>0</v>
      </c>
      <c r="P1251" t="n">
        <v>0</v>
      </c>
      <c r="Q1251" t="n">
        <v>0</v>
      </c>
      <c r="R1251" s="2" t="inlineStr"/>
    </row>
    <row r="1252" ht="15" customHeight="1">
      <c r="A1252" t="inlineStr">
        <is>
          <t>A 21254-2025</t>
        </is>
      </c>
      <c r="B1252" s="1" t="n">
        <v>45779.57626157408</v>
      </c>
      <c r="C1252" s="1" t="n">
        <v>46167</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21240-2025</t>
        </is>
      </c>
      <c r="B1253" s="1" t="n">
        <v>45779.5674074074</v>
      </c>
      <c r="C1253" s="1" t="n">
        <v>46167</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21276-2025</t>
        </is>
      </c>
      <c r="B1254" s="1" t="n">
        <v>45779.63834490741</v>
      </c>
      <c r="C1254" s="1" t="n">
        <v>46167</v>
      </c>
      <c r="D1254" t="inlineStr">
        <is>
          <t>JÄMTLANDS LÄN</t>
        </is>
      </c>
      <c r="E1254" t="inlineStr">
        <is>
          <t>KROKOM</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21654-2025</t>
        </is>
      </c>
      <c r="B1255" s="1" t="n">
        <v>45783.45121527778</v>
      </c>
      <c r="C1255" s="1" t="n">
        <v>46167</v>
      </c>
      <c r="D1255" t="inlineStr">
        <is>
          <t>JÄMTLANDS LÄN</t>
        </is>
      </c>
      <c r="E1255" t="inlineStr">
        <is>
          <t>KROKOM</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46167</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21643-2025</t>
        </is>
      </c>
      <c r="B1257" s="1" t="n">
        <v>45783.43409722222</v>
      </c>
      <c r="C1257" s="1" t="n">
        <v>46167</v>
      </c>
      <c r="D1257" t="inlineStr">
        <is>
          <t>JÄMTLANDS LÄN</t>
        </is>
      </c>
      <c r="E1257" t="inlineStr">
        <is>
          <t>KROKOM</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6068-2025</t>
        </is>
      </c>
      <c r="B1258" s="1" t="n">
        <v>45696</v>
      </c>
      <c r="C1258" s="1" t="n">
        <v>46167</v>
      </c>
      <c r="D1258" t="inlineStr">
        <is>
          <t>JÄMTLANDS LÄN</t>
        </is>
      </c>
      <c r="E1258" t="inlineStr">
        <is>
          <t>KROKOM</t>
        </is>
      </c>
      <c r="F1258" t="inlineStr">
        <is>
          <t>Övriga Aktiebolag</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22115-2025</t>
        </is>
      </c>
      <c r="B1259" s="1" t="n">
        <v>45785.51092592593</v>
      </c>
      <c r="C1259" s="1" t="n">
        <v>46167</v>
      </c>
      <c r="D1259" t="inlineStr">
        <is>
          <t>JÄMTLANDS LÄN</t>
        </is>
      </c>
      <c r="E1259" t="inlineStr">
        <is>
          <t>KROKOM</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46167</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46167</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8872-2025</t>
        </is>
      </c>
      <c r="B1262" s="1" t="n">
        <v>45713.37111111111</v>
      </c>
      <c r="C1262" s="1" t="n">
        <v>46167</v>
      </c>
      <c r="D1262" t="inlineStr">
        <is>
          <t>JÄMTLANDS LÄN</t>
        </is>
      </c>
      <c r="E1262" t="inlineStr">
        <is>
          <t>KROKOM</t>
        </is>
      </c>
      <c r="F1262" t="inlineStr">
        <is>
          <t>Övriga Aktiebolag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22122-2025</t>
        </is>
      </c>
      <c r="B1263" s="1" t="n">
        <v>45785.52112268518</v>
      </c>
      <c r="C1263" s="1" t="n">
        <v>46167</v>
      </c>
      <c r="D1263" t="inlineStr">
        <is>
          <t>JÄMTLANDS LÄN</t>
        </is>
      </c>
      <c r="E1263" t="inlineStr">
        <is>
          <t>KROKOM</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22499-2025</t>
        </is>
      </c>
      <c r="B1264" s="1" t="n">
        <v>45786.65702546296</v>
      </c>
      <c r="C1264" s="1" t="n">
        <v>46167</v>
      </c>
      <c r="D1264" t="inlineStr">
        <is>
          <t>JÄMTLANDS LÄN</t>
        </is>
      </c>
      <c r="E1264" t="inlineStr">
        <is>
          <t>KROKOM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22503-2025</t>
        </is>
      </c>
      <c r="B1265" s="1" t="n">
        <v>45786.66140046297</v>
      </c>
      <c r="C1265" s="1" t="n">
        <v>46167</v>
      </c>
      <c r="D1265" t="inlineStr">
        <is>
          <t>JÄMTLANDS LÄN</t>
        </is>
      </c>
      <c r="E1265" t="inlineStr">
        <is>
          <t>KROKOM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9388-2025</t>
        </is>
      </c>
      <c r="B1266" s="1" t="n">
        <v>45715</v>
      </c>
      <c r="C1266" s="1" t="n">
        <v>46167</v>
      </c>
      <c r="D1266" t="inlineStr">
        <is>
          <t>JÄMTLANDS LÄN</t>
        </is>
      </c>
      <c r="E1266" t="inlineStr">
        <is>
          <t>KROKOM</t>
        </is>
      </c>
      <c r="F1266" t="inlineStr">
        <is>
          <t>Övriga Aktiebolag</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22297-2025</t>
        </is>
      </c>
      <c r="B1267" s="1" t="n">
        <v>45786.35219907408</v>
      </c>
      <c r="C1267" s="1" t="n">
        <v>46167</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22731-2025</t>
        </is>
      </c>
      <c r="B1268" s="1" t="n">
        <v>45789.58238425926</v>
      </c>
      <c r="C1268" s="1" t="n">
        <v>46167</v>
      </c>
      <c r="D1268" t="inlineStr">
        <is>
          <t>JÄMTLANDS LÄN</t>
        </is>
      </c>
      <c r="E1268" t="inlineStr">
        <is>
          <t>KROKOM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22751-2025</t>
        </is>
      </c>
      <c r="B1269" s="1" t="n">
        <v>45789.61349537037</v>
      </c>
      <c r="C1269" s="1" t="n">
        <v>46167</v>
      </c>
      <c r="D1269" t="inlineStr">
        <is>
          <t>JÄMTLANDS LÄN</t>
        </is>
      </c>
      <c r="E1269" t="inlineStr">
        <is>
          <t>KROKOM</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22304-2025</t>
        </is>
      </c>
      <c r="B1270" s="1" t="n">
        <v>45786</v>
      </c>
      <c r="C1270" s="1" t="n">
        <v>46167</v>
      </c>
      <c r="D1270" t="inlineStr">
        <is>
          <t>JÄMTLANDS LÄN</t>
        </is>
      </c>
      <c r="E1270" t="inlineStr">
        <is>
          <t>KROKOM</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36577-2021</t>
        </is>
      </c>
      <c r="B1271" s="1" t="n">
        <v>44391</v>
      </c>
      <c r="C1271" s="1" t="n">
        <v>46167</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58136-2024</t>
        </is>
      </c>
      <c r="B1272" s="1" t="n">
        <v>45632</v>
      </c>
      <c r="C1272" s="1" t="n">
        <v>46167</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45822-2023</t>
        </is>
      </c>
      <c r="B1273" s="1" t="n">
        <v>45195</v>
      </c>
      <c r="C1273" s="1" t="n">
        <v>46167</v>
      </c>
      <c r="D1273" t="inlineStr">
        <is>
          <t>JÄMTLANDS LÄN</t>
        </is>
      </c>
      <c r="E1273" t="inlineStr">
        <is>
          <t>KROKOM</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23080-2025</t>
        </is>
      </c>
      <c r="B1274" s="1" t="n">
        <v>45791.3162037037</v>
      </c>
      <c r="C1274" s="1" t="n">
        <v>46167</v>
      </c>
      <c r="D1274" t="inlineStr">
        <is>
          <t>JÄMTLANDS LÄN</t>
        </is>
      </c>
      <c r="E1274" t="inlineStr">
        <is>
          <t>KROKOM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57985-2024</t>
        </is>
      </c>
      <c r="B1275" s="1" t="n">
        <v>45631.61869212963</v>
      </c>
      <c r="C1275" s="1" t="n">
        <v>46167</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46167</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6015-2025</t>
        </is>
      </c>
      <c r="B1277" s="1" t="n">
        <v>45695.60015046296</v>
      </c>
      <c r="C1277" s="1" t="n">
        <v>46167</v>
      </c>
      <c r="D1277" t="inlineStr">
        <is>
          <t>JÄMTLANDS LÄN</t>
        </is>
      </c>
      <c r="E1277" t="inlineStr">
        <is>
          <t>KROKOM</t>
        </is>
      </c>
      <c r="F1277" t="inlineStr">
        <is>
          <t>Övriga Aktiebolag</t>
        </is>
      </c>
      <c r="G1277" t="n">
        <v>15.5</v>
      </c>
      <c r="H1277" t="n">
        <v>0</v>
      </c>
      <c r="I1277" t="n">
        <v>0</v>
      </c>
      <c r="J1277" t="n">
        <v>0</v>
      </c>
      <c r="K1277" t="n">
        <v>0</v>
      </c>
      <c r="L1277" t="n">
        <v>0</v>
      </c>
      <c r="M1277" t="n">
        <v>0</v>
      </c>
      <c r="N1277" t="n">
        <v>0</v>
      </c>
      <c r="O1277" t="n">
        <v>0</v>
      </c>
      <c r="P1277" t="n">
        <v>0</v>
      </c>
      <c r="Q1277" t="n">
        <v>0</v>
      </c>
      <c r="R1277" s="2" t="inlineStr"/>
    </row>
    <row r="1278" ht="15" customHeight="1">
      <c r="A1278" t="inlineStr">
        <is>
          <t>A 39169-2023</t>
        </is>
      </c>
      <c r="B1278" s="1" t="n">
        <v>45166</v>
      </c>
      <c r="C1278" s="1" t="n">
        <v>46167</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6148-2025</t>
        </is>
      </c>
      <c r="B1279" s="1" t="n">
        <v>45698.40146990741</v>
      </c>
      <c r="C1279" s="1" t="n">
        <v>46167</v>
      </c>
      <c r="D1279" t="inlineStr">
        <is>
          <t>JÄMTLANDS LÄN</t>
        </is>
      </c>
      <c r="E1279" t="inlineStr">
        <is>
          <t>KROKOM</t>
        </is>
      </c>
      <c r="G1279" t="n">
        <v>43.6</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46167</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5998-2025</t>
        </is>
      </c>
      <c r="B1281" s="1" t="n">
        <v>45695.57171296296</v>
      </c>
      <c r="C1281" s="1" t="n">
        <v>46167</v>
      </c>
      <c r="D1281" t="inlineStr">
        <is>
          <t>JÄMTLANDS LÄN</t>
        </is>
      </c>
      <c r="E1281" t="inlineStr">
        <is>
          <t>KROKOM</t>
        </is>
      </c>
      <c r="F1281" t="inlineStr">
        <is>
          <t>Övriga Aktiebolag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46167</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12412-2024</t>
        </is>
      </c>
      <c r="B1283" s="1" t="n">
        <v>45378</v>
      </c>
      <c r="C1283" s="1" t="n">
        <v>46167</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24062-2025</t>
        </is>
      </c>
      <c r="B1284" s="1" t="n">
        <v>45796.52836805556</v>
      </c>
      <c r="C1284" s="1" t="n">
        <v>46167</v>
      </c>
      <c r="D1284" t="inlineStr">
        <is>
          <t>JÄMTLANDS LÄN</t>
        </is>
      </c>
      <c r="E1284" t="inlineStr">
        <is>
          <t>KROKOM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23083-2025</t>
        </is>
      </c>
      <c r="B1285" s="1" t="n">
        <v>45791</v>
      </c>
      <c r="C1285" s="1" t="n">
        <v>46167</v>
      </c>
      <c r="D1285" t="inlineStr">
        <is>
          <t>JÄMTLANDS LÄN</t>
        </is>
      </c>
      <c r="E1285" t="inlineStr">
        <is>
          <t>KROKOM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24649-2025</t>
        </is>
      </c>
      <c r="B1286" s="1" t="n">
        <v>45798.63611111111</v>
      </c>
      <c r="C1286" s="1" t="n">
        <v>46167</v>
      </c>
      <c r="D1286" t="inlineStr">
        <is>
          <t>JÄMTLANDS LÄN</t>
        </is>
      </c>
      <c r="E1286" t="inlineStr">
        <is>
          <t>KROKOM</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4058-2025</t>
        </is>
      </c>
      <c r="B1287" s="1" t="n">
        <v>45684.62510416667</v>
      </c>
      <c r="C1287" s="1" t="n">
        <v>46167</v>
      </c>
      <c r="D1287" t="inlineStr">
        <is>
          <t>JÄMTLANDS LÄN</t>
        </is>
      </c>
      <c r="E1287" t="inlineStr">
        <is>
          <t>KROKOM</t>
        </is>
      </c>
      <c r="F1287" t="inlineStr">
        <is>
          <t>Kyrkan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15341-2025</t>
        </is>
      </c>
      <c r="B1288" s="1" t="n">
        <v>45746</v>
      </c>
      <c r="C1288" s="1" t="n">
        <v>46167</v>
      </c>
      <c r="D1288" t="inlineStr">
        <is>
          <t>JÄMTLANDS LÄN</t>
        </is>
      </c>
      <c r="E1288" t="inlineStr">
        <is>
          <t>KROKOM</t>
        </is>
      </c>
      <c r="F1288" t="inlineStr">
        <is>
          <t>SCA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25386-2025</t>
        </is>
      </c>
      <c r="B1289" s="1" t="n">
        <v>45800.64319444444</v>
      </c>
      <c r="C1289" s="1" t="n">
        <v>46167</v>
      </c>
      <c r="D1289" t="inlineStr">
        <is>
          <t>JÄMTLANDS LÄN</t>
        </is>
      </c>
      <c r="E1289" t="inlineStr">
        <is>
          <t>KROKOM</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25710-2025</t>
        </is>
      </c>
      <c r="B1290" s="1" t="n">
        <v>45803.6837962963</v>
      </c>
      <c r="C1290" s="1" t="n">
        <v>46167</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25398-2025</t>
        </is>
      </c>
      <c r="B1291" s="1" t="n">
        <v>45800.65177083333</v>
      </c>
      <c r="C1291" s="1" t="n">
        <v>46167</v>
      </c>
      <c r="D1291" t="inlineStr">
        <is>
          <t>JÄMTLANDS LÄN</t>
        </is>
      </c>
      <c r="E1291" t="inlineStr">
        <is>
          <t>KROKOM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25681-2025</t>
        </is>
      </c>
      <c r="B1292" s="1" t="n">
        <v>45800</v>
      </c>
      <c r="C1292" s="1" t="n">
        <v>46167</v>
      </c>
      <c r="D1292" t="inlineStr">
        <is>
          <t>JÄMTLANDS LÄN</t>
        </is>
      </c>
      <c r="E1292" t="inlineStr">
        <is>
          <t>KROKOM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25302-2025</t>
        </is>
      </c>
      <c r="B1293" s="1" t="n">
        <v>45800.57129629629</v>
      </c>
      <c r="C1293" s="1" t="n">
        <v>46167</v>
      </c>
      <c r="D1293" t="inlineStr">
        <is>
          <t>JÄMTLANDS LÄN</t>
        </is>
      </c>
      <c r="E1293" t="inlineStr">
        <is>
          <t>KROKOM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25312-2025</t>
        </is>
      </c>
      <c r="B1294" s="1" t="n">
        <v>45800.57461805556</v>
      </c>
      <c r="C1294" s="1" t="n">
        <v>46167</v>
      </c>
      <c r="D1294" t="inlineStr">
        <is>
          <t>JÄMTLANDS LÄN</t>
        </is>
      </c>
      <c r="E1294" t="inlineStr">
        <is>
          <t>KROKOM</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25295-2025</t>
        </is>
      </c>
      <c r="B1295" s="1" t="n">
        <v>45800.56810185185</v>
      </c>
      <c r="C1295" s="1" t="n">
        <v>46167</v>
      </c>
      <c r="D1295" t="inlineStr">
        <is>
          <t>JÄMTLANDS LÄN</t>
        </is>
      </c>
      <c r="E1295" t="inlineStr">
        <is>
          <t>KROKOM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5409-2025</t>
        </is>
      </c>
      <c r="B1296" s="1" t="n">
        <v>45692</v>
      </c>
      <c r="C1296" s="1" t="n">
        <v>46167</v>
      </c>
      <c r="D1296" t="inlineStr">
        <is>
          <t>JÄMTLANDS LÄN</t>
        </is>
      </c>
      <c r="E1296" t="inlineStr">
        <is>
          <t>KROKOM</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10498-2025</t>
        </is>
      </c>
      <c r="B1297" s="1" t="n">
        <v>45721</v>
      </c>
      <c r="C1297" s="1" t="n">
        <v>46167</v>
      </c>
      <c r="D1297" t="inlineStr">
        <is>
          <t>JÄMTLANDS LÄN</t>
        </is>
      </c>
      <c r="E1297" t="inlineStr">
        <is>
          <t>KROKOM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4608-2025</t>
        </is>
      </c>
      <c r="B1298" s="1" t="n">
        <v>45687</v>
      </c>
      <c r="C1298" s="1" t="n">
        <v>46167</v>
      </c>
      <c r="D1298" t="inlineStr">
        <is>
          <t>JÄMTLANDS LÄN</t>
        </is>
      </c>
      <c r="E1298" t="inlineStr">
        <is>
          <t>KROKOM</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6024-2025</t>
        </is>
      </c>
      <c r="B1299" s="1" t="n">
        <v>45695.61160879629</v>
      </c>
      <c r="C1299" s="1" t="n">
        <v>46167</v>
      </c>
      <c r="D1299" t="inlineStr">
        <is>
          <t>JÄMTLANDS LÄN</t>
        </is>
      </c>
      <c r="E1299" t="inlineStr">
        <is>
          <t>KROKOM</t>
        </is>
      </c>
      <c r="F1299" t="inlineStr">
        <is>
          <t>Övriga Aktiebolag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26272-2025</t>
        </is>
      </c>
      <c r="B1300" s="1" t="n">
        <v>45805</v>
      </c>
      <c r="C1300" s="1" t="n">
        <v>46167</v>
      </c>
      <c r="D1300" t="inlineStr">
        <is>
          <t>JÄMTLANDS LÄN</t>
        </is>
      </c>
      <c r="E1300" t="inlineStr">
        <is>
          <t>KROKOM</t>
        </is>
      </c>
      <c r="G1300" t="n">
        <v>22.4</v>
      </c>
      <c r="H1300" t="n">
        <v>0</v>
      </c>
      <c r="I1300" t="n">
        <v>0</v>
      </c>
      <c r="J1300" t="n">
        <v>0</v>
      </c>
      <c r="K1300" t="n">
        <v>0</v>
      </c>
      <c r="L1300" t="n">
        <v>0</v>
      </c>
      <c r="M1300" t="n">
        <v>0</v>
      </c>
      <c r="N1300" t="n">
        <v>0</v>
      </c>
      <c r="O1300" t="n">
        <v>0</v>
      </c>
      <c r="P1300" t="n">
        <v>0</v>
      </c>
      <c r="Q1300" t="n">
        <v>0</v>
      </c>
      <c r="R1300" s="2" t="inlineStr"/>
    </row>
    <row r="1301" ht="15" customHeight="1">
      <c r="A1301" t="inlineStr">
        <is>
          <t>A 26212-2025</t>
        </is>
      </c>
      <c r="B1301" s="1" t="n">
        <v>45805.54185185185</v>
      </c>
      <c r="C1301" s="1" t="n">
        <v>46167</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26544-2025</t>
        </is>
      </c>
      <c r="B1302" s="1" t="n">
        <v>45807.58930555556</v>
      </c>
      <c r="C1302" s="1" t="n">
        <v>46167</v>
      </c>
      <c r="D1302" t="inlineStr">
        <is>
          <t>JÄMTLANDS LÄN</t>
        </is>
      </c>
      <c r="E1302" t="inlineStr">
        <is>
          <t>KROKOM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16345-2025</t>
        </is>
      </c>
      <c r="B1303" s="1" t="n">
        <v>45751.3734837963</v>
      </c>
      <c r="C1303" s="1" t="n">
        <v>46167</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16481-2025</t>
        </is>
      </c>
      <c r="B1304" s="1" t="n">
        <v>45751.57877314815</v>
      </c>
      <c r="C1304" s="1" t="n">
        <v>46167</v>
      </c>
      <c r="D1304" t="inlineStr">
        <is>
          <t>JÄMTLANDS LÄN</t>
        </is>
      </c>
      <c r="E1304" t="inlineStr">
        <is>
          <t>KROKOM</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26527-2025</t>
        </is>
      </c>
      <c r="B1305" s="1" t="n">
        <v>45807.56728009259</v>
      </c>
      <c r="C1305" s="1" t="n">
        <v>46167</v>
      </c>
      <c r="D1305" t="inlineStr">
        <is>
          <t>JÄMTLANDS LÄN</t>
        </is>
      </c>
      <c r="E1305" t="inlineStr">
        <is>
          <t>KROKOM</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61078-2023</t>
        </is>
      </c>
      <c r="B1306" s="1" t="n">
        <v>45261</v>
      </c>
      <c r="C1306" s="1" t="n">
        <v>46167</v>
      </c>
      <c r="D1306" t="inlineStr">
        <is>
          <t>JÄMTLANDS LÄN</t>
        </is>
      </c>
      <c r="E1306" t="inlineStr">
        <is>
          <t>KROKOM</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13722-2025</t>
        </is>
      </c>
      <c r="B1307" s="1" t="n">
        <v>45737.36873842592</v>
      </c>
      <c r="C1307" s="1" t="n">
        <v>46167</v>
      </c>
      <c r="D1307" t="inlineStr">
        <is>
          <t>JÄMTLANDS LÄN</t>
        </is>
      </c>
      <c r="E1307" t="inlineStr">
        <is>
          <t>KROKOM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26619-2025</t>
        </is>
      </c>
      <c r="B1308" s="1" t="n">
        <v>45810.31376157407</v>
      </c>
      <c r="C1308" s="1" t="n">
        <v>46167</v>
      </c>
      <c r="D1308" t="inlineStr">
        <is>
          <t>JÄMTLANDS LÄN</t>
        </is>
      </c>
      <c r="E1308" t="inlineStr">
        <is>
          <t>KROKOM</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26621-2025</t>
        </is>
      </c>
      <c r="B1309" s="1" t="n">
        <v>45810.32105324074</v>
      </c>
      <c r="C1309" s="1" t="n">
        <v>46167</v>
      </c>
      <c r="D1309" t="inlineStr">
        <is>
          <t>JÄMTLANDS LÄN</t>
        </is>
      </c>
      <c r="E1309" t="inlineStr">
        <is>
          <t>KROKOM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27104-2025</t>
        </is>
      </c>
      <c r="B1310" s="1" t="n">
        <v>45811.69912037037</v>
      </c>
      <c r="C1310" s="1" t="n">
        <v>46167</v>
      </c>
      <c r="D1310" t="inlineStr">
        <is>
          <t>JÄMTLANDS LÄN</t>
        </is>
      </c>
      <c r="E1310" t="inlineStr">
        <is>
          <t>KROKOM</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31927-2023</t>
        </is>
      </c>
      <c r="B1311" s="1" t="n">
        <v>45118.94061342593</v>
      </c>
      <c r="C1311" s="1" t="n">
        <v>46167</v>
      </c>
      <c r="D1311" t="inlineStr">
        <is>
          <t>JÄMTLANDS LÄN</t>
        </is>
      </c>
      <c r="E1311" t="inlineStr">
        <is>
          <t>KROKOM</t>
        </is>
      </c>
      <c r="G1311" t="n">
        <v>56.6</v>
      </c>
      <c r="H1311" t="n">
        <v>0</v>
      </c>
      <c r="I1311" t="n">
        <v>0</v>
      </c>
      <c r="J1311" t="n">
        <v>0</v>
      </c>
      <c r="K1311" t="n">
        <v>0</v>
      </c>
      <c r="L1311" t="n">
        <v>0</v>
      </c>
      <c r="M1311" t="n">
        <v>0</v>
      </c>
      <c r="N1311" t="n">
        <v>0</v>
      </c>
      <c r="O1311" t="n">
        <v>0</v>
      </c>
      <c r="P1311" t="n">
        <v>0</v>
      </c>
      <c r="Q1311" t="n">
        <v>0</v>
      </c>
      <c r="R1311" s="2" t="inlineStr"/>
    </row>
    <row r="1312" ht="15" customHeight="1">
      <c r="A1312" t="inlineStr">
        <is>
          <t>A 27431-2024</t>
        </is>
      </c>
      <c r="B1312" s="1" t="n">
        <v>45474.3981712963</v>
      </c>
      <c r="C1312" s="1" t="n">
        <v>46167</v>
      </c>
      <c r="D1312" t="inlineStr">
        <is>
          <t>JÄMTLANDS LÄN</t>
        </is>
      </c>
      <c r="E1312" t="inlineStr">
        <is>
          <t>KROKOM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22236-2025</t>
        </is>
      </c>
      <c r="B1313" s="1" t="n">
        <v>45785.67431712963</v>
      </c>
      <c r="C1313" s="1" t="n">
        <v>46167</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8695-2025</t>
        </is>
      </c>
      <c r="B1314" s="1" t="n">
        <v>45709</v>
      </c>
      <c r="C1314" s="1" t="n">
        <v>46167</v>
      </c>
      <c r="D1314" t="inlineStr">
        <is>
          <t>JÄMTLANDS LÄN</t>
        </is>
      </c>
      <c r="E1314" t="inlineStr">
        <is>
          <t>KROKOM</t>
        </is>
      </c>
      <c r="G1314" t="n">
        <v>21.4</v>
      </c>
      <c r="H1314" t="n">
        <v>0</v>
      </c>
      <c r="I1314" t="n">
        <v>0</v>
      </c>
      <c r="J1314" t="n">
        <v>0</v>
      </c>
      <c r="K1314" t="n">
        <v>0</v>
      </c>
      <c r="L1314" t="n">
        <v>0</v>
      </c>
      <c r="M1314" t="n">
        <v>0</v>
      </c>
      <c r="N1314" t="n">
        <v>0</v>
      </c>
      <c r="O1314" t="n">
        <v>0</v>
      </c>
      <c r="P1314" t="n">
        <v>0</v>
      </c>
      <c r="Q1314" t="n">
        <v>0</v>
      </c>
      <c r="R1314" s="2" t="inlineStr"/>
    </row>
    <row r="1315" ht="15" customHeight="1">
      <c r="A1315" t="inlineStr">
        <is>
          <t>A 27522-2025</t>
        </is>
      </c>
      <c r="B1315" s="1" t="n">
        <v>45813.44443287037</v>
      </c>
      <c r="C1315" s="1" t="n">
        <v>46167</v>
      </c>
      <c r="D1315" t="inlineStr">
        <is>
          <t>JÄMTLANDS LÄN</t>
        </is>
      </c>
      <c r="E1315" t="inlineStr">
        <is>
          <t>KROKOM</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27547-2025</t>
        </is>
      </c>
      <c r="B1316" s="1" t="n">
        <v>45813.46969907408</v>
      </c>
      <c r="C1316" s="1" t="n">
        <v>46167</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27703-2025</t>
        </is>
      </c>
      <c r="B1317" s="1" t="n">
        <v>45813.68361111111</v>
      </c>
      <c r="C1317" s="1" t="n">
        <v>46167</v>
      </c>
      <c r="D1317" t="inlineStr">
        <is>
          <t>JÄMTLANDS LÄN</t>
        </is>
      </c>
      <c r="E1317" t="inlineStr">
        <is>
          <t>KROKOM</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27153-2025</t>
        </is>
      </c>
      <c r="B1318" s="1" t="n">
        <v>45812.32266203704</v>
      </c>
      <c r="C1318" s="1" t="n">
        <v>46167</v>
      </c>
      <c r="D1318" t="inlineStr">
        <is>
          <t>JÄMTLANDS LÄN</t>
        </is>
      </c>
      <c r="E1318" t="inlineStr">
        <is>
          <t>KROKOM</t>
        </is>
      </c>
      <c r="G1318" t="n">
        <v>15.8</v>
      </c>
      <c r="H1318" t="n">
        <v>0</v>
      </c>
      <c r="I1318" t="n">
        <v>0</v>
      </c>
      <c r="J1318" t="n">
        <v>0</v>
      </c>
      <c r="K1318" t="n">
        <v>0</v>
      </c>
      <c r="L1318" t="n">
        <v>0</v>
      </c>
      <c r="M1318" t="n">
        <v>0</v>
      </c>
      <c r="N1318" t="n">
        <v>0</v>
      </c>
      <c r="O1318" t="n">
        <v>0</v>
      </c>
      <c r="P1318" t="n">
        <v>0</v>
      </c>
      <c r="Q1318" t="n">
        <v>0</v>
      </c>
      <c r="R1318" s="2" t="inlineStr"/>
    </row>
    <row r="1319" ht="15" customHeight="1">
      <c r="A1319" t="inlineStr">
        <is>
          <t>A 27833-2025</t>
        </is>
      </c>
      <c r="B1319" s="1" t="n">
        <v>45814</v>
      </c>
      <c r="C1319" s="1" t="n">
        <v>46167</v>
      </c>
      <c r="D1319" t="inlineStr">
        <is>
          <t>JÄMTLANDS LÄN</t>
        </is>
      </c>
      <c r="E1319" t="inlineStr">
        <is>
          <t>KROKOM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27851-2025</t>
        </is>
      </c>
      <c r="B1320" s="1" t="n">
        <v>45814</v>
      </c>
      <c r="C1320" s="1" t="n">
        <v>46167</v>
      </c>
      <c r="D1320" t="inlineStr">
        <is>
          <t>JÄMTLANDS LÄN</t>
        </is>
      </c>
      <c r="E1320" t="inlineStr">
        <is>
          <t>KROKOM</t>
        </is>
      </c>
      <c r="G1320" t="n">
        <v>13.9</v>
      </c>
      <c r="H1320" t="n">
        <v>0</v>
      </c>
      <c r="I1320" t="n">
        <v>0</v>
      </c>
      <c r="J1320" t="n">
        <v>0</v>
      </c>
      <c r="K1320" t="n">
        <v>0</v>
      </c>
      <c r="L1320" t="n">
        <v>0</v>
      </c>
      <c r="M1320" t="n">
        <v>0</v>
      </c>
      <c r="N1320" t="n">
        <v>0</v>
      </c>
      <c r="O1320" t="n">
        <v>0</v>
      </c>
      <c r="P1320" t="n">
        <v>0</v>
      </c>
      <c r="Q1320" t="n">
        <v>0</v>
      </c>
      <c r="R1320" s="2" t="inlineStr"/>
    </row>
    <row r="1321" ht="15" customHeight="1">
      <c r="A1321" t="inlineStr">
        <is>
          <t>A 27973-2025</t>
        </is>
      </c>
      <c r="B1321" s="1" t="n">
        <v>45817.56761574074</v>
      </c>
      <c r="C1321" s="1" t="n">
        <v>46167</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27740-2025</t>
        </is>
      </c>
      <c r="B1322" s="1" t="n">
        <v>45815.50844907408</v>
      </c>
      <c r="C1322" s="1" t="n">
        <v>46167</v>
      </c>
      <c r="D1322" t="inlineStr">
        <is>
          <t>JÄMTLANDS LÄN</t>
        </is>
      </c>
      <c r="E1322" t="inlineStr">
        <is>
          <t>KROKOM</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28130-2025</t>
        </is>
      </c>
      <c r="B1323" s="1" t="n">
        <v>45818.3293287037</v>
      </c>
      <c r="C1323" s="1" t="n">
        <v>46167</v>
      </c>
      <c r="D1323" t="inlineStr">
        <is>
          <t>JÄMTLANDS LÄN</t>
        </is>
      </c>
      <c r="E1323" t="inlineStr">
        <is>
          <t>KROKOM</t>
        </is>
      </c>
      <c r="F1323" t="inlineStr">
        <is>
          <t>Kyrkan</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28132-2025</t>
        </is>
      </c>
      <c r="B1324" s="1" t="n">
        <v>45818.33532407408</v>
      </c>
      <c r="C1324" s="1" t="n">
        <v>46167</v>
      </c>
      <c r="D1324" t="inlineStr">
        <is>
          <t>JÄMTLANDS LÄN</t>
        </is>
      </c>
      <c r="E1324" t="inlineStr">
        <is>
          <t>KROKOM</t>
        </is>
      </c>
      <c r="F1324" t="inlineStr">
        <is>
          <t>Kyrkan</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28147-2025</t>
        </is>
      </c>
      <c r="B1325" s="1" t="n">
        <v>45818.34833333334</v>
      </c>
      <c r="C1325" s="1" t="n">
        <v>46167</v>
      </c>
      <c r="D1325" t="inlineStr">
        <is>
          <t>JÄMTLANDS LÄN</t>
        </is>
      </c>
      <c r="E1325" t="inlineStr">
        <is>
          <t>KROKOM</t>
        </is>
      </c>
      <c r="F1325" t="inlineStr">
        <is>
          <t>Kyrkan</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28136-2025</t>
        </is>
      </c>
      <c r="B1326" s="1" t="n">
        <v>45818.34473379629</v>
      </c>
      <c r="C1326" s="1" t="n">
        <v>46167</v>
      </c>
      <c r="D1326" t="inlineStr">
        <is>
          <t>JÄMTLANDS LÄN</t>
        </is>
      </c>
      <c r="E1326" t="inlineStr">
        <is>
          <t>KROKOM</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28155-2025</t>
        </is>
      </c>
      <c r="B1327" s="1" t="n">
        <v>45818.36246527778</v>
      </c>
      <c r="C1327" s="1" t="n">
        <v>46167</v>
      </c>
      <c r="D1327" t="inlineStr">
        <is>
          <t>JÄMTLANDS LÄN</t>
        </is>
      </c>
      <c r="E1327" t="inlineStr">
        <is>
          <t>KROKOM</t>
        </is>
      </c>
      <c r="F1327" t="inlineStr">
        <is>
          <t>Kyrkan</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28137-2025</t>
        </is>
      </c>
      <c r="B1328" s="1" t="n">
        <v>45818.34474537037</v>
      </c>
      <c r="C1328" s="1" t="n">
        <v>46167</v>
      </c>
      <c r="D1328" t="inlineStr">
        <is>
          <t>JÄMTLANDS LÄN</t>
        </is>
      </c>
      <c r="E1328" t="inlineStr">
        <is>
          <t>KROKOM</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28162-2025</t>
        </is>
      </c>
      <c r="B1329" s="1" t="n">
        <v>45818.37056712963</v>
      </c>
      <c r="C1329" s="1" t="n">
        <v>46167</v>
      </c>
      <c r="D1329" t="inlineStr">
        <is>
          <t>JÄMTLANDS LÄN</t>
        </is>
      </c>
      <c r="E1329" t="inlineStr">
        <is>
          <t>KROKOM</t>
        </is>
      </c>
      <c r="F1329" t="inlineStr">
        <is>
          <t>Kyrkan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28843-2025</t>
        </is>
      </c>
      <c r="B1330" s="1" t="n">
        <v>45820</v>
      </c>
      <c r="C1330" s="1" t="n">
        <v>46167</v>
      </c>
      <c r="D1330" t="inlineStr">
        <is>
          <t>JÄMTLANDS LÄN</t>
        </is>
      </c>
      <c r="E1330" t="inlineStr">
        <is>
          <t>KROKOM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28848-2025</t>
        </is>
      </c>
      <c r="B1331" s="1" t="n">
        <v>45820</v>
      </c>
      <c r="C1331" s="1" t="n">
        <v>46167</v>
      </c>
      <c r="D1331" t="inlineStr">
        <is>
          <t>JÄMTLANDS LÄN</t>
        </is>
      </c>
      <c r="E1331" t="inlineStr">
        <is>
          <t>KROKOM</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28729-2025</t>
        </is>
      </c>
      <c r="B1332" s="1" t="n">
        <v>45820.36512731481</v>
      </c>
      <c r="C1332" s="1" t="n">
        <v>46167</v>
      </c>
      <c r="D1332" t="inlineStr">
        <is>
          <t>JÄMTLANDS LÄN</t>
        </is>
      </c>
      <c r="E1332" t="inlineStr">
        <is>
          <t>KROKOM</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28752-2025</t>
        </is>
      </c>
      <c r="B1333" s="1" t="n">
        <v>45820</v>
      </c>
      <c r="C1333" s="1" t="n">
        <v>46167</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28727-2025</t>
        </is>
      </c>
      <c r="B1334" s="1" t="n">
        <v>45820.36498842593</v>
      </c>
      <c r="C1334" s="1" t="n">
        <v>46167</v>
      </c>
      <c r="D1334" t="inlineStr">
        <is>
          <t>JÄMTLANDS LÄN</t>
        </is>
      </c>
      <c r="E1334" t="inlineStr">
        <is>
          <t>KROKOM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28728-2025</t>
        </is>
      </c>
      <c r="B1335" s="1" t="n">
        <v>45820.36506944444</v>
      </c>
      <c r="C1335" s="1" t="n">
        <v>46167</v>
      </c>
      <c r="D1335" t="inlineStr">
        <is>
          <t>JÄMTLANDS LÄN</t>
        </is>
      </c>
      <c r="E1335" t="inlineStr">
        <is>
          <t>KROKOM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29001-2025</t>
        </is>
      </c>
      <c r="B1336" s="1" t="n">
        <v>45821.39026620371</v>
      </c>
      <c r="C1336" s="1" t="n">
        <v>46167</v>
      </c>
      <c r="D1336" t="inlineStr">
        <is>
          <t>JÄMTLANDS LÄN</t>
        </is>
      </c>
      <c r="E1336" t="inlineStr">
        <is>
          <t>KROKOM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28789-2025</t>
        </is>
      </c>
      <c r="B1337" s="1" t="n">
        <v>45820.47200231482</v>
      </c>
      <c r="C1337" s="1" t="n">
        <v>46167</v>
      </c>
      <c r="D1337" t="inlineStr">
        <is>
          <t>JÄMTLANDS LÄN</t>
        </is>
      </c>
      <c r="E1337" t="inlineStr">
        <is>
          <t>KROKOM</t>
        </is>
      </c>
      <c r="F1337" t="inlineStr">
        <is>
          <t>Kyrkan</t>
        </is>
      </c>
      <c r="G1337" t="n">
        <v>28.4</v>
      </c>
      <c r="H1337" t="n">
        <v>0</v>
      </c>
      <c r="I1337" t="n">
        <v>0</v>
      </c>
      <c r="J1337" t="n">
        <v>0</v>
      </c>
      <c r="K1337" t="n">
        <v>0</v>
      </c>
      <c r="L1337" t="n">
        <v>0</v>
      </c>
      <c r="M1337" t="n">
        <v>0</v>
      </c>
      <c r="N1337" t="n">
        <v>0</v>
      </c>
      <c r="O1337" t="n">
        <v>0</v>
      </c>
      <c r="P1337" t="n">
        <v>0</v>
      </c>
      <c r="Q1337" t="n">
        <v>0</v>
      </c>
      <c r="R1337" s="2" t="inlineStr"/>
    </row>
    <row r="1338" ht="15" customHeight="1">
      <c r="A1338" t="inlineStr">
        <is>
          <t>A 30890-2025</t>
        </is>
      </c>
      <c r="B1338" s="1" t="n">
        <v>45832.34630787037</v>
      </c>
      <c r="C1338" s="1" t="n">
        <v>46167</v>
      </c>
      <c r="D1338" t="inlineStr">
        <is>
          <t>JÄMTLANDS LÄN</t>
        </is>
      </c>
      <c r="E1338" t="inlineStr">
        <is>
          <t>KROKOM</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31027-2025</t>
        </is>
      </c>
      <c r="B1339" s="1" t="n">
        <v>45832.53225694445</v>
      </c>
      <c r="C1339" s="1" t="n">
        <v>46167</v>
      </c>
      <c r="D1339" t="inlineStr">
        <is>
          <t>JÄMTLANDS LÄN</t>
        </is>
      </c>
      <c r="E1339" t="inlineStr">
        <is>
          <t>KROKOM</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31290-2025</t>
        </is>
      </c>
      <c r="B1340" s="1" t="n">
        <v>45833.36050925926</v>
      </c>
      <c r="C1340" s="1" t="n">
        <v>46167</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31291-2025</t>
        </is>
      </c>
      <c r="B1341" s="1" t="n">
        <v>45833.36083333333</v>
      </c>
      <c r="C1341" s="1" t="n">
        <v>46167</v>
      </c>
      <c r="D1341" t="inlineStr">
        <is>
          <t>JÄMTLANDS LÄN</t>
        </is>
      </c>
      <c r="E1341" t="inlineStr">
        <is>
          <t>KROKOM</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31032-2025</t>
        </is>
      </c>
      <c r="B1342" s="1" t="n">
        <v>45832.53935185185</v>
      </c>
      <c r="C1342" s="1" t="n">
        <v>46167</v>
      </c>
      <c r="D1342" t="inlineStr">
        <is>
          <t>JÄMTLANDS LÄN</t>
        </is>
      </c>
      <c r="E1342" t="inlineStr">
        <is>
          <t>KROKOM</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31292-2025</t>
        </is>
      </c>
      <c r="B1343" s="1" t="n">
        <v>45833.36111111111</v>
      </c>
      <c r="C1343" s="1" t="n">
        <v>46167</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31852-2025</t>
        </is>
      </c>
      <c r="B1344" s="1" t="n">
        <v>45834.61517361111</v>
      </c>
      <c r="C1344" s="1" t="n">
        <v>46167</v>
      </c>
      <c r="D1344" t="inlineStr">
        <is>
          <t>JÄMTLANDS LÄN</t>
        </is>
      </c>
      <c r="E1344" t="inlineStr">
        <is>
          <t>KROKOM</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32038-2025</t>
        </is>
      </c>
      <c r="B1345" s="1" t="n">
        <v>45835.42712962963</v>
      </c>
      <c r="C1345" s="1" t="n">
        <v>46167</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32896-2025</t>
        </is>
      </c>
      <c r="B1346" s="1" t="n">
        <v>45839.61541666667</v>
      </c>
      <c r="C1346" s="1" t="n">
        <v>46167</v>
      </c>
      <c r="D1346" t="inlineStr">
        <is>
          <t>JÄMTLANDS LÄN</t>
        </is>
      </c>
      <c r="E1346" t="inlineStr">
        <is>
          <t>KROKOM</t>
        </is>
      </c>
      <c r="F1346" t="inlineStr">
        <is>
          <t>SCA</t>
        </is>
      </c>
      <c r="G1346" t="n">
        <v>17.9</v>
      </c>
      <c r="H1346" t="n">
        <v>0</v>
      </c>
      <c r="I1346" t="n">
        <v>0</v>
      </c>
      <c r="J1346" t="n">
        <v>0</v>
      </c>
      <c r="K1346" t="n">
        <v>0</v>
      </c>
      <c r="L1346" t="n">
        <v>0</v>
      </c>
      <c r="M1346" t="n">
        <v>0</v>
      </c>
      <c r="N1346" t="n">
        <v>0</v>
      </c>
      <c r="O1346" t="n">
        <v>0</v>
      </c>
      <c r="P1346" t="n">
        <v>0</v>
      </c>
      <c r="Q1346" t="n">
        <v>0</v>
      </c>
      <c r="R1346" s="2" t="inlineStr"/>
    </row>
    <row r="1347" ht="15" customHeight="1">
      <c r="A1347" t="inlineStr">
        <is>
          <t>A 32899-2025</t>
        </is>
      </c>
      <c r="B1347" s="1" t="n">
        <v>45839.61594907408</v>
      </c>
      <c r="C1347" s="1" t="n">
        <v>46167</v>
      </c>
      <c r="D1347" t="inlineStr">
        <is>
          <t>JÄMTLANDS LÄN</t>
        </is>
      </c>
      <c r="E1347" t="inlineStr">
        <is>
          <t>KROKOM</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32966-2025</t>
        </is>
      </c>
      <c r="B1348" s="1" t="n">
        <v>45839.72320601852</v>
      </c>
      <c r="C1348" s="1" t="n">
        <v>46167</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32898-2025</t>
        </is>
      </c>
      <c r="B1349" s="1" t="n">
        <v>45839.61582175926</v>
      </c>
      <c r="C1349" s="1" t="n">
        <v>46167</v>
      </c>
      <c r="D1349" t="inlineStr">
        <is>
          <t>JÄMTLANDS LÄN</t>
        </is>
      </c>
      <c r="E1349" t="inlineStr">
        <is>
          <t>KROKOM</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32897-2025</t>
        </is>
      </c>
      <c r="B1350" s="1" t="n">
        <v>45839.61563657408</v>
      </c>
      <c r="C1350" s="1" t="n">
        <v>46167</v>
      </c>
      <c r="D1350" t="inlineStr">
        <is>
          <t>JÄMTLANDS LÄN</t>
        </is>
      </c>
      <c r="E1350" t="inlineStr">
        <is>
          <t>KROKOM</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33418-2025</t>
        </is>
      </c>
      <c r="B1351" s="1" t="n">
        <v>45841.43987268519</v>
      </c>
      <c r="C1351" s="1" t="n">
        <v>46167</v>
      </c>
      <c r="D1351" t="inlineStr">
        <is>
          <t>JÄMTLANDS LÄN</t>
        </is>
      </c>
      <c r="E1351" t="inlineStr">
        <is>
          <t>KROKOM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33677-2025</t>
        </is>
      </c>
      <c r="B1352" s="1" t="n">
        <v>45841.67834490741</v>
      </c>
      <c r="C1352" s="1" t="n">
        <v>46167</v>
      </c>
      <c r="D1352" t="inlineStr">
        <is>
          <t>JÄMTLANDS LÄN</t>
        </is>
      </c>
      <c r="E1352" t="inlineStr">
        <is>
          <t>KROKOM</t>
        </is>
      </c>
      <c r="F1352" t="inlineStr">
        <is>
          <t>SCA</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33045-2025</t>
        </is>
      </c>
      <c r="B1353" s="1" t="n">
        <v>45840.40717592592</v>
      </c>
      <c r="C1353" s="1" t="n">
        <v>46167</v>
      </c>
      <c r="D1353" t="inlineStr">
        <is>
          <t>JÄMTLANDS LÄN</t>
        </is>
      </c>
      <c r="E1353" t="inlineStr">
        <is>
          <t>KROKOM</t>
        </is>
      </c>
      <c r="F1353" t="inlineStr">
        <is>
          <t>SCA</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33925-2025</t>
        </is>
      </c>
      <c r="B1354" s="1" t="n">
        <v>45842</v>
      </c>
      <c r="C1354" s="1" t="n">
        <v>46167</v>
      </c>
      <c r="D1354" t="inlineStr">
        <is>
          <t>JÄMTLANDS LÄN</t>
        </is>
      </c>
      <c r="E1354" t="inlineStr">
        <is>
          <t>KROKOM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33915-2025</t>
        </is>
      </c>
      <c r="B1355" s="1" t="n">
        <v>45842.6099537037</v>
      </c>
      <c r="C1355" s="1" t="n">
        <v>46167</v>
      </c>
      <c r="D1355" t="inlineStr">
        <is>
          <t>JÄMTLANDS LÄN</t>
        </is>
      </c>
      <c r="E1355" t="inlineStr">
        <is>
          <t>KROKOM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33945-2025</t>
        </is>
      </c>
      <c r="B1356" s="1" t="n">
        <v>45842</v>
      </c>
      <c r="C1356" s="1" t="n">
        <v>46167</v>
      </c>
      <c r="D1356" t="inlineStr">
        <is>
          <t>JÄMTLANDS LÄN</t>
        </is>
      </c>
      <c r="E1356" t="inlineStr">
        <is>
          <t>KROKOM</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33777-2025</t>
        </is>
      </c>
      <c r="B1357" s="1" t="n">
        <v>45842.39587962963</v>
      </c>
      <c r="C1357" s="1" t="n">
        <v>46167</v>
      </c>
      <c r="D1357" t="inlineStr">
        <is>
          <t>JÄMTLANDS LÄN</t>
        </is>
      </c>
      <c r="E1357" t="inlineStr">
        <is>
          <t>KROKOM</t>
        </is>
      </c>
      <c r="F1357" t="inlineStr">
        <is>
          <t>Övriga Aktiebolag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5935-2025</t>
        </is>
      </c>
      <c r="B1358" s="1" t="n">
        <v>45695.45013888889</v>
      </c>
      <c r="C1358" s="1" t="n">
        <v>46167</v>
      </c>
      <c r="D1358" t="inlineStr">
        <is>
          <t>JÄMTLANDS LÄN</t>
        </is>
      </c>
      <c r="E1358" t="inlineStr">
        <is>
          <t>KROKOM</t>
        </is>
      </c>
      <c r="F1358" t="inlineStr">
        <is>
          <t>Övriga Aktiebolag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33779-2025</t>
        </is>
      </c>
      <c r="B1359" s="1" t="n">
        <v>45842.40013888889</v>
      </c>
      <c r="C1359" s="1" t="n">
        <v>46167</v>
      </c>
      <c r="D1359" t="inlineStr">
        <is>
          <t>JÄMTLANDS LÄN</t>
        </is>
      </c>
      <c r="E1359" t="inlineStr">
        <is>
          <t>KROKOM</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34535-2025</t>
        </is>
      </c>
      <c r="B1360" s="1" t="n">
        <v>45847.51106481482</v>
      </c>
      <c r="C1360" s="1" t="n">
        <v>46167</v>
      </c>
      <c r="D1360" t="inlineStr">
        <is>
          <t>JÄMTLANDS LÄN</t>
        </is>
      </c>
      <c r="E1360" t="inlineStr">
        <is>
          <t>KROKOM</t>
        </is>
      </c>
      <c r="G1360" t="n">
        <v>2</v>
      </c>
      <c r="H1360" t="n">
        <v>0</v>
      </c>
      <c r="I1360" t="n">
        <v>0</v>
      </c>
      <c r="J1360" t="n">
        <v>0</v>
      </c>
      <c r="K1360" t="n">
        <v>0</v>
      </c>
      <c r="L1360" t="n">
        <v>0</v>
      </c>
      <c r="M1360" t="n">
        <v>0</v>
      </c>
      <c r="N1360" t="n">
        <v>0</v>
      </c>
      <c r="O1360" t="n">
        <v>0</v>
      </c>
      <c r="P1360" t="n">
        <v>0</v>
      </c>
      <c r="Q1360" t="n">
        <v>0</v>
      </c>
      <c r="R1360" s="2" t="inlineStr"/>
    </row>
    <row r="1361">
      <c r="A1361" t="inlineStr">
        <is>
          <t>A 34608-2025</t>
        </is>
      </c>
      <c r="B1361" s="1" t="n">
        <v>45847.65717592592</v>
      </c>
      <c r="C1361" s="1" t="n">
        <v>46167</v>
      </c>
      <c r="D1361" t="inlineStr">
        <is>
          <t>JÄMTLANDS LÄN</t>
        </is>
      </c>
      <c r="E1361" t="inlineStr">
        <is>
          <t>KROKOM</t>
        </is>
      </c>
      <c r="F1361" t="inlineStr">
        <is>
          <t>SCA</t>
        </is>
      </c>
      <c r="G1361" t="n">
        <v>7.6</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2026-05-25T10:52:38Z</dcterms:created>
  <dcterms:modified xmlns:dcterms="http://purl.org/dc/terms/" xmlns:xsi="http://www.w3.org/2001/XMLSchema-instance" xsi:type="dcterms:W3CDTF">2026-05-25T10:52:39Z</dcterms:modified>
</cp:coreProperties>
</file>